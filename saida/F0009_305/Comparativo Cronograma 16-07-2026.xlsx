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53" documentId="11_06A6AAF2E607A1244AAB3056C050D106AC451F8C" xr6:coauthVersionLast="47" xr6:coauthVersionMax="47" xr10:uidLastSave="{95894A21-9C09-4058-97BA-C800482A3FE4}"/>
  <bookViews>
    <workbookView xWindow="-120" yWindow="-120" windowWidth="20730" windowHeight="1104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B16" i="2"/>
  <c r="C16" i="2"/>
  <c r="E16" i="2"/>
  <c r="F16" i="2"/>
  <c r="G16" i="2"/>
  <c r="E34" i="2"/>
</calcChain>
</file>

<file path=xl/sharedStrings.xml><?xml version="1.0" encoding="utf-8"?>
<sst xmlns="http://schemas.openxmlformats.org/spreadsheetml/2006/main" count="12057" uniqueCount="1057">
  <si>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</si>
  <si>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</si>
  <si>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</si>
  <si>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</si>
  <si>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</si>
  <si>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</si>
  <si>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</si>
  <si>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</si>
  <si>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</si>
  <si>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</si>
  <si>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</si>
  <si>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</si>
  <si>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</si>
  <si>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</si>
  <si>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</si>
  <si>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</si>
  <si>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</si>
  <si>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</si>
  <si>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</si>
  <si>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</si>
  <si>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</si>
  <si>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</si>
  <si>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</si>
  <si>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</si>
  <si>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</si>
  <si>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</si>
  <si>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</si>
  <si>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</si>
  <si>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</si>
  <si>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</si>
  <si>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</si>
  <si>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</si>
  <si>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</si>
  <si>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</si>
  <si>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488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</si>
  <si>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</si>
  <si>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</si>
  <si>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</si>
  <si>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</si>
  <si>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</si>
  <si>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</si>
  <si>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</si>
  <si>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</si>
  <si>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</si>
  <si>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</si>
  <si>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</si>
  <si>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</si>
  <si>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</si>
  <si>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</si>
  <si>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</si>
  <si>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</si>
  <si>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</si>
  <si>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</si>
  <si>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</si>
  <si>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</si>
  <si>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</si>
  <si>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</si>
  <si>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</si>
  <si>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</si>
  <si>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</si>
  <si>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</si>
  <si>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</si>
  <si>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</si>
  <si>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</si>
  <si>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</si>
  <si>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</si>
  <si>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</si>
  <si>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</si>
  <si>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</si>
  <si>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</si>
  <si>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</si>
  <si>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</si>
  <si>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</si>
  <si>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</si>
  <si>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</si>
  <si>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</si>
  <si>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</si>
  <si>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</si>
  <si>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</si>
  <si>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</si>
  <si>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</si>
  <si>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</si>
  <si>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</si>
  <si>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</si>
  <si>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</si>
  <si>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</si>
  <si>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</si>
  <si>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</si>
  <si>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</si>
  <si>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</si>
  <si>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</si>
  <si>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</si>
  <si>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</si>
  <si>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</si>
  <si>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</si>
  <si>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</si>
  <si>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</si>
  <si>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</si>
  <si>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</si>
  <si>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</si>
  <si>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</si>
  <si>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</si>
  <si>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</si>
  <si>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</si>
  <si>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</si>
  <si>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</si>
  <si>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</si>
  <si>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</si>
  <si>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</si>
  <si>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</si>
  <si>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</si>
  <si>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</si>
  <si>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</si>
  <si>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</si>
  <si>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</si>
  <si>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</si>
  <si>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</si>
  <si>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</si>
  <si>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</si>
  <si>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</si>
  <si>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</si>
  <si>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</si>
  <si>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</si>
  <si>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</si>
  <si>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</si>
  <si>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</si>
  <si>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</si>
  <si>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</si>
  <si>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</si>
  <si>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1.2.5</t>
  </si>
  <si>
    <t>processo</t>
  </si>
  <si>
    <t>128 hrs</t>
  </si>
  <si>
    <t>PROCESSOS</t>
  </si>
  <si>
    <t>Sprint 8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</si>
  <si>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</si>
  <si>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</si>
  <si>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</si>
  <si>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</si>
  <si>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</si>
  <si>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</si>
  <si>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</si>
  <si>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</si>
  <si>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</si>
  <si>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</si>
  <si>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</si>
  <si>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</si>
  <si>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Sprint 10</t>
  </si>
  <si>
    <t>1.2.5.3.4</t>
  </si>
  <si>
    <t>65TI+5 dias</t>
  </si>
  <si>
    <t>Seg 25/05/26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</si>
  <si>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</si>
  <si>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</si>
  <si>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</si>
  <si>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</si>
  <si>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</si>
  <si>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</si>
  <si>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</si>
  <si>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</si>
  <si>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112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</si>
  <si>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</si>
  <si>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</si>
  <si>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</si>
  <si>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</si>
  <si>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</si>
  <si>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</si>
  <si>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</si>
  <si>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</si>
  <si>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</si>
  <si>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</si>
  <si>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</si>
  <si>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</si>
  <si>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64 hrs</t>
  </si>
  <si>
    <t>Qui 28/05/26</t>
  </si>
  <si>
    <t>1.2.6.4.1</t>
  </si>
  <si>
    <t>PQ-F0009-0305-MB-M-00001</t>
  </si>
  <si>
    <t>4 dias</t>
  </si>
  <si>
    <t>1.2.6.4.2</t>
  </si>
  <si>
    <t>Ter 02/06/26</t>
  </si>
  <si>
    <t>Sprint 9</t>
  </si>
  <si>
    <t>1.2.6.4.3</t>
  </si>
  <si>
    <t>No Prazo</t>
  </si>
  <si>
    <t>Qua 03/06/26</t>
  </si>
  <si>
    <t>1.2.6.4.4</t>
  </si>
  <si>
    <t>Tarefa futura</t>
  </si>
  <si>
    <t>Sex 05/06/26</t>
  </si>
  <si>
    <t>1.2.6.5</t>
  </si>
  <si>
    <t>ag-f0009-0305-mb-l-00001</t>
  </si>
  <si>
    <t>48 hrs</t>
  </si>
  <si>
    <t>Seg 22/06/26</t>
  </si>
  <si>
    <t>1.2.6.5.1</t>
  </si>
  <si>
    <t>AG-F0009-0305-MB-L-00001</t>
  </si>
  <si>
    <t>1.2.6.5.2</t>
  </si>
  <si>
    <t>Sex 03/07/26</t>
  </si>
  <si>
    <t>1.2.6.5.3</t>
  </si>
  <si>
    <t>Seg 06/07/26</t>
  </si>
  <si>
    <t>1.2.6.5.4</t>
  </si>
  <si>
    <t>Qua 08/07/26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</si>
  <si>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</si>
  <si>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</si>
  <si>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</si>
  <si>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</si>
  <si>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</si>
  <si>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</si>
  <si>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</si>
  <si>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</si>
  <si>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</si>
  <si>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</si>
  <si>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</si>
  <si>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</si>
  <si>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</si>
  <si>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</si>
  <si>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</si>
  <si>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</si>
  <si>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</si>
  <si>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</si>
  <si>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</si>
  <si>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</si>
  <si>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</si>
  <si>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</si>
  <si>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</si>
  <si>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</si>
  <si>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</si>
  <si>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</si>
  <si>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</si>
  <si>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</si>
  <si>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</si>
  <si>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</si>
  <si>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</si>
  <si>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</si>
  <si>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</si>
  <si>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</si>
  <si>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</si>
  <si>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</si>
  <si>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</si>
  <si>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</si>
  <si>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</si>
  <si>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</si>
  <si>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</si>
  <si>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</si>
  <si>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</si>
  <si>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</si>
  <si>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</si>
  <si>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</si>
  <si>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</si>
  <si>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</si>
  <si>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</si>
  <si>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</si>
  <si>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</si>
  <si>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</si>
  <si>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</si>
  <si>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</si>
  <si>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</si>
  <si>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</si>
  <si>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</si>
  <si>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</si>
  <si>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</si>
  <si>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Sex 29/05/26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</si>
  <si>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</si>
  <si>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</si>
  <si>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</si>
  <si>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</si>
  <si>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</si>
  <si>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</si>
  <si>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</si>
  <si>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</si>
  <si>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</si>
  <si>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</si>
  <si>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</si>
  <si>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</si>
  <si>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</si>
  <si>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</si>
  <si>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</si>
  <si>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</si>
  <si>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</si>
  <si>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</si>
  <si>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</si>
  <si>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</si>
  <si>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</si>
  <si>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</si>
  <si>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</si>
  <si>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</si>
  <si>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</si>
  <si>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</si>
  <si>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</si>
  <si>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</si>
  <si>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</si>
  <si>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</si>
  <si>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</si>
  <si>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</si>
  <si>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</si>
  <si>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</si>
  <si>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</si>
  <si>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</si>
  <si>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</si>
  <si>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</si>
  <si>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</si>
  <si>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</si>
  <si>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</si>
  <si>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</si>
  <si>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</si>
  <si>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</si>
  <si>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</si>
  <si>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</si>
  <si>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</si>
  <si>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</si>
  <si>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</si>
  <si>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208 hrs</t>
  </si>
  <si>
    <t>1.2.6.20.1</t>
  </si>
  <si>
    <t>MC-F0009-0305-MB-M-00001</t>
  </si>
  <si>
    <t>10 dias</t>
  </si>
  <si>
    <t>165;189;194;199;346</t>
  </si>
  <si>
    <t>1.2.6.20.2</t>
  </si>
  <si>
    <t>Sex 12/06/26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</si>
  <si>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</si>
  <si>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</si>
  <si>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</si>
  <si>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</si>
  <si>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</si>
  <si>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</si>
  <si>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</si>
  <si>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</si>
  <si>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</si>
  <si>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</si>
  <si>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</si>
  <si>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</si>
  <si>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</si>
  <si>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</si>
  <si>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</si>
  <si>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</si>
  <si>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</si>
  <si>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</si>
  <si>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</si>
  <si>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</si>
  <si>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</si>
  <si>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</si>
  <si>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</si>
  <si>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</si>
  <si>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</si>
  <si>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</si>
  <si>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</si>
  <si>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</si>
  <si>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</si>
  <si>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</si>
  <si>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</si>
  <si>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</si>
  <si>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</si>
  <si>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</si>
  <si>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</si>
  <si>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</si>
  <si>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</si>
  <si>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</si>
  <si>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</si>
  <si>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</si>
  <si>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</si>
  <si>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</si>
  <si>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</si>
  <si>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56 hrs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</si>
  <si>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</si>
  <si>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</si>
  <si>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</si>
  <si>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</si>
  <si>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</si>
  <si>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</si>
  <si>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</si>
  <si>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</si>
  <si>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</si>
  <si>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</si>
  <si>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</si>
  <si>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</si>
  <si>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</si>
  <si>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</si>
  <si>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</si>
  <si>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</si>
  <si>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</si>
  <si>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</si>
  <si>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</si>
  <si>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</si>
  <si>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</si>
  <si>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</si>
  <si>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</si>
  <si>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</si>
  <si>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</si>
  <si>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</si>
  <si>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</si>
  <si>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</si>
  <si>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</si>
  <si>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</si>
  <si>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</si>
  <si>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</si>
  <si>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</si>
  <si>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</si>
  <si>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</si>
  <si>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</si>
  <si>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</si>
  <si>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</si>
  <si>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</si>
  <si>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</si>
  <si>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</si>
  <si>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</si>
  <si>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</si>
  <si>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</si>
  <si>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</si>
  <si>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</si>
  <si>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52 hrs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</si>
  <si>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</si>
  <si>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</si>
  <si>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</si>
  <si>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</si>
  <si>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</si>
  <si>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</si>
  <si>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</si>
  <si>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</si>
  <si>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</si>
  <si>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</si>
  <si>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</si>
  <si>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</si>
  <si>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</si>
  <si>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</si>
  <si>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</si>
  <si>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</si>
  <si>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</si>
  <si>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</si>
  <si>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</si>
  <si>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</si>
  <si>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</si>
  <si>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</si>
  <si>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</si>
  <si>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</si>
  <si>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</si>
  <si>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</si>
  <si>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</si>
  <si>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</si>
  <si>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</si>
  <si>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</si>
  <si>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</si>
  <si>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</si>
  <si>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</si>
  <si>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</si>
  <si>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</si>
  <si>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</si>
  <si>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</si>
  <si>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</si>
  <si>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</si>
  <si>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</si>
  <si>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</si>
  <si>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</si>
  <si>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</si>
  <si>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</si>
  <si>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</si>
  <si>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</si>
  <si>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</si>
  <si>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</si>
  <si>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</si>
  <si>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</si>
  <si>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</si>
  <si>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</si>
  <si>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</si>
  <si>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</si>
  <si>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</si>
  <si>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</si>
  <si>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</si>
  <si>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</si>
  <si>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</si>
  <si>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</si>
  <si>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</si>
  <si>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</si>
  <si>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</si>
  <si>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</si>
  <si>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</si>
  <si>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</si>
  <si>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</si>
  <si>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</si>
  <si>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</si>
  <si>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</si>
  <si>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</si>
  <si>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</si>
  <si>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</si>
  <si>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</si>
  <si>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</si>
  <si>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</si>
  <si>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</si>
  <si>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</si>
  <si>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</si>
  <si>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110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</si>
  <si>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</si>
  <si>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</si>
  <si>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</si>
  <si>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</si>
  <si>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</si>
  <si>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</si>
  <si>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</si>
  <si>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</si>
  <si>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</si>
  <si>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</si>
  <si>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</si>
  <si>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</si>
  <si>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</si>
  <si>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</si>
  <si>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</si>
  <si>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</si>
  <si>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Ter 30/06/26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</si>
  <si>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</si>
  <si>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</si>
  <si>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</si>
  <si>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</si>
  <si>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</si>
  <si>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</si>
  <si>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</si>
  <si>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</si>
  <si>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</si>
  <si>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</si>
  <si>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</si>
  <si>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</si>
  <si>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</si>
  <si>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</si>
  <si>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</si>
  <si>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</si>
  <si>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</si>
  <si>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</si>
  <si>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</si>
  <si>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</si>
  <si>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</si>
  <si>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</si>
  <si>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</si>
  <si>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</si>
  <si>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</si>
  <si>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</si>
  <si>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</si>
  <si>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</si>
  <si>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</si>
  <si>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</si>
  <si>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</si>
  <si>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</si>
  <si>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</si>
  <si>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</si>
  <si>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</si>
  <si>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</si>
  <si>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</si>
  <si>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</si>
  <si>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</si>
  <si>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</si>
  <si>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</si>
  <si>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</si>
  <si>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</si>
  <si>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</si>
  <si>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</si>
  <si>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</si>
  <si>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</si>
  <si>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</si>
  <si>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</si>
  <si>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</si>
  <si>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</si>
  <si>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</si>
  <si>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</si>
  <si>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</si>
  <si>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</si>
  <si>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</si>
  <si>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</si>
  <si>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</si>
  <si>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</si>
  <si>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</si>
  <si>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</si>
  <si>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</si>
  <si>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</si>
  <si>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</si>
  <si>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</si>
  <si>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</si>
  <si>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</si>
  <si>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</si>
  <si>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</si>
  <si>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</si>
  <si>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</si>
  <si>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</si>
  <si>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</si>
  <si>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</si>
  <si>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</si>
  <si>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</si>
  <si>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</si>
  <si>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</si>
  <si>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</si>
  <si>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</si>
  <si>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</si>
  <si>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</si>
  <si>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</si>
  <si>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</si>
  <si>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</si>
  <si>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</si>
  <si>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</si>
  <si>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</si>
  <si>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</si>
  <si>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</si>
  <si>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</si>
  <si>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</si>
  <si>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</si>
  <si>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</si>
  <si>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</si>
  <si>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</si>
  <si>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</si>
  <si>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</si>
  <si>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</si>
  <si>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</si>
  <si>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</si>
  <si>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</si>
  <si>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</si>
  <si>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</si>
  <si>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</si>
  <si>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</si>
  <si>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</si>
  <si>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</si>
  <si>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</si>
  <si>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</si>
  <si>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>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</si>
  <si>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</si>
  <si>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</si>
  <si>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</si>
  <si>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</si>
  <si>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</si>
  <si>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</si>
  <si>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</si>
  <si>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</si>
  <si>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</si>
  <si>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</si>
  <si>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</si>
  <si>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</si>
  <si>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</si>
  <si>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</si>
  <si>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</si>
  <si>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</si>
  <si>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</si>
  <si>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</si>
  <si>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</si>
  <si>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</si>
  <si>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Ter 16/06/26</t>
  </si>
  <si>
    <t>1.2.9.9.4</t>
  </si>
  <si>
    <t>449TT</t>
  </si>
  <si>
    <t>1.2.10</t>
  </si>
  <si>
    <t>automação e instrumentação</t>
  </si>
  <si>
    <t>288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</si>
  <si>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</si>
  <si>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</si>
  <si>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</si>
  <si>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</si>
  <si>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</si>
  <si>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</si>
  <si>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</si>
  <si>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</si>
  <si>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</si>
  <si>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</si>
  <si>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</si>
  <si>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</si>
  <si>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</si>
  <si>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</si>
  <si>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</si>
  <si>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</si>
  <si>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</si>
  <si>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</si>
  <si>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</si>
  <si>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</si>
  <si>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</si>
  <si>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</si>
  <si>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</si>
  <si>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</si>
  <si>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</si>
  <si>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</si>
  <si>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</si>
  <si>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</si>
  <si>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</si>
  <si>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</si>
  <si>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</si>
  <si>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</si>
  <si>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</si>
  <si>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</si>
  <si>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</si>
  <si>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</si>
  <si>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</si>
  <si>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</si>
  <si>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</si>
  <si>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</si>
  <si>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</si>
  <si>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</si>
  <si>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</si>
  <si>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>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</si>
  <si>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</si>
  <si>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</si>
  <si>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</si>
  <si>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</si>
  <si>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</si>
  <si>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</si>
  <si>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</si>
  <si>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</si>
  <si>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</si>
  <si>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</si>
  <si>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</si>
  <si>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</si>
  <si>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</si>
  <si>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</si>
  <si>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</si>
  <si>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</si>
  <si>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</si>
  <si>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</si>
  <si>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</si>
  <si>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</si>
  <si>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</si>
  <si>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</si>
  <si>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</si>
  <si>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</si>
  <si>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</si>
  <si>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</si>
  <si>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</si>
  <si>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</si>
  <si>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</si>
  <si>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</si>
  <si>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</si>
  <si>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</si>
  <si>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</si>
  <si>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</si>
  <si>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</si>
  <si>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</si>
  <si>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</si>
  <si>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</si>
  <si>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</si>
  <si>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</si>
  <si>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</si>
  <si>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</si>
  <si>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</si>
  <si>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</si>
  <si>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88 hrs</t>
  </si>
  <si>
    <t>1.2.10.15.1</t>
  </si>
  <si>
    <t>DI-F0009-0305-MB-J-00001</t>
  </si>
  <si>
    <t>7 dias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</si>
  <si>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</si>
  <si>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</si>
  <si>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</si>
  <si>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</si>
  <si>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</si>
  <si>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</si>
  <si>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</si>
  <si>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</si>
  <si>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</si>
  <si>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</si>
  <si>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</si>
  <si>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</si>
  <si>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</si>
  <si>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</si>
  <si>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</si>
  <si>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</si>
  <si>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</si>
  <si>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1.2.10.19.2</t>
  </si>
  <si>
    <t>1.2.10.19.3</t>
  </si>
  <si>
    <t>Qua 24/06/26</t>
  </si>
  <si>
    <t>1.2.10.19.4</t>
  </si>
  <si>
    <t>1.2.10.20</t>
  </si>
  <si>
    <t>fd-f0009-0305-mb-j-00001</t>
  </si>
  <si>
    <t>120 hrs</t>
  </si>
  <si>
    <t>1.2.10.20.1</t>
  </si>
  <si>
    <t>FD-F0009-0305-MB-J-00001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</si>
  <si>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</si>
  <si>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</si>
  <si>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</si>
  <si>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</si>
  <si>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</si>
  <si>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</si>
  <si>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</si>
  <si>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</si>
  <si>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</si>
  <si>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</si>
  <si>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</si>
  <si>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</si>
  <si>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</si>
  <si>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</si>
  <si>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</si>
  <si>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</si>
  <si>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</si>
  <si>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</si>
  <si>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</si>
  <si>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</si>
  <si>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</si>
  <si>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</si>
  <si>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</si>
  <si>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</si>
  <si>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</si>
  <si>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</si>
  <si>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</si>
  <si>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</si>
  <si>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</si>
  <si>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</si>
  <si>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</si>
  <si>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</si>
  <si>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</si>
  <si>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</si>
  <si>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</si>
  <si>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</si>
  <si>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</si>
  <si>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</si>
  <si>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</si>
  <si>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</si>
  <si>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</si>
  <si>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</si>
  <si>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</si>
  <si>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</si>
  <si>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</si>
  <si>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</si>
  <si>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</si>
  <si>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</si>
  <si>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</si>
  <si>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</si>
  <si>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</si>
  <si>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</si>
  <si>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</si>
  <si>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</si>
  <si>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</si>
  <si>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</si>
  <si>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</si>
  <si>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</si>
  <si>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</si>
  <si>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</si>
  <si>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</si>
  <si>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</si>
  <si>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</si>
  <si>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</si>
  <si>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</si>
  <si>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</si>
  <si>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</si>
  <si>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</si>
  <si>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</si>
  <si>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</si>
  <si>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</si>
  <si>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</si>
  <si>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</si>
  <si>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</si>
  <si>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</si>
  <si>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</si>
  <si>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</si>
  <si>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</si>
  <si>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</si>
  <si>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</si>
  <si>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</si>
  <si>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</si>
  <si>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</si>
  <si>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</si>
  <si>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</si>
  <si>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</si>
  <si>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</si>
  <si>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</si>
  <si>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</si>
  <si>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</si>
  <si>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</si>
  <si>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</si>
  <si>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</si>
  <si>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</si>
  <si>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</si>
  <si>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</si>
  <si>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</si>
  <si>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</si>
  <si>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</si>
  <si>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</si>
  <si>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</si>
  <si>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</si>
  <si>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</si>
  <si>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</si>
  <si>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</si>
  <si>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</si>
  <si>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</si>
  <si>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</si>
  <si>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</si>
  <si>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</si>
  <si>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</si>
  <si>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</si>
  <si>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</si>
  <si>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</si>
  <si>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</si>
  <si>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</si>
  <si>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</si>
  <si>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</si>
  <si>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</si>
  <si>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</si>
  <si>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</si>
  <si>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</si>
  <si>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</si>
  <si>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</si>
  <si>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</si>
  <si>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</si>
  <si>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</si>
  <si>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</si>
  <si>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</si>
  <si>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</si>
  <si>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</si>
  <si>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</si>
  <si>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</si>
  <si>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</si>
  <si>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</si>
  <si>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</si>
  <si>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</si>
  <si>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</si>
  <si>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</si>
  <si>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</si>
  <si>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</si>
  <si>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</si>
  <si>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</si>
  <si>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</si>
  <si>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</si>
  <si>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</si>
  <si>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</si>
  <si>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</si>
  <si>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</si>
  <si>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</si>
  <si>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</si>
  <si>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</si>
  <si>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</si>
  <si>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</si>
  <si>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</si>
  <si>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</si>
  <si>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</si>
  <si>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</si>
  <si>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</si>
  <si>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</si>
  <si>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</si>
  <si>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</si>
  <si>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</si>
  <si>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</si>
  <si>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</si>
  <si>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</si>
  <si>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</si>
  <si>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</si>
  <si>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</si>
  <si>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</si>
  <si>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</si>
  <si>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</si>
  <si>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</si>
  <si>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</si>
  <si>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</si>
  <si>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</si>
  <si>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</si>
  <si>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</si>
  <si>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</si>
  <si>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</si>
  <si>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</si>
  <si>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</si>
  <si>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</si>
  <si>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</si>
  <si>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</si>
  <si>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</si>
  <si>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</si>
  <si>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</si>
  <si>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</si>
  <si>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</si>
  <si>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</si>
  <si>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</si>
  <si>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</si>
  <si>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</si>
  <si>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</si>
  <si>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</si>
  <si>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</si>
  <si>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</si>
  <si>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</si>
  <si>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</si>
  <si>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</si>
  <si>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</si>
  <si>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</si>
  <si>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</si>
  <si>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</si>
  <si>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</si>
  <si>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</si>
  <si>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</si>
  <si>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</si>
  <si>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</si>
  <si>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</si>
  <si>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</si>
  <si>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</si>
  <si>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</si>
  <si>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</si>
  <si>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</si>
  <si>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</si>
  <si>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</si>
  <si>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</si>
  <si>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</si>
  <si>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</si>
  <si>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1.2.4</t>
  </si>
  <si>
    <t>coordenação</t>
  </si>
  <si>
    <t>53 dias</t>
  </si>
  <si>
    <t>COORDENAÇÃO</t>
  </si>
  <si>
    <t>Nenhum Sprint</t>
  </si>
  <si>
    <t>Tarefa Excluída</t>
  </si>
  <si>
    <t>1.2.4.1</t>
  </si>
  <si>
    <t>Coordenação</t>
  </si>
  <si>
    <t>rm-f0009-0305-mb-g-00001</t>
  </si>
  <si>
    <t>1.2.4.2</t>
  </si>
  <si>
    <t>rm-f0009-0305mb-g-00002</t>
  </si>
  <si>
    <t>1.2.4.3</t>
  </si>
  <si>
    <t>rl-f0009-0305-mb-g-00001</t>
  </si>
  <si>
    <t>1.2.4.4</t>
  </si>
  <si>
    <t>lp-f0009-0305-mb-g-00001</t>
  </si>
  <si>
    <t>37 dias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</si>
  <si>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</si>
  <si>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</si>
  <si>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</si>
  <si>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</si>
  <si>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</si>
  <si>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</si>
  <si>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</si>
  <si>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</si>
  <si>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</si>
  <si>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</si>
  <si>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</si>
  <si>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</si>
  <si>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</si>
  <si>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</si>
  <si>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</si>
  <si>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</si>
  <si>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</si>
  <si>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</si>
  <si>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</si>
  <si>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</si>
  <si>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</si>
  <si>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</si>
  <si>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</si>
  <si>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</si>
  <si>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</si>
  <si>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</si>
  <si>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</si>
  <si>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</si>
  <si>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</si>
  <si>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</si>
  <si>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</si>
  <si>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</si>
  <si>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</si>
  <si>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</si>
  <si>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</si>
  <si>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</si>
  <si>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</si>
  <si>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</si>
  <si>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</si>
  <si>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</si>
  <si>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</si>
  <si>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</si>
  <si>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</si>
  <si>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</si>
  <si>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</si>
  <si>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</si>
  <si>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</si>
  <si>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</si>
  <si>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</si>
  <si>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</si>
  <si>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</si>
  <si>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</si>
  <si>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</si>
  <si>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</si>
  <si>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</si>
  <si>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</si>
  <si>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</si>
  <si>
    <t>Data Entrega</t>
  </si>
  <si>
    <t>aguardando</t>
  </si>
  <si>
    <t>status2</t>
  </si>
  <si>
    <t>incluir LM</t>
  </si>
  <si>
    <t>Confirmas Emissão</t>
  </si>
  <si>
    <t>Aguardando Avaliação</t>
  </si>
  <si>
    <t xml:space="preserve">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</si>
</sst>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37"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4" formatCode="0.00%"/>
    </dxf>
    <dxf>
      <numFmt numFmtId="164" formatCode="yyyy\-mm\-dd\ hh:mm:ss"/>
    </dxf>
    <dxf>
      <numFmt numFmtId="164" formatCode="yyyy\-mm\-dd\ hh:mm:ss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Concluídas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E-48B2-A435-BF78F0013FA4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E-48B2-A435-BF78F0013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Atrasadas por Disciplina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E-406C-B3CB-4D983A2E24A3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E-406C-B3CB-4D983A2E24A3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E-406C-B3CB-4D983A2E24A3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3E-406C-B3CB-4D983A2E2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0F56C-5A49-4331-877B-B27350291974}" name="Tabela1" displayName="Tabela1" ref="A1:AG551" totalsRowShown="0">
  <autoFilter ref="A1:AG551" xr:uid="{4F90F56C-5A49-4331-877B-B27350291974}"/>
  <tableColumns count="33">
    <tableColumn id="1" xr3:uid="{FC72D566-15D5-4856-ACEF-A1FFA638580B}" name="Id"/>
    <tableColumn id="2" xr3:uid="{36767652-49DD-4A77-9830-AD57BEBF59D5}" name="EDT"/>
    <tableColumn id="3" xr3:uid="{301CAADA-12EF-4D07-83B6-FD69481BBCA2}" name="Nome do Resumo da Tarefa"/>
    <tableColumn id="4" xr3:uid="{A9A3B7CE-C76F-4EAC-83DD-57512BD620CB}" name="Nome da Tarefa"/>
    <tableColumn id="5" xr3:uid="{3623DEE1-361F-497B-814B-B3065F64744B}" name="Duração"/>
    <tableColumn id="6" xr3:uid="{667B1594-F9C9-4F6A-89BC-4033964560ED}" name="Início" dataDxfId="36"/>
    <tableColumn id="7" xr3:uid="{A89D1B22-1FD4-48D6-AB8E-FA3CD02F6DEF}" name="Término" dataDxfId="35"/>
    <tableColumn id="8" xr3:uid="{77EC0784-8B88-48F0-A5A6-08C8A9F716FF}" name="% concluída" dataDxfId="34"/>
    <tableColumn id="9" xr3:uid="{4761DB84-0096-45E8-9065-EDB3F98498A7}" name="Término real" dataDxfId="33"/>
    <tableColumn id="10" xr3:uid="{56073FC9-B48B-44A7-9364-DB56938476ED}" name="Predecessoras"/>
    <tableColumn id="11" xr3:uid="{19C2759D-AA7F-45DF-9B55-0A6C57B2FC37}" name="Sucessoras"/>
    <tableColumn id="12" xr3:uid="{C4918237-5807-468F-8189-DE6F1D672641}" name="Status"/>
    <tableColumn id="13" xr3:uid="{268AD74C-C4B0-4438-9F95-F83C69172D0B}" name="Início da Linha de Base"/>
    <tableColumn id="14" xr3:uid="{E5571FA2-4CC6-47CD-87FE-887CF6B43EFC}" name="Término da linha de base" dataDxfId="32"/>
    <tableColumn id="15" xr3:uid="{CAC79644-D8A3-471A-BF20-1516E991E9A0}" name="Nomes dos recursos"/>
    <tableColumn id="16" xr3:uid="{6797CED6-9A37-4443-B9F4-D4FB562F81B0}" name="Disciplina"/>
    <tableColumn id="17" xr3:uid="{0718DFA4-DE9D-4327-9038-5836DAD138D1}" name="Sprint"/>
    <tableColumn id="18" xr3:uid="{E81D8DAB-44BE-4997-B976-B8EBB214C399}" name="Crítica"/>
    <tableColumn id="19" xr3:uid="{DAB147D1-0C7C-4BBD-B5F5-68512A24B270}" name="Início_LB_R0" dataDxfId="31"/>
    <tableColumn id="20" xr3:uid="{D79047AB-DACC-426E-81B3-5B22016F8243}" name="Término_LB_R0" dataDxfId="30"/>
    <tableColumn id="21" xr3:uid="{5F8B0B97-8473-4628-B453-4FA1C74961A4}" name="Comparação"/>
    <tableColumn id="22" xr3:uid="{9012209F-9771-479E-8174-B696463E4B54}" name="pct_val"/>
    <tableColumn id="23" xr3:uid="{520248EA-BE6C-4004-9B7D-73C87A0002E0}" name="Emissão inicial total"/>
    <tableColumn id="24" xr3:uid="{CB04C8E2-2429-40D9-93B7-6AB9BE12E989}" name="Emissão inicial concluída"/>
    <tableColumn id="25" xr3:uid="{3AC08C36-4D4B-466D-8AC8-FEB99808DED9}" name="Emissão Inicial Atrasada"/>
    <tableColumn id="26" xr3:uid="{0E026F88-F51B-414F-8D5B-1A261E8225F4}" name="Aprovação total"/>
    <tableColumn id="27" xr3:uid="{E944116F-4031-459B-B6B9-6835DD64550A}" name="Avaliação do cliente concluída"/>
    <tableColumn id="28" xr3:uid="{644D8CF6-F557-4812-856B-0A60576C03CB}" name="Avaliação Cliente Atrasada"/>
    <tableColumn id="29" xr3:uid="{A2EAA4F3-CB03-44FC-8A24-2F1CBD819E3D}" name="Atendimento de comentário concluído"/>
    <tableColumn id="30" xr3:uid="{01B7EC18-D099-4D53-AC67-8D6C011275E8}" name="Atendimento Atrasado"/>
    <tableColumn id="31" xr3:uid="{4DFE642F-927E-4473-B2D7-3E38B02B6F35}" name="Aprovação concluída"/>
    <tableColumn id="32" xr3:uid="{880EFCB4-5F9C-4191-86DE-AC9022601DAE}" name="Aprovação Atrasada"/>
    <tableColumn id="33" xr3:uid="{2FB652AF-2428-4175-8D63-019B689CFB95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13A07-F980-4F9F-A8B2-567AE3D7E29D}" name="Tabela2" displayName="Tabela2" ref="A3:H16" totalsRowCount="1">
  <autoFilter ref="A3:H15" xr:uid="{45113A07-F980-4F9F-A8B2-567AE3D7E29D}"/>
  <tableColumns count="8">
    <tableColumn id="1" xr3:uid="{FF4ED593-6544-4F70-9BB5-E97F26F3F69E}" name="Disciplina" totalsRowLabel="Total"/>
    <tableColumn id="2" xr3:uid="{3755CDE9-7F16-473A-852B-AC7FBFFE9B79}" name="Emissão inicial total" totalsRowFunction="sum" totalsRowDxfId="29"/>
    <tableColumn id="3" xr3:uid="{13251DE9-E1ED-4FE6-B492-AF36CF16D5B1}" name="Emissão inicial concluída" totalsRowFunction="sum" totalsRowDxfId="28"/>
    <tableColumn id="4" xr3:uid="{86F0F4AD-55C1-4EE2-8F1F-D052436C5069}" name="%EI" dataDxfId="27" totalsRowDxfId="26"/>
    <tableColumn id="5" xr3:uid="{008B8B63-7D2B-4905-A9F3-008BD9EC3C61}" name="Avaliação do cliente concluída" totalsRowFunction="sum" totalsRowDxfId="25"/>
    <tableColumn id="6" xr3:uid="{623CD1BE-BC7D-4B7E-84B5-A2702A9AF89E}" name="Atendimento de comentário concluído" totalsRowFunction="sum" totalsRowDxfId="24"/>
    <tableColumn id="7" xr3:uid="{C073FC83-3EDB-4833-8838-68EABF067C09}" name="Aprovação concluída" totalsRowFunction="sum" totalsRowDxfId="23"/>
    <tableColumn id="8" xr3:uid="{F0FEA18D-A239-44DD-8956-07814B350FC7}" name="%AP" dataDxfId="22" totalsRow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7E9FDF-3162-4ABA-B072-1A0259663543}" name="Tabela4" displayName="Tabela4" ref="A21:E34" totalsRowCount="1">
  <autoFilter ref="A21:E33" xr:uid="{DC7E9FDF-3162-4ABA-B072-1A0259663543}"/>
  <tableColumns count="5">
    <tableColumn id="1" xr3:uid="{807223E4-21C7-410B-B9EA-0BC125524AB1}" name="Disciplina" totalsRowLabel="Total"/>
    <tableColumn id="2" xr3:uid="{37D78D9F-84A0-4E9B-BAA4-34DCC3A111B5}" name="Emissão Inicial Atrasada" totalsRowFunction="sum"/>
    <tableColumn id="3" xr3:uid="{D114E84B-C4F4-4AB9-A958-26F57C2FCBEA}" name="Avaliação Cliente Atrasada" totalsRowFunction="sum"/>
    <tableColumn id="4" xr3:uid="{4580B915-7043-4EE2-B274-4F652882B816}" name="Atendimento Atrasado" totalsRowFunction="sum"/>
    <tableColumn id="5" xr3:uid="{C26839BC-A883-4F14-81A5-03A6915CD7CD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D6BB0A-E14C-4A52-B3C6-4B69EBD385F9}" name="Tabela5" displayName="Tabela5" ref="A1:O82" totalsRowShown="0" headerRowDxfId="20">
  <autoFilter ref="A1:O82" xr:uid="{15D6BB0A-E14C-4A52-B3C6-4B69EBD385F9}"/>
  <tableColumns count="15">
    <tableColumn id="1" xr3:uid="{F1CF912E-CCC7-4C1D-952C-A35FDFDC8E84}" name="Data" dataDxfId="19"/>
    <tableColumn id="2" xr3:uid="{9DDBF7AA-F1BE-41FF-BAE2-DBBF30380EC8}" name="Emissão prevista na LB"/>
    <tableColumn id="3" xr3:uid="{7F04A6F6-D75B-4717-BADC-FED838AF5911}" name="Emissão prevista na LB acumulada"/>
    <tableColumn id="4" xr3:uid="{C2CD98FF-6F85-424B-98CF-6AF58DC3DB55}" name="Emissão realizada por dia"/>
    <tableColumn id="5" xr3:uid="{3BF71AE1-3446-4F56-9467-502372AFE6F1}" name="Emissão realizada acumulada"/>
    <tableColumn id="6" xr3:uid="{391EA225-E9DA-4ABB-8429-F98CDB5CDF93}" name="Aprovação prevista na LB"/>
    <tableColumn id="7" xr3:uid="{4C4DC94C-A138-4CA5-A357-FF379C86B629}" name="Aprovação realizada por dia"/>
    <tableColumn id="8" xr3:uid="{A4678A6B-F127-4C5A-A4B2-E4E06DDB096C}" name="Aprovação prevista na LB acumulada"/>
    <tableColumn id="9" xr3:uid="{999CCF1E-D159-4E50-9E64-99F234BF40D3}" name="Aprovação realizada acumulada"/>
    <tableColumn id="10" xr3:uid="{FBEE0A55-7D3B-48CE-91B1-DA28E8EDB118}" name="Avanço da EI previsto na LB" dataDxfId="18"/>
    <tableColumn id="11" xr3:uid="{FB9E12D6-1875-4F80-8F35-CA37FC60C6AB}" name="Avanço real da EI na LB" dataDxfId="17"/>
    <tableColumn id="12" xr3:uid="{62F9A462-9643-41A1-B1E0-55DE15575D6C}" name="COMP_EI"/>
    <tableColumn id="13" xr3:uid="{D7C381CA-AB91-4583-8E68-DEB37CAA1F27}" name="Avanço da AP previsto na LB" dataDxfId="16"/>
    <tableColumn id="14" xr3:uid="{9ACE3788-76C0-489E-8845-1031FED271AF}" name="Avanço da AP real na LB" dataDxfId="15"/>
    <tableColumn id="15" xr3:uid="{7DDD537D-AC9D-47AE-8B6C-891FB6F385FF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4B2670-C403-49AD-A459-69739620E5EC}" name="Tabela6" displayName="Tabela6" ref="A1:AG137" totalsRowShown="0">
  <autoFilter ref="A1:AG137" xr:uid="{024B2670-C403-49AD-A459-69739620E5EC}"/>
  <tableColumns count="33">
    <tableColumn id="1" xr3:uid="{6BCAA5B7-B013-400A-B5D2-403821E69273}" name="Id"/>
    <tableColumn id="2" xr3:uid="{1F2A96FC-F957-4391-8803-6FD5046A48D3}" name="EDT"/>
    <tableColumn id="3" xr3:uid="{DD74096D-1DAA-47C9-B186-26E325A8F388}" name="Nome do Resumo da Tarefa"/>
    <tableColumn id="4" xr3:uid="{5C7FC300-F08F-4D77-92A0-A36776E9B120}" name="Nome da Tarefa"/>
    <tableColumn id="5" xr3:uid="{768E2912-24BF-420B-A1E6-B8A905B60E7E}" name="Duração"/>
    <tableColumn id="6" xr3:uid="{429D2C22-DCBC-408E-9B63-B99AEF188EFD}" name="Início" dataDxfId="14"/>
    <tableColumn id="7" xr3:uid="{6741128F-776A-44CB-968A-BE3F99286585}" name="Término" dataDxfId="13"/>
    <tableColumn id="8" xr3:uid="{DE7F3ACD-7DF9-4A33-967E-4E453D7877FF}" name="% concluída" dataDxfId="12"/>
    <tableColumn id="9" xr3:uid="{830306FB-0A55-46C3-ADA4-1FC0D1954008}" name="Término real" dataDxfId="11"/>
    <tableColumn id="10" xr3:uid="{D0069914-7DDC-4C22-9531-402ECC3574F6}" name="Predecessoras"/>
    <tableColumn id="11" xr3:uid="{57B8FCA7-AD12-4AE5-9D3F-E9993EAF059A}" name="Sucessoras"/>
    <tableColumn id="12" xr3:uid="{C258FC67-9A4D-4A71-ADCF-2EC05B231825}" name="Status"/>
    <tableColumn id="13" xr3:uid="{DDE87798-C59C-42F0-8A8C-B9DC0A9DC60F}" name="Início da Linha de Base"/>
    <tableColumn id="14" xr3:uid="{6F9CE226-1B7E-4888-927E-BB4E55FB475B}" name="Término da linha de base" dataDxfId="10"/>
    <tableColumn id="15" xr3:uid="{4B72A4A6-FFF0-429E-9C91-C7C70755C29E}" name="Nomes dos recursos"/>
    <tableColumn id="16" xr3:uid="{22CA0269-2061-471E-8EE9-B42343E43C36}" name="Disciplina"/>
    <tableColumn id="17" xr3:uid="{634E7E1F-2D69-479D-B48E-80D62B416132}" name="Sprint"/>
    <tableColumn id="18" xr3:uid="{A6E46D74-F479-44DA-A2CE-278208A117D9}" name="Crítica"/>
    <tableColumn id="19" xr3:uid="{892F341E-28D5-403A-AD55-5A163B7C08C3}" name="Início_LB_R0" dataDxfId="9"/>
    <tableColumn id="20" xr3:uid="{A825F4D6-DA2E-461A-990B-D893BE72DE0A}" name="Término_LB_R0" dataDxfId="8"/>
    <tableColumn id="21" xr3:uid="{2248DC3B-DC5F-4F75-BD32-145969717189}" name="Comparação"/>
    <tableColumn id="22" xr3:uid="{AADB86FF-BAF4-406D-8BFA-5A48A4802EDC}" name="pct_val"/>
    <tableColumn id="23" xr3:uid="{8F213346-5874-4F71-AB04-6D0AEC3A4609}" name="Emissão inicial total"/>
    <tableColumn id="24" xr3:uid="{5234A7F4-5DB0-4B7F-ACFB-E228A3F371B0}" name="Emissão inicial concluída"/>
    <tableColumn id="25" xr3:uid="{719BFCC5-DFBB-48CA-81A0-ECD7320B72E8}" name="Emissão Inicial Atrasada"/>
    <tableColumn id="26" xr3:uid="{B0D30A8D-574D-4DAC-9317-4000E2638C66}" name="Aprovação total"/>
    <tableColumn id="27" xr3:uid="{81ABF5C4-8757-483D-B926-ED136C15356F}" name="Avaliação do cliente concluída"/>
    <tableColumn id="28" xr3:uid="{7A41EF9C-E1CB-4BDF-AB1F-4D7305AC7308}" name="Avaliação Cliente Atrasada"/>
    <tableColumn id="29" xr3:uid="{369CEA12-0ED5-4351-BC3F-F907FA1E3044}" name="Atendimento de comentário concluído"/>
    <tableColumn id="30" xr3:uid="{041029B7-EA21-414C-B705-749AC027B00C}" name="Atendimento Atrasado"/>
    <tableColumn id="31" xr3:uid="{8A587F6C-514E-4C38-9E86-66E1B9099E80}" name="Aprovação concluída"/>
    <tableColumn id="32" xr3:uid="{0B0E064C-DD93-442B-8E40-67879FF8469D}" name="Aprovação Atrasada"/>
    <tableColumn id="33" xr3:uid="{5895B558-B9ED-4DE2-A332-A7CE3CA6F5B5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3A190D-7333-45F9-967C-B2300F5FAA15}" name="Tabela7" displayName="Tabela7" ref="A1:AG279" totalsRowShown="0">
  <autoFilter ref="A1:AG279" xr:uid="{153A190D-7333-45F9-967C-B2300F5FAA15}">
    <filterColumn colId="3">
      <filters>
        <filter val="atendimento de comentários"/>
        <filter val="emissão inicial"/>
      </filters>
    </filterColumn>
    <filterColumn colId="15">
      <filters>
        <filter val="TUBULAÇÃO / UTILIDADES"/>
      </filters>
    </filterColumn>
  </autoFilter>
  <sortState xmlns:xlrd2="http://schemas.microsoft.com/office/spreadsheetml/2017/richdata2" ref="A9:AG254">
    <sortCondition descending="1" ref="D1:D279"/>
  </sortState>
  <tableColumns count="33">
    <tableColumn id="1" xr3:uid="{181E2A84-46F9-4ABE-B706-4D5AA85F871E}" name="Id"/>
    <tableColumn id="2" xr3:uid="{AF0CE4D8-783B-4CF9-86FD-1C6DE8EC0F29}" name="EDT"/>
    <tableColumn id="3" xr3:uid="{1395B1A3-BA43-4344-A20D-AC961A539F5B}" name="Nome do Resumo da Tarefa"/>
    <tableColumn id="4" xr3:uid="{198AD6E4-80E6-4B54-9F11-C707E95EC906}" name="Nome da Tarefa"/>
    <tableColumn id="5" xr3:uid="{4F57228E-9C49-4FBF-9BCA-A5145D08912F}" name="Duração"/>
    <tableColumn id="6" xr3:uid="{2E70EC82-2779-44F9-9488-770F93E40F61}" name="Início" dataDxfId="7"/>
    <tableColumn id="7" xr3:uid="{89BB2914-525B-4D1E-A7CF-0C7C10CE8DBB}" name="Término" dataDxfId="6"/>
    <tableColumn id="8" xr3:uid="{ACEDF12E-C571-4BC2-B1F4-18BD7B91B678}" name="% concluída" dataDxfId="5"/>
    <tableColumn id="9" xr3:uid="{12EB9D45-BC6F-4C58-AA98-C1C973BA34DC}" name="Término real"/>
    <tableColumn id="10" xr3:uid="{D4DD8FD6-F510-4DE3-B4B9-34609164D2FB}" name="Predecessoras"/>
    <tableColumn id="11" xr3:uid="{534344EF-C7A4-4B6E-8F28-A8448E558528}" name="Sucessoras"/>
    <tableColumn id="12" xr3:uid="{0C62DDD1-A10E-4868-9763-17507C31B485}" name="Status"/>
    <tableColumn id="13" xr3:uid="{DB257DE7-D34E-4F01-9E06-F3E50AFC7891}" name="Início da Linha de Base"/>
    <tableColumn id="14" xr3:uid="{6F6E496E-129C-4E33-9FA0-3697452195E3}" name="Término da linha de base" dataDxfId="4"/>
    <tableColumn id="15" xr3:uid="{D31FCA06-5460-4165-9352-579C1EDBED95}" name="Nomes dos recursos"/>
    <tableColumn id="16" xr3:uid="{2E37A777-B4BB-4D92-B70E-69B7AADDC816}" name="Disciplina"/>
    <tableColumn id="17" xr3:uid="{B811E010-EC02-4B0C-BEC2-BEF22961CFCE}" name="Sprint"/>
    <tableColumn id="18" xr3:uid="{25466829-6F1A-4ACB-844F-254FF2B9916A}" name="Crítica"/>
    <tableColumn id="19" xr3:uid="{7A953226-0FD6-4955-B059-70CB6A81CBCC}" name="Início_LB_R0" dataDxfId="3"/>
    <tableColumn id="20" xr3:uid="{A6E7F6DD-3F9B-44F8-B567-47DE6A6C039C}" name="Término_LB_R0" dataDxfId="2"/>
    <tableColumn id="21" xr3:uid="{6E52A921-8E8A-442A-B887-2F49E93110D9}" name="Comparação"/>
    <tableColumn id="22" xr3:uid="{6BB9CC24-A5C8-442F-90B5-F233703802F9}" name="pct_val"/>
    <tableColumn id="23" xr3:uid="{4DFBF29B-80A9-416C-BF1A-3BA0F4933094}" name="Emissão inicial total"/>
    <tableColumn id="24" xr3:uid="{9B15CBA1-0E22-4DEE-8D16-49CA021B3D4D}" name="Emissão inicial concluída"/>
    <tableColumn id="25" xr3:uid="{24B59F05-22B9-497F-A7B5-DADBC1681CA7}" name="Emissão Inicial Atrasada"/>
    <tableColumn id="26" xr3:uid="{57284989-E858-4DD8-9C85-825C0E3A23A9}" name="Aprovação total"/>
    <tableColumn id="27" xr3:uid="{466330F3-F892-4F57-B223-B27AFEEA17B8}" name="Avaliação do cliente concluída"/>
    <tableColumn id="28" xr3:uid="{3BFA4E1A-F2A6-4F51-A7FD-CA519C3B2A46}" name="Avaliação Cliente Atrasada"/>
    <tableColumn id="29" xr3:uid="{BDB434E6-4689-470B-887E-F1B32E64FA65}" name="Atendimento de comentário concluído"/>
    <tableColumn id="30" xr3:uid="{BF9E36AB-AAE3-4D94-B1AB-11BC78CDDC6B}" name="Atendimento Atrasado"/>
    <tableColumn id="31" xr3:uid="{C378AACC-1E7C-49B5-B58D-30AB4E9EBBCD}" name="Aprovação concluída"/>
    <tableColumn id="32" xr3:uid="{FE8CAE07-5BFE-489B-BEC5-E7CBF1A660CE}" name="Aprovação Atrasada"/>
    <tableColumn id="33" xr3:uid="{49772E9C-F017-4652-872B-28B5CF13BC7F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52014E-A171-4E5E-ADA0-E1C54C2DCF86}" name="Tabela8" displayName="Tabela8" ref="A1:L367" totalsRowShown="0">
  <autoFilter ref="A1:L367" xr:uid="{D252014E-A171-4E5E-ADA0-E1C54C2DCF86}">
    <filterColumn colId="4">
      <filters>
        <filter val="emissão inicial"/>
      </filters>
    </filterColumn>
    <filterColumn colId="8">
      <filters>
        <filter val="MECÂNICA"/>
      </filters>
    </filterColumn>
  </autoFilter>
  <tableColumns count="12">
    <tableColumn id="1" xr3:uid="{D80B0EE7-06B3-4907-902D-690950B477E8}" name="Sprint"/>
    <tableColumn id="2" xr3:uid="{34816AF6-D21D-432C-A0E9-9A5F748EBD4D}" name="Id"/>
    <tableColumn id="3" xr3:uid="{B7D49FF3-C87A-4880-9368-AC62506D7165}" name="EDT"/>
    <tableColumn id="4" xr3:uid="{DC1EF822-F0E3-4AE5-9B2A-BEB0FC8F3C23}" name="Nome do Resumo da Tarefa"/>
    <tableColumn id="5" xr3:uid="{7F95027B-0B01-4708-BC3D-6F91366E2C64}" name="Nome da Tarefa"/>
    <tableColumn id="6" xr3:uid="{9D7DF695-6529-4752-89A7-6CD86096593F}" name="Status"/>
    <tableColumn id="7" xr3:uid="{59328AE6-EDBC-44FC-868F-3BA54A357D97}" name="% concluída" dataDxfId="1"/>
    <tableColumn id="8" xr3:uid="{89CA30C4-C684-46DB-8DAE-9515AF9D8710}" name="Nomes dos recursos"/>
    <tableColumn id="9" xr3:uid="{8E6E9A47-2ADF-424C-B687-9D604D1E5715}" name="Disciplina"/>
    <tableColumn id="10" xr3:uid="{003ADFF7-D968-46DB-979C-89E537D13D69}" name="Crítica"/>
    <tableColumn id="11" xr3:uid="{291B379E-78A5-4463-8206-E350FCFC719D}" name="Data Entrega"/>
    <tableColumn id="12" xr3:uid="{41EAE2C2-1DC2-4884-87FE-F8884BA1939B}" name="status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09D30E-6630-4FC5-9879-CEC56C411C1E}" name="Tabela9" displayName="Tabela9" ref="A1:J50" totalsRowShown="0">
  <autoFilter ref="A1:J50" xr:uid="{A209D30E-6630-4FC5-9879-CEC56C411C1E}">
    <filterColumn colId="4">
      <filters>
        <filter val="atendimento de comentários"/>
      </filters>
    </filterColumn>
  </autoFilter>
  <tableColumns count="10">
    <tableColumn id="1" xr3:uid="{C3137042-2A9F-4EBF-9F8C-C0A907C61C19}" name="Sprint"/>
    <tableColumn id="2" xr3:uid="{43E2B3DD-26CA-4949-84E8-E21CD73D72D3}" name="Id"/>
    <tableColumn id="3" xr3:uid="{ABDC19B3-6514-421F-8D13-731A0754446B}" name="EDT"/>
    <tableColumn id="4" xr3:uid="{E9A5CCD0-7175-4BC1-9FE5-86FB46C3E38A}" name="Nome do Resumo da Tarefa"/>
    <tableColumn id="5" xr3:uid="{D27BDB6F-4AB5-41B3-8513-D220BFDCD51C}" name="Nome da Tarefa"/>
    <tableColumn id="6" xr3:uid="{2800B02F-134F-4B9D-A8CA-A6D9E0CAB5CE}" name="Status"/>
    <tableColumn id="7" xr3:uid="{ED386681-6928-4E71-B343-9BCC094184E1}" name="% concluída" dataDxfId="0"/>
    <tableColumn id="8" xr3:uid="{6B940225-86C7-46C7-8320-EE6ADC3A8846}" name="Nomes dos recursos"/>
    <tableColumn id="9" xr3:uid="{BF7704A3-4295-4660-B66A-1ED22C3F996C}" name="Disciplina"/>
    <tableColumn id="10" xr3:uid="{0C88BE23-802A-4AB1-B5DF-F36BAB3B4E39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1"/>
  <sheetViews>
    <sheetView topLeftCell="P1" workbookViewId="0">
      <selection activeCell="D525" sqref="D525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0.7109375" style="8" bestFit="1" customWidth="1"/>
    <col min="8" max="8" width="13.7109375" style="4" bestFit="1" customWidth="1"/>
    <col min="9" max="9" width="14.5703125" style="8" bestFit="1" customWidth="1"/>
    <col min="10" max="10" width="37.42578125" bestFit="1" customWidth="1"/>
    <col min="11" max="11" width="121" bestFit="1" customWidth="1"/>
    <col min="12" max="12" width="12.42578125" bestFit="1" customWidth="1"/>
    <col min="13" max="13" width="23.42578125" bestFit="1" customWidth="1"/>
    <col min="14" max="14" width="25.85546875" style="8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19" width="14.28515625" style="8" bestFit="1" customWidth="1"/>
    <col min="20" max="20" width="17" style="8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  <c r="G1" s="8" t="s">
        <v>6</v>
      </c>
      <c r="H1" s="4" t="s">
        <v>7</v>
      </c>
      <c r="I1" s="8" t="s">
        <v>8</v>
      </c>
      <c r="J1" t="s">
        <v>9</v>
      </c>
      <c r="K1" t="s">
        <v>10</v>
      </c>
      <c r="L1" t="s">
        <v>11</v>
      </c>
      <c r="M1" t="s">
        <v>12</v>
      </c>
      <c r="N1" s="8" t="s">
        <v>13</v>
      </c>
      <c r="O1" t="s">
        <v>14</v>
      </c>
      <c r="P1" t="s">
        <v>15</v>
      </c>
      <c r="Q1" t="s">
        <v>16</v>
      </c>
      <c r="R1" t="s">
        <v>17</v>
      </c>
      <c r="S1" s="8" t="s">
        <v>18</v>
      </c>
      <c r="T1" s="8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</v>
      </c>
      <c r="D2" t="s">
        <v>33</v>
      </c>
      <c r="E2" t="s">
        <v>34</v>
      </c>
      <c r="F2" s="8">
        <v>46139</v>
      </c>
      <c r="G2" s="8">
        <v>46227</v>
      </c>
      <c r="H2" s="4">
        <v>0.62</v>
      </c>
      <c r="L2" t="s">
        <v>35</v>
      </c>
      <c r="M2" t="s">
        <v>36</v>
      </c>
      <c r="N2" s="8">
        <v>46211</v>
      </c>
      <c r="P2" t="s">
        <v>37</v>
      </c>
      <c r="Q2" t="s">
        <v>38</v>
      </c>
      <c r="R2" t="s">
        <v>39</v>
      </c>
      <c r="S2" s="8">
        <v>46139</v>
      </c>
      <c r="T2" s="8">
        <v>46211</v>
      </c>
      <c r="V2">
        <v>0.62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s="8">
        <v>46161</v>
      </c>
      <c r="G3" s="8">
        <v>46196</v>
      </c>
      <c r="H3" s="4">
        <v>0.5</v>
      </c>
      <c r="L3" t="s">
        <v>35</v>
      </c>
      <c r="M3" t="s">
        <v>44</v>
      </c>
      <c r="N3" s="8">
        <v>46164</v>
      </c>
      <c r="P3" t="s">
        <v>37</v>
      </c>
      <c r="Q3" t="s">
        <v>45</v>
      </c>
      <c r="R3" t="s">
        <v>39</v>
      </c>
      <c r="S3" s="8">
        <v>46161</v>
      </c>
      <c r="T3" s="8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3</v>
      </c>
      <c r="B4" t="s">
        <v>46</v>
      </c>
      <c r="C4" t="s">
        <v>47</v>
      </c>
      <c r="D4" t="s">
        <v>48</v>
      </c>
      <c r="E4" t="s">
        <v>43</v>
      </c>
      <c r="F4" s="8">
        <v>46161</v>
      </c>
      <c r="G4" s="8">
        <v>46196</v>
      </c>
      <c r="H4" s="4">
        <v>0.5</v>
      </c>
      <c r="L4" t="s">
        <v>35</v>
      </c>
      <c r="M4" t="s">
        <v>44</v>
      </c>
      <c r="N4" s="8">
        <v>46164</v>
      </c>
      <c r="P4" t="s">
        <v>49</v>
      </c>
      <c r="Q4" t="s">
        <v>45</v>
      </c>
      <c r="R4" t="s">
        <v>39</v>
      </c>
      <c r="S4" s="8">
        <v>46161</v>
      </c>
      <c r="T4" s="8">
        <v>46164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s="8">
        <v>46178</v>
      </c>
      <c r="G5" s="8">
        <v>46178</v>
      </c>
      <c r="H5" s="4">
        <v>0</v>
      </c>
      <c r="K5" t="s">
        <v>54</v>
      </c>
      <c r="L5" t="s">
        <v>35</v>
      </c>
      <c r="M5" t="s">
        <v>44</v>
      </c>
      <c r="N5" s="8">
        <v>46161</v>
      </c>
      <c r="P5" t="s">
        <v>49</v>
      </c>
      <c r="Q5" t="s">
        <v>38</v>
      </c>
      <c r="R5" t="s">
        <v>55</v>
      </c>
      <c r="S5" s="8">
        <v>46161</v>
      </c>
      <c r="T5" s="8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56</v>
      </c>
      <c r="C6" t="s">
        <v>51</v>
      </c>
      <c r="D6" t="s">
        <v>57</v>
      </c>
      <c r="E6" t="s">
        <v>53</v>
      </c>
      <c r="F6" s="8">
        <v>46161</v>
      </c>
      <c r="G6" s="8">
        <v>46161</v>
      </c>
      <c r="H6" s="4">
        <v>1</v>
      </c>
      <c r="I6" s="8">
        <v>46161</v>
      </c>
      <c r="K6" t="s">
        <v>58</v>
      </c>
      <c r="L6" t="s">
        <v>59</v>
      </c>
      <c r="M6" t="s">
        <v>44</v>
      </c>
      <c r="N6" s="8">
        <v>46161</v>
      </c>
      <c r="P6" t="s">
        <v>49</v>
      </c>
      <c r="Q6" t="s">
        <v>45</v>
      </c>
      <c r="R6" t="s">
        <v>55</v>
      </c>
      <c r="S6" s="8">
        <v>46161</v>
      </c>
      <c r="T6" s="8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60</v>
      </c>
      <c r="C7" t="s">
        <v>51</v>
      </c>
      <c r="D7" t="s">
        <v>61</v>
      </c>
      <c r="E7" t="s">
        <v>53</v>
      </c>
      <c r="F7" s="8">
        <v>46164</v>
      </c>
      <c r="G7" s="8">
        <v>46164</v>
      </c>
      <c r="H7" s="4">
        <v>1</v>
      </c>
      <c r="I7" s="8">
        <v>46164</v>
      </c>
      <c r="K7">
        <v>206</v>
      </c>
      <c r="L7" t="s">
        <v>59</v>
      </c>
      <c r="M7" t="s">
        <v>62</v>
      </c>
      <c r="N7" s="8">
        <v>46164</v>
      </c>
      <c r="P7" t="s">
        <v>49</v>
      </c>
      <c r="Q7" t="s">
        <v>45</v>
      </c>
      <c r="R7" t="s">
        <v>55</v>
      </c>
      <c r="S7" s="8">
        <v>46164</v>
      </c>
      <c r="T7" s="8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7</v>
      </c>
      <c r="B8" t="s">
        <v>63</v>
      </c>
      <c r="C8" t="s">
        <v>51</v>
      </c>
      <c r="D8" t="s">
        <v>64</v>
      </c>
      <c r="E8" t="s">
        <v>53</v>
      </c>
      <c r="F8" s="8">
        <v>46178</v>
      </c>
      <c r="G8" s="8">
        <v>46178</v>
      </c>
      <c r="H8" s="4">
        <v>1</v>
      </c>
      <c r="I8" s="8">
        <v>46178</v>
      </c>
      <c r="K8">
        <v>408</v>
      </c>
      <c r="L8" t="s">
        <v>59</v>
      </c>
      <c r="M8" t="s">
        <v>62</v>
      </c>
      <c r="N8" s="8">
        <v>46164</v>
      </c>
      <c r="P8" t="s">
        <v>49</v>
      </c>
      <c r="Q8" t="s">
        <v>65</v>
      </c>
      <c r="R8" t="s">
        <v>55</v>
      </c>
      <c r="S8" s="8">
        <v>46164</v>
      </c>
      <c r="T8" s="8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66</v>
      </c>
      <c r="C9" t="s">
        <v>51</v>
      </c>
      <c r="D9" t="s">
        <v>67</v>
      </c>
      <c r="E9" t="s">
        <v>53</v>
      </c>
      <c r="F9" s="8">
        <v>46178</v>
      </c>
      <c r="G9" s="8">
        <v>46178</v>
      </c>
      <c r="H9" s="4">
        <v>0</v>
      </c>
      <c r="K9">
        <v>473</v>
      </c>
      <c r="L9" t="s">
        <v>35</v>
      </c>
      <c r="M9" t="s">
        <v>62</v>
      </c>
      <c r="N9" s="8">
        <v>46164</v>
      </c>
      <c r="P9" t="s">
        <v>49</v>
      </c>
      <c r="Q9" t="s">
        <v>65</v>
      </c>
      <c r="R9" t="s">
        <v>55</v>
      </c>
      <c r="S9" s="8">
        <v>46164</v>
      </c>
      <c r="T9" s="8">
        <v>46164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68</v>
      </c>
      <c r="C10" t="s">
        <v>51</v>
      </c>
      <c r="D10" t="s">
        <v>69</v>
      </c>
      <c r="E10" t="s">
        <v>53</v>
      </c>
      <c r="F10" s="8">
        <v>46196</v>
      </c>
      <c r="G10" s="8">
        <v>46196</v>
      </c>
      <c r="H10" s="4">
        <v>0</v>
      </c>
      <c r="K10">
        <v>327</v>
      </c>
      <c r="L10" t="s">
        <v>35</v>
      </c>
      <c r="M10" t="s">
        <v>62</v>
      </c>
      <c r="N10" s="8">
        <v>46164</v>
      </c>
      <c r="P10" t="s">
        <v>49</v>
      </c>
      <c r="Q10" t="s">
        <v>38</v>
      </c>
      <c r="R10" t="s">
        <v>55</v>
      </c>
      <c r="S10" s="8">
        <v>46164</v>
      </c>
      <c r="T10" s="8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70</v>
      </c>
      <c r="C11" t="s">
        <v>41</v>
      </c>
      <c r="D11" t="s">
        <v>71</v>
      </c>
      <c r="E11" t="s">
        <v>34</v>
      </c>
      <c r="F11" s="8">
        <v>46139</v>
      </c>
      <c r="G11" s="8">
        <v>46227</v>
      </c>
      <c r="H11" s="4">
        <v>0.62</v>
      </c>
      <c r="L11" t="s">
        <v>35</v>
      </c>
      <c r="M11" t="s">
        <v>36</v>
      </c>
      <c r="N11" s="8">
        <v>46211</v>
      </c>
      <c r="P11" t="s">
        <v>37</v>
      </c>
      <c r="Q11" t="s">
        <v>38</v>
      </c>
      <c r="R11" t="s">
        <v>39</v>
      </c>
      <c r="S11" s="8">
        <v>46139</v>
      </c>
      <c r="T11" s="8">
        <v>46211</v>
      </c>
      <c r="V11">
        <v>0.62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72</v>
      </c>
      <c r="C12" t="s">
        <v>73</v>
      </c>
      <c r="D12" t="s">
        <v>74</v>
      </c>
      <c r="E12" t="s">
        <v>75</v>
      </c>
      <c r="F12" s="8">
        <v>46139</v>
      </c>
      <c r="G12" s="8">
        <v>46139</v>
      </c>
      <c r="H12" s="4">
        <v>1</v>
      </c>
      <c r="I12" s="8">
        <v>46139</v>
      </c>
      <c r="K12" t="s">
        <v>76</v>
      </c>
      <c r="L12" t="s">
        <v>59</v>
      </c>
      <c r="M12" t="s">
        <v>36</v>
      </c>
      <c r="N12" s="8">
        <v>46139</v>
      </c>
      <c r="P12" t="s">
        <v>37</v>
      </c>
      <c r="Q12" t="s">
        <v>38</v>
      </c>
      <c r="R12" t="s">
        <v>55</v>
      </c>
      <c r="S12" s="8">
        <v>46139</v>
      </c>
      <c r="T12" s="8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77</v>
      </c>
      <c r="C13" t="s">
        <v>73</v>
      </c>
      <c r="D13" t="s">
        <v>78</v>
      </c>
      <c r="E13" t="s">
        <v>79</v>
      </c>
      <c r="F13" s="8">
        <v>46141</v>
      </c>
      <c r="G13" s="8">
        <v>46141</v>
      </c>
      <c r="H13" s="4">
        <v>1</v>
      </c>
      <c r="I13" s="8">
        <v>46141</v>
      </c>
      <c r="L13" t="s">
        <v>59</v>
      </c>
      <c r="M13" t="s">
        <v>80</v>
      </c>
      <c r="N13" s="8">
        <v>46141</v>
      </c>
      <c r="P13" t="s">
        <v>81</v>
      </c>
      <c r="Q13" t="s">
        <v>38</v>
      </c>
      <c r="R13" t="s">
        <v>55</v>
      </c>
      <c r="S13" s="8">
        <v>46141</v>
      </c>
      <c r="T13" s="8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82</v>
      </c>
      <c r="C14" t="s">
        <v>83</v>
      </c>
      <c r="D14" t="s">
        <v>84</v>
      </c>
      <c r="E14" t="s">
        <v>75</v>
      </c>
      <c r="F14" s="8">
        <v>46141</v>
      </c>
      <c r="G14" s="8">
        <v>46141</v>
      </c>
      <c r="H14" s="4">
        <v>1</v>
      </c>
      <c r="I14" s="8">
        <v>46141</v>
      </c>
      <c r="L14" t="s">
        <v>59</v>
      </c>
      <c r="M14" t="s">
        <v>80</v>
      </c>
      <c r="N14" s="8">
        <v>46141</v>
      </c>
      <c r="P14" t="s">
        <v>81</v>
      </c>
      <c r="Q14" t="s">
        <v>38</v>
      </c>
      <c r="R14" t="s">
        <v>55</v>
      </c>
      <c r="S14" s="8">
        <v>46141</v>
      </c>
      <c r="T14" s="8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85</v>
      </c>
      <c r="C15" t="s">
        <v>73</v>
      </c>
      <c r="D15" t="s">
        <v>86</v>
      </c>
      <c r="E15" t="s">
        <v>87</v>
      </c>
      <c r="F15" s="8">
        <v>46139</v>
      </c>
      <c r="G15" s="8">
        <v>46174</v>
      </c>
      <c r="H15" s="4">
        <v>1</v>
      </c>
      <c r="I15" s="8">
        <v>46174</v>
      </c>
      <c r="L15" t="s">
        <v>59</v>
      </c>
      <c r="M15" t="s">
        <v>36</v>
      </c>
      <c r="N15" s="8">
        <v>46161</v>
      </c>
      <c r="P15" t="s">
        <v>88</v>
      </c>
      <c r="Q15" t="s">
        <v>38</v>
      </c>
      <c r="R15" t="s">
        <v>55</v>
      </c>
      <c r="S15" s="8">
        <v>46139</v>
      </c>
      <c r="T15" s="8">
        <v>46161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89</v>
      </c>
      <c r="C16" t="s">
        <v>90</v>
      </c>
      <c r="D16" t="s">
        <v>91</v>
      </c>
      <c r="E16" t="s">
        <v>43</v>
      </c>
      <c r="F16" s="8">
        <v>46139</v>
      </c>
      <c r="G16" s="8">
        <v>46170</v>
      </c>
      <c r="H16" s="4">
        <v>1</v>
      </c>
      <c r="I16" s="8">
        <v>46170</v>
      </c>
      <c r="L16" t="s">
        <v>59</v>
      </c>
      <c r="M16" t="s">
        <v>36</v>
      </c>
      <c r="N16" s="8">
        <v>46161</v>
      </c>
      <c r="P16" t="s">
        <v>88</v>
      </c>
      <c r="Q16" t="s">
        <v>38</v>
      </c>
      <c r="R16" t="s">
        <v>55</v>
      </c>
      <c r="S16" s="8">
        <v>46139</v>
      </c>
      <c r="T16" s="8">
        <v>46161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92</v>
      </c>
      <c r="C17" t="s">
        <v>93</v>
      </c>
      <c r="D17" t="s">
        <v>94</v>
      </c>
      <c r="E17" t="s">
        <v>95</v>
      </c>
      <c r="F17" s="8">
        <v>46139</v>
      </c>
      <c r="G17" s="8">
        <v>46141</v>
      </c>
      <c r="H17" s="4">
        <v>1</v>
      </c>
      <c r="I17" s="8">
        <v>46141</v>
      </c>
      <c r="J17">
        <v>11</v>
      </c>
      <c r="K17" t="s">
        <v>96</v>
      </c>
      <c r="L17" t="s">
        <v>59</v>
      </c>
      <c r="M17" t="s">
        <v>36</v>
      </c>
      <c r="N17" s="8">
        <v>46141</v>
      </c>
      <c r="P17" t="s">
        <v>88</v>
      </c>
      <c r="Q17" t="s">
        <v>38</v>
      </c>
      <c r="R17" t="s">
        <v>55</v>
      </c>
      <c r="S17" s="8">
        <v>46139</v>
      </c>
      <c r="T17" s="8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17</v>
      </c>
      <c r="B18" t="s">
        <v>97</v>
      </c>
      <c r="C18" t="s">
        <v>93</v>
      </c>
      <c r="D18" t="s">
        <v>98</v>
      </c>
      <c r="E18" t="s">
        <v>53</v>
      </c>
      <c r="F18" s="8">
        <v>46142</v>
      </c>
      <c r="G18" s="8">
        <v>46142</v>
      </c>
      <c r="H18" s="4">
        <v>1</v>
      </c>
      <c r="I18" s="8">
        <v>46142</v>
      </c>
      <c r="J18">
        <v>16</v>
      </c>
      <c r="K18" t="s">
        <v>99</v>
      </c>
      <c r="L18" t="s">
        <v>59</v>
      </c>
      <c r="M18" t="s">
        <v>100</v>
      </c>
      <c r="N18" s="8">
        <v>46142</v>
      </c>
      <c r="P18" t="s">
        <v>88</v>
      </c>
      <c r="Q18" t="s">
        <v>38</v>
      </c>
      <c r="R18" t="s">
        <v>55</v>
      </c>
      <c r="S18" s="8">
        <v>46142</v>
      </c>
      <c r="T18" s="8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101</v>
      </c>
      <c r="C19" t="s">
        <v>93</v>
      </c>
      <c r="D19" t="s">
        <v>102</v>
      </c>
      <c r="E19" t="s">
        <v>103</v>
      </c>
      <c r="F19" s="8">
        <v>46148</v>
      </c>
      <c r="G19" s="8">
        <v>46155</v>
      </c>
      <c r="H19" s="4">
        <v>1</v>
      </c>
      <c r="I19" s="8">
        <v>46155</v>
      </c>
      <c r="J19" t="s">
        <v>104</v>
      </c>
      <c r="K19" t="s">
        <v>105</v>
      </c>
      <c r="L19" t="s">
        <v>59</v>
      </c>
      <c r="M19" t="s">
        <v>106</v>
      </c>
      <c r="N19" s="8">
        <v>46155</v>
      </c>
      <c r="P19" t="s">
        <v>88</v>
      </c>
      <c r="Q19" t="s">
        <v>38</v>
      </c>
      <c r="R19" t="s">
        <v>55</v>
      </c>
      <c r="S19" s="8">
        <v>46148</v>
      </c>
      <c r="T19" s="8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19</v>
      </c>
      <c r="B20" t="s">
        <v>107</v>
      </c>
      <c r="C20" t="s">
        <v>93</v>
      </c>
      <c r="D20" t="s">
        <v>108</v>
      </c>
      <c r="E20" t="s">
        <v>53</v>
      </c>
      <c r="F20" s="8">
        <v>46170</v>
      </c>
      <c r="G20" s="8">
        <v>46170</v>
      </c>
      <c r="H20" s="4">
        <v>1</v>
      </c>
      <c r="I20" s="8">
        <v>46170</v>
      </c>
      <c r="J20" t="s">
        <v>109</v>
      </c>
      <c r="L20" t="s">
        <v>59</v>
      </c>
      <c r="M20" t="s">
        <v>44</v>
      </c>
      <c r="N20" s="8">
        <v>46161</v>
      </c>
      <c r="P20" t="s">
        <v>88</v>
      </c>
      <c r="Q20" t="s">
        <v>110</v>
      </c>
      <c r="R20" t="s">
        <v>55</v>
      </c>
      <c r="S20" s="8">
        <v>46161</v>
      </c>
      <c r="T20" s="8">
        <v>46161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 x14ac:dyDescent="0.25">
      <c r="A21">
        <v>20</v>
      </c>
      <c r="B21" t="s">
        <v>111</v>
      </c>
      <c r="C21" t="s">
        <v>90</v>
      </c>
      <c r="D21" t="s">
        <v>112</v>
      </c>
      <c r="E21" t="s">
        <v>113</v>
      </c>
      <c r="F21" s="8">
        <v>46142</v>
      </c>
      <c r="G21" s="8">
        <v>46174</v>
      </c>
      <c r="H21" s="4">
        <v>1</v>
      </c>
      <c r="I21" s="8">
        <v>46174</v>
      </c>
      <c r="L21" t="s">
        <v>59</v>
      </c>
      <c r="M21" t="s">
        <v>100</v>
      </c>
      <c r="N21" s="8">
        <v>46161</v>
      </c>
      <c r="P21" t="s">
        <v>88</v>
      </c>
      <c r="Q21" t="s">
        <v>38</v>
      </c>
      <c r="R21" t="s">
        <v>55</v>
      </c>
      <c r="S21" s="8">
        <v>46142</v>
      </c>
      <c r="T21" s="8">
        <v>46161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21</v>
      </c>
      <c r="B22" t="s">
        <v>114</v>
      </c>
      <c r="C22" t="s">
        <v>115</v>
      </c>
      <c r="D22" t="s">
        <v>94</v>
      </c>
      <c r="E22" t="s">
        <v>95</v>
      </c>
      <c r="F22" s="8">
        <v>46142</v>
      </c>
      <c r="G22" s="8">
        <v>46146</v>
      </c>
      <c r="H22" s="4">
        <v>1</v>
      </c>
      <c r="I22" s="8">
        <v>46146</v>
      </c>
      <c r="J22">
        <v>16</v>
      </c>
      <c r="K22" t="s">
        <v>116</v>
      </c>
      <c r="L22" t="s">
        <v>59</v>
      </c>
      <c r="M22" t="s">
        <v>100</v>
      </c>
      <c r="N22" s="8">
        <v>46146</v>
      </c>
      <c r="P22" t="s">
        <v>88</v>
      </c>
      <c r="Q22" t="s">
        <v>38</v>
      </c>
      <c r="R22" t="s">
        <v>55</v>
      </c>
      <c r="S22" s="8">
        <v>46142</v>
      </c>
      <c r="T22" s="8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22</v>
      </c>
      <c r="B23" t="s">
        <v>117</v>
      </c>
      <c r="C23" t="s">
        <v>115</v>
      </c>
      <c r="D23" t="s">
        <v>98</v>
      </c>
      <c r="E23" t="s">
        <v>53</v>
      </c>
      <c r="F23" s="8">
        <v>46147</v>
      </c>
      <c r="G23" s="8">
        <v>46147</v>
      </c>
      <c r="H23" s="4">
        <v>1</v>
      </c>
      <c r="I23" s="8">
        <v>46147</v>
      </c>
      <c r="J23">
        <v>21</v>
      </c>
      <c r="K23" t="s">
        <v>118</v>
      </c>
      <c r="L23" t="s">
        <v>59</v>
      </c>
      <c r="M23" t="s">
        <v>119</v>
      </c>
      <c r="N23" s="8">
        <v>46147</v>
      </c>
      <c r="P23" t="s">
        <v>88</v>
      </c>
      <c r="Q23" t="s">
        <v>38</v>
      </c>
      <c r="R23" t="s">
        <v>55</v>
      </c>
      <c r="S23" s="8">
        <v>46147</v>
      </c>
      <c r="T23" s="8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23</v>
      </c>
      <c r="B24" t="s">
        <v>120</v>
      </c>
      <c r="C24" t="s">
        <v>115</v>
      </c>
      <c r="D24" t="s">
        <v>102</v>
      </c>
      <c r="E24" t="s">
        <v>121</v>
      </c>
      <c r="F24" s="8">
        <v>46155</v>
      </c>
      <c r="G24" s="8">
        <v>46160</v>
      </c>
      <c r="H24" s="4">
        <v>1</v>
      </c>
      <c r="I24" s="8">
        <v>46160</v>
      </c>
      <c r="J24" t="s">
        <v>122</v>
      </c>
      <c r="K24" t="s">
        <v>123</v>
      </c>
      <c r="L24" t="s">
        <v>59</v>
      </c>
      <c r="M24" t="s">
        <v>124</v>
      </c>
      <c r="N24" s="8">
        <v>46160</v>
      </c>
      <c r="P24" t="s">
        <v>88</v>
      </c>
      <c r="Q24" t="s">
        <v>125</v>
      </c>
      <c r="R24" t="s">
        <v>55</v>
      </c>
      <c r="S24" s="8">
        <v>46155</v>
      </c>
      <c r="T24" s="8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24</v>
      </c>
      <c r="B25" t="s">
        <v>126</v>
      </c>
      <c r="C25" t="s">
        <v>115</v>
      </c>
      <c r="D25" t="s">
        <v>108</v>
      </c>
      <c r="E25" t="s">
        <v>53</v>
      </c>
      <c r="F25" s="8">
        <v>46171</v>
      </c>
      <c r="G25" s="8">
        <v>46174</v>
      </c>
      <c r="H25" s="4">
        <v>1</v>
      </c>
      <c r="I25" s="8">
        <v>46174</v>
      </c>
      <c r="J25" t="s">
        <v>127</v>
      </c>
      <c r="L25" t="s">
        <v>59</v>
      </c>
      <c r="M25" t="s">
        <v>128</v>
      </c>
      <c r="N25" s="8">
        <v>46161</v>
      </c>
      <c r="P25" t="s">
        <v>88</v>
      </c>
      <c r="Q25" t="s">
        <v>110</v>
      </c>
      <c r="R25" t="s">
        <v>55</v>
      </c>
      <c r="S25" s="8">
        <v>46160</v>
      </c>
      <c r="T25" s="8">
        <v>46161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51</v>
      </c>
      <c r="B26" t="s">
        <v>129</v>
      </c>
      <c r="C26" t="s">
        <v>73</v>
      </c>
      <c r="D26" t="s">
        <v>130</v>
      </c>
      <c r="E26" t="s">
        <v>131</v>
      </c>
      <c r="F26" s="8">
        <v>46191</v>
      </c>
      <c r="G26" s="8">
        <v>46216</v>
      </c>
      <c r="H26" s="4">
        <v>0.6</v>
      </c>
      <c r="L26" t="s">
        <v>35</v>
      </c>
      <c r="M26" t="s">
        <v>44</v>
      </c>
      <c r="N26" s="8">
        <v>46198</v>
      </c>
      <c r="P26" t="s">
        <v>132</v>
      </c>
      <c r="Q26" t="s">
        <v>133</v>
      </c>
      <c r="R26" t="s">
        <v>55</v>
      </c>
      <c r="S26" s="8">
        <v>46161</v>
      </c>
      <c r="T26" s="8">
        <v>46198</v>
      </c>
      <c r="V26">
        <v>0.6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62</v>
      </c>
      <c r="B27" t="s">
        <v>134</v>
      </c>
      <c r="C27" t="s">
        <v>135</v>
      </c>
      <c r="D27" t="s">
        <v>136</v>
      </c>
      <c r="E27" t="s">
        <v>131</v>
      </c>
      <c r="F27" s="8">
        <v>46191</v>
      </c>
      <c r="G27" s="8">
        <v>46216</v>
      </c>
      <c r="H27" s="4">
        <v>0.6</v>
      </c>
      <c r="L27" t="s">
        <v>35</v>
      </c>
      <c r="M27" t="s">
        <v>44</v>
      </c>
      <c r="N27" s="8">
        <v>46167</v>
      </c>
      <c r="P27" t="s">
        <v>132</v>
      </c>
      <c r="Q27" t="s">
        <v>133</v>
      </c>
      <c r="R27" t="s">
        <v>55</v>
      </c>
      <c r="S27" s="8">
        <v>46161</v>
      </c>
      <c r="T27" s="8">
        <v>46167</v>
      </c>
      <c r="V27">
        <v>0.6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63</v>
      </c>
      <c r="B28" t="s">
        <v>137</v>
      </c>
      <c r="C28" t="s">
        <v>138</v>
      </c>
      <c r="D28" t="s">
        <v>94</v>
      </c>
      <c r="E28" t="s">
        <v>53</v>
      </c>
      <c r="F28" s="8">
        <v>46191</v>
      </c>
      <c r="G28" s="8">
        <v>46191</v>
      </c>
      <c r="H28" s="4">
        <v>1</v>
      </c>
      <c r="I28" s="8">
        <v>46191</v>
      </c>
      <c r="J28" t="s">
        <v>139</v>
      </c>
      <c r="K28" t="s">
        <v>140</v>
      </c>
      <c r="L28" t="s">
        <v>59</v>
      </c>
      <c r="M28" t="s">
        <v>44</v>
      </c>
      <c r="N28" s="8">
        <v>46161</v>
      </c>
      <c r="P28" t="s">
        <v>132</v>
      </c>
      <c r="Q28" t="s">
        <v>133</v>
      </c>
      <c r="R28" t="s">
        <v>55</v>
      </c>
      <c r="S28" s="8">
        <v>46161</v>
      </c>
      <c r="T28" s="8">
        <v>46161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64</v>
      </c>
      <c r="B29" t="s">
        <v>141</v>
      </c>
      <c r="C29" t="s">
        <v>138</v>
      </c>
      <c r="D29" t="s">
        <v>98</v>
      </c>
      <c r="E29" t="s">
        <v>53</v>
      </c>
      <c r="F29" s="8">
        <v>46192</v>
      </c>
      <c r="G29" s="8">
        <v>46192</v>
      </c>
      <c r="H29" s="4">
        <v>1</v>
      </c>
      <c r="I29" s="8">
        <v>46192</v>
      </c>
      <c r="J29">
        <v>63</v>
      </c>
      <c r="K29">
        <v>65</v>
      </c>
      <c r="L29" t="s">
        <v>59</v>
      </c>
      <c r="M29" t="s">
        <v>142</v>
      </c>
      <c r="N29" s="8">
        <v>46162</v>
      </c>
      <c r="P29" t="s">
        <v>132</v>
      </c>
      <c r="Q29" t="s">
        <v>133</v>
      </c>
      <c r="R29" t="s">
        <v>55</v>
      </c>
      <c r="S29" s="8">
        <v>46162</v>
      </c>
      <c r="T29" s="8">
        <v>46162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65</v>
      </c>
      <c r="B30" t="s">
        <v>143</v>
      </c>
      <c r="C30" t="s">
        <v>138</v>
      </c>
      <c r="D30" t="s">
        <v>102</v>
      </c>
      <c r="E30" t="s">
        <v>121</v>
      </c>
      <c r="F30" s="8">
        <v>46203</v>
      </c>
      <c r="G30" s="8">
        <v>46204</v>
      </c>
      <c r="H30" s="4">
        <v>0.5</v>
      </c>
      <c r="J30">
        <v>64</v>
      </c>
      <c r="K30" t="s">
        <v>144</v>
      </c>
      <c r="L30" t="s">
        <v>35</v>
      </c>
      <c r="M30" t="s">
        <v>145</v>
      </c>
      <c r="N30" s="8">
        <v>46164</v>
      </c>
      <c r="P30" t="s">
        <v>132</v>
      </c>
      <c r="Q30" t="s">
        <v>146</v>
      </c>
      <c r="R30" t="s">
        <v>55</v>
      </c>
      <c r="S30" s="8">
        <v>46163</v>
      </c>
      <c r="T30" s="8">
        <v>46164</v>
      </c>
      <c r="V30">
        <v>0.5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 x14ac:dyDescent="0.25">
      <c r="A31">
        <v>66</v>
      </c>
      <c r="B31" t="s">
        <v>147</v>
      </c>
      <c r="C31" t="s">
        <v>138</v>
      </c>
      <c r="D31" t="s">
        <v>108</v>
      </c>
      <c r="E31" t="s">
        <v>53</v>
      </c>
      <c r="F31" s="8">
        <v>46216</v>
      </c>
      <c r="G31" s="8">
        <v>46216</v>
      </c>
      <c r="H31" s="4">
        <v>0</v>
      </c>
      <c r="J31" t="s">
        <v>148</v>
      </c>
      <c r="L31" t="s">
        <v>35</v>
      </c>
      <c r="M31" t="s">
        <v>149</v>
      </c>
      <c r="N31" s="8">
        <v>46167</v>
      </c>
      <c r="P31" t="s">
        <v>132</v>
      </c>
      <c r="Q31" t="s">
        <v>150</v>
      </c>
      <c r="R31" t="s">
        <v>55</v>
      </c>
      <c r="S31" s="8">
        <v>46167</v>
      </c>
      <c r="T31" s="8">
        <v>46167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</row>
    <row r="32" spans="1:33" x14ac:dyDescent="0.25">
      <c r="A32">
        <v>67</v>
      </c>
      <c r="B32" t="s">
        <v>151</v>
      </c>
      <c r="C32" t="s">
        <v>73</v>
      </c>
      <c r="D32" t="s">
        <v>152</v>
      </c>
      <c r="E32" t="s">
        <v>153</v>
      </c>
      <c r="F32" s="8">
        <v>46157</v>
      </c>
      <c r="G32" s="8">
        <v>46224</v>
      </c>
      <c r="H32" s="4">
        <v>0.51</v>
      </c>
      <c r="L32" t="s">
        <v>35</v>
      </c>
      <c r="M32" t="s">
        <v>44</v>
      </c>
      <c r="N32" s="8">
        <v>46211</v>
      </c>
      <c r="P32" t="s">
        <v>154</v>
      </c>
      <c r="Q32" t="s">
        <v>125</v>
      </c>
      <c r="R32" t="s">
        <v>55</v>
      </c>
      <c r="S32" s="8">
        <v>46161</v>
      </c>
      <c r="T32" s="8">
        <v>46211</v>
      </c>
      <c r="V32">
        <v>0.51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78</v>
      </c>
      <c r="B33" t="s">
        <v>155</v>
      </c>
      <c r="C33" t="s">
        <v>156</v>
      </c>
      <c r="D33" t="s">
        <v>157</v>
      </c>
      <c r="E33" t="s">
        <v>158</v>
      </c>
      <c r="F33" s="8">
        <v>46171</v>
      </c>
      <c r="G33" s="8">
        <v>46192</v>
      </c>
      <c r="H33" s="4">
        <v>1</v>
      </c>
      <c r="I33" s="8">
        <v>46192</v>
      </c>
      <c r="L33" t="s">
        <v>59</v>
      </c>
      <c r="M33" t="s">
        <v>44</v>
      </c>
      <c r="N33" s="8">
        <v>46168</v>
      </c>
      <c r="P33" t="s">
        <v>154</v>
      </c>
      <c r="Q33" t="s">
        <v>110</v>
      </c>
      <c r="R33" t="s">
        <v>55</v>
      </c>
      <c r="S33" s="8">
        <v>46161</v>
      </c>
      <c r="T33" s="8">
        <v>46168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79</v>
      </c>
      <c r="B34" t="s">
        <v>159</v>
      </c>
      <c r="C34" t="s">
        <v>160</v>
      </c>
      <c r="D34" t="s">
        <v>94</v>
      </c>
      <c r="E34" t="s">
        <v>121</v>
      </c>
      <c r="F34" s="8">
        <v>46171</v>
      </c>
      <c r="G34" s="8">
        <v>46174</v>
      </c>
      <c r="H34" s="4">
        <v>1</v>
      </c>
      <c r="I34" s="8">
        <v>46174</v>
      </c>
      <c r="J34" t="s">
        <v>161</v>
      </c>
      <c r="K34" t="s">
        <v>162</v>
      </c>
      <c r="L34" t="s">
        <v>59</v>
      </c>
      <c r="M34" t="s">
        <v>44</v>
      </c>
      <c r="N34" s="8">
        <v>46162</v>
      </c>
      <c r="P34" t="s">
        <v>154</v>
      </c>
      <c r="Q34" t="s">
        <v>110</v>
      </c>
      <c r="R34" t="s">
        <v>55</v>
      </c>
      <c r="S34" s="8">
        <v>46161</v>
      </c>
      <c r="T34" s="8">
        <v>46162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</row>
    <row r="35" spans="1:33" x14ac:dyDescent="0.25">
      <c r="A35">
        <v>80</v>
      </c>
      <c r="B35" t="s">
        <v>163</v>
      </c>
      <c r="C35" t="s">
        <v>160</v>
      </c>
      <c r="D35" t="s">
        <v>98</v>
      </c>
      <c r="E35" t="s">
        <v>53</v>
      </c>
      <c r="F35" s="8">
        <v>46175</v>
      </c>
      <c r="G35" s="8">
        <v>46175</v>
      </c>
      <c r="H35" s="4">
        <v>1</v>
      </c>
      <c r="I35" s="8">
        <v>46175</v>
      </c>
      <c r="J35">
        <v>79</v>
      </c>
      <c r="K35">
        <v>81</v>
      </c>
      <c r="L35" t="s">
        <v>59</v>
      </c>
      <c r="M35" t="s">
        <v>145</v>
      </c>
      <c r="N35" s="8">
        <v>46163</v>
      </c>
      <c r="P35" t="s">
        <v>154</v>
      </c>
      <c r="Q35" t="s">
        <v>110</v>
      </c>
      <c r="R35" t="s">
        <v>55</v>
      </c>
      <c r="S35" s="8">
        <v>46163</v>
      </c>
      <c r="T35" s="8">
        <v>46163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81</v>
      </c>
      <c r="B36" t="s">
        <v>164</v>
      </c>
      <c r="C36" t="s">
        <v>160</v>
      </c>
      <c r="D36" t="s">
        <v>102</v>
      </c>
      <c r="E36" t="s">
        <v>121</v>
      </c>
      <c r="F36" s="8">
        <v>46176</v>
      </c>
      <c r="G36" s="8">
        <v>46181</v>
      </c>
      <c r="H36" s="4">
        <v>1</v>
      </c>
      <c r="I36" s="8">
        <v>46181</v>
      </c>
      <c r="J36">
        <v>80</v>
      </c>
      <c r="K36" t="s">
        <v>165</v>
      </c>
      <c r="L36" t="s">
        <v>59</v>
      </c>
      <c r="M36" t="s">
        <v>62</v>
      </c>
      <c r="N36" s="8">
        <v>46167</v>
      </c>
      <c r="P36" t="s">
        <v>154</v>
      </c>
      <c r="Q36" t="s">
        <v>110</v>
      </c>
      <c r="R36" t="s">
        <v>55</v>
      </c>
      <c r="S36" s="8">
        <v>46164</v>
      </c>
      <c r="T36" s="8">
        <v>46167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82</v>
      </c>
      <c r="B37" t="s">
        <v>166</v>
      </c>
      <c r="C37" t="s">
        <v>160</v>
      </c>
      <c r="D37" t="s">
        <v>108</v>
      </c>
      <c r="E37" t="s">
        <v>53</v>
      </c>
      <c r="F37" s="8">
        <v>46192</v>
      </c>
      <c r="G37" s="8">
        <v>46192</v>
      </c>
      <c r="H37" s="4">
        <v>1</v>
      </c>
      <c r="I37" s="8">
        <v>46192</v>
      </c>
      <c r="J37">
        <v>81</v>
      </c>
      <c r="L37" t="s">
        <v>59</v>
      </c>
      <c r="M37" t="s">
        <v>167</v>
      </c>
      <c r="N37" s="8">
        <v>46168</v>
      </c>
      <c r="P37" t="s">
        <v>154</v>
      </c>
      <c r="Q37" t="s">
        <v>168</v>
      </c>
      <c r="R37" t="s">
        <v>55</v>
      </c>
      <c r="S37" s="8">
        <v>46168</v>
      </c>
      <c r="T37" s="8">
        <v>46168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</row>
    <row r="38" spans="1:33" x14ac:dyDescent="0.25">
      <c r="A38">
        <v>83</v>
      </c>
      <c r="B38" t="s">
        <v>169</v>
      </c>
      <c r="C38" t="s">
        <v>156</v>
      </c>
      <c r="D38" t="s">
        <v>170</v>
      </c>
      <c r="E38" t="s">
        <v>171</v>
      </c>
      <c r="F38" s="8">
        <v>46206</v>
      </c>
      <c r="G38" s="8">
        <v>46219</v>
      </c>
      <c r="H38" s="4">
        <v>0.5</v>
      </c>
      <c r="L38" t="s">
        <v>35</v>
      </c>
      <c r="M38" t="s">
        <v>172</v>
      </c>
      <c r="N38" s="8">
        <v>46178</v>
      </c>
      <c r="P38" t="s">
        <v>154</v>
      </c>
      <c r="Q38" t="s">
        <v>133</v>
      </c>
      <c r="R38" t="s">
        <v>55</v>
      </c>
      <c r="S38" s="8">
        <v>46170</v>
      </c>
      <c r="T38" s="8">
        <v>46178</v>
      </c>
      <c r="V38">
        <v>0.5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84</v>
      </c>
      <c r="B39" t="s">
        <v>173</v>
      </c>
      <c r="C39" t="s">
        <v>174</v>
      </c>
      <c r="D39" t="s">
        <v>94</v>
      </c>
      <c r="E39" t="s">
        <v>175</v>
      </c>
      <c r="F39" s="8">
        <v>46206</v>
      </c>
      <c r="G39" s="8">
        <v>46211</v>
      </c>
      <c r="H39" s="4">
        <v>1</v>
      </c>
      <c r="I39" s="8">
        <v>46211</v>
      </c>
      <c r="J39">
        <v>74</v>
      </c>
      <c r="K39">
        <v>85</v>
      </c>
      <c r="L39" t="s">
        <v>59</v>
      </c>
      <c r="M39" t="s">
        <v>172</v>
      </c>
      <c r="N39" s="8">
        <v>46174</v>
      </c>
      <c r="P39" t="s">
        <v>154</v>
      </c>
      <c r="Q39" t="s">
        <v>133</v>
      </c>
      <c r="R39" t="s">
        <v>55</v>
      </c>
      <c r="S39" s="8">
        <v>46170</v>
      </c>
      <c r="T39" s="8">
        <v>46174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85</v>
      </c>
      <c r="B40" t="s">
        <v>176</v>
      </c>
      <c r="C40" t="s">
        <v>174</v>
      </c>
      <c r="D40" t="s">
        <v>98</v>
      </c>
      <c r="E40" t="s">
        <v>53</v>
      </c>
      <c r="F40" s="8">
        <v>46216</v>
      </c>
      <c r="G40" s="8">
        <v>46216</v>
      </c>
      <c r="H40" s="4">
        <v>0</v>
      </c>
      <c r="J40">
        <v>84</v>
      </c>
      <c r="K40">
        <v>86</v>
      </c>
      <c r="L40" t="s">
        <v>35</v>
      </c>
      <c r="M40" t="s">
        <v>177</v>
      </c>
      <c r="N40" s="8">
        <v>46175</v>
      </c>
      <c r="P40" t="s">
        <v>154</v>
      </c>
      <c r="Q40" t="s">
        <v>178</v>
      </c>
      <c r="R40" t="s">
        <v>55</v>
      </c>
      <c r="S40" s="8">
        <v>46175</v>
      </c>
      <c r="T40" s="8">
        <v>46175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86</v>
      </c>
      <c r="B41" t="s">
        <v>179</v>
      </c>
      <c r="C41" t="s">
        <v>174</v>
      </c>
      <c r="D41" t="s">
        <v>102</v>
      </c>
      <c r="E41" t="s">
        <v>121</v>
      </c>
      <c r="F41" s="8">
        <v>46217</v>
      </c>
      <c r="G41" s="8">
        <v>46218</v>
      </c>
      <c r="H41" s="4">
        <v>0</v>
      </c>
      <c r="J41">
        <v>85</v>
      </c>
      <c r="K41">
        <v>87</v>
      </c>
      <c r="L41" t="s">
        <v>180</v>
      </c>
      <c r="M41" t="s">
        <v>181</v>
      </c>
      <c r="N41" s="8">
        <v>46177</v>
      </c>
      <c r="P41" t="s">
        <v>154</v>
      </c>
      <c r="Q41" t="s">
        <v>178</v>
      </c>
      <c r="R41" t="s">
        <v>55</v>
      </c>
      <c r="S41" s="8">
        <v>46176</v>
      </c>
      <c r="T41" s="8">
        <v>46177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87</v>
      </c>
      <c r="B42" t="s">
        <v>182</v>
      </c>
      <c r="C42" t="s">
        <v>174</v>
      </c>
      <c r="D42" t="s">
        <v>108</v>
      </c>
      <c r="E42" t="s">
        <v>53</v>
      </c>
      <c r="F42" s="8">
        <v>46219</v>
      </c>
      <c r="G42" s="8">
        <v>46219</v>
      </c>
      <c r="H42" s="4">
        <v>0</v>
      </c>
      <c r="J42">
        <v>86</v>
      </c>
      <c r="L42" t="s">
        <v>183</v>
      </c>
      <c r="M42" t="s">
        <v>184</v>
      </c>
      <c r="N42" s="8">
        <v>46178</v>
      </c>
      <c r="P42" t="s">
        <v>154</v>
      </c>
      <c r="Q42" t="s">
        <v>178</v>
      </c>
      <c r="R42" t="s">
        <v>55</v>
      </c>
      <c r="S42" s="8">
        <v>46178</v>
      </c>
      <c r="T42" s="8">
        <v>46178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88</v>
      </c>
      <c r="B43" t="s">
        <v>185</v>
      </c>
      <c r="C43" t="s">
        <v>156</v>
      </c>
      <c r="D43" t="s">
        <v>186</v>
      </c>
      <c r="E43" t="s">
        <v>187</v>
      </c>
      <c r="F43" s="8">
        <v>46216</v>
      </c>
      <c r="G43" s="8">
        <v>46224</v>
      </c>
      <c r="H43" s="4">
        <v>0</v>
      </c>
      <c r="L43" t="s">
        <v>35</v>
      </c>
      <c r="M43" t="s">
        <v>188</v>
      </c>
      <c r="N43" s="8">
        <v>46211</v>
      </c>
      <c r="P43" t="s">
        <v>154</v>
      </c>
      <c r="Q43" t="s">
        <v>146</v>
      </c>
      <c r="R43" t="s">
        <v>55</v>
      </c>
      <c r="S43" s="8">
        <v>46195</v>
      </c>
      <c r="T43" s="8">
        <v>46211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89</v>
      </c>
      <c r="B44" t="s">
        <v>189</v>
      </c>
      <c r="C44" t="s">
        <v>190</v>
      </c>
      <c r="D44" t="s">
        <v>94</v>
      </c>
      <c r="E44" t="s">
        <v>95</v>
      </c>
      <c r="F44" s="8">
        <v>46216</v>
      </c>
      <c r="G44" s="8">
        <v>46219</v>
      </c>
      <c r="H44" s="4">
        <v>0</v>
      </c>
      <c r="J44">
        <v>331</v>
      </c>
      <c r="K44">
        <v>90</v>
      </c>
      <c r="L44" t="s">
        <v>35</v>
      </c>
      <c r="M44" t="s">
        <v>188</v>
      </c>
      <c r="N44" s="8">
        <v>46205</v>
      </c>
      <c r="P44" t="s">
        <v>154</v>
      </c>
      <c r="Q44" t="s">
        <v>146</v>
      </c>
      <c r="R44" t="s">
        <v>55</v>
      </c>
      <c r="S44" s="8">
        <v>46195</v>
      </c>
      <c r="T44" s="8">
        <v>46205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>
        <v>90</v>
      </c>
      <c r="B45" t="s">
        <v>191</v>
      </c>
      <c r="C45" t="s">
        <v>190</v>
      </c>
      <c r="D45" t="s">
        <v>98</v>
      </c>
      <c r="E45" t="s">
        <v>53</v>
      </c>
      <c r="F45" s="8">
        <v>46219</v>
      </c>
      <c r="G45" s="8">
        <v>46220</v>
      </c>
      <c r="H45" s="4">
        <v>0</v>
      </c>
      <c r="J45">
        <v>89</v>
      </c>
      <c r="K45">
        <v>91</v>
      </c>
      <c r="L45" t="s">
        <v>183</v>
      </c>
      <c r="M45" t="s">
        <v>192</v>
      </c>
      <c r="N45" s="8">
        <v>46206</v>
      </c>
      <c r="P45" t="s">
        <v>154</v>
      </c>
      <c r="Q45" t="s">
        <v>146</v>
      </c>
      <c r="R45" t="s">
        <v>55</v>
      </c>
      <c r="S45" s="8">
        <v>46206</v>
      </c>
      <c r="T45" s="8">
        <v>46206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91</v>
      </c>
      <c r="B46" t="s">
        <v>193</v>
      </c>
      <c r="C46" t="s">
        <v>190</v>
      </c>
      <c r="D46" t="s">
        <v>102</v>
      </c>
      <c r="E46" t="s">
        <v>53</v>
      </c>
      <c r="F46" s="8">
        <v>46220</v>
      </c>
      <c r="G46" s="8">
        <v>46223</v>
      </c>
      <c r="H46" s="4">
        <v>0</v>
      </c>
      <c r="J46">
        <v>90</v>
      </c>
      <c r="K46">
        <v>92</v>
      </c>
      <c r="L46" t="s">
        <v>183</v>
      </c>
      <c r="M46" t="s">
        <v>194</v>
      </c>
      <c r="N46" s="8">
        <v>46210</v>
      </c>
      <c r="P46" t="s">
        <v>154</v>
      </c>
      <c r="Q46" t="s">
        <v>146</v>
      </c>
      <c r="R46" t="s">
        <v>55</v>
      </c>
      <c r="S46" s="8">
        <v>46209</v>
      </c>
      <c r="T46" s="8">
        <v>46210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92</v>
      </c>
      <c r="B47" t="s">
        <v>195</v>
      </c>
      <c r="C47" t="s">
        <v>190</v>
      </c>
      <c r="D47" t="s">
        <v>108</v>
      </c>
      <c r="E47" t="s">
        <v>53</v>
      </c>
      <c r="F47" s="8">
        <v>46223</v>
      </c>
      <c r="G47" s="8">
        <v>46224</v>
      </c>
      <c r="H47" s="4">
        <v>0</v>
      </c>
      <c r="J47">
        <v>91</v>
      </c>
      <c r="L47" t="s">
        <v>183</v>
      </c>
      <c r="M47" t="s">
        <v>196</v>
      </c>
      <c r="N47" s="8">
        <v>46211</v>
      </c>
      <c r="P47" t="s">
        <v>154</v>
      </c>
      <c r="Q47" t="s">
        <v>150</v>
      </c>
      <c r="R47" t="s">
        <v>55</v>
      </c>
      <c r="S47" s="8">
        <v>46211</v>
      </c>
      <c r="T47" s="8">
        <v>46211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93</v>
      </c>
      <c r="B48" t="s">
        <v>197</v>
      </c>
      <c r="C48" t="s">
        <v>156</v>
      </c>
      <c r="D48" t="s">
        <v>198</v>
      </c>
      <c r="E48" t="s">
        <v>187</v>
      </c>
      <c r="F48" s="8">
        <v>46216</v>
      </c>
      <c r="G48" s="8">
        <v>46224</v>
      </c>
      <c r="H48" s="4">
        <v>0</v>
      </c>
      <c r="L48" t="s">
        <v>35</v>
      </c>
      <c r="M48" t="s">
        <v>188</v>
      </c>
      <c r="N48" s="8">
        <v>46211</v>
      </c>
      <c r="P48" t="s">
        <v>154</v>
      </c>
      <c r="Q48" t="s">
        <v>146</v>
      </c>
      <c r="R48" t="s">
        <v>55</v>
      </c>
      <c r="S48" s="8">
        <v>46195</v>
      </c>
      <c r="T48" s="8">
        <v>46211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94</v>
      </c>
      <c r="B49" t="s">
        <v>199</v>
      </c>
      <c r="C49" t="s">
        <v>200</v>
      </c>
      <c r="D49" t="s">
        <v>94</v>
      </c>
      <c r="E49" t="s">
        <v>95</v>
      </c>
      <c r="F49" s="8">
        <v>46216</v>
      </c>
      <c r="G49" s="8">
        <v>46219</v>
      </c>
      <c r="H49" s="4">
        <v>0</v>
      </c>
      <c r="J49">
        <v>331</v>
      </c>
      <c r="K49">
        <v>95</v>
      </c>
      <c r="L49" t="s">
        <v>35</v>
      </c>
      <c r="M49" t="s">
        <v>188</v>
      </c>
      <c r="N49" s="8">
        <v>46205</v>
      </c>
      <c r="P49" t="s">
        <v>154</v>
      </c>
      <c r="Q49" t="s">
        <v>146</v>
      </c>
      <c r="R49" t="s">
        <v>55</v>
      </c>
      <c r="S49" s="8">
        <v>46195</v>
      </c>
      <c r="T49" s="8">
        <v>46205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95</v>
      </c>
      <c r="B50" t="s">
        <v>201</v>
      </c>
      <c r="C50" t="s">
        <v>200</v>
      </c>
      <c r="D50" t="s">
        <v>98</v>
      </c>
      <c r="E50" t="s">
        <v>53</v>
      </c>
      <c r="F50" s="8">
        <v>46219</v>
      </c>
      <c r="G50" s="8">
        <v>46220</v>
      </c>
      <c r="H50" s="4">
        <v>0</v>
      </c>
      <c r="J50">
        <v>94</v>
      </c>
      <c r="K50">
        <v>96</v>
      </c>
      <c r="L50" t="s">
        <v>183</v>
      </c>
      <c r="M50" t="s">
        <v>192</v>
      </c>
      <c r="N50" s="8">
        <v>46206</v>
      </c>
      <c r="P50" t="s">
        <v>154</v>
      </c>
      <c r="Q50" t="s">
        <v>146</v>
      </c>
      <c r="R50" t="s">
        <v>55</v>
      </c>
      <c r="S50" s="8">
        <v>46206</v>
      </c>
      <c r="T50" s="8">
        <v>46206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>
        <v>96</v>
      </c>
      <c r="B51" t="s">
        <v>202</v>
      </c>
      <c r="C51" t="s">
        <v>200</v>
      </c>
      <c r="D51" t="s">
        <v>102</v>
      </c>
      <c r="E51" t="s">
        <v>53</v>
      </c>
      <c r="F51" s="8">
        <v>46220</v>
      </c>
      <c r="G51" s="8">
        <v>46223</v>
      </c>
      <c r="H51" s="4">
        <v>0</v>
      </c>
      <c r="J51">
        <v>95</v>
      </c>
      <c r="K51">
        <v>97</v>
      </c>
      <c r="L51" t="s">
        <v>183</v>
      </c>
      <c r="M51" t="s">
        <v>194</v>
      </c>
      <c r="N51" s="8">
        <v>46210</v>
      </c>
      <c r="P51" t="s">
        <v>154</v>
      </c>
      <c r="Q51" t="s">
        <v>146</v>
      </c>
      <c r="R51" t="s">
        <v>55</v>
      </c>
      <c r="S51" s="8">
        <v>46209</v>
      </c>
      <c r="T51" s="8">
        <v>46210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97</v>
      </c>
      <c r="B52" t="s">
        <v>203</v>
      </c>
      <c r="C52" t="s">
        <v>200</v>
      </c>
      <c r="D52" t="s">
        <v>108</v>
      </c>
      <c r="E52" t="s">
        <v>53</v>
      </c>
      <c r="F52" s="8">
        <v>46223</v>
      </c>
      <c r="G52" s="8">
        <v>46224</v>
      </c>
      <c r="H52" s="4">
        <v>0</v>
      </c>
      <c r="J52">
        <v>96</v>
      </c>
      <c r="L52" t="s">
        <v>183</v>
      </c>
      <c r="M52" t="s">
        <v>196</v>
      </c>
      <c r="N52" s="8">
        <v>46211</v>
      </c>
      <c r="P52" t="s">
        <v>154</v>
      </c>
      <c r="Q52" t="s">
        <v>150</v>
      </c>
      <c r="R52" t="s">
        <v>55</v>
      </c>
      <c r="S52" s="8">
        <v>46211</v>
      </c>
      <c r="T52" s="8">
        <v>46211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98</v>
      </c>
      <c r="B53" t="s">
        <v>204</v>
      </c>
      <c r="C53" t="s">
        <v>156</v>
      </c>
      <c r="D53" t="s">
        <v>205</v>
      </c>
      <c r="E53" t="s">
        <v>187</v>
      </c>
      <c r="F53" s="8">
        <v>46216</v>
      </c>
      <c r="G53" s="8">
        <v>46224</v>
      </c>
      <c r="H53" s="4">
        <v>0</v>
      </c>
      <c r="L53" t="s">
        <v>35</v>
      </c>
      <c r="M53" t="s">
        <v>188</v>
      </c>
      <c r="N53" s="8">
        <v>46211</v>
      </c>
      <c r="P53" t="s">
        <v>154</v>
      </c>
      <c r="Q53" t="s">
        <v>146</v>
      </c>
      <c r="R53" t="s">
        <v>55</v>
      </c>
      <c r="S53" s="8">
        <v>46195</v>
      </c>
      <c r="T53" s="8">
        <v>46211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99</v>
      </c>
      <c r="B54" t="s">
        <v>206</v>
      </c>
      <c r="C54" t="s">
        <v>207</v>
      </c>
      <c r="D54" t="s">
        <v>94</v>
      </c>
      <c r="E54" t="s">
        <v>95</v>
      </c>
      <c r="F54" s="8">
        <v>46216</v>
      </c>
      <c r="G54" s="8">
        <v>46219</v>
      </c>
      <c r="H54" s="4">
        <v>0</v>
      </c>
      <c r="J54">
        <v>331</v>
      </c>
      <c r="K54">
        <v>100</v>
      </c>
      <c r="L54" t="s">
        <v>35</v>
      </c>
      <c r="M54" t="s">
        <v>188</v>
      </c>
      <c r="N54" s="8">
        <v>46205</v>
      </c>
      <c r="P54" t="s">
        <v>154</v>
      </c>
      <c r="Q54" t="s">
        <v>146</v>
      </c>
      <c r="R54" t="s">
        <v>55</v>
      </c>
      <c r="S54" s="8">
        <v>46195</v>
      </c>
      <c r="T54" s="8">
        <v>46205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100</v>
      </c>
      <c r="B55" t="s">
        <v>208</v>
      </c>
      <c r="C55" t="s">
        <v>207</v>
      </c>
      <c r="D55" t="s">
        <v>98</v>
      </c>
      <c r="E55" t="s">
        <v>53</v>
      </c>
      <c r="F55" s="8">
        <v>46219</v>
      </c>
      <c r="G55" s="8">
        <v>46220</v>
      </c>
      <c r="H55" s="4">
        <v>0</v>
      </c>
      <c r="J55">
        <v>99</v>
      </c>
      <c r="K55">
        <v>101</v>
      </c>
      <c r="L55" t="s">
        <v>183</v>
      </c>
      <c r="M55" t="s">
        <v>192</v>
      </c>
      <c r="N55" s="8">
        <v>46206</v>
      </c>
      <c r="P55" t="s">
        <v>154</v>
      </c>
      <c r="Q55" t="s">
        <v>146</v>
      </c>
      <c r="R55" t="s">
        <v>55</v>
      </c>
      <c r="S55" s="8">
        <v>46206</v>
      </c>
      <c r="T55" s="8">
        <v>46206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101</v>
      </c>
      <c r="B56" t="s">
        <v>209</v>
      </c>
      <c r="C56" t="s">
        <v>207</v>
      </c>
      <c r="D56" t="s">
        <v>102</v>
      </c>
      <c r="E56" t="s">
        <v>53</v>
      </c>
      <c r="F56" s="8">
        <v>46220</v>
      </c>
      <c r="G56" s="8">
        <v>46223</v>
      </c>
      <c r="H56" s="4">
        <v>0</v>
      </c>
      <c r="J56">
        <v>100</v>
      </c>
      <c r="K56">
        <v>102</v>
      </c>
      <c r="L56" t="s">
        <v>183</v>
      </c>
      <c r="M56" t="s">
        <v>194</v>
      </c>
      <c r="N56" s="8">
        <v>46210</v>
      </c>
      <c r="P56" t="s">
        <v>154</v>
      </c>
      <c r="Q56" t="s">
        <v>146</v>
      </c>
      <c r="R56" t="s">
        <v>55</v>
      </c>
      <c r="S56" s="8">
        <v>46209</v>
      </c>
      <c r="T56" s="8">
        <v>46210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102</v>
      </c>
      <c r="B57" t="s">
        <v>210</v>
      </c>
      <c r="C57" t="s">
        <v>207</v>
      </c>
      <c r="D57" t="s">
        <v>108</v>
      </c>
      <c r="E57" t="s">
        <v>53</v>
      </c>
      <c r="F57" s="8">
        <v>46223</v>
      </c>
      <c r="G57" s="8">
        <v>46224</v>
      </c>
      <c r="H57" s="4">
        <v>0</v>
      </c>
      <c r="J57">
        <v>101</v>
      </c>
      <c r="L57" t="s">
        <v>183</v>
      </c>
      <c r="M57" t="s">
        <v>196</v>
      </c>
      <c r="N57" s="8">
        <v>46211</v>
      </c>
      <c r="P57" t="s">
        <v>154</v>
      </c>
      <c r="Q57" t="s">
        <v>150</v>
      </c>
      <c r="R57" t="s">
        <v>55</v>
      </c>
      <c r="S57" s="8">
        <v>46211</v>
      </c>
      <c r="T57" s="8">
        <v>46211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>
        <v>103</v>
      </c>
      <c r="B58" t="s">
        <v>211</v>
      </c>
      <c r="C58" t="s">
        <v>156</v>
      </c>
      <c r="D58" t="s">
        <v>212</v>
      </c>
      <c r="E58" t="s">
        <v>187</v>
      </c>
      <c r="F58" s="8">
        <v>46216</v>
      </c>
      <c r="G58" s="8">
        <v>46224</v>
      </c>
      <c r="H58" s="4">
        <v>0</v>
      </c>
      <c r="L58" t="s">
        <v>35</v>
      </c>
      <c r="M58" t="s">
        <v>188</v>
      </c>
      <c r="N58" s="8">
        <v>46211</v>
      </c>
      <c r="P58" t="s">
        <v>154</v>
      </c>
      <c r="Q58" t="s">
        <v>146</v>
      </c>
      <c r="R58" t="s">
        <v>55</v>
      </c>
      <c r="S58" s="8">
        <v>46195</v>
      </c>
      <c r="T58" s="8">
        <v>46211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104</v>
      </c>
      <c r="B59" t="s">
        <v>213</v>
      </c>
      <c r="C59" t="s">
        <v>214</v>
      </c>
      <c r="D59" t="s">
        <v>94</v>
      </c>
      <c r="E59" t="s">
        <v>95</v>
      </c>
      <c r="F59" s="8">
        <v>46216</v>
      </c>
      <c r="G59" s="8">
        <v>46219</v>
      </c>
      <c r="H59" s="4">
        <v>0</v>
      </c>
      <c r="J59">
        <v>331</v>
      </c>
      <c r="K59">
        <v>105</v>
      </c>
      <c r="L59" t="s">
        <v>35</v>
      </c>
      <c r="M59" t="s">
        <v>188</v>
      </c>
      <c r="N59" s="8">
        <v>46205</v>
      </c>
      <c r="P59" t="s">
        <v>154</v>
      </c>
      <c r="Q59" t="s">
        <v>146</v>
      </c>
      <c r="R59" t="s">
        <v>55</v>
      </c>
      <c r="S59" s="8">
        <v>46195</v>
      </c>
      <c r="T59" s="8">
        <v>46205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105</v>
      </c>
      <c r="B60" t="s">
        <v>215</v>
      </c>
      <c r="C60" t="s">
        <v>214</v>
      </c>
      <c r="D60" t="s">
        <v>98</v>
      </c>
      <c r="E60" t="s">
        <v>53</v>
      </c>
      <c r="F60" s="8">
        <v>46219</v>
      </c>
      <c r="G60" s="8">
        <v>46220</v>
      </c>
      <c r="H60" s="4">
        <v>0</v>
      </c>
      <c r="J60">
        <v>104</v>
      </c>
      <c r="K60">
        <v>106</v>
      </c>
      <c r="L60" t="s">
        <v>183</v>
      </c>
      <c r="M60" t="s">
        <v>192</v>
      </c>
      <c r="N60" s="8">
        <v>46206</v>
      </c>
      <c r="P60" t="s">
        <v>154</v>
      </c>
      <c r="Q60" t="s">
        <v>146</v>
      </c>
      <c r="R60" t="s">
        <v>55</v>
      </c>
      <c r="S60" s="8">
        <v>46206</v>
      </c>
      <c r="T60" s="8">
        <v>46206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106</v>
      </c>
      <c r="B61" t="s">
        <v>216</v>
      </c>
      <c r="C61" t="s">
        <v>214</v>
      </c>
      <c r="D61" t="s">
        <v>102</v>
      </c>
      <c r="E61" t="s">
        <v>53</v>
      </c>
      <c r="F61" s="8">
        <v>46220</v>
      </c>
      <c r="G61" s="8">
        <v>46223</v>
      </c>
      <c r="H61" s="4">
        <v>0</v>
      </c>
      <c r="J61">
        <v>105</v>
      </c>
      <c r="K61">
        <v>107</v>
      </c>
      <c r="L61" t="s">
        <v>183</v>
      </c>
      <c r="M61" t="s">
        <v>194</v>
      </c>
      <c r="N61" s="8">
        <v>46210</v>
      </c>
      <c r="P61" t="s">
        <v>154</v>
      </c>
      <c r="Q61" t="s">
        <v>146</v>
      </c>
      <c r="R61" t="s">
        <v>55</v>
      </c>
      <c r="S61" s="8">
        <v>46209</v>
      </c>
      <c r="T61" s="8">
        <v>46210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107</v>
      </c>
      <c r="B62" t="s">
        <v>217</v>
      </c>
      <c r="C62" t="s">
        <v>214</v>
      </c>
      <c r="D62" t="s">
        <v>108</v>
      </c>
      <c r="E62" t="s">
        <v>53</v>
      </c>
      <c r="F62" s="8">
        <v>46223</v>
      </c>
      <c r="G62" s="8">
        <v>46224</v>
      </c>
      <c r="H62" s="4">
        <v>0</v>
      </c>
      <c r="J62">
        <v>106</v>
      </c>
      <c r="L62" t="s">
        <v>183</v>
      </c>
      <c r="M62" t="s">
        <v>196</v>
      </c>
      <c r="N62" s="8">
        <v>46211</v>
      </c>
      <c r="P62" t="s">
        <v>154</v>
      </c>
      <c r="Q62" t="s">
        <v>150</v>
      </c>
      <c r="R62" t="s">
        <v>55</v>
      </c>
      <c r="S62" s="8">
        <v>46211</v>
      </c>
      <c r="T62" s="8">
        <v>46211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108</v>
      </c>
      <c r="B63" t="s">
        <v>218</v>
      </c>
      <c r="C63" t="s">
        <v>156</v>
      </c>
      <c r="D63" t="s">
        <v>219</v>
      </c>
      <c r="E63" t="s">
        <v>187</v>
      </c>
      <c r="F63" s="8">
        <v>46216</v>
      </c>
      <c r="G63" s="8">
        <v>46224</v>
      </c>
      <c r="H63" s="4">
        <v>0</v>
      </c>
      <c r="L63" t="s">
        <v>35</v>
      </c>
      <c r="M63" t="s">
        <v>188</v>
      </c>
      <c r="N63" s="8">
        <v>46211</v>
      </c>
      <c r="P63" t="s">
        <v>154</v>
      </c>
      <c r="Q63" t="s">
        <v>146</v>
      </c>
      <c r="R63" t="s">
        <v>55</v>
      </c>
      <c r="S63" s="8">
        <v>46195</v>
      </c>
      <c r="T63" s="8">
        <v>46211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109</v>
      </c>
      <c r="B64" t="s">
        <v>220</v>
      </c>
      <c r="C64" t="s">
        <v>221</v>
      </c>
      <c r="D64" t="s">
        <v>94</v>
      </c>
      <c r="E64" t="s">
        <v>95</v>
      </c>
      <c r="F64" s="8">
        <v>46216</v>
      </c>
      <c r="G64" s="8">
        <v>46219</v>
      </c>
      <c r="H64" s="4">
        <v>0</v>
      </c>
      <c r="J64">
        <v>331</v>
      </c>
      <c r="K64">
        <v>110</v>
      </c>
      <c r="L64" t="s">
        <v>35</v>
      </c>
      <c r="M64" t="s">
        <v>188</v>
      </c>
      <c r="N64" s="8">
        <v>46205</v>
      </c>
      <c r="P64" t="s">
        <v>154</v>
      </c>
      <c r="Q64" t="s">
        <v>146</v>
      </c>
      <c r="R64" t="s">
        <v>55</v>
      </c>
      <c r="S64" s="8">
        <v>46195</v>
      </c>
      <c r="T64" s="8">
        <v>46205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110</v>
      </c>
      <c r="B65" t="s">
        <v>222</v>
      </c>
      <c r="C65" t="s">
        <v>221</v>
      </c>
      <c r="D65" t="s">
        <v>98</v>
      </c>
      <c r="E65" t="s">
        <v>53</v>
      </c>
      <c r="F65" s="8">
        <v>46219</v>
      </c>
      <c r="G65" s="8">
        <v>46220</v>
      </c>
      <c r="H65" s="4">
        <v>0</v>
      </c>
      <c r="J65">
        <v>109</v>
      </c>
      <c r="K65">
        <v>111</v>
      </c>
      <c r="L65" t="s">
        <v>183</v>
      </c>
      <c r="M65" t="s">
        <v>192</v>
      </c>
      <c r="N65" s="8">
        <v>46206</v>
      </c>
      <c r="P65" t="s">
        <v>154</v>
      </c>
      <c r="Q65" t="s">
        <v>146</v>
      </c>
      <c r="R65" t="s">
        <v>55</v>
      </c>
      <c r="S65" s="8">
        <v>46206</v>
      </c>
      <c r="T65" s="8">
        <v>46206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111</v>
      </c>
      <c r="B66" t="s">
        <v>223</v>
      </c>
      <c r="C66" t="s">
        <v>221</v>
      </c>
      <c r="D66" t="s">
        <v>102</v>
      </c>
      <c r="E66" t="s">
        <v>53</v>
      </c>
      <c r="F66" s="8">
        <v>46220</v>
      </c>
      <c r="G66" s="8">
        <v>46223</v>
      </c>
      <c r="H66" s="4">
        <v>0</v>
      </c>
      <c r="J66">
        <v>110</v>
      </c>
      <c r="K66">
        <v>112</v>
      </c>
      <c r="L66" t="s">
        <v>183</v>
      </c>
      <c r="M66" t="s">
        <v>194</v>
      </c>
      <c r="N66" s="8">
        <v>46210</v>
      </c>
      <c r="P66" t="s">
        <v>154</v>
      </c>
      <c r="Q66" t="s">
        <v>146</v>
      </c>
      <c r="R66" t="s">
        <v>55</v>
      </c>
      <c r="S66" s="8">
        <v>46209</v>
      </c>
      <c r="T66" s="8">
        <v>46210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112</v>
      </c>
      <c r="B67" t="s">
        <v>224</v>
      </c>
      <c r="C67" t="s">
        <v>221</v>
      </c>
      <c r="D67" t="s">
        <v>108</v>
      </c>
      <c r="E67" t="s">
        <v>53</v>
      </c>
      <c r="F67" s="8">
        <v>46223</v>
      </c>
      <c r="G67" s="8">
        <v>46224</v>
      </c>
      <c r="H67" s="4">
        <v>0</v>
      </c>
      <c r="J67">
        <v>111</v>
      </c>
      <c r="L67" t="s">
        <v>183</v>
      </c>
      <c r="M67" t="s">
        <v>196</v>
      </c>
      <c r="N67" s="8">
        <v>46211</v>
      </c>
      <c r="P67" t="s">
        <v>154</v>
      </c>
      <c r="Q67" t="s">
        <v>150</v>
      </c>
      <c r="R67" t="s">
        <v>55</v>
      </c>
      <c r="S67" s="8">
        <v>46211</v>
      </c>
      <c r="T67" s="8">
        <v>46211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113</v>
      </c>
      <c r="B68" t="s">
        <v>225</v>
      </c>
      <c r="C68" t="s">
        <v>156</v>
      </c>
      <c r="D68" t="s">
        <v>226</v>
      </c>
      <c r="E68" t="s">
        <v>187</v>
      </c>
      <c r="F68" s="8">
        <v>46216</v>
      </c>
      <c r="G68" s="8">
        <v>46224</v>
      </c>
      <c r="H68" s="4">
        <v>0</v>
      </c>
      <c r="L68" t="s">
        <v>35</v>
      </c>
      <c r="M68" t="s">
        <v>188</v>
      </c>
      <c r="N68" s="8">
        <v>46211</v>
      </c>
      <c r="P68" t="s">
        <v>154</v>
      </c>
      <c r="Q68" t="s">
        <v>146</v>
      </c>
      <c r="R68" t="s">
        <v>55</v>
      </c>
      <c r="S68" s="8">
        <v>46195</v>
      </c>
      <c r="T68" s="8">
        <v>46211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114</v>
      </c>
      <c r="B69" t="s">
        <v>227</v>
      </c>
      <c r="C69" t="s">
        <v>228</v>
      </c>
      <c r="D69" t="s">
        <v>94</v>
      </c>
      <c r="E69" t="s">
        <v>95</v>
      </c>
      <c r="F69" s="8">
        <v>46216</v>
      </c>
      <c r="G69" s="8">
        <v>46219</v>
      </c>
      <c r="H69" s="4">
        <v>0</v>
      </c>
      <c r="J69">
        <v>331</v>
      </c>
      <c r="K69">
        <v>115</v>
      </c>
      <c r="L69" t="s">
        <v>35</v>
      </c>
      <c r="M69" t="s">
        <v>188</v>
      </c>
      <c r="N69" s="8">
        <v>46205</v>
      </c>
      <c r="P69" t="s">
        <v>154</v>
      </c>
      <c r="Q69" t="s">
        <v>146</v>
      </c>
      <c r="R69" t="s">
        <v>55</v>
      </c>
      <c r="S69" s="8">
        <v>46195</v>
      </c>
      <c r="T69" s="8">
        <v>46205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115</v>
      </c>
      <c r="B70" t="s">
        <v>229</v>
      </c>
      <c r="C70" t="s">
        <v>228</v>
      </c>
      <c r="D70" t="s">
        <v>98</v>
      </c>
      <c r="E70" t="s">
        <v>53</v>
      </c>
      <c r="F70" s="8">
        <v>46219</v>
      </c>
      <c r="G70" s="8">
        <v>46220</v>
      </c>
      <c r="H70" s="4">
        <v>0</v>
      </c>
      <c r="J70">
        <v>114</v>
      </c>
      <c r="K70">
        <v>116</v>
      </c>
      <c r="L70" t="s">
        <v>183</v>
      </c>
      <c r="M70" t="s">
        <v>192</v>
      </c>
      <c r="N70" s="8">
        <v>46206</v>
      </c>
      <c r="P70" t="s">
        <v>154</v>
      </c>
      <c r="Q70" t="s">
        <v>146</v>
      </c>
      <c r="R70" t="s">
        <v>55</v>
      </c>
      <c r="S70" s="8">
        <v>46206</v>
      </c>
      <c r="T70" s="8">
        <v>46206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116</v>
      </c>
      <c r="B71" t="s">
        <v>230</v>
      </c>
      <c r="C71" t="s">
        <v>228</v>
      </c>
      <c r="D71" t="s">
        <v>102</v>
      </c>
      <c r="E71" t="s">
        <v>53</v>
      </c>
      <c r="F71" s="8">
        <v>46220</v>
      </c>
      <c r="G71" s="8">
        <v>46223</v>
      </c>
      <c r="H71" s="4">
        <v>0</v>
      </c>
      <c r="J71">
        <v>115</v>
      </c>
      <c r="K71">
        <v>117</v>
      </c>
      <c r="L71" t="s">
        <v>183</v>
      </c>
      <c r="M71" t="s">
        <v>194</v>
      </c>
      <c r="N71" s="8">
        <v>46210</v>
      </c>
      <c r="P71" t="s">
        <v>154</v>
      </c>
      <c r="Q71" t="s">
        <v>146</v>
      </c>
      <c r="R71" t="s">
        <v>55</v>
      </c>
      <c r="S71" s="8">
        <v>46209</v>
      </c>
      <c r="T71" s="8">
        <v>46210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117</v>
      </c>
      <c r="B72" t="s">
        <v>231</v>
      </c>
      <c r="C72" t="s">
        <v>228</v>
      </c>
      <c r="D72" t="s">
        <v>108</v>
      </c>
      <c r="E72" t="s">
        <v>53</v>
      </c>
      <c r="F72" s="8">
        <v>46223</v>
      </c>
      <c r="G72" s="8">
        <v>46224</v>
      </c>
      <c r="H72" s="4">
        <v>0</v>
      </c>
      <c r="J72">
        <v>116</v>
      </c>
      <c r="L72" t="s">
        <v>183</v>
      </c>
      <c r="M72" t="s">
        <v>196</v>
      </c>
      <c r="N72" s="8">
        <v>46211</v>
      </c>
      <c r="P72" t="s">
        <v>154</v>
      </c>
      <c r="Q72" t="s">
        <v>150</v>
      </c>
      <c r="R72" t="s">
        <v>55</v>
      </c>
      <c r="S72" s="8">
        <v>46211</v>
      </c>
      <c r="T72" s="8">
        <v>46211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118</v>
      </c>
      <c r="B73" t="s">
        <v>232</v>
      </c>
      <c r="C73" t="s">
        <v>156</v>
      </c>
      <c r="D73" t="s">
        <v>233</v>
      </c>
      <c r="E73" t="s">
        <v>187</v>
      </c>
      <c r="F73" s="8">
        <v>46216</v>
      </c>
      <c r="G73" s="8">
        <v>46224</v>
      </c>
      <c r="H73" s="4">
        <v>0</v>
      </c>
      <c r="L73" t="s">
        <v>35</v>
      </c>
      <c r="M73" t="s">
        <v>188</v>
      </c>
      <c r="N73" s="8">
        <v>46211</v>
      </c>
      <c r="P73" t="s">
        <v>154</v>
      </c>
      <c r="Q73" t="s">
        <v>146</v>
      </c>
      <c r="R73" t="s">
        <v>55</v>
      </c>
      <c r="S73" s="8">
        <v>46195</v>
      </c>
      <c r="T73" s="8">
        <v>46211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119</v>
      </c>
      <c r="B74" t="s">
        <v>234</v>
      </c>
      <c r="C74" t="s">
        <v>235</v>
      </c>
      <c r="D74" t="s">
        <v>94</v>
      </c>
      <c r="E74" t="s">
        <v>95</v>
      </c>
      <c r="F74" s="8">
        <v>46216</v>
      </c>
      <c r="G74" s="8">
        <v>46219</v>
      </c>
      <c r="H74" s="4">
        <v>0</v>
      </c>
      <c r="J74">
        <v>331</v>
      </c>
      <c r="K74">
        <v>120</v>
      </c>
      <c r="L74" t="s">
        <v>35</v>
      </c>
      <c r="M74" t="s">
        <v>188</v>
      </c>
      <c r="N74" s="8">
        <v>46205</v>
      </c>
      <c r="P74" t="s">
        <v>154</v>
      </c>
      <c r="Q74" t="s">
        <v>146</v>
      </c>
      <c r="R74" t="s">
        <v>55</v>
      </c>
      <c r="S74" s="8">
        <v>46195</v>
      </c>
      <c r="T74" s="8">
        <v>46205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120</v>
      </c>
      <c r="B75" t="s">
        <v>236</v>
      </c>
      <c r="C75" t="s">
        <v>235</v>
      </c>
      <c r="D75" t="s">
        <v>98</v>
      </c>
      <c r="E75" t="s">
        <v>53</v>
      </c>
      <c r="F75" s="8">
        <v>46219</v>
      </c>
      <c r="G75" s="8">
        <v>46220</v>
      </c>
      <c r="H75" s="4">
        <v>0</v>
      </c>
      <c r="J75">
        <v>119</v>
      </c>
      <c r="K75">
        <v>121</v>
      </c>
      <c r="L75" t="s">
        <v>183</v>
      </c>
      <c r="M75" t="s">
        <v>192</v>
      </c>
      <c r="N75" s="8">
        <v>46206</v>
      </c>
      <c r="P75" t="s">
        <v>154</v>
      </c>
      <c r="Q75" t="s">
        <v>146</v>
      </c>
      <c r="R75" t="s">
        <v>55</v>
      </c>
      <c r="S75" s="8">
        <v>46206</v>
      </c>
      <c r="T75" s="8">
        <v>46206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121</v>
      </c>
      <c r="B76" t="s">
        <v>237</v>
      </c>
      <c r="C76" t="s">
        <v>235</v>
      </c>
      <c r="D76" t="s">
        <v>102</v>
      </c>
      <c r="E76" t="s">
        <v>53</v>
      </c>
      <c r="F76" s="8">
        <v>46220</v>
      </c>
      <c r="G76" s="8">
        <v>46223</v>
      </c>
      <c r="H76" s="4">
        <v>0</v>
      </c>
      <c r="J76">
        <v>120</v>
      </c>
      <c r="K76">
        <v>122</v>
      </c>
      <c r="L76" t="s">
        <v>183</v>
      </c>
      <c r="M76" t="s">
        <v>194</v>
      </c>
      <c r="N76" s="8">
        <v>46210</v>
      </c>
      <c r="P76" t="s">
        <v>154</v>
      </c>
      <c r="Q76" t="s">
        <v>146</v>
      </c>
      <c r="R76" t="s">
        <v>55</v>
      </c>
      <c r="S76" s="8">
        <v>46209</v>
      </c>
      <c r="T76" s="8">
        <v>46210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122</v>
      </c>
      <c r="B77" t="s">
        <v>238</v>
      </c>
      <c r="C77" t="s">
        <v>235</v>
      </c>
      <c r="D77" t="s">
        <v>108</v>
      </c>
      <c r="E77" t="s">
        <v>53</v>
      </c>
      <c r="F77" s="8">
        <v>46223</v>
      </c>
      <c r="G77" s="8">
        <v>46224</v>
      </c>
      <c r="H77" s="4">
        <v>0</v>
      </c>
      <c r="J77">
        <v>121</v>
      </c>
      <c r="L77" t="s">
        <v>183</v>
      </c>
      <c r="M77" t="s">
        <v>196</v>
      </c>
      <c r="N77" s="8">
        <v>46211</v>
      </c>
      <c r="P77" t="s">
        <v>154</v>
      </c>
      <c r="Q77" t="s">
        <v>150</v>
      </c>
      <c r="R77" t="s">
        <v>55</v>
      </c>
      <c r="S77" s="8">
        <v>46211</v>
      </c>
      <c r="T77" s="8">
        <v>46211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123</v>
      </c>
      <c r="B78" t="s">
        <v>239</v>
      </c>
      <c r="C78" t="s">
        <v>156</v>
      </c>
      <c r="D78" t="s">
        <v>240</v>
      </c>
      <c r="E78" t="s">
        <v>187</v>
      </c>
      <c r="F78" s="8">
        <v>46216</v>
      </c>
      <c r="G78" s="8">
        <v>46224</v>
      </c>
      <c r="H78" s="4">
        <v>0</v>
      </c>
      <c r="L78" t="s">
        <v>35</v>
      </c>
      <c r="M78" t="s">
        <v>188</v>
      </c>
      <c r="N78" s="8">
        <v>46211</v>
      </c>
      <c r="P78" t="s">
        <v>154</v>
      </c>
      <c r="Q78" t="s">
        <v>146</v>
      </c>
      <c r="R78" t="s">
        <v>55</v>
      </c>
      <c r="S78" s="8">
        <v>46195</v>
      </c>
      <c r="T78" s="8">
        <v>46211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124</v>
      </c>
      <c r="B79" t="s">
        <v>241</v>
      </c>
      <c r="C79" t="s">
        <v>242</v>
      </c>
      <c r="D79" t="s">
        <v>94</v>
      </c>
      <c r="E79" t="s">
        <v>95</v>
      </c>
      <c r="F79" s="8">
        <v>46216</v>
      </c>
      <c r="G79" s="8">
        <v>46219</v>
      </c>
      <c r="H79" s="4">
        <v>0</v>
      </c>
      <c r="J79">
        <v>331</v>
      </c>
      <c r="K79">
        <v>125</v>
      </c>
      <c r="L79" t="s">
        <v>35</v>
      </c>
      <c r="M79" t="s">
        <v>188</v>
      </c>
      <c r="N79" s="8">
        <v>46205</v>
      </c>
      <c r="P79" t="s">
        <v>154</v>
      </c>
      <c r="Q79" t="s">
        <v>146</v>
      </c>
      <c r="R79" t="s">
        <v>55</v>
      </c>
      <c r="S79" s="8">
        <v>46195</v>
      </c>
      <c r="T79" s="8">
        <v>46205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125</v>
      </c>
      <c r="B80" t="s">
        <v>243</v>
      </c>
      <c r="C80" t="s">
        <v>242</v>
      </c>
      <c r="D80" t="s">
        <v>98</v>
      </c>
      <c r="E80" t="s">
        <v>53</v>
      </c>
      <c r="F80" s="8">
        <v>46219</v>
      </c>
      <c r="G80" s="8">
        <v>46220</v>
      </c>
      <c r="H80" s="4">
        <v>0</v>
      </c>
      <c r="J80">
        <v>124</v>
      </c>
      <c r="K80">
        <v>126</v>
      </c>
      <c r="L80" t="s">
        <v>183</v>
      </c>
      <c r="M80" t="s">
        <v>192</v>
      </c>
      <c r="N80" s="8">
        <v>46206</v>
      </c>
      <c r="P80" t="s">
        <v>154</v>
      </c>
      <c r="Q80" t="s">
        <v>146</v>
      </c>
      <c r="R80" t="s">
        <v>55</v>
      </c>
      <c r="S80" s="8">
        <v>46206</v>
      </c>
      <c r="T80" s="8">
        <v>46206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126</v>
      </c>
      <c r="B81" t="s">
        <v>244</v>
      </c>
      <c r="C81" t="s">
        <v>242</v>
      </c>
      <c r="D81" t="s">
        <v>102</v>
      </c>
      <c r="E81" t="s">
        <v>53</v>
      </c>
      <c r="F81" s="8">
        <v>46220</v>
      </c>
      <c r="G81" s="8">
        <v>46223</v>
      </c>
      <c r="H81" s="4">
        <v>0</v>
      </c>
      <c r="J81">
        <v>125</v>
      </c>
      <c r="K81">
        <v>127</v>
      </c>
      <c r="L81" t="s">
        <v>183</v>
      </c>
      <c r="M81" t="s">
        <v>194</v>
      </c>
      <c r="N81" s="8">
        <v>46210</v>
      </c>
      <c r="P81" t="s">
        <v>154</v>
      </c>
      <c r="Q81" t="s">
        <v>146</v>
      </c>
      <c r="R81" t="s">
        <v>55</v>
      </c>
      <c r="S81" s="8">
        <v>46209</v>
      </c>
      <c r="T81" s="8">
        <v>46210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127</v>
      </c>
      <c r="B82" t="s">
        <v>245</v>
      </c>
      <c r="C82" t="s">
        <v>242</v>
      </c>
      <c r="D82" t="s">
        <v>108</v>
      </c>
      <c r="E82" t="s">
        <v>53</v>
      </c>
      <c r="F82" s="8">
        <v>46223</v>
      </c>
      <c r="G82" s="8">
        <v>46224</v>
      </c>
      <c r="H82" s="4">
        <v>0</v>
      </c>
      <c r="J82">
        <v>126</v>
      </c>
      <c r="L82" t="s">
        <v>183</v>
      </c>
      <c r="M82" t="s">
        <v>196</v>
      </c>
      <c r="N82" s="8">
        <v>46211</v>
      </c>
      <c r="P82" t="s">
        <v>154</v>
      </c>
      <c r="Q82" t="s">
        <v>150</v>
      </c>
      <c r="R82" t="s">
        <v>55</v>
      </c>
      <c r="S82" s="8">
        <v>46211</v>
      </c>
      <c r="T82" s="8">
        <v>46211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128</v>
      </c>
      <c r="B83" t="s">
        <v>246</v>
      </c>
      <c r="C83" t="s">
        <v>156</v>
      </c>
      <c r="D83" t="s">
        <v>247</v>
      </c>
      <c r="E83" t="s">
        <v>187</v>
      </c>
      <c r="F83" s="8">
        <v>46216</v>
      </c>
      <c r="G83" s="8">
        <v>46224</v>
      </c>
      <c r="H83" s="4">
        <v>0</v>
      </c>
      <c r="L83" t="s">
        <v>35</v>
      </c>
      <c r="M83" t="s">
        <v>188</v>
      </c>
      <c r="N83" s="8">
        <v>46211</v>
      </c>
      <c r="P83" t="s">
        <v>154</v>
      </c>
      <c r="Q83" t="s">
        <v>146</v>
      </c>
      <c r="R83" t="s">
        <v>55</v>
      </c>
      <c r="S83" s="8">
        <v>46195</v>
      </c>
      <c r="T83" s="8">
        <v>46211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129</v>
      </c>
      <c r="B84" t="s">
        <v>248</v>
      </c>
      <c r="C84" t="s">
        <v>249</v>
      </c>
      <c r="D84" t="s">
        <v>94</v>
      </c>
      <c r="E84" t="s">
        <v>95</v>
      </c>
      <c r="F84" s="8">
        <v>46216</v>
      </c>
      <c r="G84" s="8">
        <v>46219</v>
      </c>
      <c r="H84" s="4">
        <v>0</v>
      </c>
      <c r="J84">
        <v>331</v>
      </c>
      <c r="K84">
        <v>130</v>
      </c>
      <c r="L84" t="s">
        <v>35</v>
      </c>
      <c r="M84" t="s">
        <v>188</v>
      </c>
      <c r="N84" s="8">
        <v>46205</v>
      </c>
      <c r="P84" t="s">
        <v>154</v>
      </c>
      <c r="Q84" t="s">
        <v>146</v>
      </c>
      <c r="R84" t="s">
        <v>55</v>
      </c>
      <c r="S84" s="8">
        <v>46195</v>
      </c>
      <c r="T84" s="8">
        <v>46205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130</v>
      </c>
      <c r="B85" t="s">
        <v>250</v>
      </c>
      <c r="C85" t="s">
        <v>249</v>
      </c>
      <c r="D85" t="s">
        <v>98</v>
      </c>
      <c r="E85" t="s">
        <v>53</v>
      </c>
      <c r="F85" s="8">
        <v>46219</v>
      </c>
      <c r="G85" s="8">
        <v>46220</v>
      </c>
      <c r="H85" s="4">
        <v>0</v>
      </c>
      <c r="J85">
        <v>129</v>
      </c>
      <c r="K85">
        <v>131</v>
      </c>
      <c r="L85" t="s">
        <v>183</v>
      </c>
      <c r="M85" t="s">
        <v>192</v>
      </c>
      <c r="N85" s="8">
        <v>46206</v>
      </c>
      <c r="P85" t="s">
        <v>154</v>
      </c>
      <c r="Q85" t="s">
        <v>146</v>
      </c>
      <c r="R85" t="s">
        <v>55</v>
      </c>
      <c r="S85" s="8">
        <v>46206</v>
      </c>
      <c r="T85" s="8">
        <v>46206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131</v>
      </c>
      <c r="B86" t="s">
        <v>251</v>
      </c>
      <c r="C86" t="s">
        <v>249</v>
      </c>
      <c r="D86" t="s">
        <v>102</v>
      </c>
      <c r="E86" t="s">
        <v>53</v>
      </c>
      <c r="F86" s="8">
        <v>46220</v>
      </c>
      <c r="G86" s="8">
        <v>46223</v>
      </c>
      <c r="H86" s="4">
        <v>0</v>
      </c>
      <c r="J86">
        <v>130</v>
      </c>
      <c r="K86">
        <v>132</v>
      </c>
      <c r="L86" t="s">
        <v>183</v>
      </c>
      <c r="M86" t="s">
        <v>194</v>
      </c>
      <c r="N86" s="8">
        <v>46210</v>
      </c>
      <c r="P86" t="s">
        <v>154</v>
      </c>
      <c r="Q86" t="s">
        <v>146</v>
      </c>
      <c r="R86" t="s">
        <v>55</v>
      </c>
      <c r="S86" s="8">
        <v>46209</v>
      </c>
      <c r="T86" s="8">
        <v>46210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132</v>
      </c>
      <c r="B87" t="s">
        <v>252</v>
      </c>
      <c r="C87" t="s">
        <v>249</v>
      </c>
      <c r="D87" t="s">
        <v>108</v>
      </c>
      <c r="E87" t="s">
        <v>53</v>
      </c>
      <c r="F87" s="8">
        <v>46223</v>
      </c>
      <c r="G87" s="8">
        <v>46224</v>
      </c>
      <c r="H87" s="4">
        <v>0</v>
      </c>
      <c r="J87">
        <v>131</v>
      </c>
      <c r="L87" t="s">
        <v>183</v>
      </c>
      <c r="M87" t="s">
        <v>196</v>
      </c>
      <c r="N87" s="8">
        <v>46211</v>
      </c>
      <c r="P87" t="s">
        <v>154</v>
      </c>
      <c r="Q87" t="s">
        <v>150</v>
      </c>
      <c r="R87" t="s">
        <v>55</v>
      </c>
      <c r="S87" s="8">
        <v>46211</v>
      </c>
      <c r="T87" s="8">
        <v>46211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133</v>
      </c>
      <c r="B88" t="s">
        <v>253</v>
      </c>
      <c r="C88" t="s">
        <v>156</v>
      </c>
      <c r="D88" t="s">
        <v>254</v>
      </c>
      <c r="E88" t="s">
        <v>255</v>
      </c>
      <c r="F88" s="8">
        <v>46195</v>
      </c>
      <c r="G88" s="8">
        <v>46210</v>
      </c>
      <c r="H88" s="4">
        <v>0.67</v>
      </c>
      <c r="L88" t="s">
        <v>35</v>
      </c>
      <c r="M88" t="s">
        <v>256</v>
      </c>
      <c r="N88" s="8">
        <v>46188</v>
      </c>
      <c r="P88" t="s">
        <v>154</v>
      </c>
      <c r="Q88" t="s">
        <v>133</v>
      </c>
      <c r="R88" t="s">
        <v>55</v>
      </c>
      <c r="S88" s="8">
        <v>46171</v>
      </c>
      <c r="T88" s="8">
        <v>46188</v>
      </c>
      <c r="V88">
        <v>0.67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134</v>
      </c>
      <c r="B89" t="s">
        <v>257</v>
      </c>
      <c r="C89" t="s">
        <v>258</v>
      </c>
      <c r="D89" t="s">
        <v>94</v>
      </c>
      <c r="E89" t="s">
        <v>259</v>
      </c>
      <c r="F89" s="8">
        <v>46195</v>
      </c>
      <c r="G89" s="8">
        <v>46204</v>
      </c>
      <c r="H89" s="4">
        <v>1</v>
      </c>
      <c r="I89" s="8">
        <v>46204</v>
      </c>
      <c r="J89">
        <v>185</v>
      </c>
      <c r="K89">
        <v>135</v>
      </c>
      <c r="L89" t="s">
        <v>59</v>
      </c>
      <c r="M89" t="s">
        <v>256</v>
      </c>
      <c r="N89" s="8">
        <v>46182</v>
      </c>
      <c r="P89" t="s">
        <v>154</v>
      </c>
      <c r="Q89" t="s">
        <v>133</v>
      </c>
      <c r="R89" t="s">
        <v>55</v>
      </c>
      <c r="S89" s="8">
        <v>46171</v>
      </c>
      <c r="T89" s="8">
        <v>46182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</row>
    <row r="90" spans="1:33" x14ac:dyDescent="0.25">
      <c r="A90">
        <v>135</v>
      </c>
      <c r="B90" t="s">
        <v>260</v>
      </c>
      <c r="C90" t="s">
        <v>258</v>
      </c>
      <c r="D90" t="s">
        <v>98</v>
      </c>
      <c r="E90" t="s">
        <v>53</v>
      </c>
      <c r="F90" s="8">
        <v>46205</v>
      </c>
      <c r="G90" s="8">
        <v>46205</v>
      </c>
      <c r="H90" s="4">
        <v>0</v>
      </c>
      <c r="J90">
        <v>134</v>
      </c>
      <c r="K90">
        <v>136</v>
      </c>
      <c r="L90" t="s">
        <v>35</v>
      </c>
      <c r="M90" t="s">
        <v>261</v>
      </c>
      <c r="N90" s="8">
        <v>46183</v>
      </c>
      <c r="P90" t="s">
        <v>154</v>
      </c>
      <c r="Q90" t="s">
        <v>178</v>
      </c>
      <c r="R90" t="s">
        <v>55</v>
      </c>
      <c r="S90" s="8">
        <v>46183</v>
      </c>
      <c r="T90" s="8">
        <v>46183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136</v>
      </c>
      <c r="B91" t="s">
        <v>262</v>
      </c>
      <c r="C91" t="s">
        <v>258</v>
      </c>
      <c r="D91" t="s">
        <v>102</v>
      </c>
      <c r="E91" t="s">
        <v>121</v>
      </c>
      <c r="F91" s="8">
        <v>46206</v>
      </c>
      <c r="G91" s="8">
        <v>46209</v>
      </c>
      <c r="H91" s="4">
        <v>0</v>
      </c>
      <c r="J91">
        <v>135</v>
      </c>
      <c r="K91">
        <v>137</v>
      </c>
      <c r="L91" t="s">
        <v>35</v>
      </c>
      <c r="M91" t="s">
        <v>263</v>
      </c>
      <c r="N91" s="8">
        <v>46185</v>
      </c>
      <c r="P91" t="s">
        <v>154</v>
      </c>
      <c r="Q91" t="s">
        <v>178</v>
      </c>
      <c r="R91" t="s">
        <v>55</v>
      </c>
      <c r="S91" s="8">
        <v>46184</v>
      </c>
      <c r="T91" s="8">
        <v>46185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</row>
    <row r="92" spans="1:33" x14ac:dyDescent="0.25">
      <c r="A92">
        <v>137</v>
      </c>
      <c r="B92" t="s">
        <v>264</v>
      </c>
      <c r="C92" t="s">
        <v>258</v>
      </c>
      <c r="D92" t="s">
        <v>108</v>
      </c>
      <c r="E92" t="s">
        <v>53</v>
      </c>
      <c r="F92" s="8">
        <v>46210</v>
      </c>
      <c r="G92" s="8">
        <v>46210</v>
      </c>
      <c r="H92" s="4">
        <v>0</v>
      </c>
      <c r="J92">
        <v>136</v>
      </c>
      <c r="L92" t="s">
        <v>35</v>
      </c>
      <c r="M92" t="s">
        <v>265</v>
      </c>
      <c r="N92" s="8">
        <v>46188</v>
      </c>
      <c r="P92" t="s">
        <v>154</v>
      </c>
      <c r="Q92" t="s">
        <v>146</v>
      </c>
      <c r="R92" t="s">
        <v>55</v>
      </c>
      <c r="S92" s="8">
        <v>46188</v>
      </c>
      <c r="T92" s="8">
        <v>46188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</row>
    <row r="93" spans="1:33" x14ac:dyDescent="0.25">
      <c r="A93">
        <v>138</v>
      </c>
      <c r="B93" t="s">
        <v>266</v>
      </c>
      <c r="C93" t="s">
        <v>156</v>
      </c>
      <c r="D93" t="s">
        <v>267</v>
      </c>
      <c r="E93" t="s">
        <v>255</v>
      </c>
      <c r="F93" s="8">
        <v>46195</v>
      </c>
      <c r="G93" s="8">
        <v>46210</v>
      </c>
      <c r="H93" s="4">
        <v>0.67</v>
      </c>
      <c r="L93" t="s">
        <v>35</v>
      </c>
      <c r="M93" t="s">
        <v>256</v>
      </c>
      <c r="N93" s="8">
        <v>46188</v>
      </c>
      <c r="P93" t="s">
        <v>154</v>
      </c>
      <c r="Q93" t="s">
        <v>133</v>
      </c>
      <c r="R93" t="s">
        <v>55</v>
      </c>
      <c r="S93" s="8">
        <v>46171</v>
      </c>
      <c r="T93" s="8">
        <v>46188</v>
      </c>
      <c r="V93">
        <v>0.67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139</v>
      </c>
      <c r="B94" t="s">
        <v>268</v>
      </c>
      <c r="C94" t="s">
        <v>269</v>
      </c>
      <c r="D94" t="s">
        <v>94</v>
      </c>
      <c r="E94" t="s">
        <v>259</v>
      </c>
      <c r="F94" s="8">
        <v>46195</v>
      </c>
      <c r="G94" s="8">
        <v>46204</v>
      </c>
      <c r="H94" s="4">
        <v>1</v>
      </c>
      <c r="I94" s="8">
        <v>46204</v>
      </c>
      <c r="J94">
        <v>185</v>
      </c>
      <c r="K94">
        <v>140</v>
      </c>
      <c r="L94" t="s">
        <v>59</v>
      </c>
      <c r="M94" t="s">
        <v>256</v>
      </c>
      <c r="N94" s="8">
        <v>46182</v>
      </c>
      <c r="P94" t="s">
        <v>154</v>
      </c>
      <c r="Q94" t="s">
        <v>133</v>
      </c>
      <c r="R94" t="s">
        <v>55</v>
      </c>
      <c r="S94" s="8">
        <v>46171</v>
      </c>
      <c r="T94" s="8">
        <v>46182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</row>
    <row r="95" spans="1:33" x14ac:dyDescent="0.25">
      <c r="A95">
        <v>140</v>
      </c>
      <c r="B95" t="s">
        <v>270</v>
      </c>
      <c r="C95" t="s">
        <v>269</v>
      </c>
      <c r="D95" t="s">
        <v>98</v>
      </c>
      <c r="E95" t="s">
        <v>53</v>
      </c>
      <c r="F95" s="8">
        <v>46205</v>
      </c>
      <c r="G95" s="8">
        <v>46205</v>
      </c>
      <c r="H95" s="4">
        <v>0</v>
      </c>
      <c r="J95">
        <v>139</v>
      </c>
      <c r="K95">
        <v>141</v>
      </c>
      <c r="L95" t="s">
        <v>35</v>
      </c>
      <c r="M95" t="s">
        <v>261</v>
      </c>
      <c r="N95" s="8">
        <v>46183</v>
      </c>
      <c r="P95" t="s">
        <v>154</v>
      </c>
      <c r="Q95" t="s">
        <v>178</v>
      </c>
      <c r="R95" t="s">
        <v>55</v>
      </c>
      <c r="S95" s="8">
        <v>46183</v>
      </c>
      <c r="T95" s="8">
        <v>46183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141</v>
      </c>
      <c r="B96" t="s">
        <v>271</v>
      </c>
      <c r="C96" t="s">
        <v>269</v>
      </c>
      <c r="D96" t="s">
        <v>102</v>
      </c>
      <c r="E96" t="s">
        <v>121</v>
      </c>
      <c r="F96" s="8">
        <v>46206</v>
      </c>
      <c r="G96" s="8">
        <v>46209</v>
      </c>
      <c r="H96" s="4">
        <v>0</v>
      </c>
      <c r="J96">
        <v>140</v>
      </c>
      <c r="K96">
        <v>142</v>
      </c>
      <c r="L96" t="s">
        <v>35</v>
      </c>
      <c r="M96" t="s">
        <v>263</v>
      </c>
      <c r="N96" s="8">
        <v>46185</v>
      </c>
      <c r="P96" t="s">
        <v>154</v>
      </c>
      <c r="Q96" t="s">
        <v>178</v>
      </c>
      <c r="R96" t="s">
        <v>55</v>
      </c>
      <c r="S96" s="8">
        <v>46184</v>
      </c>
      <c r="T96" s="8">
        <v>46185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 x14ac:dyDescent="0.25">
      <c r="A97">
        <v>142</v>
      </c>
      <c r="B97" t="s">
        <v>272</v>
      </c>
      <c r="C97" t="s">
        <v>269</v>
      </c>
      <c r="D97" t="s">
        <v>108</v>
      </c>
      <c r="E97" t="s">
        <v>53</v>
      </c>
      <c r="F97" s="8">
        <v>46210</v>
      </c>
      <c r="G97" s="8">
        <v>46210</v>
      </c>
      <c r="H97" s="4">
        <v>0</v>
      </c>
      <c r="J97">
        <v>141</v>
      </c>
      <c r="L97" t="s">
        <v>35</v>
      </c>
      <c r="M97" t="s">
        <v>265</v>
      </c>
      <c r="N97" s="8">
        <v>46188</v>
      </c>
      <c r="P97" t="s">
        <v>154</v>
      </c>
      <c r="Q97" t="s">
        <v>146</v>
      </c>
      <c r="R97" t="s">
        <v>55</v>
      </c>
      <c r="S97" s="8">
        <v>46188</v>
      </c>
      <c r="T97" s="8">
        <v>46188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</row>
    <row r="98" spans="1:33" x14ac:dyDescent="0.25">
      <c r="A98">
        <v>143</v>
      </c>
      <c r="B98" t="s">
        <v>273</v>
      </c>
      <c r="C98" t="s">
        <v>156</v>
      </c>
      <c r="D98" t="s">
        <v>274</v>
      </c>
      <c r="E98" t="s">
        <v>255</v>
      </c>
      <c r="F98" s="8">
        <v>46195</v>
      </c>
      <c r="G98" s="8">
        <v>46210</v>
      </c>
      <c r="H98" s="4">
        <v>0.67</v>
      </c>
      <c r="L98" t="s">
        <v>35</v>
      </c>
      <c r="M98" t="s">
        <v>256</v>
      </c>
      <c r="N98" s="8">
        <v>46188</v>
      </c>
      <c r="P98" t="s">
        <v>154</v>
      </c>
      <c r="Q98" t="s">
        <v>133</v>
      </c>
      <c r="R98" t="s">
        <v>55</v>
      </c>
      <c r="S98" s="8">
        <v>46171</v>
      </c>
      <c r="T98" s="8">
        <v>46188</v>
      </c>
      <c r="V98">
        <v>0.67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144</v>
      </c>
      <c r="B99" t="s">
        <v>275</v>
      </c>
      <c r="C99" t="s">
        <v>276</v>
      </c>
      <c r="D99" t="s">
        <v>94</v>
      </c>
      <c r="E99" t="s">
        <v>259</v>
      </c>
      <c r="F99" s="8">
        <v>46195</v>
      </c>
      <c r="G99" s="8">
        <v>46204</v>
      </c>
      <c r="H99" s="4">
        <v>1</v>
      </c>
      <c r="I99" s="8">
        <v>46204</v>
      </c>
      <c r="J99">
        <v>185</v>
      </c>
      <c r="K99">
        <v>145</v>
      </c>
      <c r="L99" t="s">
        <v>59</v>
      </c>
      <c r="M99" t="s">
        <v>256</v>
      </c>
      <c r="N99" s="8">
        <v>46182</v>
      </c>
      <c r="P99" t="s">
        <v>154</v>
      </c>
      <c r="Q99" t="s">
        <v>133</v>
      </c>
      <c r="R99" t="s">
        <v>55</v>
      </c>
      <c r="S99" s="8">
        <v>46171</v>
      </c>
      <c r="T99" s="8">
        <v>46182</v>
      </c>
      <c r="V99">
        <v>1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</row>
    <row r="100" spans="1:33" x14ac:dyDescent="0.25">
      <c r="A100">
        <v>145</v>
      </c>
      <c r="B100" t="s">
        <v>277</v>
      </c>
      <c r="C100" t="s">
        <v>276</v>
      </c>
      <c r="D100" t="s">
        <v>98</v>
      </c>
      <c r="E100" t="s">
        <v>53</v>
      </c>
      <c r="F100" s="8">
        <v>46205</v>
      </c>
      <c r="G100" s="8">
        <v>46205</v>
      </c>
      <c r="H100" s="4">
        <v>0</v>
      </c>
      <c r="J100">
        <v>144</v>
      </c>
      <c r="K100">
        <v>146</v>
      </c>
      <c r="L100" t="s">
        <v>35</v>
      </c>
      <c r="M100" t="s">
        <v>261</v>
      </c>
      <c r="N100" s="8">
        <v>46183</v>
      </c>
      <c r="P100" t="s">
        <v>154</v>
      </c>
      <c r="Q100" t="s">
        <v>178</v>
      </c>
      <c r="R100" t="s">
        <v>55</v>
      </c>
      <c r="S100" s="8">
        <v>46183</v>
      </c>
      <c r="T100" s="8">
        <v>46183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146</v>
      </c>
      <c r="B101" t="s">
        <v>278</v>
      </c>
      <c r="C101" t="s">
        <v>276</v>
      </c>
      <c r="D101" t="s">
        <v>102</v>
      </c>
      <c r="E101" t="s">
        <v>121</v>
      </c>
      <c r="F101" s="8">
        <v>46206</v>
      </c>
      <c r="G101" s="8">
        <v>46209</v>
      </c>
      <c r="H101" s="4">
        <v>0</v>
      </c>
      <c r="J101">
        <v>145</v>
      </c>
      <c r="K101">
        <v>147</v>
      </c>
      <c r="L101" t="s">
        <v>35</v>
      </c>
      <c r="M101" t="s">
        <v>263</v>
      </c>
      <c r="N101" s="8">
        <v>46185</v>
      </c>
      <c r="P101" t="s">
        <v>154</v>
      </c>
      <c r="Q101" t="s">
        <v>178</v>
      </c>
      <c r="R101" t="s">
        <v>55</v>
      </c>
      <c r="S101" s="8">
        <v>46184</v>
      </c>
      <c r="T101" s="8">
        <v>46185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</row>
    <row r="102" spans="1:33" x14ac:dyDescent="0.25">
      <c r="A102">
        <v>147</v>
      </c>
      <c r="B102" t="s">
        <v>279</v>
      </c>
      <c r="C102" t="s">
        <v>276</v>
      </c>
      <c r="D102" t="s">
        <v>108</v>
      </c>
      <c r="E102" t="s">
        <v>53</v>
      </c>
      <c r="F102" s="8">
        <v>46210</v>
      </c>
      <c r="G102" s="8">
        <v>46210</v>
      </c>
      <c r="H102" s="4">
        <v>0</v>
      </c>
      <c r="J102">
        <v>146</v>
      </c>
      <c r="L102" t="s">
        <v>35</v>
      </c>
      <c r="M102" t="s">
        <v>265</v>
      </c>
      <c r="N102" s="8">
        <v>46188</v>
      </c>
      <c r="P102" t="s">
        <v>154</v>
      </c>
      <c r="Q102" t="s">
        <v>146</v>
      </c>
      <c r="R102" t="s">
        <v>55</v>
      </c>
      <c r="S102" s="8">
        <v>46188</v>
      </c>
      <c r="T102" s="8">
        <v>46188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</row>
    <row r="103" spans="1:33" x14ac:dyDescent="0.25">
      <c r="A103">
        <v>148</v>
      </c>
      <c r="B103" t="s">
        <v>280</v>
      </c>
      <c r="C103" t="s">
        <v>156</v>
      </c>
      <c r="D103" t="s">
        <v>281</v>
      </c>
      <c r="E103" t="s">
        <v>255</v>
      </c>
      <c r="F103" s="8">
        <v>46195</v>
      </c>
      <c r="G103" s="8">
        <v>46210</v>
      </c>
      <c r="H103" s="4">
        <v>0.67</v>
      </c>
      <c r="L103" t="s">
        <v>35</v>
      </c>
      <c r="M103" t="s">
        <v>256</v>
      </c>
      <c r="N103" s="8">
        <v>46188</v>
      </c>
      <c r="P103" t="s">
        <v>154</v>
      </c>
      <c r="Q103" t="s">
        <v>133</v>
      </c>
      <c r="R103" t="s">
        <v>55</v>
      </c>
      <c r="S103" s="8">
        <v>46171</v>
      </c>
      <c r="T103" s="8">
        <v>46188</v>
      </c>
      <c r="V103">
        <v>0.67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149</v>
      </c>
      <c r="B104" t="s">
        <v>282</v>
      </c>
      <c r="C104" t="s">
        <v>283</v>
      </c>
      <c r="D104" t="s">
        <v>94</v>
      </c>
      <c r="E104" t="s">
        <v>259</v>
      </c>
      <c r="F104" s="8">
        <v>46195</v>
      </c>
      <c r="G104" s="8">
        <v>46204</v>
      </c>
      <c r="H104" s="4">
        <v>1</v>
      </c>
      <c r="I104" s="8">
        <v>46204</v>
      </c>
      <c r="J104">
        <v>185</v>
      </c>
      <c r="K104">
        <v>150</v>
      </c>
      <c r="L104" t="s">
        <v>59</v>
      </c>
      <c r="M104" t="s">
        <v>256</v>
      </c>
      <c r="N104" s="8">
        <v>46182</v>
      </c>
      <c r="P104" t="s">
        <v>154</v>
      </c>
      <c r="Q104" t="s">
        <v>133</v>
      </c>
      <c r="R104" t="s">
        <v>55</v>
      </c>
      <c r="S104" s="8">
        <v>46171</v>
      </c>
      <c r="T104" s="8">
        <v>46182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</row>
    <row r="105" spans="1:33" x14ac:dyDescent="0.25">
      <c r="A105">
        <v>150</v>
      </c>
      <c r="B105" t="s">
        <v>284</v>
      </c>
      <c r="C105" t="s">
        <v>283</v>
      </c>
      <c r="D105" t="s">
        <v>98</v>
      </c>
      <c r="E105" t="s">
        <v>53</v>
      </c>
      <c r="F105" s="8">
        <v>46205</v>
      </c>
      <c r="G105" s="8">
        <v>46205</v>
      </c>
      <c r="H105" s="4">
        <v>0</v>
      </c>
      <c r="J105">
        <v>149</v>
      </c>
      <c r="K105">
        <v>151</v>
      </c>
      <c r="L105" t="s">
        <v>35</v>
      </c>
      <c r="M105" t="s">
        <v>261</v>
      </c>
      <c r="N105" s="8">
        <v>46183</v>
      </c>
      <c r="P105" t="s">
        <v>154</v>
      </c>
      <c r="Q105" t="s">
        <v>178</v>
      </c>
      <c r="R105" t="s">
        <v>55</v>
      </c>
      <c r="S105" s="8">
        <v>46183</v>
      </c>
      <c r="T105" s="8">
        <v>46183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151</v>
      </c>
      <c r="B106" t="s">
        <v>285</v>
      </c>
      <c r="C106" t="s">
        <v>283</v>
      </c>
      <c r="D106" t="s">
        <v>102</v>
      </c>
      <c r="E106" t="s">
        <v>121</v>
      </c>
      <c r="F106" s="8">
        <v>46206</v>
      </c>
      <c r="G106" s="8">
        <v>46209</v>
      </c>
      <c r="H106" s="4">
        <v>0</v>
      </c>
      <c r="J106">
        <v>150</v>
      </c>
      <c r="K106">
        <v>152</v>
      </c>
      <c r="L106" t="s">
        <v>35</v>
      </c>
      <c r="M106" t="s">
        <v>263</v>
      </c>
      <c r="N106" s="8">
        <v>46185</v>
      </c>
      <c r="P106" t="s">
        <v>154</v>
      </c>
      <c r="Q106" t="s">
        <v>178</v>
      </c>
      <c r="R106" t="s">
        <v>55</v>
      </c>
      <c r="S106" s="8">
        <v>46184</v>
      </c>
      <c r="T106" s="8">
        <v>46185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</row>
    <row r="107" spans="1:33" x14ac:dyDescent="0.25">
      <c r="A107">
        <v>152</v>
      </c>
      <c r="B107" t="s">
        <v>286</v>
      </c>
      <c r="C107" t="s">
        <v>283</v>
      </c>
      <c r="D107" t="s">
        <v>108</v>
      </c>
      <c r="E107" t="s">
        <v>53</v>
      </c>
      <c r="F107" s="8">
        <v>46210</v>
      </c>
      <c r="G107" s="8">
        <v>46210</v>
      </c>
      <c r="H107" s="4">
        <v>0</v>
      </c>
      <c r="J107">
        <v>151</v>
      </c>
      <c r="L107" t="s">
        <v>35</v>
      </c>
      <c r="M107" t="s">
        <v>265</v>
      </c>
      <c r="N107" s="8">
        <v>46188</v>
      </c>
      <c r="P107" t="s">
        <v>154</v>
      </c>
      <c r="Q107" t="s">
        <v>146</v>
      </c>
      <c r="R107" t="s">
        <v>55</v>
      </c>
      <c r="S107" s="8">
        <v>46188</v>
      </c>
      <c r="T107" s="8">
        <v>46188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</row>
    <row r="108" spans="1:33" x14ac:dyDescent="0.25">
      <c r="A108">
        <v>153</v>
      </c>
      <c r="B108" t="s">
        <v>287</v>
      </c>
      <c r="C108" t="s">
        <v>156</v>
      </c>
      <c r="D108" t="s">
        <v>288</v>
      </c>
      <c r="E108" t="s">
        <v>255</v>
      </c>
      <c r="F108" s="8">
        <v>46195</v>
      </c>
      <c r="G108" s="8">
        <v>46210</v>
      </c>
      <c r="H108" s="4">
        <v>0.67</v>
      </c>
      <c r="L108" t="s">
        <v>35</v>
      </c>
      <c r="M108" t="s">
        <v>256</v>
      </c>
      <c r="N108" s="8">
        <v>46188</v>
      </c>
      <c r="P108" t="s">
        <v>154</v>
      </c>
      <c r="Q108" t="s">
        <v>133</v>
      </c>
      <c r="R108" t="s">
        <v>55</v>
      </c>
      <c r="S108" s="8">
        <v>46171</v>
      </c>
      <c r="T108" s="8">
        <v>46188</v>
      </c>
      <c r="U108" t="s">
        <v>289</v>
      </c>
      <c r="V108">
        <v>0.67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154</v>
      </c>
      <c r="B109" t="s">
        <v>290</v>
      </c>
      <c r="C109" t="s">
        <v>291</v>
      </c>
      <c r="D109" t="s">
        <v>94</v>
      </c>
      <c r="E109" t="s">
        <v>259</v>
      </c>
      <c r="F109" s="8">
        <v>46195</v>
      </c>
      <c r="G109" s="8">
        <v>46204</v>
      </c>
      <c r="H109" s="4">
        <v>1</v>
      </c>
      <c r="I109" s="8">
        <v>46204</v>
      </c>
      <c r="J109">
        <v>185</v>
      </c>
      <c r="K109">
        <v>155</v>
      </c>
      <c r="L109" t="s">
        <v>59</v>
      </c>
      <c r="M109" t="s">
        <v>188</v>
      </c>
      <c r="N109" s="8">
        <v>46204</v>
      </c>
      <c r="P109" t="s">
        <v>154</v>
      </c>
      <c r="Q109" t="s">
        <v>133</v>
      </c>
      <c r="R109" t="s">
        <v>55</v>
      </c>
      <c r="S109" s="8">
        <v>46195</v>
      </c>
      <c r="T109" s="8">
        <v>46204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</row>
    <row r="110" spans="1:33" x14ac:dyDescent="0.25">
      <c r="A110">
        <v>155</v>
      </c>
      <c r="B110" t="s">
        <v>292</v>
      </c>
      <c r="C110" t="s">
        <v>291</v>
      </c>
      <c r="D110" t="s">
        <v>98</v>
      </c>
      <c r="E110" t="s">
        <v>53</v>
      </c>
      <c r="F110" s="8">
        <v>46205</v>
      </c>
      <c r="G110" s="8">
        <v>46205</v>
      </c>
      <c r="H110" s="4">
        <v>0</v>
      </c>
      <c r="J110">
        <v>154</v>
      </c>
      <c r="K110">
        <v>156</v>
      </c>
      <c r="L110" t="s">
        <v>35</v>
      </c>
      <c r="M110" t="s">
        <v>293</v>
      </c>
      <c r="N110" s="8">
        <v>46205</v>
      </c>
      <c r="P110" t="s">
        <v>154</v>
      </c>
      <c r="Q110" t="s">
        <v>178</v>
      </c>
      <c r="R110" t="s">
        <v>55</v>
      </c>
      <c r="S110" s="8">
        <v>46205</v>
      </c>
      <c r="T110" s="8">
        <v>46205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156</v>
      </c>
      <c r="B111" t="s">
        <v>294</v>
      </c>
      <c r="C111" t="s">
        <v>291</v>
      </c>
      <c r="D111" t="s">
        <v>102</v>
      </c>
      <c r="E111" t="s">
        <v>121</v>
      </c>
      <c r="F111" s="8">
        <v>46206</v>
      </c>
      <c r="G111" s="8">
        <v>46209</v>
      </c>
      <c r="H111" s="4">
        <v>0</v>
      </c>
      <c r="J111">
        <v>155</v>
      </c>
      <c r="K111">
        <v>157</v>
      </c>
      <c r="L111" t="s">
        <v>35</v>
      </c>
      <c r="M111" t="s">
        <v>192</v>
      </c>
      <c r="N111" s="8">
        <v>46209</v>
      </c>
      <c r="P111" t="s">
        <v>154</v>
      </c>
      <c r="Q111" t="s">
        <v>178</v>
      </c>
      <c r="R111" t="s">
        <v>55</v>
      </c>
      <c r="S111" s="8">
        <v>46206</v>
      </c>
      <c r="T111" s="8">
        <v>46209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</row>
    <row r="112" spans="1:33" x14ac:dyDescent="0.25">
      <c r="A112">
        <v>157</v>
      </c>
      <c r="B112" t="s">
        <v>295</v>
      </c>
      <c r="C112" t="s">
        <v>291</v>
      </c>
      <c r="D112" t="s">
        <v>108</v>
      </c>
      <c r="E112" t="s">
        <v>53</v>
      </c>
      <c r="F112" s="8">
        <v>46210</v>
      </c>
      <c r="G112" s="8">
        <v>46210</v>
      </c>
      <c r="H112" s="4">
        <v>0</v>
      </c>
      <c r="J112">
        <v>156</v>
      </c>
      <c r="L112" t="s">
        <v>35</v>
      </c>
      <c r="M112" t="s">
        <v>296</v>
      </c>
      <c r="N112" s="8">
        <v>46210</v>
      </c>
      <c r="P112" t="s">
        <v>154</v>
      </c>
      <c r="Q112" t="s">
        <v>146</v>
      </c>
      <c r="R112" t="s">
        <v>55</v>
      </c>
      <c r="S112" s="8">
        <v>46210</v>
      </c>
      <c r="T112" s="8">
        <v>46210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</row>
    <row r="113" spans="1:33" x14ac:dyDescent="0.25">
      <c r="A113">
        <v>158</v>
      </c>
      <c r="B113" t="s">
        <v>297</v>
      </c>
      <c r="C113" t="s">
        <v>156</v>
      </c>
      <c r="D113" t="s">
        <v>298</v>
      </c>
      <c r="E113" t="s">
        <v>255</v>
      </c>
      <c r="F113" s="8">
        <v>46195</v>
      </c>
      <c r="G113" s="8">
        <v>46210</v>
      </c>
      <c r="H113" s="4">
        <v>0.67</v>
      </c>
      <c r="L113" t="s">
        <v>35</v>
      </c>
      <c r="M113" t="s">
        <v>256</v>
      </c>
      <c r="N113" s="8">
        <v>46188</v>
      </c>
      <c r="P113" t="s">
        <v>154</v>
      </c>
      <c r="Q113" t="s">
        <v>133</v>
      </c>
      <c r="R113" t="s">
        <v>55</v>
      </c>
      <c r="S113" s="8">
        <v>46171</v>
      </c>
      <c r="T113" s="8">
        <v>46188</v>
      </c>
      <c r="U113" t="s">
        <v>289</v>
      </c>
      <c r="V113">
        <v>0.67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159</v>
      </c>
      <c r="B114" t="s">
        <v>299</v>
      </c>
      <c r="C114" t="s">
        <v>300</v>
      </c>
      <c r="D114" t="s">
        <v>94</v>
      </c>
      <c r="E114" t="s">
        <v>259</v>
      </c>
      <c r="F114" s="8">
        <v>46195</v>
      </c>
      <c r="G114" s="8">
        <v>46204</v>
      </c>
      <c r="H114" s="4">
        <v>1</v>
      </c>
      <c r="I114" s="8">
        <v>46204</v>
      </c>
      <c r="J114">
        <v>185</v>
      </c>
      <c r="K114">
        <v>160</v>
      </c>
      <c r="L114" t="s">
        <v>59</v>
      </c>
      <c r="M114" t="s">
        <v>188</v>
      </c>
      <c r="N114" s="8">
        <v>46204</v>
      </c>
      <c r="P114" t="s">
        <v>154</v>
      </c>
      <c r="Q114" t="s">
        <v>133</v>
      </c>
      <c r="R114" t="s">
        <v>55</v>
      </c>
      <c r="S114" s="8">
        <v>46195</v>
      </c>
      <c r="T114" s="8">
        <v>46204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</row>
    <row r="115" spans="1:33" x14ac:dyDescent="0.25">
      <c r="A115">
        <v>160</v>
      </c>
      <c r="B115" t="s">
        <v>301</v>
      </c>
      <c r="C115" t="s">
        <v>300</v>
      </c>
      <c r="D115" t="s">
        <v>98</v>
      </c>
      <c r="E115" t="s">
        <v>53</v>
      </c>
      <c r="F115" s="8">
        <v>46205</v>
      </c>
      <c r="G115" s="8">
        <v>46205</v>
      </c>
      <c r="H115" s="4">
        <v>0</v>
      </c>
      <c r="J115">
        <v>159</v>
      </c>
      <c r="K115">
        <v>161</v>
      </c>
      <c r="L115" t="s">
        <v>35</v>
      </c>
      <c r="M115" t="s">
        <v>293</v>
      </c>
      <c r="N115" s="8">
        <v>46205</v>
      </c>
      <c r="P115" t="s">
        <v>154</v>
      </c>
      <c r="Q115" t="s">
        <v>178</v>
      </c>
      <c r="R115" t="s">
        <v>55</v>
      </c>
      <c r="S115" s="8">
        <v>46205</v>
      </c>
      <c r="T115" s="8">
        <v>46205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161</v>
      </c>
      <c r="B116" t="s">
        <v>302</v>
      </c>
      <c r="C116" t="s">
        <v>300</v>
      </c>
      <c r="D116" t="s">
        <v>102</v>
      </c>
      <c r="E116" t="s">
        <v>121</v>
      </c>
      <c r="F116" s="8">
        <v>46206</v>
      </c>
      <c r="G116" s="8">
        <v>46209</v>
      </c>
      <c r="H116" s="4">
        <v>0</v>
      </c>
      <c r="J116">
        <v>160</v>
      </c>
      <c r="K116">
        <v>162</v>
      </c>
      <c r="L116" t="s">
        <v>35</v>
      </c>
      <c r="M116" t="s">
        <v>192</v>
      </c>
      <c r="N116" s="8">
        <v>46209</v>
      </c>
      <c r="P116" t="s">
        <v>154</v>
      </c>
      <c r="Q116" t="s">
        <v>178</v>
      </c>
      <c r="R116" t="s">
        <v>55</v>
      </c>
      <c r="S116" s="8">
        <v>46206</v>
      </c>
      <c r="T116" s="8">
        <v>46209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</row>
    <row r="117" spans="1:33" x14ac:dyDescent="0.25">
      <c r="A117">
        <v>162</v>
      </c>
      <c r="B117" t="s">
        <v>303</v>
      </c>
      <c r="C117" t="s">
        <v>300</v>
      </c>
      <c r="D117" t="s">
        <v>108</v>
      </c>
      <c r="E117" t="s">
        <v>53</v>
      </c>
      <c r="F117" s="8">
        <v>46210</v>
      </c>
      <c r="G117" s="8">
        <v>46210</v>
      </c>
      <c r="H117" s="4">
        <v>0</v>
      </c>
      <c r="J117">
        <v>161</v>
      </c>
      <c r="L117" t="s">
        <v>35</v>
      </c>
      <c r="M117" t="s">
        <v>296</v>
      </c>
      <c r="N117" s="8">
        <v>46210</v>
      </c>
      <c r="P117" t="s">
        <v>154</v>
      </c>
      <c r="Q117" t="s">
        <v>146</v>
      </c>
      <c r="R117" t="s">
        <v>55</v>
      </c>
      <c r="S117" s="8">
        <v>46210</v>
      </c>
      <c r="T117" s="8">
        <v>46210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</row>
    <row r="118" spans="1:33" x14ac:dyDescent="0.25">
      <c r="A118">
        <v>163</v>
      </c>
      <c r="B118" t="s">
        <v>304</v>
      </c>
      <c r="C118" t="s">
        <v>156</v>
      </c>
      <c r="D118" t="s">
        <v>305</v>
      </c>
      <c r="E118" t="s">
        <v>306</v>
      </c>
      <c r="F118" s="8">
        <v>46174</v>
      </c>
      <c r="G118" s="8">
        <v>46211</v>
      </c>
      <c r="H118" s="4">
        <v>0.86</v>
      </c>
      <c r="L118" t="s">
        <v>35</v>
      </c>
      <c r="M118" t="s">
        <v>256</v>
      </c>
      <c r="N118" s="8">
        <v>46190</v>
      </c>
      <c r="P118" t="s">
        <v>154</v>
      </c>
      <c r="Q118" t="s">
        <v>168</v>
      </c>
      <c r="R118" t="s">
        <v>55</v>
      </c>
      <c r="S118" s="8">
        <v>46171</v>
      </c>
      <c r="T118" s="8">
        <v>46190</v>
      </c>
      <c r="V118">
        <v>0.86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164</v>
      </c>
      <c r="B119" t="s">
        <v>307</v>
      </c>
      <c r="C119" t="s">
        <v>308</v>
      </c>
      <c r="D119" t="s">
        <v>94</v>
      </c>
      <c r="E119" t="s">
        <v>309</v>
      </c>
      <c r="F119" s="8">
        <v>46174</v>
      </c>
      <c r="G119" s="8">
        <v>46189</v>
      </c>
      <c r="H119" s="4">
        <v>1</v>
      </c>
      <c r="I119" s="8">
        <v>46189</v>
      </c>
      <c r="J119">
        <v>185</v>
      </c>
      <c r="K119" t="s">
        <v>310</v>
      </c>
      <c r="L119" t="s">
        <v>59</v>
      </c>
      <c r="M119" t="s">
        <v>256</v>
      </c>
      <c r="N119" s="8">
        <v>46184</v>
      </c>
      <c r="P119" t="s">
        <v>154</v>
      </c>
      <c r="Q119" t="s">
        <v>168</v>
      </c>
      <c r="R119" t="s">
        <v>55</v>
      </c>
      <c r="S119" s="8">
        <v>46171</v>
      </c>
      <c r="T119" s="8">
        <v>46184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</row>
    <row r="120" spans="1:33" x14ac:dyDescent="0.25">
      <c r="A120">
        <v>165</v>
      </c>
      <c r="B120" t="s">
        <v>311</v>
      </c>
      <c r="C120" t="s">
        <v>308</v>
      </c>
      <c r="D120" t="s">
        <v>98</v>
      </c>
      <c r="E120" t="s">
        <v>53</v>
      </c>
      <c r="F120" s="8">
        <v>46192</v>
      </c>
      <c r="G120" s="8">
        <v>46192</v>
      </c>
      <c r="H120" s="4">
        <v>1</v>
      </c>
      <c r="I120" s="8">
        <v>46192</v>
      </c>
      <c r="J120">
        <v>164</v>
      </c>
      <c r="K120">
        <v>166</v>
      </c>
      <c r="L120" t="s">
        <v>59</v>
      </c>
      <c r="M120" t="s">
        <v>312</v>
      </c>
      <c r="N120" s="8">
        <v>46185</v>
      </c>
      <c r="P120" t="s">
        <v>154</v>
      </c>
      <c r="Q120" t="s">
        <v>133</v>
      </c>
      <c r="R120" t="s">
        <v>55</v>
      </c>
      <c r="S120" s="8">
        <v>46185</v>
      </c>
      <c r="T120" s="8">
        <v>46185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5">
      <c r="A121">
        <v>166</v>
      </c>
      <c r="B121" t="s">
        <v>313</v>
      </c>
      <c r="C121" t="s">
        <v>308</v>
      </c>
      <c r="D121" t="s">
        <v>102</v>
      </c>
      <c r="E121" t="s">
        <v>121</v>
      </c>
      <c r="F121" s="8">
        <v>46209</v>
      </c>
      <c r="G121" s="8">
        <v>46210</v>
      </c>
      <c r="H121" s="4">
        <v>0.5</v>
      </c>
      <c r="J121">
        <v>165</v>
      </c>
      <c r="K121">
        <v>167</v>
      </c>
      <c r="L121" t="s">
        <v>35</v>
      </c>
      <c r="M121" t="s">
        <v>265</v>
      </c>
      <c r="N121" s="8">
        <v>46189</v>
      </c>
      <c r="P121" t="s">
        <v>154</v>
      </c>
      <c r="Q121" t="s">
        <v>133</v>
      </c>
      <c r="R121" t="s">
        <v>55</v>
      </c>
      <c r="S121" s="8">
        <v>46188</v>
      </c>
      <c r="T121" s="8">
        <v>46189</v>
      </c>
      <c r="V121">
        <v>0.5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 x14ac:dyDescent="0.25">
      <c r="A122">
        <v>167</v>
      </c>
      <c r="B122" t="s">
        <v>314</v>
      </c>
      <c r="C122" t="s">
        <v>308</v>
      </c>
      <c r="D122" t="s">
        <v>108</v>
      </c>
      <c r="E122" t="s">
        <v>53</v>
      </c>
      <c r="F122" s="8">
        <v>46211</v>
      </c>
      <c r="G122" s="8">
        <v>46211</v>
      </c>
      <c r="H122" s="4">
        <v>0</v>
      </c>
      <c r="J122">
        <v>166</v>
      </c>
      <c r="L122" t="s">
        <v>35</v>
      </c>
      <c r="M122" t="s">
        <v>315</v>
      </c>
      <c r="N122" s="8">
        <v>46190</v>
      </c>
      <c r="P122" t="s">
        <v>154</v>
      </c>
      <c r="Q122" t="s">
        <v>178</v>
      </c>
      <c r="R122" t="s">
        <v>55</v>
      </c>
      <c r="S122" s="8">
        <v>46190</v>
      </c>
      <c r="T122" s="8">
        <v>46190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</row>
    <row r="123" spans="1:33" x14ac:dyDescent="0.25">
      <c r="A123">
        <v>168</v>
      </c>
      <c r="B123" t="s">
        <v>316</v>
      </c>
      <c r="C123" t="s">
        <v>156</v>
      </c>
      <c r="D123" t="s">
        <v>317</v>
      </c>
      <c r="E123" t="s">
        <v>158</v>
      </c>
      <c r="F123" s="8">
        <v>46176</v>
      </c>
      <c r="G123" s="8">
        <v>46197</v>
      </c>
      <c r="H123" s="4">
        <v>0.75</v>
      </c>
      <c r="L123" t="s">
        <v>35</v>
      </c>
      <c r="M123" t="s">
        <v>256</v>
      </c>
      <c r="N123" s="8">
        <v>46190</v>
      </c>
      <c r="P123" t="s">
        <v>154</v>
      </c>
      <c r="Q123" t="s">
        <v>168</v>
      </c>
      <c r="R123" t="s">
        <v>55</v>
      </c>
      <c r="S123" s="8">
        <v>46171</v>
      </c>
      <c r="T123" s="8">
        <v>46190</v>
      </c>
      <c r="U123" t="s">
        <v>289</v>
      </c>
      <c r="V123">
        <v>0.75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169</v>
      </c>
      <c r="B124" t="s">
        <v>318</v>
      </c>
      <c r="C124" t="s">
        <v>319</v>
      </c>
      <c r="D124" t="s">
        <v>94</v>
      </c>
      <c r="E124" t="s">
        <v>309</v>
      </c>
      <c r="F124" s="8">
        <v>46176</v>
      </c>
      <c r="G124" s="8">
        <v>46191</v>
      </c>
      <c r="H124" s="4">
        <v>1</v>
      </c>
      <c r="I124" s="8">
        <v>46191</v>
      </c>
      <c r="J124">
        <v>185</v>
      </c>
      <c r="K124" t="s">
        <v>320</v>
      </c>
      <c r="L124" t="s">
        <v>59</v>
      </c>
      <c r="M124" t="s">
        <v>321</v>
      </c>
      <c r="N124" s="8">
        <v>46189</v>
      </c>
      <c r="P124" t="s">
        <v>154</v>
      </c>
      <c r="Q124" t="s">
        <v>168</v>
      </c>
      <c r="R124" t="s">
        <v>55</v>
      </c>
      <c r="S124" s="8">
        <v>46174</v>
      </c>
      <c r="T124" s="8">
        <v>46189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25">
      <c r="A125">
        <v>170</v>
      </c>
      <c r="B125" t="s">
        <v>322</v>
      </c>
      <c r="C125" t="s">
        <v>319</v>
      </c>
      <c r="D125" t="s">
        <v>98</v>
      </c>
      <c r="E125" t="s">
        <v>53</v>
      </c>
      <c r="F125" s="8">
        <v>46190</v>
      </c>
      <c r="G125" s="8">
        <v>46192</v>
      </c>
      <c r="H125" s="4">
        <v>0.5</v>
      </c>
      <c r="J125">
        <v>169</v>
      </c>
      <c r="K125">
        <v>171</v>
      </c>
      <c r="L125" t="s">
        <v>35</v>
      </c>
      <c r="M125" t="s">
        <v>315</v>
      </c>
      <c r="N125" s="8">
        <v>46190</v>
      </c>
      <c r="P125" t="s">
        <v>154</v>
      </c>
      <c r="Q125" t="s">
        <v>133</v>
      </c>
      <c r="R125" t="s">
        <v>55</v>
      </c>
      <c r="S125" s="8">
        <v>46190</v>
      </c>
      <c r="T125" s="8">
        <v>46190</v>
      </c>
      <c r="V125">
        <v>0.5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171</v>
      </c>
      <c r="B126" t="s">
        <v>323</v>
      </c>
      <c r="C126" t="s">
        <v>319</v>
      </c>
      <c r="D126" t="s">
        <v>102</v>
      </c>
      <c r="E126" t="s">
        <v>121</v>
      </c>
      <c r="F126" s="8">
        <v>46195</v>
      </c>
      <c r="G126" s="8">
        <v>46196</v>
      </c>
      <c r="H126" s="4">
        <v>0</v>
      </c>
      <c r="J126">
        <v>170</v>
      </c>
      <c r="K126">
        <v>172</v>
      </c>
      <c r="L126" t="s">
        <v>35</v>
      </c>
      <c r="M126" t="s">
        <v>324</v>
      </c>
      <c r="N126" s="8">
        <v>46192</v>
      </c>
      <c r="P126" t="s">
        <v>154</v>
      </c>
      <c r="Q126" t="s">
        <v>133</v>
      </c>
      <c r="R126" t="s">
        <v>55</v>
      </c>
      <c r="S126" s="8">
        <v>46191</v>
      </c>
      <c r="T126" s="8">
        <v>46192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</row>
    <row r="127" spans="1:33" x14ac:dyDescent="0.25">
      <c r="A127">
        <v>172</v>
      </c>
      <c r="B127" t="s">
        <v>325</v>
      </c>
      <c r="C127" t="s">
        <v>319</v>
      </c>
      <c r="D127" t="s">
        <v>108</v>
      </c>
      <c r="E127" t="s">
        <v>53</v>
      </c>
      <c r="F127" s="8">
        <v>46197</v>
      </c>
      <c r="G127" s="8">
        <v>46197</v>
      </c>
      <c r="H127" s="4">
        <v>0</v>
      </c>
      <c r="J127">
        <v>171</v>
      </c>
      <c r="L127" t="s">
        <v>35</v>
      </c>
      <c r="M127" t="s">
        <v>188</v>
      </c>
      <c r="N127" s="8">
        <v>46195</v>
      </c>
      <c r="P127" t="s">
        <v>154</v>
      </c>
      <c r="Q127" t="s">
        <v>178</v>
      </c>
      <c r="R127" t="s">
        <v>55</v>
      </c>
      <c r="S127" s="8">
        <v>46195</v>
      </c>
      <c r="T127" s="8">
        <v>46195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</row>
    <row r="128" spans="1:33" x14ac:dyDescent="0.25">
      <c r="A128">
        <v>173</v>
      </c>
      <c r="B128" t="s">
        <v>326</v>
      </c>
      <c r="C128" t="s">
        <v>156</v>
      </c>
      <c r="D128" t="s">
        <v>327</v>
      </c>
      <c r="E128" t="s">
        <v>306</v>
      </c>
      <c r="F128" s="8">
        <v>46174</v>
      </c>
      <c r="G128" s="8">
        <v>46211</v>
      </c>
      <c r="H128" s="4">
        <v>0.86</v>
      </c>
      <c r="L128" t="s">
        <v>35</v>
      </c>
      <c r="M128" t="s">
        <v>256</v>
      </c>
      <c r="N128" s="8">
        <v>46190</v>
      </c>
      <c r="P128" t="s">
        <v>154</v>
      </c>
      <c r="Q128" t="s">
        <v>168</v>
      </c>
      <c r="R128" t="s">
        <v>55</v>
      </c>
      <c r="S128" s="8">
        <v>46171</v>
      </c>
      <c r="T128" s="8">
        <v>46190</v>
      </c>
      <c r="U128" t="s">
        <v>289</v>
      </c>
      <c r="V128">
        <v>0.86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174</v>
      </c>
      <c r="B129" t="s">
        <v>328</v>
      </c>
      <c r="C129" t="s">
        <v>329</v>
      </c>
      <c r="D129" t="s">
        <v>94</v>
      </c>
      <c r="E129" t="s">
        <v>309</v>
      </c>
      <c r="F129" s="8">
        <v>46174</v>
      </c>
      <c r="G129" s="8">
        <v>46189</v>
      </c>
      <c r="H129" s="4">
        <v>1</v>
      </c>
      <c r="I129" s="8">
        <v>46189</v>
      </c>
      <c r="J129">
        <v>185</v>
      </c>
      <c r="K129" t="s">
        <v>330</v>
      </c>
      <c r="L129" t="s">
        <v>59</v>
      </c>
      <c r="M129" t="s">
        <v>321</v>
      </c>
      <c r="N129" s="8">
        <v>46189</v>
      </c>
      <c r="P129" t="s">
        <v>154</v>
      </c>
      <c r="Q129" t="s">
        <v>168</v>
      </c>
      <c r="R129" t="s">
        <v>55</v>
      </c>
      <c r="S129" s="8">
        <v>46174</v>
      </c>
      <c r="T129" s="8">
        <v>46189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</row>
    <row r="130" spans="1:33" x14ac:dyDescent="0.25">
      <c r="A130">
        <v>175</v>
      </c>
      <c r="B130" t="s">
        <v>331</v>
      </c>
      <c r="C130" t="s">
        <v>329</v>
      </c>
      <c r="D130" t="s">
        <v>98</v>
      </c>
      <c r="E130" t="s">
        <v>53</v>
      </c>
      <c r="F130" s="8">
        <v>46192</v>
      </c>
      <c r="G130" s="8">
        <v>46192</v>
      </c>
      <c r="H130" s="4">
        <v>1</v>
      </c>
      <c r="I130" s="8">
        <v>46192</v>
      </c>
      <c r="J130">
        <v>174</v>
      </c>
      <c r="K130">
        <v>176</v>
      </c>
      <c r="L130" t="s">
        <v>59</v>
      </c>
      <c r="M130" t="s">
        <v>315</v>
      </c>
      <c r="N130" s="8">
        <v>46190</v>
      </c>
      <c r="P130" t="s">
        <v>154</v>
      </c>
      <c r="Q130" t="s">
        <v>133</v>
      </c>
      <c r="R130" t="s">
        <v>55</v>
      </c>
      <c r="S130" s="8">
        <v>46190</v>
      </c>
      <c r="T130" s="8">
        <v>46190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5">
      <c r="A131">
        <v>176</v>
      </c>
      <c r="B131" t="s">
        <v>332</v>
      </c>
      <c r="C131" t="s">
        <v>329</v>
      </c>
      <c r="D131" t="s">
        <v>102</v>
      </c>
      <c r="E131" t="s">
        <v>121</v>
      </c>
      <c r="F131" s="8">
        <v>46209</v>
      </c>
      <c r="G131" s="8">
        <v>46210</v>
      </c>
      <c r="H131" s="4">
        <v>0.5</v>
      </c>
      <c r="J131">
        <v>175</v>
      </c>
      <c r="K131">
        <v>177</v>
      </c>
      <c r="L131" t="s">
        <v>35</v>
      </c>
      <c r="M131" t="s">
        <v>324</v>
      </c>
      <c r="N131" s="8">
        <v>46192</v>
      </c>
      <c r="P131" t="s">
        <v>154</v>
      </c>
      <c r="Q131" t="s">
        <v>133</v>
      </c>
      <c r="R131" t="s">
        <v>55</v>
      </c>
      <c r="S131" s="8">
        <v>46191</v>
      </c>
      <c r="T131" s="8">
        <v>46192</v>
      </c>
      <c r="V131">
        <v>0.5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 x14ac:dyDescent="0.25">
      <c r="A132">
        <v>177</v>
      </c>
      <c r="B132" t="s">
        <v>333</v>
      </c>
      <c r="C132" t="s">
        <v>329</v>
      </c>
      <c r="D132" t="s">
        <v>108</v>
      </c>
      <c r="E132" t="s">
        <v>53</v>
      </c>
      <c r="F132" s="8">
        <v>46211</v>
      </c>
      <c r="G132" s="8">
        <v>46211</v>
      </c>
      <c r="H132" s="4">
        <v>0</v>
      </c>
      <c r="J132">
        <v>176</v>
      </c>
      <c r="L132" t="s">
        <v>35</v>
      </c>
      <c r="M132" t="s">
        <v>188</v>
      </c>
      <c r="N132" s="8">
        <v>46195</v>
      </c>
      <c r="P132" t="s">
        <v>154</v>
      </c>
      <c r="Q132" t="s">
        <v>178</v>
      </c>
      <c r="R132" t="s">
        <v>55</v>
      </c>
      <c r="S132" s="8">
        <v>46195</v>
      </c>
      <c r="T132" s="8">
        <v>46195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</row>
    <row r="133" spans="1:33" x14ac:dyDescent="0.25">
      <c r="A133">
        <v>178</v>
      </c>
      <c r="B133" t="s">
        <v>334</v>
      </c>
      <c r="C133" t="s">
        <v>156</v>
      </c>
      <c r="D133" t="s">
        <v>335</v>
      </c>
      <c r="E133" t="s">
        <v>158</v>
      </c>
      <c r="F133" s="8">
        <v>46176</v>
      </c>
      <c r="G133" s="8">
        <v>46197</v>
      </c>
      <c r="H133" s="4">
        <v>0.75</v>
      </c>
      <c r="L133" t="s">
        <v>35</v>
      </c>
      <c r="M133" t="s">
        <v>256</v>
      </c>
      <c r="N133" s="8">
        <v>46190</v>
      </c>
      <c r="P133" t="s">
        <v>154</v>
      </c>
      <c r="Q133" t="s">
        <v>168</v>
      </c>
      <c r="R133" t="s">
        <v>55</v>
      </c>
      <c r="S133" s="8">
        <v>46171</v>
      </c>
      <c r="T133" s="8">
        <v>46190</v>
      </c>
      <c r="U133" t="s">
        <v>289</v>
      </c>
      <c r="V133">
        <v>0.75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179</v>
      </c>
      <c r="B134" t="s">
        <v>336</v>
      </c>
      <c r="C134" t="s">
        <v>337</v>
      </c>
      <c r="D134" t="s">
        <v>94</v>
      </c>
      <c r="E134" t="s">
        <v>309</v>
      </c>
      <c r="F134" s="8">
        <v>46176</v>
      </c>
      <c r="G134" s="8">
        <v>46191</v>
      </c>
      <c r="H134" s="4">
        <v>1</v>
      </c>
      <c r="I134" s="8">
        <v>46191</v>
      </c>
      <c r="J134">
        <v>185</v>
      </c>
      <c r="K134" t="s">
        <v>338</v>
      </c>
      <c r="L134" t="s">
        <v>59</v>
      </c>
      <c r="M134" t="s">
        <v>321</v>
      </c>
      <c r="N134" s="8">
        <v>46189</v>
      </c>
      <c r="P134" t="s">
        <v>154</v>
      </c>
      <c r="Q134" t="s">
        <v>168</v>
      </c>
      <c r="R134" t="s">
        <v>55</v>
      </c>
      <c r="S134" s="8">
        <v>46174</v>
      </c>
      <c r="T134" s="8">
        <v>46189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</row>
    <row r="135" spans="1:33" x14ac:dyDescent="0.25">
      <c r="A135">
        <v>180</v>
      </c>
      <c r="B135" t="s">
        <v>339</v>
      </c>
      <c r="C135" t="s">
        <v>337</v>
      </c>
      <c r="D135" t="s">
        <v>98</v>
      </c>
      <c r="E135" t="s">
        <v>53</v>
      </c>
      <c r="F135" s="8">
        <v>46190</v>
      </c>
      <c r="G135" s="8">
        <v>46192</v>
      </c>
      <c r="H135" s="4">
        <v>0.5</v>
      </c>
      <c r="J135">
        <v>179</v>
      </c>
      <c r="K135">
        <v>181</v>
      </c>
      <c r="L135" t="s">
        <v>35</v>
      </c>
      <c r="M135" t="s">
        <v>315</v>
      </c>
      <c r="N135" s="8">
        <v>46190</v>
      </c>
      <c r="P135" t="s">
        <v>154</v>
      </c>
      <c r="Q135" t="s">
        <v>133</v>
      </c>
      <c r="R135" t="s">
        <v>55</v>
      </c>
      <c r="S135" s="8">
        <v>46190</v>
      </c>
      <c r="T135" s="8">
        <v>46190</v>
      </c>
      <c r="V135">
        <v>0.5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181</v>
      </c>
      <c r="B136" t="s">
        <v>340</v>
      </c>
      <c r="C136" t="s">
        <v>337</v>
      </c>
      <c r="D136" t="s">
        <v>102</v>
      </c>
      <c r="E136" t="s">
        <v>121</v>
      </c>
      <c r="F136" s="8">
        <v>46195</v>
      </c>
      <c r="G136" s="8">
        <v>46196</v>
      </c>
      <c r="H136" s="4">
        <v>0</v>
      </c>
      <c r="J136">
        <v>180</v>
      </c>
      <c r="K136">
        <v>182</v>
      </c>
      <c r="L136" t="s">
        <v>35</v>
      </c>
      <c r="M136" t="s">
        <v>324</v>
      </c>
      <c r="N136" s="8">
        <v>46192</v>
      </c>
      <c r="P136" t="s">
        <v>154</v>
      </c>
      <c r="Q136" t="s">
        <v>133</v>
      </c>
      <c r="R136" t="s">
        <v>55</v>
      </c>
      <c r="S136" s="8">
        <v>46191</v>
      </c>
      <c r="T136" s="8">
        <v>46192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</row>
    <row r="137" spans="1:33" x14ac:dyDescent="0.25">
      <c r="A137">
        <v>182</v>
      </c>
      <c r="B137" t="s">
        <v>341</v>
      </c>
      <c r="C137" t="s">
        <v>337</v>
      </c>
      <c r="D137" t="s">
        <v>108</v>
      </c>
      <c r="E137" t="s">
        <v>53</v>
      </c>
      <c r="F137" s="8">
        <v>46197</v>
      </c>
      <c r="G137" s="8">
        <v>46197</v>
      </c>
      <c r="H137" s="4">
        <v>0</v>
      </c>
      <c r="J137">
        <v>181</v>
      </c>
      <c r="L137" t="s">
        <v>35</v>
      </c>
      <c r="M137" t="s">
        <v>188</v>
      </c>
      <c r="N137" s="8">
        <v>46195</v>
      </c>
      <c r="P137" t="s">
        <v>154</v>
      </c>
      <c r="Q137" t="s">
        <v>178</v>
      </c>
      <c r="R137" t="s">
        <v>55</v>
      </c>
      <c r="S137" s="8">
        <v>46195</v>
      </c>
      <c r="T137" s="8">
        <v>46195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</row>
    <row r="138" spans="1:33" x14ac:dyDescent="0.25">
      <c r="A138">
        <v>183</v>
      </c>
      <c r="B138" t="s">
        <v>342</v>
      </c>
      <c r="C138" t="s">
        <v>156</v>
      </c>
      <c r="D138" t="s">
        <v>343</v>
      </c>
      <c r="E138" t="s">
        <v>158</v>
      </c>
      <c r="F138" s="8">
        <v>46157</v>
      </c>
      <c r="G138" s="8">
        <v>46176</v>
      </c>
      <c r="H138" s="4">
        <v>0.92</v>
      </c>
      <c r="L138" t="s">
        <v>35</v>
      </c>
      <c r="M138" t="s">
        <v>44</v>
      </c>
      <c r="N138" s="8">
        <v>46175</v>
      </c>
      <c r="P138" t="s">
        <v>154</v>
      </c>
      <c r="Q138" t="s">
        <v>125</v>
      </c>
      <c r="R138" t="s">
        <v>55</v>
      </c>
      <c r="S138" s="8">
        <v>46161</v>
      </c>
      <c r="T138" s="8">
        <v>46175</v>
      </c>
      <c r="V138">
        <v>0.92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184</v>
      </c>
      <c r="B139" t="s">
        <v>344</v>
      </c>
      <c r="C139" t="s">
        <v>345</v>
      </c>
      <c r="D139" t="s">
        <v>94</v>
      </c>
      <c r="E139" t="s">
        <v>259</v>
      </c>
      <c r="F139" s="8">
        <v>46157</v>
      </c>
      <c r="G139" s="8">
        <v>46168</v>
      </c>
      <c r="H139" s="4">
        <v>1</v>
      </c>
      <c r="I139" s="8">
        <v>46168</v>
      </c>
      <c r="J139" t="s">
        <v>346</v>
      </c>
      <c r="K139" t="s">
        <v>347</v>
      </c>
      <c r="L139" t="s">
        <v>59</v>
      </c>
      <c r="M139" t="s">
        <v>348</v>
      </c>
      <c r="N139" s="8">
        <v>46168</v>
      </c>
      <c r="P139" t="s">
        <v>154</v>
      </c>
      <c r="Q139" t="s">
        <v>125</v>
      </c>
      <c r="R139" t="s">
        <v>55</v>
      </c>
      <c r="S139" s="8">
        <v>46157</v>
      </c>
      <c r="T139" s="8">
        <v>46168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</row>
    <row r="140" spans="1:33" x14ac:dyDescent="0.25">
      <c r="A140">
        <v>185</v>
      </c>
      <c r="B140" t="s">
        <v>349</v>
      </c>
      <c r="C140" t="s">
        <v>345</v>
      </c>
      <c r="D140" t="s">
        <v>98</v>
      </c>
      <c r="E140" t="s">
        <v>53</v>
      </c>
      <c r="F140" s="8">
        <v>46171</v>
      </c>
      <c r="G140" s="8">
        <v>46171</v>
      </c>
      <c r="H140" s="4">
        <v>1</v>
      </c>
      <c r="I140" s="8">
        <v>46171</v>
      </c>
      <c r="J140">
        <v>184</v>
      </c>
      <c r="K140" t="s">
        <v>350</v>
      </c>
      <c r="L140" t="s">
        <v>59</v>
      </c>
      <c r="M140" t="s">
        <v>256</v>
      </c>
      <c r="N140" s="8">
        <v>46171</v>
      </c>
      <c r="P140" t="s">
        <v>154</v>
      </c>
      <c r="Q140" t="s">
        <v>110</v>
      </c>
      <c r="R140" t="s">
        <v>55</v>
      </c>
      <c r="S140" s="8">
        <v>46171</v>
      </c>
      <c r="T140" s="8">
        <v>46171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 x14ac:dyDescent="0.25">
      <c r="A141">
        <v>186</v>
      </c>
      <c r="B141" t="s">
        <v>351</v>
      </c>
      <c r="C141" t="s">
        <v>345</v>
      </c>
      <c r="D141" t="s">
        <v>102</v>
      </c>
      <c r="E141" t="s">
        <v>121</v>
      </c>
      <c r="F141" s="8">
        <v>46174</v>
      </c>
      <c r="G141" s="8">
        <v>46175</v>
      </c>
      <c r="H141" s="4">
        <v>0.75</v>
      </c>
      <c r="J141">
        <v>185</v>
      </c>
      <c r="K141" t="s">
        <v>352</v>
      </c>
      <c r="L141" t="s">
        <v>35</v>
      </c>
      <c r="M141" t="s">
        <v>321</v>
      </c>
      <c r="N141" s="8">
        <v>46175</v>
      </c>
      <c r="P141" t="s">
        <v>154</v>
      </c>
      <c r="Q141" t="s">
        <v>168</v>
      </c>
      <c r="R141" t="s">
        <v>55</v>
      </c>
      <c r="S141" s="8">
        <v>46174</v>
      </c>
      <c r="T141" s="8">
        <v>46175</v>
      </c>
      <c r="V141">
        <v>0.75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</row>
    <row r="142" spans="1:33" x14ac:dyDescent="0.25">
      <c r="A142">
        <v>187</v>
      </c>
      <c r="B142" t="s">
        <v>353</v>
      </c>
      <c r="C142" t="s">
        <v>345</v>
      </c>
      <c r="D142" t="s">
        <v>108</v>
      </c>
      <c r="E142" t="s">
        <v>53</v>
      </c>
      <c r="F142" s="8">
        <v>46176</v>
      </c>
      <c r="G142" s="8">
        <v>46176</v>
      </c>
      <c r="H142" s="4">
        <v>0.5</v>
      </c>
      <c r="J142">
        <v>186</v>
      </c>
      <c r="L142" t="s">
        <v>35</v>
      </c>
      <c r="M142" t="s">
        <v>181</v>
      </c>
      <c r="N142" s="8">
        <v>46176</v>
      </c>
      <c r="P142" t="s">
        <v>154</v>
      </c>
      <c r="Q142" t="s">
        <v>168</v>
      </c>
      <c r="R142" t="s">
        <v>55</v>
      </c>
      <c r="S142" s="8">
        <v>46176</v>
      </c>
      <c r="T142" s="8">
        <v>46176</v>
      </c>
      <c r="V142">
        <v>0.5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</row>
    <row r="143" spans="1:33" x14ac:dyDescent="0.25">
      <c r="A143">
        <v>188</v>
      </c>
      <c r="B143" t="s">
        <v>354</v>
      </c>
      <c r="C143" t="s">
        <v>156</v>
      </c>
      <c r="D143" t="s">
        <v>355</v>
      </c>
      <c r="E143" t="s">
        <v>356</v>
      </c>
      <c r="F143" s="8">
        <v>46192</v>
      </c>
      <c r="G143" s="8">
        <v>46202</v>
      </c>
      <c r="H143" s="4">
        <v>0</v>
      </c>
      <c r="L143" t="s">
        <v>35</v>
      </c>
      <c r="M143" t="s">
        <v>312</v>
      </c>
      <c r="N143" s="8">
        <v>46195</v>
      </c>
      <c r="P143" t="s">
        <v>154</v>
      </c>
      <c r="Q143" t="s">
        <v>133</v>
      </c>
      <c r="R143" t="s">
        <v>55</v>
      </c>
      <c r="S143" s="8">
        <v>46185</v>
      </c>
      <c r="T143" s="8">
        <v>46195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189</v>
      </c>
      <c r="B144" t="s">
        <v>357</v>
      </c>
      <c r="C144" t="s">
        <v>358</v>
      </c>
      <c r="D144" t="s">
        <v>94</v>
      </c>
      <c r="E144" t="s">
        <v>95</v>
      </c>
      <c r="F144" s="8">
        <v>46192</v>
      </c>
      <c r="G144" s="8">
        <v>46196</v>
      </c>
      <c r="H144" s="4">
        <v>0</v>
      </c>
      <c r="J144" t="s">
        <v>359</v>
      </c>
      <c r="K144">
        <v>190</v>
      </c>
      <c r="L144" t="s">
        <v>35</v>
      </c>
      <c r="M144" t="s">
        <v>312</v>
      </c>
      <c r="N144" s="8">
        <v>46189</v>
      </c>
      <c r="P144" t="s">
        <v>154</v>
      </c>
      <c r="Q144" t="s">
        <v>133</v>
      </c>
      <c r="R144" t="s">
        <v>55</v>
      </c>
      <c r="S144" s="8">
        <v>46185</v>
      </c>
      <c r="T144" s="8">
        <v>46189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190</v>
      </c>
      <c r="B145" t="s">
        <v>360</v>
      </c>
      <c r="C145" t="s">
        <v>358</v>
      </c>
      <c r="D145" t="s">
        <v>98</v>
      </c>
      <c r="E145" t="s">
        <v>53</v>
      </c>
      <c r="F145" s="8">
        <v>46197</v>
      </c>
      <c r="G145" s="8">
        <v>46197</v>
      </c>
      <c r="H145" s="4">
        <v>0</v>
      </c>
      <c r="J145">
        <v>189</v>
      </c>
      <c r="K145">
        <v>191</v>
      </c>
      <c r="L145" t="s">
        <v>35</v>
      </c>
      <c r="M145" t="s">
        <v>315</v>
      </c>
      <c r="N145" s="8">
        <v>46190</v>
      </c>
      <c r="P145" t="s">
        <v>154</v>
      </c>
      <c r="Q145" t="s">
        <v>178</v>
      </c>
      <c r="R145" t="s">
        <v>55</v>
      </c>
      <c r="S145" s="8">
        <v>46190</v>
      </c>
      <c r="T145" s="8">
        <v>46190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x14ac:dyDescent="0.25">
      <c r="A146">
        <v>191</v>
      </c>
      <c r="B146" t="s">
        <v>361</v>
      </c>
      <c r="C146" t="s">
        <v>358</v>
      </c>
      <c r="D146" t="s">
        <v>102</v>
      </c>
      <c r="E146" t="s">
        <v>121</v>
      </c>
      <c r="F146" s="8">
        <v>46198</v>
      </c>
      <c r="G146" s="8">
        <v>46199</v>
      </c>
      <c r="H146" s="4">
        <v>0</v>
      </c>
      <c r="J146">
        <v>190</v>
      </c>
      <c r="K146">
        <v>192</v>
      </c>
      <c r="L146" t="s">
        <v>35</v>
      </c>
      <c r="M146" t="s">
        <v>324</v>
      </c>
      <c r="N146" s="8">
        <v>46192</v>
      </c>
      <c r="P146" t="s">
        <v>154</v>
      </c>
      <c r="Q146" t="s">
        <v>178</v>
      </c>
      <c r="R146" t="s">
        <v>55</v>
      </c>
      <c r="S146" s="8">
        <v>46191</v>
      </c>
      <c r="T146" s="8">
        <v>46192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</row>
    <row r="147" spans="1:33" x14ac:dyDescent="0.25">
      <c r="A147">
        <v>192</v>
      </c>
      <c r="B147" t="s">
        <v>362</v>
      </c>
      <c r="C147" t="s">
        <v>358</v>
      </c>
      <c r="D147" t="s">
        <v>108</v>
      </c>
      <c r="E147" t="s">
        <v>53</v>
      </c>
      <c r="F147" s="8">
        <v>46202</v>
      </c>
      <c r="G147" s="8">
        <v>46202</v>
      </c>
      <c r="H147" s="4">
        <v>0</v>
      </c>
      <c r="J147">
        <v>191</v>
      </c>
      <c r="L147" t="s">
        <v>35</v>
      </c>
      <c r="M147" t="s">
        <v>188</v>
      </c>
      <c r="N147" s="8">
        <v>46195</v>
      </c>
      <c r="P147" t="s">
        <v>154</v>
      </c>
      <c r="Q147" t="s">
        <v>178</v>
      </c>
      <c r="R147" t="s">
        <v>55</v>
      </c>
      <c r="S147" s="8">
        <v>46195</v>
      </c>
      <c r="T147" s="8">
        <v>46195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</row>
    <row r="148" spans="1:33" x14ac:dyDescent="0.25">
      <c r="A148">
        <v>193</v>
      </c>
      <c r="B148" t="s">
        <v>363</v>
      </c>
      <c r="C148" t="s">
        <v>156</v>
      </c>
      <c r="D148" t="s">
        <v>364</v>
      </c>
      <c r="E148" t="s">
        <v>356</v>
      </c>
      <c r="F148" s="8">
        <v>46190</v>
      </c>
      <c r="G148" s="8">
        <v>46198</v>
      </c>
      <c r="H148" s="4">
        <v>0.5</v>
      </c>
      <c r="L148" t="s">
        <v>35</v>
      </c>
      <c r="M148" t="s">
        <v>312</v>
      </c>
      <c r="N148" s="8">
        <v>46195</v>
      </c>
      <c r="P148" t="s">
        <v>154</v>
      </c>
      <c r="Q148" t="s">
        <v>133</v>
      </c>
      <c r="R148" t="s">
        <v>55</v>
      </c>
      <c r="S148" s="8">
        <v>46185</v>
      </c>
      <c r="T148" s="8">
        <v>46195</v>
      </c>
      <c r="V148">
        <v>0.5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194</v>
      </c>
      <c r="B149" t="s">
        <v>365</v>
      </c>
      <c r="C149" t="s">
        <v>366</v>
      </c>
      <c r="D149" t="s">
        <v>94</v>
      </c>
      <c r="E149" t="s">
        <v>95</v>
      </c>
      <c r="F149" s="8">
        <v>46190</v>
      </c>
      <c r="G149" s="8">
        <v>46192</v>
      </c>
      <c r="H149" s="4">
        <v>1</v>
      </c>
      <c r="I149" s="8">
        <v>46192</v>
      </c>
      <c r="J149" t="s">
        <v>359</v>
      </c>
      <c r="K149">
        <v>195</v>
      </c>
      <c r="L149" t="s">
        <v>59</v>
      </c>
      <c r="M149" t="s">
        <v>312</v>
      </c>
      <c r="N149" s="8">
        <v>46189</v>
      </c>
      <c r="P149" t="s">
        <v>154</v>
      </c>
      <c r="Q149" t="s">
        <v>133</v>
      </c>
      <c r="R149" t="s">
        <v>55</v>
      </c>
      <c r="S149" s="8">
        <v>46185</v>
      </c>
      <c r="T149" s="8">
        <v>46189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</row>
    <row r="150" spans="1:33" x14ac:dyDescent="0.25">
      <c r="A150">
        <v>195</v>
      </c>
      <c r="B150" t="s">
        <v>367</v>
      </c>
      <c r="C150" t="s">
        <v>366</v>
      </c>
      <c r="D150" t="s">
        <v>98</v>
      </c>
      <c r="E150" t="s">
        <v>53</v>
      </c>
      <c r="F150" s="8">
        <v>46195</v>
      </c>
      <c r="G150" s="8">
        <v>46195</v>
      </c>
      <c r="H150" s="4">
        <v>0.5</v>
      </c>
      <c r="J150">
        <v>194</v>
      </c>
      <c r="K150">
        <v>196</v>
      </c>
      <c r="L150" t="s">
        <v>35</v>
      </c>
      <c r="M150" t="s">
        <v>315</v>
      </c>
      <c r="N150" s="8">
        <v>46190</v>
      </c>
      <c r="P150" t="s">
        <v>154</v>
      </c>
      <c r="Q150" t="s">
        <v>178</v>
      </c>
      <c r="R150" t="s">
        <v>55</v>
      </c>
      <c r="S150" s="8">
        <v>46190</v>
      </c>
      <c r="T150" s="8">
        <v>46190</v>
      </c>
      <c r="V150">
        <v>0.5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5">
      <c r="A151">
        <v>196</v>
      </c>
      <c r="B151" t="s">
        <v>368</v>
      </c>
      <c r="C151" t="s">
        <v>366</v>
      </c>
      <c r="D151" t="s">
        <v>102</v>
      </c>
      <c r="E151" t="s">
        <v>121</v>
      </c>
      <c r="F151" s="8">
        <v>46196</v>
      </c>
      <c r="G151" s="8">
        <v>46197</v>
      </c>
      <c r="H151" s="4">
        <v>0</v>
      </c>
      <c r="J151">
        <v>195</v>
      </c>
      <c r="K151">
        <v>197</v>
      </c>
      <c r="L151" t="s">
        <v>35</v>
      </c>
      <c r="M151" t="s">
        <v>324</v>
      </c>
      <c r="N151" s="8">
        <v>46192</v>
      </c>
      <c r="P151" t="s">
        <v>154</v>
      </c>
      <c r="Q151" t="s">
        <v>178</v>
      </c>
      <c r="R151" t="s">
        <v>55</v>
      </c>
      <c r="S151" s="8">
        <v>46191</v>
      </c>
      <c r="T151" s="8">
        <v>46192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</row>
    <row r="152" spans="1:33" x14ac:dyDescent="0.25">
      <c r="A152">
        <v>197</v>
      </c>
      <c r="B152" t="s">
        <v>369</v>
      </c>
      <c r="C152" t="s">
        <v>366</v>
      </c>
      <c r="D152" t="s">
        <v>108</v>
      </c>
      <c r="E152" t="s">
        <v>53</v>
      </c>
      <c r="F152" s="8">
        <v>46198</v>
      </c>
      <c r="G152" s="8">
        <v>46198</v>
      </c>
      <c r="H152" s="4">
        <v>0</v>
      </c>
      <c r="J152">
        <v>196</v>
      </c>
      <c r="L152" t="s">
        <v>35</v>
      </c>
      <c r="M152" t="s">
        <v>188</v>
      </c>
      <c r="N152" s="8">
        <v>46195</v>
      </c>
      <c r="P152" t="s">
        <v>154</v>
      </c>
      <c r="Q152" t="s">
        <v>178</v>
      </c>
      <c r="R152" t="s">
        <v>55</v>
      </c>
      <c r="S152" s="8">
        <v>46195</v>
      </c>
      <c r="T152" s="8">
        <v>46195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</row>
    <row r="153" spans="1:33" x14ac:dyDescent="0.25">
      <c r="A153">
        <v>198</v>
      </c>
      <c r="B153" t="s">
        <v>370</v>
      </c>
      <c r="C153" t="s">
        <v>156</v>
      </c>
      <c r="D153" t="s">
        <v>371</v>
      </c>
      <c r="E153" t="s">
        <v>356</v>
      </c>
      <c r="F153" s="8">
        <v>46192</v>
      </c>
      <c r="G153" s="8">
        <v>46202</v>
      </c>
      <c r="H153" s="4">
        <v>0</v>
      </c>
      <c r="L153" t="s">
        <v>35</v>
      </c>
      <c r="M153" t="s">
        <v>312</v>
      </c>
      <c r="N153" s="8">
        <v>46195</v>
      </c>
      <c r="P153" t="s">
        <v>154</v>
      </c>
      <c r="Q153" t="s">
        <v>133</v>
      </c>
      <c r="R153" t="s">
        <v>55</v>
      </c>
      <c r="S153" s="8">
        <v>46185</v>
      </c>
      <c r="T153" s="8">
        <v>46195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199</v>
      </c>
      <c r="B154" t="s">
        <v>372</v>
      </c>
      <c r="C154" t="s">
        <v>373</v>
      </c>
      <c r="D154" t="s">
        <v>94</v>
      </c>
      <c r="E154" t="s">
        <v>95</v>
      </c>
      <c r="F154" s="8">
        <v>46192</v>
      </c>
      <c r="G154" s="8">
        <v>46196</v>
      </c>
      <c r="H154" s="4">
        <v>0</v>
      </c>
      <c r="J154" t="s">
        <v>359</v>
      </c>
      <c r="K154">
        <v>200</v>
      </c>
      <c r="L154" t="s">
        <v>35</v>
      </c>
      <c r="M154" t="s">
        <v>312</v>
      </c>
      <c r="N154" s="8">
        <v>46189</v>
      </c>
      <c r="P154" t="s">
        <v>154</v>
      </c>
      <c r="Q154" t="s">
        <v>133</v>
      </c>
      <c r="R154" t="s">
        <v>55</v>
      </c>
      <c r="S154" s="8">
        <v>46185</v>
      </c>
      <c r="T154" s="8">
        <v>46189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200</v>
      </c>
      <c r="B155" t="s">
        <v>374</v>
      </c>
      <c r="C155" t="s">
        <v>373</v>
      </c>
      <c r="D155" t="s">
        <v>98</v>
      </c>
      <c r="E155" t="s">
        <v>53</v>
      </c>
      <c r="F155" s="8">
        <v>46197</v>
      </c>
      <c r="G155" s="8">
        <v>46197</v>
      </c>
      <c r="H155" s="4">
        <v>0</v>
      </c>
      <c r="J155">
        <v>199</v>
      </c>
      <c r="K155">
        <v>201</v>
      </c>
      <c r="L155" t="s">
        <v>35</v>
      </c>
      <c r="M155" t="s">
        <v>315</v>
      </c>
      <c r="N155" s="8">
        <v>46190</v>
      </c>
      <c r="P155" t="s">
        <v>154</v>
      </c>
      <c r="Q155" t="s">
        <v>178</v>
      </c>
      <c r="R155" t="s">
        <v>55</v>
      </c>
      <c r="S155" s="8">
        <v>46190</v>
      </c>
      <c r="T155" s="8">
        <v>46190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5">
      <c r="A156">
        <v>201</v>
      </c>
      <c r="B156" t="s">
        <v>375</v>
      </c>
      <c r="C156" t="s">
        <v>373</v>
      </c>
      <c r="D156" t="s">
        <v>102</v>
      </c>
      <c r="E156" t="s">
        <v>121</v>
      </c>
      <c r="F156" s="8">
        <v>46198</v>
      </c>
      <c r="G156" s="8">
        <v>46199</v>
      </c>
      <c r="H156" s="4">
        <v>0</v>
      </c>
      <c r="J156">
        <v>200</v>
      </c>
      <c r="K156">
        <v>202</v>
      </c>
      <c r="L156" t="s">
        <v>35</v>
      </c>
      <c r="M156" t="s">
        <v>324</v>
      </c>
      <c r="N156" s="8">
        <v>46192</v>
      </c>
      <c r="P156" t="s">
        <v>154</v>
      </c>
      <c r="Q156" t="s">
        <v>178</v>
      </c>
      <c r="R156" t="s">
        <v>55</v>
      </c>
      <c r="S156" s="8">
        <v>46191</v>
      </c>
      <c r="T156" s="8">
        <v>46192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</row>
    <row r="157" spans="1:33" x14ac:dyDescent="0.25">
      <c r="A157">
        <v>202</v>
      </c>
      <c r="B157" t="s">
        <v>376</v>
      </c>
      <c r="C157" t="s">
        <v>373</v>
      </c>
      <c r="D157" t="s">
        <v>108</v>
      </c>
      <c r="E157" t="s">
        <v>53</v>
      </c>
      <c r="F157" s="8">
        <v>46202</v>
      </c>
      <c r="G157" s="8">
        <v>46202</v>
      </c>
      <c r="H157" s="4">
        <v>0</v>
      </c>
      <c r="J157">
        <v>201</v>
      </c>
      <c r="L157" t="s">
        <v>35</v>
      </c>
      <c r="M157" t="s">
        <v>188</v>
      </c>
      <c r="N157" s="8">
        <v>46195</v>
      </c>
      <c r="P157" t="s">
        <v>154</v>
      </c>
      <c r="Q157" t="s">
        <v>178</v>
      </c>
      <c r="R157" t="s">
        <v>55</v>
      </c>
      <c r="S157" s="8">
        <v>46195</v>
      </c>
      <c r="T157" s="8">
        <v>46195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</row>
    <row r="158" spans="1:33" x14ac:dyDescent="0.25">
      <c r="A158">
        <v>203</v>
      </c>
      <c r="B158" t="s">
        <v>377</v>
      </c>
      <c r="C158" t="s">
        <v>73</v>
      </c>
      <c r="D158" t="s">
        <v>378</v>
      </c>
      <c r="E158" t="s">
        <v>306</v>
      </c>
      <c r="F158" s="8">
        <v>46185</v>
      </c>
      <c r="G158" s="8">
        <v>46224</v>
      </c>
      <c r="H158" s="4">
        <v>0.41</v>
      </c>
      <c r="L158" t="s">
        <v>35</v>
      </c>
      <c r="M158" t="s">
        <v>142</v>
      </c>
      <c r="N158" s="8">
        <v>46211</v>
      </c>
      <c r="P158" t="s">
        <v>379</v>
      </c>
      <c r="Q158" t="s">
        <v>65</v>
      </c>
      <c r="R158" t="s">
        <v>55</v>
      </c>
      <c r="S158" s="8">
        <v>46162</v>
      </c>
      <c r="T158" s="8">
        <v>46211</v>
      </c>
      <c r="V158">
        <v>0.41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214</v>
      </c>
      <c r="B159" t="s">
        <v>380</v>
      </c>
      <c r="C159" t="s">
        <v>381</v>
      </c>
      <c r="D159" t="s">
        <v>382</v>
      </c>
      <c r="E159" t="s">
        <v>171</v>
      </c>
      <c r="F159" s="8">
        <v>46206</v>
      </c>
      <c r="G159" s="8">
        <v>46219</v>
      </c>
      <c r="H159" s="4">
        <v>0.5</v>
      </c>
      <c r="L159" t="s">
        <v>35</v>
      </c>
      <c r="M159" t="s">
        <v>172</v>
      </c>
      <c r="N159" s="8">
        <v>46178</v>
      </c>
      <c r="P159" t="s">
        <v>379</v>
      </c>
      <c r="Q159" t="s">
        <v>178</v>
      </c>
      <c r="R159" t="s">
        <v>55</v>
      </c>
      <c r="S159" s="8">
        <v>46170</v>
      </c>
      <c r="T159" s="8">
        <v>46178</v>
      </c>
      <c r="V159">
        <v>0.5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215</v>
      </c>
      <c r="B160" t="s">
        <v>383</v>
      </c>
      <c r="C160" t="s">
        <v>384</v>
      </c>
      <c r="D160" t="s">
        <v>94</v>
      </c>
      <c r="E160" t="s">
        <v>175</v>
      </c>
      <c r="F160" s="8">
        <v>46206</v>
      </c>
      <c r="G160" s="8">
        <v>46211</v>
      </c>
      <c r="H160" s="4">
        <v>1</v>
      </c>
      <c r="I160" s="8">
        <v>46211</v>
      </c>
      <c r="J160" t="s">
        <v>385</v>
      </c>
      <c r="K160">
        <v>216</v>
      </c>
      <c r="L160" t="s">
        <v>59</v>
      </c>
      <c r="M160" t="s">
        <v>172</v>
      </c>
      <c r="N160" s="8">
        <v>46174</v>
      </c>
      <c r="P160" t="s">
        <v>379</v>
      </c>
      <c r="Q160" t="s">
        <v>178</v>
      </c>
      <c r="R160" t="s">
        <v>55</v>
      </c>
      <c r="S160" s="8">
        <v>46170</v>
      </c>
      <c r="T160" s="8">
        <v>46174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25">
      <c r="A161">
        <v>216</v>
      </c>
      <c r="B161" t="s">
        <v>386</v>
      </c>
      <c r="C161" t="s">
        <v>384</v>
      </c>
      <c r="D161" t="s">
        <v>98</v>
      </c>
      <c r="E161" t="s">
        <v>53</v>
      </c>
      <c r="F161" s="8">
        <v>46216</v>
      </c>
      <c r="G161" s="8">
        <v>46216</v>
      </c>
      <c r="H161" s="4">
        <v>0</v>
      </c>
      <c r="J161">
        <v>215</v>
      </c>
      <c r="K161" t="s">
        <v>387</v>
      </c>
      <c r="L161" t="s">
        <v>35</v>
      </c>
      <c r="M161" t="s">
        <v>177</v>
      </c>
      <c r="N161" s="8">
        <v>46175</v>
      </c>
      <c r="P161" t="s">
        <v>379</v>
      </c>
      <c r="Q161" t="s">
        <v>146</v>
      </c>
      <c r="R161" t="s">
        <v>55</v>
      </c>
      <c r="S161" s="8">
        <v>46175</v>
      </c>
      <c r="T161" s="8">
        <v>46175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217</v>
      </c>
      <c r="B162" t="s">
        <v>388</v>
      </c>
      <c r="C162" t="s">
        <v>384</v>
      </c>
      <c r="D162" t="s">
        <v>102</v>
      </c>
      <c r="E162" t="s">
        <v>121</v>
      </c>
      <c r="F162" s="8">
        <v>46217</v>
      </c>
      <c r="G162" s="8">
        <v>46218</v>
      </c>
      <c r="H162" s="4">
        <v>0</v>
      </c>
      <c r="J162">
        <v>216</v>
      </c>
      <c r="K162">
        <v>218</v>
      </c>
      <c r="L162" t="s">
        <v>180</v>
      </c>
      <c r="M162" t="s">
        <v>181</v>
      </c>
      <c r="N162" s="8">
        <v>46177</v>
      </c>
      <c r="P162" t="s">
        <v>379</v>
      </c>
      <c r="Q162" t="s">
        <v>146</v>
      </c>
      <c r="R162" t="s">
        <v>55</v>
      </c>
      <c r="S162" s="8">
        <v>46176</v>
      </c>
      <c r="T162" s="8">
        <v>46177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5">
      <c r="A163">
        <v>218</v>
      </c>
      <c r="B163" t="s">
        <v>389</v>
      </c>
      <c r="C163" t="s">
        <v>384</v>
      </c>
      <c r="D163" t="s">
        <v>108</v>
      </c>
      <c r="E163" t="s">
        <v>53</v>
      </c>
      <c r="F163" s="8">
        <v>46219</v>
      </c>
      <c r="G163" s="8">
        <v>46219</v>
      </c>
      <c r="H163" s="4">
        <v>0</v>
      </c>
      <c r="J163">
        <v>217</v>
      </c>
      <c r="L163" t="s">
        <v>183</v>
      </c>
      <c r="M163" t="s">
        <v>184</v>
      </c>
      <c r="N163" s="8">
        <v>46178</v>
      </c>
      <c r="P163" t="s">
        <v>379</v>
      </c>
      <c r="Q163" t="s">
        <v>146</v>
      </c>
      <c r="R163" t="s">
        <v>55</v>
      </c>
      <c r="S163" s="8">
        <v>46178</v>
      </c>
      <c r="T163" s="8">
        <v>46178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 x14ac:dyDescent="0.25">
      <c r="A164">
        <v>234</v>
      </c>
      <c r="B164" t="s">
        <v>390</v>
      </c>
      <c r="C164" t="s">
        <v>381</v>
      </c>
      <c r="D164" t="s">
        <v>391</v>
      </c>
      <c r="E164" t="s">
        <v>356</v>
      </c>
      <c r="F164" s="8">
        <v>46216</v>
      </c>
      <c r="G164" s="8">
        <v>46224</v>
      </c>
      <c r="H164" s="4">
        <v>0</v>
      </c>
      <c r="L164" t="s">
        <v>35</v>
      </c>
      <c r="M164" t="s">
        <v>392</v>
      </c>
      <c r="N164" s="8">
        <v>46204</v>
      </c>
      <c r="P164" t="s">
        <v>379</v>
      </c>
      <c r="Q164" t="s">
        <v>146</v>
      </c>
      <c r="R164" t="s">
        <v>55</v>
      </c>
      <c r="S164" s="8">
        <v>46196</v>
      </c>
      <c r="T164" s="8">
        <v>46204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235</v>
      </c>
      <c r="B165" t="s">
        <v>393</v>
      </c>
      <c r="C165" t="s">
        <v>394</v>
      </c>
      <c r="D165" t="s">
        <v>94</v>
      </c>
      <c r="E165" t="s">
        <v>95</v>
      </c>
      <c r="F165" s="8">
        <v>46216</v>
      </c>
      <c r="G165" s="8">
        <v>46218</v>
      </c>
      <c r="H165" s="4">
        <v>0</v>
      </c>
      <c r="K165">
        <v>236</v>
      </c>
      <c r="L165" t="s">
        <v>35</v>
      </c>
      <c r="M165" t="s">
        <v>392</v>
      </c>
      <c r="N165" s="8">
        <v>46198</v>
      </c>
      <c r="P165" t="s">
        <v>379</v>
      </c>
      <c r="Q165" t="s">
        <v>146</v>
      </c>
      <c r="R165" t="s">
        <v>55</v>
      </c>
      <c r="S165" s="8">
        <v>46196</v>
      </c>
      <c r="T165" s="8">
        <v>46198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5">
      <c r="A166">
        <v>236</v>
      </c>
      <c r="B166" t="s">
        <v>395</v>
      </c>
      <c r="C166" t="s">
        <v>394</v>
      </c>
      <c r="D166" t="s">
        <v>98</v>
      </c>
      <c r="E166" t="s">
        <v>53</v>
      </c>
      <c r="F166" s="8">
        <v>46219</v>
      </c>
      <c r="G166" s="8">
        <v>46219</v>
      </c>
      <c r="H166" s="4">
        <v>0</v>
      </c>
      <c r="J166">
        <v>235</v>
      </c>
      <c r="K166">
        <v>237</v>
      </c>
      <c r="L166" t="s">
        <v>183</v>
      </c>
      <c r="M166" t="s">
        <v>396</v>
      </c>
      <c r="N166" s="8">
        <v>46199</v>
      </c>
      <c r="P166" t="s">
        <v>379</v>
      </c>
      <c r="Q166" t="s">
        <v>146</v>
      </c>
      <c r="R166" t="s">
        <v>55</v>
      </c>
      <c r="S166" s="8">
        <v>46199</v>
      </c>
      <c r="T166" s="8">
        <v>46199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237</v>
      </c>
      <c r="B167" t="s">
        <v>397</v>
      </c>
      <c r="C167" t="s">
        <v>394</v>
      </c>
      <c r="D167" t="s">
        <v>102</v>
      </c>
      <c r="E167" t="s">
        <v>121</v>
      </c>
      <c r="F167" s="8">
        <v>46220</v>
      </c>
      <c r="G167" s="8">
        <v>46223</v>
      </c>
      <c r="H167" s="4">
        <v>0</v>
      </c>
      <c r="J167">
        <v>236</v>
      </c>
      <c r="K167">
        <v>238</v>
      </c>
      <c r="L167" t="s">
        <v>183</v>
      </c>
      <c r="M167" t="s">
        <v>398</v>
      </c>
      <c r="N167" s="8">
        <v>46203</v>
      </c>
      <c r="P167" t="s">
        <v>379</v>
      </c>
      <c r="Q167" t="s">
        <v>146</v>
      </c>
      <c r="R167" t="s">
        <v>55</v>
      </c>
      <c r="S167" s="8">
        <v>46202</v>
      </c>
      <c r="T167" s="8">
        <v>46203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25">
      <c r="A168">
        <v>238</v>
      </c>
      <c r="B168" t="s">
        <v>399</v>
      </c>
      <c r="C168" t="s">
        <v>394</v>
      </c>
      <c r="D168" t="s">
        <v>108</v>
      </c>
      <c r="E168" t="s">
        <v>53</v>
      </c>
      <c r="F168" s="8">
        <v>46224</v>
      </c>
      <c r="G168" s="8">
        <v>46224</v>
      </c>
      <c r="H168" s="4">
        <v>0</v>
      </c>
      <c r="J168">
        <v>237</v>
      </c>
      <c r="L168" t="s">
        <v>183</v>
      </c>
      <c r="M168" t="s">
        <v>400</v>
      </c>
      <c r="N168" s="8">
        <v>46204</v>
      </c>
      <c r="P168" t="s">
        <v>379</v>
      </c>
      <c r="Q168" t="s">
        <v>150</v>
      </c>
      <c r="R168" t="s">
        <v>55</v>
      </c>
      <c r="S168" s="8">
        <v>46204</v>
      </c>
      <c r="T168" s="8">
        <v>46204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244</v>
      </c>
      <c r="B169" t="s">
        <v>401</v>
      </c>
      <c r="C169" t="s">
        <v>381</v>
      </c>
      <c r="D169" t="s">
        <v>402</v>
      </c>
      <c r="E169" t="s">
        <v>403</v>
      </c>
      <c r="F169" s="8">
        <v>46185</v>
      </c>
      <c r="G169" s="8">
        <v>46195</v>
      </c>
      <c r="H169" s="4">
        <v>0.5</v>
      </c>
      <c r="L169" t="s">
        <v>35</v>
      </c>
      <c r="M169" t="s">
        <v>142</v>
      </c>
      <c r="N169" s="8">
        <v>46169</v>
      </c>
      <c r="P169" t="s">
        <v>379</v>
      </c>
      <c r="Q169" t="s">
        <v>65</v>
      </c>
      <c r="R169" t="s">
        <v>55</v>
      </c>
      <c r="S169" s="8">
        <v>46162</v>
      </c>
      <c r="T169" s="8">
        <v>46169</v>
      </c>
      <c r="V169">
        <v>0.5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245</v>
      </c>
      <c r="B170" t="s">
        <v>404</v>
      </c>
      <c r="C170" t="s">
        <v>405</v>
      </c>
      <c r="D170" t="s">
        <v>94</v>
      </c>
      <c r="E170" t="s">
        <v>95</v>
      </c>
      <c r="F170" s="8">
        <v>46185</v>
      </c>
      <c r="G170" s="8">
        <v>46189</v>
      </c>
      <c r="H170" s="4">
        <v>1</v>
      </c>
      <c r="I170" s="8">
        <v>46189</v>
      </c>
      <c r="J170" t="s">
        <v>406</v>
      </c>
      <c r="K170" t="s">
        <v>407</v>
      </c>
      <c r="L170" t="s">
        <v>59</v>
      </c>
      <c r="M170" t="s">
        <v>142</v>
      </c>
      <c r="N170" s="8">
        <v>46163</v>
      </c>
      <c r="P170" t="s">
        <v>379</v>
      </c>
      <c r="Q170" t="s">
        <v>65</v>
      </c>
      <c r="R170" t="s">
        <v>55</v>
      </c>
      <c r="S170" s="8">
        <v>46162</v>
      </c>
      <c r="T170" s="8">
        <v>46163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25">
      <c r="A171">
        <v>246</v>
      </c>
      <c r="B171" t="s">
        <v>408</v>
      </c>
      <c r="C171" t="s">
        <v>405</v>
      </c>
      <c r="D171" t="s">
        <v>98</v>
      </c>
      <c r="E171" t="s">
        <v>53</v>
      </c>
      <c r="F171" s="8">
        <v>46189</v>
      </c>
      <c r="G171" s="8">
        <v>46190</v>
      </c>
      <c r="H171" s="4">
        <v>0.5</v>
      </c>
      <c r="J171">
        <v>245</v>
      </c>
      <c r="K171">
        <v>247</v>
      </c>
      <c r="L171" t="s">
        <v>35</v>
      </c>
      <c r="M171" t="s">
        <v>62</v>
      </c>
      <c r="N171" s="8">
        <v>46164</v>
      </c>
      <c r="P171" t="s">
        <v>379</v>
      </c>
      <c r="Q171" t="s">
        <v>133</v>
      </c>
      <c r="R171" t="s">
        <v>55</v>
      </c>
      <c r="S171" s="8">
        <v>46164</v>
      </c>
      <c r="T171" s="8">
        <v>46164</v>
      </c>
      <c r="V171">
        <v>0.5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247</v>
      </c>
      <c r="B172" t="s">
        <v>409</v>
      </c>
      <c r="C172" t="s">
        <v>405</v>
      </c>
      <c r="D172" t="s">
        <v>102</v>
      </c>
      <c r="E172" t="s">
        <v>121</v>
      </c>
      <c r="F172" s="8">
        <v>46190</v>
      </c>
      <c r="G172" s="8">
        <v>46192</v>
      </c>
      <c r="H172" s="4">
        <v>0</v>
      </c>
      <c r="J172">
        <v>246</v>
      </c>
      <c r="K172">
        <v>248</v>
      </c>
      <c r="L172" t="s">
        <v>35</v>
      </c>
      <c r="M172" t="s">
        <v>149</v>
      </c>
      <c r="N172" s="8">
        <v>46168</v>
      </c>
      <c r="P172" t="s">
        <v>379</v>
      </c>
      <c r="Q172" t="s">
        <v>133</v>
      </c>
      <c r="R172" t="s">
        <v>55</v>
      </c>
      <c r="S172" s="8">
        <v>46167</v>
      </c>
      <c r="T172" s="8">
        <v>46168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</row>
    <row r="173" spans="1:33" x14ac:dyDescent="0.25">
      <c r="A173">
        <v>248</v>
      </c>
      <c r="B173" t="s">
        <v>410</v>
      </c>
      <c r="C173" t="s">
        <v>405</v>
      </c>
      <c r="D173" t="s">
        <v>108</v>
      </c>
      <c r="E173" t="s">
        <v>53</v>
      </c>
      <c r="F173" s="8">
        <v>46192</v>
      </c>
      <c r="G173" s="8">
        <v>46195</v>
      </c>
      <c r="H173" s="4">
        <v>0</v>
      </c>
      <c r="J173">
        <v>247</v>
      </c>
      <c r="L173" t="s">
        <v>35</v>
      </c>
      <c r="M173" t="s">
        <v>411</v>
      </c>
      <c r="N173" s="8">
        <v>46169</v>
      </c>
      <c r="P173" t="s">
        <v>379</v>
      </c>
      <c r="Q173" t="s">
        <v>133</v>
      </c>
      <c r="R173" t="s">
        <v>55</v>
      </c>
      <c r="S173" s="8">
        <v>46169</v>
      </c>
      <c r="T173" s="8">
        <v>46169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 x14ac:dyDescent="0.25">
      <c r="A174">
        <v>254</v>
      </c>
      <c r="B174" t="s">
        <v>412</v>
      </c>
      <c r="C174" t="s">
        <v>381</v>
      </c>
      <c r="D174" t="s">
        <v>413</v>
      </c>
      <c r="E174" t="s">
        <v>171</v>
      </c>
      <c r="F174" s="8">
        <v>46209</v>
      </c>
      <c r="G174" s="8">
        <v>46220</v>
      </c>
      <c r="H174" s="4">
        <v>0.43</v>
      </c>
      <c r="K174" t="s">
        <v>414</v>
      </c>
      <c r="L174" t="s">
        <v>180</v>
      </c>
      <c r="M174" t="s">
        <v>177</v>
      </c>
      <c r="N174" s="8">
        <v>46183</v>
      </c>
      <c r="P174" t="s">
        <v>379</v>
      </c>
      <c r="Q174" t="s">
        <v>146</v>
      </c>
      <c r="R174" t="s">
        <v>55</v>
      </c>
      <c r="S174" s="8">
        <v>46175</v>
      </c>
      <c r="T174" s="8">
        <v>46183</v>
      </c>
      <c r="V174">
        <v>0.43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255</v>
      </c>
      <c r="B175" t="s">
        <v>415</v>
      </c>
      <c r="C175" t="s">
        <v>416</v>
      </c>
      <c r="D175" t="s">
        <v>94</v>
      </c>
      <c r="E175" t="s">
        <v>95</v>
      </c>
      <c r="F175" s="8">
        <v>46209</v>
      </c>
      <c r="G175" s="8">
        <v>46216</v>
      </c>
      <c r="H175" s="4">
        <v>1</v>
      </c>
      <c r="I175" s="8">
        <v>46216</v>
      </c>
      <c r="J175" t="s">
        <v>417</v>
      </c>
      <c r="K175">
        <v>256</v>
      </c>
      <c r="L175" t="s">
        <v>59</v>
      </c>
      <c r="M175" t="s">
        <v>177</v>
      </c>
      <c r="N175" s="8">
        <v>46177</v>
      </c>
      <c r="P175" t="s">
        <v>379</v>
      </c>
      <c r="Q175" t="s">
        <v>146</v>
      </c>
      <c r="R175" t="s">
        <v>55</v>
      </c>
      <c r="S175" s="8">
        <v>46175</v>
      </c>
      <c r="T175" s="8">
        <v>46177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</row>
    <row r="176" spans="1:33" x14ac:dyDescent="0.25">
      <c r="A176">
        <v>256</v>
      </c>
      <c r="B176" t="s">
        <v>418</v>
      </c>
      <c r="C176" t="s">
        <v>416</v>
      </c>
      <c r="D176" t="s">
        <v>98</v>
      </c>
      <c r="E176" t="s">
        <v>53</v>
      </c>
      <c r="F176" s="8">
        <v>46217</v>
      </c>
      <c r="G176" s="8">
        <v>46217</v>
      </c>
      <c r="H176" s="4">
        <v>0</v>
      </c>
      <c r="J176">
        <v>255</v>
      </c>
      <c r="K176">
        <v>257</v>
      </c>
      <c r="L176" t="s">
        <v>180</v>
      </c>
      <c r="M176" t="s">
        <v>184</v>
      </c>
      <c r="N176" s="8">
        <v>46178</v>
      </c>
      <c r="P176" t="s">
        <v>379</v>
      </c>
      <c r="Q176" t="s">
        <v>146</v>
      </c>
      <c r="R176" t="s">
        <v>55</v>
      </c>
      <c r="S176" s="8">
        <v>46178</v>
      </c>
      <c r="T176" s="8">
        <v>46178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257</v>
      </c>
      <c r="B177" t="s">
        <v>419</v>
      </c>
      <c r="C177" t="s">
        <v>416</v>
      </c>
      <c r="D177" t="s">
        <v>102</v>
      </c>
      <c r="E177" t="s">
        <v>121</v>
      </c>
      <c r="F177" s="8">
        <v>46218</v>
      </c>
      <c r="G177" s="8">
        <v>46219</v>
      </c>
      <c r="H177" s="4">
        <v>0</v>
      </c>
      <c r="J177">
        <v>256</v>
      </c>
      <c r="K177">
        <v>258</v>
      </c>
      <c r="L177" t="s">
        <v>183</v>
      </c>
      <c r="M177" t="s">
        <v>420</v>
      </c>
      <c r="N177" s="8">
        <v>46182</v>
      </c>
      <c r="P177" t="s">
        <v>379</v>
      </c>
      <c r="Q177" t="s">
        <v>150</v>
      </c>
      <c r="R177" t="s">
        <v>55</v>
      </c>
      <c r="S177" s="8">
        <v>46181</v>
      </c>
      <c r="T177" s="8">
        <v>46182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258</v>
      </c>
      <c r="B178" t="s">
        <v>421</v>
      </c>
      <c r="C178" t="s">
        <v>416</v>
      </c>
      <c r="D178" t="s">
        <v>108</v>
      </c>
      <c r="E178" t="s">
        <v>53</v>
      </c>
      <c r="F178" s="8">
        <v>46220</v>
      </c>
      <c r="G178" s="8">
        <v>46220</v>
      </c>
      <c r="H178" s="4">
        <v>0</v>
      </c>
      <c r="J178">
        <v>257</v>
      </c>
      <c r="L178" t="s">
        <v>183</v>
      </c>
      <c r="M178" t="s">
        <v>261</v>
      </c>
      <c r="N178" s="8">
        <v>46183</v>
      </c>
      <c r="P178" t="s">
        <v>379</v>
      </c>
      <c r="Q178" t="s">
        <v>150</v>
      </c>
      <c r="R178" t="s">
        <v>55</v>
      </c>
      <c r="S178" s="8">
        <v>46183</v>
      </c>
      <c r="T178" s="8">
        <v>46183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259</v>
      </c>
      <c r="B179" t="s">
        <v>422</v>
      </c>
      <c r="C179" t="s">
        <v>381</v>
      </c>
      <c r="D179" t="s">
        <v>423</v>
      </c>
      <c r="E179" t="s">
        <v>171</v>
      </c>
      <c r="F179" s="8">
        <v>46209</v>
      </c>
      <c r="G179" s="8">
        <v>46220</v>
      </c>
      <c r="H179" s="4">
        <v>0.43</v>
      </c>
      <c r="L179" t="s">
        <v>180</v>
      </c>
      <c r="M179" t="s">
        <v>177</v>
      </c>
      <c r="N179" s="8">
        <v>46183</v>
      </c>
      <c r="P179" t="s">
        <v>379</v>
      </c>
      <c r="Q179" t="s">
        <v>146</v>
      </c>
      <c r="R179" t="s">
        <v>55</v>
      </c>
      <c r="S179" s="8">
        <v>46175</v>
      </c>
      <c r="T179" s="8">
        <v>46183</v>
      </c>
      <c r="V179">
        <v>0.43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260</v>
      </c>
      <c r="B180" t="s">
        <v>424</v>
      </c>
      <c r="C180" t="s">
        <v>425</v>
      </c>
      <c r="D180" t="s">
        <v>94</v>
      </c>
      <c r="E180" t="s">
        <v>95</v>
      </c>
      <c r="F180" s="8">
        <v>46209</v>
      </c>
      <c r="G180" s="8">
        <v>46216</v>
      </c>
      <c r="H180" s="4">
        <v>1</v>
      </c>
      <c r="I180" s="8">
        <v>46216</v>
      </c>
      <c r="J180" t="s">
        <v>417</v>
      </c>
      <c r="K180">
        <v>261</v>
      </c>
      <c r="L180" t="s">
        <v>59</v>
      </c>
      <c r="M180" t="s">
        <v>177</v>
      </c>
      <c r="N180" s="8">
        <v>46177</v>
      </c>
      <c r="P180" t="s">
        <v>379</v>
      </c>
      <c r="Q180" t="s">
        <v>146</v>
      </c>
      <c r="R180" t="s">
        <v>55</v>
      </c>
      <c r="S180" s="8">
        <v>46175</v>
      </c>
      <c r="T180" s="8">
        <v>46177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</row>
    <row r="181" spans="1:33" x14ac:dyDescent="0.25">
      <c r="A181">
        <v>261</v>
      </c>
      <c r="B181" t="s">
        <v>426</v>
      </c>
      <c r="C181" t="s">
        <v>425</v>
      </c>
      <c r="D181" t="s">
        <v>98</v>
      </c>
      <c r="E181" t="s">
        <v>53</v>
      </c>
      <c r="F181" s="8">
        <v>46217</v>
      </c>
      <c r="G181" s="8">
        <v>46217</v>
      </c>
      <c r="H181" s="4">
        <v>0</v>
      </c>
      <c r="J181">
        <v>260</v>
      </c>
      <c r="K181">
        <v>262</v>
      </c>
      <c r="L181" t="s">
        <v>180</v>
      </c>
      <c r="M181" t="s">
        <v>184</v>
      </c>
      <c r="N181" s="8">
        <v>46178</v>
      </c>
      <c r="P181" t="s">
        <v>379</v>
      </c>
      <c r="Q181" t="s">
        <v>146</v>
      </c>
      <c r="R181" t="s">
        <v>55</v>
      </c>
      <c r="S181" s="8">
        <v>46178</v>
      </c>
      <c r="T181" s="8">
        <v>46178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262</v>
      </c>
      <c r="B182" t="s">
        <v>427</v>
      </c>
      <c r="C182" t="s">
        <v>425</v>
      </c>
      <c r="D182" t="s">
        <v>102</v>
      </c>
      <c r="E182" t="s">
        <v>121</v>
      </c>
      <c r="F182" s="8">
        <v>46218</v>
      </c>
      <c r="G182" s="8">
        <v>46219</v>
      </c>
      <c r="H182" s="4">
        <v>0</v>
      </c>
      <c r="J182">
        <v>261</v>
      </c>
      <c r="K182">
        <v>263</v>
      </c>
      <c r="L182" t="s">
        <v>183</v>
      </c>
      <c r="M182" t="s">
        <v>420</v>
      </c>
      <c r="N182" s="8">
        <v>46182</v>
      </c>
      <c r="P182" t="s">
        <v>379</v>
      </c>
      <c r="Q182" t="s">
        <v>150</v>
      </c>
      <c r="R182" t="s">
        <v>55</v>
      </c>
      <c r="S182" s="8">
        <v>46181</v>
      </c>
      <c r="T182" s="8">
        <v>46182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263</v>
      </c>
      <c r="B183" t="s">
        <v>428</v>
      </c>
      <c r="C183" t="s">
        <v>425</v>
      </c>
      <c r="D183" t="s">
        <v>108</v>
      </c>
      <c r="E183" t="s">
        <v>53</v>
      </c>
      <c r="F183" s="8">
        <v>46220</v>
      </c>
      <c r="G183" s="8">
        <v>46220</v>
      </c>
      <c r="H183" s="4">
        <v>0</v>
      </c>
      <c r="J183">
        <v>262</v>
      </c>
      <c r="L183" t="s">
        <v>183</v>
      </c>
      <c r="M183" t="s">
        <v>261</v>
      </c>
      <c r="N183" s="8">
        <v>46183</v>
      </c>
      <c r="P183" t="s">
        <v>379</v>
      </c>
      <c r="Q183" t="s">
        <v>150</v>
      </c>
      <c r="R183" t="s">
        <v>55</v>
      </c>
      <c r="S183" s="8">
        <v>46183</v>
      </c>
      <c r="T183" s="8">
        <v>46183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5">
      <c r="A184">
        <v>264</v>
      </c>
      <c r="B184" t="s">
        <v>429</v>
      </c>
      <c r="C184" t="s">
        <v>381</v>
      </c>
      <c r="D184" t="s">
        <v>430</v>
      </c>
      <c r="E184" t="s">
        <v>171</v>
      </c>
      <c r="F184" s="8">
        <v>46209</v>
      </c>
      <c r="G184" s="8">
        <v>46220</v>
      </c>
      <c r="H184" s="4">
        <v>0.43</v>
      </c>
      <c r="L184" t="s">
        <v>180</v>
      </c>
      <c r="M184" t="s">
        <v>177</v>
      </c>
      <c r="N184" s="8">
        <v>46183</v>
      </c>
      <c r="P184" t="s">
        <v>379</v>
      </c>
      <c r="Q184" t="s">
        <v>146</v>
      </c>
      <c r="R184" t="s">
        <v>55</v>
      </c>
      <c r="S184" s="8">
        <v>46175</v>
      </c>
      <c r="T184" s="8">
        <v>46183</v>
      </c>
      <c r="V184">
        <v>0.43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265</v>
      </c>
      <c r="B185" t="s">
        <v>431</v>
      </c>
      <c r="C185" t="s">
        <v>432</v>
      </c>
      <c r="D185" t="s">
        <v>94</v>
      </c>
      <c r="E185" t="s">
        <v>95</v>
      </c>
      <c r="F185" s="8">
        <v>46209</v>
      </c>
      <c r="G185" s="8">
        <v>46216</v>
      </c>
      <c r="H185" s="4">
        <v>1</v>
      </c>
      <c r="I185" s="8">
        <v>46216</v>
      </c>
      <c r="J185" t="s">
        <v>417</v>
      </c>
      <c r="K185">
        <v>266</v>
      </c>
      <c r="L185" t="s">
        <v>59</v>
      </c>
      <c r="M185" t="s">
        <v>177</v>
      </c>
      <c r="N185" s="8">
        <v>46177</v>
      </c>
      <c r="P185" t="s">
        <v>379</v>
      </c>
      <c r="Q185" t="s">
        <v>146</v>
      </c>
      <c r="R185" t="s">
        <v>55</v>
      </c>
      <c r="S185" s="8">
        <v>46175</v>
      </c>
      <c r="T185" s="8">
        <v>46177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</row>
    <row r="186" spans="1:33" x14ac:dyDescent="0.25">
      <c r="A186">
        <v>266</v>
      </c>
      <c r="B186" t="s">
        <v>433</v>
      </c>
      <c r="C186" t="s">
        <v>432</v>
      </c>
      <c r="D186" t="s">
        <v>98</v>
      </c>
      <c r="E186" t="s">
        <v>53</v>
      </c>
      <c r="F186" s="8">
        <v>46217</v>
      </c>
      <c r="G186" s="8">
        <v>46217</v>
      </c>
      <c r="H186" s="4">
        <v>0</v>
      </c>
      <c r="J186">
        <v>265</v>
      </c>
      <c r="K186">
        <v>267</v>
      </c>
      <c r="L186" t="s">
        <v>180</v>
      </c>
      <c r="M186" t="s">
        <v>184</v>
      </c>
      <c r="N186" s="8">
        <v>46178</v>
      </c>
      <c r="P186" t="s">
        <v>379</v>
      </c>
      <c r="Q186" t="s">
        <v>146</v>
      </c>
      <c r="R186" t="s">
        <v>55</v>
      </c>
      <c r="S186" s="8">
        <v>46178</v>
      </c>
      <c r="T186" s="8">
        <v>46178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25">
      <c r="A187">
        <v>267</v>
      </c>
      <c r="B187" t="s">
        <v>434</v>
      </c>
      <c r="C187" t="s">
        <v>432</v>
      </c>
      <c r="D187" t="s">
        <v>102</v>
      </c>
      <c r="E187" t="s">
        <v>121</v>
      </c>
      <c r="F187" s="8">
        <v>46218</v>
      </c>
      <c r="G187" s="8">
        <v>46219</v>
      </c>
      <c r="H187" s="4">
        <v>0</v>
      </c>
      <c r="J187">
        <v>266</v>
      </c>
      <c r="K187">
        <v>268</v>
      </c>
      <c r="L187" t="s">
        <v>183</v>
      </c>
      <c r="M187" t="s">
        <v>420</v>
      </c>
      <c r="N187" s="8">
        <v>46182</v>
      </c>
      <c r="P187" t="s">
        <v>379</v>
      </c>
      <c r="Q187" t="s">
        <v>150</v>
      </c>
      <c r="R187" t="s">
        <v>55</v>
      </c>
      <c r="S187" s="8">
        <v>46181</v>
      </c>
      <c r="T187" s="8">
        <v>46182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268</v>
      </c>
      <c r="B188" t="s">
        <v>435</v>
      </c>
      <c r="C188" t="s">
        <v>432</v>
      </c>
      <c r="D188" t="s">
        <v>108</v>
      </c>
      <c r="E188" t="s">
        <v>53</v>
      </c>
      <c r="F188" s="8">
        <v>46220</v>
      </c>
      <c r="G188" s="8">
        <v>46220</v>
      </c>
      <c r="H188" s="4">
        <v>0</v>
      </c>
      <c r="J188">
        <v>267</v>
      </c>
      <c r="L188" t="s">
        <v>183</v>
      </c>
      <c r="M188" t="s">
        <v>261</v>
      </c>
      <c r="N188" s="8">
        <v>46183</v>
      </c>
      <c r="P188" t="s">
        <v>379</v>
      </c>
      <c r="Q188" t="s">
        <v>150</v>
      </c>
      <c r="R188" t="s">
        <v>55</v>
      </c>
      <c r="S188" s="8">
        <v>46183</v>
      </c>
      <c r="T188" s="8">
        <v>46183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284</v>
      </c>
      <c r="B189" t="s">
        <v>436</v>
      </c>
      <c r="C189" t="s">
        <v>381</v>
      </c>
      <c r="D189" t="s">
        <v>437</v>
      </c>
      <c r="E189" t="s">
        <v>171</v>
      </c>
      <c r="F189" s="8">
        <v>46209</v>
      </c>
      <c r="G189" s="8">
        <v>46220</v>
      </c>
      <c r="H189" s="4">
        <v>0.43</v>
      </c>
      <c r="K189" t="s">
        <v>414</v>
      </c>
      <c r="L189" t="s">
        <v>180</v>
      </c>
      <c r="M189" t="s">
        <v>177</v>
      </c>
      <c r="N189" s="8">
        <v>46183</v>
      </c>
      <c r="P189" t="s">
        <v>379</v>
      </c>
      <c r="Q189" t="s">
        <v>146</v>
      </c>
      <c r="R189" t="s">
        <v>55</v>
      </c>
      <c r="S189" s="8">
        <v>46175</v>
      </c>
      <c r="T189" s="8">
        <v>46183</v>
      </c>
      <c r="V189">
        <v>0.43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5">
      <c r="A190">
        <v>285</v>
      </c>
      <c r="B190" t="s">
        <v>438</v>
      </c>
      <c r="C190" t="s">
        <v>439</v>
      </c>
      <c r="D190" t="s">
        <v>94</v>
      </c>
      <c r="E190" t="s">
        <v>95</v>
      </c>
      <c r="F190" s="8">
        <v>46209</v>
      </c>
      <c r="G190" s="8">
        <v>46216</v>
      </c>
      <c r="H190" s="4">
        <v>1</v>
      </c>
      <c r="I190" s="8">
        <v>46216</v>
      </c>
      <c r="J190" t="s">
        <v>417</v>
      </c>
      <c r="K190">
        <v>286</v>
      </c>
      <c r="L190" t="s">
        <v>59</v>
      </c>
      <c r="M190" t="s">
        <v>177</v>
      </c>
      <c r="N190" s="8">
        <v>46177</v>
      </c>
      <c r="P190" t="s">
        <v>379</v>
      </c>
      <c r="Q190" t="s">
        <v>146</v>
      </c>
      <c r="R190" t="s">
        <v>55</v>
      </c>
      <c r="S190" s="8">
        <v>46175</v>
      </c>
      <c r="T190" s="8">
        <v>46177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</row>
    <row r="191" spans="1:33" x14ac:dyDescent="0.25">
      <c r="A191">
        <v>286</v>
      </c>
      <c r="B191" t="s">
        <v>440</v>
      </c>
      <c r="C191" t="s">
        <v>439</v>
      </c>
      <c r="D191" t="s">
        <v>98</v>
      </c>
      <c r="E191" t="s">
        <v>53</v>
      </c>
      <c r="F191" s="8">
        <v>46217</v>
      </c>
      <c r="G191" s="8">
        <v>46217</v>
      </c>
      <c r="H191" s="4">
        <v>0</v>
      </c>
      <c r="J191">
        <v>285</v>
      </c>
      <c r="K191">
        <v>287</v>
      </c>
      <c r="L191" t="s">
        <v>180</v>
      </c>
      <c r="M191" t="s">
        <v>184</v>
      </c>
      <c r="N191" s="8">
        <v>46178</v>
      </c>
      <c r="P191" t="s">
        <v>379</v>
      </c>
      <c r="Q191" t="s">
        <v>146</v>
      </c>
      <c r="R191" t="s">
        <v>55</v>
      </c>
      <c r="S191" s="8">
        <v>46178</v>
      </c>
      <c r="T191" s="8">
        <v>46178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287</v>
      </c>
      <c r="B192" t="s">
        <v>441</v>
      </c>
      <c r="C192" t="s">
        <v>439</v>
      </c>
      <c r="D192" t="s">
        <v>102</v>
      </c>
      <c r="E192" t="s">
        <v>121</v>
      </c>
      <c r="F192" s="8">
        <v>46218</v>
      </c>
      <c r="G192" s="8">
        <v>46219</v>
      </c>
      <c r="H192" s="4">
        <v>0</v>
      </c>
      <c r="J192">
        <v>286</v>
      </c>
      <c r="K192">
        <v>288</v>
      </c>
      <c r="L192" t="s">
        <v>183</v>
      </c>
      <c r="M192" t="s">
        <v>420</v>
      </c>
      <c r="N192" s="8">
        <v>46182</v>
      </c>
      <c r="P192" t="s">
        <v>379</v>
      </c>
      <c r="Q192" t="s">
        <v>150</v>
      </c>
      <c r="R192" t="s">
        <v>55</v>
      </c>
      <c r="S192" s="8">
        <v>46181</v>
      </c>
      <c r="T192" s="8">
        <v>46182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5">
      <c r="A193">
        <v>288</v>
      </c>
      <c r="B193" t="s">
        <v>442</v>
      </c>
      <c r="C193" t="s">
        <v>439</v>
      </c>
      <c r="D193" t="s">
        <v>108</v>
      </c>
      <c r="E193" t="s">
        <v>53</v>
      </c>
      <c r="F193" s="8">
        <v>46220</v>
      </c>
      <c r="G193" s="8">
        <v>46220</v>
      </c>
      <c r="H193" s="4">
        <v>0</v>
      </c>
      <c r="J193">
        <v>287</v>
      </c>
      <c r="L193" t="s">
        <v>183</v>
      </c>
      <c r="M193" t="s">
        <v>261</v>
      </c>
      <c r="N193" s="8">
        <v>46183</v>
      </c>
      <c r="P193" t="s">
        <v>379</v>
      </c>
      <c r="Q193" t="s">
        <v>150</v>
      </c>
      <c r="R193" t="s">
        <v>55</v>
      </c>
      <c r="S193" s="8">
        <v>46183</v>
      </c>
      <c r="T193" s="8">
        <v>46183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289</v>
      </c>
      <c r="B194" t="s">
        <v>443</v>
      </c>
      <c r="C194" t="s">
        <v>381</v>
      </c>
      <c r="D194" t="s">
        <v>444</v>
      </c>
      <c r="E194" t="s">
        <v>171</v>
      </c>
      <c r="F194" s="8">
        <v>46209</v>
      </c>
      <c r="G194" s="8">
        <v>46220</v>
      </c>
      <c r="H194" s="4">
        <v>0.43</v>
      </c>
      <c r="L194" t="s">
        <v>180</v>
      </c>
      <c r="M194" t="s">
        <v>177</v>
      </c>
      <c r="N194" s="8">
        <v>46183</v>
      </c>
      <c r="P194" t="s">
        <v>379</v>
      </c>
      <c r="Q194" t="s">
        <v>146</v>
      </c>
      <c r="R194" t="s">
        <v>55</v>
      </c>
      <c r="S194" s="8">
        <v>46175</v>
      </c>
      <c r="T194" s="8">
        <v>46183</v>
      </c>
      <c r="V194">
        <v>0.43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290</v>
      </c>
      <c r="B195" t="s">
        <v>445</v>
      </c>
      <c r="C195" t="s">
        <v>446</v>
      </c>
      <c r="D195" t="s">
        <v>94</v>
      </c>
      <c r="E195" t="s">
        <v>95</v>
      </c>
      <c r="F195" s="8">
        <v>46209</v>
      </c>
      <c r="G195" s="8">
        <v>46216</v>
      </c>
      <c r="H195" s="4">
        <v>1</v>
      </c>
      <c r="I195" s="8">
        <v>46216</v>
      </c>
      <c r="J195" t="s">
        <v>417</v>
      </c>
      <c r="K195">
        <v>291</v>
      </c>
      <c r="L195" t="s">
        <v>59</v>
      </c>
      <c r="M195" t="s">
        <v>177</v>
      </c>
      <c r="N195" s="8">
        <v>46177</v>
      </c>
      <c r="P195" t="s">
        <v>379</v>
      </c>
      <c r="Q195" t="s">
        <v>146</v>
      </c>
      <c r="R195" t="s">
        <v>55</v>
      </c>
      <c r="S195" s="8">
        <v>46175</v>
      </c>
      <c r="T195" s="8">
        <v>46177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</row>
    <row r="196" spans="1:33" x14ac:dyDescent="0.25">
      <c r="A196">
        <v>291</v>
      </c>
      <c r="B196" t="s">
        <v>447</v>
      </c>
      <c r="C196" t="s">
        <v>446</v>
      </c>
      <c r="D196" t="s">
        <v>98</v>
      </c>
      <c r="E196" t="s">
        <v>53</v>
      </c>
      <c r="F196" s="8">
        <v>46217</v>
      </c>
      <c r="G196" s="8">
        <v>46217</v>
      </c>
      <c r="H196" s="4">
        <v>0</v>
      </c>
      <c r="J196">
        <v>290</v>
      </c>
      <c r="K196">
        <v>292</v>
      </c>
      <c r="L196" t="s">
        <v>180</v>
      </c>
      <c r="M196" t="s">
        <v>184</v>
      </c>
      <c r="N196" s="8">
        <v>46178</v>
      </c>
      <c r="P196" t="s">
        <v>379</v>
      </c>
      <c r="Q196" t="s">
        <v>146</v>
      </c>
      <c r="R196" t="s">
        <v>55</v>
      </c>
      <c r="S196" s="8">
        <v>46178</v>
      </c>
      <c r="T196" s="8">
        <v>46178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292</v>
      </c>
      <c r="B197" t="s">
        <v>448</v>
      </c>
      <c r="C197" t="s">
        <v>446</v>
      </c>
      <c r="D197" t="s">
        <v>102</v>
      </c>
      <c r="E197" t="s">
        <v>121</v>
      </c>
      <c r="F197" s="8">
        <v>46218</v>
      </c>
      <c r="G197" s="8">
        <v>46219</v>
      </c>
      <c r="H197" s="4">
        <v>0</v>
      </c>
      <c r="J197">
        <v>291</v>
      </c>
      <c r="K197">
        <v>293</v>
      </c>
      <c r="L197" t="s">
        <v>183</v>
      </c>
      <c r="M197" t="s">
        <v>420</v>
      </c>
      <c r="N197" s="8">
        <v>46182</v>
      </c>
      <c r="P197" t="s">
        <v>379</v>
      </c>
      <c r="Q197" t="s">
        <v>150</v>
      </c>
      <c r="R197" t="s">
        <v>55</v>
      </c>
      <c r="S197" s="8">
        <v>46181</v>
      </c>
      <c r="T197" s="8">
        <v>46182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293</v>
      </c>
      <c r="B198" t="s">
        <v>449</v>
      </c>
      <c r="C198" t="s">
        <v>446</v>
      </c>
      <c r="D198" t="s">
        <v>108</v>
      </c>
      <c r="E198" t="s">
        <v>53</v>
      </c>
      <c r="F198" s="8">
        <v>46220</v>
      </c>
      <c r="G198" s="8">
        <v>46220</v>
      </c>
      <c r="H198" s="4">
        <v>0</v>
      </c>
      <c r="J198">
        <v>292</v>
      </c>
      <c r="L198" t="s">
        <v>183</v>
      </c>
      <c r="M198" t="s">
        <v>261</v>
      </c>
      <c r="N198" s="8">
        <v>46183</v>
      </c>
      <c r="P198" t="s">
        <v>379</v>
      </c>
      <c r="Q198" t="s">
        <v>150</v>
      </c>
      <c r="R198" t="s">
        <v>55</v>
      </c>
      <c r="S198" s="8">
        <v>46183</v>
      </c>
      <c r="T198" s="8">
        <v>46183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294</v>
      </c>
      <c r="B199" t="s">
        <v>450</v>
      </c>
      <c r="C199" t="s">
        <v>381</v>
      </c>
      <c r="D199" t="s">
        <v>451</v>
      </c>
      <c r="E199" t="s">
        <v>171</v>
      </c>
      <c r="F199" s="8">
        <v>46209</v>
      </c>
      <c r="G199" s="8">
        <v>46220</v>
      </c>
      <c r="H199" s="4">
        <v>0.43</v>
      </c>
      <c r="L199" t="s">
        <v>180</v>
      </c>
      <c r="M199" t="s">
        <v>177</v>
      </c>
      <c r="N199" s="8">
        <v>46183</v>
      </c>
      <c r="P199" t="s">
        <v>379</v>
      </c>
      <c r="Q199" t="s">
        <v>146</v>
      </c>
      <c r="R199" t="s">
        <v>55</v>
      </c>
      <c r="S199" s="8">
        <v>46175</v>
      </c>
      <c r="T199" s="8">
        <v>46183</v>
      </c>
      <c r="V199">
        <v>0.43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295</v>
      </c>
      <c r="B200" t="s">
        <v>452</v>
      </c>
      <c r="C200" t="s">
        <v>453</v>
      </c>
      <c r="D200" t="s">
        <v>94</v>
      </c>
      <c r="E200" t="s">
        <v>95</v>
      </c>
      <c r="F200" s="8">
        <v>46209</v>
      </c>
      <c r="G200" s="8">
        <v>46216</v>
      </c>
      <c r="H200" s="4">
        <v>1</v>
      </c>
      <c r="I200" s="8">
        <v>46216</v>
      </c>
      <c r="J200" t="s">
        <v>417</v>
      </c>
      <c r="K200">
        <v>296</v>
      </c>
      <c r="L200" t="s">
        <v>59</v>
      </c>
      <c r="M200" t="s">
        <v>177</v>
      </c>
      <c r="N200" s="8">
        <v>46177</v>
      </c>
      <c r="P200" t="s">
        <v>379</v>
      </c>
      <c r="Q200" t="s">
        <v>146</v>
      </c>
      <c r="R200" t="s">
        <v>55</v>
      </c>
      <c r="S200" s="8">
        <v>46175</v>
      </c>
      <c r="T200" s="8">
        <v>46177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</row>
    <row r="201" spans="1:33" x14ac:dyDescent="0.25">
      <c r="A201">
        <v>296</v>
      </c>
      <c r="B201" t="s">
        <v>454</v>
      </c>
      <c r="C201" t="s">
        <v>453</v>
      </c>
      <c r="D201" t="s">
        <v>98</v>
      </c>
      <c r="E201" t="s">
        <v>53</v>
      </c>
      <c r="F201" s="8">
        <v>46217</v>
      </c>
      <c r="G201" s="8">
        <v>46217</v>
      </c>
      <c r="H201" s="4">
        <v>0</v>
      </c>
      <c r="J201">
        <v>295</v>
      </c>
      <c r="K201">
        <v>297</v>
      </c>
      <c r="L201" t="s">
        <v>180</v>
      </c>
      <c r="M201" t="s">
        <v>184</v>
      </c>
      <c r="N201" s="8">
        <v>46178</v>
      </c>
      <c r="P201" t="s">
        <v>379</v>
      </c>
      <c r="Q201" t="s">
        <v>146</v>
      </c>
      <c r="R201" t="s">
        <v>55</v>
      </c>
      <c r="S201" s="8">
        <v>46178</v>
      </c>
      <c r="T201" s="8">
        <v>46178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297</v>
      </c>
      <c r="B202" t="s">
        <v>455</v>
      </c>
      <c r="C202" t="s">
        <v>453</v>
      </c>
      <c r="D202" t="s">
        <v>102</v>
      </c>
      <c r="E202" t="s">
        <v>121</v>
      </c>
      <c r="F202" s="8">
        <v>46218</v>
      </c>
      <c r="G202" s="8">
        <v>46219</v>
      </c>
      <c r="H202" s="4">
        <v>0</v>
      </c>
      <c r="J202">
        <v>296</v>
      </c>
      <c r="K202">
        <v>298</v>
      </c>
      <c r="L202" t="s">
        <v>183</v>
      </c>
      <c r="M202" t="s">
        <v>420</v>
      </c>
      <c r="N202" s="8">
        <v>46182</v>
      </c>
      <c r="P202" t="s">
        <v>379</v>
      </c>
      <c r="Q202" t="s">
        <v>150</v>
      </c>
      <c r="R202" t="s">
        <v>55</v>
      </c>
      <c r="S202" s="8">
        <v>46181</v>
      </c>
      <c r="T202" s="8">
        <v>46182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298</v>
      </c>
      <c r="B203" t="s">
        <v>456</v>
      </c>
      <c r="C203" t="s">
        <v>453</v>
      </c>
      <c r="D203" t="s">
        <v>108</v>
      </c>
      <c r="E203" t="s">
        <v>53</v>
      </c>
      <c r="F203" s="8">
        <v>46220</v>
      </c>
      <c r="G203" s="8">
        <v>46220</v>
      </c>
      <c r="H203" s="4">
        <v>0</v>
      </c>
      <c r="J203">
        <v>297</v>
      </c>
      <c r="L203" t="s">
        <v>183</v>
      </c>
      <c r="M203" t="s">
        <v>261</v>
      </c>
      <c r="N203" s="8">
        <v>46183</v>
      </c>
      <c r="P203" t="s">
        <v>379</v>
      </c>
      <c r="Q203" t="s">
        <v>150</v>
      </c>
      <c r="R203" t="s">
        <v>55</v>
      </c>
      <c r="S203" s="8">
        <v>46183</v>
      </c>
      <c r="T203" s="8">
        <v>46183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299</v>
      </c>
      <c r="B204" t="s">
        <v>457</v>
      </c>
      <c r="C204" t="s">
        <v>381</v>
      </c>
      <c r="D204" t="s">
        <v>458</v>
      </c>
      <c r="E204" t="s">
        <v>171</v>
      </c>
      <c r="F204" s="8">
        <v>46209</v>
      </c>
      <c r="G204" s="8">
        <v>46220</v>
      </c>
      <c r="H204" s="4">
        <v>0.43</v>
      </c>
      <c r="L204" t="s">
        <v>180</v>
      </c>
      <c r="M204" t="s">
        <v>177</v>
      </c>
      <c r="N204" s="8">
        <v>46183</v>
      </c>
      <c r="P204" t="s">
        <v>379</v>
      </c>
      <c r="Q204" t="s">
        <v>146</v>
      </c>
      <c r="R204" t="s">
        <v>55</v>
      </c>
      <c r="S204" s="8">
        <v>46175</v>
      </c>
      <c r="T204" s="8">
        <v>46183</v>
      </c>
      <c r="U204" t="s">
        <v>289</v>
      </c>
      <c r="V204">
        <v>0.43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300</v>
      </c>
      <c r="B205" t="s">
        <v>459</v>
      </c>
      <c r="C205" t="s">
        <v>460</v>
      </c>
      <c r="D205" t="s">
        <v>94</v>
      </c>
      <c r="E205" t="s">
        <v>95</v>
      </c>
      <c r="F205" s="8">
        <v>46209</v>
      </c>
      <c r="G205" s="8">
        <v>46216</v>
      </c>
      <c r="H205" s="4">
        <v>1</v>
      </c>
      <c r="I205" s="8">
        <v>46216</v>
      </c>
      <c r="J205" t="s">
        <v>417</v>
      </c>
      <c r="K205">
        <v>301</v>
      </c>
      <c r="L205" t="s">
        <v>59</v>
      </c>
      <c r="M205" t="s">
        <v>194</v>
      </c>
      <c r="N205" s="8">
        <v>46211</v>
      </c>
      <c r="P205" t="s">
        <v>379</v>
      </c>
      <c r="Q205" t="s">
        <v>146</v>
      </c>
      <c r="R205" t="s">
        <v>55</v>
      </c>
      <c r="S205" s="8">
        <v>46209</v>
      </c>
      <c r="T205" s="8">
        <v>46211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</row>
    <row r="206" spans="1:33" x14ac:dyDescent="0.25">
      <c r="A206">
        <v>301</v>
      </c>
      <c r="B206" t="s">
        <v>461</v>
      </c>
      <c r="C206" t="s">
        <v>460</v>
      </c>
      <c r="D206" t="s">
        <v>98</v>
      </c>
      <c r="E206" t="s">
        <v>53</v>
      </c>
      <c r="F206" s="8">
        <v>46217</v>
      </c>
      <c r="G206" s="8">
        <v>46217</v>
      </c>
      <c r="H206" s="4">
        <v>0</v>
      </c>
      <c r="J206">
        <v>300</v>
      </c>
      <c r="K206">
        <v>302</v>
      </c>
      <c r="L206" t="s">
        <v>180</v>
      </c>
      <c r="M206" t="s">
        <v>462</v>
      </c>
      <c r="N206" s="8">
        <v>46216</v>
      </c>
      <c r="P206" t="s">
        <v>379</v>
      </c>
      <c r="Q206" t="s">
        <v>146</v>
      </c>
      <c r="R206" t="s">
        <v>55</v>
      </c>
      <c r="S206" s="8">
        <v>46216</v>
      </c>
      <c r="T206" s="8">
        <v>46216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302</v>
      </c>
      <c r="B207" t="s">
        <v>463</v>
      </c>
      <c r="C207" t="s">
        <v>460</v>
      </c>
      <c r="D207" t="s">
        <v>102</v>
      </c>
      <c r="E207" t="s">
        <v>121</v>
      </c>
      <c r="F207" s="8">
        <v>46218</v>
      </c>
      <c r="G207" s="8">
        <v>46219</v>
      </c>
      <c r="H207" s="4">
        <v>0</v>
      </c>
      <c r="J207">
        <v>301</v>
      </c>
      <c r="K207">
        <v>303</v>
      </c>
      <c r="L207" t="s">
        <v>183</v>
      </c>
      <c r="M207" t="s">
        <v>464</v>
      </c>
      <c r="N207" s="8">
        <v>46218</v>
      </c>
      <c r="P207" t="s">
        <v>379</v>
      </c>
      <c r="Q207" t="s">
        <v>150</v>
      </c>
      <c r="R207" t="s">
        <v>55</v>
      </c>
      <c r="S207" s="8">
        <v>46217</v>
      </c>
      <c r="T207" s="8">
        <v>46218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303</v>
      </c>
      <c r="B208" t="s">
        <v>465</v>
      </c>
      <c r="C208" t="s">
        <v>460</v>
      </c>
      <c r="D208" t="s">
        <v>108</v>
      </c>
      <c r="E208" t="s">
        <v>53</v>
      </c>
      <c r="F208" s="8">
        <v>46220</v>
      </c>
      <c r="G208" s="8">
        <v>46220</v>
      </c>
      <c r="H208" s="4">
        <v>0</v>
      </c>
      <c r="J208">
        <v>302</v>
      </c>
      <c r="L208" t="s">
        <v>183</v>
      </c>
      <c r="M208" t="s">
        <v>466</v>
      </c>
      <c r="N208" s="8">
        <v>46219</v>
      </c>
      <c r="P208" t="s">
        <v>379</v>
      </c>
      <c r="Q208" t="s">
        <v>150</v>
      </c>
      <c r="R208" t="s">
        <v>55</v>
      </c>
      <c r="S208" s="8">
        <v>46219</v>
      </c>
      <c r="T208" s="8">
        <v>46219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304</v>
      </c>
      <c r="B209" t="s">
        <v>467</v>
      </c>
      <c r="C209" t="s">
        <v>381</v>
      </c>
      <c r="D209" t="s">
        <v>468</v>
      </c>
      <c r="E209" t="s">
        <v>171</v>
      </c>
      <c r="F209" s="8">
        <v>46209</v>
      </c>
      <c r="G209" s="8">
        <v>46220</v>
      </c>
      <c r="H209" s="4">
        <v>0.43</v>
      </c>
      <c r="K209" t="s">
        <v>414</v>
      </c>
      <c r="L209" t="s">
        <v>180</v>
      </c>
      <c r="M209" t="s">
        <v>177</v>
      </c>
      <c r="N209" s="8">
        <v>46183</v>
      </c>
      <c r="P209" t="s">
        <v>379</v>
      </c>
      <c r="Q209" t="s">
        <v>146</v>
      </c>
      <c r="R209" t="s">
        <v>55</v>
      </c>
      <c r="S209" s="8">
        <v>46175</v>
      </c>
      <c r="T209" s="8">
        <v>46183</v>
      </c>
      <c r="U209" t="s">
        <v>289</v>
      </c>
      <c r="V209">
        <v>0.43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305</v>
      </c>
      <c r="B210" t="s">
        <v>469</v>
      </c>
      <c r="C210" t="s">
        <v>470</v>
      </c>
      <c r="D210" t="s">
        <v>94</v>
      </c>
      <c r="E210" t="s">
        <v>95</v>
      </c>
      <c r="F210" s="8">
        <v>46209</v>
      </c>
      <c r="G210" s="8">
        <v>46216</v>
      </c>
      <c r="H210" s="4">
        <v>1</v>
      </c>
      <c r="I210" s="8">
        <v>46216</v>
      </c>
      <c r="J210" t="s">
        <v>417</v>
      </c>
      <c r="K210">
        <v>306</v>
      </c>
      <c r="L210" t="s">
        <v>59</v>
      </c>
      <c r="M210" t="s">
        <v>194</v>
      </c>
      <c r="N210" s="8">
        <v>46211</v>
      </c>
      <c r="P210" t="s">
        <v>379</v>
      </c>
      <c r="Q210" t="s">
        <v>146</v>
      </c>
      <c r="R210" t="s">
        <v>55</v>
      </c>
      <c r="S210" s="8">
        <v>46209</v>
      </c>
      <c r="T210" s="8">
        <v>46211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</row>
    <row r="211" spans="1:33" x14ac:dyDescent="0.25">
      <c r="A211">
        <v>306</v>
      </c>
      <c r="B211" t="s">
        <v>471</v>
      </c>
      <c r="C211" t="s">
        <v>470</v>
      </c>
      <c r="D211" t="s">
        <v>98</v>
      </c>
      <c r="E211" t="s">
        <v>53</v>
      </c>
      <c r="F211" s="8">
        <v>46217</v>
      </c>
      <c r="G211" s="8">
        <v>46217</v>
      </c>
      <c r="H211" s="4">
        <v>0</v>
      </c>
      <c r="J211">
        <v>305</v>
      </c>
      <c r="K211">
        <v>307</v>
      </c>
      <c r="L211" t="s">
        <v>180</v>
      </c>
      <c r="M211" t="s">
        <v>462</v>
      </c>
      <c r="N211" s="8">
        <v>46216</v>
      </c>
      <c r="P211" t="s">
        <v>379</v>
      </c>
      <c r="Q211" t="s">
        <v>146</v>
      </c>
      <c r="R211" t="s">
        <v>55</v>
      </c>
      <c r="S211" s="8">
        <v>46216</v>
      </c>
      <c r="T211" s="8">
        <v>46216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307</v>
      </c>
      <c r="B212" t="s">
        <v>472</v>
      </c>
      <c r="C212" t="s">
        <v>470</v>
      </c>
      <c r="D212" t="s">
        <v>102</v>
      </c>
      <c r="E212" t="s">
        <v>121</v>
      </c>
      <c r="F212" s="8">
        <v>46218</v>
      </c>
      <c r="G212" s="8">
        <v>46219</v>
      </c>
      <c r="H212" s="4">
        <v>0</v>
      </c>
      <c r="J212">
        <v>306</v>
      </c>
      <c r="K212">
        <v>308</v>
      </c>
      <c r="L212" t="s">
        <v>183</v>
      </c>
      <c r="M212" t="s">
        <v>464</v>
      </c>
      <c r="N212" s="8">
        <v>46218</v>
      </c>
      <c r="P212" t="s">
        <v>379</v>
      </c>
      <c r="Q212" t="s">
        <v>150</v>
      </c>
      <c r="R212" t="s">
        <v>55</v>
      </c>
      <c r="S212" s="8">
        <v>46217</v>
      </c>
      <c r="T212" s="8">
        <v>46218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308</v>
      </c>
      <c r="B213" t="s">
        <v>473</v>
      </c>
      <c r="C213" t="s">
        <v>470</v>
      </c>
      <c r="D213" t="s">
        <v>108</v>
      </c>
      <c r="E213" t="s">
        <v>53</v>
      </c>
      <c r="F213" s="8">
        <v>46220</v>
      </c>
      <c r="G213" s="8">
        <v>46220</v>
      </c>
      <c r="H213" s="4">
        <v>0</v>
      </c>
      <c r="J213">
        <v>307</v>
      </c>
      <c r="L213" t="s">
        <v>183</v>
      </c>
      <c r="M213" t="s">
        <v>466</v>
      </c>
      <c r="N213" s="8">
        <v>46219</v>
      </c>
      <c r="P213" t="s">
        <v>379</v>
      </c>
      <c r="Q213" t="s">
        <v>150</v>
      </c>
      <c r="R213" t="s">
        <v>55</v>
      </c>
      <c r="S213" s="8">
        <v>46219</v>
      </c>
      <c r="T213" s="8">
        <v>46219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314</v>
      </c>
      <c r="B214" t="s">
        <v>474</v>
      </c>
      <c r="C214" t="s">
        <v>381</v>
      </c>
      <c r="D214" t="s">
        <v>475</v>
      </c>
      <c r="E214" t="s">
        <v>356</v>
      </c>
      <c r="F214" s="8">
        <v>46206</v>
      </c>
      <c r="G214" s="8">
        <v>46218</v>
      </c>
      <c r="H214" s="4">
        <v>0.43</v>
      </c>
      <c r="L214" t="s">
        <v>35</v>
      </c>
      <c r="M214" t="s">
        <v>177</v>
      </c>
      <c r="N214" s="8">
        <v>46183</v>
      </c>
      <c r="P214" t="s">
        <v>379</v>
      </c>
      <c r="Q214" t="s">
        <v>146</v>
      </c>
      <c r="R214" t="s">
        <v>55</v>
      </c>
      <c r="S214" s="8">
        <v>46175</v>
      </c>
      <c r="T214" s="8">
        <v>46183</v>
      </c>
      <c r="V214">
        <v>0.43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315</v>
      </c>
      <c r="B215" t="s">
        <v>476</v>
      </c>
      <c r="C215" t="s">
        <v>477</v>
      </c>
      <c r="D215" t="s">
        <v>94</v>
      </c>
      <c r="E215" t="s">
        <v>95</v>
      </c>
      <c r="F215" s="8">
        <v>46206</v>
      </c>
      <c r="G215" s="8">
        <v>46210</v>
      </c>
      <c r="H215" s="4">
        <v>1</v>
      </c>
      <c r="I215" s="8">
        <v>46210</v>
      </c>
      <c r="J215">
        <v>242</v>
      </c>
      <c r="K215">
        <v>316</v>
      </c>
      <c r="L215" t="s">
        <v>59</v>
      </c>
      <c r="M215" t="s">
        <v>177</v>
      </c>
      <c r="N215" s="8">
        <v>46177</v>
      </c>
      <c r="P215" t="s">
        <v>379</v>
      </c>
      <c r="Q215" t="s">
        <v>146</v>
      </c>
      <c r="R215" t="s">
        <v>55</v>
      </c>
      <c r="S215" s="8">
        <v>46175</v>
      </c>
      <c r="T215" s="8">
        <v>46177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</v>
      </c>
    </row>
    <row r="216" spans="1:33" x14ac:dyDescent="0.25">
      <c r="A216">
        <v>316</v>
      </c>
      <c r="B216" t="s">
        <v>478</v>
      </c>
      <c r="C216" t="s">
        <v>477</v>
      </c>
      <c r="D216" t="s">
        <v>98</v>
      </c>
      <c r="E216" t="s">
        <v>53</v>
      </c>
      <c r="F216" s="8">
        <v>46211</v>
      </c>
      <c r="G216" s="8">
        <v>46211</v>
      </c>
      <c r="H216" s="4">
        <v>0</v>
      </c>
      <c r="J216">
        <v>315</v>
      </c>
      <c r="K216">
        <v>317</v>
      </c>
      <c r="L216" t="s">
        <v>35</v>
      </c>
      <c r="M216" t="s">
        <v>184</v>
      </c>
      <c r="N216" s="8">
        <v>46178</v>
      </c>
      <c r="P216" t="s">
        <v>379</v>
      </c>
      <c r="Q216" t="s">
        <v>146</v>
      </c>
      <c r="R216" t="s">
        <v>55</v>
      </c>
      <c r="S216" s="8">
        <v>46178</v>
      </c>
      <c r="T216" s="8">
        <v>46178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317</v>
      </c>
      <c r="B217" t="s">
        <v>479</v>
      </c>
      <c r="C217" t="s">
        <v>477</v>
      </c>
      <c r="D217" t="s">
        <v>102</v>
      </c>
      <c r="E217" t="s">
        <v>121</v>
      </c>
      <c r="F217" s="8">
        <v>46216</v>
      </c>
      <c r="G217" s="8">
        <v>46217</v>
      </c>
      <c r="H217" s="4">
        <v>0</v>
      </c>
      <c r="J217">
        <v>316</v>
      </c>
      <c r="K217">
        <v>318</v>
      </c>
      <c r="L217" t="s">
        <v>35</v>
      </c>
      <c r="M217" t="s">
        <v>420</v>
      </c>
      <c r="N217" s="8">
        <v>46182</v>
      </c>
      <c r="P217" t="s">
        <v>379</v>
      </c>
      <c r="Q217" t="s">
        <v>150</v>
      </c>
      <c r="R217" t="s">
        <v>55</v>
      </c>
      <c r="S217" s="8">
        <v>46181</v>
      </c>
      <c r="T217" s="8">
        <v>46182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</row>
    <row r="218" spans="1:33" x14ac:dyDescent="0.25">
      <c r="A218">
        <v>318</v>
      </c>
      <c r="B218" t="s">
        <v>480</v>
      </c>
      <c r="C218" t="s">
        <v>477</v>
      </c>
      <c r="D218" t="s">
        <v>108</v>
      </c>
      <c r="E218" t="s">
        <v>53</v>
      </c>
      <c r="F218" s="8">
        <v>46218</v>
      </c>
      <c r="G218" s="8">
        <v>46218</v>
      </c>
      <c r="H218" s="4">
        <v>0</v>
      </c>
      <c r="J218">
        <v>317</v>
      </c>
      <c r="L218" t="s">
        <v>183</v>
      </c>
      <c r="M218" t="s">
        <v>261</v>
      </c>
      <c r="N218" s="8">
        <v>46183</v>
      </c>
      <c r="P218" t="s">
        <v>379</v>
      </c>
      <c r="Q218" t="s">
        <v>150</v>
      </c>
      <c r="R218" t="s">
        <v>55</v>
      </c>
      <c r="S218" s="8">
        <v>46183</v>
      </c>
      <c r="T218" s="8">
        <v>46183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324</v>
      </c>
      <c r="B219" t="s">
        <v>481</v>
      </c>
      <c r="C219" t="s">
        <v>73</v>
      </c>
      <c r="D219" t="s">
        <v>482</v>
      </c>
      <c r="E219" t="s">
        <v>483</v>
      </c>
      <c r="F219" s="8">
        <v>46206</v>
      </c>
      <c r="G219" s="8">
        <v>46227</v>
      </c>
      <c r="H219" s="4">
        <v>0.06</v>
      </c>
      <c r="L219" t="s">
        <v>35</v>
      </c>
      <c r="M219" t="s">
        <v>265</v>
      </c>
      <c r="N219" s="8">
        <v>46211</v>
      </c>
      <c r="P219" t="s">
        <v>484</v>
      </c>
      <c r="Q219" t="s">
        <v>133</v>
      </c>
      <c r="R219" t="s">
        <v>55</v>
      </c>
      <c r="S219" s="8">
        <v>46188</v>
      </c>
      <c r="T219" s="8">
        <v>46211</v>
      </c>
      <c r="V219">
        <v>0.06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330</v>
      </c>
      <c r="B220" t="s">
        <v>485</v>
      </c>
      <c r="C220" t="s">
        <v>486</v>
      </c>
      <c r="D220" t="s">
        <v>487</v>
      </c>
      <c r="E220" t="s">
        <v>488</v>
      </c>
      <c r="F220" s="8">
        <v>46211</v>
      </c>
      <c r="G220" s="8">
        <v>46219</v>
      </c>
      <c r="H220" s="4">
        <v>0.5</v>
      </c>
      <c r="L220" t="s">
        <v>35</v>
      </c>
      <c r="M220" t="s">
        <v>315</v>
      </c>
      <c r="N220" s="8">
        <v>46198</v>
      </c>
      <c r="P220" t="s">
        <v>484</v>
      </c>
      <c r="Q220" t="s">
        <v>178</v>
      </c>
      <c r="R220" t="s">
        <v>55</v>
      </c>
      <c r="S220" s="8">
        <v>46190</v>
      </c>
      <c r="T220" s="8">
        <v>46198</v>
      </c>
      <c r="V220">
        <v>0.5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331</v>
      </c>
      <c r="B221" t="s">
        <v>489</v>
      </c>
      <c r="C221" t="s">
        <v>490</v>
      </c>
      <c r="D221" t="s">
        <v>94</v>
      </c>
      <c r="E221" t="s">
        <v>95</v>
      </c>
      <c r="F221" s="8">
        <v>46211</v>
      </c>
      <c r="G221" s="8">
        <v>46216</v>
      </c>
      <c r="H221" s="4">
        <v>1</v>
      </c>
      <c r="I221" s="8">
        <v>46216</v>
      </c>
      <c r="J221" t="s">
        <v>491</v>
      </c>
      <c r="K221" t="s">
        <v>492</v>
      </c>
      <c r="L221" t="s">
        <v>59</v>
      </c>
      <c r="M221" t="s">
        <v>315</v>
      </c>
      <c r="N221" s="8">
        <v>46192</v>
      </c>
      <c r="P221" t="s">
        <v>484</v>
      </c>
      <c r="Q221" t="s">
        <v>178</v>
      </c>
      <c r="R221" t="s">
        <v>55</v>
      </c>
      <c r="S221" s="8">
        <v>46190</v>
      </c>
      <c r="T221" s="8">
        <v>46192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</row>
    <row r="222" spans="1:33" x14ac:dyDescent="0.25">
      <c r="A222">
        <v>332</v>
      </c>
      <c r="B222" t="s">
        <v>493</v>
      </c>
      <c r="C222" t="s">
        <v>490</v>
      </c>
      <c r="D222" t="s">
        <v>98</v>
      </c>
      <c r="E222" t="s">
        <v>53</v>
      </c>
      <c r="F222" s="8">
        <v>46216</v>
      </c>
      <c r="G222" s="8">
        <v>46217</v>
      </c>
      <c r="H222" s="4">
        <v>0</v>
      </c>
      <c r="J222">
        <v>331</v>
      </c>
      <c r="K222">
        <v>333</v>
      </c>
      <c r="L222" t="s">
        <v>35</v>
      </c>
      <c r="M222" t="s">
        <v>188</v>
      </c>
      <c r="N222" s="8">
        <v>46195</v>
      </c>
      <c r="P222" t="s">
        <v>484</v>
      </c>
      <c r="Q222" t="s">
        <v>146</v>
      </c>
      <c r="R222" t="s">
        <v>55</v>
      </c>
      <c r="S222" s="8">
        <v>46195</v>
      </c>
      <c r="T222" s="8">
        <v>46195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333</v>
      </c>
      <c r="B223" t="s">
        <v>494</v>
      </c>
      <c r="C223" t="s">
        <v>490</v>
      </c>
      <c r="D223" t="s">
        <v>102</v>
      </c>
      <c r="E223" t="s">
        <v>53</v>
      </c>
      <c r="F223" s="8">
        <v>46217</v>
      </c>
      <c r="G223" s="8">
        <v>46218</v>
      </c>
      <c r="H223" s="4">
        <v>0</v>
      </c>
      <c r="J223">
        <v>332</v>
      </c>
      <c r="K223" t="s">
        <v>495</v>
      </c>
      <c r="L223" t="s">
        <v>180</v>
      </c>
      <c r="M223" t="s">
        <v>392</v>
      </c>
      <c r="N223" s="8">
        <v>46197</v>
      </c>
      <c r="P223" t="s">
        <v>484</v>
      </c>
      <c r="Q223" t="s">
        <v>146</v>
      </c>
      <c r="R223" t="s">
        <v>55</v>
      </c>
      <c r="S223" s="8">
        <v>46196</v>
      </c>
      <c r="T223" s="8">
        <v>46197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334</v>
      </c>
      <c r="B224" t="s">
        <v>496</v>
      </c>
      <c r="C224" t="s">
        <v>490</v>
      </c>
      <c r="D224" t="s">
        <v>108</v>
      </c>
      <c r="E224" t="s">
        <v>53</v>
      </c>
      <c r="F224" s="8">
        <v>46218</v>
      </c>
      <c r="G224" s="8">
        <v>46219</v>
      </c>
      <c r="H224" s="4">
        <v>0</v>
      </c>
      <c r="J224">
        <v>333</v>
      </c>
      <c r="K224">
        <v>341</v>
      </c>
      <c r="L224" t="s">
        <v>183</v>
      </c>
      <c r="M224" t="s">
        <v>497</v>
      </c>
      <c r="N224" s="8">
        <v>46198</v>
      </c>
      <c r="P224" t="s">
        <v>484</v>
      </c>
      <c r="Q224" t="s">
        <v>146</v>
      </c>
      <c r="R224" t="s">
        <v>55</v>
      </c>
      <c r="S224" s="8">
        <v>46198</v>
      </c>
      <c r="T224" s="8">
        <v>46198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335</v>
      </c>
      <c r="B225" t="s">
        <v>498</v>
      </c>
      <c r="C225" t="s">
        <v>486</v>
      </c>
      <c r="D225" t="s">
        <v>499</v>
      </c>
      <c r="E225" t="s">
        <v>187</v>
      </c>
      <c r="F225" s="8">
        <v>46216</v>
      </c>
      <c r="G225" s="8">
        <v>46224</v>
      </c>
      <c r="H225" s="4">
        <v>0</v>
      </c>
      <c r="L225" t="s">
        <v>35</v>
      </c>
      <c r="M225" t="s">
        <v>500</v>
      </c>
      <c r="N225" s="8">
        <v>46210</v>
      </c>
      <c r="P225" t="s">
        <v>484</v>
      </c>
      <c r="Q225" t="s">
        <v>150</v>
      </c>
      <c r="R225" t="s">
        <v>55</v>
      </c>
      <c r="S225" s="8">
        <v>46203</v>
      </c>
      <c r="T225" s="8">
        <v>46210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336</v>
      </c>
      <c r="B226" t="s">
        <v>501</v>
      </c>
      <c r="C226" t="s">
        <v>502</v>
      </c>
      <c r="D226" t="s">
        <v>94</v>
      </c>
      <c r="E226" t="s">
        <v>95</v>
      </c>
      <c r="F226" s="8">
        <v>46216</v>
      </c>
      <c r="G226" s="8">
        <v>46219</v>
      </c>
      <c r="H226" s="4">
        <v>0</v>
      </c>
      <c r="J226">
        <v>331</v>
      </c>
      <c r="K226">
        <v>337</v>
      </c>
      <c r="L226" t="s">
        <v>35</v>
      </c>
      <c r="M226" t="s">
        <v>500</v>
      </c>
      <c r="N226" s="8">
        <v>46204</v>
      </c>
      <c r="P226" t="s">
        <v>484</v>
      </c>
      <c r="Q226" t="s">
        <v>150</v>
      </c>
      <c r="R226" t="s">
        <v>55</v>
      </c>
      <c r="S226" s="8">
        <v>46203</v>
      </c>
      <c r="T226" s="8">
        <v>46204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337</v>
      </c>
      <c r="B227" t="s">
        <v>503</v>
      </c>
      <c r="C227" t="s">
        <v>502</v>
      </c>
      <c r="D227" t="s">
        <v>98</v>
      </c>
      <c r="E227" t="s">
        <v>53</v>
      </c>
      <c r="F227" s="8">
        <v>46219</v>
      </c>
      <c r="G227" s="8">
        <v>46220</v>
      </c>
      <c r="H227" s="4">
        <v>0</v>
      </c>
      <c r="J227">
        <v>336</v>
      </c>
      <c r="K227">
        <v>338</v>
      </c>
      <c r="L227" t="s">
        <v>183</v>
      </c>
      <c r="M227" t="s">
        <v>293</v>
      </c>
      <c r="N227" s="8">
        <v>46205</v>
      </c>
      <c r="P227" t="s">
        <v>484</v>
      </c>
      <c r="Q227" t="s">
        <v>150</v>
      </c>
      <c r="R227" t="s">
        <v>55</v>
      </c>
      <c r="S227" s="8">
        <v>46205</v>
      </c>
      <c r="T227" s="8">
        <v>46205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338</v>
      </c>
      <c r="B228" t="s">
        <v>504</v>
      </c>
      <c r="C228" t="s">
        <v>502</v>
      </c>
      <c r="D228" t="s">
        <v>102</v>
      </c>
      <c r="E228" t="s">
        <v>53</v>
      </c>
      <c r="F228" s="8">
        <v>46220</v>
      </c>
      <c r="G228" s="8">
        <v>46223</v>
      </c>
      <c r="H228" s="4">
        <v>0</v>
      </c>
      <c r="J228">
        <v>337</v>
      </c>
      <c r="K228">
        <v>339</v>
      </c>
      <c r="L228" t="s">
        <v>183</v>
      </c>
      <c r="M228" t="s">
        <v>192</v>
      </c>
      <c r="N228" s="8">
        <v>46209</v>
      </c>
      <c r="P228" t="s">
        <v>484</v>
      </c>
      <c r="Q228" t="s">
        <v>150</v>
      </c>
      <c r="R228" t="s">
        <v>55</v>
      </c>
      <c r="S228" s="8">
        <v>46206</v>
      </c>
      <c r="T228" s="8">
        <v>46209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339</v>
      </c>
      <c r="B229" t="s">
        <v>505</v>
      </c>
      <c r="C229" t="s">
        <v>502</v>
      </c>
      <c r="D229" t="s">
        <v>108</v>
      </c>
      <c r="E229" t="s">
        <v>53</v>
      </c>
      <c r="F229" s="8">
        <v>46223</v>
      </c>
      <c r="G229" s="8">
        <v>46224</v>
      </c>
      <c r="H229" s="4">
        <v>0</v>
      </c>
      <c r="J229">
        <v>338</v>
      </c>
      <c r="L229" t="s">
        <v>183</v>
      </c>
      <c r="M229" t="s">
        <v>296</v>
      </c>
      <c r="N229" s="8">
        <v>46210</v>
      </c>
      <c r="P229" t="s">
        <v>484</v>
      </c>
      <c r="Q229" t="s">
        <v>506</v>
      </c>
      <c r="R229" t="s">
        <v>55</v>
      </c>
      <c r="S229" s="8">
        <v>46210</v>
      </c>
      <c r="T229" s="8">
        <v>46210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345</v>
      </c>
      <c r="B230" t="s">
        <v>507</v>
      </c>
      <c r="C230" t="s">
        <v>486</v>
      </c>
      <c r="D230" t="s">
        <v>508</v>
      </c>
      <c r="E230" t="s">
        <v>187</v>
      </c>
      <c r="F230" s="8">
        <v>46209</v>
      </c>
      <c r="G230" s="8">
        <v>46218</v>
      </c>
      <c r="H230" s="4">
        <v>0.5</v>
      </c>
      <c r="L230" t="s">
        <v>35</v>
      </c>
      <c r="M230" t="s">
        <v>265</v>
      </c>
      <c r="N230" s="8">
        <v>46198</v>
      </c>
      <c r="P230" t="s">
        <v>484</v>
      </c>
      <c r="Q230" t="s">
        <v>133</v>
      </c>
      <c r="R230" t="s">
        <v>55</v>
      </c>
      <c r="S230" s="8">
        <v>46188</v>
      </c>
      <c r="T230" s="8">
        <v>46198</v>
      </c>
      <c r="V230">
        <v>0.5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346</v>
      </c>
      <c r="B231" t="s">
        <v>509</v>
      </c>
      <c r="C231" t="s">
        <v>510</v>
      </c>
      <c r="D231" t="s">
        <v>94</v>
      </c>
      <c r="E231" t="s">
        <v>95</v>
      </c>
      <c r="F231" s="8">
        <v>46209</v>
      </c>
      <c r="G231" s="8">
        <v>46211</v>
      </c>
      <c r="H231" s="4">
        <v>1</v>
      </c>
      <c r="I231" s="8">
        <v>46211</v>
      </c>
      <c r="J231" t="s">
        <v>511</v>
      </c>
      <c r="K231" t="s">
        <v>512</v>
      </c>
      <c r="L231" t="s">
        <v>59</v>
      </c>
      <c r="M231" t="s">
        <v>265</v>
      </c>
      <c r="N231" s="8">
        <v>46192</v>
      </c>
      <c r="P231" t="s">
        <v>484</v>
      </c>
      <c r="Q231" t="s">
        <v>133</v>
      </c>
      <c r="R231" t="s">
        <v>55</v>
      </c>
      <c r="S231" s="8">
        <v>46188</v>
      </c>
      <c r="T231" s="8">
        <v>46192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</row>
    <row r="232" spans="1:33" x14ac:dyDescent="0.25">
      <c r="A232">
        <v>347</v>
      </c>
      <c r="B232" t="s">
        <v>513</v>
      </c>
      <c r="C232" t="s">
        <v>510</v>
      </c>
      <c r="D232" t="s">
        <v>98</v>
      </c>
      <c r="E232" t="s">
        <v>53</v>
      </c>
      <c r="F232" s="8">
        <v>46216</v>
      </c>
      <c r="G232" s="8">
        <v>46216</v>
      </c>
      <c r="H232" s="4">
        <v>0</v>
      </c>
      <c r="J232">
        <v>346</v>
      </c>
      <c r="K232">
        <v>348</v>
      </c>
      <c r="L232" t="s">
        <v>35</v>
      </c>
      <c r="M232" t="s">
        <v>188</v>
      </c>
      <c r="N232" s="8">
        <v>46195</v>
      </c>
      <c r="P232" t="s">
        <v>484</v>
      </c>
      <c r="Q232" t="s">
        <v>178</v>
      </c>
      <c r="R232" t="s">
        <v>55</v>
      </c>
      <c r="S232" s="8">
        <v>46195</v>
      </c>
      <c r="T232" s="8">
        <v>46195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348</v>
      </c>
      <c r="B233" t="s">
        <v>514</v>
      </c>
      <c r="C233" t="s">
        <v>510</v>
      </c>
      <c r="D233" t="s">
        <v>102</v>
      </c>
      <c r="E233" t="s">
        <v>53</v>
      </c>
      <c r="F233" s="8">
        <v>46217</v>
      </c>
      <c r="G233" s="8">
        <v>46217</v>
      </c>
      <c r="H233" s="4">
        <v>0</v>
      </c>
      <c r="J233">
        <v>347</v>
      </c>
      <c r="K233">
        <v>349</v>
      </c>
      <c r="L233" t="s">
        <v>180</v>
      </c>
      <c r="M233" t="s">
        <v>392</v>
      </c>
      <c r="N233" s="8">
        <v>46197</v>
      </c>
      <c r="P233" t="s">
        <v>484</v>
      </c>
      <c r="Q233" t="s">
        <v>178</v>
      </c>
      <c r="R233" t="s">
        <v>55</v>
      </c>
      <c r="S233" s="8">
        <v>46196</v>
      </c>
      <c r="T233" s="8">
        <v>46197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349</v>
      </c>
      <c r="B234" t="s">
        <v>515</v>
      </c>
      <c r="C234" t="s">
        <v>510</v>
      </c>
      <c r="D234" t="s">
        <v>108</v>
      </c>
      <c r="E234" t="s">
        <v>53</v>
      </c>
      <c r="F234" s="8">
        <v>46218</v>
      </c>
      <c r="G234" s="8">
        <v>46218</v>
      </c>
      <c r="H234" s="4">
        <v>0</v>
      </c>
      <c r="J234">
        <v>348</v>
      </c>
      <c r="L234" t="s">
        <v>183</v>
      </c>
      <c r="M234" t="s">
        <v>497</v>
      </c>
      <c r="N234" s="8">
        <v>46198</v>
      </c>
      <c r="P234" t="s">
        <v>484</v>
      </c>
      <c r="Q234" t="s">
        <v>178</v>
      </c>
      <c r="R234" t="s">
        <v>55</v>
      </c>
      <c r="S234" s="8">
        <v>46198</v>
      </c>
      <c r="T234" s="8">
        <v>46198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350</v>
      </c>
      <c r="B235" t="s">
        <v>516</v>
      </c>
      <c r="C235" t="s">
        <v>486</v>
      </c>
      <c r="D235" t="s">
        <v>517</v>
      </c>
      <c r="E235" t="s">
        <v>356</v>
      </c>
      <c r="F235" s="8">
        <v>46218</v>
      </c>
      <c r="G235" s="8">
        <v>46227</v>
      </c>
      <c r="H235" s="4">
        <v>0</v>
      </c>
      <c r="L235" t="s">
        <v>183</v>
      </c>
      <c r="M235" t="s">
        <v>497</v>
      </c>
      <c r="N235" s="8">
        <v>46211</v>
      </c>
      <c r="P235" t="s">
        <v>484</v>
      </c>
      <c r="Q235" t="s">
        <v>146</v>
      </c>
      <c r="R235" t="s">
        <v>55</v>
      </c>
      <c r="S235" s="8">
        <v>46198</v>
      </c>
      <c r="T235" s="8">
        <v>46211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351</v>
      </c>
      <c r="B236" t="s">
        <v>518</v>
      </c>
      <c r="C236" t="s">
        <v>519</v>
      </c>
      <c r="D236" t="s">
        <v>94</v>
      </c>
      <c r="E236" t="s">
        <v>175</v>
      </c>
      <c r="F236" s="8">
        <v>46218</v>
      </c>
      <c r="G236" s="8">
        <v>46224</v>
      </c>
      <c r="H236" s="4">
        <v>0</v>
      </c>
      <c r="J236">
        <v>333</v>
      </c>
      <c r="K236">
        <v>352</v>
      </c>
      <c r="L236" t="s">
        <v>183</v>
      </c>
      <c r="M236" t="s">
        <v>497</v>
      </c>
      <c r="N236" s="8">
        <v>46205</v>
      </c>
      <c r="P236" t="s">
        <v>484</v>
      </c>
      <c r="Q236" t="s">
        <v>146</v>
      </c>
      <c r="R236" t="s">
        <v>55</v>
      </c>
      <c r="S236" s="8">
        <v>46198</v>
      </c>
      <c r="T236" s="8">
        <v>46205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352</v>
      </c>
      <c r="B237" t="s">
        <v>520</v>
      </c>
      <c r="C237" t="s">
        <v>519</v>
      </c>
      <c r="D237" t="s">
        <v>98</v>
      </c>
      <c r="E237" t="s">
        <v>53</v>
      </c>
      <c r="F237" s="8">
        <v>46224</v>
      </c>
      <c r="G237" s="8">
        <v>46225</v>
      </c>
      <c r="H237" s="4">
        <v>0</v>
      </c>
      <c r="J237">
        <v>351</v>
      </c>
      <c r="K237">
        <v>353</v>
      </c>
      <c r="L237" t="s">
        <v>183</v>
      </c>
      <c r="M237" t="s">
        <v>192</v>
      </c>
      <c r="N237" s="8">
        <v>46206</v>
      </c>
      <c r="P237" t="s">
        <v>484</v>
      </c>
      <c r="Q237" t="s">
        <v>150</v>
      </c>
      <c r="R237" t="s">
        <v>55</v>
      </c>
      <c r="S237" s="8">
        <v>46206</v>
      </c>
      <c r="T237" s="8">
        <v>46206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353</v>
      </c>
      <c r="B238" t="s">
        <v>521</v>
      </c>
      <c r="C238" t="s">
        <v>519</v>
      </c>
      <c r="D238" t="s">
        <v>102</v>
      </c>
      <c r="E238" t="s">
        <v>53</v>
      </c>
      <c r="F238" s="8">
        <v>46225</v>
      </c>
      <c r="G238" s="8">
        <v>46226</v>
      </c>
      <c r="H238" s="4">
        <v>0</v>
      </c>
      <c r="J238">
        <v>352</v>
      </c>
      <c r="K238">
        <v>354</v>
      </c>
      <c r="L238" t="s">
        <v>183</v>
      </c>
      <c r="M238" t="s">
        <v>194</v>
      </c>
      <c r="N238" s="8">
        <v>46210</v>
      </c>
      <c r="P238" t="s">
        <v>484</v>
      </c>
      <c r="Q238" t="s">
        <v>150</v>
      </c>
      <c r="R238" t="s">
        <v>55</v>
      </c>
      <c r="S238" s="8">
        <v>46209</v>
      </c>
      <c r="T238" s="8">
        <v>46210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354</v>
      </c>
      <c r="B239" t="s">
        <v>522</v>
      </c>
      <c r="C239" t="s">
        <v>519</v>
      </c>
      <c r="D239" t="s">
        <v>108</v>
      </c>
      <c r="E239" t="s">
        <v>53</v>
      </c>
      <c r="F239" s="8">
        <v>46226</v>
      </c>
      <c r="G239" s="8">
        <v>46227</v>
      </c>
      <c r="H239" s="4">
        <v>0</v>
      </c>
      <c r="J239">
        <v>353</v>
      </c>
      <c r="L239" t="s">
        <v>183</v>
      </c>
      <c r="M239" t="s">
        <v>196</v>
      </c>
      <c r="N239" s="8">
        <v>46211</v>
      </c>
      <c r="P239" t="s">
        <v>484</v>
      </c>
      <c r="Q239" t="s">
        <v>506</v>
      </c>
      <c r="R239" t="s">
        <v>55</v>
      </c>
      <c r="S239" s="8">
        <v>46211</v>
      </c>
      <c r="T239" s="8">
        <v>46211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355</v>
      </c>
      <c r="B240" t="s">
        <v>523</v>
      </c>
      <c r="C240" t="s">
        <v>486</v>
      </c>
      <c r="D240" t="s">
        <v>524</v>
      </c>
      <c r="E240" t="s">
        <v>356</v>
      </c>
      <c r="F240" s="8">
        <v>46218</v>
      </c>
      <c r="G240" s="8">
        <v>46227</v>
      </c>
      <c r="H240" s="4">
        <v>0</v>
      </c>
      <c r="L240" t="s">
        <v>183</v>
      </c>
      <c r="M240" t="s">
        <v>497</v>
      </c>
      <c r="N240" s="8">
        <v>46211</v>
      </c>
      <c r="P240" t="s">
        <v>484</v>
      </c>
      <c r="Q240" t="s">
        <v>146</v>
      </c>
      <c r="R240" t="s">
        <v>55</v>
      </c>
      <c r="S240" s="8">
        <v>46198</v>
      </c>
      <c r="T240" s="8">
        <v>46211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356</v>
      </c>
      <c r="B241" t="s">
        <v>525</v>
      </c>
      <c r="C241" t="s">
        <v>526</v>
      </c>
      <c r="D241" t="s">
        <v>94</v>
      </c>
      <c r="E241" t="s">
        <v>175</v>
      </c>
      <c r="F241" s="8">
        <v>46218</v>
      </c>
      <c r="G241" s="8">
        <v>46224</v>
      </c>
      <c r="H241" s="4">
        <v>0</v>
      </c>
      <c r="J241">
        <v>333</v>
      </c>
      <c r="K241">
        <v>357</v>
      </c>
      <c r="L241" t="s">
        <v>183</v>
      </c>
      <c r="M241" t="s">
        <v>497</v>
      </c>
      <c r="N241" s="8">
        <v>46205</v>
      </c>
      <c r="P241" t="s">
        <v>484</v>
      </c>
      <c r="Q241" t="s">
        <v>146</v>
      </c>
      <c r="R241" t="s">
        <v>55</v>
      </c>
      <c r="S241" s="8">
        <v>46198</v>
      </c>
      <c r="T241" s="8">
        <v>46205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357</v>
      </c>
      <c r="B242" t="s">
        <v>527</v>
      </c>
      <c r="C242" t="s">
        <v>526</v>
      </c>
      <c r="D242" t="s">
        <v>98</v>
      </c>
      <c r="E242" t="s">
        <v>53</v>
      </c>
      <c r="F242" s="8">
        <v>46224</v>
      </c>
      <c r="G242" s="8">
        <v>46225</v>
      </c>
      <c r="H242" s="4">
        <v>0</v>
      </c>
      <c r="J242">
        <v>356</v>
      </c>
      <c r="K242">
        <v>358</v>
      </c>
      <c r="L242" t="s">
        <v>183</v>
      </c>
      <c r="M242" t="s">
        <v>192</v>
      </c>
      <c r="N242" s="8">
        <v>46206</v>
      </c>
      <c r="P242" t="s">
        <v>484</v>
      </c>
      <c r="Q242" t="s">
        <v>150</v>
      </c>
      <c r="R242" t="s">
        <v>55</v>
      </c>
      <c r="S242" s="8">
        <v>46206</v>
      </c>
      <c r="T242" s="8">
        <v>46206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358</v>
      </c>
      <c r="B243" t="s">
        <v>528</v>
      </c>
      <c r="C243" t="s">
        <v>526</v>
      </c>
      <c r="D243" t="s">
        <v>102</v>
      </c>
      <c r="E243" t="s">
        <v>53</v>
      </c>
      <c r="F243" s="8">
        <v>46225</v>
      </c>
      <c r="G243" s="8">
        <v>46226</v>
      </c>
      <c r="H243" s="4">
        <v>0</v>
      </c>
      <c r="J243">
        <v>357</v>
      </c>
      <c r="K243">
        <v>359</v>
      </c>
      <c r="L243" t="s">
        <v>183</v>
      </c>
      <c r="M243" t="s">
        <v>194</v>
      </c>
      <c r="N243" s="8">
        <v>46210</v>
      </c>
      <c r="P243" t="s">
        <v>484</v>
      </c>
      <c r="Q243" t="s">
        <v>150</v>
      </c>
      <c r="R243" t="s">
        <v>55</v>
      </c>
      <c r="S243" s="8">
        <v>46209</v>
      </c>
      <c r="T243" s="8">
        <v>46210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359</v>
      </c>
      <c r="B244" t="s">
        <v>529</v>
      </c>
      <c r="C244" t="s">
        <v>526</v>
      </c>
      <c r="D244" t="s">
        <v>108</v>
      </c>
      <c r="E244" t="s">
        <v>53</v>
      </c>
      <c r="F244" s="8">
        <v>46226</v>
      </c>
      <c r="G244" s="8">
        <v>46227</v>
      </c>
      <c r="H244" s="4">
        <v>0</v>
      </c>
      <c r="J244">
        <v>358</v>
      </c>
      <c r="L244" t="s">
        <v>183</v>
      </c>
      <c r="M244" t="s">
        <v>196</v>
      </c>
      <c r="N244" s="8">
        <v>46211</v>
      </c>
      <c r="P244" t="s">
        <v>484</v>
      </c>
      <c r="Q244" t="s">
        <v>506</v>
      </c>
      <c r="R244" t="s">
        <v>55</v>
      </c>
      <c r="S244" s="8">
        <v>46211</v>
      </c>
      <c r="T244" s="8">
        <v>46211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360</v>
      </c>
      <c r="B245" t="s">
        <v>530</v>
      </c>
      <c r="C245" t="s">
        <v>486</v>
      </c>
      <c r="D245" t="s">
        <v>531</v>
      </c>
      <c r="E245" t="s">
        <v>356</v>
      </c>
      <c r="F245" s="8">
        <v>46218</v>
      </c>
      <c r="G245" s="8">
        <v>46227</v>
      </c>
      <c r="H245" s="4">
        <v>0</v>
      </c>
      <c r="L245" t="s">
        <v>183</v>
      </c>
      <c r="M245" t="s">
        <v>497</v>
      </c>
      <c r="N245" s="8">
        <v>46211</v>
      </c>
      <c r="P245" t="s">
        <v>484</v>
      </c>
      <c r="Q245" t="s">
        <v>146</v>
      </c>
      <c r="R245" t="s">
        <v>55</v>
      </c>
      <c r="S245" s="8">
        <v>46198</v>
      </c>
      <c r="T245" s="8">
        <v>46211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361</v>
      </c>
      <c r="B246" t="s">
        <v>532</v>
      </c>
      <c r="C246" t="s">
        <v>533</v>
      </c>
      <c r="D246" t="s">
        <v>94</v>
      </c>
      <c r="E246" t="s">
        <v>175</v>
      </c>
      <c r="F246" s="8">
        <v>46218</v>
      </c>
      <c r="G246" s="8">
        <v>46224</v>
      </c>
      <c r="H246" s="4">
        <v>0</v>
      </c>
      <c r="J246">
        <v>333</v>
      </c>
      <c r="K246">
        <v>362</v>
      </c>
      <c r="L246" t="s">
        <v>183</v>
      </c>
      <c r="M246" t="s">
        <v>497</v>
      </c>
      <c r="N246" s="8">
        <v>46205</v>
      </c>
      <c r="P246" t="s">
        <v>484</v>
      </c>
      <c r="Q246" t="s">
        <v>146</v>
      </c>
      <c r="R246" t="s">
        <v>55</v>
      </c>
      <c r="S246" s="8">
        <v>46198</v>
      </c>
      <c r="T246" s="8">
        <v>46205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362</v>
      </c>
      <c r="B247" t="s">
        <v>534</v>
      </c>
      <c r="C247" t="s">
        <v>533</v>
      </c>
      <c r="D247" t="s">
        <v>98</v>
      </c>
      <c r="E247" t="s">
        <v>53</v>
      </c>
      <c r="F247" s="8">
        <v>46224</v>
      </c>
      <c r="G247" s="8">
        <v>46225</v>
      </c>
      <c r="H247" s="4">
        <v>0</v>
      </c>
      <c r="J247">
        <v>361</v>
      </c>
      <c r="K247">
        <v>363</v>
      </c>
      <c r="L247" t="s">
        <v>183</v>
      </c>
      <c r="M247" t="s">
        <v>192</v>
      </c>
      <c r="N247" s="8">
        <v>46206</v>
      </c>
      <c r="P247" t="s">
        <v>484</v>
      </c>
      <c r="Q247" t="s">
        <v>150</v>
      </c>
      <c r="R247" t="s">
        <v>55</v>
      </c>
      <c r="S247" s="8">
        <v>46206</v>
      </c>
      <c r="T247" s="8">
        <v>46206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363</v>
      </c>
      <c r="B248" t="s">
        <v>535</v>
      </c>
      <c r="C248" t="s">
        <v>533</v>
      </c>
      <c r="D248" t="s">
        <v>102</v>
      </c>
      <c r="E248" t="s">
        <v>53</v>
      </c>
      <c r="F248" s="8">
        <v>46225</v>
      </c>
      <c r="G248" s="8">
        <v>46226</v>
      </c>
      <c r="H248" s="4">
        <v>0</v>
      </c>
      <c r="J248">
        <v>362</v>
      </c>
      <c r="K248">
        <v>364</v>
      </c>
      <c r="L248" t="s">
        <v>183</v>
      </c>
      <c r="M248" t="s">
        <v>194</v>
      </c>
      <c r="N248" s="8">
        <v>46210</v>
      </c>
      <c r="P248" t="s">
        <v>484</v>
      </c>
      <c r="Q248" t="s">
        <v>150</v>
      </c>
      <c r="R248" t="s">
        <v>55</v>
      </c>
      <c r="S248" s="8">
        <v>46209</v>
      </c>
      <c r="T248" s="8">
        <v>46210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364</v>
      </c>
      <c r="B249" t="s">
        <v>536</v>
      </c>
      <c r="C249" t="s">
        <v>533</v>
      </c>
      <c r="D249" t="s">
        <v>108</v>
      </c>
      <c r="E249" t="s">
        <v>53</v>
      </c>
      <c r="F249" s="8">
        <v>46226</v>
      </c>
      <c r="G249" s="8">
        <v>46227</v>
      </c>
      <c r="H249" s="4">
        <v>0</v>
      </c>
      <c r="J249">
        <v>363</v>
      </c>
      <c r="L249" t="s">
        <v>183</v>
      </c>
      <c r="M249" t="s">
        <v>196</v>
      </c>
      <c r="N249" s="8">
        <v>46211</v>
      </c>
      <c r="P249" t="s">
        <v>484</v>
      </c>
      <c r="Q249" t="s">
        <v>506</v>
      </c>
      <c r="R249" t="s">
        <v>55</v>
      </c>
      <c r="S249" s="8">
        <v>46211</v>
      </c>
      <c r="T249" s="8">
        <v>46211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365</v>
      </c>
      <c r="B250" t="s">
        <v>537</v>
      </c>
      <c r="C250" t="s">
        <v>486</v>
      </c>
      <c r="D250" t="s">
        <v>538</v>
      </c>
      <c r="E250" t="s">
        <v>356</v>
      </c>
      <c r="F250" s="8">
        <v>46218</v>
      </c>
      <c r="G250" s="8">
        <v>46227</v>
      </c>
      <c r="H250" s="4">
        <v>0</v>
      </c>
      <c r="L250" t="s">
        <v>183</v>
      </c>
      <c r="M250" t="s">
        <v>497</v>
      </c>
      <c r="N250" s="8">
        <v>46211</v>
      </c>
      <c r="P250" t="s">
        <v>484</v>
      </c>
      <c r="Q250" t="s">
        <v>146</v>
      </c>
      <c r="R250" t="s">
        <v>55</v>
      </c>
      <c r="S250" s="8">
        <v>46198</v>
      </c>
      <c r="T250" s="8">
        <v>46211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366</v>
      </c>
      <c r="B251" t="s">
        <v>539</v>
      </c>
      <c r="C251" t="s">
        <v>540</v>
      </c>
      <c r="D251" t="s">
        <v>94</v>
      </c>
      <c r="E251" t="s">
        <v>175</v>
      </c>
      <c r="F251" s="8">
        <v>46218</v>
      </c>
      <c r="G251" s="8">
        <v>46224</v>
      </c>
      <c r="H251" s="4">
        <v>0</v>
      </c>
      <c r="J251">
        <v>333</v>
      </c>
      <c r="K251">
        <v>367</v>
      </c>
      <c r="L251" t="s">
        <v>183</v>
      </c>
      <c r="M251" t="s">
        <v>497</v>
      </c>
      <c r="N251" s="8">
        <v>46205</v>
      </c>
      <c r="P251" t="s">
        <v>484</v>
      </c>
      <c r="Q251" t="s">
        <v>146</v>
      </c>
      <c r="R251" t="s">
        <v>55</v>
      </c>
      <c r="S251" s="8">
        <v>46198</v>
      </c>
      <c r="T251" s="8">
        <v>46205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367</v>
      </c>
      <c r="B252" t="s">
        <v>541</v>
      </c>
      <c r="C252" t="s">
        <v>540</v>
      </c>
      <c r="D252" t="s">
        <v>98</v>
      </c>
      <c r="E252" t="s">
        <v>53</v>
      </c>
      <c r="F252" s="8">
        <v>46224</v>
      </c>
      <c r="G252" s="8">
        <v>46225</v>
      </c>
      <c r="H252" s="4">
        <v>0</v>
      </c>
      <c r="J252">
        <v>366</v>
      </c>
      <c r="K252">
        <v>368</v>
      </c>
      <c r="L252" t="s">
        <v>183</v>
      </c>
      <c r="M252" t="s">
        <v>192</v>
      </c>
      <c r="N252" s="8">
        <v>46206</v>
      </c>
      <c r="P252" t="s">
        <v>484</v>
      </c>
      <c r="Q252" t="s">
        <v>150</v>
      </c>
      <c r="R252" t="s">
        <v>55</v>
      </c>
      <c r="S252" s="8">
        <v>46206</v>
      </c>
      <c r="T252" s="8">
        <v>46206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368</v>
      </c>
      <c r="B253" t="s">
        <v>542</v>
      </c>
      <c r="C253" t="s">
        <v>540</v>
      </c>
      <c r="D253" t="s">
        <v>102</v>
      </c>
      <c r="E253" t="s">
        <v>53</v>
      </c>
      <c r="F253" s="8">
        <v>46225</v>
      </c>
      <c r="G253" s="8">
        <v>46226</v>
      </c>
      <c r="H253" s="4">
        <v>0</v>
      </c>
      <c r="J253">
        <v>367</v>
      </c>
      <c r="K253">
        <v>369</v>
      </c>
      <c r="L253" t="s">
        <v>183</v>
      </c>
      <c r="M253" t="s">
        <v>194</v>
      </c>
      <c r="N253" s="8">
        <v>46210</v>
      </c>
      <c r="P253" t="s">
        <v>484</v>
      </c>
      <c r="Q253" t="s">
        <v>150</v>
      </c>
      <c r="R253" t="s">
        <v>55</v>
      </c>
      <c r="S253" s="8">
        <v>46209</v>
      </c>
      <c r="T253" s="8">
        <v>46210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369</v>
      </c>
      <c r="B254" t="s">
        <v>543</v>
      </c>
      <c r="C254" t="s">
        <v>540</v>
      </c>
      <c r="D254" t="s">
        <v>108</v>
      </c>
      <c r="E254" t="s">
        <v>53</v>
      </c>
      <c r="F254" s="8">
        <v>46226</v>
      </c>
      <c r="G254" s="8">
        <v>46227</v>
      </c>
      <c r="H254" s="4">
        <v>0</v>
      </c>
      <c r="J254">
        <v>368</v>
      </c>
      <c r="L254" t="s">
        <v>183</v>
      </c>
      <c r="M254" t="s">
        <v>196</v>
      </c>
      <c r="N254" s="8">
        <v>46211</v>
      </c>
      <c r="P254" t="s">
        <v>484</v>
      </c>
      <c r="Q254" t="s">
        <v>506</v>
      </c>
      <c r="R254" t="s">
        <v>55</v>
      </c>
      <c r="S254" s="8">
        <v>46211</v>
      </c>
      <c r="T254" s="8">
        <v>46211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370</v>
      </c>
      <c r="B255" t="s">
        <v>544</v>
      </c>
      <c r="C255" t="s">
        <v>486</v>
      </c>
      <c r="D255" t="s">
        <v>545</v>
      </c>
      <c r="E255" t="s">
        <v>356</v>
      </c>
      <c r="F255" s="8">
        <v>46218</v>
      </c>
      <c r="G255" s="8">
        <v>46227</v>
      </c>
      <c r="H255" s="4">
        <v>0</v>
      </c>
      <c r="L255" t="s">
        <v>183</v>
      </c>
      <c r="M255" t="s">
        <v>497</v>
      </c>
      <c r="N255" s="8">
        <v>46211</v>
      </c>
      <c r="P255" t="s">
        <v>484</v>
      </c>
      <c r="Q255" t="s">
        <v>146</v>
      </c>
      <c r="R255" t="s">
        <v>55</v>
      </c>
      <c r="S255" s="8">
        <v>46198</v>
      </c>
      <c r="T255" s="8">
        <v>46211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371</v>
      </c>
      <c r="B256" t="s">
        <v>546</v>
      </c>
      <c r="C256" t="s">
        <v>547</v>
      </c>
      <c r="D256" t="s">
        <v>94</v>
      </c>
      <c r="E256" t="s">
        <v>175</v>
      </c>
      <c r="F256" s="8">
        <v>46218</v>
      </c>
      <c r="G256" s="8">
        <v>46224</v>
      </c>
      <c r="H256" s="4">
        <v>0</v>
      </c>
      <c r="J256">
        <v>333</v>
      </c>
      <c r="K256">
        <v>372</v>
      </c>
      <c r="L256" t="s">
        <v>183</v>
      </c>
      <c r="M256" t="s">
        <v>497</v>
      </c>
      <c r="N256" s="8">
        <v>46205</v>
      </c>
      <c r="P256" t="s">
        <v>484</v>
      </c>
      <c r="Q256" t="s">
        <v>146</v>
      </c>
      <c r="R256" t="s">
        <v>55</v>
      </c>
      <c r="S256" s="8">
        <v>46198</v>
      </c>
      <c r="T256" s="8">
        <v>46205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372</v>
      </c>
      <c r="B257" t="s">
        <v>548</v>
      </c>
      <c r="C257" t="s">
        <v>547</v>
      </c>
      <c r="D257" t="s">
        <v>98</v>
      </c>
      <c r="E257" t="s">
        <v>53</v>
      </c>
      <c r="F257" s="8">
        <v>46224</v>
      </c>
      <c r="G257" s="8">
        <v>46225</v>
      </c>
      <c r="H257" s="4">
        <v>0</v>
      </c>
      <c r="J257">
        <v>371</v>
      </c>
      <c r="K257">
        <v>373</v>
      </c>
      <c r="L257" t="s">
        <v>183</v>
      </c>
      <c r="M257" t="s">
        <v>192</v>
      </c>
      <c r="N257" s="8">
        <v>46206</v>
      </c>
      <c r="P257" t="s">
        <v>484</v>
      </c>
      <c r="Q257" t="s">
        <v>150</v>
      </c>
      <c r="R257" t="s">
        <v>55</v>
      </c>
      <c r="S257" s="8">
        <v>46206</v>
      </c>
      <c r="T257" s="8">
        <v>46206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373</v>
      </c>
      <c r="B258" t="s">
        <v>549</v>
      </c>
      <c r="C258" t="s">
        <v>547</v>
      </c>
      <c r="D258" t="s">
        <v>102</v>
      </c>
      <c r="E258" t="s">
        <v>53</v>
      </c>
      <c r="F258" s="8">
        <v>46225</v>
      </c>
      <c r="G258" s="8">
        <v>46226</v>
      </c>
      <c r="H258" s="4">
        <v>0</v>
      </c>
      <c r="J258">
        <v>372</v>
      </c>
      <c r="K258">
        <v>374</v>
      </c>
      <c r="L258" t="s">
        <v>183</v>
      </c>
      <c r="M258" t="s">
        <v>194</v>
      </c>
      <c r="N258" s="8">
        <v>46210</v>
      </c>
      <c r="P258" t="s">
        <v>484</v>
      </c>
      <c r="Q258" t="s">
        <v>150</v>
      </c>
      <c r="R258" t="s">
        <v>55</v>
      </c>
      <c r="S258" s="8">
        <v>46209</v>
      </c>
      <c r="T258" s="8">
        <v>46210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374</v>
      </c>
      <c r="B259" t="s">
        <v>550</v>
      </c>
      <c r="C259" t="s">
        <v>547</v>
      </c>
      <c r="D259" t="s">
        <v>108</v>
      </c>
      <c r="E259" t="s">
        <v>53</v>
      </c>
      <c r="F259" s="8">
        <v>46226</v>
      </c>
      <c r="G259" s="8">
        <v>46227</v>
      </c>
      <c r="H259" s="4">
        <v>0</v>
      </c>
      <c r="J259">
        <v>373</v>
      </c>
      <c r="L259" t="s">
        <v>183</v>
      </c>
      <c r="M259" t="s">
        <v>196</v>
      </c>
      <c r="N259" s="8">
        <v>46211</v>
      </c>
      <c r="P259" t="s">
        <v>484</v>
      </c>
      <c r="Q259" t="s">
        <v>506</v>
      </c>
      <c r="R259" t="s">
        <v>55</v>
      </c>
      <c r="S259" s="8">
        <v>46211</v>
      </c>
      <c r="T259" s="8">
        <v>46211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375</v>
      </c>
      <c r="B260" t="s">
        <v>551</v>
      </c>
      <c r="C260" t="s">
        <v>486</v>
      </c>
      <c r="D260" t="s">
        <v>552</v>
      </c>
      <c r="E260" t="s">
        <v>356</v>
      </c>
      <c r="F260" s="8">
        <v>46218</v>
      </c>
      <c r="G260" s="8">
        <v>46227</v>
      </c>
      <c r="H260" s="4">
        <v>0</v>
      </c>
      <c r="L260" t="s">
        <v>183</v>
      </c>
      <c r="M260" t="s">
        <v>497</v>
      </c>
      <c r="N260" s="8">
        <v>46211</v>
      </c>
      <c r="P260" t="s">
        <v>484</v>
      </c>
      <c r="Q260" t="s">
        <v>146</v>
      </c>
      <c r="R260" t="s">
        <v>55</v>
      </c>
      <c r="S260" s="8">
        <v>46198</v>
      </c>
      <c r="T260" s="8">
        <v>46211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376</v>
      </c>
      <c r="B261" t="s">
        <v>553</v>
      </c>
      <c r="C261" t="s">
        <v>554</v>
      </c>
      <c r="D261" t="s">
        <v>94</v>
      </c>
      <c r="E261" t="s">
        <v>175</v>
      </c>
      <c r="F261" s="8">
        <v>46218</v>
      </c>
      <c r="G261" s="8">
        <v>46224</v>
      </c>
      <c r="H261" s="4">
        <v>0</v>
      </c>
      <c r="J261">
        <v>333</v>
      </c>
      <c r="K261">
        <v>377</v>
      </c>
      <c r="L261" t="s">
        <v>183</v>
      </c>
      <c r="M261" t="s">
        <v>497</v>
      </c>
      <c r="N261" s="8">
        <v>46205</v>
      </c>
      <c r="P261" t="s">
        <v>484</v>
      </c>
      <c r="Q261" t="s">
        <v>146</v>
      </c>
      <c r="R261" t="s">
        <v>55</v>
      </c>
      <c r="S261" s="8">
        <v>46198</v>
      </c>
      <c r="T261" s="8">
        <v>46205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377</v>
      </c>
      <c r="B262" t="s">
        <v>555</v>
      </c>
      <c r="C262" t="s">
        <v>554</v>
      </c>
      <c r="D262" t="s">
        <v>98</v>
      </c>
      <c r="E262" t="s">
        <v>53</v>
      </c>
      <c r="F262" s="8">
        <v>46224</v>
      </c>
      <c r="G262" s="8">
        <v>46225</v>
      </c>
      <c r="H262" s="4">
        <v>0</v>
      </c>
      <c r="J262">
        <v>376</v>
      </c>
      <c r="K262">
        <v>378</v>
      </c>
      <c r="L262" t="s">
        <v>183</v>
      </c>
      <c r="M262" t="s">
        <v>192</v>
      </c>
      <c r="N262" s="8">
        <v>46206</v>
      </c>
      <c r="P262" t="s">
        <v>484</v>
      </c>
      <c r="Q262" t="s">
        <v>150</v>
      </c>
      <c r="R262" t="s">
        <v>55</v>
      </c>
      <c r="S262" s="8">
        <v>46206</v>
      </c>
      <c r="T262" s="8">
        <v>46206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378</v>
      </c>
      <c r="B263" t="s">
        <v>556</v>
      </c>
      <c r="C263" t="s">
        <v>554</v>
      </c>
      <c r="D263" t="s">
        <v>102</v>
      </c>
      <c r="E263" t="s">
        <v>53</v>
      </c>
      <c r="F263" s="8">
        <v>46225</v>
      </c>
      <c r="G263" s="8">
        <v>46226</v>
      </c>
      <c r="H263" s="4">
        <v>0</v>
      </c>
      <c r="J263">
        <v>377</v>
      </c>
      <c r="K263">
        <v>379</v>
      </c>
      <c r="L263" t="s">
        <v>183</v>
      </c>
      <c r="M263" t="s">
        <v>194</v>
      </c>
      <c r="N263" s="8">
        <v>46210</v>
      </c>
      <c r="P263" t="s">
        <v>484</v>
      </c>
      <c r="Q263" t="s">
        <v>150</v>
      </c>
      <c r="R263" t="s">
        <v>55</v>
      </c>
      <c r="S263" s="8">
        <v>46209</v>
      </c>
      <c r="T263" s="8">
        <v>46210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379</v>
      </c>
      <c r="B264" t="s">
        <v>557</v>
      </c>
      <c r="C264" t="s">
        <v>554</v>
      </c>
      <c r="D264" t="s">
        <v>108</v>
      </c>
      <c r="E264" t="s">
        <v>53</v>
      </c>
      <c r="F264" s="8">
        <v>46226</v>
      </c>
      <c r="G264" s="8">
        <v>46227</v>
      </c>
      <c r="H264" s="4">
        <v>0</v>
      </c>
      <c r="J264">
        <v>378</v>
      </c>
      <c r="L264" t="s">
        <v>183</v>
      </c>
      <c r="M264" t="s">
        <v>196</v>
      </c>
      <c r="N264" s="8">
        <v>46211</v>
      </c>
      <c r="P264" t="s">
        <v>484</v>
      </c>
      <c r="Q264" t="s">
        <v>506</v>
      </c>
      <c r="R264" t="s">
        <v>55</v>
      </c>
      <c r="S264" s="8">
        <v>46211</v>
      </c>
      <c r="T264" s="8">
        <v>46211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380</v>
      </c>
      <c r="B265" t="s">
        <v>558</v>
      </c>
      <c r="C265" t="s">
        <v>486</v>
      </c>
      <c r="D265" t="s">
        <v>559</v>
      </c>
      <c r="E265" t="s">
        <v>356</v>
      </c>
      <c r="F265" s="8">
        <v>46218</v>
      </c>
      <c r="G265" s="8">
        <v>46227</v>
      </c>
      <c r="H265" s="4">
        <v>0</v>
      </c>
      <c r="L265" t="s">
        <v>183</v>
      </c>
      <c r="M265" t="s">
        <v>497</v>
      </c>
      <c r="N265" s="8">
        <v>46211</v>
      </c>
      <c r="P265" t="s">
        <v>484</v>
      </c>
      <c r="Q265" t="s">
        <v>146</v>
      </c>
      <c r="R265" t="s">
        <v>55</v>
      </c>
      <c r="S265" s="8">
        <v>46198</v>
      </c>
      <c r="T265" s="8">
        <v>46211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381</v>
      </c>
      <c r="B266" t="s">
        <v>560</v>
      </c>
      <c r="C266" t="s">
        <v>561</v>
      </c>
      <c r="D266" t="s">
        <v>94</v>
      </c>
      <c r="E266" t="s">
        <v>175</v>
      </c>
      <c r="F266" s="8">
        <v>46218</v>
      </c>
      <c r="G266" s="8">
        <v>46224</v>
      </c>
      <c r="H266" s="4">
        <v>0</v>
      </c>
      <c r="J266">
        <v>333</v>
      </c>
      <c r="K266">
        <v>382</v>
      </c>
      <c r="L266" t="s">
        <v>183</v>
      </c>
      <c r="M266" t="s">
        <v>497</v>
      </c>
      <c r="N266" s="8">
        <v>46205</v>
      </c>
      <c r="P266" t="s">
        <v>484</v>
      </c>
      <c r="Q266" t="s">
        <v>146</v>
      </c>
      <c r="R266" t="s">
        <v>55</v>
      </c>
      <c r="S266" s="8">
        <v>46198</v>
      </c>
      <c r="T266" s="8">
        <v>46205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382</v>
      </c>
      <c r="B267" t="s">
        <v>562</v>
      </c>
      <c r="C267" t="s">
        <v>561</v>
      </c>
      <c r="D267" t="s">
        <v>98</v>
      </c>
      <c r="E267" t="s">
        <v>53</v>
      </c>
      <c r="F267" s="8">
        <v>46224</v>
      </c>
      <c r="G267" s="8">
        <v>46225</v>
      </c>
      <c r="H267" s="4">
        <v>0</v>
      </c>
      <c r="J267">
        <v>381</v>
      </c>
      <c r="K267">
        <v>383</v>
      </c>
      <c r="L267" t="s">
        <v>183</v>
      </c>
      <c r="M267" t="s">
        <v>192</v>
      </c>
      <c r="N267" s="8">
        <v>46206</v>
      </c>
      <c r="P267" t="s">
        <v>484</v>
      </c>
      <c r="Q267" t="s">
        <v>150</v>
      </c>
      <c r="R267" t="s">
        <v>55</v>
      </c>
      <c r="S267" s="8">
        <v>46206</v>
      </c>
      <c r="T267" s="8">
        <v>46206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383</v>
      </c>
      <c r="B268" t="s">
        <v>563</v>
      </c>
      <c r="C268" t="s">
        <v>561</v>
      </c>
      <c r="D268" t="s">
        <v>102</v>
      </c>
      <c r="E268" t="s">
        <v>53</v>
      </c>
      <c r="F268" s="8">
        <v>46225</v>
      </c>
      <c r="G268" s="8">
        <v>46226</v>
      </c>
      <c r="H268" s="4">
        <v>0</v>
      </c>
      <c r="J268">
        <v>382</v>
      </c>
      <c r="K268">
        <v>384</v>
      </c>
      <c r="L268" t="s">
        <v>183</v>
      </c>
      <c r="M268" t="s">
        <v>194</v>
      </c>
      <c r="N268" s="8">
        <v>46210</v>
      </c>
      <c r="P268" t="s">
        <v>484</v>
      </c>
      <c r="Q268" t="s">
        <v>150</v>
      </c>
      <c r="R268" t="s">
        <v>55</v>
      </c>
      <c r="S268" s="8">
        <v>46209</v>
      </c>
      <c r="T268" s="8">
        <v>46210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384</v>
      </c>
      <c r="B269" t="s">
        <v>564</v>
      </c>
      <c r="C269" t="s">
        <v>561</v>
      </c>
      <c r="D269" t="s">
        <v>108</v>
      </c>
      <c r="E269" t="s">
        <v>53</v>
      </c>
      <c r="F269" s="8">
        <v>46226</v>
      </c>
      <c r="G269" s="8">
        <v>46227</v>
      </c>
      <c r="H269" s="4">
        <v>0</v>
      </c>
      <c r="J269">
        <v>383</v>
      </c>
      <c r="L269" t="s">
        <v>183</v>
      </c>
      <c r="M269" t="s">
        <v>196</v>
      </c>
      <c r="N269" s="8">
        <v>46211</v>
      </c>
      <c r="P269" t="s">
        <v>484</v>
      </c>
      <c r="Q269" t="s">
        <v>506</v>
      </c>
      <c r="R269" t="s">
        <v>55</v>
      </c>
      <c r="S269" s="8">
        <v>46211</v>
      </c>
      <c r="T269" s="8">
        <v>46211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385</v>
      </c>
      <c r="B270" t="s">
        <v>565</v>
      </c>
      <c r="C270" t="s">
        <v>486</v>
      </c>
      <c r="D270" t="s">
        <v>566</v>
      </c>
      <c r="E270" t="s">
        <v>356</v>
      </c>
      <c r="F270" s="8">
        <v>46218</v>
      </c>
      <c r="G270" s="8">
        <v>46227</v>
      </c>
      <c r="H270" s="4">
        <v>0</v>
      </c>
      <c r="L270" t="s">
        <v>183</v>
      </c>
      <c r="M270" t="s">
        <v>497</v>
      </c>
      <c r="N270" s="8">
        <v>46211</v>
      </c>
      <c r="P270" t="s">
        <v>484</v>
      </c>
      <c r="Q270" t="s">
        <v>146</v>
      </c>
      <c r="R270" t="s">
        <v>55</v>
      </c>
      <c r="S270" s="8">
        <v>46198</v>
      </c>
      <c r="T270" s="8">
        <v>46211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386</v>
      </c>
      <c r="B271" t="s">
        <v>567</v>
      </c>
      <c r="C271" t="s">
        <v>568</v>
      </c>
      <c r="D271" t="s">
        <v>94</v>
      </c>
      <c r="E271" t="s">
        <v>175</v>
      </c>
      <c r="F271" s="8">
        <v>46218</v>
      </c>
      <c r="G271" s="8">
        <v>46224</v>
      </c>
      <c r="H271" s="4">
        <v>0</v>
      </c>
      <c r="J271">
        <v>333</v>
      </c>
      <c r="K271">
        <v>387</v>
      </c>
      <c r="L271" t="s">
        <v>183</v>
      </c>
      <c r="M271" t="s">
        <v>497</v>
      </c>
      <c r="N271" s="8">
        <v>46205</v>
      </c>
      <c r="P271" t="s">
        <v>484</v>
      </c>
      <c r="Q271" t="s">
        <v>146</v>
      </c>
      <c r="R271" t="s">
        <v>55</v>
      </c>
      <c r="S271" s="8">
        <v>46198</v>
      </c>
      <c r="T271" s="8">
        <v>46205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387</v>
      </c>
      <c r="B272" t="s">
        <v>569</v>
      </c>
      <c r="C272" t="s">
        <v>568</v>
      </c>
      <c r="D272" t="s">
        <v>98</v>
      </c>
      <c r="E272" t="s">
        <v>53</v>
      </c>
      <c r="F272" s="8">
        <v>46224</v>
      </c>
      <c r="G272" s="8">
        <v>46225</v>
      </c>
      <c r="H272" s="4">
        <v>0</v>
      </c>
      <c r="J272">
        <v>386</v>
      </c>
      <c r="K272">
        <v>388</v>
      </c>
      <c r="L272" t="s">
        <v>183</v>
      </c>
      <c r="M272" t="s">
        <v>192</v>
      </c>
      <c r="N272" s="8">
        <v>46206</v>
      </c>
      <c r="P272" t="s">
        <v>484</v>
      </c>
      <c r="Q272" t="s">
        <v>150</v>
      </c>
      <c r="R272" t="s">
        <v>55</v>
      </c>
      <c r="S272" s="8">
        <v>46206</v>
      </c>
      <c r="T272" s="8">
        <v>46206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388</v>
      </c>
      <c r="B273" t="s">
        <v>570</v>
      </c>
      <c r="C273" t="s">
        <v>568</v>
      </c>
      <c r="D273" t="s">
        <v>102</v>
      </c>
      <c r="E273" t="s">
        <v>53</v>
      </c>
      <c r="F273" s="8">
        <v>46225</v>
      </c>
      <c r="G273" s="8">
        <v>46226</v>
      </c>
      <c r="H273" s="4">
        <v>0</v>
      </c>
      <c r="J273">
        <v>387</v>
      </c>
      <c r="K273">
        <v>389</v>
      </c>
      <c r="L273" t="s">
        <v>183</v>
      </c>
      <c r="M273" t="s">
        <v>194</v>
      </c>
      <c r="N273" s="8">
        <v>46210</v>
      </c>
      <c r="P273" t="s">
        <v>484</v>
      </c>
      <c r="Q273" t="s">
        <v>150</v>
      </c>
      <c r="R273" t="s">
        <v>55</v>
      </c>
      <c r="S273" s="8">
        <v>46209</v>
      </c>
      <c r="T273" s="8">
        <v>46210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389</v>
      </c>
      <c r="B274" t="s">
        <v>571</v>
      </c>
      <c r="C274" t="s">
        <v>568</v>
      </c>
      <c r="D274" t="s">
        <v>108</v>
      </c>
      <c r="E274" t="s">
        <v>53</v>
      </c>
      <c r="F274" s="8">
        <v>46226</v>
      </c>
      <c r="G274" s="8">
        <v>46227</v>
      </c>
      <c r="H274" s="4">
        <v>0</v>
      </c>
      <c r="J274">
        <v>388</v>
      </c>
      <c r="L274" t="s">
        <v>183</v>
      </c>
      <c r="M274" t="s">
        <v>196</v>
      </c>
      <c r="N274" s="8">
        <v>46211</v>
      </c>
      <c r="P274" t="s">
        <v>484</v>
      </c>
      <c r="Q274" t="s">
        <v>506</v>
      </c>
      <c r="R274" t="s">
        <v>55</v>
      </c>
      <c r="S274" s="8">
        <v>46211</v>
      </c>
      <c r="T274" s="8">
        <v>46211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390</v>
      </c>
      <c r="B275" t="s">
        <v>572</v>
      </c>
      <c r="C275" t="s">
        <v>486</v>
      </c>
      <c r="D275" t="s">
        <v>573</v>
      </c>
      <c r="E275" t="s">
        <v>356</v>
      </c>
      <c r="F275" s="8">
        <v>46218</v>
      </c>
      <c r="G275" s="8">
        <v>46227</v>
      </c>
      <c r="H275" s="4">
        <v>0</v>
      </c>
      <c r="L275" t="s">
        <v>183</v>
      </c>
      <c r="M275" t="s">
        <v>497</v>
      </c>
      <c r="N275" s="8">
        <v>46211</v>
      </c>
      <c r="P275" t="s">
        <v>484</v>
      </c>
      <c r="Q275" t="s">
        <v>146</v>
      </c>
      <c r="R275" t="s">
        <v>55</v>
      </c>
      <c r="S275" s="8">
        <v>46198</v>
      </c>
      <c r="T275" s="8">
        <v>46211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391</v>
      </c>
      <c r="B276" t="s">
        <v>574</v>
      </c>
      <c r="C276" t="s">
        <v>575</v>
      </c>
      <c r="D276" t="s">
        <v>94</v>
      </c>
      <c r="E276" t="s">
        <v>175</v>
      </c>
      <c r="F276" s="8">
        <v>46218</v>
      </c>
      <c r="G276" s="8">
        <v>46224</v>
      </c>
      <c r="H276" s="4">
        <v>0</v>
      </c>
      <c r="J276">
        <v>333</v>
      </c>
      <c r="K276">
        <v>392</v>
      </c>
      <c r="L276" t="s">
        <v>183</v>
      </c>
      <c r="M276" t="s">
        <v>497</v>
      </c>
      <c r="N276" s="8">
        <v>46205</v>
      </c>
      <c r="P276" t="s">
        <v>484</v>
      </c>
      <c r="Q276" t="s">
        <v>146</v>
      </c>
      <c r="R276" t="s">
        <v>55</v>
      </c>
      <c r="S276" s="8">
        <v>46198</v>
      </c>
      <c r="T276" s="8">
        <v>46205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392</v>
      </c>
      <c r="B277" t="s">
        <v>576</v>
      </c>
      <c r="C277" t="s">
        <v>575</v>
      </c>
      <c r="D277" t="s">
        <v>98</v>
      </c>
      <c r="E277" t="s">
        <v>53</v>
      </c>
      <c r="F277" s="8">
        <v>46224</v>
      </c>
      <c r="G277" s="8">
        <v>46225</v>
      </c>
      <c r="H277" s="4">
        <v>0</v>
      </c>
      <c r="J277">
        <v>391</v>
      </c>
      <c r="K277">
        <v>393</v>
      </c>
      <c r="L277" t="s">
        <v>183</v>
      </c>
      <c r="M277" t="s">
        <v>192</v>
      </c>
      <c r="N277" s="8">
        <v>46206</v>
      </c>
      <c r="P277" t="s">
        <v>484</v>
      </c>
      <c r="Q277" t="s">
        <v>150</v>
      </c>
      <c r="R277" t="s">
        <v>55</v>
      </c>
      <c r="S277" s="8">
        <v>46206</v>
      </c>
      <c r="T277" s="8">
        <v>46206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393</v>
      </c>
      <c r="B278" t="s">
        <v>577</v>
      </c>
      <c r="C278" t="s">
        <v>575</v>
      </c>
      <c r="D278" t="s">
        <v>102</v>
      </c>
      <c r="E278" t="s">
        <v>53</v>
      </c>
      <c r="F278" s="8">
        <v>46225</v>
      </c>
      <c r="G278" s="8">
        <v>46226</v>
      </c>
      <c r="H278" s="4">
        <v>0</v>
      </c>
      <c r="J278">
        <v>392</v>
      </c>
      <c r="K278">
        <v>394</v>
      </c>
      <c r="L278" t="s">
        <v>183</v>
      </c>
      <c r="M278" t="s">
        <v>194</v>
      </c>
      <c r="N278" s="8">
        <v>46210</v>
      </c>
      <c r="P278" t="s">
        <v>484</v>
      </c>
      <c r="Q278" t="s">
        <v>150</v>
      </c>
      <c r="R278" t="s">
        <v>55</v>
      </c>
      <c r="S278" s="8">
        <v>46209</v>
      </c>
      <c r="T278" s="8">
        <v>46210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394</v>
      </c>
      <c r="B279" t="s">
        <v>578</v>
      </c>
      <c r="C279" t="s">
        <v>575</v>
      </c>
      <c r="D279" t="s">
        <v>108</v>
      </c>
      <c r="E279" t="s">
        <v>53</v>
      </c>
      <c r="F279" s="8">
        <v>46226</v>
      </c>
      <c r="G279" s="8">
        <v>46227</v>
      </c>
      <c r="H279" s="4">
        <v>0</v>
      </c>
      <c r="J279">
        <v>393</v>
      </c>
      <c r="L279" t="s">
        <v>183</v>
      </c>
      <c r="M279" t="s">
        <v>196</v>
      </c>
      <c r="N279" s="8">
        <v>46211</v>
      </c>
      <c r="P279" t="s">
        <v>484</v>
      </c>
      <c r="Q279" t="s">
        <v>506</v>
      </c>
      <c r="R279" t="s">
        <v>55</v>
      </c>
      <c r="S279" s="8">
        <v>46211</v>
      </c>
      <c r="T279" s="8">
        <v>46211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395</v>
      </c>
      <c r="B280" t="s">
        <v>579</v>
      </c>
      <c r="C280" t="s">
        <v>486</v>
      </c>
      <c r="D280" t="s">
        <v>580</v>
      </c>
      <c r="E280" t="s">
        <v>356</v>
      </c>
      <c r="F280" s="8">
        <v>46218</v>
      </c>
      <c r="G280" s="8">
        <v>46227</v>
      </c>
      <c r="H280" s="4">
        <v>0</v>
      </c>
      <c r="L280" t="s">
        <v>183</v>
      </c>
      <c r="M280" t="s">
        <v>497</v>
      </c>
      <c r="N280" s="8">
        <v>46211</v>
      </c>
      <c r="P280" t="s">
        <v>484</v>
      </c>
      <c r="Q280" t="s">
        <v>146</v>
      </c>
      <c r="R280" t="s">
        <v>55</v>
      </c>
      <c r="S280" s="8">
        <v>46198</v>
      </c>
      <c r="T280" s="8">
        <v>46211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396</v>
      </c>
      <c r="B281" t="s">
        <v>581</v>
      </c>
      <c r="C281" t="s">
        <v>582</v>
      </c>
      <c r="D281" t="s">
        <v>94</v>
      </c>
      <c r="E281" t="s">
        <v>175</v>
      </c>
      <c r="F281" s="8">
        <v>46218</v>
      </c>
      <c r="G281" s="8">
        <v>46224</v>
      </c>
      <c r="H281" s="4">
        <v>0</v>
      </c>
      <c r="J281">
        <v>333</v>
      </c>
      <c r="K281">
        <v>397</v>
      </c>
      <c r="L281" t="s">
        <v>183</v>
      </c>
      <c r="M281" t="s">
        <v>497</v>
      </c>
      <c r="N281" s="8">
        <v>46205</v>
      </c>
      <c r="P281" t="s">
        <v>484</v>
      </c>
      <c r="Q281" t="s">
        <v>146</v>
      </c>
      <c r="R281" t="s">
        <v>55</v>
      </c>
      <c r="S281" s="8">
        <v>46198</v>
      </c>
      <c r="T281" s="8">
        <v>46205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397</v>
      </c>
      <c r="B282" t="s">
        <v>583</v>
      </c>
      <c r="C282" t="s">
        <v>582</v>
      </c>
      <c r="D282" t="s">
        <v>98</v>
      </c>
      <c r="E282" t="s">
        <v>53</v>
      </c>
      <c r="F282" s="8">
        <v>46224</v>
      </c>
      <c r="G282" s="8">
        <v>46225</v>
      </c>
      <c r="H282" s="4">
        <v>0</v>
      </c>
      <c r="J282">
        <v>396</v>
      </c>
      <c r="K282">
        <v>398</v>
      </c>
      <c r="L282" t="s">
        <v>183</v>
      </c>
      <c r="M282" t="s">
        <v>192</v>
      </c>
      <c r="N282" s="8">
        <v>46206</v>
      </c>
      <c r="P282" t="s">
        <v>484</v>
      </c>
      <c r="Q282" t="s">
        <v>150</v>
      </c>
      <c r="R282" t="s">
        <v>55</v>
      </c>
      <c r="S282" s="8">
        <v>46206</v>
      </c>
      <c r="T282" s="8">
        <v>46206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398</v>
      </c>
      <c r="B283" t="s">
        <v>584</v>
      </c>
      <c r="C283" t="s">
        <v>582</v>
      </c>
      <c r="D283" t="s">
        <v>102</v>
      </c>
      <c r="E283" t="s">
        <v>53</v>
      </c>
      <c r="F283" s="8">
        <v>46225</v>
      </c>
      <c r="G283" s="8">
        <v>46226</v>
      </c>
      <c r="H283" s="4">
        <v>0</v>
      </c>
      <c r="J283">
        <v>397</v>
      </c>
      <c r="K283">
        <v>399</v>
      </c>
      <c r="L283" t="s">
        <v>183</v>
      </c>
      <c r="M283" t="s">
        <v>194</v>
      </c>
      <c r="N283" s="8">
        <v>46210</v>
      </c>
      <c r="P283" t="s">
        <v>484</v>
      </c>
      <c r="Q283" t="s">
        <v>150</v>
      </c>
      <c r="R283" t="s">
        <v>55</v>
      </c>
      <c r="S283" s="8">
        <v>46209</v>
      </c>
      <c r="T283" s="8">
        <v>46210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399</v>
      </c>
      <c r="B284" t="s">
        <v>585</v>
      </c>
      <c r="C284" t="s">
        <v>582</v>
      </c>
      <c r="D284" t="s">
        <v>108</v>
      </c>
      <c r="E284" t="s">
        <v>53</v>
      </c>
      <c r="F284" s="8">
        <v>46226</v>
      </c>
      <c r="G284" s="8">
        <v>46227</v>
      </c>
      <c r="H284" s="4">
        <v>0</v>
      </c>
      <c r="J284">
        <v>398</v>
      </c>
      <c r="L284" t="s">
        <v>183</v>
      </c>
      <c r="M284" t="s">
        <v>196</v>
      </c>
      <c r="N284" s="8">
        <v>46211</v>
      </c>
      <c r="P284" t="s">
        <v>484</v>
      </c>
      <c r="Q284" t="s">
        <v>506</v>
      </c>
      <c r="R284" t="s">
        <v>55</v>
      </c>
      <c r="S284" s="8">
        <v>46211</v>
      </c>
      <c r="T284" s="8">
        <v>46211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400</v>
      </c>
      <c r="B285" t="s">
        <v>586</v>
      </c>
      <c r="C285" t="s">
        <v>486</v>
      </c>
      <c r="D285" t="s">
        <v>587</v>
      </c>
      <c r="E285" t="s">
        <v>171</v>
      </c>
      <c r="F285" s="8">
        <v>46206</v>
      </c>
      <c r="G285" s="8">
        <v>46219</v>
      </c>
      <c r="H285" s="4">
        <v>0</v>
      </c>
      <c r="L285" t="s">
        <v>35</v>
      </c>
      <c r="M285" t="s">
        <v>497</v>
      </c>
      <c r="N285" s="8">
        <v>46210</v>
      </c>
      <c r="P285" t="s">
        <v>484</v>
      </c>
      <c r="Q285" t="s">
        <v>146</v>
      </c>
      <c r="R285" t="s">
        <v>55</v>
      </c>
      <c r="S285" s="8">
        <v>46198</v>
      </c>
      <c r="T285" s="8">
        <v>46210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401</v>
      </c>
      <c r="B286" t="s">
        <v>588</v>
      </c>
      <c r="C286" t="s">
        <v>589</v>
      </c>
      <c r="D286" t="s">
        <v>94</v>
      </c>
      <c r="E286" t="s">
        <v>590</v>
      </c>
      <c r="F286" s="8">
        <v>46206</v>
      </c>
      <c r="G286" s="8">
        <v>46216</v>
      </c>
      <c r="H286" s="4">
        <v>0</v>
      </c>
      <c r="J286" t="s">
        <v>591</v>
      </c>
      <c r="K286">
        <v>402</v>
      </c>
      <c r="L286" t="s">
        <v>35</v>
      </c>
      <c r="M286" t="s">
        <v>497</v>
      </c>
      <c r="N286" s="8">
        <v>46204</v>
      </c>
      <c r="P286" t="s">
        <v>484</v>
      </c>
      <c r="Q286" t="s">
        <v>146</v>
      </c>
      <c r="R286" t="s">
        <v>55</v>
      </c>
      <c r="S286" s="8">
        <v>46198</v>
      </c>
      <c r="T286" s="8">
        <v>46204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402</v>
      </c>
      <c r="B287" t="s">
        <v>592</v>
      </c>
      <c r="C287" t="s">
        <v>589</v>
      </c>
      <c r="D287" t="s">
        <v>98</v>
      </c>
      <c r="E287" t="s">
        <v>53</v>
      </c>
      <c r="F287" s="8">
        <v>46217</v>
      </c>
      <c r="G287" s="8">
        <v>46217</v>
      </c>
      <c r="H287" s="4">
        <v>0</v>
      </c>
      <c r="J287">
        <v>401</v>
      </c>
      <c r="K287">
        <v>403</v>
      </c>
      <c r="L287" t="s">
        <v>180</v>
      </c>
      <c r="M287" t="s">
        <v>293</v>
      </c>
      <c r="N287" s="8">
        <v>46205</v>
      </c>
      <c r="P287" t="s">
        <v>484</v>
      </c>
      <c r="Q287" t="s">
        <v>150</v>
      </c>
      <c r="R287" t="s">
        <v>55</v>
      </c>
      <c r="S287" s="8">
        <v>46205</v>
      </c>
      <c r="T287" s="8">
        <v>46205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403</v>
      </c>
      <c r="B288" t="s">
        <v>593</v>
      </c>
      <c r="C288" t="s">
        <v>589</v>
      </c>
      <c r="D288" t="s">
        <v>102</v>
      </c>
      <c r="E288" t="s">
        <v>53</v>
      </c>
      <c r="F288" s="8">
        <v>46218</v>
      </c>
      <c r="G288" s="8">
        <v>46218</v>
      </c>
      <c r="H288" s="4">
        <v>0</v>
      </c>
      <c r="J288">
        <v>402</v>
      </c>
      <c r="K288">
        <v>404</v>
      </c>
      <c r="L288" t="s">
        <v>183</v>
      </c>
      <c r="M288" t="s">
        <v>192</v>
      </c>
      <c r="N288" s="8">
        <v>46209</v>
      </c>
      <c r="P288" t="s">
        <v>484</v>
      </c>
      <c r="Q288" t="s">
        <v>150</v>
      </c>
      <c r="R288" t="s">
        <v>55</v>
      </c>
      <c r="S288" s="8">
        <v>46206</v>
      </c>
      <c r="T288" s="8">
        <v>46209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404</v>
      </c>
      <c r="B289" t="s">
        <v>594</v>
      </c>
      <c r="C289" t="s">
        <v>589</v>
      </c>
      <c r="D289" t="s">
        <v>108</v>
      </c>
      <c r="E289" t="s">
        <v>53</v>
      </c>
      <c r="F289" s="8">
        <v>46219</v>
      </c>
      <c r="G289" s="8">
        <v>46219</v>
      </c>
      <c r="H289" s="4">
        <v>0</v>
      </c>
      <c r="J289">
        <v>403</v>
      </c>
      <c r="L289" t="s">
        <v>183</v>
      </c>
      <c r="M289" t="s">
        <v>296</v>
      </c>
      <c r="N289" s="8">
        <v>46210</v>
      </c>
      <c r="P289" t="s">
        <v>484</v>
      </c>
      <c r="Q289" t="s">
        <v>150</v>
      </c>
      <c r="R289" t="s">
        <v>55</v>
      </c>
      <c r="S289" s="8">
        <v>46210</v>
      </c>
      <c r="T289" s="8">
        <v>46210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405</v>
      </c>
      <c r="B290" t="s">
        <v>595</v>
      </c>
      <c r="C290" t="s">
        <v>73</v>
      </c>
      <c r="D290" t="s">
        <v>596</v>
      </c>
      <c r="E290" t="s">
        <v>597</v>
      </c>
      <c r="F290" s="8">
        <v>46170</v>
      </c>
      <c r="G290" s="8">
        <v>46210</v>
      </c>
      <c r="H290" s="4">
        <v>0.73</v>
      </c>
      <c r="L290" t="s">
        <v>35</v>
      </c>
      <c r="M290" t="s">
        <v>145</v>
      </c>
      <c r="N290" s="8">
        <v>46211</v>
      </c>
      <c r="P290" t="s">
        <v>598</v>
      </c>
      <c r="Q290" t="s">
        <v>110</v>
      </c>
      <c r="R290" t="s">
        <v>55</v>
      </c>
      <c r="S290" s="8">
        <v>46163</v>
      </c>
      <c r="T290" s="8">
        <v>46211</v>
      </c>
      <c r="V290">
        <v>0.73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416</v>
      </c>
      <c r="B291" t="s">
        <v>599</v>
      </c>
      <c r="C291" t="s">
        <v>600</v>
      </c>
      <c r="D291" t="s">
        <v>601</v>
      </c>
      <c r="E291" t="s">
        <v>602</v>
      </c>
      <c r="F291" s="8">
        <v>46176</v>
      </c>
      <c r="G291" s="8">
        <v>46210</v>
      </c>
      <c r="H291" s="4">
        <v>0.7</v>
      </c>
      <c r="L291" t="s">
        <v>35</v>
      </c>
      <c r="M291" t="s">
        <v>167</v>
      </c>
      <c r="N291" s="8">
        <v>46176</v>
      </c>
      <c r="P291" t="s">
        <v>598</v>
      </c>
      <c r="Q291" t="s">
        <v>168</v>
      </c>
      <c r="R291" t="s">
        <v>55</v>
      </c>
      <c r="S291" s="8">
        <v>46168</v>
      </c>
      <c r="T291" s="8">
        <v>46176</v>
      </c>
      <c r="V291">
        <v>0.7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417</v>
      </c>
      <c r="B292" t="s">
        <v>603</v>
      </c>
      <c r="C292" t="s">
        <v>604</v>
      </c>
      <c r="D292" t="s">
        <v>94</v>
      </c>
      <c r="E292" t="s">
        <v>121</v>
      </c>
      <c r="F292" s="8">
        <v>46176</v>
      </c>
      <c r="G292" s="8">
        <v>46181</v>
      </c>
      <c r="H292" s="4">
        <v>1</v>
      </c>
      <c r="I292" s="8">
        <v>46181</v>
      </c>
      <c r="J292" t="s">
        <v>605</v>
      </c>
      <c r="K292" t="s">
        <v>606</v>
      </c>
      <c r="L292" t="s">
        <v>59</v>
      </c>
      <c r="M292" t="s">
        <v>167</v>
      </c>
      <c r="N292" s="8">
        <v>46170</v>
      </c>
      <c r="P292" t="s">
        <v>598</v>
      </c>
      <c r="Q292" t="s">
        <v>168</v>
      </c>
      <c r="R292" t="s">
        <v>55</v>
      </c>
      <c r="S292" s="8">
        <v>46168</v>
      </c>
      <c r="T292" s="8">
        <v>46170</v>
      </c>
      <c r="V292">
        <v>1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</row>
    <row r="293" spans="1:33" x14ac:dyDescent="0.25">
      <c r="A293">
        <v>418</v>
      </c>
      <c r="B293" t="s">
        <v>607</v>
      </c>
      <c r="C293" t="s">
        <v>604</v>
      </c>
      <c r="D293" t="s">
        <v>98</v>
      </c>
      <c r="E293" t="s">
        <v>53</v>
      </c>
      <c r="F293" s="8">
        <v>46182</v>
      </c>
      <c r="G293" s="8">
        <v>46182</v>
      </c>
      <c r="H293" s="4">
        <v>1</v>
      </c>
      <c r="I293" s="8">
        <v>46182</v>
      </c>
      <c r="J293">
        <v>417</v>
      </c>
      <c r="K293">
        <v>419</v>
      </c>
      <c r="L293" t="s">
        <v>59</v>
      </c>
      <c r="M293" t="s">
        <v>256</v>
      </c>
      <c r="N293" s="8">
        <v>46171</v>
      </c>
      <c r="P293" t="s">
        <v>598</v>
      </c>
      <c r="Q293" t="s">
        <v>65</v>
      </c>
      <c r="R293" t="s">
        <v>55</v>
      </c>
      <c r="S293" s="8">
        <v>46171</v>
      </c>
      <c r="T293" s="8">
        <v>46171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419</v>
      </c>
      <c r="B294" t="s">
        <v>608</v>
      </c>
      <c r="C294" t="s">
        <v>604</v>
      </c>
      <c r="D294" t="s">
        <v>102</v>
      </c>
      <c r="E294" t="s">
        <v>53</v>
      </c>
      <c r="F294" s="8">
        <v>46209</v>
      </c>
      <c r="G294" s="8">
        <v>46209</v>
      </c>
      <c r="H294" s="4">
        <v>0.5</v>
      </c>
      <c r="J294">
        <v>418</v>
      </c>
      <c r="K294">
        <v>420</v>
      </c>
      <c r="L294" t="s">
        <v>35</v>
      </c>
      <c r="M294" t="s">
        <v>321</v>
      </c>
      <c r="N294" s="8">
        <v>46175</v>
      </c>
      <c r="P294" t="s">
        <v>598</v>
      </c>
      <c r="Q294" t="s">
        <v>65</v>
      </c>
      <c r="R294" t="s">
        <v>55</v>
      </c>
      <c r="S294" s="8">
        <v>46174</v>
      </c>
      <c r="T294" s="8">
        <v>46175</v>
      </c>
      <c r="V294">
        <v>0.5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</row>
    <row r="295" spans="1:33" x14ac:dyDescent="0.25">
      <c r="A295">
        <v>420</v>
      </c>
      <c r="B295" t="s">
        <v>609</v>
      </c>
      <c r="C295" t="s">
        <v>604</v>
      </c>
      <c r="D295" t="s">
        <v>108</v>
      </c>
      <c r="E295" t="s">
        <v>53</v>
      </c>
      <c r="F295" s="8">
        <v>46210</v>
      </c>
      <c r="G295" s="8">
        <v>46210</v>
      </c>
      <c r="H295" s="4">
        <v>0</v>
      </c>
      <c r="J295">
        <v>419</v>
      </c>
      <c r="L295" t="s">
        <v>35</v>
      </c>
      <c r="M295" t="s">
        <v>181</v>
      </c>
      <c r="N295" s="8">
        <v>46176</v>
      </c>
      <c r="P295" t="s">
        <v>598</v>
      </c>
      <c r="Q295" t="s">
        <v>65</v>
      </c>
      <c r="R295" t="s">
        <v>55</v>
      </c>
      <c r="S295" s="8">
        <v>46176</v>
      </c>
      <c r="T295" s="8">
        <v>46176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</row>
    <row r="296" spans="1:33" x14ac:dyDescent="0.25">
      <c r="A296">
        <v>426</v>
      </c>
      <c r="B296" t="s">
        <v>610</v>
      </c>
      <c r="C296" t="s">
        <v>600</v>
      </c>
      <c r="D296" t="s">
        <v>611</v>
      </c>
      <c r="E296" t="s">
        <v>612</v>
      </c>
      <c r="F296" s="8">
        <v>46170</v>
      </c>
      <c r="G296" s="8">
        <v>46198</v>
      </c>
      <c r="H296" s="4">
        <v>0.85</v>
      </c>
      <c r="L296" t="s">
        <v>35</v>
      </c>
      <c r="M296" t="s">
        <v>145</v>
      </c>
      <c r="N296" s="8">
        <v>46171</v>
      </c>
      <c r="P296" t="s">
        <v>598</v>
      </c>
      <c r="Q296" t="s">
        <v>110</v>
      </c>
      <c r="R296" t="s">
        <v>55</v>
      </c>
      <c r="S296" s="8">
        <v>46163</v>
      </c>
      <c r="T296" s="8">
        <v>46171</v>
      </c>
      <c r="V296">
        <v>0.85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427</v>
      </c>
      <c r="B297" t="s">
        <v>613</v>
      </c>
      <c r="C297" t="s">
        <v>614</v>
      </c>
      <c r="D297" t="s">
        <v>94</v>
      </c>
      <c r="E297" t="s">
        <v>175</v>
      </c>
      <c r="F297" s="8">
        <v>46170</v>
      </c>
      <c r="G297" s="8">
        <v>46175</v>
      </c>
      <c r="H297" s="4">
        <v>1</v>
      </c>
      <c r="I297" s="8">
        <v>46175</v>
      </c>
      <c r="J297" t="s">
        <v>615</v>
      </c>
      <c r="K297" t="s">
        <v>616</v>
      </c>
      <c r="L297" t="s">
        <v>59</v>
      </c>
      <c r="M297" t="s">
        <v>145</v>
      </c>
      <c r="N297" s="8">
        <v>46167</v>
      </c>
      <c r="P297" t="s">
        <v>598</v>
      </c>
      <c r="Q297" t="s">
        <v>110</v>
      </c>
      <c r="R297" t="s">
        <v>55</v>
      </c>
      <c r="S297" s="8">
        <v>46163</v>
      </c>
      <c r="T297" s="8">
        <v>46167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</row>
    <row r="298" spans="1:33" x14ac:dyDescent="0.25">
      <c r="A298">
        <v>428</v>
      </c>
      <c r="B298" t="s">
        <v>617</v>
      </c>
      <c r="C298" t="s">
        <v>614</v>
      </c>
      <c r="D298" t="s">
        <v>98</v>
      </c>
      <c r="E298" t="s">
        <v>175</v>
      </c>
      <c r="F298" s="8">
        <v>46175</v>
      </c>
      <c r="G298" s="8">
        <v>46182</v>
      </c>
      <c r="H298" s="4">
        <v>1</v>
      </c>
      <c r="I298" s="8">
        <v>46182</v>
      </c>
      <c r="J298">
        <v>427</v>
      </c>
      <c r="K298">
        <v>429</v>
      </c>
      <c r="L298" t="s">
        <v>59</v>
      </c>
      <c r="M298" t="s">
        <v>167</v>
      </c>
      <c r="N298" s="8">
        <v>46168</v>
      </c>
      <c r="P298" t="s">
        <v>598</v>
      </c>
      <c r="Q298" t="s">
        <v>168</v>
      </c>
      <c r="R298" t="s">
        <v>55</v>
      </c>
      <c r="S298" s="8">
        <v>46168</v>
      </c>
      <c r="T298" s="8">
        <v>46168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429</v>
      </c>
      <c r="B299" t="s">
        <v>618</v>
      </c>
      <c r="C299" t="s">
        <v>614</v>
      </c>
      <c r="D299" t="s">
        <v>102</v>
      </c>
      <c r="E299" t="s">
        <v>53</v>
      </c>
      <c r="F299" s="8">
        <v>46197</v>
      </c>
      <c r="G299" s="8">
        <v>46197</v>
      </c>
      <c r="H299" s="4">
        <v>0.5</v>
      </c>
      <c r="J299">
        <v>428</v>
      </c>
      <c r="K299" t="s">
        <v>619</v>
      </c>
      <c r="L299" t="s">
        <v>35</v>
      </c>
      <c r="M299" t="s">
        <v>411</v>
      </c>
      <c r="N299" s="8">
        <v>46170</v>
      </c>
      <c r="P299" t="s">
        <v>598</v>
      </c>
      <c r="Q299" t="s">
        <v>168</v>
      </c>
      <c r="R299" t="s">
        <v>55</v>
      </c>
      <c r="S299" s="8">
        <v>46169</v>
      </c>
      <c r="T299" s="8">
        <v>46170</v>
      </c>
      <c r="V299">
        <v>0.5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</row>
    <row r="300" spans="1:33" x14ac:dyDescent="0.25">
      <c r="A300">
        <v>430</v>
      </c>
      <c r="B300" t="s">
        <v>620</v>
      </c>
      <c r="C300" t="s">
        <v>614</v>
      </c>
      <c r="D300" t="s">
        <v>108</v>
      </c>
      <c r="E300" t="s">
        <v>53</v>
      </c>
      <c r="F300" s="8">
        <v>46198</v>
      </c>
      <c r="G300" s="8">
        <v>46198</v>
      </c>
      <c r="H300" s="4">
        <v>0</v>
      </c>
      <c r="J300" t="s">
        <v>621</v>
      </c>
      <c r="L300" t="s">
        <v>35</v>
      </c>
      <c r="M300" t="s">
        <v>256</v>
      </c>
      <c r="N300" s="8">
        <v>46171</v>
      </c>
      <c r="P300" t="s">
        <v>598</v>
      </c>
      <c r="Q300" t="s">
        <v>168</v>
      </c>
      <c r="R300" t="s">
        <v>55</v>
      </c>
      <c r="S300" s="8">
        <v>46171</v>
      </c>
      <c r="T300" s="8">
        <v>46171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</row>
    <row r="301" spans="1:33" x14ac:dyDescent="0.25">
      <c r="A301">
        <v>446</v>
      </c>
      <c r="B301" t="s">
        <v>622</v>
      </c>
      <c r="C301" t="s">
        <v>600</v>
      </c>
      <c r="D301" t="s">
        <v>623</v>
      </c>
      <c r="E301" t="s">
        <v>624</v>
      </c>
      <c r="F301" s="8">
        <v>46205</v>
      </c>
      <c r="G301" s="8">
        <v>46210</v>
      </c>
      <c r="H301" s="4">
        <v>0.5</v>
      </c>
      <c r="L301" t="s">
        <v>35</v>
      </c>
      <c r="M301" t="s">
        <v>420</v>
      </c>
      <c r="N301" s="8">
        <v>46191</v>
      </c>
      <c r="P301" t="s">
        <v>598</v>
      </c>
      <c r="Q301" t="s">
        <v>168</v>
      </c>
      <c r="R301" t="s">
        <v>55</v>
      </c>
      <c r="S301" s="8">
        <v>46181</v>
      </c>
      <c r="T301" s="8">
        <v>46191</v>
      </c>
      <c r="V301">
        <v>0.5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447</v>
      </c>
      <c r="B302" t="s">
        <v>625</v>
      </c>
      <c r="C302" t="s">
        <v>626</v>
      </c>
      <c r="D302" t="s">
        <v>94</v>
      </c>
      <c r="E302" t="s">
        <v>121</v>
      </c>
      <c r="F302" s="8">
        <v>46205</v>
      </c>
      <c r="G302" s="8">
        <v>46206</v>
      </c>
      <c r="H302" s="4">
        <v>1</v>
      </c>
      <c r="I302" s="8">
        <v>46206</v>
      </c>
      <c r="J302" t="s">
        <v>627</v>
      </c>
      <c r="K302" t="s">
        <v>628</v>
      </c>
      <c r="L302" t="s">
        <v>59</v>
      </c>
      <c r="M302" t="s">
        <v>420</v>
      </c>
      <c r="N302" s="8">
        <v>46185</v>
      </c>
      <c r="P302" t="s">
        <v>598</v>
      </c>
      <c r="Q302" t="s">
        <v>168</v>
      </c>
      <c r="R302" t="s">
        <v>55</v>
      </c>
      <c r="S302" s="8">
        <v>46181</v>
      </c>
      <c r="T302" s="8">
        <v>46185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</row>
    <row r="303" spans="1:33" x14ac:dyDescent="0.25">
      <c r="A303">
        <v>448</v>
      </c>
      <c r="B303" t="s">
        <v>629</v>
      </c>
      <c r="C303" t="s">
        <v>626</v>
      </c>
      <c r="D303" t="s">
        <v>98</v>
      </c>
      <c r="E303" t="s">
        <v>53</v>
      </c>
      <c r="F303" s="8">
        <v>46209</v>
      </c>
      <c r="G303" s="8">
        <v>46209</v>
      </c>
      <c r="H303" s="4">
        <v>0.5</v>
      </c>
      <c r="J303">
        <v>447</v>
      </c>
      <c r="K303">
        <v>449</v>
      </c>
      <c r="L303" t="s">
        <v>35</v>
      </c>
      <c r="M303" t="s">
        <v>265</v>
      </c>
      <c r="N303" s="8">
        <v>46188</v>
      </c>
      <c r="P303" t="s">
        <v>598</v>
      </c>
      <c r="Q303" t="s">
        <v>65</v>
      </c>
      <c r="R303" t="s">
        <v>55</v>
      </c>
      <c r="S303" s="8">
        <v>46188</v>
      </c>
      <c r="T303" s="8">
        <v>46188</v>
      </c>
      <c r="V303">
        <v>0.5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449</v>
      </c>
      <c r="B304" t="s">
        <v>630</v>
      </c>
      <c r="C304" t="s">
        <v>626</v>
      </c>
      <c r="D304" t="s">
        <v>102</v>
      </c>
      <c r="E304" t="s">
        <v>53</v>
      </c>
      <c r="F304" s="8">
        <v>46210</v>
      </c>
      <c r="G304" s="8">
        <v>46210</v>
      </c>
      <c r="H304" s="4">
        <v>0</v>
      </c>
      <c r="J304">
        <v>448</v>
      </c>
      <c r="K304" t="s">
        <v>631</v>
      </c>
      <c r="L304" t="s">
        <v>35</v>
      </c>
      <c r="M304" t="s">
        <v>632</v>
      </c>
      <c r="N304" s="8">
        <v>46190</v>
      </c>
      <c r="P304" t="s">
        <v>598</v>
      </c>
      <c r="Q304" t="s">
        <v>65</v>
      </c>
      <c r="R304" t="s">
        <v>55</v>
      </c>
      <c r="S304" s="8">
        <v>46189</v>
      </c>
      <c r="T304" s="8">
        <v>46190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</row>
    <row r="305" spans="1:33" x14ac:dyDescent="0.25">
      <c r="A305">
        <v>450</v>
      </c>
      <c r="B305" t="s">
        <v>633</v>
      </c>
      <c r="C305" t="s">
        <v>626</v>
      </c>
      <c r="D305" t="s">
        <v>108</v>
      </c>
      <c r="E305" t="s">
        <v>53</v>
      </c>
      <c r="F305" s="8">
        <v>46210</v>
      </c>
      <c r="G305" s="8">
        <v>46210</v>
      </c>
      <c r="H305" s="4">
        <v>0</v>
      </c>
      <c r="J305" t="s">
        <v>634</v>
      </c>
      <c r="L305" t="s">
        <v>35</v>
      </c>
      <c r="M305" t="s">
        <v>324</v>
      </c>
      <c r="N305" s="8">
        <v>46191</v>
      </c>
      <c r="P305" t="s">
        <v>598</v>
      </c>
      <c r="Q305" t="s">
        <v>65</v>
      </c>
      <c r="R305" t="s">
        <v>55</v>
      </c>
      <c r="S305" s="8">
        <v>46191</v>
      </c>
      <c r="T305" s="8">
        <v>46191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</row>
    <row r="306" spans="1:33" x14ac:dyDescent="0.25">
      <c r="A306">
        <v>471</v>
      </c>
      <c r="B306" t="s">
        <v>635</v>
      </c>
      <c r="C306" t="s">
        <v>73</v>
      </c>
      <c r="D306" t="s">
        <v>636</v>
      </c>
      <c r="E306" t="s">
        <v>637</v>
      </c>
      <c r="F306" s="8">
        <v>46174</v>
      </c>
      <c r="G306" s="8">
        <v>46227</v>
      </c>
      <c r="H306" s="4">
        <v>0.8</v>
      </c>
      <c r="L306" t="s">
        <v>35</v>
      </c>
      <c r="M306" t="s">
        <v>142</v>
      </c>
      <c r="N306" s="8">
        <v>46211</v>
      </c>
      <c r="P306" t="s">
        <v>638</v>
      </c>
      <c r="Q306" t="s">
        <v>168</v>
      </c>
      <c r="R306" t="s">
        <v>39</v>
      </c>
      <c r="S306" s="8">
        <v>46162</v>
      </c>
      <c r="T306" s="8">
        <v>46211</v>
      </c>
      <c r="V306">
        <v>0.8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477</v>
      </c>
      <c r="B307" t="s">
        <v>639</v>
      </c>
      <c r="C307" t="s">
        <v>640</v>
      </c>
      <c r="D307" t="s">
        <v>641</v>
      </c>
      <c r="E307" t="s">
        <v>642</v>
      </c>
      <c r="F307" s="8">
        <v>46204</v>
      </c>
      <c r="G307" s="8">
        <v>46218</v>
      </c>
      <c r="H307" s="4">
        <v>0.56000000000000005</v>
      </c>
      <c r="K307">
        <v>558</v>
      </c>
      <c r="L307" t="s">
        <v>35</v>
      </c>
      <c r="M307" t="s">
        <v>62</v>
      </c>
      <c r="N307" s="8">
        <v>46174</v>
      </c>
      <c r="P307" t="s">
        <v>638</v>
      </c>
      <c r="Q307" t="s">
        <v>133</v>
      </c>
      <c r="R307" t="s">
        <v>55</v>
      </c>
      <c r="S307" s="8">
        <v>46164</v>
      </c>
      <c r="T307" s="8">
        <v>46174</v>
      </c>
      <c r="V307">
        <v>0.56000000000000005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478</v>
      </c>
      <c r="B308" t="s">
        <v>643</v>
      </c>
      <c r="C308" t="s">
        <v>644</v>
      </c>
      <c r="D308" t="s">
        <v>94</v>
      </c>
      <c r="E308" t="s">
        <v>590</v>
      </c>
      <c r="F308" s="8">
        <v>46204</v>
      </c>
      <c r="G308" s="8">
        <v>46210</v>
      </c>
      <c r="H308" s="4">
        <v>1</v>
      </c>
      <c r="I308" s="8">
        <v>46210</v>
      </c>
      <c r="J308">
        <v>513</v>
      </c>
      <c r="K308" t="s">
        <v>645</v>
      </c>
      <c r="L308" t="s">
        <v>59</v>
      </c>
      <c r="M308" t="s">
        <v>62</v>
      </c>
      <c r="N308" s="8">
        <v>46168</v>
      </c>
      <c r="P308" t="s">
        <v>638</v>
      </c>
      <c r="Q308" t="s">
        <v>133</v>
      </c>
      <c r="R308" t="s">
        <v>55</v>
      </c>
      <c r="S308" s="8">
        <v>46164</v>
      </c>
      <c r="T308" s="8">
        <v>46168</v>
      </c>
      <c r="V308">
        <v>1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</row>
    <row r="309" spans="1:33" x14ac:dyDescent="0.25">
      <c r="A309">
        <v>479</v>
      </c>
      <c r="B309" t="s">
        <v>646</v>
      </c>
      <c r="C309" t="s">
        <v>644</v>
      </c>
      <c r="D309" t="s">
        <v>98</v>
      </c>
      <c r="E309" t="s">
        <v>53</v>
      </c>
      <c r="F309" s="8">
        <v>46211</v>
      </c>
      <c r="G309" s="8">
        <v>46211</v>
      </c>
      <c r="H309" s="4">
        <v>0</v>
      </c>
      <c r="J309">
        <v>478</v>
      </c>
      <c r="K309">
        <v>480</v>
      </c>
      <c r="L309" t="s">
        <v>35</v>
      </c>
      <c r="M309" t="s">
        <v>411</v>
      </c>
      <c r="N309" s="8">
        <v>46169</v>
      </c>
      <c r="P309" t="s">
        <v>638</v>
      </c>
      <c r="Q309" t="s">
        <v>178</v>
      </c>
      <c r="R309" t="s">
        <v>55</v>
      </c>
      <c r="S309" s="8">
        <v>46169</v>
      </c>
      <c r="T309" s="8">
        <v>46169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480</v>
      </c>
      <c r="B310" t="s">
        <v>647</v>
      </c>
      <c r="C310" t="s">
        <v>644</v>
      </c>
      <c r="D310" t="s">
        <v>102</v>
      </c>
      <c r="E310" t="s">
        <v>121</v>
      </c>
      <c r="F310" s="8">
        <v>46216</v>
      </c>
      <c r="G310" s="8">
        <v>46217</v>
      </c>
      <c r="H310" s="4">
        <v>0</v>
      </c>
      <c r="J310">
        <v>479</v>
      </c>
      <c r="K310">
        <v>481</v>
      </c>
      <c r="L310" t="s">
        <v>35</v>
      </c>
      <c r="M310" t="s">
        <v>172</v>
      </c>
      <c r="N310" s="8">
        <v>46171</v>
      </c>
      <c r="P310" t="s">
        <v>638</v>
      </c>
      <c r="Q310" t="s">
        <v>178</v>
      </c>
      <c r="R310" t="s">
        <v>55</v>
      </c>
      <c r="S310" s="8">
        <v>46170</v>
      </c>
      <c r="T310" s="8">
        <v>46171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</row>
    <row r="311" spans="1:33" x14ac:dyDescent="0.25">
      <c r="A311">
        <v>481</v>
      </c>
      <c r="B311" t="s">
        <v>648</v>
      </c>
      <c r="C311" t="s">
        <v>644</v>
      </c>
      <c r="D311" t="s">
        <v>108</v>
      </c>
      <c r="E311" t="s">
        <v>53</v>
      </c>
      <c r="F311" s="8">
        <v>46218</v>
      </c>
      <c r="G311" s="8">
        <v>46218</v>
      </c>
      <c r="H311" s="4">
        <v>0</v>
      </c>
      <c r="J311">
        <v>480</v>
      </c>
      <c r="L311" t="s">
        <v>183</v>
      </c>
      <c r="M311" t="s">
        <v>321</v>
      </c>
      <c r="N311" s="8">
        <v>46174</v>
      </c>
      <c r="P311" t="s">
        <v>638</v>
      </c>
      <c r="Q311" t="s">
        <v>146</v>
      </c>
      <c r="R311" t="s">
        <v>55</v>
      </c>
      <c r="S311" s="8">
        <v>46174</v>
      </c>
      <c r="T311" s="8">
        <v>46174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482</v>
      </c>
      <c r="B312" t="s">
        <v>649</v>
      </c>
      <c r="C312" t="s">
        <v>640</v>
      </c>
      <c r="D312" t="s">
        <v>650</v>
      </c>
      <c r="E312" t="s">
        <v>171</v>
      </c>
      <c r="F312" s="8">
        <v>46203</v>
      </c>
      <c r="G312" s="8">
        <v>46216</v>
      </c>
      <c r="H312" s="4">
        <v>0.75</v>
      </c>
      <c r="L312" t="s">
        <v>35</v>
      </c>
      <c r="M312" t="s">
        <v>392</v>
      </c>
      <c r="N312" s="8">
        <v>46204</v>
      </c>
      <c r="P312" t="s">
        <v>638</v>
      </c>
      <c r="Q312" t="s">
        <v>178</v>
      </c>
      <c r="R312" t="s">
        <v>55</v>
      </c>
      <c r="S312" s="8">
        <v>46196</v>
      </c>
      <c r="T312" s="8">
        <v>46204</v>
      </c>
      <c r="V312">
        <v>0.75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483</v>
      </c>
      <c r="B313" t="s">
        <v>651</v>
      </c>
      <c r="C313" t="s">
        <v>652</v>
      </c>
      <c r="D313" t="s">
        <v>94</v>
      </c>
      <c r="E313" t="s">
        <v>175</v>
      </c>
      <c r="F313" s="8">
        <v>46203</v>
      </c>
      <c r="G313" s="8">
        <v>46206</v>
      </c>
      <c r="H313" s="4">
        <v>1</v>
      </c>
      <c r="I313" s="8">
        <v>46206</v>
      </c>
      <c r="K313">
        <v>484</v>
      </c>
      <c r="L313" t="s">
        <v>59</v>
      </c>
      <c r="M313" t="s">
        <v>392</v>
      </c>
      <c r="N313" s="8">
        <v>46198</v>
      </c>
      <c r="P313" t="s">
        <v>638</v>
      </c>
      <c r="Q313" t="s">
        <v>178</v>
      </c>
      <c r="R313" t="s">
        <v>55</v>
      </c>
      <c r="S313" s="8">
        <v>46196</v>
      </c>
      <c r="T313" s="8">
        <v>46198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</row>
    <row r="314" spans="1:33" x14ac:dyDescent="0.25">
      <c r="A314">
        <v>484</v>
      </c>
      <c r="B314" t="s">
        <v>653</v>
      </c>
      <c r="C314" t="s">
        <v>652</v>
      </c>
      <c r="D314" t="s">
        <v>98</v>
      </c>
      <c r="E314" t="s">
        <v>53</v>
      </c>
      <c r="F314" s="8">
        <v>46209</v>
      </c>
      <c r="G314" s="8">
        <v>46209</v>
      </c>
      <c r="H314" s="4">
        <v>1</v>
      </c>
      <c r="I314" s="8">
        <v>46209</v>
      </c>
      <c r="J314">
        <v>483</v>
      </c>
      <c r="K314">
        <v>485</v>
      </c>
      <c r="L314" t="s">
        <v>59</v>
      </c>
      <c r="M314" t="s">
        <v>396</v>
      </c>
      <c r="N314" s="8">
        <v>46199</v>
      </c>
      <c r="P314" t="s">
        <v>638</v>
      </c>
      <c r="Q314" t="s">
        <v>146</v>
      </c>
      <c r="R314" t="s">
        <v>55</v>
      </c>
      <c r="S314" s="8">
        <v>46199</v>
      </c>
      <c r="T314" s="8">
        <v>46199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485</v>
      </c>
      <c r="B315" t="s">
        <v>654</v>
      </c>
      <c r="C315" t="s">
        <v>652</v>
      </c>
      <c r="D315" t="s">
        <v>102</v>
      </c>
      <c r="E315" t="s">
        <v>121</v>
      </c>
      <c r="F315" s="8">
        <v>46210</v>
      </c>
      <c r="G315" s="8">
        <v>46211</v>
      </c>
      <c r="H315" s="4">
        <v>0.5</v>
      </c>
      <c r="J315">
        <v>484</v>
      </c>
      <c r="K315">
        <v>486</v>
      </c>
      <c r="L315" t="s">
        <v>35</v>
      </c>
      <c r="M315" t="s">
        <v>398</v>
      </c>
      <c r="N315" s="8">
        <v>46203</v>
      </c>
      <c r="P315" t="s">
        <v>638</v>
      </c>
      <c r="Q315" t="s">
        <v>146</v>
      </c>
      <c r="R315" t="s">
        <v>55</v>
      </c>
      <c r="S315" s="8">
        <v>46202</v>
      </c>
      <c r="T315" s="8">
        <v>46203</v>
      </c>
      <c r="V315">
        <v>0.5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</row>
    <row r="316" spans="1:33" x14ac:dyDescent="0.25">
      <c r="A316">
        <v>486</v>
      </c>
      <c r="B316" t="s">
        <v>655</v>
      </c>
      <c r="C316" t="s">
        <v>652</v>
      </c>
      <c r="D316" t="s">
        <v>108</v>
      </c>
      <c r="E316" t="s">
        <v>53</v>
      </c>
      <c r="F316" s="8">
        <v>46216</v>
      </c>
      <c r="G316" s="8">
        <v>46216</v>
      </c>
      <c r="H316" s="4">
        <v>0</v>
      </c>
      <c r="J316">
        <v>485</v>
      </c>
      <c r="L316" t="s">
        <v>35</v>
      </c>
      <c r="M316" t="s">
        <v>400</v>
      </c>
      <c r="N316" s="8">
        <v>46204</v>
      </c>
      <c r="P316" t="s">
        <v>638</v>
      </c>
      <c r="Q316" t="s">
        <v>150</v>
      </c>
      <c r="R316" t="s">
        <v>55</v>
      </c>
      <c r="S316" s="8">
        <v>46204</v>
      </c>
      <c r="T316" s="8">
        <v>46204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</row>
    <row r="317" spans="1:33" x14ac:dyDescent="0.25">
      <c r="A317">
        <v>487</v>
      </c>
      <c r="B317" t="s">
        <v>656</v>
      </c>
      <c r="C317" t="s">
        <v>640</v>
      </c>
      <c r="D317" t="s">
        <v>657</v>
      </c>
      <c r="E317" t="s">
        <v>171</v>
      </c>
      <c r="F317" s="8">
        <v>46203</v>
      </c>
      <c r="G317" s="8">
        <v>46216</v>
      </c>
      <c r="H317" s="4">
        <v>0.75</v>
      </c>
      <c r="L317" t="s">
        <v>35</v>
      </c>
      <c r="M317" t="s">
        <v>265</v>
      </c>
      <c r="N317" s="8">
        <v>46196</v>
      </c>
      <c r="P317" t="s">
        <v>638</v>
      </c>
      <c r="Q317" t="s">
        <v>178</v>
      </c>
      <c r="R317" t="s">
        <v>55</v>
      </c>
      <c r="S317" s="8">
        <v>46188</v>
      </c>
      <c r="T317" s="8">
        <v>46196</v>
      </c>
      <c r="U317" t="s">
        <v>289</v>
      </c>
      <c r="V317">
        <v>0.75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488</v>
      </c>
      <c r="B318" t="s">
        <v>658</v>
      </c>
      <c r="C318" t="s">
        <v>659</v>
      </c>
      <c r="D318" t="s">
        <v>94</v>
      </c>
      <c r="E318" t="s">
        <v>175</v>
      </c>
      <c r="F318" s="8">
        <v>46203</v>
      </c>
      <c r="G318" s="8">
        <v>46206</v>
      </c>
      <c r="H318" s="4">
        <v>1</v>
      </c>
      <c r="I318" s="8">
        <v>46206</v>
      </c>
      <c r="J318">
        <v>543</v>
      </c>
      <c r="K318">
        <v>489</v>
      </c>
      <c r="L318" t="s">
        <v>59</v>
      </c>
      <c r="M318" t="s">
        <v>500</v>
      </c>
      <c r="N318" s="8">
        <v>46206</v>
      </c>
      <c r="P318" t="s">
        <v>638</v>
      </c>
      <c r="Q318" t="s">
        <v>178</v>
      </c>
      <c r="R318" t="s">
        <v>55</v>
      </c>
      <c r="S318" s="8">
        <v>46203</v>
      </c>
      <c r="T318" s="8">
        <v>46206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25">
      <c r="A319">
        <v>489</v>
      </c>
      <c r="B319" t="s">
        <v>660</v>
      </c>
      <c r="C319" t="s">
        <v>659</v>
      </c>
      <c r="D319" t="s">
        <v>98</v>
      </c>
      <c r="E319" t="s">
        <v>53</v>
      </c>
      <c r="F319" s="8">
        <v>46209</v>
      </c>
      <c r="G319" s="8">
        <v>46209</v>
      </c>
      <c r="H319" s="4">
        <v>1</v>
      </c>
      <c r="I319" s="8">
        <v>46209</v>
      </c>
      <c r="J319">
        <v>488</v>
      </c>
      <c r="K319">
        <v>490</v>
      </c>
      <c r="L319" t="s">
        <v>59</v>
      </c>
      <c r="M319" t="s">
        <v>194</v>
      </c>
      <c r="N319" s="8">
        <v>46209</v>
      </c>
      <c r="P319" t="s">
        <v>638</v>
      </c>
      <c r="Q319" t="s">
        <v>146</v>
      </c>
      <c r="R319" t="s">
        <v>55</v>
      </c>
      <c r="S319" s="8">
        <v>46209</v>
      </c>
      <c r="T319" s="8">
        <v>46209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490</v>
      </c>
      <c r="B320" t="s">
        <v>661</v>
      </c>
      <c r="C320" t="s">
        <v>659</v>
      </c>
      <c r="D320" t="s">
        <v>102</v>
      </c>
      <c r="E320" t="s">
        <v>121</v>
      </c>
      <c r="F320" s="8">
        <v>46210</v>
      </c>
      <c r="G320" s="8">
        <v>46211</v>
      </c>
      <c r="H320" s="4">
        <v>0.5</v>
      </c>
      <c r="J320">
        <v>489</v>
      </c>
      <c r="K320">
        <v>491</v>
      </c>
      <c r="L320" t="s">
        <v>35</v>
      </c>
      <c r="M320" t="s">
        <v>296</v>
      </c>
      <c r="N320" s="8">
        <v>46211</v>
      </c>
      <c r="P320" t="s">
        <v>638</v>
      </c>
      <c r="Q320" t="s">
        <v>146</v>
      </c>
      <c r="R320" t="s">
        <v>55</v>
      </c>
      <c r="S320" s="8">
        <v>46210</v>
      </c>
      <c r="T320" s="8">
        <v>46211</v>
      </c>
      <c r="V320">
        <v>0.5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</row>
    <row r="321" spans="1:33" x14ac:dyDescent="0.25">
      <c r="A321">
        <v>491</v>
      </c>
      <c r="B321" t="s">
        <v>662</v>
      </c>
      <c r="C321" t="s">
        <v>659</v>
      </c>
      <c r="D321" t="s">
        <v>108</v>
      </c>
      <c r="E321" t="s">
        <v>53</v>
      </c>
      <c r="F321" s="8">
        <v>46216</v>
      </c>
      <c r="G321" s="8">
        <v>46216</v>
      </c>
      <c r="H321" s="4">
        <v>0</v>
      </c>
      <c r="J321">
        <v>490</v>
      </c>
      <c r="L321" t="s">
        <v>35</v>
      </c>
      <c r="M321" t="s">
        <v>462</v>
      </c>
      <c r="N321" s="8">
        <v>46216</v>
      </c>
      <c r="P321" t="s">
        <v>638</v>
      </c>
      <c r="Q321" t="s">
        <v>150</v>
      </c>
      <c r="R321" t="s">
        <v>55</v>
      </c>
      <c r="S321" s="8">
        <v>46216</v>
      </c>
      <c r="T321" s="8">
        <v>46216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</row>
    <row r="322" spans="1:33" x14ac:dyDescent="0.25">
      <c r="A322">
        <v>502</v>
      </c>
      <c r="B322" t="s">
        <v>663</v>
      </c>
      <c r="C322" t="s">
        <v>640</v>
      </c>
      <c r="D322" t="s">
        <v>664</v>
      </c>
      <c r="E322" t="s">
        <v>171</v>
      </c>
      <c r="F322" s="8">
        <v>46206</v>
      </c>
      <c r="G322" s="8">
        <v>46219</v>
      </c>
      <c r="H322" s="4">
        <v>0.63</v>
      </c>
      <c r="L322" t="s">
        <v>180</v>
      </c>
      <c r="M322" t="s">
        <v>293</v>
      </c>
      <c r="N322" s="8">
        <v>46211</v>
      </c>
      <c r="P322" t="s">
        <v>638</v>
      </c>
      <c r="Q322" t="s">
        <v>178</v>
      </c>
      <c r="R322" t="s">
        <v>55</v>
      </c>
      <c r="S322" s="8">
        <v>46205</v>
      </c>
      <c r="T322" s="8">
        <v>46211</v>
      </c>
      <c r="V322">
        <v>0.63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503</v>
      </c>
      <c r="B323" t="s">
        <v>665</v>
      </c>
      <c r="C323" t="s">
        <v>666</v>
      </c>
      <c r="D323" t="s">
        <v>94</v>
      </c>
      <c r="E323" t="s">
        <v>590</v>
      </c>
      <c r="F323" s="8">
        <v>46206</v>
      </c>
      <c r="G323" s="8">
        <v>46216</v>
      </c>
      <c r="H323" s="4">
        <v>1</v>
      </c>
      <c r="I323" s="8">
        <v>46216</v>
      </c>
      <c r="J323" t="s">
        <v>667</v>
      </c>
      <c r="K323">
        <v>504</v>
      </c>
      <c r="L323" t="s">
        <v>59</v>
      </c>
      <c r="M323" t="s">
        <v>293</v>
      </c>
      <c r="N323" s="8">
        <v>46205</v>
      </c>
      <c r="P323" t="s">
        <v>638</v>
      </c>
      <c r="Q323" t="s">
        <v>178</v>
      </c>
      <c r="R323" t="s">
        <v>55</v>
      </c>
      <c r="S323" s="8">
        <v>46205</v>
      </c>
      <c r="T323" s="8">
        <v>46205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</row>
    <row r="324" spans="1:33" x14ac:dyDescent="0.25">
      <c r="A324">
        <v>504</v>
      </c>
      <c r="B324" t="s">
        <v>668</v>
      </c>
      <c r="C324" t="s">
        <v>666</v>
      </c>
      <c r="D324" t="s">
        <v>98</v>
      </c>
      <c r="E324" t="s">
        <v>53</v>
      </c>
      <c r="F324" s="8">
        <v>46217</v>
      </c>
      <c r="G324" s="8">
        <v>46217</v>
      </c>
      <c r="H324" s="4">
        <v>0</v>
      </c>
      <c r="J324">
        <v>503</v>
      </c>
      <c r="K324">
        <v>505</v>
      </c>
      <c r="L324" t="s">
        <v>180</v>
      </c>
      <c r="M324" t="s">
        <v>192</v>
      </c>
      <c r="N324" s="8">
        <v>46206</v>
      </c>
      <c r="P324" t="s">
        <v>638</v>
      </c>
      <c r="Q324" t="s">
        <v>146</v>
      </c>
      <c r="R324" t="s">
        <v>55</v>
      </c>
      <c r="S324" s="8">
        <v>46206</v>
      </c>
      <c r="T324" s="8">
        <v>46206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505</v>
      </c>
      <c r="B325" t="s">
        <v>669</v>
      </c>
      <c r="C325" t="s">
        <v>666</v>
      </c>
      <c r="D325" t="s">
        <v>102</v>
      </c>
      <c r="E325" t="s">
        <v>53</v>
      </c>
      <c r="F325" s="8">
        <v>46218</v>
      </c>
      <c r="G325" s="8">
        <v>46218</v>
      </c>
      <c r="H325" s="4">
        <v>0</v>
      </c>
      <c r="J325">
        <v>504</v>
      </c>
      <c r="K325">
        <v>506</v>
      </c>
      <c r="L325" t="s">
        <v>183</v>
      </c>
      <c r="M325" t="s">
        <v>194</v>
      </c>
      <c r="N325" s="8">
        <v>46210</v>
      </c>
      <c r="P325" t="s">
        <v>638</v>
      </c>
      <c r="Q325" t="s">
        <v>150</v>
      </c>
      <c r="R325" t="s">
        <v>55</v>
      </c>
      <c r="S325" s="8">
        <v>46209</v>
      </c>
      <c r="T325" s="8">
        <v>46210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5">
      <c r="A326">
        <v>506</v>
      </c>
      <c r="B326" t="s">
        <v>670</v>
      </c>
      <c r="C326" t="s">
        <v>666</v>
      </c>
      <c r="D326" t="s">
        <v>108</v>
      </c>
      <c r="E326" t="s">
        <v>53</v>
      </c>
      <c r="F326" s="8">
        <v>46219</v>
      </c>
      <c r="G326" s="8">
        <v>46219</v>
      </c>
      <c r="H326" s="4">
        <v>0</v>
      </c>
      <c r="J326">
        <v>505</v>
      </c>
      <c r="L326" t="s">
        <v>183</v>
      </c>
      <c r="M326" t="s">
        <v>196</v>
      </c>
      <c r="N326" s="8">
        <v>46211</v>
      </c>
      <c r="P326" t="s">
        <v>638</v>
      </c>
      <c r="Q326" t="s">
        <v>150</v>
      </c>
      <c r="R326" t="s">
        <v>55</v>
      </c>
      <c r="S326" s="8">
        <v>46211</v>
      </c>
      <c r="T326" s="8">
        <v>46211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5">
      <c r="A327">
        <v>507</v>
      </c>
      <c r="B327" t="s">
        <v>671</v>
      </c>
      <c r="C327" t="s">
        <v>640</v>
      </c>
      <c r="D327" t="s">
        <v>672</v>
      </c>
      <c r="E327" t="s">
        <v>602</v>
      </c>
      <c r="F327" s="8">
        <v>46174</v>
      </c>
      <c r="G327" s="8">
        <v>46206</v>
      </c>
      <c r="H327" s="4">
        <v>1</v>
      </c>
      <c r="I327" s="8">
        <v>46206</v>
      </c>
      <c r="L327" t="s">
        <v>59</v>
      </c>
      <c r="M327" t="s">
        <v>142</v>
      </c>
      <c r="N327" s="8">
        <v>46169</v>
      </c>
      <c r="P327" t="s">
        <v>638</v>
      </c>
      <c r="Q327" t="s">
        <v>168</v>
      </c>
      <c r="R327" t="s">
        <v>55</v>
      </c>
      <c r="S327" s="8">
        <v>46162</v>
      </c>
      <c r="T327" s="8">
        <v>46169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508</v>
      </c>
      <c r="B328" t="s">
        <v>673</v>
      </c>
      <c r="C328" t="s">
        <v>674</v>
      </c>
      <c r="D328" t="s">
        <v>94</v>
      </c>
      <c r="E328" t="s">
        <v>103</v>
      </c>
      <c r="F328" s="8">
        <v>46174</v>
      </c>
      <c r="G328" s="8">
        <v>46185</v>
      </c>
      <c r="H328" s="4">
        <v>1</v>
      </c>
      <c r="I328" s="8">
        <v>46185</v>
      </c>
      <c r="J328" t="s">
        <v>675</v>
      </c>
      <c r="K328">
        <v>509</v>
      </c>
      <c r="L328" t="s">
        <v>59</v>
      </c>
      <c r="M328" t="s">
        <v>142</v>
      </c>
      <c r="N328" s="8">
        <v>46163</v>
      </c>
      <c r="P328" t="s">
        <v>638</v>
      </c>
      <c r="Q328" t="s">
        <v>168</v>
      </c>
      <c r="R328" t="s">
        <v>55</v>
      </c>
      <c r="S328" s="8">
        <v>46162</v>
      </c>
      <c r="T328" s="8">
        <v>46163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</row>
    <row r="329" spans="1:33" x14ac:dyDescent="0.25">
      <c r="A329">
        <v>509</v>
      </c>
      <c r="B329" t="s">
        <v>676</v>
      </c>
      <c r="C329" t="s">
        <v>674</v>
      </c>
      <c r="D329" t="s">
        <v>98</v>
      </c>
      <c r="E329" t="s">
        <v>590</v>
      </c>
      <c r="F329" s="8">
        <v>46188</v>
      </c>
      <c r="G329" s="8">
        <v>46192</v>
      </c>
      <c r="H329" s="4">
        <v>1</v>
      </c>
      <c r="I329" s="8">
        <v>46192</v>
      </c>
      <c r="J329">
        <v>508</v>
      </c>
      <c r="K329">
        <v>510</v>
      </c>
      <c r="L329" t="s">
        <v>59</v>
      </c>
      <c r="M329" t="s">
        <v>62</v>
      </c>
      <c r="N329" s="8">
        <v>46164</v>
      </c>
      <c r="P329" t="s">
        <v>638</v>
      </c>
      <c r="Q329" t="s">
        <v>133</v>
      </c>
      <c r="R329" t="s">
        <v>55</v>
      </c>
      <c r="S329" s="8">
        <v>46164</v>
      </c>
      <c r="T329" s="8">
        <v>46164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510</v>
      </c>
      <c r="B330" t="s">
        <v>677</v>
      </c>
      <c r="C330" t="s">
        <v>674</v>
      </c>
      <c r="D330" t="s">
        <v>102</v>
      </c>
      <c r="E330" t="s">
        <v>678</v>
      </c>
      <c r="F330" s="8">
        <v>46195</v>
      </c>
      <c r="G330" s="8">
        <v>46205</v>
      </c>
      <c r="H330" s="4">
        <v>1</v>
      </c>
      <c r="I330" s="8">
        <v>46205</v>
      </c>
      <c r="J330">
        <v>509</v>
      </c>
      <c r="K330">
        <v>511</v>
      </c>
      <c r="L330" t="s">
        <v>59</v>
      </c>
      <c r="M330" t="s">
        <v>149</v>
      </c>
      <c r="N330" s="8">
        <v>46168</v>
      </c>
      <c r="P330" t="s">
        <v>638</v>
      </c>
      <c r="Q330" t="s">
        <v>133</v>
      </c>
      <c r="R330" t="s">
        <v>55</v>
      </c>
      <c r="S330" s="8">
        <v>46167</v>
      </c>
      <c r="T330" s="8">
        <v>46168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511</v>
      </c>
      <c r="B331" t="s">
        <v>679</v>
      </c>
      <c r="C331" t="s">
        <v>674</v>
      </c>
      <c r="D331" t="s">
        <v>108</v>
      </c>
      <c r="E331" t="s">
        <v>53</v>
      </c>
      <c r="F331" s="8">
        <v>46206</v>
      </c>
      <c r="G331" s="8">
        <v>46206</v>
      </c>
      <c r="H331" s="4">
        <v>1</v>
      </c>
      <c r="I331" s="8">
        <v>46206</v>
      </c>
      <c r="J331">
        <v>510</v>
      </c>
      <c r="L331" t="s">
        <v>59</v>
      </c>
      <c r="M331" t="s">
        <v>411</v>
      </c>
      <c r="N331" s="8">
        <v>46169</v>
      </c>
      <c r="P331" t="s">
        <v>638</v>
      </c>
      <c r="Q331" t="s">
        <v>133</v>
      </c>
      <c r="R331" t="s">
        <v>55</v>
      </c>
      <c r="S331" s="8">
        <v>46169</v>
      </c>
      <c r="T331" s="8">
        <v>46169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</row>
    <row r="332" spans="1:33" x14ac:dyDescent="0.25">
      <c r="A332">
        <v>512</v>
      </c>
      <c r="B332" t="s">
        <v>680</v>
      </c>
      <c r="C332" t="s">
        <v>640</v>
      </c>
      <c r="D332" t="s">
        <v>681</v>
      </c>
      <c r="E332" t="s">
        <v>602</v>
      </c>
      <c r="F332" s="8">
        <v>46174</v>
      </c>
      <c r="G332" s="8">
        <v>46206</v>
      </c>
      <c r="H332" s="4">
        <v>0.74</v>
      </c>
      <c r="L332" t="s">
        <v>35</v>
      </c>
      <c r="M332" t="s">
        <v>142</v>
      </c>
      <c r="N332" s="8">
        <v>46169</v>
      </c>
      <c r="P332" t="s">
        <v>638</v>
      </c>
      <c r="Q332" t="s">
        <v>168</v>
      </c>
      <c r="R332" t="s">
        <v>55</v>
      </c>
      <c r="S332" s="8">
        <v>46162</v>
      </c>
      <c r="T332" s="8">
        <v>46169</v>
      </c>
      <c r="V332">
        <v>0.74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513</v>
      </c>
      <c r="B333" t="s">
        <v>682</v>
      </c>
      <c r="C333" t="s">
        <v>683</v>
      </c>
      <c r="D333" t="s">
        <v>94</v>
      </c>
      <c r="E333" t="s">
        <v>103</v>
      </c>
      <c r="F333" s="8">
        <v>46174</v>
      </c>
      <c r="G333" s="8">
        <v>46185</v>
      </c>
      <c r="H333" s="4">
        <v>1</v>
      </c>
      <c r="I333" s="8">
        <v>46185</v>
      </c>
      <c r="J333" t="s">
        <v>675</v>
      </c>
      <c r="K333" t="s">
        <v>684</v>
      </c>
      <c r="L333" t="s">
        <v>59</v>
      </c>
      <c r="M333" t="s">
        <v>142</v>
      </c>
      <c r="N333" s="8">
        <v>46163</v>
      </c>
      <c r="P333" t="s">
        <v>638</v>
      </c>
      <c r="Q333" t="s">
        <v>168</v>
      </c>
      <c r="R333" t="s">
        <v>55</v>
      </c>
      <c r="S333" s="8">
        <v>46162</v>
      </c>
      <c r="T333" s="8">
        <v>46163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</row>
    <row r="334" spans="1:33" x14ac:dyDescent="0.25">
      <c r="A334">
        <v>514</v>
      </c>
      <c r="B334" t="s">
        <v>685</v>
      </c>
      <c r="C334" t="s">
        <v>683</v>
      </c>
      <c r="D334" t="s">
        <v>98</v>
      </c>
      <c r="E334" t="s">
        <v>590</v>
      </c>
      <c r="F334" s="8">
        <v>46188</v>
      </c>
      <c r="G334" s="8">
        <v>46192</v>
      </c>
      <c r="H334" s="4">
        <v>1</v>
      </c>
      <c r="I334" s="8">
        <v>46192</v>
      </c>
      <c r="J334">
        <v>513</v>
      </c>
      <c r="K334">
        <v>515</v>
      </c>
      <c r="L334" t="s">
        <v>59</v>
      </c>
      <c r="M334" t="s">
        <v>62</v>
      </c>
      <c r="N334" s="8">
        <v>46164</v>
      </c>
      <c r="P334" t="s">
        <v>638</v>
      </c>
      <c r="Q334" t="s">
        <v>133</v>
      </c>
      <c r="R334" t="s">
        <v>55</v>
      </c>
      <c r="S334" s="8">
        <v>46164</v>
      </c>
      <c r="T334" s="8">
        <v>46164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515</v>
      </c>
      <c r="B335" t="s">
        <v>686</v>
      </c>
      <c r="C335" t="s">
        <v>683</v>
      </c>
      <c r="D335" t="s">
        <v>102</v>
      </c>
      <c r="E335" t="s">
        <v>678</v>
      </c>
      <c r="F335" s="8">
        <v>46195</v>
      </c>
      <c r="G335" s="8">
        <v>46205</v>
      </c>
      <c r="H335" s="4">
        <v>0.5</v>
      </c>
      <c r="J335">
        <v>514</v>
      </c>
      <c r="K335">
        <v>516</v>
      </c>
      <c r="L335" t="s">
        <v>35</v>
      </c>
      <c r="M335" t="s">
        <v>149</v>
      </c>
      <c r="N335" s="8">
        <v>46168</v>
      </c>
      <c r="P335" t="s">
        <v>638</v>
      </c>
      <c r="Q335" t="s">
        <v>133</v>
      </c>
      <c r="R335" t="s">
        <v>55</v>
      </c>
      <c r="S335" s="8">
        <v>46167</v>
      </c>
      <c r="T335" s="8">
        <v>46168</v>
      </c>
      <c r="V335">
        <v>0.5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</row>
    <row r="336" spans="1:33" x14ac:dyDescent="0.25">
      <c r="A336">
        <v>516</v>
      </c>
      <c r="B336" t="s">
        <v>687</v>
      </c>
      <c r="C336" t="s">
        <v>683</v>
      </c>
      <c r="D336" t="s">
        <v>108</v>
      </c>
      <c r="E336" t="s">
        <v>53</v>
      </c>
      <c r="F336" s="8">
        <v>46206</v>
      </c>
      <c r="G336" s="8">
        <v>46206</v>
      </c>
      <c r="H336" s="4">
        <v>0</v>
      </c>
      <c r="J336">
        <v>515</v>
      </c>
      <c r="L336" t="s">
        <v>35</v>
      </c>
      <c r="M336" t="s">
        <v>411</v>
      </c>
      <c r="N336" s="8">
        <v>46169</v>
      </c>
      <c r="P336" t="s">
        <v>638</v>
      </c>
      <c r="Q336" t="s">
        <v>133</v>
      </c>
      <c r="R336" t="s">
        <v>55</v>
      </c>
      <c r="S336" s="8">
        <v>46169</v>
      </c>
      <c r="T336" s="8">
        <v>46169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</row>
    <row r="337" spans="1:33" x14ac:dyDescent="0.25">
      <c r="A337">
        <v>517</v>
      </c>
      <c r="B337" t="s">
        <v>688</v>
      </c>
      <c r="C337" t="s">
        <v>640</v>
      </c>
      <c r="D337" t="s">
        <v>689</v>
      </c>
      <c r="E337" t="s">
        <v>602</v>
      </c>
      <c r="F337" s="8">
        <v>46174</v>
      </c>
      <c r="G337" s="8">
        <v>46206</v>
      </c>
      <c r="H337" s="4">
        <v>0.74</v>
      </c>
      <c r="L337" t="s">
        <v>35</v>
      </c>
      <c r="M337" t="s">
        <v>142</v>
      </c>
      <c r="N337" s="8">
        <v>46169</v>
      </c>
      <c r="P337" t="s">
        <v>638</v>
      </c>
      <c r="Q337" t="s">
        <v>168</v>
      </c>
      <c r="R337" t="s">
        <v>55</v>
      </c>
      <c r="S337" s="8">
        <v>46162</v>
      </c>
      <c r="T337" s="8">
        <v>46169</v>
      </c>
      <c r="V337">
        <v>0.74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518</v>
      </c>
      <c r="B338" t="s">
        <v>690</v>
      </c>
      <c r="C338" t="s">
        <v>691</v>
      </c>
      <c r="D338" t="s">
        <v>94</v>
      </c>
      <c r="E338" t="s">
        <v>103</v>
      </c>
      <c r="F338" s="8">
        <v>46174</v>
      </c>
      <c r="G338" s="8">
        <v>46185</v>
      </c>
      <c r="H338" s="4">
        <v>1</v>
      </c>
      <c r="I338" s="8">
        <v>46185</v>
      </c>
      <c r="J338" t="s">
        <v>675</v>
      </c>
      <c r="K338">
        <v>519</v>
      </c>
      <c r="L338" t="s">
        <v>59</v>
      </c>
      <c r="M338" t="s">
        <v>142</v>
      </c>
      <c r="N338" s="8">
        <v>46163</v>
      </c>
      <c r="P338" t="s">
        <v>638</v>
      </c>
      <c r="Q338" t="s">
        <v>168</v>
      </c>
      <c r="R338" t="s">
        <v>55</v>
      </c>
      <c r="S338" s="8">
        <v>46162</v>
      </c>
      <c r="T338" s="8">
        <v>46163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</row>
    <row r="339" spans="1:33" x14ac:dyDescent="0.25">
      <c r="A339">
        <v>519</v>
      </c>
      <c r="B339" t="s">
        <v>692</v>
      </c>
      <c r="C339" t="s">
        <v>691</v>
      </c>
      <c r="D339" t="s">
        <v>98</v>
      </c>
      <c r="E339" t="s">
        <v>590</v>
      </c>
      <c r="F339" s="8">
        <v>46188</v>
      </c>
      <c r="G339" s="8">
        <v>46192</v>
      </c>
      <c r="H339" s="4">
        <v>1</v>
      </c>
      <c r="I339" s="8">
        <v>46192</v>
      </c>
      <c r="J339">
        <v>518</v>
      </c>
      <c r="K339">
        <v>520</v>
      </c>
      <c r="L339" t="s">
        <v>59</v>
      </c>
      <c r="M339" t="s">
        <v>62</v>
      </c>
      <c r="N339" s="8">
        <v>46164</v>
      </c>
      <c r="P339" t="s">
        <v>638</v>
      </c>
      <c r="Q339" t="s">
        <v>133</v>
      </c>
      <c r="R339" t="s">
        <v>55</v>
      </c>
      <c r="S339" s="8">
        <v>46164</v>
      </c>
      <c r="T339" s="8">
        <v>46164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520</v>
      </c>
      <c r="B340" t="s">
        <v>693</v>
      </c>
      <c r="C340" t="s">
        <v>691</v>
      </c>
      <c r="D340" t="s">
        <v>102</v>
      </c>
      <c r="E340" t="s">
        <v>678</v>
      </c>
      <c r="F340" s="8">
        <v>46195</v>
      </c>
      <c r="G340" s="8">
        <v>46205</v>
      </c>
      <c r="H340" s="4">
        <v>0.5</v>
      </c>
      <c r="J340">
        <v>519</v>
      </c>
      <c r="K340">
        <v>521</v>
      </c>
      <c r="L340" t="s">
        <v>35</v>
      </c>
      <c r="M340" t="s">
        <v>149</v>
      </c>
      <c r="N340" s="8">
        <v>46168</v>
      </c>
      <c r="P340" t="s">
        <v>638</v>
      </c>
      <c r="Q340" t="s">
        <v>133</v>
      </c>
      <c r="R340" t="s">
        <v>55</v>
      </c>
      <c r="S340" s="8">
        <v>46167</v>
      </c>
      <c r="T340" s="8">
        <v>46168</v>
      </c>
      <c r="V340">
        <v>0.5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</row>
    <row r="341" spans="1:33" x14ac:dyDescent="0.25">
      <c r="A341">
        <v>521</v>
      </c>
      <c r="B341" t="s">
        <v>694</v>
      </c>
      <c r="C341" t="s">
        <v>691</v>
      </c>
      <c r="D341" t="s">
        <v>108</v>
      </c>
      <c r="E341" t="s">
        <v>53</v>
      </c>
      <c r="F341" s="8">
        <v>46206</v>
      </c>
      <c r="G341" s="8">
        <v>46206</v>
      </c>
      <c r="H341" s="4">
        <v>0</v>
      </c>
      <c r="J341">
        <v>520</v>
      </c>
      <c r="L341" t="s">
        <v>35</v>
      </c>
      <c r="M341" t="s">
        <v>411</v>
      </c>
      <c r="N341" s="8">
        <v>46169</v>
      </c>
      <c r="P341" t="s">
        <v>638</v>
      </c>
      <c r="Q341" t="s">
        <v>133</v>
      </c>
      <c r="R341" t="s">
        <v>55</v>
      </c>
      <c r="S341" s="8">
        <v>46169</v>
      </c>
      <c r="T341" s="8">
        <v>46169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</row>
    <row r="342" spans="1:33" x14ac:dyDescent="0.25">
      <c r="A342">
        <v>522</v>
      </c>
      <c r="B342" t="s">
        <v>695</v>
      </c>
      <c r="C342" t="s">
        <v>640</v>
      </c>
      <c r="D342" t="s">
        <v>696</v>
      </c>
      <c r="E342" t="s">
        <v>697</v>
      </c>
      <c r="F342" s="8">
        <v>46195</v>
      </c>
      <c r="G342" s="8">
        <v>46206</v>
      </c>
      <c r="H342" s="4">
        <v>0.63</v>
      </c>
      <c r="L342" t="s">
        <v>35</v>
      </c>
      <c r="M342" t="s">
        <v>411</v>
      </c>
      <c r="N342" s="8">
        <v>46188</v>
      </c>
      <c r="P342" t="s">
        <v>638</v>
      </c>
      <c r="Q342" t="s">
        <v>178</v>
      </c>
      <c r="R342" t="s">
        <v>55</v>
      </c>
      <c r="S342" s="8">
        <v>46169</v>
      </c>
      <c r="T342" s="8">
        <v>46188</v>
      </c>
      <c r="V342">
        <v>0.63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523</v>
      </c>
      <c r="B343" t="s">
        <v>698</v>
      </c>
      <c r="C343" t="s">
        <v>699</v>
      </c>
      <c r="D343" t="s">
        <v>94</v>
      </c>
      <c r="E343" t="s">
        <v>175</v>
      </c>
      <c r="F343" s="8">
        <v>46195</v>
      </c>
      <c r="G343" s="8">
        <v>46198</v>
      </c>
      <c r="H343" s="4">
        <v>1</v>
      </c>
      <c r="I343" s="8">
        <v>46198</v>
      </c>
      <c r="J343">
        <v>478</v>
      </c>
      <c r="K343">
        <v>524</v>
      </c>
      <c r="L343" t="s">
        <v>59</v>
      </c>
      <c r="M343" t="s">
        <v>411</v>
      </c>
      <c r="N343" s="8">
        <v>46182</v>
      </c>
      <c r="P343" t="s">
        <v>638</v>
      </c>
      <c r="Q343" t="s">
        <v>178</v>
      </c>
      <c r="R343" t="s">
        <v>55</v>
      </c>
      <c r="S343" s="8">
        <v>46169</v>
      </c>
      <c r="T343" s="8">
        <v>46182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</row>
    <row r="344" spans="1:33" x14ac:dyDescent="0.25">
      <c r="A344">
        <v>524</v>
      </c>
      <c r="B344" t="s">
        <v>700</v>
      </c>
      <c r="C344" t="s">
        <v>699</v>
      </c>
      <c r="D344" t="s">
        <v>98</v>
      </c>
      <c r="E344" t="s">
        <v>53</v>
      </c>
      <c r="F344" s="8">
        <v>46199</v>
      </c>
      <c r="G344" s="8">
        <v>46199</v>
      </c>
      <c r="H344" s="4">
        <v>1</v>
      </c>
      <c r="I344" s="8">
        <v>46199</v>
      </c>
      <c r="J344">
        <v>523</v>
      </c>
      <c r="K344">
        <v>525</v>
      </c>
      <c r="L344" t="s">
        <v>59</v>
      </c>
      <c r="M344" t="s">
        <v>261</v>
      </c>
      <c r="N344" s="8">
        <v>46183</v>
      </c>
      <c r="P344" t="s">
        <v>638</v>
      </c>
      <c r="Q344" t="s">
        <v>146</v>
      </c>
      <c r="R344" t="s">
        <v>55</v>
      </c>
      <c r="S344" s="8">
        <v>46183</v>
      </c>
      <c r="T344" s="8">
        <v>46183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525</v>
      </c>
      <c r="B345" t="s">
        <v>701</v>
      </c>
      <c r="C345" t="s">
        <v>699</v>
      </c>
      <c r="D345" t="s">
        <v>102</v>
      </c>
      <c r="E345" t="s">
        <v>121</v>
      </c>
      <c r="F345" s="8">
        <v>46202</v>
      </c>
      <c r="G345" s="8">
        <v>46203</v>
      </c>
      <c r="H345" s="4">
        <v>0</v>
      </c>
      <c r="J345">
        <v>524</v>
      </c>
      <c r="K345">
        <v>526</v>
      </c>
      <c r="L345" t="s">
        <v>35</v>
      </c>
      <c r="M345" t="s">
        <v>263</v>
      </c>
      <c r="N345" s="8">
        <v>46185</v>
      </c>
      <c r="P345" t="s">
        <v>638</v>
      </c>
      <c r="Q345" t="s">
        <v>146</v>
      </c>
      <c r="R345" t="s">
        <v>55</v>
      </c>
      <c r="S345" s="8">
        <v>46184</v>
      </c>
      <c r="T345" s="8">
        <v>46185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</row>
    <row r="346" spans="1:33" x14ac:dyDescent="0.25">
      <c r="A346">
        <v>526</v>
      </c>
      <c r="B346" t="s">
        <v>702</v>
      </c>
      <c r="C346" t="s">
        <v>699</v>
      </c>
      <c r="D346" t="s">
        <v>108</v>
      </c>
      <c r="E346" t="s">
        <v>53</v>
      </c>
      <c r="F346" s="8">
        <v>46206</v>
      </c>
      <c r="G346" s="8">
        <v>46206</v>
      </c>
      <c r="H346" s="4">
        <v>0</v>
      </c>
      <c r="J346">
        <v>525</v>
      </c>
      <c r="L346" t="s">
        <v>35</v>
      </c>
      <c r="M346" t="s">
        <v>265</v>
      </c>
      <c r="N346" s="8">
        <v>46188</v>
      </c>
      <c r="P346" t="s">
        <v>638</v>
      </c>
      <c r="Q346" t="s">
        <v>146</v>
      </c>
      <c r="R346" t="s">
        <v>55</v>
      </c>
      <c r="S346" s="8">
        <v>46188</v>
      </c>
      <c r="T346" s="8">
        <v>46188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</row>
    <row r="347" spans="1:33" x14ac:dyDescent="0.25">
      <c r="A347">
        <v>527</v>
      </c>
      <c r="B347" t="s">
        <v>703</v>
      </c>
      <c r="C347" t="s">
        <v>640</v>
      </c>
      <c r="D347" t="s">
        <v>704</v>
      </c>
      <c r="E347" t="s">
        <v>158</v>
      </c>
      <c r="F347" s="8">
        <v>46192</v>
      </c>
      <c r="G347" s="8">
        <v>46211</v>
      </c>
      <c r="H347" s="4">
        <v>1</v>
      </c>
      <c r="I347" s="8">
        <v>46211</v>
      </c>
      <c r="L347" t="s">
        <v>59</v>
      </c>
      <c r="M347" t="s">
        <v>411</v>
      </c>
      <c r="N347" s="8">
        <v>46188</v>
      </c>
      <c r="P347" t="s">
        <v>638</v>
      </c>
      <c r="Q347" t="s">
        <v>133</v>
      </c>
      <c r="R347" t="s">
        <v>55</v>
      </c>
      <c r="S347" s="8">
        <v>46169</v>
      </c>
      <c r="T347" s="8">
        <v>46188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 x14ac:dyDescent="0.25">
      <c r="A348">
        <v>528</v>
      </c>
      <c r="B348" t="s">
        <v>705</v>
      </c>
      <c r="C348" t="s">
        <v>706</v>
      </c>
      <c r="D348" t="s">
        <v>94</v>
      </c>
      <c r="E348" t="s">
        <v>175</v>
      </c>
      <c r="F348" s="8">
        <v>46192</v>
      </c>
      <c r="G348" s="8">
        <v>46197</v>
      </c>
      <c r="H348" s="4">
        <v>1</v>
      </c>
      <c r="I348" s="8">
        <v>46197</v>
      </c>
      <c r="J348">
        <v>478</v>
      </c>
      <c r="K348">
        <v>529</v>
      </c>
      <c r="L348" t="s">
        <v>59</v>
      </c>
      <c r="M348" t="s">
        <v>411</v>
      </c>
      <c r="N348" s="8">
        <v>46182</v>
      </c>
      <c r="P348" t="s">
        <v>638</v>
      </c>
      <c r="Q348" t="s">
        <v>133</v>
      </c>
      <c r="R348" t="s">
        <v>55</v>
      </c>
      <c r="S348" s="8">
        <v>46169</v>
      </c>
      <c r="T348" s="8">
        <v>46182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</row>
    <row r="349" spans="1:33" x14ac:dyDescent="0.25">
      <c r="A349">
        <v>529</v>
      </c>
      <c r="B349" t="s">
        <v>707</v>
      </c>
      <c r="C349" t="s">
        <v>706</v>
      </c>
      <c r="D349" t="s">
        <v>98</v>
      </c>
      <c r="E349" t="s">
        <v>53</v>
      </c>
      <c r="F349" s="8">
        <v>46198</v>
      </c>
      <c r="G349" s="8">
        <v>46198</v>
      </c>
      <c r="H349" s="4">
        <v>1</v>
      </c>
      <c r="I349" s="8">
        <v>46198</v>
      </c>
      <c r="J349">
        <v>528</v>
      </c>
      <c r="K349">
        <v>530</v>
      </c>
      <c r="L349" t="s">
        <v>59</v>
      </c>
      <c r="M349" t="s">
        <v>261</v>
      </c>
      <c r="N349" s="8">
        <v>46183</v>
      </c>
      <c r="P349" t="s">
        <v>638</v>
      </c>
      <c r="Q349" t="s">
        <v>178</v>
      </c>
      <c r="R349" t="s">
        <v>55</v>
      </c>
      <c r="S349" s="8">
        <v>46183</v>
      </c>
      <c r="T349" s="8">
        <v>46183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530</v>
      </c>
      <c r="B350" t="s">
        <v>708</v>
      </c>
      <c r="C350" t="s">
        <v>706</v>
      </c>
      <c r="D350" t="s">
        <v>102</v>
      </c>
      <c r="E350" t="s">
        <v>121</v>
      </c>
      <c r="F350" s="8">
        <v>46209</v>
      </c>
      <c r="G350" s="8">
        <v>46210</v>
      </c>
      <c r="H350" s="4">
        <v>1</v>
      </c>
      <c r="I350" s="8">
        <v>46210</v>
      </c>
      <c r="J350">
        <v>529</v>
      </c>
      <c r="K350">
        <v>531</v>
      </c>
      <c r="L350" t="s">
        <v>59</v>
      </c>
      <c r="M350" t="s">
        <v>263</v>
      </c>
      <c r="N350" s="8">
        <v>46185</v>
      </c>
      <c r="P350" t="s">
        <v>638</v>
      </c>
      <c r="Q350" t="s">
        <v>178</v>
      </c>
      <c r="R350" t="s">
        <v>55</v>
      </c>
      <c r="S350" s="8">
        <v>46184</v>
      </c>
      <c r="T350" s="8">
        <v>46185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531</v>
      </c>
      <c r="B351" t="s">
        <v>709</v>
      </c>
      <c r="C351" t="s">
        <v>706</v>
      </c>
      <c r="D351" t="s">
        <v>108</v>
      </c>
      <c r="E351" t="s">
        <v>53</v>
      </c>
      <c r="F351" s="8">
        <v>46211</v>
      </c>
      <c r="G351" s="8">
        <v>46211</v>
      </c>
      <c r="H351" s="4">
        <v>1</v>
      </c>
      <c r="I351" s="8">
        <v>46211</v>
      </c>
      <c r="J351">
        <v>530</v>
      </c>
      <c r="L351" t="s">
        <v>59</v>
      </c>
      <c r="M351" t="s">
        <v>265</v>
      </c>
      <c r="N351" s="8">
        <v>46188</v>
      </c>
      <c r="P351" t="s">
        <v>638</v>
      </c>
      <c r="Q351" t="s">
        <v>146</v>
      </c>
      <c r="R351" t="s">
        <v>55</v>
      </c>
      <c r="S351" s="8">
        <v>46188</v>
      </c>
      <c r="T351" s="8">
        <v>46188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</row>
    <row r="352" spans="1:33" x14ac:dyDescent="0.25">
      <c r="A352">
        <v>532</v>
      </c>
      <c r="B352" t="s">
        <v>710</v>
      </c>
      <c r="C352" t="s">
        <v>640</v>
      </c>
      <c r="D352" t="s">
        <v>711</v>
      </c>
      <c r="E352" t="s">
        <v>356</v>
      </c>
      <c r="F352" s="8">
        <v>46197</v>
      </c>
      <c r="G352" s="8">
        <v>46205</v>
      </c>
      <c r="H352" s="4">
        <v>0.5</v>
      </c>
      <c r="L352" t="s">
        <v>35</v>
      </c>
      <c r="M352" t="s">
        <v>411</v>
      </c>
      <c r="N352" s="8">
        <v>46188</v>
      </c>
      <c r="P352" t="s">
        <v>638</v>
      </c>
      <c r="Q352" t="s">
        <v>178</v>
      </c>
      <c r="R352" t="s">
        <v>55</v>
      </c>
      <c r="S352" s="8">
        <v>46169</v>
      </c>
      <c r="T352" s="8">
        <v>46188</v>
      </c>
      <c r="V352">
        <v>0.5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533</v>
      </c>
      <c r="B353" t="s">
        <v>712</v>
      </c>
      <c r="C353" t="s">
        <v>713</v>
      </c>
      <c r="D353" t="s">
        <v>94</v>
      </c>
      <c r="E353" t="s">
        <v>95</v>
      </c>
      <c r="F353" s="8">
        <v>46197</v>
      </c>
      <c r="G353" s="8">
        <v>46199</v>
      </c>
      <c r="H353" s="4">
        <v>1</v>
      </c>
      <c r="I353" s="8">
        <v>46199</v>
      </c>
      <c r="J353">
        <v>478</v>
      </c>
      <c r="K353">
        <v>534</v>
      </c>
      <c r="L353" t="s">
        <v>59</v>
      </c>
      <c r="M353" t="s">
        <v>411</v>
      </c>
      <c r="N353" s="8">
        <v>46182</v>
      </c>
      <c r="P353" t="s">
        <v>638</v>
      </c>
      <c r="Q353" t="s">
        <v>178</v>
      </c>
      <c r="R353" t="s">
        <v>55</v>
      </c>
      <c r="S353" s="8">
        <v>46169</v>
      </c>
      <c r="T353" s="8">
        <v>46182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</row>
    <row r="354" spans="1:33" x14ac:dyDescent="0.25">
      <c r="A354">
        <v>534</v>
      </c>
      <c r="B354" t="s">
        <v>714</v>
      </c>
      <c r="C354" t="s">
        <v>713</v>
      </c>
      <c r="D354" t="s">
        <v>98</v>
      </c>
      <c r="E354" t="s">
        <v>53</v>
      </c>
      <c r="F354" s="8">
        <v>46202</v>
      </c>
      <c r="G354" s="8">
        <v>46202</v>
      </c>
      <c r="H354" s="4">
        <v>0.5</v>
      </c>
      <c r="J354">
        <v>533</v>
      </c>
      <c r="K354">
        <v>535</v>
      </c>
      <c r="L354" t="s">
        <v>35</v>
      </c>
      <c r="M354" t="s">
        <v>261</v>
      </c>
      <c r="N354" s="8">
        <v>46183</v>
      </c>
      <c r="P354" t="s">
        <v>638</v>
      </c>
      <c r="Q354" t="s">
        <v>146</v>
      </c>
      <c r="R354" t="s">
        <v>55</v>
      </c>
      <c r="S354" s="8">
        <v>46183</v>
      </c>
      <c r="T354" s="8">
        <v>46183</v>
      </c>
      <c r="V354">
        <v>0.5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535</v>
      </c>
      <c r="B355" t="s">
        <v>715</v>
      </c>
      <c r="C355" t="s">
        <v>713</v>
      </c>
      <c r="D355" t="s">
        <v>102</v>
      </c>
      <c r="E355" t="s">
        <v>121</v>
      </c>
      <c r="F355" s="8">
        <v>46203</v>
      </c>
      <c r="G355" s="8">
        <v>46204</v>
      </c>
      <c r="H355" s="4">
        <v>0</v>
      </c>
      <c r="J355">
        <v>534</v>
      </c>
      <c r="K355">
        <v>536</v>
      </c>
      <c r="L355" t="s">
        <v>35</v>
      </c>
      <c r="M355" t="s">
        <v>263</v>
      </c>
      <c r="N355" s="8">
        <v>46185</v>
      </c>
      <c r="P355" t="s">
        <v>638</v>
      </c>
      <c r="Q355" t="s">
        <v>146</v>
      </c>
      <c r="R355" t="s">
        <v>55</v>
      </c>
      <c r="S355" s="8">
        <v>46184</v>
      </c>
      <c r="T355" s="8">
        <v>46185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</row>
    <row r="356" spans="1:33" x14ac:dyDescent="0.25">
      <c r="A356">
        <v>536</v>
      </c>
      <c r="B356" t="s">
        <v>716</v>
      </c>
      <c r="C356" t="s">
        <v>713</v>
      </c>
      <c r="D356" t="s">
        <v>108</v>
      </c>
      <c r="E356" t="s">
        <v>53</v>
      </c>
      <c r="F356" s="8">
        <v>46205</v>
      </c>
      <c r="G356" s="8">
        <v>46205</v>
      </c>
      <c r="H356" s="4">
        <v>0</v>
      </c>
      <c r="J356">
        <v>535</v>
      </c>
      <c r="L356" t="s">
        <v>35</v>
      </c>
      <c r="M356" t="s">
        <v>265</v>
      </c>
      <c r="N356" s="8">
        <v>46188</v>
      </c>
      <c r="P356" t="s">
        <v>638</v>
      </c>
      <c r="Q356" t="s">
        <v>146</v>
      </c>
      <c r="R356" t="s">
        <v>55</v>
      </c>
      <c r="S356" s="8">
        <v>46188</v>
      </c>
      <c r="T356" s="8">
        <v>46188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</row>
    <row r="357" spans="1:33" x14ac:dyDescent="0.25">
      <c r="A357">
        <v>537</v>
      </c>
      <c r="B357" t="s">
        <v>717</v>
      </c>
      <c r="C357" t="s">
        <v>640</v>
      </c>
      <c r="D357" t="s">
        <v>718</v>
      </c>
      <c r="E357" t="s">
        <v>171</v>
      </c>
      <c r="F357" s="8">
        <v>46192</v>
      </c>
      <c r="G357" s="8">
        <v>46203</v>
      </c>
      <c r="H357" s="4">
        <v>0.56000000000000005</v>
      </c>
      <c r="L357" t="s">
        <v>35</v>
      </c>
      <c r="M357" t="s">
        <v>411</v>
      </c>
      <c r="N357" s="8">
        <v>46188</v>
      </c>
      <c r="P357" t="s">
        <v>638</v>
      </c>
      <c r="Q357" t="s">
        <v>133</v>
      </c>
      <c r="R357" t="s">
        <v>55</v>
      </c>
      <c r="S357" s="8">
        <v>46169</v>
      </c>
      <c r="T357" s="8">
        <v>46188</v>
      </c>
      <c r="V357">
        <v>0.56000000000000005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538</v>
      </c>
      <c r="B358" t="s">
        <v>719</v>
      </c>
      <c r="C358" t="s">
        <v>720</v>
      </c>
      <c r="D358" t="s">
        <v>94</v>
      </c>
      <c r="E358" t="s">
        <v>175</v>
      </c>
      <c r="F358" s="8">
        <v>46192</v>
      </c>
      <c r="G358" s="8">
        <v>46197</v>
      </c>
      <c r="H358" s="4">
        <v>1</v>
      </c>
      <c r="I358" s="8">
        <v>46197</v>
      </c>
      <c r="J358">
        <v>478</v>
      </c>
      <c r="K358">
        <v>539</v>
      </c>
      <c r="L358" t="s">
        <v>59</v>
      </c>
      <c r="M358" t="s">
        <v>411</v>
      </c>
      <c r="N358" s="8">
        <v>46182</v>
      </c>
      <c r="P358" t="s">
        <v>638</v>
      </c>
      <c r="Q358" t="s">
        <v>133</v>
      </c>
      <c r="R358" t="s">
        <v>55</v>
      </c>
      <c r="S358" s="8">
        <v>46169</v>
      </c>
      <c r="T358" s="8">
        <v>46182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</row>
    <row r="359" spans="1:33" x14ac:dyDescent="0.25">
      <c r="A359">
        <v>539</v>
      </c>
      <c r="B359" t="s">
        <v>721</v>
      </c>
      <c r="C359" t="s">
        <v>720</v>
      </c>
      <c r="D359" t="s">
        <v>98</v>
      </c>
      <c r="E359" t="s">
        <v>53</v>
      </c>
      <c r="F359" s="8">
        <v>46198</v>
      </c>
      <c r="G359" s="8">
        <v>46198</v>
      </c>
      <c r="H359" s="4">
        <v>0.5</v>
      </c>
      <c r="J359">
        <v>538</v>
      </c>
      <c r="K359">
        <v>540</v>
      </c>
      <c r="L359" t="s">
        <v>35</v>
      </c>
      <c r="M359" t="s">
        <v>261</v>
      </c>
      <c r="N359" s="8">
        <v>46183</v>
      </c>
      <c r="P359" t="s">
        <v>638</v>
      </c>
      <c r="Q359" t="s">
        <v>178</v>
      </c>
      <c r="R359" t="s">
        <v>55</v>
      </c>
      <c r="S359" s="8">
        <v>46183</v>
      </c>
      <c r="T359" s="8">
        <v>46183</v>
      </c>
      <c r="V359">
        <v>0.5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540</v>
      </c>
      <c r="B360" t="s">
        <v>722</v>
      </c>
      <c r="C360" t="s">
        <v>720</v>
      </c>
      <c r="D360" t="s">
        <v>102</v>
      </c>
      <c r="E360" t="s">
        <v>121</v>
      </c>
      <c r="F360" s="8">
        <v>46199</v>
      </c>
      <c r="G360" s="8">
        <v>46202</v>
      </c>
      <c r="H360" s="4">
        <v>0</v>
      </c>
      <c r="J360">
        <v>539</v>
      </c>
      <c r="K360">
        <v>541</v>
      </c>
      <c r="L360" t="s">
        <v>35</v>
      </c>
      <c r="M360" t="s">
        <v>263</v>
      </c>
      <c r="N360" s="8">
        <v>46185</v>
      </c>
      <c r="P360" t="s">
        <v>638</v>
      </c>
      <c r="Q360" t="s">
        <v>178</v>
      </c>
      <c r="R360" t="s">
        <v>55</v>
      </c>
      <c r="S360" s="8">
        <v>46184</v>
      </c>
      <c r="T360" s="8">
        <v>46185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</row>
    <row r="361" spans="1:33" x14ac:dyDescent="0.25">
      <c r="A361">
        <v>541</v>
      </c>
      <c r="B361" t="s">
        <v>723</v>
      </c>
      <c r="C361" t="s">
        <v>720</v>
      </c>
      <c r="D361" t="s">
        <v>108</v>
      </c>
      <c r="E361" t="s">
        <v>53</v>
      </c>
      <c r="F361" s="8">
        <v>46203</v>
      </c>
      <c r="G361" s="8">
        <v>46203</v>
      </c>
      <c r="H361" s="4">
        <v>0</v>
      </c>
      <c r="J361">
        <v>540</v>
      </c>
      <c r="L361" t="s">
        <v>35</v>
      </c>
      <c r="M361" t="s">
        <v>265</v>
      </c>
      <c r="N361" s="8">
        <v>46188</v>
      </c>
      <c r="P361" t="s">
        <v>638</v>
      </c>
      <c r="Q361" t="s">
        <v>146</v>
      </c>
      <c r="R361" t="s">
        <v>55</v>
      </c>
      <c r="S361" s="8">
        <v>46188</v>
      </c>
      <c r="T361" s="8">
        <v>46188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</row>
    <row r="362" spans="1:33" x14ac:dyDescent="0.25">
      <c r="A362">
        <v>542</v>
      </c>
      <c r="B362" t="s">
        <v>724</v>
      </c>
      <c r="C362" t="s">
        <v>640</v>
      </c>
      <c r="D362" t="s">
        <v>725</v>
      </c>
      <c r="E362" t="s">
        <v>726</v>
      </c>
      <c r="F362" s="8">
        <v>46204</v>
      </c>
      <c r="G362" s="8">
        <v>46220</v>
      </c>
      <c r="H362" s="4">
        <v>0.64</v>
      </c>
      <c r="L362" t="s">
        <v>180</v>
      </c>
      <c r="M362" t="s">
        <v>261</v>
      </c>
      <c r="N362" s="8">
        <v>46191</v>
      </c>
      <c r="P362" t="s">
        <v>638</v>
      </c>
      <c r="Q362" t="s">
        <v>133</v>
      </c>
      <c r="R362" t="s">
        <v>55</v>
      </c>
      <c r="S362" s="8">
        <v>46183</v>
      </c>
      <c r="T362" s="8">
        <v>46191</v>
      </c>
      <c r="V362">
        <v>0.64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543</v>
      </c>
      <c r="B363" t="s">
        <v>727</v>
      </c>
      <c r="C363" t="s">
        <v>728</v>
      </c>
      <c r="D363" t="s">
        <v>94</v>
      </c>
      <c r="E363" t="s">
        <v>729</v>
      </c>
      <c r="F363" s="8">
        <v>46204</v>
      </c>
      <c r="G363" s="8">
        <v>46216</v>
      </c>
      <c r="H363" s="4">
        <v>1</v>
      </c>
      <c r="I363" s="8">
        <v>46216</v>
      </c>
      <c r="K363" t="s">
        <v>730</v>
      </c>
      <c r="L363" t="s">
        <v>59</v>
      </c>
      <c r="M363" t="s">
        <v>261</v>
      </c>
      <c r="N363" s="8">
        <v>46185</v>
      </c>
      <c r="P363" t="s">
        <v>638</v>
      </c>
      <c r="Q363" t="s">
        <v>133</v>
      </c>
      <c r="R363" t="s">
        <v>55</v>
      </c>
      <c r="S363" s="8">
        <v>46183</v>
      </c>
      <c r="T363" s="8">
        <v>46185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</row>
    <row r="364" spans="1:33" x14ac:dyDescent="0.25">
      <c r="A364">
        <v>544</v>
      </c>
      <c r="B364" t="s">
        <v>731</v>
      </c>
      <c r="C364" t="s">
        <v>728</v>
      </c>
      <c r="D364" t="s">
        <v>98</v>
      </c>
      <c r="E364" t="s">
        <v>53</v>
      </c>
      <c r="F364" s="8">
        <v>46217</v>
      </c>
      <c r="G364" s="8">
        <v>46217</v>
      </c>
      <c r="H364" s="4">
        <v>0</v>
      </c>
      <c r="J364">
        <v>543</v>
      </c>
      <c r="K364">
        <v>545</v>
      </c>
      <c r="L364" t="s">
        <v>180</v>
      </c>
      <c r="M364" t="s">
        <v>265</v>
      </c>
      <c r="N364" s="8">
        <v>46188</v>
      </c>
      <c r="P364" t="s">
        <v>638</v>
      </c>
      <c r="Q364" t="s">
        <v>178</v>
      </c>
      <c r="R364" t="s">
        <v>55</v>
      </c>
      <c r="S364" s="8">
        <v>46188</v>
      </c>
      <c r="T364" s="8">
        <v>46188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5">
      <c r="A365">
        <v>545</v>
      </c>
      <c r="B365" t="s">
        <v>732</v>
      </c>
      <c r="C365" t="s">
        <v>728</v>
      </c>
      <c r="D365" t="s">
        <v>102</v>
      </c>
      <c r="E365" t="s">
        <v>121</v>
      </c>
      <c r="F365" s="8">
        <v>46218</v>
      </c>
      <c r="G365" s="8">
        <v>46219</v>
      </c>
      <c r="H365" s="4">
        <v>0</v>
      </c>
      <c r="J365">
        <v>544</v>
      </c>
      <c r="K365">
        <v>546</v>
      </c>
      <c r="L365" t="s">
        <v>183</v>
      </c>
      <c r="M365" t="s">
        <v>632</v>
      </c>
      <c r="N365" s="8">
        <v>46190</v>
      </c>
      <c r="P365" t="s">
        <v>638</v>
      </c>
      <c r="Q365" t="s">
        <v>178</v>
      </c>
      <c r="R365" t="s">
        <v>55</v>
      </c>
      <c r="S365" s="8">
        <v>46189</v>
      </c>
      <c r="T365" s="8">
        <v>46190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546</v>
      </c>
      <c r="B366" t="s">
        <v>733</v>
      </c>
      <c r="C366" t="s">
        <v>728</v>
      </c>
      <c r="D366" t="s">
        <v>108</v>
      </c>
      <c r="E366" t="s">
        <v>53</v>
      </c>
      <c r="F366" s="8">
        <v>46220</v>
      </c>
      <c r="G366" s="8">
        <v>46220</v>
      </c>
      <c r="H366" s="4">
        <v>0</v>
      </c>
      <c r="J366">
        <v>545</v>
      </c>
      <c r="L366" t="s">
        <v>183</v>
      </c>
      <c r="M366" t="s">
        <v>324</v>
      </c>
      <c r="N366" s="8">
        <v>46191</v>
      </c>
      <c r="P366" t="s">
        <v>638</v>
      </c>
      <c r="Q366" t="s">
        <v>178</v>
      </c>
      <c r="R366" t="s">
        <v>55</v>
      </c>
      <c r="S366" s="8">
        <v>46191</v>
      </c>
      <c r="T366" s="8">
        <v>46191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 x14ac:dyDescent="0.25">
      <c r="A367">
        <v>557</v>
      </c>
      <c r="B367" t="s">
        <v>734</v>
      </c>
      <c r="C367" t="s">
        <v>640</v>
      </c>
      <c r="D367" t="s">
        <v>735</v>
      </c>
      <c r="E367" t="s">
        <v>356</v>
      </c>
      <c r="F367" s="8">
        <v>46219</v>
      </c>
      <c r="G367" s="8">
        <v>46227</v>
      </c>
      <c r="H367" s="4">
        <v>0.56999999999999995</v>
      </c>
      <c r="L367" t="s">
        <v>183</v>
      </c>
      <c r="M367" t="s">
        <v>400</v>
      </c>
      <c r="N367" s="8">
        <v>46210</v>
      </c>
      <c r="P367" t="s">
        <v>638</v>
      </c>
      <c r="Q367" t="s">
        <v>178</v>
      </c>
      <c r="R367" t="s">
        <v>39</v>
      </c>
      <c r="S367" s="8">
        <v>46204</v>
      </c>
      <c r="T367" s="8">
        <v>46210</v>
      </c>
      <c r="V367">
        <v>0.56999999999999995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5">
      <c r="A368">
        <v>558</v>
      </c>
      <c r="B368" t="s">
        <v>736</v>
      </c>
      <c r="C368" t="s">
        <v>737</v>
      </c>
      <c r="D368" t="s">
        <v>94</v>
      </c>
      <c r="E368" t="s">
        <v>175</v>
      </c>
      <c r="F368" s="8">
        <v>46219</v>
      </c>
      <c r="G368" s="8">
        <v>46224</v>
      </c>
      <c r="H368" s="4">
        <v>1</v>
      </c>
      <c r="I368" s="8">
        <v>46224</v>
      </c>
      <c r="J368" t="s">
        <v>738</v>
      </c>
      <c r="K368" t="s">
        <v>739</v>
      </c>
      <c r="L368" t="s">
        <v>59</v>
      </c>
      <c r="M368" t="s">
        <v>400</v>
      </c>
      <c r="N368" s="8">
        <v>46204</v>
      </c>
      <c r="P368" t="s">
        <v>638</v>
      </c>
      <c r="Q368" t="s">
        <v>178</v>
      </c>
      <c r="R368" t="s">
        <v>55</v>
      </c>
      <c r="S368" s="8">
        <v>46204</v>
      </c>
      <c r="T368" s="8">
        <v>46204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</row>
    <row r="369" spans="1:33" x14ac:dyDescent="0.25">
      <c r="A369">
        <v>559</v>
      </c>
      <c r="B369" t="s">
        <v>740</v>
      </c>
      <c r="C369" t="s">
        <v>737</v>
      </c>
      <c r="D369" t="s">
        <v>98</v>
      </c>
      <c r="E369" t="s">
        <v>53</v>
      </c>
      <c r="F369" s="8">
        <v>46225</v>
      </c>
      <c r="G369" s="8">
        <v>46225</v>
      </c>
      <c r="H369" s="4">
        <v>0</v>
      </c>
      <c r="J369">
        <v>558</v>
      </c>
      <c r="K369">
        <v>560</v>
      </c>
      <c r="L369" t="s">
        <v>183</v>
      </c>
      <c r="M369" t="s">
        <v>293</v>
      </c>
      <c r="N369" s="8">
        <v>46205</v>
      </c>
      <c r="P369" t="s">
        <v>638</v>
      </c>
      <c r="Q369" t="s">
        <v>146</v>
      </c>
      <c r="R369" t="s">
        <v>39</v>
      </c>
      <c r="S369" s="8">
        <v>46205</v>
      </c>
      <c r="T369" s="8">
        <v>46205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 x14ac:dyDescent="0.25">
      <c r="A370">
        <v>560</v>
      </c>
      <c r="B370" t="s">
        <v>741</v>
      </c>
      <c r="C370" t="s">
        <v>737</v>
      </c>
      <c r="D370" t="s">
        <v>102</v>
      </c>
      <c r="E370" t="s">
        <v>53</v>
      </c>
      <c r="F370" s="8">
        <v>46226</v>
      </c>
      <c r="G370" s="8">
        <v>46226</v>
      </c>
      <c r="H370" s="4">
        <v>0</v>
      </c>
      <c r="J370">
        <v>559</v>
      </c>
      <c r="K370">
        <v>561</v>
      </c>
      <c r="L370" t="s">
        <v>183</v>
      </c>
      <c r="M370" t="s">
        <v>192</v>
      </c>
      <c r="N370" s="8">
        <v>46209</v>
      </c>
      <c r="P370" t="s">
        <v>638</v>
      </c>
      <c r="Q370" t="s">
        <v>146</v>
      </c>
      <c r="R370" t="s">
        <v>39</v>
      </c>
      <c r="S370" s="8">
        <v>46206</v>
      </c>
      <c r="T370" s="8">
        <v>46209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561</v>
      </c>
      <c r="B371" t="s">
        <v>742</v>
      </c>
      <c r="C371" t="s">
        <v>737</v>
      </c>
      <c r="D371" t="s">
        <v>108</v>
      </c>
      <c r="E371" t="s">
        <v>53</v>
      </c>
      <c r="F371" s="8">
        <v>46227</v>
      </c>
      <c r="G371" s="8">
        <v>46227</v>
      </c>
      <c r="H371" s="4">
        <v>0</v>
      </c>
      <c r="J371">
        <v>560</v>
      </c>
      <c r="L371" t="s">
        <v>183</v>
      </c>
      <c r="M371" t="s">
        <v>296</v>
      </c>
      <c r="N371" s="8">
        <v>46210</v>
      </c>
      <c r="P371" t="s">
        <v>638</v>
      </c>
      <c r="Q371" t="s">
        <v>150</v>
      </c>
      <c r="R371" t="s">
        <v>39</v>
      </c>
      <c r="S371" s="8">
        <v>46210</v>
      </c>
      <c r="T371" s="8">
        <v>46210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 x14ac:dyDescent="0.25">
      <c r="A372">
        <v>562</v>
      </c>
      <c r="B372" t="s">
        <v>743</v>
      </c>
      <c r="C372" t="s">
        <v>640</v>
      </c>
      <c r="D372" t="s">
        <v>744</v>
      </c>
      <c r="E372" t="s">
        <v>356</v>
      </c>
      <c r="F372" s="8">
        <v>46210</v>
      </c>
      <c r="G372" s="8">
        <v>46220</v>
      </c>
      <c r="H372" s="4">
        <v>0</v>
      </c>
      <c r="L372" t="s">
        <v>35</v>
      </c>
      <c r="M372" t="s">
        <v>324</v>
      </c>
      <c r="N372" s="8">
        <v>46199</v>
      </c>
      <c r="P372" t="s">
        <v>638</v>
      </c>
      <c r="Q372" t="s">
        <v>178</v>
      </c>
      <c r="R372" t="s">
        <v>55</v>
      </c>
      <c r="S372" s="8">
        <v>46191</v>
      </c>
      <c r="T372" s="8">
        <v>46199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5">
      <c r="A373">
        <v>563</v>
      </c>
      <c r="B373" t="s">
        <v>745</v>
      </c>
      <c r="C373" t="s">
        <v>746</v>
      </c>
      <c r="D373" t="s">
        <v>94</v>
      </c>
      <c r="E373" t="s">
        <v>95</v>
      </c>
      <c r="F373" s="8">
        <v>46210</v>
      </c>
      <c r="G373" s="8">
        <v>46216</v>
      </c>
      <c r="H373" s="4">
        <v>0</v>
      </c>
      <c r="K373">
        <v>564</v>
      </c>
      <c r="L373" t="s">
        <v>35</v>
      </c>
      <c r="M373" t="s">
        <v>324</v>
      </c>
      <c r="N373" s="8">
        <v>46195</v>
      </c>
      <c r="P373" t="s">
        <v>638</v>
      </c>
      <c r="Q373" t="s">
        <v>178</v>
      </c>
      <c r="R373" t="s">
        <v>55</v>
      </c>
      <c r="S373" s="8">
        <v>46191</v>
      </c>
      <c r="T373" s="8">
        <v>46195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564</v>
      </c>
      <c r="B374" t="s">
        <v>747</v>
      </c>
      <c r="C374" t="s">
        <v>746</v>
      </c>
      <c r="D374" t="s">
        <v>98</v>
      </c>
      <c r="E374" t="s">
        <v>53</v>
      </c>
      <c r="F374" s="8">
        <v>46217</v>
      </c>
      <c r="G374" s="8">
        <v>46217</v>
      </c>
      <c r="H374" s="4">
        <v>0</v>
      </c>
      <c r="J374">
        <v>563</v>
      </c>
      <c r="K374">
        <v>565</v>
      </c>
      <c r="L374" t="s">
        <v>180</v>
      </c>
      <c r="M374" t="s">
        <v>392</v>
      </c>
      <c r="N374" s="8">
        <v>46196</v>
      </c>
      <c r="P374" t="s">
        <v>638</v>
      </c>
      <c r="Q374" t="s">
        <v>146</v>
      </c>
      <c r="R374" t="s">
        <v>55</v>
      </c>
      <c r="S374" s="8">
        <v>46196</v>
      </c>
      <c r="T374" s="8">
        <v>46196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 spans="1:33" x14ac:dyDescent="0.25">
      <c r="A375">
        <v>565</v>
      </c>
      <c r="B375" t="s">
        <v>748</v>
      </c>
      <c r="C375" t="s">
        <v>746</v>
      </c>
      <c r="D375" t="s">
        <v>102</v>
      </c>
      <c r="E375" t="s">
        <v>121</v>
      </c>
      <c r="F375" s="8">
        <v>46218</v>
      </c>
      <c r="G375" s="8">
        <v>46219</v>
      </c>
      <c r="H375" s="4">
        <v>0</v>
      </c>
      <c r="J375">
        <v>564</v>
      </c>
      <c r="K375">
        <v>566</v>
      </c>
      <c r="L375" t="s">
        <v>183</v>
      </c>
      <c r="M375" t="s">
        <v>749</v>
      </c>
      <c r="N375" s="8">
        <v>46198</v>
      </c>
      <c r="P375" t="s">
        <v>638</v>
      </c>
      <c r="Q375" t="s">
        <v>146</v>
      </c>
      <c r="R375" t="s">
        <v>55</v>
      </c>
      <c r="S375" s="8">
        <v>46197</v>
      </c>
      <c r="T375" s="8">
        <v>46198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566</v>
      </c>
      <c r="B376" t="s">
        <v>750</v>
      </c>
      <c r="C376" t="s">
        <v>746</v>
      </c>
      <c r="D376" t="s">
        <v>108</v>
      </c>
      <c r="E376" t="s">
        <v>53</v>
      </c>
      <c r="F376" s="8">
        <v>46220</v>
      </c>
      <c r="G376" s="8">
        <v>46220</v>
      </c>
      <c r="H376" s="4">
        <v>0</v>
      </c>
      <c r="J376">
        <v>565</v>
      </c>
      <c r="L376" t="s">
        <v>183</v>
      </c>
      <c r="M376" t="s">
        <v>396</v>
      </c>
      <c r="N376" s="8">
        <v>46199</v>
      </c>
      <c r="P376" t="s">
        <v>638</v>
      </c>
      <c r="Q376" t="s">
        <v>150</v>
      </c>
      <c r="R376" t="s">
        <v>55</v>
      </c>
      <c r="S376" s="8">
        <v>46199</v>
      </c>
      <c r="T376" s="8">
        <v>46199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 x14ac:dyDescent="0.25">
      <c r="A377">
        <v>567</v>
      </c>
      <c r="B377" t="s">
        <v>751</v>
      </c>
      <c r="C377" t="s">
        <v>640</v>
      </c>
      <c r="D377" t="s">
        <v>752</v>
      </c>
      <c r="E377" t="s">
        <v>753</v>
      </c>
      <c r="F377" s="8">
        <v>46190</v>
      </c>
      <c r="G377" s="8">
        <v>46210</v>
      </c>
      <c r="H377" s="4">
        <v>0.87</v>
      </c>
      <c r="L377" t="s">
        <v>35</v>
      </c>
      <c r="M377" t="s">
        <v>324</v>
      </c>
      <c r="N377" s="8">
        <v>46210</v>
      </c>
      <c r="P377" t="s">
        <v>638</v>
      </c>
      <c r="Q377" t="s">
        <v>133</v>
      </c>
      <c r="R377" t="s">
        <v>55</v>
      </c>
      <c r="S377" s="8">
        <v>46191</v>
      </c>
      <c r="T377" s="8">
        <v>46210</v>
      </c>
      <c r="V377">
        <v>0.87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5">
      <c r="A378">
        <v>568</v>
      </c>
      <c r="B378" t="s">
        <v>754</v>
      </c>
      <c r="C378" t="s">
        <v>755</v>
      </c>
      <c r="D378" t="s">
        <v>94</v>
      </c>
      <c r="E378" t="s">
        <v>259</v>
      </c>
      <c r="F378" s="8">
        <v>46190</v>
      </c>
      <c r="G378" s="8">
        <v>46201</v>
      </c>
      <c r="H378" s="4">
        <v>1</v>
      </c>
      <c r="I378" s="8">
        <v>46201</v>
      </c>
      <c r="K378" t="s">
        <v>756</v>
      </c>
      <c r="L378" t="s">
        <v>59</v>
      </c>
      <c r="M378" t="s">
        <v>324</v>
      </c>
      <c r="N378" s="8">
        <v>46204</v>
      </c>
      <c r="P378" t="s">
        <v>638</v>
      </c>
      <c r="Q378" t="s">
        <v>133</v>
      </c>
      <c r="R378" t="s">
        <v>55</v>
      </c>
      <c r="S378" s="8">
        <v>46191</v>
      </c>
      <c r="T378" s="8">
        <v>46204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</row>
    <row r="379" spans="1:33" x14ac:dyDescent="0.25">
      <c r="A379">
        <v>569</v>
      </c>
      <c r="B379" t="s">
        <v>757</v>
      </c>
      <c r="C379" t="s">
        <v>755</v>
      </c>
      <c r="D379" t="s">
        <v>98</v>
      </c>
      <c r="E379" t="s">
        <v>590</v>
      </c>
      <c r="F379" s="8">
        <v>46202</v>
      </c>
      <c r="G379" s="8">
        <v>46206</v>
      </c>
      <c r="H379" s="4">
        <v>1</v>
      </c>
      <c r="I379" s="8">
        <v>46206</v>
      </c>
      <c r="J379">
        <v>568</v>
      </c>
      <c r="K379">
        <v>570</v>
      </c>
      <c r="L379" t="s">
        <v>59</v>
      </c>
      <c r="M379" t="s">
        <v>293</v>
      </c>
      <c r="N379" s="8">
        <v>46205</v>
      </c>
      <c r="P379" t="s">
        <v>638</v>
      </c>
      <c r="Q379" t="s">
        <v>178</v>
      </c>
      <c r="R379" t="s">
        <v>55</v>
      </c>
      <c r="S379" s="8">
        <v>46205</v>
      </c>
      <c r="T379" s="8">
        <v>46205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 x14ac:dyDescent="0.25">
      <c r="A380">
        <v>570</v>
      </c>
      <c r="B380" t="s">
        <v>758</v>
      </c>
      <c r="C380" t="s">
        <v>755</v>
      </c>
      <c r="D380" t="s">
        <v>102</v>
      </c>
      <c r="E380" t="s">
        <v>53</v>
      </c>
      <c r="F380" s="8">
        <v>46209</v>
      </c>
      <c r="G380" s="8">
        <v>46209</v>
      </c>
      <c r="H380" s="4">
        <v>0</v>
      </c>
      <c r="J380">
        <v>569</v>
      </c>
      <c r="K380">
        <v>571</v>
      </c>
      <c r="L380" t="s">
        <v>35</v>
      </c>
      <c r="M380" t="s">
        <v>192</v>
      </c>
      <c r="N380" s="8">
        <v>46209</v>
      </c>
      <c r="P380" t="s">
        <v>638</v>
      </c>
      <c r="Q380" t="s">
        <v>178</v>
      </c>
      <c r="R380" t="s">
        <v>55</v>
      </c>
      <c r="S380" s="8">
        <v>46206</v>
      </c>
      <c r="T380" s="8">
        <v>46209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</row>
    <row r="381" spans="1:33" x14ac:dyDescent="0.25">
      <c r="A381">
        <v>571</v>
      </c>
      <c r="B381" t="s">
        <v>759</v>
      </c>
      <c r="C381" t="s">
        <v>755</v>
      </c>
      <c r="D381" t="s">
        <v>108</v>
      </c>
      <c r="E381" t="s">
        <v>53</v>
      </c>
      <c r="F381" s="8">
        <v>46210</v>
      </c>
      <c r="G381" s="8">
        <v>46210</v>
      </c>
      <c r="H381" s="4">
        <v>0</v>
      </c>
      <c r="J381">
        <v>570</v>
      </c>
      <c r="L381" t="s">
        <v>35</v>
      </c>
      <c r="M381" t="s">
        <v>296</v>
      </c>
      <c r="N381" s="8">
        <v>46210</v>
      </c>
      <c r="P381" t="s">
        <v>638</v>
      </c>
      <c r="Q381" t="s">
        <v>178</v>
      </c>
      <c r="R381" t="s">
        <v>55</v>
      </c>
      <c r="S381" s="8">
        <v>46210</v>
      </c>
      <c r="T381" s="8">
        <v>46210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</row>
    <row r="382" spans="1:33" x14ac:dyDescent="0.25">
      <c r="A382">
        <v>572</v>
      </c>
      <c r="B382" t="s">
        <v>760</v>
      </c>
      <c r="C382" t="s">
        <v>640</v>
      </c>
      <c r="D382" t="s">
        <v>761</v>
      </c>
      <c r="E382" t="s">
        <v>753</v>
      </c>
      <c r="F382" s="8">
        <v>46190</v>
      </c>
      <c r="G382" s="8">
        <v>46210</v>
      </c>
      <c r="H382" s="4">
        <v>0.87</v>
      </c>
      <c r="L382" t="s">
        <v>35</v>
      </c>
      <c r="M382" t="s">
        <v>324</v>
      </c>
      <c r="N382" s="8">
        <v>46210</v>
      </c>
      <c r="P382" t="s">
        <v>638</v>
      </c>
      <c r="Q382" t="s">
        <v>133</v>
      </c>
      <c r="R382" t="s">
        <v>55</v>
      </c>
      <c r="S382" s="8">
        <v>46191</v>
      </c>
      <c r="T382" s="8">
        <v>46210</v>
      </c>
      <c r="V382">
        <v>0.87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573</v>
      </c>
      <c r="B383" t="s">
        <v>762</v>
      </c>
      <c r="C383" t="s">
        <v>763</v>
      </c>
      <c r="D383" t="s">
        <v>94</v>
      </c>
      <c r="E383" t="s">
        <v>729</v>
      </c>
      <c r="F383" s="8">
        <v>46190</v>
      </c>
      <c r="G383" s="8">
        <v>46198</v>
      </c>
      <c r="H383" s="4">
        <v>1</v>
      </c>
      <c r="I383" s="8">
        <v>46198</v>
      </c>
      <c r="J383" t="s">
        <v>764</v>
      </c>
      <c r="K383">
        <v>574</v>
      </c>
      <c r="L383" t="s">
        <v>59</v>
      </c>
      <c r="M383" t="s">
        <v>324</v>
      </c>
      <c r="N383" s="8">
        <v>46204</v>
      </c>
      <c r="P383" t="s">
        <v>638</v>
      </c>
      <c r="Q383" t="s">
        <v>133</v>
      </c>
      <c r="R383" t="s">
        <v>55</v>
      </c>
      <c r="S383" s="8">
        <v>46191</v>
      </c>
      <c r="T383" s="8">
        <v>46204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</row>
    <row r="384" spans="1:33" x14ac:dyDescent="0.25">
      <c r="A384">
        <v>574</v>
      </c>
      <c r="B384" t="s">
        <v>765</v>
      </c>
      <c r="C384" t="s">
        <v>763</v>
      </c>
      <c r="D384" t="s">
        <v>98</v>
      </c>
      <c r="E384" t="s">
        <v>103</v>
      </c>
      <c r="F384" s="8">
        <v>46199</v>
      </c>
      <c r="G384" s="8">
        <v>46206</v>
      </c>
      <c r="H384" s="4">
        <v>1</v>
      </c>
      <c r="I384" s="8">
        <v>46206</v>
      </c>
      <c r="J384">
        <v>573</v>
      </c>
      <c r="K384">
        <v>575</v>
      </c>
      <c r="L384" t="s">
        <v>59</v>
      </c>
      <c r="M384" t="s">
        <v>293</v>
      </c>
      <c r="N384" s="8">
        <v>46205</v>
      </c>
      <c r="P384" t="s">
        <v>638</v>
      </c>
      <c r="Q384" t="s">
        <v>178</v>
      </c>
      <c r="R384" t="s">
        <v>55</v>
      </c>
      <c r="S384" s="8">
        <v>46205</v>
      </c>
      <c r="T384" s="8">
        <v>46205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 x14ac:dyDescent="0.25">
      <c r="A385">
        <v>575</v>
      </c>
      <c r="B385" t="s">
        <v>766</v>
      </c>
      <c r="C385" t="s">
        <v>763</v>
      </c>
      <c r="D385" t="s">
        <v>102</v>
      </c>
      <c r="E385" t="s">
        <v>53</v>
      </c>
      <c r="F385" s="8">
        <v>46209</v>
      </c>
      <c r="G385" s="8">
        <v>46209</v>
      </c>
      <c r="H385" s="4">
        <v>0</v>
      </c>
      <c r="J385">
        <v>574</v>
      </c>
      <c r="K385">
        <v>576</v>
      </c>
      <c r="L385" t="s">
        <v>35</v>
      </c>
      <c r="M385" t="s">
        <v>192</v>
      </c>
      <c r="N385" s="8">
        <v>46209</v>
      </c>
      <c r="P385" t="s">
        <v>638</v>
      </c>
      <c r="Q385" t="s">
        <v>178</v>
      </c>
      <c r="R385" t="s">
        <v>55</v>
      </c>
      <c r="S385" s="8">
        <v>46206</v>
      </c>
      <c r="T385" s="8">
        <v>46209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</row>
    <row r="386" spans="1:33" x14ac:dyDescent="0.25">
      <c r="A386">
        <v>576</v>
      </c>
      <c r="B386" t="s">
        <v>767</v>
      </c>
      <c r="C386" t="s">
        <v>763</v>
      </c>
      <c r="D386" t="s">
        <v>108</v>
      </c>
      <c r="E386" t="s">
        <v>53</v>
      </c>
      <c r="F386" s="8">
        <v>46210</v>
      </c>
      <c r="G386" s="8">
        <v>46210</v>
      </c>
      <c r="H386" s="4">
        <v>0</v>
      </c>
      <c r="J386">
        <v>575</v>
      </c>
      <c r="L386" t="s">
        <v>35</v>
      </c>
      <c r="M386" t="s">
        <v>296</v>
      </c>
      <c r="N386" s="8">
        <v>46210</v>
      </c>
      <c r="P386" t="s">
        <v>638</v>
      </c>
      <c r="Q386" t="s">
        <v>146</v>
      </c>
      <c r="R386" t="s">
        <v>55</v>
      </c>
      <c r="S386" s="8">
        <v>46210</v>
      </c>
      <c r="T386" s="8">
        <v>46210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 x14ac:dyDescent="0.25">
      <c r="A387">
        <v>577</v>
      </c>
      <c r="B387" t="s">
        <v>768</v>
      </c>
      <c r="C387" t="s">
        <v>640</v>
      </c>
      <c r="D387" t="s">
        <v>769</v>
      </c>
      <c r="E387" t="s">
        <v>753</v>
      </c>
      <c r="F387" s="8">
        <v>46190</v>
      </c>
      <c r="G387" s="8">
        <v>46210</v>
      </c>
      <c r="H387" s="4">
        <v>0.87</v>
      </c>
      <c r="L387" t="s">
        <v>35</v>
      </c>
      <c r="M387" t="s">
        <v>324</v>
      </c>
      <c r="N387" s="8">
        <v>46210</v>
      </c>
      <c r="P387" t="s">
        <v>638</v>
      </c>
      <c r="Q387" t="s">
        <v>133</v>
      </c>
      <c r="R387" t="s">
        <v>55</v>
      </c>
      <c r="S387" s="8">
        <v>46191</v>
      </c>
      <c r="T387" s="8">
        <v>46210</v>
      </c>
      <c r="V387">
        <v>0.87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 x14ac:dyDescent="0.25">
      <c r="A388">
        <v>578</v>
      </c>
      <c r="B388" t="s">
        <v>770</v>
      </c>
      <c r="C388" t="s">
        <v>771</v>
      </c>
      <c r="D388" t="s">
        <v>94</v>
      </c>
      <c r="E388" t="s">
        <v>729</v>
      </c>
      <c r="F388" s="8">
        <v>46190</v>
      </c>
      <c r="G388" s="8">
        <v>46198</v>
      </c>
      <c r="H388" s="4">
        <v>1</v>
      </c>
      <c r="I388" s="8">
        <v>46198</v>
      </c>
      <c r="J388" t="s">
        <v>764</v>
      </c>
      <c r="K388">
        <v>579</v>
      </c>
      <c r="L388" t="s">
        <v>59</v>
      </c>
      <c r="M388" t="s">
        <v>324</v>
      </c>
      <c r="N388" s="8">
        <v>46204</v>
      </c>
      <c r="P388" t="s">
        <v>638</v>
      </c>
      <c r="Q388" t="s">
        <v>133</v>
      </c>
      <c r="R388" t="s">
        <v>55</v>
      </c>
      <c r="S388" s="8">
        <v>46191</v>
      </c>
      <c r="T388" s="8">
        <v>46204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</row>
    <row r="389" spans="1:33" x14ac:dyDescent="0.25">
      <c r="A389">
        <v>579</v>
      </c>
      <c r="B389" t="s">
        <v>772</v>
      </c>
      <c r="C389" t="s">
        <v>771</v>
      </c>
      <c r="D389" t="s">
        <v>98</v>
      </c>
      <c r="E389" t="s">
        <v>103</v>
      </c>
      <c r="F389" s="8">
        <v>46199</v>
      </c>
      <c r="G389" s="8">
        <v>46206</v>
      </c>
      <c r="H389" s="4">
        <v>1</v>
      </c>
      <c r="I389" s="8">
        <v>46206</v>
      </c>
      <c r="J389">
        <v>578</v>
      </c>
      <c r="K389">
        <v>580</v>
      </c>
      <c r="L389" t="s">
        <v>59</v>
      </c>
      <c r="M389" t="s">
        <v>293</v>
      </c>
      <c r="N389" s="8">
        <v>46205</v>
      </c>
      <c r="P389" t="s">
        <v>638</v>
      </c>
      <c r="Q389" t="s">
        <v>178</v>
      </c>
      <c r="R389" t="s">
        <v>55</v>
      </c>
      <c r="S389" s="8">
        <v>46205</v>
      </c>
      <c r="T389" s="8">
        <v>46205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5">
      <c r="A390">
        <v>580</v>
      </c>
      <c r="B390" t="s">
        <v>773</v>
      </c>
      <c r="C390" t="s">
        <v>771</v>
      </c>
      <c r="D390" t="s">
        <v>102</v>
      </c>
      <c r="E390" t="s">
        <v>53</v>
      </c>
      <c r="F390" s="8">
        <v>46209</v>
      </c>
      <c r="G390" s="8">
        <v>46209</v>
      </c>
      <c r="H390" s="4">
        <v>0</v>
      </c>
      <c r="J390">
        <v>579</v>
      </c>
      <c r="K390">
        <v>581</v>
      </c>
      <c r="L390" t="s">
        <v>35</v>
      </c>
      <c r="M390" t="s">
        <v>192</v>
      </c>
      <c r="N390" s="8">
        <v>46209</v>
      </c>
      <c r="P390" t="s">
        <v>638</v>
      </c>
      <c r="Q390" t="s">
        <v>178</v>
      </c>
      <c r="R390" t="s">
        <v>55</v>
      </c>
      <c r="S390" s="8">
        <v>46206</v>
      </c>
      <c r="T390" s="8">
        <v>46209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</row>
    <row r="391" spans="1:33" x14ac:dyDescent="0.25">
      <c r="A391">
        <v>581</v>
      </c>
      <c r="B391" t="s">
        <v>774</v>
      </c>
      <c r="C391" t="s">
        <v>771</v>
      </c>
      <c r="D391" t="s">
        <v>108</v>
      </c>
      <c r="E391" t="s">
        <v>53</v>
      </c>
      <c r="F391" s="8">
        <v>46210</v>
      </c>
      <c r="G391" s="8">
        <v>46210</v>
      </c>
      <c r="H391" s="4">
        <v>0</v>
      </c>
      <c r="J391">
        <v>580</v>
      </c>
      <c r="L391" t="s">
        <v>35</v>
      </c>
      <c r="M391" t="s">
        <v>296</v>
      </c>
      <c r="N391" s="8">
        <v>46210</v>
      </c>
      <c r="P391" t="s">
        <v>638</v>
      </c>
      <c r="Q391" t="s">
        <v>146</v>
      </c>
      <c r="R391" t="s">
        <v>55</v>
      </c>
      <c r="S391" s="8">
        <v>46210</v>
      </c>
      <c r="T391" s="8">
        <v>46210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</row>
    <row r="392" spans="1:33" x14ac:dyDescent="0.25">
      <c r="A392">
        <v>582</v>
      </c>
      <c r="B392" t="s">
        <v>775</v>
      </c>
      <c r="C392" t="s">
        <v>640</v>
      </c>
      <c r="D392" t="s">
        <v>776</v>
      </c>
      <c r="E392" t="s">
        <v>753</v>
      </c>
      <c r="F392" s="8">
        <v>46190</v>
      </c>
      <c r="G392" s="8">
        <v>46210</v>
      </c>
      <c r="H392" s="4">
        <v>0.87</v>
      </c>
      <c r="L392" t="s">
        <v>35</v>
      </c>
      <c r="M392" t="s">
        <v>324</v>
      </c>
      <c r="N392" s="8">
        <v>46210</v>
      </c>
      <c r="P392" t="s">
        <v>638</v>
      </c>
      <c r="Q392" t="s">
        <v>133</v>
      </c>
      <c r="R392" t="s">
        <v>55</v>
      </c>
      <c r="S392" s="8">
        <v>46191</v>
      </c>
      <c r="T392" s="8">
        <v>46210</v>
      </c>
      <c r="V392">
        <v>0.87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5">
      <c r="A393">
        <v>583</v>
      </c>
      <c r="B393" t="s">
        <v>777</v>
      </c>
      <c r="C393" t="s">
        <v>778</v>
      </c>
      <c r="D393" t="s">
        <v>94</v>
      </c>
      <c r="E393" t="s">
        <v>729</v>
      </c>
      <c r="F393" s="8">
        <v>46190</v>
      </c>
      <c r="G393" s="8">
        <v>46198</v>
      </c>
      <c r="H393" s="4">
        <v>1</v>
      </c>
      <c r="I393" s="8">
        <v>46198</v>
      </c>
      <c r="J393" t="s">
        <v>764</v>
      </c>
      <c r="K393">
        <v>584</v>
      </c>
      <c r="L393" t="s">
        <v>59</v>
      </c>
      <c r="M393" t="s">
        <v>324</v>
      </c>
      <c r="N393" s="8">
        <v>46204</v>
      </c>
      <c r="P393" t="s">
        <v>638</v>
      </c>
      <c r="Q393" t="s">
        <v>133</v>
      </c>
      <c r="R393" t="s">
        <v>55</v>
      </c>
      <c r="S393" s="8">
        <v>46191</v>
      </c>
      <c r="T393" s="8">
        <v>46204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</row>
    <row r="394" spans="1:33" x14ac:dyDescent="0.25">
      <c r="A394">
        <v>584</v>
      </c>
      <c r="B394" t="s">
        <v>779</v>
      </c>
      <c r="C394" t="s">
        <v>778</v>
      </c>
      <c r="D394" t="s">
        <v>98</v>
      </c>
      <c r="E394" t="s">
        <v>103</v>
      </c>
      <c r="F394" s="8">
        <v>46199</v>
      </c>
      <c r="G394" s="8">
        <v>46206</v>
      </c>
      <c r="H394" s="4">
        <v>1</v>
      </c>
      <c r="I394" s="8">
        <v>46206</v>
      </c>
      <c r="J394">
        <v>583</v>
      </c>
      <c r="K394">
        <v>585</v>
      </c>
      <c r="L394" t="s">
        <v>59</v>
      </c>
      <c r="M394" t="s">
        <v>293</v>
      </c>
      <c r="N394" s="8">
        <v>46205</v>
      </c>
      <c r="P394" t="s">
        <v>638</v>
      </c>
      <c r="Q394" t="s">
        <v>178</v>
      </c>
      <c r="R394" t="s">
        <v>55</v>
      </c>
      <c r="S394" s="8">
        <v>46205</v>
      </c>
      <c r="T394" s="8">
        <v>46205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</row>
    <row r="395" spans="1:33" x14ac:dyDescent="0.25">
      <c r="A395">
        <v>585</v>
      </c>
      <c r="B395" t="s">
        <v>780</v>
      </c>
      <c r="C395" t="s">
        <v>778</v>
      </c>
      <c r="D395" t="s">
        <v>102</v>
      </c>
      <c r="E395" t="s">
        <v>53</v>
      </c>
      <c r="F395" s="8">
        <v>46209</v>
      </c>
      <c r="G395" s="8">
        <v>46209</v>
      </c>
      <c r="H395" s="4">
        <v>0</v>
      </c>
      <c r="J395">
        <v>584</v>
      </c>
      <c r="K395">
        <v>586</v>
      </c>
      <c r="L395" t="s">
        <v>35</v>
      </c>
      <c r="M395" t="s">
        <v>192</v>
      </c>
      <c r="N395" s="8">
        <v>46209</v>
      </c>
      <c r="P395" t="s">
        <v>638</v>
      </c>
      <c r="Q395" t="s">
        <v>178</v>
      </c>
      <c r="R395" t="s">
        <v>55</v>
      </c>
      <c r="S395" s="8">
        <v>46206</v>
      </c>
      <c r="T395" s="8">
        <v>46209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</row>
    <row r="396" spans="1:33" x14ac:dyDescent="0.25">
      <c r="A396">
        <v>586</v>
      </c>
      <c r="B396" t="s">
        <v>781</v>
      </c>
      <c r="C396" t="s">
        <v>778</v>
      </c>
      <c r="D396" t="s">
        <v>108</v>
      </c>
      <c r="E396" t="s">
        <v>53</v>
      </c>
      <c r="F396" s="8">
        <v>46210</v>
      </c>
      <c r="G396" s="8">
        <v>46210</v>
      </c>
      <c r="H396" s="4">
        <v>0</v>
      </c>
      <c r="J396">
        <v>585</v>
      </c>
      <c r="L396" t="s">
        <v>35</v>
      </c>
      <c r="M396" t="s">
        <v>296</v>
      </c>
      <c r="N396" s="8">
        <v>46210</v>
      </c>
      <c r="P396" t="s">
        <v>638</v>
      </c>
      <c r="Q396" t="s">
        <v>146</v>
      </c>
      <c r="R396" t="s">
        <v>55</v>
      </c>
      <c r="S396" s="8">
        <v>46210</v>
      </c>
      <c r="T396" s="8">
        <v>46210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</row>
    <row r="397" spans="1:33" x14ac:dyDescent="0.25">
      <c r="A397">
        <v>587</v>
      </c>
      <c r="B397" t="s">
        <v>782</v>
      </c>
      <c r="C397" t="s">
        <v>640</v>
      </c>
      <c r="D397" t="s">
        <v>783</v>
      </c>
      <c r="E397" t="s">
        <v>753</v>
      </c>
      <c r="F397" s="8">
        <v>46190</v>
      </c>
      <c r="G397" s="8">
        <v>46210</v>
      </c>
      <c r="H397" s="4">
        <v>0.87</v>
      </c>
      <c r="L397" t="s">
        <v>35</v>
      </c>
      <c r="M397" t="s">
        <v>324</v>
      </c>
      <c r="N397" s="8">
        <v>46210</v>
      </c>
      <c r="P397" t="s">
        <v>638</v>
      </c>
      <c r="Q397" t="s">
        <v>133</v>
      </c>
      <c r="R397" t="s">
        <v>55</v>
      </c>
      <c r="S397" s="8">
        <v>46191</v>
      </c>
      <c r="T397" s="8">
        <v>46210</v>
      </c>
      <c r="V397">
        <v>0.87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 x14ac:dyDescent="0.25">
      <c r="A398">
        <v>588</v>
      </c>
      <c r="B398" t="s">
        <v>784</v>
      </c>
      <c r="C398" t="s">
        <v>785</v>
      </c>
      <c r="D398" t="s">
        <v>94</v>
      </c>
      <c r="E398" t="s">
        <v>729</v>
      </c>
      <c r="F398" s="8">
        <v>46190</v>
      </c>
      <c r="G398" s="8">
        <v>46198</v>
      </c>
      <c r="H398" s="4">
        <v>1</v>
      </c>
      <c r="I398" s="8">
        <v>46198</v>
      </c>
      <c r="J398" t="s">
        <v>764</v>
      </c>
      <c r="K398">
        <v>589</v>
      </c>
      <c r="L398" t="s">
        <v>59</v>
      </c>
      <c r="M398" t="s">
        <v>324</v>
      </c>
      <c r="N398" s="8">
        <v>46204</v>
      </c>
      <c r="P398" t="s">
        <v>638</v>
      </c>
      <c r="Q398" t="s">
        <v>133</v>
      </c>
      <c r="R398" t="s">
        <v>55</v>
      </c>
      <c r="S398" s="8">
        <v>46191</v>
      </c>
      <c r="T398" s="8">
        <v>46204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</row>
    <row r="399" spans="1:33" x14ac:dyDescent="0.25">
      <c r="A399">
        <v>589</v>
      </c>
      <c r="B399" t="s">
        <v>786</v>
      </c>
      <c r="C399" t="s">
        <v>785</v>
      </c>
      <c r="D399" t="s">
        <v>98</v>
      </c>
      <c r="E399" t="s">
        <v>103</v>
      </c>
      <c r="F399" s="8">
        <v>46199</v>
      </c>
      <c r="G399" s="8">
        <v>46206</v>
      </c>
      <c r="H399" s="4">
        <v>1</v>
      </c>
      <c r="I399" s="8">
        <v>46206</v>
      </c>
      <c r="J399">
        <v>588</v>
      </c>
      <c r="K399">
        <v>590</v>
      </c>
      <c r="L399" t="s">
        <v>59</v>
      </c>
      <c r="M399" t="s">
        <v>293</v>
      </c>
      <c r="N399" s="8">
        <v>46205</v>
      </c>
      <c r="P399" t="s">
        <v>638</v>
      </c>
      <c r="Q399" t="s">
        <v>178</v>
      </c>
      <c r="R399" t="s">
        <v>55</v>
      </c>
      <c r="S399" s="8">
        <v>46205</v>
      </c>
      <c r="T399" s="8">
        <v>46205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590</v>
      </c>
      <c r="B400" t="s">
        <v>787</v>
      </c>
      <c r="C400" t="s">
        <v>785</v>
      </c>
      <c r="D400" t="s">
        <v>102</v>
      </c>
      <c r="E400" t="s">
        <v>53</v>
      </c>
      <c r="F400" s="8">
        <v>46209</v>
      </c>
      <c r="G400" s="8">
        <v>46209</v>
      </c>
      <c r="H400" s="4">
        <v>0</v>
      </c>
      <c r="J400">
        <v>589</v>
      </c>
      <c r="K400">
        <v>591</v>
      </c>
      <c r="L400" t="s">
        <v>35</v>
      </c>
      <c r="M400" t="s">
        <v>192</v>
      </c>
      <c r="N400" s="8">
        <v>46209</v>
      </c>
      <c r="P400" t="s">
        <v>638</v>
      </c>
      <c r="Q400" t="s">
        <v>178</v>
      </c>
      <c r="R400" t="s">
        <v>55</v>
      </c>
      <c r="S400" s="8">
        <v>46206</v>
      </c>
      <c r="T400" s="8">
        <v>46209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</row>
    <row r="401" spans="1:33" x14ac:dyDescent="0.25">
      <c r="A401">
        <v>591</v>
      </c>
      <c r="B401" t="s">
        <v>788</v>
      </c>
      <c r="C401" t="s">
        <v>785</v>
      </c>
      <c r="D401" t="s">
        <v>108</v>
      </c>
      <c r="E401" t="s">
        <v>53</v>
      </c>
      <c r="F401" s="8">
        <v>46210</v>
      </c>
      <c r="G401" s="8">
        <v>46210</v>
      </c>
      <c r="H401" s="4">
        <v>0</v>
      </c>
      <c r="J401">
        <v>590</v>
      </c>
      <c r="L401" t="s">
        <v>35</v>
      </c>
      <c r="M401" t="s">
        <v>296</v>
      </c>
      <c r="N401" s="8">
        <v>46210</v>
      </c>
      <c r="P401" t="s">
        <v>638</v>
      </c>
      <c r="Q401" t="s">
        <v>146</v>
      </c>
      <c r="R401" t="s">
        <v>55</v>
      </c>
      <c r="S401" s="8">
        <v>46210</v>
      </c>
      <c r="T401" s="8">
        <v>46210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</row>
    <row r="402" spans="1:33" x14ac:dyDescent="0.25">
      <c r="A402">
        <v>592</v>
      </c>
      <c r="B402" t="s">
        <v>789</v>
      </c>
      <c r="C402" t="s">
        <v>640</v>
      </c>
      <c r="D402" t="s">
        <v>790</v>
      </c>
      <c r="E402" t="s">
        <v>753</v>
      </c>
      <c r="F402" s="8">
        <v>46190</v>
      </c>
      <c r="G402" s="8">
        <v>46210</v>
      </c>
      <c r="H402" s="4">
        <v>0.87</v>
      </c>
      <c r="L402" t="s">
        <v>35</v>
      </c>
      <c r="M402" t="s">
        <v>324</v>
      </c>
      <c r="N402" s="8">
        <v>46210</v>
      </c>
      <c r="P402" t="s">
        <v>638</v>
      </c>
      <c r="Q402" t="s">
        <v>133</v>
      </c>
      <c r="R402" t="s">
        <v>55</v>
      </c>
      <c r="S402" s="8">
        <v>46191</v>
      </c>
      <c r="T402" s="8">
        <v>46210</v>
      </c>
      <c r="V402">
        <v>0.87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5">
      <c r="A403">
        <v>593</v>
      </c>
      <c r="B403" t="s">
        <v>791</v>
      </c>
      <c r="C403" t="s">
        <v>792</v>
      </c>
      <c r="D403" t="s">
        <v>94</v>
      </c>
      <c r="E403" t="s">
        <v>729</v>
      </c>
      <c r="F403" s="8">
        <v>46190</v>
      </c>
      <c r="G403" s="8">
        <v>46198</v>
      </c>
      <c r="H403" s="4">
        <v>1</v>
      </c>
      <c r="I403" s="8">
        <v>46198</v>
      </c>
      <c r="J403" t="s">
        <v>764</v>
      </c>
      <c r="K403">
        <v>594</v>
      </c>
      <c r="L403" t="s">
        <v>59</v>
      </c>
      <c r="M403" t="s">
        <v>324</v>
      </c>
      <c r="N403" s="8">
        <v>46204</v>
      </c>
      <c r="P403" t="s">
        <v>638</v>
      </c>
      <c r="Q403" t="s">
        <v>133</v>
      </c>
      <c r="R403" t="s">
        <v>55</v>
      </c>
      <c r="S403" s="8">
        <v>46191</v>
      </c>
      <c r="T403" s="8">
        <v>46204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</row>
    <row r="404" spans="1:33" x14ac:dyDescent="0.25">
      <c r="A404">
        <v>594</v>
      </c>
      <c r="B404" t="s">
        <v>793</v>
      </c>
      <c r="C404" t="s">
        <v>792</v>
      </c>
      <c r="D404" t="s">
        <v>98</v>
      </c>
      <c r="E404" t="s">
        <v>103</v>
      </c>
      <c r="F404" s="8">
        <v>46199</v>
      </c>
      <c r="G404" s="8">
        <v>46206</v>
      </c>
      <c r="H404" s="4">
        <v>1</v>
      </c>
      <c r="I404" s="8">
        <v>46206</v>
      </c>
      <c r="J404">
        <v>593</v>
      </c>
      <c r="K404">
        <v>595</v>
      </c>
      <c r="L404" t="s">
        <v>59</v>
      </c>
      <c r="M404" t="s">
        <v>293</v>
      </c>
      <c r="N404" s="8">
        <v>46205</v>
      </c>
      <c r="P404" t="s">
        <v>638</v>
      </c>
      <c r="Q404" t="s">
        <v>178</v>
      </c>
      <c r="R404" t="s">
        <v>55</v>
      </c>
      <c r="S404" s="8">
        <v>46205</v>
      </c>
      <c r="T404" s="8">
        <v>46205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595</v>
      </c>
      <c r="B405" t="s">
        <v>794</v>
      </c>
      <c r="C405" t="s">
        <v>792</v>
      </c>
      <c r="D405" t="s">
        <v>102</v>
      </c>
      <c r="E405" t="s">
        <v>53</v>
      </c>
      <c r="F405" s="8">
        <v>46209</v>
      </c>
      <c r="G405" s="8">
        <v>46209</v>
      </c>
      <c r="H405" s="4">
        <v>0</v>
      </c>
      <c r="J405">
        <v>594</v>
      </c>
      <c r="K405">
        <v>596</v>
      </c>
      <c r="L405" t="s">
        <v>35</v>
      </c>
      <c r="M405" t="s">
        <v>192</v>
      </c>
      <c r="N405" s="8">
        <v>46209</v>
      </c>
      <c r="P405" t="s">
        <v>638</v>
      </c>
      <c r="Q405" t="s">
        <v>178</v>
      </c>
      <c r="R405" t="s">
        <v>55</v>
      </c>
      <c r="S405" s="8">
        <v>46206</v>
      </c>
      <c r="T405" s="8">
        <v>46209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</row>
    <row r="406" spans="1:33" x14ac:dyDescent="0.25">
      <c r="A406">
        <v>596</v>
      </c>
      <c r="B406" t="s">
        <v>795</v>
      </c>
      <c r="C406" t="s">
        <v>792</v>
      </c>
      <c r="D406" t="s">
        <v>108</v>
      </c>
      <c r="E406" t="s">
        <v>53</v>
      </c>
      <c r="F406" s="8">
        <v>46210</v>
      </c>
      <c r="G406" s="8">
        <v>46210</v>
      </c>
      <c r="H406" s="4">
        <v>0</v>
      </c>
      <c r="J406">
        <v>595</v>
      </c>
      <c r="L406" t="s">
        <v>35</v>
      </c>
      <c r="M406" t="s">
        <v>296</v>
      </c>
      <c r="N406" s="8">
        <v>46210</v>
      </c>
      <c r="P406" t="s">
        <v>638</v>
      </c>
      <c r="Q406" t="s">
        <v>146</v>
      </c>
      <c r="R406" t="s">
        <v>55</v>
      </c>
      <c r="S406" s="8">
        <v>46210</v>
      </c>
      <c r="T406" s="8">
        <v>46210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</row>
    <row r="407" spans="1:33" x14ac:dyDescent="0.25">
      <c r="A407">
        <v>597</v>
      </c>
      <c r="B407" t="s">
        <v>796</v>
      </c>
      <c r="C407" t="s">
        <v>640</v>
      </c>
      <c r="D407" t="s">
        <v>797</v>
      </c>
      <c r="E407" t="s">
        <v>753</v>
      </c>
      <c r="F407" s="8">
        <v>46190</v>
      </c>
      <c r="G407" s="8">
        <v>46210</v>
      </c>
      <c r="H407" s="4">
        <v>0.87</v>
      </c>
      <c r="L407" t="s">
        <v>35</v>
      </c>
      <c r="M407" t="s">
        <v>324</v>
      </c>
      <c r="N407" s="8">
        <v>46210</v>
      </c>
      <c r="P407" t="s">
        <v>638</v>
      </c>
      <c r="Q407" t="s">
        <v>133</v>
      </c>
      <c r="R407" t="s">
        <v>55</v>
      </c>
      <c r="S407" s="8">
        <v>46191</v>
      </c>
      <c r="T407" s="8">
        <v>46210</v>
      </c>
      <c r="V407">
        <v>0.87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598</v>
      </c>
      <c r="B408" t="s">
        <v>798</v>
      </c>
      <c r="C408" t="s">
        <v>799</v>
      </c>
      <c r="D408" t="s">
        <v>94</v>
      </c>
      <c r="E408" t="s">
        <v>729</v>
      </c>
      <c r="F408" s="8">
        <v>46190</v>
      </c>
      <c r="G408" s="8">
        <v>46198</v>
      </c>
      <c r="H408" s="4">
        <v>1</v>
      </c>
      <c r="I408" s="8">
        <v>46198</v>
      </c>
      <c r="J408" t="s">
        <v>764</v>
      </c>
      <c r="K408">
        <v>599</v>
      </c>
      <c r="L408" t="s">
        <v>59</v>
      </c>
      <c r="M408" t="s">
        <v>324</v>
      </c>
      <c r="N408" s="8">
        <v>46204</v>
      </c>
      <c r="P408" t="s">
        <v>638</v>
      </c>
      <c r="Q408" t="s">
        <v>133</v>
      </c>
      <c r="R408" t="s">
        <v>55</v>
      </c>
      <c r="S408" s="8">
        <v>46191</v>
      </c>
      <c r="T408" s="8">
        <v>46204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</row>
    <row r="409" spans="1:33" x14ac:dyDescent="0.25">
      <c r="A409">
        <v>599</v>
      </c>
      <c r="B409" t="s">
        <v>800</v>
      </c>
      <c r="C409" t="s">
        <v>799</v>
      </c>
      <c r="D409" t="s">
        <v>98</v>
      </c>
      <c r="E409" t="s">
        <v>103</v>
      </c>
      <c r="F409" s="8">
        <v>46199</v>
      </c>
      <c r="G409" s="8">
        <v>46206</v>
      </c>
      <c r="H409" s="4">
        <v>1</v>
      </c>
      <c r="I409" s="8">
        <v>46206</v>
      </c>
      <c r="J409">
        <v>598</v>
      </c>
      <c r="K409">
        <v>600</v>
      </c>
      <c r="L409" t="s">
        <v>59</v>
      </c>
      <c r="M409" t="s">
        <v>293</v>
      </c>
      <c r="N409" s="8">
        <v>46205</v>
      </c>
      <c r="P409" t="s">
        <v>638</v>
      </c>
      <c r="Q409" t="s">
        <v>178</v>
      </c>
      <c r="R409" t="s">
        <v>55</v>
      </c>
      <c r="S409" s="8">
        <v>46205</v>
      </c>
      <c r="T409" s="8">
        <v>46205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600</v>
      </c>
      <c r="B410" t="s">
        <v>801</v>
      </c>
      <c r="C410" t="s">
        <v>799</v>
      </c>
      <c r="D410" t="s">
        <v>102</v>
      </c>
      <c r="E410" t="s">
        <v>53</v>
      </c>
      <c r="F410" s="8">
        <v>46209</v>
      </c>
      <c r="G410" s="8">
        <v>46209</v>
      </c>
      <c r="H410" s="4">
        <v>0</v>
      </c>
      <c r="J410">
        <v>599</v>
      </c>
      <c r="K410">
        <v>601</v>
      </c>
      <c r="L410" t="s">
        <v>35</v>
      </c>
      <c r="M410" t="s">
        <v>192</v>
      </c>
      <c r="N410" s="8">
        <v>46209</v>
      </c>
      <c r="P410" t="s">
        <v>638</v>
      </c>
      <c r="Q410" t="s">
        <v>178</v>
      </c>
      <c r="R410" t="s">
        <v>55</v>
      </c>
      <c r="S410" s="8">
        <v>46206</v>
      </c>
      <c r="T410" s="8">
        <v>46209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</row>
    <row r="411" spans="1:33" x14ac:dyDescent="0.25">
      <c r="A411">
        <v>601</v>
      </c>
      <c r="B411" t="s">
        <v>802</v>
      </c>
      <c r="C411" t="s">
        <v>799</v>
      </c>
      <c r="D411" t="s">
        <v>108</v>
      </c>
      <c r="E411" t="s">
        <v>53</v>
      </c>
      <c r="F411" s="8">
        <v>46210</v>
      </c>
      <c r="G411" s="8">
        <v>46210</v>
      </c>
      <c r="H411" s="4">
        <v>0</v>
      </c>
      <c r="J411">
        <v>600</v>
      </c>
      <c r="L411" t="s">
        <v>35</v>
      </c>
      <c r="M411" t="s">
        <v>296</v>
      </c>
      <c r="N411" s="8">
        <v>46210</v>
      </c>
      <c r="P411" t="s">
        <v>638</v>
      </c>
      <c r="Q411" t="s">
        <v>146</v>
      </c>
      <c r="R411" t="s">
        <v>55</v>
      </c>
      <c r="S411" s="8">
        <v>46210</v>
      </c>
      <c r="T411" s="8">
        <v>46210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</row>
    <row r="412" spans="1:33" x14ac:dyDescent="0.25">
      <c r="A412">
        <v>602</v>
      </c>
      <c r="B412" t="s">
        <v>803</v>
      </c>
      <c r="C412" t="s">
        <v>640</v>
      </c>
      <c r="D412" t="s">
        <v>804</v>
      </c>
      <c r="E412" t="s">
        <v>753</v>
      </c>
      <c r="F412" s="8">
        <v>46190</v>
      </c>
      <c r="G412" s="8">
        <v>46210</v>
      </c>
      <c r="H412" s="4">
        <v>0.87</v>
      </c>
      <c r="L412" t="s">
        <v>35</v>
      </c>
      <c r="M412" t="s">
        <v>324</v>
      </c>
      <c r="N412" s="8">
        <v>46210</v>
      </c>
      <c r="P412" t="s">
        <v>638</v>
      </c>
      <c r="Q412" t="s">
        <v>133</v>
      </c>
      <c r="R412" t="s">
        <v>55</v>
      </c>
      <c r="S412" s="8">
        <v>46191</v>
      </c>
      <c r="T412" s="8">
        <v>46210</v>
      </c>
      <c r="V412">
        <v>0.87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603</v>
      </c>
      <c r="B413" t="s">
        <v>805</v>
      </c>
      <c r="C413" t="s">
        <v>806</v>
      </c>
      <c r="D413" t="s">
        <v>94</v>
      </c>
      <c r="E413" t="s">
        <v>729</v>
      </c>
      <c r="F413" s="8">
        <v>46190</v>
      </c>
      <c r="G413" s="8">
        <v>46198</v>
      </c>
      <c r="H413" s="4">
        <v>1</v>
      </c>
      <c r="I413" s="8">
        <v>46198</v>
      </c>
      <c r="J413" t="s">
        <v>764</v>
      </c>
      <c r="K413">
        <v>604</v>
      </c>
      <c r="L413" t="s">
        <v>59</v>
      </c>
      <c r="M413" t="s">
        <v>324</v>
      </c>
      <c r="N413" s="8">
        <v>46204</v>
      </c>
      <c r="P413" t="s">
        <v>638</v>
      </c>
      <c r="Q413" t="s">
        <v>133</v>
      </c>
      <c r="R413" t="s">
        <v>55</v>
      </c>
      <c r="S413" s="8">
        <v>46191</v>
      </c>
      <c r="T413" s="8">
        <v>46204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</row>
    <row r="414" spans="1:33" x14ac:dyDescent="0.25">
      <c r="A414">
        <v>604</v>
      </c>
      <c r="B414" t="s">
        <v>807</v>
      </c>
      <c r="C414" t="s">
        <v>806</v>
      </c>
      <c r="D414" t="s">
        <v>98</v>
      </c>
      <c r="E414" t="s">
        <v>103</v>
      </c>
      <c r="F414" s="8">
        <v>46199</v>
      </c>
      <c r="G414" s="8">
        <v>46206</v>
      </c>
      <c r="H414" s="4">
        <v>1</v>
      </c>
      <c r="I414" s="8">
        <v>46206</v>
      </c>
      <c r="J414">
        <v>603</v>
      </c>
      <c r="K414">
        <v>605</v>
      </c>
      <c r="L414" t="s">
        <v>59</v>
      </c>
      <c r="M414" t="s">
        <v>293</v>
      </c>
      <c r="N414" s="8">
        <v>46205</v>
      </c>
      <c r="P414" t="s">
        <v>638</v>
      </c>
      <c r="Q414" t="s">
        <v>178</v>
      </c>
      <c r="R414" t="s">
        <v>55</v>
      </c>
      <c r="S414" s="8">
        <v>46205</v>
      </c>
      <c r="T414" s="8">
        <v>46205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</row>
    <row r="415" spans="1:33" x14ac:dyDescent="0.25">
      <c r="A415">
        <v>605</v>
      </c>
      <c r="B415" t="s">
        <v>808</v>
      </c>
      <c r="C415" t="s">
        <v>806</v>
      </c>
      <c r="D415" t="s">
        <v>102</v>
      </c>
      <c r="E415" t="s">
        <v>53</v>
      </c>
      <c r="F415" s="8">
        <v>46209</v>
      </c>
      <c r="G415" s="8">
        <v>46209</v>
      </c>
      <c r="H415" s="4">
        <v>0</v>
      </c>
      <c r="J415">
        <v>604</v>
      </c>
      <c r="K415">
        <v>606</v>
      </c>
      <c r="L415" t="s">
        <v>35</v>
      </c>
      <c r="M415" t="s">
        <v>192</v>
      </c>
      <c r="N415" s="8">
        <v>46209</v>
      </c>
      <c r="P415" t="s">
        <v>638</v>
      </c>
      <c r="Q415" t="s">
        <v>178</v>
      </c>
      <c r="R415" t="s">
        <v>55</v>
      </c>
      <c r="S415" s="8">
        <v>46206</v>
      </c>
      <c r="T415" s="8">
        <v>46209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</row>
    <row r="416" spans="1:33" x14ac:dyDescent="0.25">
      <c r="A416">
        <v>606</v>
      </c>
      <c r="B416" t="s">
        <v>809</v>
      </c>
      <c r="C416" t="s">
        <v>806</v>
      </c>
      <c r="D416" t="s">
        <v>108</v>
      </c>
      <c r="E416" t="s">
        <v>53</v>
      </c>
      <c r="F416" s="8">
        <v>46210</v>
      </c>
      <c r="G416" s="8">
        <v>46210</v>
      </c>
      <c r="H416" s="4">
        <v>0</v>
      </c>
      <c r="J416">
        <v>605</v>
      </c>
      <c r="L416" t="s">
        <v>35</v>
      </c>
      <c r="M416" t="s">
        <v>296</v>
      </c>
      <c r="N416" s="8">
        <v>46210</v>
      </c>
      <c r="P416" t="s">
        <v>638</v>
      </c>
      <c r="Q416" t="s">
        <v>146</v>
      </c>
      <c r="R416" t="s">
        <v>55</v>
      </c>
      <c r="S416" s="8">
        <v>46210</v>
      </c>
      <c r="T416" s="8">
        <v>46210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</row>
    <row r="417" spans="1:33" x14ac:dyDescent="0.25">
      <c r="A417">
        <v>607</v>
      </c>
      <c r="B417" t="s">
        <v>810</v>
      </c>
      <c r="C417" t="s">
        <v>640</v>
      </c>
      <c r="D417" t="s">
        <v>811</v>
      </c>
      <c r="E417" t="s">
        <v>753</v>
      </c>
      <c r="F417" s="8">
        <v>46190</v>
      </c>
      <c r="G417" s="8">
        <v>46210</v>
      </c>
      <c r="H417" s="4">
        <v>0.87</v>
      </c>
      <c r="L417" t="s">
        <v>35</v>
      </c>
      <c r="M417" t="s">
        <v>324</v>
      </c>
      <c r="N417" s="8">
        <v>46210</v>
      </c>
      <c r="P417" t="s">
        <v>638</v>
      </c>
      <c r="Q417" t="s">
        <v>133</v>
      </c>
      <c r="R417" t="s">
        <v>55</v>
      </c>
      <c r="S417" s="8">
        <v>46191</v>
      </c>
      <c r="T417" s="8">
        <v>46210</v>
      </c>
      <c r="V417">
        <v>0.87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5">
      <c r="A418">
        <v>608</v>
      </c>
      <c r="B418" t="s">
        <v>812</v>
      </c>
      <c r="C418" t="s">
        <v>813</v>
      </c>
      <c r="D418" t="s">
        <v>94</v>
      </c>
      <c r="E418" t="s">
        <v>729</v>
      </c>
      <c r="F418" s="8">
        <v>46190</v>
      </c>
      <c r="G418" s="8">
        <v>46198</v>
      </c>
      <c r="H418" s="4">
        <v>1</v>
      </c>
      <c r="I418" s="8">
        <v>46198</v>
      </c>
      <c r="J418" t="s">
        <v>764</v>
      </c>
      <c r="K418">
        <v>609</v>
      </c>
      <c r="L418" t="s">
        <v>59</v>
      </c>
      <c r="M418" t="s">
        <v>324</v>
      </c>
      <c r="N418" s="8">
        <v>46204</v>
      </c>
      <c r="P418" t="s">
        <v>638</v>
      </c>
      <c r="Q418" t="s">
        <v>133</v>
      </c>
      <c r="R418" t="s">
        <v>55</v>
      </c>
      <c r="S418" s="8">
        <v>46191</v>
      </c>
      <c r="T418" s="8">
        <v>46204</v>
      </c>
      <c r="V418">
        <v>1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</row>
    <row r="419" spans="1:33" x14ac:dyDescent="0.25">
      <c r="A419">
        <v>609</v>
      </c>
      <c r="B419" t="s">
        <v>814</v>
      </c>
      <c r="C419" t="s">
        <v>813</v>
      </c>
      <c r="D419" t="s">
        <v>98</v>
      </c>
      <c r="E419" t="s">
        <v>103</v>
      </c>
      <c r="F419" s="8">
        <v>46199</v>
      </c>
      <c r="G419" s="8">
        <v>46206</v>
      </c>
      <c r="H419" s="4">
        <v>1</v>
      </c>
      <c r="I419" s="8">
        <v>46206</v>
      </c>
      <c r="J419">
        <v>608</v>
      </c>
      <c r="K419">
        <v>610</v>
      </c>
      <c r="L419" t="s">
        <v>59</v>
      </c>
      <c r="M419" t="s">
        <v>293</v>
      </c>
      <c r="N419" s="8">
        <v>46205</v>
      </c>
      <c r="P419" t="s">
        <v>638</v>
      </c>
      <c r="Q419" t="s">
        <v>178</v>
      </c>
      <c r="R419" t="s">
        <v>55</v>
      </c>
      <c r="S419" s="8">
        <v>46205</v>
      </c>
      <c r="T419" s="8">
        <v>46205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 x14ac:dyDescent="0.25">
      <c r="A420">
        <v>610</v>
      </c>
      <c r="B420" t="s">
        <v>815</v>
      </c>
      <c r="C420" t="s">
        <v>813</v>
      </c>
      <c r="D420" t="s">
        <v>102</v>
      </c>
      <c r="E420" t="s">
        <v>53</v>
      </c>
      <c r="F420" s="8">
        <v>46209</v>
      </c>
      <c r="G420" s="8">
        <v>46209</v>
      </c>
      <c r="H420" s="4">
        <v>0</v>
      </c>
      <c r="J420">
        <v>609</v>
      </c>
      <c r="K420">
        <v>611</v>
      </c>
      <c r="L420" t="s">
        <v>35</v>
      </c>
      <c r="M420" t="s">
        <v>192</v>
      </c>
      <c r="N420" s="8">
        <v>46209</v>
      </c>
      <c r="P420" t="s">
        <v>638</v>
      </c>
      <c r="Q420" t="s">
        <v>178</v>
      </c>
      <c r="R420" t="s">
        <v>55</v>
      </c>
      <c r="S420" s="8">
        <v>46206</v>
      </c>
      <c r="T420" s="8">
        <v>46209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</row>
    <row r="421" spans="1:33" x14ac:dyDescent="0.25">
      <c r="A421">
        <v>611</v>
      </c>
      <c r="B421" t="s">
        <v>816</v>
      </c>
      <c r="C421" t="s">
        <v>813</v>
      </c>
      <c r="D421" t="s">
        <v>108</v>
      </c>
      <c r="E421" t="s">
        <v>53</v>
      </c>
      <c r="F421" s="8">
        <v>46210</v>
      </c>
      <c r="G421" s="8">
        <v>46210</v>
      </c>
      <c r="H421" s="4">
        <v>0</v>
      </c>
      <c r="J421">
        <v>610</v>
      </c>
      <c r="L421" t="s">
        <v>35</v>
      </c>
      <c r="M421" t="s">
        <v>296</v>
      </c>
      <c r="N421" s="8">
        <v>46210</v>
      </c>
      <c r="P421" t="s">
        <v>638</v>
      </c>
      <c r="Q421" t="s">
        <v>178</v>
      </c>
      <c r="R421" t="s">
        <v>55</v>
      </c>
      <c r="S421" s="8">
        <v>46210</v>
      </c>
      <c r="T421" s="8">
        <v>46210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</row>
    <row r="422" spans="1:33" x14ac:dyDescent="0.25">
      <c r="A422">
        <v>612</v>
      </c>
      <c r="B422" t="s">
        <v>817</v>
      </c>
      <c r="C422" t="s">
        <v>640</v>
      </c>
      <c r="D422" t="s">
        <v>818</v>
      </c>
      <c r="E422" t="s">
        <v>753</v>
      </c>
      <c r="F422" s="8">
        <v>46190</v>
      </c>
      <c r="G422" s="8">
        <v>46210</v>
      </c>
      <c r="H422" s="4">
        <v>0.87</v>
      </c>
      <c r="L422" t="s">
        <v>35</v>
      </c>
      <c r="M422" t="s">
        <v>324</v>
      </c>
      <c r="N422" s="8">
        <v>46210</v>
      </c>
      <c r="P422" t="s">
        <v>638</v>
      </c>
      <c r="Q422" t="s">
        <v>133</v>
      </c>
      <c r="R422" t="s">
        <v>55</v>
      </c>
      <c r="S422" s="8">
        <v>46191</v>
      </c>
      <c r="T422" s="8">
        <v>46210</v>
      </c>
      <c r="V422">
        <v>0.87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5">
      <c r="A423">
        <v>613</v>
      </c>
      <c r="B423" t="s">
        <v>819</v>
      </c>
      <c r="C423" t="s">
        <v>820</v>
      </c>
      <c r="D423" t="s">
        <v>94</v>
      </c>
      <c r="E423" t="s">
        <v>729</v>
      </c>
      <c r="F423" s="8">
        <v>46190</v>
      </c>
      <c r="G423" s="8">
        <v>46198</v>
      </c>
      <c r="H423" s="4">
        <v>1</v>
      </c>
      <c r="I423" s="8">
        <v>46198</v>
      </c>
      <c r="J423" t="s">
        <v>764</v>
      </c>
      <c r="K423">
        <v>614</v>
      </c>
      <c r="L423" t="s">
        <v>59</v>
      </c>
      <c r="M423" t="s">
        <v>324</v>
      </c>
      <c r="N423" s="8">
        <v>46204</v>
      </c>
      <c r="P423" t="s">
        <v>638</v>
      </c>
      <c r="Q423" t="s">
        <v>133</v>
      </c>
      <c r="R423" t="s">
        <v>55</v>
      </c>
      <c r="S423" s="8">
        <v>46191</v>
      </c>
      <c r="T423" s="8">
        <v>46204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</row>
    <row r="424" spans="1:33" x14ac:dyDescent="0.25">
      <c r="A424">
        <v>614</v>
      </c>
      <c r="B424" t="s">
        <v>821</v>
      </c>
      <c r="C424" t="s">
        <v>820</v>
      </c>
      <c r="D424" t="s">
        <v>98</v>
      </c>
      <c r="E424" t="s">
        <v>103</v>
      </c>
      <c r="F424" s="8">
        <v>46199</v>
      </c>
      <c r="G424" s="8">
        <v>46206</v>
      </c>
      <c r="H424" s="4">
        <v>1</v>
      </c>
      <c r="I424" s="8">
        <v>46206</v>
      </c>
      <c r="J424">
        <v>613</v>
      </c>
      <c r="K424">
        <v>615</v>
      </c>
      <c r="L424" t="s">
        <v>59</v>
      </c>
      <c r="M424" t="s">
        <v>293</v>
      </c>
      <c r="N424" s="8">
        <v>46205</v>
      </c>
      <c r="P424" t="s">
        <v>638</v>
      </c>
      <c r="Q424" t="s">
        <v>178</v>
      </c>
      <c r="R424" t="s">
        <v>55</v>
      </c>
      <c r="S424" s="8">
        <v>46205</v>
      </c>
      <c r="T424" s="8">
        <v>46205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5">
      <c r="A425">
        <v>615</v>
      </c>
      <c r="B425" t="s">
        <v>822</v>
      </c>
      <c r="C425" t="s">
        <v>820</v>
      </c>
      <c r="D425" t="s">
        <v>102</v>
      </c>
      <c r="E425" t="s">
        <v>53</v>
      </c>
      <c r="F425" s="8">
        <v>46209</v>
      </c>
      <c r="G425" s="8">
        <v>46209</v>
      </c>
      <c r="H425" s="4">
        <v>0</v>
      </c>
      <c r="J425">
        <v>614</v>
      </c>
      <c r="K425">
        <v>616</v>
      </c>
      <c r="L425" t="s">
        <v>35</v>
      </c>
      <c r="M425" t="s">
        <v>192</v>
      </c>
      <c r="N425" s="8">
        <v>46209</v>
      </c>
      <c r="P425" t="s">
        <v>638</v>
      </c>
      <c r="Q425" t="s">
        <v>178</v>
      </c>
      <c r="R425" t="s">
        <v>55</v>
      </c>
      <c r="S425" s="8">
        <v>46206</v>
      </c>
      <c r="T425" s="8">
        <v>46209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</row>
    <row r="426" spans="1:33" x14ac:dyDescent="0.25">
      <c r="A426">
        <v>616</v>
      </c>
      <c r="B426" t="s">
        <v>823</v>
      </c>
      <c r="C426" t="s">
        <v>820</v>
      </c>
      <c r="D426" t="s">
        <v>108</v>
      </c>
      <c r="E426" t="s">
        <v>53</v>
      </c>
      <c r="F426" s="8">
        <v>46210</v>
      </c>
      <c r="G426" s="8">
        <v>46210</v>
      </c>
      <c r="H426" s="4">
        <v>0</v>
      </c>
      <c r="J426">
        <v>615</v>
      </c>
      <c r="L426" t="s">
        <v>35</v>
      </c>
      <c r="M426" t="s">
        <v>296</v>
      </c>
      <c r="N426" s="8">
        <v>46210</v>
      </c>
      <c r="P426" t="s">
        <v>638</v>
      </c>
      <c r="Q426" t="s">
        <v>178</v>
      </c>
      <c r="R426" t="s">
        <v>55</v>
      </c>
      <c r="S426" s="8">
        <v>46210</v>
      </c>
      <c r="T426" s="8">
        <v>46210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</row>
    <row r="427" spans="1:33" x14ac:dyDescent="0.25">
      <c r="A427">
        <v>617</v>
      </c>
      <c r="B427" t="s">
        <v>824</v>
      </c>
      <c r="C427" t="s">
        <v>640</v>
      </c>
      <c r="D427" t="s">
        <v>825</v>
      </c>
      <c r="E427" t="s">
        <v>753</v>
      </c>
      <c r="F427" s="8">
        <v>46190</v>
      </c>
      <c r="G427" s="8">
        <v>46210</v>
      </c>
      <c r="H427" s="4">
        <v>0.87</v>
      </c>
      <c r="L427" t="s">
        <v>35</v>
      </c>
      <c r="M427" t="s">
        <v>324</v>
      </c>
      <c r="N427" s="8">
        <v>46210</v>
      </c>
      <c r="P427" t="s">
        <v>638</v>
      </c>
      <c r="Q427" t="s">
        <v>133</v>
      </c>
      <c r="R427" t="s">
        <v>55</v>
      </c>
      <c r="S427" s="8">
        <v>46191</v>
      </c>
      <c r="T427" s="8">
        <v>46210</v>
      </c>
      <c r="V427">
        <v>0.87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 x14ac:dyDescent="0.25">
      <c r="A428">
        <v>618</v>
      </c>
      <c r="B428" t="s">
        <v>826</v>
      </c>
      <c r="C428" t="s">
        <v>827</v>
      </c>
      <c r="D428" t="s">
        <v>94</v>
      </c>
      <c r="E428" t="s">
        <v>729</v>
      </c>
      <c r="F428" s="8">
        <v>46190</v>
      </c>
      <c r="G428" s="8">
        <v>46198</v>
      </c>
      <c r="H428" s="4">
        <v>1</v>
      </c>
      <c r="I428" s="8">
        <v>46198</v>
      </c>
      <c r="J428" t="s">
        <v>764</v>
      </c>
      <c r="K428">
        <v>619</v>
      </c>
      <c r="L428" t="s">
        <v>59</v>
      </c>
      <c r="M428" t="s">
        <v>324</v>
      </c>
      <c r="N428" s="8">
        <v>46204</v>
      </c>
      <c r="P428" t="s">
        <v>638</v>
      </c>
      <c r="Q428" t="s">
        <v>133</v>
      </c>
      <c r="R428" t="s">
        <v>55</v>
      </c>
      <c r="S428" s="8">
        <v>46191</v>
      </c>
      <c r="T428" s="8">
        <v>46204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</row>
    <row r="429" spans="1:33" x14ac:dyDescent="0.25">
      <c r="A429">
        <v>619</v>
      </c>
      <c r="B429" t="s">
        <v>828</v>
      </c>
      <c r="C429" t="s">
        <v>827</v>
      </c>
      <c r="D429" t="s">
        <v>98</v>
      </c>
      <c r="E429" t="s">
        <v>103</v>
      </c>
      <c r="F429" s="8">
        <v>46199</v>
      </c>
      <c r="G429" s="8">
        <v>46206</v>
      </c>
      <c r="H429" s="4">
        <v>1</v>
      </c>
      <c r="I429" s="8">
        <v>46206</v>
      </c>
      <c r="J429">
        <v>618</v>
      </c>
      <c r="K429">
        <v>620</v>
      </c>
      <c r="L429" t="s">
        <v>59</v>
      </c>
      <c r="M429" t="s">
        <v>293</v>
      </c>
      <c r="N429" s="8">
        <v>46205</v>
      </c>
      <c r="P429" t="s">
        <v>638</v>
      </c>
      <c r="Q429" t="s">
        <v>178</v>
      </c>
      <c r="R429" t="s">
        <v>55</v>
      </c>
      <c r="S429" s="8">
        <v>46205</v>
      </c>
      <c r="T429" s="8">
        <v>46205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5">
      <c r="A430">
        <v>620</v>
      </c>
      <c r="B430" t="s">
        <v>829</v>
      </c>
      <c r="C430" t="s">
        <v>827</v>
      </c>
      <c r="D430" t="s">
        <v>102</v>
      </c>
      <c r="E430" t="s">
        <v>53</v>
      </c>
      <c r="F430" s="8">
        <v>46209</v>
      </c>
      <c r="G430" s="8">
        <v>46209</v>
      </c>
      <c r="H430" s="4">
        <v>0</v>
      </c>
      <c r="J430">
        <v>619</v>
      </c>
      <c r="K430">
        <v>621</v>
      </c>
      <c r="L430" t="s">
        <v>35</v>
      </c>
      <c r="M430" t="s">
        <v>192</v>
      </c>
      <c r="N430" s="8">
        <v>46209</v>
      </c>
      <c r="P430" t="s">
        <v>638</v>
      </c>
      <c r="Q430" t="s">
        <v>178</v>
      </c>
      <c r="R430" t="s">
        <v>55</v>
      </c>
      <c r="S430" s="8">
        <v>46206</v>
      </c>
      <c r="T430" s="8">
        <v>46209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</row>
    <row r="431" spans="1:33" x14ac:dyDescent="0.25">
      <c r="A431">
        <v>621</v>
      </c>
      <c r="B431" t="s">
        <v>830</v>
      </c>
      <c r="C431" t="s">
        <v>827</v>
      </c>
      <c r="D431" t="s">
        <v>108</v>
      </c>
      <c r="E431" t="s">
        <v>53</v>
      </c>
      <c r="F431" s="8">
        <v>46210</v>
      </c>
      <c r="G431" s="8">
        <v>46210</v>
      </c>
      <c r="H431" s="4">
        <v>0</v>
      </c>
      <c r="J431">
        <v>620</v>
      </c>
      <c r="L431" t="s">
        <v>35</v>
      </c>
      <c r="M431" t="s">
        <v>296</v>
      </c>
      <c r="N431" s="8">
        <v>46210</v>
      </c>
      <c r="P431" t="s">
        <v>638</v>
      </c>
      <c r="Q431" t="s">
        <v>178</v>
      </c>
      <c r="R431" t="s">
        <v>55</v>
      </c>
      <c r="S431" s="8">
        <v>46210</v>
      </c>
      <c r="T431" s="8">
        <v>46210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</row>
    <row r="432" spans="1:33" x14ac:dyDescent="0.25">
      <c r="A432">
        <v>622</v>
      </c>
      <c r="B432" t="s">
        <v>831</v>
      </c>
      <c r="C432" t="s">
        <v>640</v>
      </c>
      <c r="D432" t="s">
        <v>832</v>
      </c>
      <c r="E432" t="s">
        <v>753</v>
      </c>
      <c r="F432" s="8">
        <v>46190</v>
      </c>
      <c r="G432" s="8">
        <v>46210</v>
      </c>
      <c r="H432" s="4">
        <v>0.87</v>
      </c>
      <c r="L432" t="s">
        <v>35</v>
      </c>
      <c r="M432" t="s">
        <v>324</v>
      </c>
      <c r="N432" s="8">
        <v>46210</v>
      </c>
      <c r="P432" t="s">
        <v>638</v>
      </c>
      <c r="Q432" t="s">
        <v>133</v>
      </c>
      <c r="R432" t="s">
        <v>55</v>
      </c>
      <c r="S432" s="8">
        <v>46191</v>
      </c>
      <c r="T432" s="8">
        <v>46210</v>
      </c>
      <c r="V432">
        <v>0.87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 x14ac:dyDescent="0.25">
      <c r="A433">
        <v>623</v>
      </c>
      <c r="B433" t="s">
        <v>833</v>
      </c>
      <c r="C433" t="s">
        <v>834</v>
      </c>
      <c r="D433" t="s">
        <v>94</v>
      </c>
      <c r="E433" t="s">
        <v>729</v>
      </c>
      <c r="F433" s="8">
        <v>46190</v>
      </c>
      <c r="G433" s="8">
        <v>46198</v>
      </c>
      <c r="H433" s="4">
        <v>1</v>
      </c>
      <c r="I433" s="8">
        <v>46198</v>
      </c>
      <c r="J433" t="s">
        <v>764</v>
      </c>
      <c r="K433">
        <v>624</v>
      </c>
      <c r="L433" t="s">
        <v>59</v>
      </c>
      <c r="M433" t="s">
        <v>324</v>
      </c>
      <c r="N433" s="8">
        <v>46204</v>
      </c>
      <c r="P433" t="s">
        <v>638</v>
      </c>
      <c r="Q433" t="s">
        <v>133</v>
      </c>
      <c r="R433" t="s">
        <v>55</v>
      </c>
      <c r="S433" s="8">
        <v>46191</v>
      </c>
      <c r="T433" s="8">
        <v>46204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</row>
    <row r="434" spans="1:33" x14ac:dyDescent="0.25">
      <c r="A434">
        <v>624</v>
      </c>
      <c r="B434" t="s">
        <v>835</v>
      </c>
      <c r="C434" t="s">
        <v>834</v>
      </c>
      <c r="D434" t="s">
        <v>98</v>
      </c>
      <c r="E434" t="s">
        <v>103</v>
      </c>
      <c r="F434" s="8">
        <v>46199</v>
      </c>
      <c r="G434" s="8">
        <v>46206</v>
      </c>
      <c r="H434" s="4">
        <v>1</v>
      </c>
      <c r="I434" s="8">
        <v>46206</v>
      </c>
      <c r="J434">
        <v>623</v>
      </c>
      <c r="K434">
        <v>625</v>
      </c>
      <c r="L434" t="s">
        <v>59</v>
      </c>
      <c r="M434" t="s">
        <v>293</v>
      </c>
      <c r="N434" s="8">
        <v>46205</v>
      </c>
      <c r="P434" t="s">
        <v>638</v>
      </c>
      <c r="Q434" t="s">
        <v>178</v>
      </c>
      <c r="R434" t="s">
        <v>55</v>
      </c>
      <c r="S434" s="8">
        <v>46205</v>
      </c>
      <c r="T434" s="8">
        <v>46205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 x14ac:dyDescent="0.25">
      <c r="A435">
        <v>625</v>
      </c>
      <c r="B435" t="s">
        <v>836</v>
      </c>
      <c r="C435" t="s">
        <v>834</v>
      </c>
      <c r="D435" t="s">
        <v>102</v>
      </c>
      <c r="E435" t="s">
        <v>53</v>
      </c>
      <c r="F435" s="8">
        <v>46209</v>
      </c>
      <c r="G435" s="8">
        <v>46209</v>
      </c>
      <c r="H435" s="4">
        <v>0</v>
      </c>
      <c r="J435">
        <v>624</v>
      </c>
      <c r="K435">
        <v>626</v>
      </c>
      <c r="L435" t="s">
        <v>35</v>
      </c>
      <c r="M435" t="s">
        <v>192</v>
      </c>
      <c r="N435" s="8">
        <v>46209</v>
      </c>
      <c r="P435" t="s">
        <v>638</v>
      </c>
      <c r="Q435" t="s">
        <v>178</v>
      </c>
      <c r="R435" t="s">
        <v>55</v>
      </c>
      <c r="S435" s="8">
        <v>46206</v>
      </c>
      <c r="T435" s="8">
        <v>46209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</row>
    <row r="436" spans="1:33" x14ac:dyDescent="0.25">
      <c r="A436">
        <v>626</v>
      </c>
      <c r="B436" t="s">
        <v>837</v>
      </c>
      <c r="C436" t="s">
        <v>834</v>
      </c>
      <c r="D436" t="s">
        <v>108</v>
      </c>
      <c r="E436" t="s">
        <v>53</v>
      </c>
      <c r="F436" s="8">
        <v>46210</v>
      </c>
      <c r="G436" s="8">
        <v>46210</v>
      </c>
      <c r="H436" s="4">
        <v>0</v>
      </c>
      <c r="J436">
        <v>625</v>
      </c>
      <c r="L436" t="s">
        <v>35</v>
      </c>
      <c r="M436" t="s">
        <v>296</v>
      </c>
      <c r="N436" s="8">
        <v>46210</v>
      </c>
      <c r="P436" t="s">
        <v>638</v>
      </c>
      <c r="Q436" t="s">
        <v>178</v>
      </c>
      <c r="R436" t="s">
        <v>55</v>
      </c>
      <c r="S436" s="8">
        <v>46210</v>
      </c>
      <c r="T436" s="8">
        <v>46210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</row>
    <row r="437" spans="1:33" x14ac:dyDescent="0.25">
      <c r="A437">
        <v>627</v>
      </c>
      <c r="B437" t="s">
        <v>838</v>
      </c>
      <c r="C437" t="s">
        <v>640</v>
      </c>
      <c r="D437" t="s">
        <v>839</v>
      </c>
      <c r="E437" t="s">
        <v>753</v>
      </c>
      <c r="F437" s="8">
        <v>46190</v>
      </c>
      <c r="G437" s="8">
        <v>46210</v>
      </c>
      <c r="H437" s="4">
        <v>0.87</v>
      </c>
      <c r="L437" t="s">
        <v>35</v>
      </c>
      <c r="M437" t="s">
        <v>324</v>
      </c>
      <c r="N437" s="8">
        <v>46210</v>
      </c>
      <c r="P437" t="s">
        <v>638</v>
      </c>
      <c r="Q437" t="s">
        <v>133</v>
      </c>
      <c r="R437" t="s">
        <v>55</v>
      </c>
      <c r="S437" s="8">
        <v>46191</v>
      </c>
      <c r="T437" s="8">
        <v>46210</v>
      </c>
      <c r="V437">
        <v>0.87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5">
      <c r="A438">
        <v>628</v>
      </c>
      <c r="B438" t="s">
        <v>840</v>
      </c>
      <c r="C438" t="s">
        <v>841</v>
      </c>
      <c r="D438" t="s">
        <v>94</v>
      </c>
      <c r="E438" t="s">
        <v>729</v>
      </c>
      <c r="F438" s="8">
        <v>46190</v>
      </c>
      <c r="G438" s="8">
        <v>46198</v>
      </c>
      <c r="H438" s="4">
        <v>1</v>
      </c>
      <c r="I438" s="8">
        <v>46198</v>
      </c>
      <c r="J438" t="s">
        <v>764</v>
      </c>
      <c r="K438">
        <v>629</v>
      </c>
      <c r="L438" t="s">
        <v>59</v>
      </c>
      <c r="M438" t="s">
        <v>324</v>
      </c>
      <c r="N438" s="8">
        <v>46204</v>
      </c>
      <c r="P438" t="s">
        <v>638</v>
      </c>
      <c r="Q438" t="s">
        <v>133</v>
      </c>
      <c r="R438" t="s">
        <v>55</v>
      </c>
      <c r="S438" s="8">
        <v>46191</v>
      </c>
      <c r="T438" s="8">
        <v>46204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</row>
    <row r="439" spans="1:33" x14ac:dyDescent="0.25">
      <c r="A439">
        <v>629</v>
      </c>
      <c r="B439" t="s">
        <v>842</v>
      </c>
      <c r="C439" t="s">
        <v>841</v>
      </c>
      <c r="D439" t="s">
        <v>98</v>
      </c>
      <c r="E439" t="s">
        <v>103</v>
      </c>
      <c r="F439" s="8">
        <v>46199</v>
      </c>
      <c r="G439" s="8">
        <v>46206</v>
      </c>
      <c r="H439" s="4">
        <v>1</v>
      </c>
      <c r="I439" s="8">
        <v>46206</v>
      </c>
      <c r="J439">
        <v>628</v>
      </c>
      <c r="K439">
        <v>630</v>
      </c>
      <c r="L439" t="s">
        <v>59</v>
      </c>
      <c r="M439" t="s">
        <v>293</v>
      </c>
      <c r="N439" s="8">
        <v>46205</v>
      </c>
      <c r="P439" t="s">
        <v>638</v>
      </c>
      <c r="Q439" t="s">
        <v>178</v>
      </c>
      <c r="R439" t="s">
        <v>55</v>
      </c>
      <c r="S439" s="8">
        <v>46205</v>
      </c>
      <c r="T439" s="8">
        <v>46205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 x14ac:dyDescent="0.25">
      <c r="A440">
        <v>630</v>
      </c>
      <c r="B440" t="s">
        <v>843</v>
      </c>
      <c r="C440" t="s">
        <v>841</v>
      </c>
      <c r="D440" t="s">
        <v>102</v>
      </c>
      <c r="E440" t="s">
        <v>53</v>
      </c>
      <c r="F440" s="8">
        <v>46209</v>
      </c>
      <c r="G440" s="8">
        <v>46209</v>
      </c>
      <c r="H440" s="4">
        <v>0</v>
      </c>
      <c r="J440">
        <v>629</v>
      </c>
      <c r="K440">
        <v>631</v>
      </c>
      <c r="L440" t="s">
        <v>35</v>
      </c>
      <c r="M440" t="s">
        <v>192</v>
      </c>
      <c r="N440" s="8">
        <v>46209</v>
      </c>
      <c r="P440" t="s">
        <v>638</v>
      </c>
      <c r="Q440" t="s">
        <v>178</v>
      </c>
      <c r="R440" t="s">
        <v>55</v>
      </c>
      <c r="S440" s="8">
        <v>46206</v>
      </c>
      <c r="T440" s="8">
        <v>46209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</row>
    <row r="441" spans="1:33" x14ac:dyDescent="0.25">
      <c r="A441">
        <v>631</v>
      </c>
      <c r="B441" t="s">
        <v>844</v>
      </c>
      <c r="C441" t="s">
        <v>841</v>
      </c>
      <c r="D441" t="s">
        <v>108</v>
      </c>
      <c r="E441" t="s">
        <v>53</v>
      </c>
      <c r="F441" s="8">
        <v>46210</v>
      </c>
      <c r="G441" s="8">
        <v>46210</v>
      </c>
      <c r="H441" s="4">
        <v>0</v>
      </c>
      <c r="J441">
        <v>630</v>
      </c>
      <c r="L441" t="s">
        <v>35</v>
      </c>
      <c r="M441" t="s">
        <v>296</v>
      </c>
      <c r="N441" s="8">
        <v>46210</v>
      </c>
      <c r="P441" t="s">
        <v>638</v>
      </c>
      <c r="Q441" t="s">
        <v>178</v>
      </c>
      <c r="R441" t="s">
        <v>55</v>
      </c>
      <c r="S441" s="8">
        <v>46210</v>
      </c>
      <c r="T441" s="8">
        <v>46210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</row>
    <row r="442" spans="1:33" x14ac:dyDescent="0.25">
      <c r="A442">
        <v>632</v>
      </c>
      <c r="B442" t="s">
        <v>845</v>
      </c>
      <c r="C442" t="s">
        <v>640</v>
      </c>
      <c r="D442" t="s">
        <v>846</v>
      </c>
      <c r="E442" t="s">
        <v>753</v>
      </c>
      <c r="F442" s="8">
        <v>46190</v>
      </c>
      <c r="G442" s="8">
        <v>46210</v>
      </c>
      <c r="H442" s="4">
        <v>0.87</v>
      </c>
      <c r="L442" t="s">
        <v>35</v>
      </c>
      <c r="M442" t="s">
        <v>324</v>
      </c>
      <c r="N442" s="8">
        <v>46210</v>
      </c>
      <c r="P442" t="s">
        <v>638</v>
      </c>
      <c r="Q442" t="s">
        <v>133</v>
      </c>
      <c r="R442" t="s">
        <v>55</v>
      </c>
      <c r="S442" s="8">
        <v>46191</v>
      </c>
      <c r="T442" s="8">
        <v>46210</v>
      </c>
      <c r="V442">
        <v>0.87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</row>
    <row r="443" spans="1:33" x14ac:dyDescent="0.25">
      <c r="A443">
        <v>633</v>
      </c>
      <c r="B443" t="s">
        <v>847</v>
      </c>
      <c r="C443" t="s">
        <v>848</v>
      </c>
      <c r="D443" t="s">
        <v>94</v>
      </c>
      <c r="E443" t="s">
        <v>729</v>
      </c>
      <c r="F443" s="8">
        <v>46190</v>
      </c>
      <c r="G443" s="8">
        <v>46198</v>
      </c>
      <c r="H443" s="4">
        <v>1</v>
      </c>
      <c r="I443" s="8">
        <v>46198</v>
      </c>
      <c r="J443" t="s">
        <v>764</v>
      </c>
      <c r="K443">
        <v>634</v>
      </c>
      <c r="L443" t="s">
        <v>59</v>
      </c>
      <c r="M443" t="s">
        <v>324</v>
      </c>
      <c r="N443" s="8">
        <v>46204</v>
      </c>
      <c r="P443" t="s">
        <v>638</v>
      </c>
      <c r="Q443" t="s">
        <v>133</v>
      </c>
      <c r="R443" t="s">
        <v>55</v>
      </c>
      <c r="S443" s="8">
        <v>46191</v>
      </c>
      <c r="T443" s="8">
        <v>46204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</row>
    <row r="444" spans="1:33" x14ac:dyDescent="0.25">
      <c r="A444">
        <v>634</v>
      </c>
      <c r="B444" t="s">
        <v>849</v>
      </c>
      <c r="C444" t="s">
        <v>848</v>
      </c>
      <c r="D444" t="s">
        <v>98</v>
      </c>
      <c r="E444" t="s">
        <v>103</v>
      </c>
      <c r="F444" s="8">
        <v>46199</v>
      </c>
      <c r="G444" s="8">
        <v>46206</v>
      </c>
      <c r="H444" s="4">
        <v>1</v>
      </c>
      <c r="I444" s="8">
        <v>46206</v>
      </c>
      <c r="J444">
        <v>633</v>
      </c>
      <c r="K444">
        <v>635</v>
      </c>
      <c r="L444" t="s">
        <v>59</v>
      </c>
      <c r="M444" t="s">
        <v>293</v>
      </c>
      <c r="N444" s="8">
        <v>46205</v>
      </c>
      <c r="P444" t="s">
        <v>638</v>
      </c>
      <c r="Q444" t="s">
        <v>178</v>
      </c>
      <c r="R444" t="s">
        <v>55</v>
      </c>
      <c r="S444" s="8">
        <v>46205</v>
      </c>
      <c r="T444" s="8">
        <v>46205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5">
      <c r="A445">
        <v>635</v>
      </c>
      <c r="B445" t="s">
        <v>850</v>
      </c>
      <c r="C445" t="s">
        <v>848</v>
      </c>
      <c r="D445" t="s">
        <v>102</v>
      </c>
      <c r="E445" t="s">
        <v>53</v>
      </c>
      <c r="F445" s="8">
        <v>46209</v>
      </c>
      <c r="G445" s="8">
        <v>46209</v>
      </c>
      <c r="H445" s="4">
        <v>0</v>
      </c>
      <c r="J445">
        <v>634</v>
      </c>
      <c r="K445">
        <v>636</v>
      </c>
      <c r="L445" t="s">
        <v>35</v>
      </c>
      <c r="M445" t="s">
        <v>192</v>
      </c>
      <c r="N445" s="8">
        <v>46209</v>
      </c>
      <c r="P445" t="s">
        <v>638</v>
      </c>
      <c r="Q445" t="s">
        <v>178</v>
      </c>
      <c r="R445" t="s">
        <v>55</v>
      </c>
      <c r="S445" s="8">
        <v>46206</v>
      </c>
      <c r="T445" s="8">
        <v>46209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</row>
    <row r="446" spans="1:33" x14ac:dyDescent="0.25">
      <c r="A446">
        <v>636</v>
      </c>
      <c r="B446" t="s">
        <v>851</v>
      </c>
      <c r="C446" t="s">
        <v>848</v>
      </c>
      <c r="D446" t="s">
        <v>108</v>
      </c>
      <c r="E446" t="s">
        <v>53</v>
      </c>
      <c r="F446" s="8">
        <v>46210</v>
      </c>
      <c r="G446" s="8">
        <v>46210</v>
      </c>
      <c r="H446" s="4">
        <v>0</v>
      </c>
      <c r="J446">
        <v>635</v>
      </c>
      <c r="L446" t="s">
        <v>35</v>
      </c>
      <c r="M446" t="s">
        <v>296</v>
      </c>
      <c r="N446" s="8">
        <v>46210</v>
      </c>
      <c r="P446" t="s">
        <v>638</v>
      </c>
      <c r="Q446" t="s">
        <v>178</v>
      </c>
      <c r="R446" t="s">
        <v>55</v>
      </c>
      <c r="S446" s="8">
        <v>46210</v>
      </c>
      <c r="T446" s="8">
        <v>46210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</row>
    <row r="447" spans="1:33" x14ac:dyDescent="0.25">
      <c r="A447">
        <v>637</v>
      </c>
      <c r="B447" t="s">
        <v>852</v>
      </c>
      <c r="C447" t="s">
        <v>640</v>
      </c>
      <c r="D447" t="s">
        <v>853</v>
      </c>
      <c r="E447" t="s">
        <v>753</v>
      </c>
      <c r="F447" s="8">
        <v>46190</v>
      </c>
      <c r="G447" s="8">
        <v>46210</v>
      </c>
      <c r="H447" s="4">
        <v>0.87</v>
      </c>
      <c r="L447" t="s">
        <v>35</v>
      </c>
      <c r="M447" t="s">
        <v>324</v>
      </c>
      <c r="N447" s="8">
        <v>46210</v>
      </c>
      <c r="P447" t="s">
        <v>638</v>
      </c>
      <c r="Q447" t="s">
        <v>133</v>
      </c>
      <c r="R447" t="s">
        <v>55</v>
      </c>
      <c r="S447" s="8">
        <v>46191</v>
      </c>
      <c r="T447" s="8">
        <v>46210</v>
      </c>
      <c r="V447">
        <v>0.87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5">
      <c r="A448">
        <v>638</v>
      </c>
      <c r="B448" t="s">
        <v>854</v>
      </c>
      <c r="C448" t="s">
        <v>855</v>
      </c>
      <c r="D448" t="s">
        <v>94</v>
      </c>
      <c r="E448" t="s">
        <v>729</v>
      </c>
      <c r="F448" s="8">
        <v>46190</v>
      </c>
      <c r="G448" s="8">
        <v>46198</v>
      </c>
      <c r="H448" s="4">
        <v>1</v>
      </c>
      <c r="I448" s="8">
        <v>46198</v>
      </c>
      <c r="J448" t="s">
        <v>764</v>
      </c>
      <c r="K448">
        <v>639</v>
      </c>
      <c r="L448" t="s">
        <v>59</v>
      </c>
      <c r="M448" t="s">
        <v>324</v>
      </c>
      <c r="N448" s="8">
        <v>46204</v>
      </c>
      <c r="P448" t="s">
        <v>638</v>
      </c>
      <c r="Q448" t="s">
        <v>133</v>
      </c>
      <c r="R448" t="s">
        <v>55</v>
      </c>
      <c r="S448" s="8">
        <v>46191</v>
      </c>
      <c r="T448" s="8">
        <v>46204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</row>
    <row r="449" spans="1:33" x14ac:dyDescent="0.25">
      <c r="A449">
        <v>639</v>
      </c>
      <c r="B449" t="s">
        <v>856</v>
      </c>
      <c r="C449" t="s">
        <v>855</v>
      </c>
      <c r="D449" t="s">
        <v>98</v>
      </c>
      <c r="E449" t="s">
        <v>103</v>
      </c>
      <c r="F449" s="8">
        <v>46199</v>
      </c>
      <c r="G449" s="8">
        <v>46206</v>
      </c>
      <c r="H449" s="4">
        <v>1</v>
      </c>
      <c r="I449" s="8">
        <v>46206</v>
      </c>
      <c r="J449">
        <v>638</v>
      </c>
      <c r="K449">
        <v>640</v>
      </c>
      <c r="L449" t="s">
        <v>59</v>
      </c>
      <c r="M449" t="s">
        <v>293</v>
      </c>
      <c r="N449" s="8">
        <v>46205</v>
      </c>
      <c r="P449" t="s">
        <v>638</v>
      </c>
      <c r="Q449" t="s">
        <v>178</v>
      </c>
      <c r="R449" t="s">
        <v>55</v>
      </c>
      <c r="S449" s="8">
        <v>46205</v>
      </c>
      <c r="T449" s="8">
        <v>46205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3" x14ac:dyDescent="0.25">
      <c r="A450">
        <v>640</v>
      </c>
      <c r="B450" t="s">
        <v>857</v>
      </c>
      <c r="C450" t="s">
        <v>855</v>
      </c>
      <c r="D450" t="s">
        <v>102</v>
      </c>
      <c r="E450" t="s">
        <v>53</v>
      </c>
      <c r="F450" s="8">
        <v>46209</v>
      </c>
      <c r="G450" s="8">
        <v>46209</v>
      </c>
      <c r="H450" s="4">
        <v>0</v>
      </c>
      <c r="J450">
        <v>639</v>
      </c>
      <c r="K450">
        <v>641</v>
      </c>
      <c r="L450" t="s">
        <v>35</v>
      </c>
      <c r="M450" t="s">
        <v>192</v>
      </c>
      <c r="N450" s="8">
        <v>46209</v>
      </c>
      <c r="P450" t="s">
        <v>638</v>
      </c>
      <c r="Q450" t="s">
        <v>178</v>
      </c>
      <c r="R450" t="s">
        <v>55</v>
      </c>
      <c r="S450" s="8">
        <v>46206</v>
      </c>
      <c r="T450" s="8">
        <v>46209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</row>
    <row r="451" spans="1:33" x14ac:dyDescent="0.25">
      <c r="A451">
        <v>641</v>
      </c>
      <c r="B451" t="s">
        <v>858</v>
      </c>
      <c r="C451" t="s">
        <v>855</v>
      </c>
      <c r="D451" t="s">
        <v>108</v>
      </c>
      <c r="E451" t="s">
        <v>53</v>
      </c>
      <c r="F451" s="8">
        <v>46210</v>
      </c>
      <c r="G451" s="8">
        <v>46210</v>
      </c>
      <c r="H451" s="4">
        <v>0</v>
      </c>
      <c r="J451">
        <v>640</v>
      </c>
      <c r="L451" t="s">
        <v>35</v>
      </c>
      <c r="M451" t="s">
        <v>296</v>
      </c>
      <c r="N451" s="8">
        <v>46210</v>
      </c>
      <c r="P451" t="s">
        <v>638</v>
      </c>
      <c r="Q451" t="s">
        <v>178</v>
      </c>
      <c r="R451" t="s">
        <v>55</v>
      </c>
      <c r="S451" s="8">
        <v>46210</v>
      </c>
      <c r="T451" s="8">
        <v>46210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</row>
    <row r="452" spans="1:33" x14ac:dyDescent="0.25">
      <c r="A452">
        <v>642</v>
      </c>
      <c r="B452" t="s">
        <v>859</v>
      </c>
      <c r="C452" t="s">
        <v>640</v>
      </c>
      <c r="D452" t="s">
        <v>860</v>
      </c>
      <c r="E452" t="s">
        <v>753</v>
      </c>
      <c r="F452" s="8">
        <v>46190</v>
      </c>
      <c r="G452" s="8">
        <v>46210</v>
      </c>
      <c r="H452" s="4">
        <v>0.87</v>
      </c>
      <c r="L452" t="s">
        <v>35</v>
      </c>
      <c r="M452" t="s">
        <v>324</v>
      </c>
      <c r="N452" s="8">
        <v>46210</v>
      </c>
      <c r="P452" t="s">
        <v>638</v>
      </c>
      <c r="Q452" t="s">
        <v>133</v>
      </c>
      <c r="R452" t="s">
        <v>55</v>
      </c>
      <c r="S452" s="8">
        <v>46191</v>
      </c>
      <c r="T452" s="8">
        <v>46210</v>
      </c>
      <c r="V452">
        <v>0.87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5">
      <c r="A453">
        <v>643</v>
      </c>
      <c r="B453" t="s">
        <v>861</v>
      </c>
      <c r="C453" t="s">
        <v>862</v>
      </c>
      <c r="D453" t="s">
        <v>94</v>
      </c>
      <c r="E453" t="s">
        <v>729</v>
      </c>
      <c r="F453" s="8">
        <v>46190</v>
      </c>
      <c r="G453" s="8">
        <v>46198</v>
      </c>
      <c r="H453" s="4">
        <v>1</v>
      </c>
      <c r="I453" s="8">
        <v>46198</v>
      </c>
      <c r="J453" t="s">
        <v>764</v>
      </c>
      <c r="K453">
        <v>644</v>
      </c>
      <c r="L453" t="s">
        <v>59</v>
      </c>
      <c r="M453" t="s">
        <v>324</v>
      </c>
      <c r="N453" s="8">
        <v>46204</v>
      </c>
      <c r="P453" t="s">
        <v>638</v>
      </c>
      <c r="Q453" t="s">
        <v>133</v>
      </c>
      <c r="R453" t="s">
        <v>55</v>
      </c>
      <c r="S453" s="8">
        <v>46191</v>
      </c>
      <c r="T453" s="8">
        <v>46204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</row>
    <row r="454" spans="1:33" x14ac:dyDescent="0.25">
      <c r="A454">
        <v>644</v>
      </c>
      <c r="B454" t="s">
        <v>863</v>
      </c>
      <c r="C454" t="s">
        <v>862</v>
      </c>
      <c r="D454" t="s">
        <v>98</v>
      </c>
      <c r="E454" t="s">
        <v>103</v>
      </c>
      <c r="F454" s="8">
        <v>46199</v>
      </c>
      <c r="G454" s="8">
        <v>46206</v>
      </c>
      <c r="H454" s="4">
        <v>1</v>
      </c>
      <c r="I454" s="8">
        <v>46206</v>
      </c>
      <c r="J454">
        <v>643</v>
      </c>
      <c r="K454">
        <v>645</v>
      </c>
      <c r="L454" t="s">
        <v>59</v>
      </c>
      <c r="M454" t="s">
        <v>293</v>
      </c>
      <c r="N454" s="8">
        <v>46205</v>
      </c>
      <c r="P454" t="s">
        <v>638</v>
      </c>
      <c r="Q454" t="s">
        <v>178</v>
      </c>
      <c r="R454" t="s">
        <v>55</v>
      </c>
      <c r="S454" s="8">
        <v>46205</v>
      </c>
      <c r="T454" s="8">
        <v>46205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</row>
    <row r="455" spans="1:33" x14ac:dyDescent="0.25">
      <c r="A455">
        <v>645</v>
      </c>
      <c r="B455" t="s">
        <v>864</v>
      </c>
      <c r="C455" t="s">
        <v>862</v>
      </c>
      <c r="D455" t="s">
        <v>102</v>
      </c>
      <c r="E455" t="s">
        <v>53</v>
      </c>
      <c r="F455" s="8">
        <v>46209</v>
      </c>
      <c r="G455" s="8">
        <v>46209</v>
      </c>
      <c r="H455" s="4">
        <v>0</v>
      </c>
      <c r="J455">
        <v>644</v>
      </c>
      <c r="K455">
        <v>646</v>
      </c>
      <c r="L455" t="s">
        <v>35</v>
      </c>
      <c r="M455" t="s">
        <v>192</v>
      </c>
      <c r="N455" s="8">
        <v>46209</v>
      </c>
      <c r="P455" t="s">
        <v>638</v>
      </c>
      <c r="Q455" t="s">
        <v>178</v>
      </c>
      <c r="R455" t="s">
        <v>55</v>
      </c>
      <c r="S455" s="8">
        <v>46206</v>
      </c>
      <c r="T455" s="8">
        <v>46209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</row>
    <row r="456" spans="1:33" x14ac:dyDescent="0.25">
      <c r="A456">
        <v>646</v>
      </c>
      <c r="B456" t="s">
        <v>865</v>
      </c>
      <c r="C456" t="s">
        <v>862</v>
      </c>
      <c r="D456" t="s">
        <v>108</v>
      </c>
      <c r="E456" t="s">
        <v>53</v>
      </c>
      <c r="F456" s="8">
        <v>46210</v>
      </c>
      <c r="G456" s="8">
        <v>46210</v>
      </c>
      <c r="H456" s="4">
        <v>0</v>
      </c>
      <c r="J456">
        <v>645</v>
      </c>
      <c r="L456" t="s">
        <v>35</v>
      </c>
      <c r="M456" t="s">
        <v>296</v>
      </c>
      <c r="N456" s="8">
        <v>46210</v>
      </c>
      <c r="P456" t="s">
        <v>638</v>
      </c>
      <c r="Q456" t="s">
        <v>178</v>
      </c>
      <c r="R456" t="s">
        <v>55</v>
      </c>
      <c r="S456" s="8">
        <v>46210</v>
      </c>
      <c r="T456" s="8">
        <v>46210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</row>
    <row r="457" spans="1:33" x14ac:dyDescent="0.25">
      <c r="A457">
        <v>647</v>
      </c>
      <c r="B457" t="s">
        <v>866</v>
      </c>
      <c r="C457" t="s">
        <v>640</v>
      </c>
      <c r="D457" t="s">
        <v>867</v>
      </c>
      <c r="E457" t="s">
        <v>753</v>
      </c>
      <c r="F457" s="8">
        <v>46190</v>
      </c>
      <c r="G457" s="8">
        <v>46210</v>
      </c>
      <c r="H457" s="4">
        <v>0.87</v>
      </c>
      <c r="L457" t="s">
        <v>35</v>
      </c>
      <c r="M457" t="s">
        <v>324</v>
      </c>
      <c r="N457" s="8">
        <v>46210</v>
      </c>
      <c r="P457" t="s">
        <v>638</v>
      </c>
      <c r="Q457" t="s">
        <v>133</v>
      </c>
      <c r="R457" t="s">
        <v>55</v>
      </c>
      <c r="S457" s="8">
        <v>46191</v>
      </c>
      <c r="T457" s="8">
        <v>46210</v>
      </c>
      <c r="U457" t="s">
        <v>289</v>
      </c>
      <c r="V457">
        <v>0.87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5">
      <c r="A458">
        <v>648</v>
      </c>
      <c r="B458" t="s">
        <v>868</v>
      </c>
      <c r="C458" t="s">
        <v>869</v>
      </c>
      <c r="D458" t="s">
        <v>94</v>
      </c>
      <c r="E458" t="s">
        <v>729</v>
      </c>
      <c r="F458" s="8">
        <v>46190</v>
      </c>
      <c r="G458" s="8">
        <v>46198</v>
      </c>
      <c r="H458" s="4">
        <v>1</v>
      </c>
      <c r="I458" s="8">
        <v>46198</v>
      </c>
      <c r="J458" t="s">
        <v>764</v>
      </c>
      <c r="K458">
        <v>649</v>
      </c>
      <c r="L458" t="s">
        <v>59</v>
      </c>
      <c r="M458" t="s">
        <v>265</v>
      </c>
      <c r="N458" s="8">
        <v>46196</v>
      </c>
      <c r="P458" t="s">
        <v>638</v>
      </c>
      <c r="Q458" t="s">
        <v>133</v>
      </c>
      <c r="R458" t="s">
        <v>55</v>
      </c>
      <c r="S458" s="8">
        <v>46188</v>
      </c>
      <c r="T458" s="8">
        <v>46196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</row>
    <row r="459" spans="1:33" x14ac:dyDescent="0.25">
      <c r="A459">
        <v>649</v>
      </c>
      <c r="B459" t="s">
        <v>870</v>
      </c>
      <c r="C459" t="s">
        <v>869</v>
      </c>
      <c r="D459" t="s">
        <v>98</v>
      </c>
      <c r="E459" t="s">
        <v>103</v>
      </c>
      <c r="F459" s="8">
        <v>46199</v>
      </c>
      <c r="G459" s="8">
        <v>46206</v>
      </c>
      <c r="H459" s="4">
        <v>1</v>
      </c>
      <c r="I459" s="8">
        <v>46206</v>
      </c>
      <c r="J459">
        <v>648</v>
      </c>
      <c r="K459">
        <v>650</v>
      </c>
      <c r="L459" t="s">
        <v>59</v>
      </c>
      <c r="M459" t="s">
        <v>749</v>
      </c>
      <c r="N459" s="8">
        <v>46197</v>
      </c>
      <c r="P459" t="s">
        <v>638</v>
      </c>
      <c r="Q459" t="s">
        <v>178</v>
      </c>
      <c r="R459" t="s">
        <v>55</v>
      </c>
      <c r="S459" s="8">
        <v>46197</v>
      </c>
      <c r="T459" s="8">
        <v>46197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 x14ac:dyDescent="0.25">
      <c r="A460">
        <v>650</v>
      </c>
      <c r="B460" t="s">
        <v>871</v>
      </c>
      <c r="C460" t="s">
        <v>869</v>
      </c>
      <c r="D460" t="s">
        <v>102</v>
      </c>
      <c r="E460" t="s">
        <v>53</v>
      </c>
      <c r="F460" s="8">
        <v>46209</v>
      </c>
      <c r="G460" s="8">
        <v>46209</v>
      </c>
      <c r="H460" s="4">
        <v>0</v>
      </c>
      <c r="J460">
        <v>649</v>
      </c>
      <c r="K460">
        <v>651</v>
      </c>
      <c r="L460" t="s">
        <v>35</v>
      </c>
      <c r="M460" t="s">
        <v>497</v>
      </c>
      <c r="N460" s="8">
        <v>46198</v>
      </c>
      <c r="P460" t="s">
        <v>638</v>
      </c>
      <c r="Q460" t="s">
        <v>178</v>
      </c>
      <c r="R460" t="s">
        <v>55</v>
      </c>
      <c r="S460" s="8">
        <v>46198</v>
      </c>
      <c r="T460" s="8">
        <v>46198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</row>
    <row r="461" spans="1:33" x14ac:dyDescent="0.25">
      <c r="A461">
        <v>651</v>
      </c>
      <c r="B461" t="s">
        <v>872</v>
      </c>
      <c r="C461" t="s">
        <v>869</v>
      </c>
      <c r="D461" t="s">
        <v>108</v>
      </c>
      <c r="E461" t="s">
        <v>53</v>
      </c>
      <c r="F461" s="8">
        <v>46210</v>
      </c>
      <c r="G461" s="8">
        <v>46210</v>
      </c>
      <c r="H461" s="4">
        <v>0</v>
      </c>
      <c r="J461">
        <v>650</v>
      </c>
      <c r="L461" t="s">
        <v>35</v>
      </c>
      <c r="M461" t="s">
        <v>396</v>
      </c>
      <c r="N461" s="8">
        <v>46199</v>
      </c>
      <c r="P461" t="s">
        <v>638</v>
      </c>
      <c r="Q461" t="s">
        <v>178</v>
      </c>
      <c r="R461" t="s">
        <v>55</v>
      </c>
      <c r="S461" s="8">
        <v>46199</v>
      </c>
      <c r="T461" s="8">
        <v>46199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</row>
    <row r="462" spans="1:33" x14ac:dyDescent="0.25">
      <c r="A462">
        <v>652</v>
      </c>
      <c r="B462" t="s">
        <v>873</v>
      </c>
      <c r="C462" t="s">
        <v>640</v>
      </c>
      <c r="D462" t="s">
        <v>874</v>
      </c>
      <c r="E462" t="s">
        <v>753</v>
      </c>
      <c r="F462" s="8">
        <v>46190</v>
      </c>
      <c r="G462" s="8">
        <v>46210</v>
      </c>
      <c r="H462" s="4">
        <v>0.87</v>
      </c>
      <c r="L462" t="s">
        <v>35</v>
      </c>
      <c r="M462" t="s">
        <v>324</v>
      </c>
      <c r="N462" s="8">
        <v>46210</v>
      </c>
      <c r="P462" t="s">
        <v>638</v>
      </c>
      <c r="Q462" t="s">
        <v>133</v>
      </c>
      <c r="R462" t="s">
        <v>55</v>
      </c>
      <c r="S462" s="8">
        <v>46191</v>
      </c>
      <c r="T462" s="8">
        <v>46210</v>
      </c>
      <c r="U462" t="s">
        <v>289</v>
      </c>
      <c r="V462">
        <v>0.87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 spans="1:33" x14ac:dyDescent="0.25">
      <c r="A463">
        <v>653</v>
      </c>
      <c r="B463" t="s">
        <v>875</v>
      </c>
      <c r="C463" t="s">
        <v>876</v>
      </c>
      <c r="D463" t="s">
        <v>94</v>
      </c>
      <c r="E463" t="s">
        <v>729</v>
      </c>
      <c r="F463" s="8">
        <v>46190</v>
      </c>
      <c r="G463" s="8">
        <v>46198</v>
      </c>
      <c r="H463" s="4">
        <v>1</v>
      </c>
      <c r="I463" s="8">
        <v>46198</v>
      </c>
      <c r="J463" t="s">
        <v>764</v>
      </c>
      <c r="K463">
        <v>654</v>
      </c>
      <c r="L463" t="s">
        <v>59</v>
      </c>
      <c r="M463" t="s">
        <v>265</v>
      </c>
      <c r="N463" s="8">
        <v>46196</v>
      </c>
      <c r="P463" t="s">
        <v>638</v>
      </c>
      <c r="Q463" t="s">
        <v>133</v>
      </c>
      <c r="R463" t="s">
        <v>55</v>
      </c>
      <c r="S463" s="8">
        <v>46188</v>
      </c>
      <c r="T463" s="8">
        <v>46196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</row>
    <row r="464" spans="1:33" x14ac:dyDescent="0.25">
      <c r="A464">
        <v>654</v>
      </c>
      <c r="B464" t="s">
        <v>877</v>
      </c>
      <c r="C464" t="s">
        <v>876</v>
      </c>
      <c r="D464" t="s">
        <v>98</v>
      </c>
      <c r="E464" t="s">
        <v>103</v>
      </c>
      <c r="F464" s="8">
        <v>46199</v>
      </c>
      <c r="G464" s="8">
        <v>46206</v>
      </c>
      <c r="H464" s="4">
        <v>1</v>
      </c>
      <c r="I464" s="8">
        <v>46206</v>
      </c>
      <c r="J464">
        <v>653</v>
      </c>
      <c r="K464">
        <v>655</v>
      </c>
      <c r="L464" t="s">
        <v>59</v>
      </c>
      <c r="M464" t="s">
        <v>749</v>
      </c>
      <c r="N464" s="8">
        <v>46197</v>
      </c>
      <c r="P464" t="s">
        <v>638</v>
      </c>
      <c r="Q464" t="s">
        <v>178</v>
      </c>
      <c r="R464" t="s">
        <v>55</v>
      </c>
      <c r="S464" s="8">
        <v>46197</v>
      </c>
      <c r="T464" s="8">
        <v>46197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</row>
    <row r="465" spans="1:33" x14ac:dyDescent="0.25">
      <c r="A465">
        <v>655</v>
      </c>
      <c r="B465" t="s">
        <v>878</v>
      </c>
      <c r="C465" t="s">
        <v>876</v>
      </c>
      <c r="D465" t="s">
        <v>102</v>
      </c>
      <c r="E465" t="s">
        <v>53</v>
      </c>
      <c r="F465" s="8">
        <v>46209</v>
      </c>
      <c r="G465" s="8">
        <v>46209</v>
      </c>
      <c r="H465" s="4">
        <v>0</v>
      </c>
      <c r="J465">
        <v>654</v>
      </c>
      <c r="K465">
        <v>656</v>
      </c>
      <c r="L465" t="s">
        <v>35</v>
      </c>
      <c r="M465" t="s">
        <v>497</v>
      </c>
      <c r="N465" s="8">
        <v>46198</v>
      </c>
      <c r="P465" t="s">
        <v>638</v>
      </c>
      <c r="Q465" t="s">
        <v>178</v>
      </c>
      <c r="R465" t="s">
        <v>55</v>
      </c>
      <c r="S465" s="8">
        <v>46198</v>
      </c>
      <c r="T465" s="8">
        <v>46198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</row>
    <row r="466" spans="1:33" x14ac:dyDescent="0.25">
      <c r="A466">
        <v>656</v>
      </c>
      <c r="B466" t="s">
        <v>879</v>
      </c>
      <c r="C466" t="s">
        <v>876</v>
      </c>
      <c r="D466" t="s">
        <v>108</v>
      </c>
      <c r="E466" t="s">
        <v>53</v>
      </c>
      <c r="F466" s="8">
        <v>46210</v>
      </c>
      <c r="G466" s="8">
        <v>46210</v>
      </c>
      <c r="H466" s="4">
        <v>0</v>
      </c>
      <c r="J466">
        <v>655</v>
      </c>
      <c r="L466" t="s">
        <v>35</v>
      </c>
      <c r="M466" t="s">
        <v>396</v>
      </c>
      <c r="N466" s="8">
        <v>46199</v>
      </c>
      <c r="P466" t="s">
        <v>638</v>
      </c>
      <c r="Q466" t="s">
        <v>178</v>
      </c>
      <c r="R466" t="s">
        <v>55</v>
      </c>
      <c r="S466" s="8">
        <v>46199</v>
      </c>
      <c r="T466" s="8">
        <v>46199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</row>
    <row r="467" spans="1:33" x14ac:dyDescent="0.25">
      <c r="A467">
        <v>657</v>
      </c>
      <c r="B467" t="s">
        <v>880</v>
      </c>
      <c r="C467" t="s">
        <v>640</v>
      </c>
      <c r="D467" t="s">
        <v>881</v>
      </c>
      <c r="E467" t="s">
        <v>753</v>
      </c>
      <c r="F467" s="8">
        <v>46190</v>
      </c>
      <c r="G467" s="8">
        <v>46210</v>
      </c>
      <c r="H467" s="4">
        <v>0.87</v>
      </c>
      <c r="L467" t="s">
        <v>35</v>
      </c>
      <c r="M467" t="s">
        <v>324</v>
      </c>
      <c r="N467" s="8">
        <v>46210</v>
      </c>
      <c r="P467" t="s">
        <v>638</v>
      </c>
      <c r="Q467" t="s">
        <v>133</v>
      </c>
      <c r="R467" t="s">
        <v>55</v>
      </c>
      <c r="S467" s="8">
        <v>46191</v>
      </c>
      <c r="T467" s="8">
        <v>46210</v>
      </c>
      <c r="U467" t="s">
        <v>289</v>
      </c>
      <c r="V467">
        <v>0.87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 x14ac:dyDescent="0.25">
      <c r="A468">
        <v>658</v>
      </c>
      <c r="B468" t="s">
        <v>882</v>
      </c>
      <c r="C468" t="s">
        <v>883</v>
      </c>
      <c r="D468" t="s">
        <v>94</v>
      </c>
      <c r="E468" t="s">
        <v>729</v>
      </c>
      <c r="F468" s="8">
        <v>46190</v>
      </c>
      <c r="G468" s="8">
        <v>46198</v>
      </c>
      <c r="H468" s="4">
        <v>1</v>
      </c>
      <c r="I468" s="8">
        <v>46198</v>
      </c>
      <c r="J468" t="s">
        <v>764</v>
      </c>
      <c r="K468">
        <v>659</v>
      </c>
      <c r="L468" t="s">
        <v>59</v>
      </c>
      <c r="M468" t="s">
        <v>265</v>
      </c>
      <c r="N468" s="8">
        <v>46196</v>
      </c>
      <c r="P468" t="s">
        <v>638</v>
      </c>
      <c r="Q468" t="s">
        <v>133</v>
      </c>
      <c r="R468" t="s">
        <v>55</v>
      </c>
      <c r="S468" s="8">
        <v>46188</v>
      </c>
      <c r="T468" s="8">
        <v>46196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</row>
    <row r="469" spans="1:33" x14ac:dyDescent="0.25">
      <c r="A469">
        <v>659</v>
      </c>
      <c r="B469" t="s">
        <v>884</v>
      </c>
      <c r="C469" t="s">
        <v>883</v>
      </c>
      <c r="D469" t="s">
        <v>98</v>
      </c>
      <c r="E469" t="s">
        <v>103</v>
      </c>
      <c r="F469" s="8">
        <v>46199</v>
      </c>
      <c r="G469" s="8">
        <v>46206</v>
      </c>
      <c r="H469" s="4">
        <v>1</v>
      </c>
      <c r="I469" s="8">
        <v>46206</v>
      </c>
      <c r="J469">
        <v>658</v>
      </c>
      <c r="K469">
        <v>660</v>
      </c>
      <c r="L469" t="s">
        <v>59</v>
      </c>
      <c r="M469" t="s">
        <v>749</v>
      </c>
      <c r="N469" s="8">
        <v>46197</v>
      </c>
      <c r="P469" t="s">
        <v>638</v>
      </c>
      <c r="Q469" t="s">
        <v>178</v>
      </c>
      <c r="R469" t="s">
        <v>55</v>
      </c>
      <c r="S469" s="8">
        <v>46197</v>
      </c>
      <c r="T469" s="8">
        <v>46197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5">
      <c r="A470">
        <v>660</v>
      </c>
      <c r="B470" t="s">
        <v>885</v>
      </c>
      <c r="C470" t="s">
        <v>883</v>
      </c>
      <c r="D470" t="s">
        <v>102</v>
      </c>
      <c r="E470" t="s">
        <v>53</v>
      </c>
      <c r="F470" s="8">
        <v>46209</v>
      </c>
      <c r="G470" s="8">
        <v>46209</v>
      </c>
      <c r="H470" s="4">
        <v>0</v>
      </c>
      <c r="J470">
        <v>659</v>
      </c>
      <c r="K470">
        <v>661</v>
      </c>
      <c r="L470" t="s">
        <v>35</v>
      </c>
      <c r="M470" t="s">
        <v>497</v>
      </c>
      <c r="N470" s="8">
        <v>46198</v>
      </c>
      <c r="P470" t="s">
        <v>638</v>
      </c>
      <c r="Q470" t="s">
        <v>178</v>
      </c>
      <c r="R470" t="s">
        <v>55</v>
      </c>
      <c r="S470" s="8">
        <v>46198</v>
      </c>
      <c r="T470" s="8">
        <v>46198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</row>
    <row r="471" spans="1:33" x14ac:dyDescent="0.25">
      <c r="A471">
        <v>661</v>
      </c>
      <c r="B471" t="s">
        <v>886</v>
      </c>
      <c r="C471" t="s">
        <v>883</v>
      </c>
      <c r="D471" t="s">
        <v>108</v>
      </c>
      <c r="E471" t="s">
        <v>53</v>
      </c>
      <c r="F471" s="8">
        <v>46210</v>
      </c>
      <c r="G471" s="8">
        <v>46210</v>
      </c>
      <c r="H471" s="4">
        <v>0</v>
      </c>
      <c r="J471">
        <v>660</v>
      </c>
      <c r="L471" t="s">
        <v>35</v>
      </c>
      <c r="M471" t="s">
        <v>396</v>
      </c>
      <c r="N471" s="8">
        <v>46199</v>
      </c>
      <c r="P471" t="s">
        <v>638</v>
      </c>
      <c r="Q471" t="s">
        <v>178</v>
      </c>
      <c r="R471" t="s">
        <v>55</v>
      </c>
      <c r="S471" s="8">
        <v>46199</v>
      </c>
      <c r="T471" s="8">
        <v>46199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</row>
    <row r="472" spans="1:33" x14ac:dyDescent="0.25">
      <c r="A472">
        <v>662</v>
      </c>
      <c r="B472" t="s">
        <v>887</v>
      </c>
      <c r="C472" t="s">
        <v>640</v>
      </c>
      <c r="D472" t="s">
        <v>888</v>
      </c>
      <c r="E472" t="s">
        <v>753</v>
      </c>
      <c r="F472" s="8">
        <v>46190</v>
      </c>
      <c r="G472" s="8">
        <v>46210</v>
      </c>
      <c r="H472" s="4">
        <v>0.87</v>
      </c>
      <c r="L472" t="s">
        <v>35</v>
      </c>
      <c r="M472" t="s">
        <v>324</v>
      </c>
      <c r="N472" s="8">
        <v>46210</v>
      </c>
      <c r="P472" t="s">
        <v>638</v>
      </c>
      <c r="Q472" t="s">
        <v>133</v>
      </c>
      <c r="R472" t="s">
        <v>55</v>
      </c>
      <c r="S472" s="8">
        <v>46191</v>
      </c>
      <c r="T472" s="8">
        <v>46210</v>
      </c>
      <c r="U472" t="s">
        <v>289</v>
      </c>
      <c r="V472">
        <v>0.87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5">
      <c r="A473">
        <v>663</v>
      </c>
      <c r="B473" t="s">
        <v>889</v>
      </c>
      <c r="C473" t="s">
        <v>890</v>
      </c>
      <c r="D473" t="s">
        <v>94</v>
      </c>
      <c r="E473" t="s">
        <v>729</v>
      </c>
      <c r="F473" s="8">
        <v>46190</v>
      </c>
      <c r="G473" s="8">
        <v>46198</v>
      </c>
      <c r="H473" s="4">
        <v>1</v>
      </c>
      <c r="I473" s="8">
        <v>46198</v>
      </c>
      <c r="J473" t="s">
        <v>764</v>
      </c>
      <c r="K473">
        <v>664</v>
      </c>
      <c r="L473" t="s">
        <v>59</v>
      </c>
      <c r="M473" t="s">
        <v>265</v>
      </c>
      <c r="N473" s="8">
        <v>46196</v>
      </c>
      <c r="P473" t="s">
        <v>638</v>
      </c>
      <c r="Q473" t="s">
        <v>133</v>
      </c>
      <c r="R473" t="s">
        <v>55</v>
      </c>
      <c r="S473" s="8">
        <v>46188</v>
      </c>
      <c r="T473" s="8">
        <v>46196</v>
      </c>
      <c r="V473">
        <v>1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</row>
    <row r="474" spans="1:33" x14ac:dyDescent="0.25">
      <c r="A474">
        <v>664</v>
      </c>
      <c r="B474" t="s">
        <v>891</v>
      </c>
      <c r="C474" t="s">
        <v>890</v>
      </c>
      <c r="D474" t="s">
        <v>98</v>
      </c>
      <c r="E474" t="s">
        <v>103</v>
      </c>
      <c r="F474" s="8">
        <v>46199</v>
      </c>
      <c r="G474" s="8">
        <v>46206</v>
      </c>
      <c r="H474" s="4">
        <v>1</v>
      </c>
      <c r="I474" s="8">
        <v>46206</v>
      </c>
      <c r="J474">
        <v>663</v>
      </c>
      <c r="K474">
        <v>665</v>
      </c>
      <c r="L474" t="s">
        <v>59</v>
      </c>
      <c r="M474" t="s">
        <v>749</v>
      </c>
      <c r="N474" s="8">
        <v>46197</v>
      </c>
      <c r="P474" t="s">
        <v>638</v>
      </c>
      <c r="Q474" t="s">
        <v>178</v>
      </c>
      <c r="R474" t="s">
        <v>55</v>
      </c>
      <c r="S474" s="8">
        <v>46197</v>
      </c>
      <c r="T474" s="8">
        <v>46197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 x14ac:dyDescent="0.25">
      <c r="A475">
        <v>665</v>
      </c>
      <c r="B475" t="s">
        <v>892</v>
      </c>
      <c r="C475" t="s">
        <v>890</v>
      </c>
      <c r="D475" t="s">
        <v>102</v>
      </c>
      <c r="E475" t="s">
        <v>53</v>
      </c>
      <c r="F475" s="8">
        <v>46209</v>
      </c>
      <c r="G475" s="8">
        <v>46209</v>
      </c>
      <c r="H475" s="4">
        <v>0</v>
      </c>
      <c r="J475">
        <v>664</v>
      </c>
      <c r="K475">
        <v>666</v>
      </c>
      <c r="L475" t="s">
        <v>35</v>
      </c>
      <c r="M475" t="s">
        <v>497</v>
      </c>
      <c r="N475" s="8">
        <v>46198</v>
      </c>
      <c r="P475" t="s">
        <v>638</v>
      </c>
      <c r="Q475" t="s">
        <v>178</v>
      </c>
      <c r="R475" t="s">
        <v>55</v>
      </c>
      <c r="S475" s="8">
        <v>46198</v>
      </c>
      <c r="T475" s="8">
        <v>46198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</row>
    <row r="476" spans="1:33" x14ac:dyDescent="0.25">
      <c r="A476">
        <v>666</v>
      </c>
      <c r="B476" t="s">
        <v>893</v>
      </c>
      <c r="C476" t="s">
        <v>890</v>
      </c>
      <c r="D476" t="s">
        <v>108</v>
      </c>
      <c r="E476" t="s">
        <v>53</v>
      </c>
      <c r="F476" s="8">
        <v>46210</v>
      </c>
      <c r="G476" s="8">
        <v>46210</v>
      </c>
      <c r="H476" s="4">
        <v>0</v>
      </c>
      <c r="J476">
        <v>665</v>
      </c>
      <c r="L476" t="s">
        <v>35</v>
      </c>
      <c r="M476" t="s">
        <v>396</v>
      </c>
      <c r="N476" s="8">
        <v>46199</v>
      </c>
      <c r="P476" t="s">
        <v>638</v>
      </c>
      <c r="Q476" t="s">
        <v>178</v>
      </c>
      <c r="R476" t="s">
        <v>55</v>
      </c>
      <c r="S476" s="8">
        <v>46199</v>
      </c>
      <c r="T476" s="8">
        <v>46199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</row>
    <row r="477" spans="1:33" x14ac:dyDescent="0.25">
      <c r="A477">
        <v>667</v>
      </c>
      <c r="B477" t="s">
        <v>894</v>
      </c>
      <c r="C477" t="s">
        <v>640</v>
      </c>
      <c r="D477" t="s">
        <v>895</v>
      </c>
      <c r="E477" t="s">
        <v>753</v>
      </c>
      <c r="F477" s="8">
        <v>46190</v>
      </c>
      <c r="G477" s="8">
        <v>46210</v>
      </c>
      <c r="H477" s="4">
        <v>0.87</v>
      </c>
      <c r="L477" t="s">
        <v>35</v>
      </c>
      <c r="M477" t="s">
        <v>324</v>
      </c>
      <c r="N477" s="8">
        <v>46210</v>
      </c>
      <c r="P477" t="s">
        <v>638</v>
      </c>
      <c r="Q477" t="s">
        <v>133</v>
      </c>
      <c r="R477" t="s">
        <v>55</v>
      </c>
      <c r="S477" s="8">
        <v>46191</v>
      </c>
      <c r="T477" s="8">
        <v>46210</v>
      </c>
      <c r="U477" t="s">
        <v>289</v>
      </c>
      <c r="V477">
        <v>0.87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 x14ac:dyDescent="0.25">
      <c r="A478">
        <v>668</v>
      </c>
      <c r="B478" t="s">
        <v>896</v>
      </c>
      <c r="C478" t="s">
        <v>897</v>
      </c>
      <c r="D478" t="s">
        <v>94</v>
      </c>
      <c r="E478" t="s">
        <v>729</v>
      </c>
      <c r="F478" s="8">
        <v>46190</v>
      </c>
      <c r="G478" s="8">
        <v>46198</v>
      </c>
      <c r="H478" s="4">
        <v>1</v>
      </c>
      <c r="I478" s="8">
        <v>46198</v>
      </c>
      <c r="J478" t="s">
        <v>764</v>
      </c>
      <c r="K478">
        <v>669</v>
      </c>
      <c r="L478" t="s">
        <v>59</v>
      </c>
      <c r="M478" t="s">
        <v>265</v>
      </c>
      <c r="N478" s="8">
        <v>46196</v>
      </c>
      <c r="P478" t="s">
        <v>638</v>
      </c>
      <c r="Q478" t="s">
        <v>133</v>
      </c>
      <c r="R478" t="s">
        <v>55</v>
      </c>
      <c r="S478" s="8">
        <v>46188</v>
      </c>
      <c r="T478" s="8">
        <v>46196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</row>
    <row r="479" spans="1:33" x14ac:dyDescent="0.25">
      <c r="A479">
        <v>669</v>
      </c>
      <c r="B479" t="s">
        <v>898</v>
      </c>
      <c r="C479" t="s">
        <v>897</v>
      </c>
      <c r="D479" t="s">
        <v>98</v>
      </c>
      <c r="E479" t="s">
        <v>103</v>
      </c>
      <c r="F479" s="8">
        <v>46199</v>
      </c>
      <c r="G479" s="8">
        <v>46206</v>
      </c>
      <c r="H479" s="4">
        <v>1</v>
      </c>
      <c r="I479" s="8">
        <v>46206</v>
      </c>
      <c r="J479">
        <v>668</v>
      </c>
      <c r="K479">
        <v>670</v>
      </c>
      <c r="L479" t="s">
        <v>59</v>
      </c>
      <c r="M479" t="s">
        <v>749</v>
      </c>
      <c r="N479" s="8">
        <v>46197</v>
      </c>
      <c r="P479" t="s">
        <v>638</v>
      </c>
      <c r="Q479" t="s">
        <v>178</v>
      </c>
      <c r="R479" t="s">
        <v>55</v>
      </c>
      <c r="S479" s="8">
        <v>46197</v>
      </c>
      <c r="T479" s="8">
        <v>46197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</row>
    <row r="480" spans="1:33" x14ac:dyDescent="0.25">
      <c r="A480">
        <v>670</v>
      </c>
      <c r="B480" t="s">
        <v>899</v>
      </c>
      <c r="C480" t="s">
        <v>897</v>
      </c>
      <c r="D480" t="s">
        <v>102</v>
      </c>
      <c r="E480" t="s">
        <v>53</v>
      </c>
      <c r="F480" s="8">
        <v>46209</v>
      </c>
      <c r="G480" s="8">
        <v>46209</v>
      </c>
      <c r="H480" s="4">
        <v>0</v>
      </c>
      <c r="J480">
        <v>669</v>
      </c>
      <c r="K480">
        <v>671</v>
      </c>
      <c r="L480" t="s">
        <v>35</v>
      </c>
      <c r="M480" t="s">
        <v>497</v>
      </c>
      <c r="N480" s="8">
        <v>46198</v>
      </c>
      <c r="P480" t="s">
        <v>638</v>
      </c>
      <c r="Q480" t="s">
        <v>178</v>
      </c>
      <c r="R480" t="s">
        <v>55</v>
      </c>
      <c r="S480" s="8">
        <v>46198</v>
      </c>
      <c r="T480" s="8">
        <v>46198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</row>
    <row r="481" spans="1:33" x14ac:dyDescent="0.25">
      <c r="A481">
        <v>671</v>
      </c>
      <c r="B481" t="s">
        <v>900</v>
      </c>
      <c r="C481" t="s">
        <v>897</v>
      </c>
      <c r="D481" t="s">
        <v>108</v>
      </c>
      <c r="E481" t="s">
        <v>53</v>
      </c>
      <c r="F481" s="8">
        <v>46210</v>
      </c>
      <c r="G481" s="8">
        <v>46210</v>
      </c>
      <c r="H481" s="4">
        <v>0</v>
      </c>
      <c r="J481">
        <v>670</v>
      </c>
      <c r="L481" t="s">
        <v>35</v>
      </c>
      <c r="M481" t="s">
        <v>396</v>
      </c>
      <c r="N481" s="8">
        <v>46199</v>
      </c>
      <c r="P481" t="s">
        <v>638</v>
      </c>
      <c r="Q481" t="s">
        <v>178</v>
      </c>
      <c r="R481" t="s">
        <v>55</v>
      </c>
      <c r="S481" s="8">
        <v>46199</v>
      </c>
      <c r="T481" s="8">
        <v>46199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</row>
    <row r="482" spans="1:33" x14ac:dyDescent="0.25">
      <c r="A482">
        <v>672</v>
      </c>
      <c r="B482" t="s">
        <v>901</v>
      </c>
      <c r="C482" t="s">
        <v>640</v>
      </c>
      <c r="D482" t="s">
        <v>902</v>
      </c>
      <c r="E482" t="s">
        <v>753</v>
      </c>
      <c r="F482" s="8">
        <v>46190</v>
      </c>
      <c r="G482" s="8">
        <v>46210</v>
      </c>
      <c r="H482" s="4">
        <v>0.87</v>
      </c>
      <c r="L482" t="s">
        <v>35</v>
      </c>
      <c r="M482" t="s">
        <v>324</v>
      </c>
      <c r="N482" s="8">
        <v>46210</v>
      </c>
      <c r="P482" t="s">
        <v>638</v>
      </c>
      <c r="Q482" t="s">
        <v>133</v>
      </c>
      <c r="R482" t="s">
        <v>55</v>
      </c>
      <c r="S482" s="8">
        <v>46191</v>
      </c>
      <c r="T482" s="8">
        <v>46210</v>
      </c>
      <c r="U482" t="s">
        <v>289</v>
      </c>
      <c r="V482">
        <v>0.87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5">
      <c r="A483">
        <v>673</v>
      </c>
      <c r="B483" t="s">
        <v>903</v>
      </c>
      <c r="C483" t="s">
        <v>904</v>
      </c>
      <c r="D483" t="s">
        <v>94</v>
      </c>
      <c r="E483" t="s">
        <v>729</v>
      </c>
      <c r="F483" s="8">
        <v>46190</v>
      </c>
      <c r="G483" s="8">
        <v>46198</v>
      </c>
      <c r="H483" s="4">
        <v>1</v>
      </c>
      <c r="I483" s="8">
        <v>46198</v>
      </c>
      <c r="J483" t="s">
        <v>764</v>
      </c>
      <c r="K483">
        <v>674</v>
      </c>
      <c r="L483" t="s">
        <v>59</v>
      </c>
      <c r="M483" t="s">
        <v>265</v>
      </c>
      <c r="N483" s="8">
        <v>46196</v>
      </c>
      <c r="P483" t="s">
        <v>638</v>
      </c>
      <c r="Q483" t="s">
        <v>133</v>
      </c>
      <c r="R483" t="s">
        <v>55</v>
      </c>
      <c r="S483" s="8">
        <v>46188</v>
      </c>
      <c r="T483" s="8">
        <v>46196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</row>
    <row r="484" spans="1:33" x14ac:dyDescent="0.25">
      <c r="A484">
        <v>674</v>
      </c>
      <c r="B484" t="s">
        <v>905</v>
      </c>
      <c r="C484" t="s">
        <v>904</v>
      </c>
      <c r="D484" t="s">
        <v>98</v>
      </c>
      <c r="E484" t="s">
        <v>103</v>
      </c>
      <c r="F484" s="8">
        <v>46199</v>
      </c>
      <c r="G484" s="8">
        <v>46206</v>
      </c>
      <c r="H484" s="4">
        <v>1</v>
      </c>
      <c r="I484" s="8">
        <v>46206</v>
      </c>
      <c r="J484">
        <v>673</v>
      </c>
      <c r="K484">
        <v>675</v>
      </c>
      <c r="L484" t="s">
        <v>59</v>
      </c>
      <c r="M484" t="s">
        <v>749</v>
      </c>
      <c r="N484" s="8">
        <v>46197</v>
      </c>
      <c r="P484" t="s">
        <v>638</v>
      </c>
      <c r="Q484" t="s">
        <v>178</v>
      </c>
      <c r="R484" t="s">
        <v>55</v>
      </c>
      <c r="S484" s="8">
        <v>46197</v>
      </c>
      <c r="T484" s="8">
        <v>46197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 x14ac:dyDescent="0.25">
      <c r="A485">
        <v>675</v>
      </c>
      <c r="B485" t="s">
        <v>906</v>
      </c>
      <c r="C485" t="s">
        <v>904</v>
      </c>
      <c r="D485" t="s">
        <v>102</v>
      </c>
      <c r="E485" t="s">
        <v>53</v>
      </c>
      <c r="F485" s="8">
        <v>46209</v>
      </c>
      <c r="G485" s="8">
        <v>46209</v>
      </c>
      <c r="H485" s="4">
        <v>0</v>
      </c>
      <c r="J485">
        <v>674</v>
      </c>
      <c r="K485">
        <v>676</v>
      </c>
      <c r="L485" t="s">
        <v>35</v>
      </c>
      <c r="M485" t="s">
        <v>497</v>
      </c>
      <c r="N485" s="8">
        <v>46198</v>
      </c>
      <c r="P485" t="s">
        <v>638</v>
      </c>
      <c r="Q485" t="s">
        <v>178</v>
      </c>
      <c r="R485" t="s">
        <v>55</v>
      </c>
      <c r="S485" s="8">
        <v>46198</v>
      </c>
      <c r="T485" s="8">
        <v>46198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</row>
    <row r="486" spans="1:33" x14ac:dyDescent="0.25">
      <c r="A486">
        <v>676</v>
      </c>
      <c r="B486" t="s">
        <v>907</v>
      </c>
      <c r="C486" t="s">
        <v>904</v>
      </c>
      <c r="D486" t="s">
        <v>108</v>
      </c>
      <c r="E486" t="s">
        <v>53</v>
      </c>
      <c r="F486" s="8">
        <v>46210</v>
      </c>
      <c r="G486" s="8">
        <v>46210</v>
      </c>
      <c r="H486" s="4">
        <v>0</v>
      </c>
      <c r="J486">
        <v>675</v>
      </c>
      <c r="L486" t="s">
        <v>35</v>
      </c>
      <c r="M486" t="s">
        <v>396</v>
      </c>
      <c r="N486" s="8">
        <v>46199</v>
      </c>
      <c r="P486" t="s">
        <v>638</v>
      </c>
      <c r="Q486" t="s">
        <v>178</v>
      </c>
      <c r="R486" t="s">
        <v>55</v>
      </c>
      <c r="S486" s="8">
        <v>46199</v>
      </c>
      <c r="T486" s="8">
        <v>46199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</row>
    <row r="487" spans="1:33" x14ac:dyDescent="0.25">
      <c r="A487">
        <v>677</v>
      </c>
      <c r="B487" t="s">
        <v>908</v>
      </c>
      <c r="C487" t="s">
        <v>640</v>
      </c>
      <c r="D487" t="s">
        <v>909</v>
      </c>
      <c r="E487" t="s">
        <v>753</v>
      </c>
      <c r="F487" s="8">
        <v>46190</v>
      </c>
      <c r="G487" s="8">
        <v>46210</v>
      </c>
      <c r="H487" s="4">
        <v>0.87</v>
      </c>
      <c r="L487" t="s">
        <v>35</v>
      </c>
      <c r="M487" t="s">
        <v>324</v>
      </c>
      <c r="N487" s="8">
        <v>46210</v>
      </c>
      <c r="P487" t="s">
        <v>638</v>
      </c>
      <c r="Q487" t="s">
        <v>133</v>
      </c>
      <c r="R487" t="s">
        <v>55</v>
      </c>
      <c r="S487" s="8">
        <v>46191</v>
      </c>
      <c r="T487" s="8">
        <v>46210</v>
      </c>
      <c r="U487" t="s">
        <v>289</v>
      </c>
      <c r="V487">
        <v>0.87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 x14ac:dyDescent="0.25">
      <c r="A488">
        <v>678</v>
      </c>
      <c r="B488" t="s">
        <v>910</v>
      </c>
      <c r="C488" t="s">
        <v>911</v>
      </c>
      <c r="D488" t="s">
        <v>94</v>
      </c>
      <c r="E488" t="s">
        <v>729</v>
      </c>
      <c r="F488" s="8">
        <v>46190</v>
      </c>
      <c r="G488" s="8">
        <v>46198</v>
      </c>
      <c r="H488" s="4">
        <v>1</v>
      </c>
      <c r="I488" s="8">
        <v>46198</v>
      </c>
      <c r="J488" t="s">
        <v>764</v>
      </c>
      <c r="K488">
        <v>679</v>
      </c>
      <c r="L488" t="s">
        <v>59</v>
      </c>
      <c r="M488" t="s">
        <v>912</v>
      </c>
      <c r="N488" s="8">
        <v>46202</v>
      </c>
      <c r="P488" t="s">
        <v>638</v>
      </c>
      <c r="Q488" t="s">
        <v>133</v>
      </c>
      <c r="R488" t="s">
        <v>55</v>
      </c>
      <c r="S488" s="8">
        <v>46192</v>
      </c>
      <c r="T488" s="8">
        <v>46202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</row>
    <row r="489" spans="1:33" x14ac:dyDescent="0.25">
      <c r="A489">
        <v>679</v>
      </c>
      <c r="B489" t="s">
        <v>913</v>
      </c>
      <c r="C489" t="s">
        <v>911</v>
      </c>
      <c r="D489" t="s">
        <v>98</v>
      </c>
      <c r="E489" t="s">
        <v>103</v>
      </c>
      <c r="F489" s="8">
        <v>46199</v>
      </c>
      <c r="G489" s="8">
        <v>46206</v>
      </c>
      <c r="H489" s="4">
        <v>1</v>
      </c>
      <c r="I489" s="8">
        <v>46206</v>
      </c>
      <c r="J489">
        <v>678</v>
      </c>
      <c r="K489">
        <v>680</v>
      </c>
      <c r="L489" t="s">
        <v>59</v>
      </c>
      <c r="M489" t="s">
        <v>749</v>
      </c>
      <c r="N489" s="8">
        <v>46203</v>
      </c>
      <c r="P489" t="s">
        <v>638</v>
      </c>
      <c r="Q489" t="s">
        <v>178</v>
      </c>
      <c r="R489" t="s">
        <v>55</v>
      </c>
      <c r="S489" s="8">
        <v>46197</v>
      </c>
      <c r="T489" s="8">
        <v>46203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5">
      <c r="A490">
        <v>680</v>
      </c>
      <c r="B490" t="s">
        <v>914</v>
      </c>
      <c r="C490" t="s">
        <v>911</v>
      </c>
      <c r="D490" t="s">
        <v>102</v>
      </c>
      <c r="E490" t="s">
        <v>53</v>
      </c>
      <c r="F490" s="8">
        <v>46209</v>
      </c>
      <c r="G490" s="8">
        <v>46209</v>
      </c>
      <c r="H490" s="4">
        <v>0</v>
      </c>
      <c r="J490">
        <v>679</v>
      </c>
      <c r="K490">
        <v>681</v>
      </c>
      <c r="L490" t="s">
        <v>35</v>
      </c>
      <c r="M490" t="s">
        <v>500</v>
      </c>
      <c r="N490" s="8">
        <v>46204</v>
      </c>
      <c r="P490" t="s">
        <v>638</v>
      </c>
      <c r="Q490" t="s">
        <v>178</v>
      </c>
      <c r="R490" t="s">
        <v>55</v>
      </c>
      <c r="S490" s="8">
        <v>46203</v>
      </c>
      <c r="T490" s="8">
        <v>46204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</row>
    <row r="491" spans="1:33" x14ac:dyDescent="0.25">
      <c r="A491">
        <v>681</v>
      </c>
      <c r="B491" t="s">
        <v>915</v>
      </c>
      <c r="C491" t="s">
        <v>911</v>
      </c>
      <c r="D491" t="s">
        <v>108</v>
      </c>
      <c r="E491" t="s">
        <v>53</v>
      </c>
      <c r="F491" s="8">
        <v>46210</v>
      </c>
      <c r="G491" s="8">
        <v>46210</v>
      </c>
      <c r="H491" s="4">
        <v>0</v>
      </c>
      <c r="J491">
        <v>680</v>
      </c>
      <c r="L491" t="s">
        <v>35</v>
      </c>
      <c r="M491" t="s">
        <v>400</v>
      </c>
      <c r="N491" s="8">
        <v>46205</v>
      </c>
      <c r="P491" t="s">
        <v>638</v>
      </c>
      <c r="Q491" t="s">
        <v>178</v>
      </c>
      <c r="R491" t="s">
        <v>55</v>
      </c>
      <c r="S491" s="8">
        <v>46204</v>
      </c>
      <c r="T491" s="8">
        <v>46205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</row>
    <row r="492" spans="1:33" x14ac:dyDescent="0.25">
      <c r="A492">
        <v>682</v>
      </c>
      <c r="B492" t="s">
        <v>916</v>
      </c>
      <c r="C492" t="s">
        <v>640</v>
      </c>
      <c r="D492" t="s">
        <v>917</v>
      </c>
      <c r="E492" t="s">
        <v>753</v>
      </c>
      <c r="F492" s="8">
        <v>46190</v>
      </c>
      <c r="G492" s="8">
        <v>46210</v>
      </c>
      <c r="H492" s="4">
        <v>0.87</v>
      </c>
      <c r="L492" t="s">
        <v>35</v>
      </c>
      <c r="M492" t="s">
        <v>324</v>
      </c>
      <c r="N492" s="8">
        <v>46210</v>
      </c>
      <c r="P492" t="s">
        <v>638</v>
      </c>
      <c r="Q492" t="s">
        <v>133</v>
      </c>
      <c r="R492" t="s">
        <v>55</v>
      </c>
      <c r="S492" s="8">
        <v>46191</v>
      </c>
      <c r="T492" s="8">
        <v>46210</v>
      </c>
      <c r="U492" t="s">
        <v>289</v>
      </c>
      <c r="V492">
        <v>0.87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5">
      <c r="A493">
        <v>683</v>
      </c>
      <c r="B493" t="s">
        <v>918</v>
      </c>
      <c r="C493" t="s">
        <v>919</v>
      </c>
      <c r="D493" t="s">
        <v>94</v>
      </c>
      <c r="E493" t="s">
        <v>729</v>
      </c>
      <c r="F493" s="8">
        <v>46190</v>
      </c>
      <c r="G493" s="8">
        <v>46198</v>
      </c>
      <c r="H493" s="4">
        <v>1</v>
      </c>
      <c r="I493" s="8">
        <v>46198</v>
      </c>
      <c r="J493" t="s">
        <v>764</v>
      </c>
      <c r="K493">
        <v>684</v>
      </c>
      <c r="L493" t="s">
        <v>59</v>
      </c>
      <c r="M493" t="s">
        <v>912</v>
      </c>
      <c r="N493" s="8">
        <v>46202</v>
      </c>
      <c r="P493" t="s">
        <v>638</v>
      </c>
      <c r="Q493" t="s">
        <v>133</v>
      </c>
      <c r="R493" t="s">
        <v>55</v>
      </c>
      <c r="S493" s="8">
        <v>46192</v>
      </c>
      <c r="T493" s="8">
        <v>46202</v>
      </c>
      <c r="V493">
        <v>1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</row>
    <row r="494" spans="1:33" x14ac:dyDescent="0.25">
      <c r="A494">
        <v>684</v>
      </c>
      <c r="B494" t="s">
        <v>920</v>
      </c>
      <c r="C494" t="s">
        <v>919</v>
      </c>
      <c r="D494" t="s">
        <v>98</v>
      </c>
      <c r="E494" t="s">
        <v>103</v>
      </c>
      <c r="F494" s="8">
        <v>46199</v>
      </c>
      <c r="G494" s="8">
        <v>46206</v>
      </c>
      <c r="H494" s="4">
        <v>1</v>
      </c>
      <c r="I494" s="8">
        <v>46206</v>
      </c>
      <c r="J494">
        <v>683</v>
      </c>
      <c r="K494">
        <v>685</v>
      </c>
      <c r="L494" t="s">
        <v>59</v>
      </c>
      <c r="M494" t="s">
        <v>749</v>
      </c>
      <c r="N494" s="8">
        <v>46203</v>
      </c>
      <c r="P494" t="s">
        <v>638</v>
      </c>
      <c r="Q494" t="s">
        <v>178</v>
      </c>
      <c r="R494" t="s">
        <v>55</v>
      </c>
      <c r="S494" s="8">
        <v>46197</v>
      </c>
      <c r="T494" s="8">
        <v>46203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 x14ac:dyDescent="0.25">
      <c r="A495">
        <v>685</v>
      </c>
      <c r="B495" t="s">
        <v>921</v>
      </c>
      <c r="C495" t="s">
        <v>919</v>
      </c>
      <c r="D495" t="s">
        <v>102</v>
      </c>
      <c r="E495" t="s">
        <v>53</v>
      </c>
      <c r="F495" s="8">
        <v>46209</v>
      </c>
      <c r="G495" s="8">
        <v>46209</v>
      </c>
      <c r="H495" s="4">
        <v>0</v>
      </c>
      <c r="J495">
        <v>684</v>
      </c>
      <c r="K495">
        <v>686</v>
      </c>
      <c r="L495" t="s">
        <v>35</v>
      </c>
      <c r="M495" t="s">
        <v>500</v>
      </c>
      <c r="N495" s="8">
        <v>46204</v>
      </c>
      <c r="P495" t="s">
        <v>638</v>
      </c>
      <c r="Q495" t="s">
        <v>178</v>
      </c>
      <c r="R495" t="s">
        <v>55</v>
      </c>
      <c r="S495" s="8">
        <v>46203</v>
      </c>
      <c r="T495" s="8">
        <v>46204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</row>
    <row r="496" spans="1:33" x14ac:dyDescent="0.25">
      <c r="A496">
        <v>686</v>
      </c>
      <c r="B496" t="s">
        <v>922</v>
      </c>
      <c r="C496" t="s">
        <v>919</v>
      </c>
      <c r="D496" t="s">
        <v>108</v>
      </c>
      <c r="E496" t="s">
        <v>53</v>
      </c>
      <c r="F496" s="8">
        <v>46210</v>
      </c>
      <c r="G496" s="8">
        <v>46210</v>
      </c>
      <c r="H496" s="4">
        <v>0</v>
      </c>
      <c r="J496">
        <v>685</v>
      </c>
      <c r="L496" t="s">
        <v>35</v>
      </c>
      <c r="M496" t="s">
        <v>400</v>
      </c>
      <c r="N496" s="8">
        <v>46205</v>
      </c>
      <c r="P496" t="s">
        <v>638</v>
      </c>
      <c r="Q496" t="s">
        <v>178</v>
      </c>
      <c r="R496" t="s">
        <v>55</v>
      </c>
      <c r="S496" s="8">
        <v>46204</v>
      </c>
      <c r="T496" s="8">
        <v>46205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</row>
    <row r="497" spans="1:33" x14ac:dyDescent="0.25">
      <c r="A497">
        <v>687</v>
      </c>
      <c r="B497" t="s">
        <v>923</v>
      </c>
      <c r="C497" t="s">
        <v>640</v>
      </c>
      <c r="D497" t="s">
        <v>924</v>
      </c>
      <c r="E497" t="s">
        <v>753</v>
      </c>
      <c r="F497" s="8">
        <v>46190</v>
      </c>
      <c r="G497" s="8">
        <v>46210</v>
      </c>
      <c r="H497" s="4">
        <v>0.8</v>
      </c>
      <c r="L497" t="s">
        <v>35</v>
      </c>
      <c r="M497" t="s">
        <v>324</v>
      </c>
      <c r="N497" s="8">
        <v>46210</v>
      </c>
      <c r="P497" t="s">
        <v>638</v>
      </c>
      <c r="Q497" t="s">
        <v>133</v>
      </c>
      <c r="R497" t="s">
        <v>55</v>
      </c>
      <c r="S497" s="8">
        <v>46191</v>
      </c>
      <c r="T497" s="8">
        <v>46210</v>
      </c>
      <c r="U497" t="s">
        <v>289</v>
      </c>
      <c r="V497">
        <v>0.8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5">
      <c r="A498">
        <v>688</v>
      </c>
      <c r="B498" t="s">
        <v>925</v>
      </c>
      <c r="C498" t="s">
        <v>926</v>
      </c>
      <c r="D498" t="s">
        <v>94</v>
      </c>
      <c r="E498" t="s">
        <v>729</v>
      </c>
      <c r="F498" s="8">
        <v>46190</v>
      </c>
      <c r="G498" s="8">
        <v>46198</v>
      </c>
      <c r="H498" s="4">
        <v>1</v>
      </c>
      <c r="I498" s="8">
        <v>46198</v>
      </c>
      <c r="J498" t="s">
        <v>764</v>
      </c>
      <c r="K498">
        <v>689</v>
      </c>
      <c r="L498" t="s">
        <v>59</v>
      </c>
      <c r="M498" t="s">
        <v>912</v>
      </c>
      <c r="N498" s="8">
        <v>46202</v>
      </c>
      <c r="P498" t="s">
        <v>638</v>
      </c>
      <c r="Q498" t="s">
        <v>133</v>
      </c>
      <c r="R498" t="s">
        <v>55</v>
      </c>
      <c r="S498" s="8">
        <v>46192</v>
      </c>
      <c r="T498" s="8">
        <v>46202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</row>
    <row r="499" spans="1:33" x14ac:dyDescent="0.25">
      <c r="A499">
        <v>689</v>
      </c>
      <c r="B499" t="s">
        <v>927</v>
      </c>
      <c r="C499" t="s">
        <v>926</v>
      </c>
      <c r="D499" t="s">
        <v>98</v>
      </c>
      <c r="E499" t="s">
        <v>53</v>
      </c>
      <c r="F499" s="8">
        <v>46199</v>
      </c>
      <c r="G499" s="8">
        <v>46199</v>
      </c>
      <c r="H499" s="4">
        <v>1</v>
      </c>
      <c r="I499" s="8">
        <v>46199</v>
      </c>
      <c r="J499">
        <v>688</v>
      </c>
      <c r="K499">
        <v>690</v>
      </c>
      <c r="L499" t="s">
        <v>59</v>
      </c>
      <c r="M499" t="s">
        <v>749</v>
      </c>
      <c r="N499" s="8">
        <v>46203</v>
      </c>
      <c r="P499" t="s">
        <v>638</v>
      </c>
      <c r="Q499" t="s">
        <v>178</v>
      </c>
      <c r="R499" t="s">
        <v>55</v>
      </c>
      <c r="S499" s="8">
        <v>46197</v>
      </c>
      <c r="T499" s="8">
        <v>46203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 x14ac:dyDescent="0.25">
      <c r="A500">
        <v>690</v>
      </c>
      <c r="B500" t="s">
        <v>928</v>
      </c>
      <c r="C500" t="s">
        <v>926</v>
      </c>
      <c r="D500" t="s">
        <v>102</v>
      </c>
      <c r="E500" t="s">
        <v>53</v>
      </c>
      <c r="F500" s="8">
        <v>46209</v>
      </c>
      <c r="G500" s="8">
        <v>46209</v>
      </c>
      <c r="H500" s="4">
        <v>0</v>
      </c>
      <c r="J500">
        <v>689</v>
      </c>
      <c r="K500">
        <v>691</v>
      </c>
      <c r="L500" t="s">
        <v>35</v>
      </c>
      <c r="M500" t="s">
        <v>500</v>
      </c>
      <c r="N500" s="8">
        <v>46204</v>
      </c>
      <c r="P500" t="s">
        <v>638</v>
      </c>
      <c r="Q500" t="s">
        <v>178</v>
      </c>
      <c r="R500" t="s">
        <v>55</v>
      </c>
      <c r="S500" s="8">
        <v>46203</v>
      </c>
      <c r="T500" s="8">
        <v>46204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</row>
    <row r="501" spans="1:33" x14ac:dyDescent="0.25">
      <c r="A501">
        <v>691</v>
      </c>
      <c r="B501" t="s">
        <v>929</v>
      </c>
      <c r="C501" t="s">
        <v>926</v>
      </c>
      <c r="D501" t="s">
        <v>108</v>
      </c>
      <c r="E501" t="s">
        <v>53</v>
      </c>
      <c r="F501" s="8">
        <v>46210</v>
      </c>
      <c r="G501" s="8">
        <v>46210</v>
      </c>
      <c r="H501" s="4">
        <v>0</v>
      </c>
      <c r="J501">
        <v>690</v>
      </c>
      <c r="L501" t="s">
        <v>35</v>
      </c>
      <c r="M501" t="s">
        <v>400</v>
      </c>
      <c r="N501" s="8">
        <v>46205</v>
      </c>
      <c r="P501" t="s">
        <v>638</v>
      </c>
      <c r="Q501" t="s">
        <v>178</v>
      </c>
      <c r="R501" t="s">
        <v>55</v>
      </c>
      <c r="S501" s="8">
        <v>46204</v>
      </c>
      <c r="T501" s="8">
        <v>46205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</row>
    <row r="502" spans="1:33" x14ac:dyDescent="0.25">
      <c r="A502">
        <v>692</v>
      </c>
      <c r="B502" t="s">
        <v>930</v>
      </c>
      <c r="C502" t="s">
        <v>640</v>
      </c>
      <c r="D502" t="s">
        <v>931</v>
      </c>
      <c r="E502" t="s">
        <v>642</v>
      </c>
      <c r="F502" s="8">
        <v>46206</v>
      </c>
      <c r="G502" s="8">
        <v>46220</v>
      </c>
      <c r="H502" s="4">
        <v>0.28000000000000003</v>
      </c>
      <c r="L502" t="s">
        <v>35</v>
      </c>
      <c r="M502" t="s">
        <v>396</v>
      </c>
      <c r="N502" s="8">
        <v>46209</v>
      </c>
      <c r="P502" t="s">
        <v>638</v>
      </c>
      <c r="Q502" t="s">
        <v>133</v>
      </c>
      <c r="R502" t="s">
        <v>55</v>
      </c>
      <c r="S502" s="8">
        <v>46199</v>
      </c>
      <c r="T502" s="8">
        <v>46209</v>
      </c>
      <c r="U502" t="s">
        <v>289</v>
      </c>
      <c r="V502">
        <v>0.28000000000000003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25">
      <c r="A503">
        <v>693</v>
      </c>
      <c r="B503" t="s">
        <v>932</v>
      </c>
      <c r="C503" t="s">
        <v>933</v>
      </c>
      <c r="D503" t="s">
        <v>94</v>
      </c>
      <c r="E503" t="s">
        <v>590</v>
      </c>
      <c r="F503" s="8">
        <v>46206</v>
      </c>
      <c r="G503" s="8">
        <v>46216</v>
      </c>
      <c r="H503" s="4">
        <v>0.5</v>
      </c>
      <c r="J503" t="s">
        <v>934</v>
      </c>
      <c r="K503" t="s">
        <v>935</v>
      </c>
      <c r="L503" t="s">
        <v>35</v>
      </c>
      <c r="M503" t="s">
        <v>396</v>
      </c>
      <c r="N503" s="8">
        <v>46203</v>
      </c>
      <c r="P503" t="s">
        <v>638</v>
      </c>
      <c r="Q503" t="s">
        <v>133</v>
      </c>
      <c r="R503" t="s">
        <v>55</v>
      </c>
      <c r="S503" s="8">
        <v>46199</v>
      </c>
      <c r="T503" s="8">
        <v>46203</v>
      </c>
      <c r="V503">
        <v>0.5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5">
      <c r="A504">
        <v>694</v>
      </c>
      <c r="B504" t="s">
        <v>936</v>
      </c>
      <c r="C504" t="s">
        <v>933</v>
      </c>
      <c r="D504" t="s">
        <v>98</v>
      </c>
      <c r="E504" t="s">
        <v>53</v>
      </c>
      <c r="F504" s="8">
        <v>46217</v>
      </c>
      <c r="G504" s="8">
        <v>46217</v>
      </c>
      <c r="H504" s="4">
        <v>0</v>
      </c>
      <c r="J504">
        <v>693</v>
      </c>
      <c r="K504">
        <v>695</v>
      </c>
      <c r="L504" t="s">
        <v>180</v>
      </c>
      <c r="M504" t="s">
        <v>400</v>
      </c>
      <c r="N504" s="8">
        <v>46204</v>
      </c>
      <c r="P504" t="s">
        <v>638</v>
      </c>
      <c r="Q504" t="s">
        <v>178</v>
      </c>
      <c r="R504" t="s">
        <v>55</v>
      </c>
      <c r="S504" s="8">
        <v>46204</v>
      </c>
      <c r="T504" s="8">
        <v>46204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25">
      <c r="A505">
        <v>695</v>
      </c>
      <c r="B505" t="s">
        <v>937</v>
      </c>
      <c r="C505" t="s">
        <v>933</v>
      </c>
      <c r="D505" t="s">
        <v>102</v>
      </c>
      <c r="E505" t="s">
        <v>121</v>
      </c>
      <c r="F505" s="8">
        <v>46218</v>
      </c>
      <c r="G505" s="8">
        <v>46219</v>
      </c>
      <c r="H505" s="4">
        <v>0</v>
      </c>
      <c r="J505">
        <v>694</v>
      </c>
      <c r="K505">
        <v>696</v>
      </c>
      <c r="L505" t="s">
        <v>183</v>
      </c>
      <c r="M505" t="s">
        <v>293</v>
      </c>
      <c r="N505" s="8">
        <v>46206</v>
      </c>
      <c r="P505" t="s">
        <v>638</v>
      </c>
      <c r="Q505" t="s">
        <v>178</v>
      </c>
      <c r="R505" t="s">
        <v>55</v>
      </c>
      <c r="S505" s="8">
        <v>46205</v>
      </c>
      <c r="T505" s="8">
        <v>46206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5">
      <c r="A506">
        <v>696</v>
      </c>
      <c r="B506" t="s">
        <v>938</v>
      </c>
      <c r="C506" t="s">
        <v>933</v>
      </c>
      <c r="D506" t="s">
        <v>108</v>
      </c>
      <c r="E506" t="s">
        <v>53</v>
      </c>
      <c r="F506" s="8">
        <v>46220</v>
      </c>
      <c r="G506" s="8">
        <v>46220</v>
      </c>
      <c r="H506" s="4">
        <v>0</v>
      </c>
      <c r="J506">
        <v>695</v>
      </c>
      <c r="L506" t="s">
        <v>183</v>
      </c>
      <c r="M506" t="s">
        <v>194</v>
      </c>
      <c r="N506" s="8">
        <v>46209</v>
      </c>
      <c r="P506" t="s">
        <v>638</v>
      </c>
      <c r="Q506" t="s">
        <v>146</v>
      </c>
      <c r="R506" t="s">
        <v>55</v>
      </c>
      <c r="S506" s="8">
        <v>46209</v>
      </c>
      <c r="T506" s="8">
        <v>46209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25">
      <c r="A507">
        <v>697</v>
      </c>
      <c r="B507" t="s">
        <v>939</v>
      </c>
      <c r="C507" t="s">
        <v>640</v>
      </c>
      <c r="D507" t="s">
        <v>940</v>
      </c>
      <c r="E507" t="s">
        <v>171</v>
      </c>
      <c r="F507" s="8">
        <v>46205</v>
      </c>
      <c r="G507" s="8">
        <v>46218</v>
      </c>
      <c r="H507" s="4">
        <v>0.5</v>
      </c>
      <c r="L507" t="s">
        <v>35</v>
      </c>
      <c r="M507" t="s">
        <v>396</v>
      </c>
      <c r="N507" s="8">
        <v>46209</v>
      </c>
      <c r="P507" t="s">
        <v>638</v>
      </c>
      <c r="Q507" t="s">
        <v>133</v>
      </c>
      <c r="R507" t="s">
        <v>55</v>
      </c>
      <c r="S507" s="8">
        <v>46199</v>
      </c>
      <c r="T507" s="8">
        <v>46209</v>
      </c>
      <c r="U507" t="s">
        <v>289</v>
      </c>
      <c r="V507">
        <v>0.5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 x14ac:dyDescent="0.25">
      <c r="A508">
        <v>698</v>
      </c>
      <c r="B508" t="s">
        <v>941</v>
      </c>
      <c r="C508" t="s">
        <v>942</v>
      </c>
      <c r="D508" t="s">
        <v>94</v>
      </c>
      <c r="E508" t="s">
        <v>175</v>
      </c>
      <c r="F508" s="8">
        <v>46205</v>
      </c>
      <c r="G508" s="8">
        <v>46210</v>
      </c>
      <c r="H508" s="4">
        <v>1</v>
      </c>
      <c r="I508" s="8">
        <v>46210</v>
      </c>
      <c r="J508" t="s">
        <v>934</v>
      </c>
      <c r="K508" t="s">
        <v>943</v>
      </c>
      <c r="L508" t="s">
        <v>59</v>
      </c>
      <c r="M508" t="s">
        <v>396</v>
      </c>
      <c r="N508" s="8">
        <v>46203</v>
      </c>
      <c r="P508" t="s">
        <v>638</v>
      </c>
      <c r="Q508" t="s">
        <v>133</v>
      </c>
      <c r="R508" t="s">
        <v>55</v>
      </c>
      <c r="S508" s="8">
        <v>46199</v>
      </c>
      <c r="T508" s="8">
        <v>46203</v>
      </c>
      <c r="V508">
        <v>1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</row>
    <row r="509" spans="1:33" x14ac:dyDescent="0.25">
      <c r="A509">
        <v>699</v>
      </c>
      <c r="B509" t="s">
        <v>944</v>
      </c>
      <c r="C509" t="s">
        <v>942</v>
      </c>
      <c r="D509" t="s">
        <v>98</v>
      </c>
      <c r="E509" t="s">
        <v>53</v>
      </c>
      <c r="F509" s="8">
        <v>46211</v>
      </c>
      <c r="G509" s="8">
        <v>46211</v>
      </c>
      <c r="H509" s="4">
        <v>0</v>
      </c>
      <c r="J509">
        <v>698</v>
      </c>
      <c r="K509">
        <v>700</v>
      </c>
      <c r="L509" t="s">
        <v>35</v>
      </c>
      <c r="M509" t="s">
        <v>400</v>
      </c>
      <c r="N509" s="8">
        <v>46204</v>
      </c>
      <c r="P509" t="s">
        <v>638</v>
      </c>
      <c r="Q509" t="s">
        <v>178</v>
      </c>
      <c r="R509" t="s">
        <v>55</v>
      </c>
      <c r="S509" s="8">
        <v>46204</v>
      </c>
      <c r="T509" s="8">
        <v>46204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5">
      <c r="A510">
        <v>700</v>
      </c>
      <c r="B510" t="s">
        <v>945</v>
      </c>
      <c r="C510" t="s">
        <v>942</v>
      </c>
      <c r="D510" t="s">
        <v>102</v>
      </c>
      <c r="E510" t="s">
        <v>121</v>
      </c>
      <c r="F510" s="8">
        <v>46216</v>
      </c>
      <c r="G510" s="8">
        <v>46217</v>
      </c>
      <c r="H510" s="4">
        <v>0</v>
      </c>
      <c r="J510">
        <v>699</v>
      </c>
      <c r="K510">
        <v>701</v>
      </c>
      <c r="L510" t="s">
        <v>35</v>
      </c>
      <c r="M510" t="s">
        <v>293</v>
      </c>
      <c r="N510" s="8">
        <v>46206</v>
      </c>
      <c r="P510" t="s">
        <v>638</v>
      </c>
      <c r="Q510" t="s">
        <v>178</v>
      </c>
      <c r="R510" t="s">
        <v>55</v>
      </c>
      <c r="S510" s="8">
        <v>46205</v>
      </c>
      <c r="T510" s="8">
        <v>46206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</row>
    <row r="511" spans="1:33" x14ac:dyDescent="0.25">
      <c r="A511">
        <v>701</v>
      </c>
      <c r="B511" t="s">
        <v>946</v>
      </c>
      <c r="C511" t="s">
        <v>942</v>
      </c>
      <c r="D511" t="s">
        <v>108</v>
      </c>
      <c r="E511" t="s">
        <v>53</v>
      </c>
      <c r="F511" s="8">
        <v>46218</v>
      </c>
      <c r="G511" s="8">
        <v>46218</v>
      </c>
      <c r="H511" s="4">
        <v>0</v>
      </c>
      <c r="J511">
        <v>700</v>
      </c>
      <c r="L511" t="s">
        <v>183</v>
      </c>
      <c r="M511" t="s">
        <v>194</v>
      </c>
      <c r="N511" s="8">
        <v>46209</v>
      </c>
      <c r="P511" t="s">
        <v>638</v>
      </c>
      <c r="Q511" t="s">
        <v>146</v>
      </c>
      <c r="R511" t="s">
        <v>55</v>
      </c>
      <c r="S511" s="8">
        <v>46209</v>
      </c>
      <c r="T511" s="8">
        <v>46209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5">
      <c r="A512">
        <v>702</v>
      </c>
      <c r="B512" t="s">
        <v>947</v>
      </c>
      <c r="C512" t="s">
        <v>640</v>
      </c>
      <c r="D512" t="s">
        <v>948</v>
      </c>
      <c r="E512" t="s">
        <v>642</v>
      </c>
      <c r="F512" s="8">
        <v>46204</v>
      </c>
      <c r="G512" s="8">
        <v>46218</v>
      </c>
      <c r="H512" s="4">
        <v>0.56000000000000005</v>
      </c>
      <c r="L512" t="s">
        <v>35</v>
      </c>
      <c r="M512" t="s">
        <v>396</v>
      </c>
      <c r="N512" s="8">
        <v>46209</v>
      </c>
      <c r="P512" t="s">
        <v>638</v>
      </c>
      <c r="Q512" t="s">
        <v>133</v>
      </c>
      <c r="R512" t="s">
        <v>55</v>
      </c>
      <c r="S512" s="8">
        <v>46199</v>
      </c>
      <c r="T512" s="8">
        <v>46209</v>
      </c>
      <c r="V512">
        <v>0.56000000000000005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 x14ac:dyDescent="0.25">
      <c r="A513">
        <v>703</v>
      </c>
      <c r="B513" t="s">
        <v>949</v>
      </c>
      <c r="C513" t="s">
        <v>950</v>
      </c>
      <c r="D513" t="s">
        <v>94</v>
      </c>
      <c r="E513" t="s">
        <v>590</v>
      </c>
      <c r="F513" s="8">
        <v>46204</v>
      </c>
      <c r="G513" s="8">
        <v>46210</v>
      </c>
      <c r="H513" s="4">
        <v>1</v>
      </c>
      <c r="I513" s="8">
        <v>46210</v>
      </c>
      <c r="J513" t="s">
        <v>934</v>
      </c>
      <c r="K513" t="s">
        <v>951</v>
      </c>
      <c r="L513" t="s">
        <v>59</v>
      </c>
      <c r="M513" t="s">
        <v>396</v>
      </c>
      <c r="N513" s="8">
        <v>46203</v>
      </c>
      <c r="P513" t="s">
        <v>638</v>
      </c>
      <c r="Q513" t="s">
        <v>133</v>
      </c>
      <c r="R513" t="s">
        <v>55</v>
      </c>
      <c r="S513" s="8">
        <v>46199</v>
      </c>
      <c r="T513" s="8">
        <v>46203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</row>
    <row r="514" spans="1:33" x14ac:dyDescent="0.25">
      <c r="A514">
        <v>704</v>
      </c>
      <c r="B514" t="s">
        <v>952</v>
      </c>
      <c r="C514" t="s">
        <v>950</v>
      </c>
      <c r="D514" t="s">
        <v>98</v>
      </c>
      <c r="E514" t="s">
        <v>53</v>
      </c>
      <c r="F514" s="8">
        <v>46211</v>
      </c>
      <c r="G514" s="8">
        <v>46211</v>
      </c>
      <c r="H514" s="4">
        <v>0</v>
      </c>
      <c r="J514">
        <v>703</v>
      </c>
      <c r="K514">
        <v>705</v>
      </c>
      <c r="L514" t="s">
        <v>35</v>
      </c>
      <c r="M514" t="s">
        <v>400</v>
      </c>
      <c r="N514" s="8">
        <v>46204</v>
      </c>
      <c r="P514" t="s">
        <v>638</v>
      </c>
      <c r="Q514" t="s">
        <v>178</v>
      </c>
      <c r="R514" t="s">
        <v>55</v>
      </c>
      <c r="S514" s="8">
        <v>46204</v>
      </c>
      <c r="T514" s="8">
        <v>46204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3" x14ac:dyDescent="0.25">
      <c r="A515">
        <v>705</v>
      </c>
      <c r="B515" t="s">
        <v>953</v>
      </c>
      <c r="C515" t="s">
        <v>950</v>
      </c>
      <c r="D515" t="s">
        <v>102</v>
      </c>
      <c r="E515" t="s">
        <v>121</v>
      </c>
      <c r="F515" s="8">
        <v>46216</v>
      </c>
      <c r="G515" s="8">
        <v>46217</v>
      </c>
      <c r="H515" s="4">
        <v>0</v>
      </c>
      <c r="J515">
        <v>704</v>
      </c>
      <c r="K515">
        <v>706</v>
      </c>
      <c r="L515" t="s">
        <v>35</v>
      </c>
      <c r="M515" t="s">
        <v>293</v>
      </c>
      <c r="N515" s="8">
        <v>46206</v>
      </c>
      <c r="P515" t="s">
        <v>638</v>
      </c>
      <c r="Q515" t="s">
        <v>178</v>
      </c>
      <c r="R515" t="s">
        <v>55</v>
      </c>
      <c r="S515" s="8">
        <v>46205</v>
      </c>
      <c r="T515" s="8">
        <v>46206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</row>
    <row r="516" spans="1:33" x14ac:dyDescent="0.25">
      <c r="A516">
        <v>706</v>
      </c>
      <c r="B516" t="s">
        <v>954</v>
      </c>
      <c r="C516" t="s">
        <v>950</v>
      </c>
      <c r="D516" t="s">
        <v>108</v>
      </c>
      <c r="E516" t="s">
        <v>53</v>
      </c>
      <c r="F516" s="8">
        <v>46218</v>
      </c>
      <c r="G516" s="8">
        <v>46218</v>
      </c>
      <c r="H516" s="4">
        <v>0</v>
      </c>
      <c r="J516">
        <v>705</v>
      </c>
      <c r="L516" t="s">
        <v>183</v>
      </c>
      <c r="M516" t="s">
        <v>194</v>
      </c>
      <c r="N516" s="8">
        <v>46209</v>
      </c>
      <c r="P516" t="s">
        <v>638</v>
      </c>
      <c r="Q516" t="s">
        <v>178</v>
      </c>
      <c r="R516" t="s">
        <v>55</v>
      </c>
      <c r="S516" s="8">
        <v>46209</v>
      </c>
      <c r="T516" s="8">
        <v>46209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5">
      <c r="A517">
        <v>707</v>
      </c>
      <c r="B517" t="s">
        <v>955</v>
      </c>
      <c r="C517" t="s">
        <v>73</v>
      </c>
      <c r="D517" t="s">
        <v>956</v>
      </c>
      <c r="E517" t="s">
        <v>957</v>
      </c>
      <c r="F517" s="8">
        <v>46202</v>
      </c>
      <c r="G517" s="8">
        <v>46227</v>
      </c>
      <c r="H517" s="4">
        <v>0.04</v>
      </c>
      <c r="L517" t="s">
        <v>35</v>
      </c>
      <c r="M517" t="s">
        <v>188</v>
      </c>
      <c r="N517" s="8">
        <v>46211</v>
      </c>
      <c r="P517" t="s">
        <v>958</v>
      </c>
      <c r="Q517" t="s">
        <v>178</v>
      </c>
      <c r="R517" t="s">
        <v>55</v>
      </c>
      <c r="S517" s="8">
        <v>46195</v>
      </c>
      <c r="T517" s="8">
        <v>46211</v>
      </c>
      <c r="V517">
        <v>0.04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5">
      <c r="A518">
        <v>708</v>
      </c>
      <c r="B518" t="s">
        <v>959</v>
      </c>
      <c r="C518" t="s">
        <v>960</v>
      </c>
      <c r="D518" t="s">
        <v>961</v>
      </c>
      <c r="E518" t="s">
        <v>962</v>
      </c>
      <c r="F518" s="8">
        <v>46202</v>
      </c>
      <c r="G518" s="8">
        <v>46225</v>
      </c>
      <c r="H518" s="4">
        <v>0.06</v>
      </c>
      <c r="L518" t="s">
        <v>35</v>
      </c>
      <c r="M518" t="s">
        <v>188</v>
      </c>
      <c r="N518" s="8">
        <v>46210</v>
      </c>
      <c r="P518" t="s">
        <v>958</v>
      </c>
      <c r="Q518" t="s">
        <v>178</v>
      </c>
      <c r="R518" t="s">
        <v>55</v>
      </c>
      <c r="S518" s="8">
        <v>46195</v>
      </c>
      <c r="T518" s="8">
        <v>46210</v>
      </c>
      <c r="V518">
        <v>0.06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5">
      <c r="A519">
        <v>709</v>
      </c>
      <c r="B519" t="s">
        <v>963</v>
      </c>
      <c r="C519" t="s">
        <v>964</v>
      </c>
      <c r="D519" t="s">
        <v>94</v>
      </c>
      <c r="E519" t="s">
        <v>590</v>
      </c>
      <c r="F519" s="8">
        <v>46202</v>
      </c>
      <c r="G519" s="8">
        <v>46220</v>
      </c>
      <c r="H519" s="4">
        <v>0.1</v>
      </c>
      <c r="J519">
        <v>346</v>
      </c>
      <c r="K519" t="s">
        <v>965</v>
      </c>
      <c r="L519" t="s">
        <v>35</v>
      </c>
      <c r="M519" t="s">
        <v>188</v>
      </c>
      <c r="N519" s="8">
        <v>46204</v>
      </c>
      <c r="P519" t="s">
        <v>958</v>
      </c>
      <c r="Q519" t="s">
        <v>178</v>
      </c>
      <c r="R519" t="s">
        <v>55</v>
      </c>
      <c r="S519" s="8">
        <v>46195</v>
      </c>
      <c r="T519" s="8">
        <v>46204</v>
      </c>
      <c r="V519">
        <v>0.1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 x14ac:dyDescent="0.25">
      <c r="A520">
        <v>710</v>
      </c>
      <c r="B520" t="s">
        <v>966</v>
      </c>
      <c r="C520" t="s">
        <v>964</v>
      </c>
      <c r="D520" t="s">
        <v>98</v>
      </c>
      <c r="E520" t="s">
        <v>53</v>
      </c>
      <c r="F520" s="8">
        <v>46220</v>
      </c>
      <c r="G520" s="8">
        <v>46223</v>
      </c>
      <c r="H520" s="4">
        <v>0</v>
      </c>
      <c r="J520">
        <v>709</v>
      </c>
      <c r="K520">
        <v>711</v>
      </c>
      <c r="L520" t="s">
        <v>183</v>
      </c>
      <c r="M520" t="s">
        <v>293</v>
      </c>
      <c r="N520" s="8">
        <v>46205</v>
      </c>
      <c r="P520" t="s">
        <v>958</v>
      </c>
      <c r="Q520" t="s">
        <v>146</v>
      </c>
      <c r="R520" t="s">
        <v>55</v>
      </c>
      <c r="S520" s="8">
        <v>46205</v>
      </c>
      <c r="T520" s="8">
        <v>46205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5">
      <c r="A521">
        <v>711</v>
      </c>
      <c r="B521" t="s">
        <v>967</v>
      </c>
      <c r="C521" t="s">
        <v>964</v>
      </c>
      <c r="D521" t="s">
        <v>102</v>
      </c>
      <c r="E521" t="s">
        <v>53</v>
      </c>
      <c r="F521" s="8">
        <v>46223</v>
      </c>
      <c r="G521" s="8">
        <v>46224</v>
      </c>
      <c r="H521" s="4">
        <v>0</v>
      </c>
      <c r="J521">
        <v>710</v>
      </c>
      <c r="K521">
        <v>712</v>
      </c>
      <c r="L521" t="s">
        <v>183</v>
      </c>
      <c r="M521" t="s">
        <v>192</v>
      </c>
      <c r="N521" s="8">
        <v>46209</v>
      </c>
      <c r="P521" t="s">
        <v>958</v>
      </c>
      <c r="Q521" t="s">
        <v>146</v>
      </c>
      <c r="R521" t="s">
        <v>55</v>
      </c>
      <c r="S521" s="8">
        <v>46206</v>
      </c>
      <c r="T521" s="8">
        <v>46209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5">
      <c r="A522">
        <v>712</v>
      </c>
      <c r="B522" t="s">
        <v>968</v>
      </c>
      <c r="C522" t="s">
        <v>964</v>
      </c>
      <c r="D522" t="s">
        <v>108</v>
      </c>
      <c r="E522" t="s">
        <v>53</v>
      </c>
      <c r="F522" s="8">
        <v>46224</v>
      </c>
      <c r="G522" s="8">
        <v>46225</v>
      </c>
      <c r="H522" s="4">
        <v>0</v>
      </c>
      <c r="J522">
        <v>711</v>
      </c>
      <c r="L522" t="s">
        <v>183</v>
      </c>
      <c r="M522" t="s">
        <v>296</v>
      </c>
      <c r="N522" s="8">
        <v>46210</v>
      </c>
      <c r="P522" t="s">
        <v>958</v>
      </c>
      <c r="Q522" t="s">
        <v>146</v>
      </c>
      <c r="R522" t="s">
        <v>55</v>
      </c>
      <c r="S522" s="8">
        <v>46210</v>
      </c>
      <c r="T522" s="8">
        <v>46210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 x14ac:dyDescent="0.25">
      <c r="A523">
        <v>713</v>
      </c>
      <c r="B523" t="s">
        <v>969</v>
      </c>
      <c r="C523" t="s">
        <v>960</v>
      </c>
      <c r="D523" t="s">
        <v>970</v>
      </c>
      <c r="E523" t="s">
        <v>971</v>
      </c>
      <c r="F523" s="8">
        <v>46220</v>
      </c>
      <c r="G523" s="8">
        <v>46227</v>
      </c>
      <c r="H523" s="4">
        <v>0</v>
      </c>
      <c r="L523" t="s">
        <v>183</v>
      </c>
      <c r="M523" t="s">
        <v>293</v>
      </c>
      <c r="N523" s="8">
        <v>46211</v>
      </c>
      <c r="P523" t="s">
        <v>958</v>
      </c>
      <c r="Q523" t="s">
        <v>146</v>
      </c>
      <c r="R523" t="s">
        <v>55</v>
      </c>
      <c r="S523" s="8">
        <v>46205</v>
      </c>
      <c r="T523" s="8">
        <v>46211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714</v>
      </c>
      <c r="B524" t="s">
        <v>972</v>
      </c>
      <c r="C524" t="s">
        <v>973</v>
      </c>
      <c r="D524" t="s">
        <v>94</v>
      </c>
      <c r="E524" t="s">
        <v>53</v>
      </c>
      <c r="F524" s="8">
        <v>46220</v>
      </c>
      <c r="G524" s="8">
        <v>46223</v>
      </c>
      <c r="H524" s="4">
        <v>0</v>
      </c>
      <c r="J524">
        <v>709</v>
      </c>
      <c r="K524">
        <v>715</v>
      </c>
      <c r="L524" t="s">
        <v>183</v>
      </c>
      <c r="M524" t="s">
        <v>293</v>
      </c>
      <c r="N524" s="8">
        <v>46205</v>
      </c>
      <c r="P524" t="s">
        <v>958</v>
      </c>
      <c r="Q524" t="s">
        <v>146</v>
      </c>
      <c r="R524" t="s">
        <v>55</v>
      </c>
      <c r="S524" s="8">
        <v>46205</v>
      </c>
      <c r="T524" s="8">
        <v>46205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5">
      <c r="A525">
        <v>715</v>
      </c>
      <c r="B525" t="s">
        <v>974</v>
      </c>
      <c r="C525" t="s">
        <v>973</v>
      </c>
      <c r="D525" t="s">
        <v>98</v>
      </c>
      <c r="E525" t="s">
        <v>53</v>
      </c>
      <c r="F525" s="8">
        <v>46223</v>
      </c>
      <c r="G525" s="8">
        <v>46224</v>
      </c>
      <c r="H525" s="4">
        <v>0</v>
      </c>
      <c r="J525">
        <v>714</v>
      </c>
      <c r="K525">
        <v>716</v>
      </c>
      <c r="L525" t="s">
        <v>183</v>
      </c>
      <c r="M525" t="s">
        <v>192</v>
      </c>
      <c r="N525" s="8">
        <v>46206</v>
      </c>
      <c r="P525" t="s">
        <v>958</v>
      </c>
      <c r="Q525" t="s">
        <v>146</v>
      </c>
      <c r="R525" t="s">
        <v>55</v>
      </c>
      <c r="S525" s="8">
        <v>46206</v>
      </c>
      <c r="T525" s="8">
        <v>46206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5">
      <c r="A526">
        <v>716</v>
      </c>
      <c r="B526" t="s">
        <v>975</v>
      </c>
      <c r="C526" t="s">
        <v>973</v>
      </c>
      <c r="D526" t="s">
        <v>102</v>
      </c>
      <c r="E526" t="s">
        <v>121</v>
      </c>
      <c r="F526" s="8">
        <v>46224</v>
      </c>
      <c r="G526" s="8">
        <v>46226</v>
      </c>
      <c r="H526" s="4">
        <v>0</v>
      </c>
      <c r="J526">
        <v>715</v>
      </c>
      <c r="K526">
        <v>717</v>
      </c>
      <c r="L526" t="s">
        <v>183</v>
      </c>
      <c r="M526" t="s">
        <v>194</v>
      </c>
      <c r="N526" s="8">
        <v>46210</v>
      </c>
      <c r="P526" t="s">
        <v>958</v>
      </c>
      <c r="Q526" t="s">
        <v>146</v>
      </c>
      <c r="R526" t="s">
        <v>55</v>
      </c>
      <c r="S526" s="8">
        <v>46209</v>
      </c>
      <c r="T526" s="8">
        <v>46210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5">
      <c r="A527">
        <v>717</v>
      </c>
      <c r="B527" t="s">
        <v>976</v>
      </c>
      <c r="C527" t="s">
        <v>973</v>
      </c>
      <c r="D527" t="s">
        <v>108</v>
      </c>
      <c r="E527" t="s">
        <v>53</v>
      </c>
      <c r="F527" s="8">
        <v>46226</v>
      </c>
      <c r="G527" s="8">
        <v>46227</v>
      </c>
      <c r="H527" s="4">
        <v>0</v>
      </c>
      <c r="J527">
        <v>716</v>
      </c>
      <c r="L527" t="s">
        <v>183</v>
      </c>
      <c r="M527" t="s">
        <v>196</v>
      </c>
      <c r="N527" s="8">
        <v>46211</v>
      </c>
      <c r="P527" t="s">
        <v>958</v>
      </c>
      <c r="Q527" t="s">
        <v>150</v>
      </c>
      <c r="R527" t="s">
        <v>55</v>
      </c>
      <c r="S527" s="8">
        <v>46211</v>
      </c>
      <c r="T527" s="8">
        <v>46211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5">
      <c r="A528">
        <v>30</v>
      </c>
      <c r="B528" t="s">
        <v>977</v>
      </c>
      <c r="C528" t="s">
        <v>73</v>
      </c>
      <c r="D528" t="s">
        <v>978</v>
      </c>
      <c r="E528" t="s">
        <v>979</v>
      </c>
      <c r="F528" s="8">
        <v>46139</v>
      </c>
      <c r="G528" s="8">
        <v>46211</v>
      </c>
      <c r="H528" s="4">
        <v>0.16</v>
      </c>
      <c r="L528" t="s">
        <v>180</v>
      </c>
      <c r="M528" t="s">
        <v>36</v>
      </c>
      <c r="N528" s="8">
        <v>46211</v>
      </c>
      <c r="P528" t="s">
        <v>980</v>
      </c>
      <c r="Q528" t="s">
        <v>981</v>
      </c>
      <c r="R528" t="s">
        <v>55</v>
      </c>
      <c r="S528" s="8">
        <v>46139</v>
      </c>
      <c r="T528" s="8">
        <v>46211</v>
      </c>
      <c r="U528" t="s">
        <v>982</v>
      </c>
      <c r="V528">
        <v>0.16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31</v>
      </c>
      <c r="B529" t="s">
        <v>983</v>
      </c>
      <c r="C529" t="s">
        <v>984</v>
      </c>
      <c r="D529" t="s">
        <v>985</v>
      </c>
      <c r="E529" t="s">
        <v>729</v>
      </c>
      <c r="F529" s="8">
        <v>46170</v>
      </c>
      <c r="G529" s="8">
        <v>46178</v>
      </c>
      <c r="H529" s="4">
        <v>0</v>
      </c>
      <c r="L529" t="s">
        <v>180</v>
      </c>
      <c r="M529" t="s">
        <v>149</v>
      </c>
      <c r="N529" s="8">
        <v>46175</v>
      </c>
      <c r="P529" t="s">
        <v>980</v>
      </c>
      <c r="Q529" t="s">
        <v>981</v>
      </c>
      <c r="R529" t="s">
        <v>55</v>
      </c>
      <c r="S529" s="8">
        <v>46167</v>
      </c>
      <c r="T529" s="8">
        <v>46175</v>
      </c>
      <c r="U529" t="s">
        <v>982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 x14ac:dyDescent="0.25">
      <c r="A530">
        <v>36</v>
      </c>
      <c r="B530" t="s">
        <v>986</v>
      </c>
      <c r="C530" t="s">
        <v>984</v>
      </c>
      <c r="D530" t="s">
        <v>987</v>
      </c>
      <c r="E530" t="s">
        <v>729</v>
      </c>
      <c r="F530" s="8">
        <v>46189</v>
      </c>
      <c r="G530" s="8">
        <v>46197</v>
      </c>
      <c r="H530" s="4">
        <v>0</v>
      </c>
      <c r="L530" t="s">
        <v>183</v>
      </c>
      <c r="M530" t="s">
        <v>263</v>
      </c>
      <c r="N530" s="8">
        <v>46192</v>
      </c>
      <c r="P530" t="s">
        <v>980</v>
      </c>
      <c r="Q530" t="s">
        <v>981</v>
      </c>
      <c r="R530" t="s">
        <v>55</v>
      </c>
      <c r="S530" s="8">
        <v>46184</v>
      </c>
      <c r="T530" s="8">
        <v>46192</v>
      </c>
      <c r="U530" t="s">
        <v>982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5">
      <c r="A531">
        <v>41</v>
      </c>
      <c r="B531" t="s">
        <v>988</v>
      </c>
      <c r="C531" t="s">
        <v>984</v>
      </c>
      <c r="D531" t="s">
        <v>989</v>
      </c>
      <c r="E531" t="s">
        <v>175</v>
      </c>
      <c r="F531" s="8">
        <v>46205</v>
      </c>
      <c r="G531" s="8">
        <v>46211</v>
      </c>
      <c r="H531" s="4">
        <v>0</v>
      </c>
      <c r="L531" t="s">
        <v>183</v>
      </c>
      <c r="M531" t="s">
        <v>500</v>
      </c>
      <c r="N531" s="8">
        <v>46211</v>
      </c>
      <c r="P531" t="s">
        <v>980</v>
      </c>
      <c r="Q531" t="s">
        <v>981</v>
      </c>
      <c r="R531" t="s">
        <v>55</v>
      </c>
      <c r="S531" s="8">
        <v>46203</v>
      </c>
      <c r="T531" s="8">
        <v>46211</v>
      </c>
      <c r="U531" t="s">
        <v>982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5">
      <c r="A532">
        <v>46</v>
      </c>
      <c r="B532" t="s">
        <v>990</v>
      </c>
      <c r="C532" t="s">
        <v>984</v>
      </c>
      <c r="D532" t="s">
        <v>991</v>
      </c>
      <c r="E532" t="s">
        <v>992</v>
      </c>
      <c r="F532" s="8">
        <v>46139</v>
      </c>
      <c r="G532" s="8">
        <v>46189</v>
      </c>
      <c r="H532" s="4">
        <v>0.56999999999999995</v>
      </c>
      <c r="L532" t="s">
        <v>180</v>
      </c>
      <c r="M532" t="s">
        <v>36</v>
      </c>
      <c r="N532" s="8">
        <v>46189</v>
      </c>
      <c r="P532" t="s">
        <v>980</v>
      </c>
      <c r="Q532" t="s">
        <v>981</v>
      </c>
      <c r="R532" t="s">
        <v>55</v>
      </c>
      <c r="S532" s="8">
        <v>46139</v>
      </c>
      <c r="T532" s="8">
        <v>46189</v>
      </c>
      <c r="U532" t="s">
        <v>982</v>
      </c>
      <c r="V532">
        <v>0.56999999999999995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5">
      <c r="A533">
        <v>194</v>
      </c>
      <c r="B533" t="s">
        <v>993</v>
      </c>
      <c r="C533" t="s">
        <v>381</v>
      </c>
      <c r="D533" t="s">
        <v>994</v>
      </c>
      <c r="E533" t="s">
        <v>729</v>
      </c>
      <c r="F533" s="8">
        <v>46204</v>
      </c>
      <c r="G533" s="8">
        <v>46212</v>
      </c>
      <c r="H533" s="4">
        <v>0</v>
      </c>
      <c r="L533" t="s">
        <v>183</v>
      </c>
      <c r="M533" t="s">
        <v>500</v>
      </c>
      <c r="N533" s="8">
        <v>46211</v>
      </c>
      <c r="P533" t="s">
        <v>379</v>
      </c>
      <c r="Q533" t="s">
        <v>981</v>
      </c>
      <c r="R533" t="s">
        <v>39</v>
      </c>
      <c r="S533" s="8">
        <v>46203</v>
      </c>
      <c r="T533" s="8">
        <v>46211</v>
      </c>
      <c r="U533" t="s">
        <v>982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5">
      <c r="A534">
        <v>199</v>
      </c>
      <c r="B534" t="s">
        <v>995</v>
      </c>
      <c r="C534" t="s">
        <v>381</v>
      </c>
      <c r="D534" t="s">
        <v>996</v>
      </c>
      <c r="E534" t="s">
        <v>729</v>
      </c>
      <c r="F534" s="8">
        <v>46197</v>
      </c>
      <c r="G534" s="8">
        <v>46205</v>
      </c>
      <c r="H534" s="4">
        <v>0</v>
      </c>
      <c r="L534" t="s">
        <v>183</v>
      </c>
      <c r="M534" t="s">
        <v>392</v>
      </c>
      <c r="N534" s="8">
        <v>46204</v>
      </c>
      <c r="P534" t="s">
        <v>379</v>
      </c>
      <c r="Q534" t="s">
        <v>981</v>
      </c>
      <c r="R534" t="s">
        <v>39</v>
      </c>
      <c r="S534" s="8">
        <v>46196</v>
      </c>
      <c r="T534" s="8">
        <v>46204</v>
      </c>
      <c r="U534" t="s">
        <v>982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 x14ac:dyDescent="0.25">
      <c r="A535">
        <v>204</v>
      </c>
      <c r="B535" t="s">
        <v>997</v>
      </c>
      <c r="C535" t="s">
        <v>381</v>
      </c>
      <c r="D535" t="s">
        <v>998</v>
      </c>
      <c r="E535" t="s">
        <v>729</v>
      </c>
      <c r="F535" s="8">
        <v>46197</v>
      </c>
      <c r="G535" s="8">
        <v>46205</v>
      </c>
      <c r="H535" s="4">
        <v>0</v>
      </c>
      <c r="L535" t="s">
        <v>183</v>
      </c>
      <c r="M535" t="s">
        <v>392</v>
      </c>
      <c r="N535" s="8">
        <v>46204</v>
      </c>
      <c r="P535" t="s">
        <v>379</v>
      </c>
      <c r="Q535" t="s">
        <v>981</v>
      </c>
      <c r="R535" t="s">
        <v>55</v>
      </c>
      <c r="S535" s="8">
        <v>46196</v>
      </c>
      <c r="T535" s="8">
        <v>46204</v>
      </c>
      <c r="U535" t="s">
        <v>982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25">
      <c r="A536">
        <v>214</v>
      </c>
      <c r="B536" t="s">
        <v>999</v>
      </c>
      <c r="C536" t="s">
        <v>381</v>
      </c>
      <c r="D536" t="s">
        <v>1000</v>
      </c>
      <c r="E536" t="s">
        <v>729</v>
      </c>
      <c r="F536" s="8">
        <v>46192</v>
      </c>
      <c r="G536" s="8">
        <v>46202</v>
      </c>
      <c r="H536" s="4">
        <v>0</v>
      </c>
      <c r="L536" t="s">
        <v>183</v>
      </c>
      <c r="M536" t="s">
        <v>324</v>
      </c>
      <c r="N536" s="8">
        <v>46199</v>
      </c>
      <c r="P536" t="s">
        <v>379</v>
      </c>
      <c r="Q536" t="s">
        <v>981</v>
      </c>
      <c r="R536" t="s">
        <v>39</v>
      </c>
      <c r="S536" s="8">
        <v>46191</v>
      </c>
      <c r="T536" s="8">
        <v>46199</v>
      </c>
      <c r="U536" t="s">
        <v>982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5">
      <c r="A537">
        <v>224</v>
      </c>
      <c r="B537" t="s">
        <v>1001</v>
      </c>
      <c r="C537" t="s">
        <v>381</v>
      </c>
      <c r="D537" t="s">
        <v>1002</v>
      </c>
      <c r="E537" t="s">
        <v>103</v>
      </c>
      <c r="F537" s="8">
        <v>46176</v>
      </c>
      <c r="G537" s="8">
        <v>46183</v>
      </c>
      <c r="H537" s="4">
        <v>0</v>
      </c>
      <c r="L537" t="s">
        <v>183</v>
      </c>
      <c r="M537" t="s">
        <v>142</v>
      </c>
      <c r="N537" s="8">
        <v>46169</v>
      </c>
      <c r="P537" t="s">
        <v>379</v>
      </c>
      <c r="Q537" t="s">
        <v>981</v>
      </c>
      <c r="R537" t="s">
        <v>55</v>
      </c>
      <c r="S537" s="8">
        <v>46162</v>
      </c>
      <c r="T537" s="8">
        <v>46169</v>
      </c>
      <c r="U537" t="s">
        <v>982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x14ac:dyDescent="0.25">
      <c r="A538">
        <v>264</v>
      </c>
      <c r="B538" t="s">
        <v>443</v>
      </c>
      <c r="C538" t="s">
        <v>381</v>
      </c>
      <c r="D538" t="s">
        <v>1003</v>
      </c>
      <c r="E538" t="s">
        <v>1004</v>
      </c>
      <c r="F538" s="8">
        <v>46171</v>
      </c>
      <c r="G538" s="8">
        <v>46190</v>
      </c>
      <c r="H538" s="4">
        <v>0</v>
      </c>
      <c r="L538" t="s">
        <v>183</v>
      </c>
      <c r="M538" t="s">
        <v>172</v>
      </c>
      <c r="N538" s="8">
        <v>46189</v>
      </c>
      <c r="P538" t="s">
        <v>379</v>
      </c>
      <c r="Q538" t="s">
        <v>981</v>
      </c>
      <c r="R538" t="s">
        <v>55</v>
      </c>
      <c r="S538" s="8">
        <v>46170</v>
      </c>
      <c r="T538" s="8">
        <v>46189</v>
      </c>
      <c r="U538" t="s">
        <v>982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>
        <v>285</v>
      </c>
      <c r="B539" t="s">
        <v>1005</v>
      </c>
      <c r="C539" t="s">
        <v>486</v>
      </c>
      <c r="D539" t="s">
        <v>1006</v>
      </c>
      <c r="E539" t="s">
        <v>103</v>
      </c>
      <c r="F539" s="8">
        <v>46199</v>
      </c>
      <c r="G539" s="8">
        <v>46206</v>
      </c>
      <c r="H539" s="4">
        <v>0</v>
      </c>
      <c r="L539" t="s">
        <v>183</v>
      </c>
      <c r="M539" t="s">
        <v>396</v>
      </c>
      <c r="N539" s="8">
        <v>46206</v>
      </c>
      <c r="P539" t="s">
        <v>484</v>
      </c>
      <c r="Q539" t="s">
        <v>981</v>
      </c>
      <c r="R539" t="s">
        <v>55</v>
      </c>
      <c r="S539" s="8">
        <v>46199</v>
      </c>
      <c r="T539" s="8">
        <v>46206</v>
      </c>
      <c r="U539" t="s">
        <v>982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25">
      <c r="A540">
        <v>356</v>
      </c>
      <c r="B540" t="s">
        <v>1007</v>
      </c>
      <c r="C540" t="s">
        <v>600</v>
      </c>
      <c r="D540" t="s">
        <v>1008</v>
      </c>
      <c r="E540" t="s">
        <v>1009</v>
      </c>
      <c r="F540" s="8">
        <v>46188</v>
      </c>
      <c r="G540" s="8">
        <v>46202</v>
      </c>
      <c r="H540" s="4">
        <v>0</v>
      </c>
      <c r="L540" t="s">
        <v>183</v>
      </c>
      <c r="M540" t="s">
        <v>265</v>
      </c>
      <c r="N540" s="8">
        <v>46202</v>
      </c>
      <c r="P540" t="s">
        <v>598</v>
      </c>
      <c r="Q540" t="s">
        <v>981</v>
      </c>
      <c r="R540" t="s">
        <v>55</v>
      </c>
      <c r="S540" s="8">
        <v>46188</v>
      </c>
      <c r="T540" s="8">
        <v>46202</v>
      </c>
      <c r="U540" t="s">
        <v>982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25">
      <c r="A541">
        <v>366</v>
      </c>
      <c r="B541" t="s">
        <v>1010</v>
      </c>
      <c r="C541" t="s">
        <v>600</v>
      </c>
      <c r="D541" t="s">
        <v>1011</v>
      </c>
      <c r="E541" t="s">
        <v>729</v>
      </c>
      <c r="F541" s="8">
        <v>46195</v>
      </c>
      <c r="G541" s="8">
        <v>46203</v>
      </c>
      <c r="H541" s="4">
        <v>0</v>
      </c>
      <c r="L541" t="s">
        <v>183</v>
      </c>
      <c r="M541" t="s">
        <v>265</v>
      </c>
      <c r="N541" s="8">
        <v>46196</v>
      </c>
      <c r="P541" t="s">
        <v>598</v>
      </c>
      <c r="Q541" t="s">
        <v>981</v>
      </c>
      <c r="R541" t="s">
        <v>55</v>
      </c>
      <c r="S541" s="8">
        <v>46188</v>
      </c>
      <c r="T541" s="8">
        <v>46196</v>
      </c>
      <c r="U541" t="s">
        <v>982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5">
      <c r="A542">
        <v>376</v>
      </c>
      <c r="B542" t="s">
        <v>1012</v>
      </c>
      <c r="C542" t="s">
        <v>600</v>
      </c>
      <c r="D542" t="s">
        <v>1013</v>
      </c>
      <c r="E542" t="s">
        <v>103</v>
      </c>
      <c r="F542" s="8">
        <v>46203</v>
      </c>
      <c r="G542" s="8">
        <v>46210</v>
      </c>
      <c r="H542" s="4">
        <v>0</v>
      </c>
      <c r="L542" t="s">
        <v>183</v>
      </c>
      <c r="M542" t="s">
        <v>500</v>
      </c>
      <c r="N542" s="8">
        <v>46210</v>
      </c>
      <c r="P542" t="s">
        <v>598</v>
      </c>
      <c r="Q542" t="s">
        <v>981</v>
      </c>
      <c r="R542" t="s">
        <v>55</v>
      </c>
      <c r="S542" s="8">
        <v>46203</v>
      </c>
      <c r="T542" s="8">
        <v>46210</v>
      </c>
      <c r="U542" t="s">
        <v>982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5">
      <c r="A543">
        <v>381</v>
      </c>
      <c r="B543" t="s">
        <v>1014</v>
      </c>
      <c r="C543" t="s">
        <v>600</v>
      </c>
      <c r="D543" t="s">
        <v>1015</v>
      </c>
      <c r="E543" t="s">
        <v>590</v>
      </c>
      <c r="F543" s="8">
        <v>46205</v>
      </c>
      <c r="G543" s="8">
        <v>46211</v>
      </c>
      <c r="H543" s="4">
        <v>0</v>
      </c>
      <c r="L543" t="s">
        <v>183</v>
      </c>
      <c r="M543" t="s">
        <v>293</v>
      </c>
      <c r="N543" s="8">
        <v>46211</v>
      </c>
      <c r="P543" t="s">
        <v>598</v>
      </c>
      <c r="Q543" t="s">
        <v>981</v>
      </c>
      <c r="R543" t="s">
        <v>55</v>
      </c>
      <c r="S543" s="8">
        <v>46205</v>
      </c>
      <c r="T543" s="8">
        <v>46211</v>
      </c>
      <c r="U543" t="s">
        <v>982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5">
      <c r="A544">
        <v>396</v>
      </c>
      <c r="B544" t="s">
        <v>1016</v>
      </c>
      <c r="C544" t="s">
        <v>600</v>
      </c>
      <c r="D544" t="s">
        <v>1017</v>
      </c>
      <c r="E544" t="s">
        <v>729</v>
      </c>
      <c r="F544" s="8">
        <v>46197</v>
      </c>
      <c r="G544" s="8">
        <v>46205</v>
      </c>
      <c r="H544" s="4">
        <v>0</v>
      </c>
      <c r="L544" t="s">
        <v>183</v>
      </c>
      <c r="M544" t="s">
        <v>749</v>
      </c>
      <c r="N544" s="8">
        <v>46205</v>
      </c>
      <c r="P544" t="s">
        <v>598</v>
      </c>
      <c r="Q544" t="s">
        <v>981</v>
      </c>
      <c r="R544" t="s">
        <v>55</v>
      </c>
      <c r="S544" s="8">
        <v>46197</v>
      </c>
      <c r="T544" s="8">
        <v>46205</v>
      </c>
      <c r="U544" t="s">
        <v>982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5">
      <c r="A545">
        <v>401</v>
      </c>
      <c r="B545" t="s">
        <v>1018</v>
      </c>
      <c r="C545" t="s">
        <v>600</v>
      </c>
      <c r="D545" t="s">
        <v>1019</v>
      </c>
      <c r="E545" t="s">
        <v>729</v>
      </c>
      <c r="F545" s="8">
        <v>46178</v>
      </c>
      <c r="G545" s="8">
        <v>46188</v>
      </c>
      <c r="H545" s="4">
        <v>0</v>
      </c>
      <c r="L545" t="s">
        <v>183</v>
      </c>
      <c r="M545" t="s">
        <v>256</v>
      </c>
      <c r="N545" s="8">
        <v>46181</v>
      </c>
      <c r="P545" t="s">
        <v>598</v>
      </c>
      <c r="Q545" t="s">
        <v>981</v>
      </c>
      <c r="R545" t="s">
        <v>55</v>
      </c>
      <c r="S545" s="8">
        <v>46171</v>
      </c>
      <c r="T545" s="8">
        <v>46181</v>
      </c>
      <c r="U545" t="s">
        <v>982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5">
      <c r="A546">
        <v>406</v>
      </c>
      <c r="B546" t="s">
        <v>1020</v>
      </c>
      <c r="C546" t="s">
        <v>600</v>
      </c>
      <c r="D546" t="s">
        <v>1021</v>
      </c>
      <c r="E546" t="s">
        <v>259</v>
      </c>
      <c r="F546" s="8">
        <v>46197</v>
      </c>
      <c r="G546" s="8">
        <v>46206</v>
      </c>
      <c r="H546" s="4">
        <v>0</v>
      </c>
      <c r="L546" t="s">
        <v>183</v>
      </c>
      <c r="M546" t="s">
        <v>749</v>
      </c>
      <c r="N546" s="8">
        <v>46206</v>
      </c>
      <c r="P546" t="s">
        <v>598</v>
      </c>
      <c r="Q546" t="s">
        <v>981</v>
      </c>
      <c r="R546" t="s">
        <v>55</v>
      </c>
      <c r="S546" s="8">
        <v>46197</v>
      </c>
      <c r="T546" s="8">
        <v>46206</v>
      </c>
      <c r="U546" t="s">
        <v>982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5">
      <c r="A547">
        <v>411</v>
      </c>
      <c r="B547" t="s">
        <v>1022</v>
      </c>
      <c r="C547" t="s">
        <v>600</v>
      </c>
      <c r="D547" t="s">
        <v>1023</v>
      </c>
      <c r="E547" t="s">
        <v>729</v>
      </c>
      <c r="F547" s="8">
        <v>46183</v>
      </c>
      <c r="G547" s="8">
        <v>46191</v>
      </c>
      <c r="H547" s="4">
        <v>0</v>
      </c>
      <c r="L547" t="s">
        <v>183</v>
      </c>
      <c r="M547" t="s">
        <v>181</v>
      </c>
      <c r="N547" s="8">
        <v>46184</v>
      </c>
      <c r="P547" t="s">
        <v>598</v>
      </c>
      <c r="Q547" t="s">
        <v>981</v>
      </c>
      <c r="R547" t="s">
        <v>55</v>
      </c>
      <c r="S547" s="8">
        <v>46176</v>
      </c>
      <c r="T547" s="8">
        <v>46184</v>
      </c>
      <c r="U547" t="s">
        <v>982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5">
      <c r="A548">
        <v>432</v>
      </c>
      <c r="B548" t="s">
        <v>656</v>
      </c>
      <c r="C548" t="s">
        <v>640</v>
      </c>
      <c r="D548" t="s">
        <v>1024</v>
      </c>
      <c r="E548" t="s">
        <v>103</v>
      </c>
      <c r="F548" s="8">
        <v>46195</v>
      </c>
      <c r="G548" s="8">
        <v>46202</v>
      </c>
      <c r="H548" s="4">
        <v>0</v>
      </c>
      <c r="L548" t="s">
        <v>183</v>
      </c>
      <c r="M548" t="s">
        <v>265</v>
      </c>
      <c r="N548" s="8">
        <v>46196</v>
      </c>
      <c r="P548" t="s">
        <v>638</v>
      </c>
      <c r="Q548" t="s">
        <v>981</v>
      </c>
      <c r="R548" t="s">
        <v>55</v>
      </c>
      <c r="S548" s="8">
        <v>46188</v>
      </c>
      <c r="T548" s="8">
        <v>46196</v>
      </c>
      <c r="U548" t="s">
        <v>982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5">
      <c r="A549">
        <v>437</v>
      </c>
      <c r="B549" t="s">
        <v>1025</v>
      </c>
      <c r="C549" t="s">
        <v>640</v>
      </c>
      <c r="D549" t="s">
        <v>1026</v>
      </c>
      <c r="E549" t="s">
        <v>103</v>
      </c>
      <c r="F549" s="8">
        <v>46202</v>
      </c>
      <c r="G549" s="8">
        <v>46209</v>
      </c>
      <c r="H549" s="4">
        <v>0</v>
      </c>
      <c r="L549" t="s">
        <v>183</v>
      </c>
      <c r="M549" t="s">
        <v>392</v>
      </c>
      <c r="N549" s="8">
        <v>46204</v>
      </c>
      <c r="P549" t="s">
        <v>638</v>
      </c>
      <c r="Q549" t="s">
        <v>981</v>
      </c>
      <c r="R549" t="s">
        <v>55</v>
      </c>
      <c r="S549" s="8">
        <v>46196</v>
      </c>
      <c r="T549" s="8">
        <v>46204</v>
      </c>
      <c r="U549" t="s">
        <v>982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5">
      <c r="A550">
        <v>487</v>
      </c>
      <c r="B550" t="s">
        <v>724</v>
      </c>
      <c r="C550" t="s">
        <v>640</v>
      </c>
      <c r="D550" t="s">
        <v>1027</v>
      </c>
      <c r="E550" t="s">
        <v>103</v>
      </c>
      <c r="F550" s="8">
        <v>46202</v>
      </c>
      <c r="G550" s="8">
        <v>46209</v>
      </c>
      <c r="H550" s="4">
        <v>0</v>
      </c>
      <c r="L550" t="s">
        <v>183</v>
      </c>
      <c r="M550" t="s">
        <v>392</v>
      </c>
      <c r="N550" s="8">
        <v>46204</v>
      </c>
      <c r="P550" t="s">
        <v>638</v>
      </c>
      <c r="Q550" t="s">
        <v>981</v>
      </c>
      <c r="R550" t="s">
        <v>55</v>
      </c>
      <c r="S550" s="8">
        <v>46196</v>
      </c>
      <c r="T550" s="8">
        <v>46204</v>
      </c>
      <c r="U550" t="s">
        <v>982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5">
      <c r="A551">
        <v>492</v>
      </c>
      <c r="B551" t="s">
        <v>1028</v>
      </c>
      <c r="C551" t="s">
        <v>640</v>
      </c>
      <c r="D551" t="s">
        <v>1029</v>
      </c>
      <c r="E551" t="s">
        <v>103</v>
      </c>
      <c r="F551" s="8">
        <v>46202</v>
      </c>
      <c r="G551" s="8">
        <v>46209</v>
      </c>
      <c r="H551" s="4">
        <v>0</v>
      </c>
      <c r="L551" t="s">
        <v>183</v>
      </c>
      <c r="M551" t="s">
        <v>392</v>
      </c>
      <c r="N551" s="8">
        <v>46204</v>
      </c>
      <c r="P551" t="s">
        <v>638</v>
      </c>
      <c r="Q551" t="s">
        <v>981</v>
      </c>
      <c r="R551" t="s">
        <v>55</v>
      </c>
      <c r="S551" s="8">
        <v>46196</v>
      </c>
      <c r="T551" s="8">
        <v>46204</v>
      </c>
      <c r="U551" t="s">
        <v>982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G26" sqref="G26"/>
    </sheetView>
  </sheetViews>
  <sheetFormatPr defaultRowHeight="15" x14ac:dyDescent="0.25"/>
  <cols>
    <col min="1" max="1" width="32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1030</v>
      </c>
      <c r="B1">
        <v>101</v>
      </c>
    </row>
    <row r="2" spans="1:8" x14ac:dyDescent="0.25">
      <c r="A2" t="s">
        <v>1031</v>
      </c>
      <c r="B2" s="2">
        <v>0.72277227722772275</v>
      </c>
    </row>
    <row r="3" spans="1:8" x14ac:dyDescent="0.25">
      <c r="A3" t="s">
        <v>15</v>
      </c>
      <c r="B3" t="s">
        <v>22</v>
      </c>
      <c r="C3" t="s">
        <v>23</v>
      </c>
      <c r="D3" t="s">
        <v>1032</v>
      </c>
      <c r="E3" t="s">
        <v>26</v>
      </c>
      <c r="F3" t="s">
        <v>28</v>
      </c>
      <c r="G3" t="s">
        <v>30</v>
      </c>
      <c r="H3" t="s">
        <v>1033</v>
      </c>
    </row>
    <row r="4" spans="1:8" x14ac:dyDescent="0.25">
      <c r="A4" t="s">
        <v>638</v>
      </c>
      <c r="B4">
        <v>42</v>
      </c>
      <c r="C4">
        <v>40</v>
      </c>
      <c r="D4" s="2">
        <v>0.95238095238095233</v>
      </c>
      <c r="E4">
        <v>32</v>
      </c>
      <c r="F4">
        <v>2</v>
      </c>
      <c r="G4">
        <v>2</v>
      </c>
      <c r="H4" s="2">
        <v>4.7619047619047623E-2</v>
      </c>
    </row>
    <row r="5" spans="1:8" x14ac:dyDescent="0.25">
      <c r="A5" t="s">
        <v>958</v>
      </c>
      <c r="B5">
        <v>2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980</v>
      </c>
      <c r="B6">
        <v>0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598</v>
      </c>
      <c r="B7">
        <v>3</v>
      </c>
      <c r="C7">
        <v>3</v>
      </c>
      <c r="D7" s="2">
        <v>1</v>
      </c>
      <c r="E7">
        <v>2</v>
      </c>
      <c r="F7">
        <v>0</v>
      </c>
      <c r="G7">
        <v>0</v>
      </c>
      <c r="H7" s="2">
        <v>0</v>
      </c>
    </row>
    <row r="8" spans="1:8" x14ac:dyDescent="0.25">
      <c r="A8" t="s">
        <v>484</v>
      </c>
      <c r="B8">
        <v>14</v>
      </c>
      <c r="C8">
        <v>2</v>
      </c>
      <c r="D8" s="2">
        <v>0.14285714285714279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37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49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154</v>
      </c>
      <c r="B11">
        <v>25</v>
      </c>
      <c r="C11">
        <v>14</v>
      </c>
      <c r="D11" s="2">
        <v>0.56000000000000005</v>
      </c>
      <c r="E11">
        <v>4</v>
      </c>
      <c r="F11">
        <v>1</v>
      </c>
      <c r="G11">
        <v>1</v>
      </c>
      <c r="H11" s="2">
        <v>0.04</v>
      </c>
    </row>
    <row r="12" spans="1:8" x14ac:dyDescent="0.25">
      <c r="A12" t="s">
        <v>81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88</v>
      </c>
      <c r="B13">
        <v>2</v>
      </c>
      <c r="C13">
        <v>2</v>
      </c>
      <c r="D13" s="2">
        <v>1</v>
      </c>
      <c r="E13">
        <v>2</v>
      </c>
      <c r="F13">
        <v>2</v>
      </c>
      <c r="G13">
        <v>2</v>
      </c>
      <c r="H13" s="2">
        <v>1</v>
      </c>
    </row>
    <row r="14" spans="1:8" x14ac:dyDescent="0.25">
      <c r="A14" t="s">
        <v>132</v>
      </c>
      <c r="B14">
        <v>1</v>
      </c>
      <c r="C14">
        <v>1</v>
      </c>
      <c r="D14" s="2">
        <v>1</v>
      </c>
      <c r="E14">
        <v>1</v>
      </c>
      <c r="F14">
        <v>0</v>
      </c>
      <c r="G14">
        <v>0</v>
      </c>
      <c r="H14" s="2">
        <v>0</v>
      </c>
    </row>
    <row r="15" spans="1:8" x14ac:dyDescent="0.25">
      <c r="A15" t="s">
        <v>379</v>
      </c>
      <c r="B15">
        <v>12</v>
      </c>
      <c r="C15">
        <v>11</v>
      </c>
      <c r="D15" s="2">
        <v>0.91666666666666663</v>
      </c>
      <c r="E15">
        <v>0</v>
      </c>
      <c r="F15">
        <v>0</v>
      </c>
      <c r="G15">
        <v>0</v>
      </c>
      <c r="H15" s="2">
        <v>0</v>
      </c>
    </row>
    <row r="16" spans="1:8" x14ac:dyDescent="0.25">
      <c r="A16" t="s">
        <v>1049</v>
      </c>
      <c r="B16">
        <f>SUBTOTAL(109,Tabela2[Emissão inicial total])</f>
        <v>101</v>
      </c>
      <c r="C16">
        <f>SUBTOTAL(109,Tabela2[Emissão inicial concluída])</f>
        <v>73</v>
      </c>
      <c r="E16">
        <f>SUBTOTAL(109,Tabela2[Avaliação do cliente concluída])</f>
        <v>41</v>
      </c>
      <c r="F16">
        <f>SUBTOTAL(109,Tabela2[Atendimento de comentário concluído])</f>
        <v>5</v>
      </c>
      <c r="G16">
        <f>SUBTOTAL(109,Tabela2[Aprovação concluída])</f>
        <v>5</v>
      </c>
    </row>
    <row r="21" spans="1:5" x14ac:dyDescent="0.25">
      <c r="A21" t="s">
        <v>15</v>
      </c>
      <c r="B21" t="s">
        <v>24</v>
      </c>
      <c r="C21" t="s">
        <v>27</v>
      </c>
      <c r="D21" t="s">
        <v>29</v>
      </c>
      <c r="E21" t="s">
        <v>31</v>
      </c>
    </row>
    <row r="22" spans="1:5" x14ac:dyDescent="0.25">
      <c r="A22" t="s">
        <v>638</v>
      </c>
      <c r="B22">
        <v>2</v>
      </c>
      <c r="C22">
        <v>5</v>
      </c>
      <c r="D22">
        <v>35</v>
      </c>
      <c r="E22">
        <v>32</v>
      </c>
    </row>
    <row r="23" spans="1:5" x14ac:dyDescent="0.25">
      <c r="A23" t="s">
        <v>958</v>
      </c>
      <c r="B23">
        <v>1</v>
      </c>
      <c r="C23">
        <v>0</v>
      </c>
      <c r="D23">
        <v>0</v>
      </c>
      <c r="E23">
        <v>0</v>
      </c>
    </row>
    <row r="24" spans="1:5" x14ac:dyDescent="0.25">
      <c r="A24" t="s">
        <v>980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598</v>
      </c>
      <c r="B25">
        <v>0</v>
      </c>
      <c r="C25">
        <v>1</v>
      </c>
      <c r="D25">
        <v>3</v>
      </c>
      <c r="E25">
        <v>3</v>
      </c>
    </row>
    <row r="26" spans="1:5" x14ac:dyDescent="0.25">
      <c r="A26" t="s">
        <v>484</v>
      </c>
      <c r="B26">
        <v>2</v>
      </c>
      <c r="C26">
        <v>2</v>
      </c>
      <c r="D26">
        <v>0</v>
      </c>
      <c r="E26">
        <v>0</v>
      </c>
    </row>
    <row r="27" spans="1:5" x14ac:dyDescent="0.25">
      <c r="A27" t="s">
        <v>37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49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154</v>
      </c>
      <c r="B29">
        <v>11</v>
      </c>
      <c r="C29">
        <v>12</v>
      </c>
      <c r="D29">
        <v>14</v>
      </c>
      <c r="E29">
        <v>14</v>
      </c>
    </row>
    <row r="30" spans="1:5" x14ac:dyDescent="0.25">
      <c r="A30" t="s">
        <v>81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88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132</v>
      </c>
      <c r="B32">
        <v>0</v>
      </c>
      <c r="C32">
        <v>0</v>
      </c>
      <c r="D32">
        <v>1</v>
      </c>
      <c r="E32">
        <v>1</v>
      </c>
    </row>
    <row r="33" spans="1:5" x14ac:dyDescent="0.25">
      <c r="A33" t="s">
        <v>379</v>
      </c>
      <c r="B33">
        <v>1</v>
      </c>
      <c r="C33">
        <v>3</v>
      </c>
      <c r="D33">
        <v>2</v>
      </c>
      <c r="E33">
        <v>1</v>
      </c>
    </row>
    <row r="34" spans="1:5" x14ac:dyDescent="0.25">
      <c r="A34" t="s">
        <v>1049</v>
      </c>
      <c r="B34">
        <f>SUBTOTAL(109,Tabela4[Emissão Inicial Atrasada])</f>
        <v>17</v>
      </c>
      <c r="C34">
        <f>SUBTOTAL(109,Tabela4[Avaliação Cliente Atrasada])</f>
        <v>23</v>
      </c>
      <c r="D34">
        <f>SUBTOTAL(109,Tabela4[Atendimento Atrasado])</f>
        <v>55</v>
      </c>
      <c r="E34">
        <f>SUBTOTAL(109,Tabela4[Aprovação Atrasada])</f>
        <v>51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2"/>
  <sheetViews>
    <sheetView topLeftCell="A10" workbookViewId="0">
      <selection activeCell="Q7" sqref="Q7"/>
    </sheetView>
  </sheetViews>
  <sheetFormatPr defaultRowHeight="15" x14ac:dyDescent="0.25"/>
  <cols>
    <col min="1" max="1" width="10.7109375" style="8" bestFit="1" customWidth="1"/>
    <col min="2" max="2" width="13.42578125" customWidth="1"/>
    <col min="3" max="3" width="13.85546875" customWidth="1"/>
    <col min="4" max="4" width="12.140625" customWidth="1"/>
    <col min="5" max="5" width="12.42578125" customWidth="1"/>
    <col min="6" max="6" width="11.85546875" customWidth="1"/>
    <col min="7" max="7" width="11.5703125" customWidth="1"/>
    <col min="8" max="8" width="13" customWidth="1"/>
    <col min="9" max="9" width="12" customWidth="1"/>
    <col min="10" max="10" width="11.5703125" style="4" customWidth="1"/>
    <col min="11" max="11" width="12" style="4" customWidth="1"/>
    <col min="12" max="12" width="10" customWidth="1"/>
    <col min="13" max="13" width="12.5703125" style="4" customWidth="1"/>
    <col min="14" max="14" width="11.7109375" style="4" customWidth="1"/>
    <col min="15" max="15" width="10" customWidth="1"/>
  </cols>
  <sheetData>
    <row r="1" spans="1:15" s="3" customFormat="1" ht="59.25" customHeight="1" x14ac:dyDescent="0.25">
      <c r="A1" s="7" t="s">
        <v>1034</v>
      </c>
      <c r="B1" s="5" t="s">
        <v>1035</v>
      </c>
      <c r="C1" s="5" t="s">
        <v>1036</v>
      </c>
      <c r="D1" s="5" t="s">
        <v>1037</v>
      </c>
      <c r="E1" s="5" t="s">
        <v>1038</v>
      </c>
      <c r="F1" s="5" t="s">
        <v>1039</v>
      </c>
      <c r="G1" s="5" t="s">
        <v>1040</v>
      </c>
      <c r="H1" s="5" t="s">
        <v>1041</v>
      </c>
      <c r="I1" s="5" t="s">
        <v>1042</v>
      </c>
      <c r="J1" s="6" t="s">
        <v>1043</v>
      </c>
      <c r="K1" s="6" t="s">
        <v>1044</v>
      </c>
      <c r="L1" s="5" t="s">
        <v>1045</v>
      </c>
      <c r="M1" s="6" t="s">
        <v>1046</v>
      </c>
      <c r="N1" s="6" t="s">
        <v>1047</v>
      </c>
      <c r="O1" s="5" t="s">
        <v>1048</v>
      </c>
    </row>
    <row r="2" spans="1:15" x14ac:dyDescent="0.25">
      <c r="A2" s="8">
        <v>46139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4">
        <v>0</v>
      </c>
      <c r="K2" s="4">
        <v>0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8">
        <v>46140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4">
        <v>0</v>
      </c>
      <c r="K3" s="4">
        <v>0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8">
        <v>46141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4">
        <v>9.9009900990099011E-3</v>
      </c>
      <c r="K4" s="4">
        <v>9.9009900990099011E-3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8">
        <v>46142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s="4">
        <v>9.9009900990099011E-3</v>
      </c>
      <c r="K5" s="4">
        <v>9.9009900990099011E-3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8">
        <v>46143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s="4">
        <v>9.9009900990099011E-3</v>
      </c>
      <c r="K6" s="4">
        <v>9.9009900990099011E-3</v>
      </c>
      <c r="L6">
        <v>0</v>
      </c>
      <c r="M6" s="4">
        <v>0</v>
      </c>
      <c r="N6" s="4">
        <v>0</v>
      </c>
      <c r="O6">
        <v>0</v>
      </c>
    </row>
    <row r="7" spans="1:15" x14ac:dyDescent="0.25">
      <c r="A7" s="8">
        <v>46144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s="4">
        <v>9.9009900990099011E-3</v>
      </c>
      <c r="K7" s="4">
        <v>9.9009900990099011E-3</v>
      </c>
      <c r="L7">
        <v>0</v>
      </c>
      <c r="M7" s="4">
        <v>0</v>
      </c>
      <c r="N7" s="4">
        <v>0</v>
      </c>
      <c r="O7">
        <v>0</v>
      </c>
    </row>
    <row r="8" spans="1:15" x14ac:dyDescent="0.25">
      <c r="A8" s="8">
        <v>46145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4">
        <v>9.9009900990099011E-3</v>
      </c>
      <c r="K8" s="4">
        <v>9.9009900990099011E-3</v>
      </c>
      <c r="L8">
        <v>0</v>
      </c>
      <c r="M8" s="4">
        <v>0</v>
      </c>
      <c r="N8" s="4">
        <v>0</v>
      </c>
      <c r="O8">
        <v>0</v>
      </c>
    </row>
    <row r="9" spans="1:15" x14ac:dyDescent="0.25">
      <c r="A9" s="8">
        <v>46146</v>
      </c>
      <c r="B9">
        <v>1</v>
      </c>
      <c r="C9">
        <v>2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 s="4">
        <v>1.9801980198019799E-2</v>
      </c>
      <c r="K9" s="4">
        <v>1.9801980198019799E-2</v>
      </c>
      <c r="L9">
        <v>0</v>
      </c>
      <c r="M9" s="4">
        <v>0</v>
      </c>
      <c r="N9" s="4">
        <v>0</v>
      </c>
      <c r="O9">
        <v>0</v>
      </c>
    </row>
    <row r="10" spans="1:15" x14ac:dyDescent="0.25">
      <c r="A10" s="8">
        <v>46147</v>
      </c>
      <c r="B10">
        <v>0</v>
      </c>
      <c r="C10">
        <v>2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 s="4">
        <v>1.9801980198019799E-2</v>
      </c>
      <c r="K10" s="4">
        <v>1.9801980198019799E-2</v>
      </c>
      <c r="L10">
        <v>0</v>
      </c>
      <c r="M10" s="4">
        <v>0</v>
      </c>
      <c r="N10" s="4">
        <v>0</v>
      </c>
      <c r="O10">
        <v>0</v>
      </c>
    </row>
    <row r="11" spans="1:15" x14ac:dyDescent="0.25">
      <c r="A11" s="8">
        <v>46148</v>
      </c>
      <c r="B11">
        <v>0</v>
      </c>
      <c r="C11">
        <v>2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 s="4">
        <v>1.9801980198019799E-2</v>
      </c>
      <c r="K11" s="4">
        <v>1.9801980198019799E-2</v>
      </c>
      <c r="L11">
        <v>0</v>
      </c>
      <c r="M11" s="4">
        <v>0</v>
      </c>
      <c r="N11" s="4">
        <v>0</v>
      </c>
      <c r="O11">
        <v>0</v>
      </c>
    </row>
    <row r="12" spans="1:15" x14ac:dyDescent="0.25">
      <c r="A12" s="8">
        <v>46149</v>
      </c>
      <c r="B12">
        <v>0</v>
      </c>
      <c r="C12">
        <v>2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 s="4">
        <v>1.9801980198019799E-2</v>
      </c>
      <c r="K12" s="4">
        <v>1.9801980198019799E-2</v>
      </c>
      <c r="L12">
        <v>0</v>
      </c>
      <c r="M12" s="4">
        <v>0</v>
      </c>
      <c r="N12" s="4">
        <v>0</v>
      </c>
      <c r="O12">
        <v>0</v>
      </c>
    </row>
    <row r="13" spans="1:15" x14ac:dyDescent="0.25">
      <c r="A13" s="8">
        <v>46150</v>
      </c>
      <c r="B13">
        <v>0</v>
      </c>
      <c r="C13">
        <v>2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 s="4">
        <v>1.9801980198019799E-2</v>
      </c>
      <c r="K13" s="4">
        <v>1.9801980198019799E-2</v>
      </c>
      <c r="L13">
        <v>0</v>
      </c>
      <c r="M13" s="4">
        <v>0</v>
      </c>
      <c r="N13" s="4">
        <v>0</v>
      </c>
      <c r="O13">
        <v>0</v>
      </c>
    </row>
    <row r="14" spans="1:15" x14ac:dyDescent="0.25">
      <c r="A14" s="8">
        <v>46151</v>
      </c>
      <c r="B14">
        <v>0</v>
      </c>
      <c r="C14">
        <v>2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 s="4">
        <v>1.9801980198019799E-2</v>
      </c>
      <c r="K14" s="4">
        <v>1.9801980198019799E-2</v>
      </c>
      <c r="L14">
        <v>0</v>
      </c>
      <c r="M14" s="4">
        <v>0</v>
      </c>
      <c r="N14" s="4">
        <v>0</v>
      </c>
      <c r="O14">
        <v>0</v>
      </c>
    </row>
    <row r="15" spans="1:15" x14ac:dyDescent="0.25">
      <c r="A15" s="8">
        <v>46152</v>
      </c>
      <c r="B15">
        <v>0</v>
      </c>
      <c r="C15">
        <v>2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 s="4">
        <v>1.9801980198019799E-2</v>
      </c>
      <c r="K15" s="4">
        <v>1.9801980198019799E-2</v>
      </c>
      <c r="L15">
        <v>0</v>
      </c>
      <c r="M15" s="4">
        <v>0</v>
      </c>
      <c r="N15" s="4">
        <v>0</v>
      </c>
      <c r="O15">
        <v>0</v>
      </c>
    </row>
    <row r="16" spans="1:15" x14ac:dyDescent="0.25">
      <c r="A16" s="8">
        <v>46153</v>
      </c>
      <c r="B16">
        <v>0</v>
      </c>
      <c r="C16">
        <v>2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 s="4">
        <v>1.9801980198019799E-2</v>
      </c>
      <c r="K16" s="4">
        <v>1.9801980198019799E-2</v>
      </c>
      <c r="L16">
        <v>0</v>
      </c>
      <c r="M16" s="4">
        <v>0</v>
      </c>
      <c r="N16" s="4">
        <v>0</v>
      </c>
      <c r="O16">
        <v>0</v>
      </c>
    </row>
    <row r="17" spans="1:15" x14ac:dyDescent="0.25">
      <c r="A17" s="8">
        <v>46154</v>
      </c>
      <c r="B17">
        <v>0</v>
      </c>
      <c r="C17">
        <v>2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 s="4">
        <v>1.9801980198019799E-2</v>
      </c>
      <c r="K17" s="4">
        <v>1.9801980198019799E-2</v>
      </c>
      <c r="L17">
        <v>0</v>
      </c>
      <c r="M17" s="4">
        <v>0</v>
      </c>
      <c r="N17" s="4">
        <v>0</v>
      </c>
      <c r="O17">
        <v>0</v>
      </c>
    </row>
    <row r="18" spans="1:15" x14ac:dyDescent="0.25">
      <c r="A18" s="8">
        <v>46155</v>
      </c>
      <c r="B18">
        <v>0</v>
      </c>
      <c r="C18">
        <v>2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 s="4">
        <v>1.9801980198019799E-2</v>
      </c>
      <c r="K18" s="4">
        <v>1.9801980198019799E-2</v>
      </c>
      <c r="L18">
        <v>0</v>
      </c>
      <c r="M18" s="4">
        <v>0</v>
      </c>
      <c r="N18" s="4">
        <v>0</v>
      </c>
      <c r="O18">
        <v>0</v>
      </c>
    </row>
    <row r="19" spans="1:15" x14ac:dyDescent="0.25">
      <c r="A19" s="8">
        <v>46156</v>
      </c>
      <c r="B19">
        <v>0</v>
      </c>
      <c r="C19">
        <v>2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 s="4">
        <v>1.9801980198019799E-2</v>
      </c>
      <c r="K19" s="4">
        <v>1.9801980198019799E-2</v>
      </c>
      <c r="L19">
        <v>0</v>
      </c>
      <c r="M19" s="4">
        <v>0</v>
      </c>
      <c r="N19" s="4">
        <v>0</v>
      </c>
      <c r="O19">
        <v>0</v>
      </c>
    </row>
    <row r="20" spans="1:15" x14ac:dyDescent="0.25">
      <c r="A20" s="8">
        <v>46157</v>
      </c>
      <c r="B20">
        <v>0</v>
      </c>
      <c r="C20">
        <v>2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 s="4">
        <v>1.9801980198019799E-2</v>
      </c>
      <c r="K20" s="4">
        <v>1.9801980198019799E-2</v>
      </c>
      <c r="L20">
        <v>0</v>
      </c>
      <c r="M20" s="4">
        <v>0</v>
      </c>
      <c r="N20" s="4">
        <v>0</v>
      </c>
      <c r="O20">
        <v>0</v>
      </c>
    </row>
    <row r="21" spans="1:15" x14ac:dyDescent="0.25">
      <c r="A21" s="8">
        <v>46158</v>
      </c>
      <c r="B21">
        <v>0</v>
      </c>
      <c r="C21">
        <v>2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 s="4">
        <v>1.9801980198019799E-2</v>
      </c>
      <c r="K21" s="4">
        <v>1.9801980198019799E-2</v>
      </c>
      <c r="L21">
        <v>0</v>
      </c>
      <c r="M21" s="4">
        <v>0</v>
      </c>
      <c r="N21" s="4">
        <v>0</v>
      </c>
      <c r="O21">
        <v>0</v>
      </c>
    </row>
    <row r="22" spans="1:15" x14ac:dyDescent="0.25">
      <c r="A22" s="8">
        <v>46159</v>
      </c>
      <c r="B22">
        <v>0</v>
      </c>
      <c r="C22">
        <v>2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 s="4">
        <v>1.9801980198019799E-2</v>
      </c>
      <c r="K22" s="4">
        <v>1.9801980198019799E-2</v>
      </c>
      <c r="L22">
        <v>0</v>
      </c>
      <c r="M22" s="4">
        <v>0</v>
      </c>
      <c r="N22" s="4">
        <v>0</v>
      </c>
      <c r="O22">
        <v>0</v>
      </c>
    </row>
    <row r="23" spans="1:15" x14ac:dyDescent="0.25">
      <c r="A23" s="8">
        <v>46160</v>
      </c>
      <c r="B23">
        <v>0</v>
      </c>
      <c r="C23">
        <v>2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 s="4">
        <v>1.9801980198019799E-2</v>
      </c>
      <c r="K23" s="4">
        <v>1.9801980198019799E-2</v>
      </c>
      <c r="L23">
        <v>0</v>
      </c>
      <c r="M23" s="4">
        <v>0</v>
      </c>
      <c r="N23" s="4">
        <v>0</v>
      </c>
      <c r="O23">
        <v>0</v>
      </c>
    </row>
    <row r="24" spans="1:15" x14ac:dyDescent="0.25">
      <c r="A24" s="8">
        <v>46161</v>
      </c>
      <c r="B24">
        <v>1</v>
      </c>
      <c r="C24">
        <v>3</v>
      </c>
      <c r="D24">
        <v>0</v>
      </c>
      <c r="E24">
        <v>2</v>
      </c>
      <c r="F24">
        <v>2</v>
      </c>
      <c r="G24">
        <v>0</v>
      </c>
      <c r="H24">
        <v>2</v>
      </c>
      <c r="I24">
        <v>0</v>
      </c>
      <c r="J24" s="4">
        <v>2.9702970297029702E-2</v>
      </c>
      <c r="K24" s="4">
        <v>1.9801980198019799E-2</v>
      </c>
      <c r="L24">
        <v>-1</v>
      </c>
      <c r="M24" s="4">
        <v>1.9801980198019799E-2</v>
      </c>
      <c r="N24" s="4">
        <v>0</v>
      </c>
      <c r="O24">
        <v>-1</v>
      </c>
    </row>
    <row r="25" spans="1:15" x14ac:dyDescent="0.25">
      <c r="A25" s="8">
        <v>46162</v>
      </c>
      <c r="B25">
        <v>1</v>
      </c>
      <c r="C25">
        <v>4</v>
      </c>
      <c r="D25">
        <v>0</v>
      </c>
      <c r="E25">
        <v>2</v>
      </c>
      <c r="F25">
        <v>0</v>
      </c>
      <c r="G25">
        <v>0</v>
      </c>
      <c r="H25">
        <v>2</v>
      </c>
      <c r="I25">
        <v>0</v>
      </c>
      <c r="J25" s="4">
        <v>3.9603960396039598E-2</v>
      </c>
      <c r="K25" s="4">
        <v>1.9801980198019799E-2</v>
      </c>
      <c r="L25">
        <v>-1</v>
      </c>
      <c r="M25" s="4">
        <v>1.9801980198019799E-2</v>
      </c>
      <c r="N25" s="4">
        <v>0</v>
      </c>
      <c r="O25">
        <v>-1</v>
      </c>
    </row>
    <row r="26" spans="1:15" x14ac:dyDescent="0.25">
      <c r="A26" s="8">
        <v>46163</v>
      </c>
      <c r="B26">
        <v>4</v>
      </c>
      <c r="C26">
        <v>8</v>
      </c>
      <c r="D26">
        <v>0</v>
      </c>
      <c r="E26">
        <v>2</v>
      </c>
      <c r="F26">
        <v>0</v>
      </c>
      <c r="G26">
        <v>0</v>
      </c>
      <c r="H26">
        <v>2</v>
      </c>
      <c r="I26">
        <v>0</v>
      </c>
      <c r="J26" s="4">
        <v>7.9207920792079209E-2</v>
      </c>
      <c r="K26" s="4">
        <v>1.9801980198019799E-2</v>
      </c>
      <c r="L26">
        <v>-1</v>
      </c>
      <c r="M26" s="4">
        <v>1.9801980198019799E-2</v>
      </c>
      <c r="N26" s="4">
        <v>0</v>
      </c>
      <c r="O26">
        <v>-1</v>
      </c>
    </row>
    <row r="27" spans="1:15" x14ac:dyDescent="0.25">
      <c r="A27" s="8">
        <v>46164</v>
      </c>
      <c r="B27">
        <v>0</v>
      </c>
      <c r="C27">
        <v>8</v>
      </c>
      <c r="D27">
        <v>0</v>
      </c>
      <c r="E27">
        <v>2</v>
      </c>
      <c r="F27">
        <v>0</v>
      </c>
      <c r="G27">
        <v>0</v>
      </c>
      <c r="H27">
        <v>2</v>
      </c>
      <c r="I27">
        <v>0</v>
      </c>
      <c r="J27" s="4">
        <v>7.9207920792079209E-2</v>
      </c>
      <c r="K27" s="4">
        <v>1.9801980198019799E-2</v>
      </c>
      <c r="L27">
        <v>-1</v>
      </c>
      <c r="M27" s="4">
        <v>1.9801980198019799E-2</v>
      </c>
      <c r="N27" s="4">
        <v>0</v>
      </c>
      <c r="O27">
        <v>-1</v>
      </c>
    </row>
    <row r="28" spans="1:15" x14ac:dyDescent="0.25">
      <c r="A28" s="8">
        <v>46165</v>
      </c>
      <c r="B28">
        <v>0</v>
      </c>
      <c r="C28">
        <v>8</v>
      </c>
      <c r="D28">
        <v>0</v>
      </c>
      <c r="E28">
        <v>2</v>
      </c>
      <c r="F28">
        <v>0</v>
      </c>
      <c r="G28">
        <v>0</v>
      </c>
      <c r="H28">
        <v>2</v>
      </c>
      <c r="I28">
        <v>0</v>
      </c>
      <c r="J28" s="4">
        <v>7.9207920792079209E-2</v>
      </c>
      <c r="K28" s="4">
        <v>1.9801980198019799E-2</v>
      </c>
      <c r="L28">
        <v>-1</v>
      </c>
      <c r="M28" s="4">
        <v>1.9801980198019799E-2</v>
      </c>
      <c r="N28" s="4">
        <v>0</v>
      </c>
      <c r="O28">
        <v>-1</v>
      </c>
    </row>
    <row r="29" spans="1:15" x14ac:dyDescent="0.25">
      <c r="A29" s="8">
        <v>46166</v>
      </c>
      <c r="B29">
        <v>0</v>
      </c>
      <c r="C29">
        <v>8</v>
      </c>
      <c r="D29">
        <v>0</v>
      </c>
      <c r="E29">
        <v>2</v>
      </c>
      <c r="F29">
        <v>0</v>
      </c>
      <c r="G29">
        <v>0</v>
      </c>
      <c r="H29">
        <v>2</v>
      </c>
      <c r="I29">
        <v>0</v>
      </c>
      <c r="J29" s="4">
        <v>7.9207920792079209E-2</v>
      </c>
      <c r="K29" s="4">
        <v>1.9801980198019799E-2</v>
      </c>
      <c r="L29">
        <v>-1</v>
      </c>
      <c r="M29" s="4">
        <v>1.9801980198019799E-2</v>
      </c>
      <c r="N29" s="4">
        <v>0</v>
      </c>
      <c r="O29">
        <v>-1</v>
      </c>
    </row>
    <row r="30" spans="1:15" x14ac:dyDescent="0.25">
      <c r="A30" s="8">
        <v>46167</v>
      </c>
      <c r="B30">
        <v>1</v>
      </c>
      <c r="C30">
        <v>9</v>
      </c>
      <c r="D30">
        <v>0</v>
      </c>
      <c r="E30">
        <v>2</v>
      </c>
      <c r="F30">
        <v>1</v>
      </c>
      <c r="G30">
        <v>0</v>
      </c>
      <c r="H30">
        <v>3</v>
      </c>
      <c r="I30">
        <v>0</v>
      </c>
      <c r="J30" s="4">
        <v>8.9108910891089105E-2</v>
      </c>
      <c r="K30" s="4">
        <v>1.9801980198019799E-2</v>
      </c>
      <c r="L30">
        <v>-1</v>
      </c>
      <c r="M30" s="4">
        <v>2.9702970297029702E-2</v>
      </c>
      <c r="N30" s="4">
        <v>0</v>
      </c>
      <c r="O30">
        <v>-1</v>
      </c>
    </row>
    <row r="31" spans="1:15" x14ac:dyDescent="0.25">
      <c r="A31" s="8">
        <v>46168</v>
      </c>
      <c r="B31">
        <v>2</v>
      </c>
      <c r="C31">
        <v>11</v>
      </c>
      <c r="D31">
        <v>1</v>
      </c>
      <c r="E31">
        <v>3</v>
      </c>
      <c r="F31">
        <v>1</v>
      </c>
      <c r="G31">
        <v>0</v>
      </c>
      <c r="H31">
        <v>4</v>
      </c>
      <c r="I31">
        <v>0</v>
      </c>
      <c r="J31" s="4">
        <v>0.1089108910891089</v>
      </c>
      <c r="K31" s="4">
        <v>2.9702970297029702E-2</v>
      </c>
      <c r="L31">
        <v>-1</v>
      </c>
      <c r="M31" s="4">
        <v>3.9603960396039598E-2</v>
      </c>
      <c r="N31" s="4">
        <v>0</v>
      </c>
      <c r="O31">
        <v>-1</v>
      </c>
    </row>
    <row r="32" spans="1:15" x14ac:dyDescent="0.25">
      <c r="A32" s="8">
        <v>46169</v>
      </c>
      <c r="B32">
        <v>0</v>
      </c>
      <c r="C32">
        <v>11</v>
      </c>
      <c r="D32">
        <v>0</v>
      </c>
      <c r="E32">
        <v>3</v>
      </c>
      <c r="F32">
        <v>4</v>
      </c>
      <c r="G32">
        <v>0</v>
      </c>
      <c r="H32">
        <v>8</v>
      </c>
      <c r="I32">
        <v>0</v>
      </c>
      <c r="J32" s="4">
        <v>0.1089108910891089</v>
      </c>
      <c r="K32" s="4">
        <v>2.9702970297029702E-2</v>
      </c>
      <c r="L32">
        <v>-1</v>
      </c>
      <c r="M32" s="4">
        <v>7.9207920792079209E-2</v>
      </c>
      <c r="N32" s="4">
        <v>0</v>
      </c>
      <c r="O32">
        <v>-1</v>
      </c>
    </row>
    <row r="33" spans="1:15" x14ac:dyDescent="0.25">
      <c r="A33" s="8">
        <v>46170</v>
      </c>
      <c r="B33">
        <v>1</v>
      </c>
      <c r="C33">
        <v>12</v>
      </c>
      <c r="D33">
        <v>0</v>
      </c>
      <c r="E33">
        <v>3</v>
      </c>
      <c r="F33">
        <v>0</v>
      </c>
      <c r="G33">
        <v>1</v>
      </c>
      <c r="H33">
        <v>8</v>
      </c>
      <c r="I33">
        <v>1</v>
      </c>
      <c r="J33" s="4">
        <v>0.11881188118811881</v>
      </c>
      <c r="K33" s="4">
        <v>2.9702970297029702E-2</v>
      </c>
      <c r="L33">
        <v>-1</v>
      </c>
      <c r="M33" s="4">
        <v>7.9207920792079209E-2</v>
      </c>
      <c r="N33" s="4">
        <v>9.9009900990099011E-3</v>
      </c>
      <c r="O33">
        <v>-1</v>
      </c>
    </row>
    <row r="34" spans="1:15" x14ac:dyDescent="0.25">
      <c r="A34" s="8">
        <v>46171</v>
      </c>
      <c r="B34">
        <v>0</v>
      </c>
      <c r="C34">
        <v>12</v>
      </c>
      <c r="D34">
        <v>0</v>
      </c>
      <c r="E34">
        <v>3</v>
      </c>
      <c r="F34">
        <v>1</v>
      </c>
      <c r="G34">
        <v>0</v>
      </c>
      <c r="H34">
        <v>9</v>
      </c>
      <c r="I34">
        <v>1</v>
      </c>
      <c r="J34" s="4">
        <v>0.11881188118811881</v>
      </c>
      <c r="K34" s="4">
        <v>2.9702970297029702E-2</v>
      </c>
      <c r="L34">
        <v>-1</v>
      </c>
      <c r="M34" s="4">
        <v>8.9108910891089105E-2</v>
      </c>
      <c r="N34" s="4">
        <v>9.9009900990099011E-3</v>
      </c>
      <c r="O34">
        <v>-1</v>
      </c>
    </row>
    <row r="35" spans="1:15" x14ac:dyDescent="0.25">
      <c r="A35" s="8">
        <v>46172</v>
      </c>
      <c r="B35">
        <v>0</v>
      </c>
      <c r="C35">
        <v>12</v>
      </c>
      <c r="D35">
        <v>0</v>
      </c>
      <c r="E35">
        <v>3</v>
      </c>
      <c r="F35">
        <v>0</v>
      </c>
      <c r="G35">
        <v>0</v>
      </c>
      <c r="H35">
        <v>9</v>
      </c>
      <c r="I35">
        <v>1</v>
      </c>
      <c r="J35" s="4">
        <v>0.11881188118811881</v>
      </c>
      <c r="K35" s="4">
        <v>2.9702970297029702E-2</v>
      </c>
      <c r="L35">
        <v>-1</v>
      </c>
      <c r="M35" s="4">
        <v>8.9108910891089105E-2</v>
      </c>
      <c r="N35" s="4">
        <v>9.9009900990099011E-3</v>
      </c>
      <c r="O35">
        <v>-1</v>
      </c>
    </row>
    <row r="36" spans="1:15" x14ac:dyDescent="0.25">
      <c r="A36" s="8">
        <v>46173</v>
      </c>
      <c r="B36">
        <v>0</v>
      </c>
      <c r="C36">
        <v>12</v>
      </c>
      <c r="D36">
        <v>0</v>
      </c>
      <c r="E36">
        <v>3</v>
      </c>
      <c r="F36">
        <v>0</v>
      </c>
      <c r="G36">
        <v>0</v>
      </c>
      <c r="H36">
        <v>9</v>
      </c>
      <c r="I36">
        <v>1</v>
      </c>
      <c r="J36" s="4">
        <v>0.11881188118811881</v>
      </c>
      <c r="K36" s="4">
        <v>2.9702970297029702E-2</v>
      </c>
      <c r="L36">
        <v>-1</v>
      </c>
      <c r="M36" s="4">
        <v>8.9108910891089105E-2</v>
      </c>
      <c r="N36" s="4">
        <v>9.9009900990099011E-3</v>
      </c>
      <c r="O36">
        <v>-1</v>
      </c>
    </row>
    <row r="37" spans="1:15" x14ac:dyDescent="0.25">
      <c r="A37" s="8">
        <v>46174</v>
      </c>
      <c r="B37">
        <v>2</v>
      </c>
      <c r="C37">
        <v>14</v>
      </c>
      <c r="D37">
        <v>1</v>
      </c>
      <c r="E37">
        <v>4</v>
      </c>
      <c r="F37">
        <v>1</v>
      </c>
      <c r="G37">
        <v>1</v>
      </c>
      <c r="H37">
        <v>10</v>
      </c>
      <c r="I37">
        <v>2</v>
      </c>
      <c r="J37" s="4">
        <v>0.1386138613861386</v>
      </c>
      <c r="K37" s="4">
        <v>3.9603960396039598E-2</v>
      </c>
      <c r="L37">
        <v>-1</v>
      </c>
      <c r="M37" s="4">
        <v>9.9009900990099015E-2</v>
      </c>
      <c r="N37" s="4">
        <v>1.9801980198019799E-2</v>
      </c>
      <c r="O37">
        <v>-1</v>
      </c>
    </row>
    <row r="38" spans="1:15" x14ac:dyDescent="0.25">
      <c r="A38" s="8">
        <v>46175</v>
      </c>
      <c r="B38">
        <v>0</v>
      </c>
      <c r="C38">
        <v>14</v>
      </c>
      <c r="D38">
        <v>1</v>
      </c>
      <c r="E38">
        <v>5</v>
      </c>
      <c r="F38">
        <v>0</v>
      </c>
      <c r="G38">
        <v>0</v>
      </c>
      <c r="H38">
        <v>10</v>
      </c>
      <c r="I38">
        <v>2</v>
      </c>
      <c r="J38" s="4">
        <v>0.1386138613861386</v>
      </c>
      <c r="K38" s="4">
        <v>4.9504950495049507E-2</v>
      </c>
      <c r="L38">
        <v>-1</v>
      </c>
      <c r="M38" s="4">
        <v>9.9009900990099015E-2</v>
      </c>
      <c r="N38" s="4">
        <v>1.9801980198019799E-2</v>
      </c>
      <c r="O38">
        <v>-1</v>
      </c>
    </row>
    <row r="39" spans="1:15" x14ac:dyDescent="0.25">
      <c r="A39" s="8">
        <v>46176</v>
      </c>
      <c r="B39">
        <v>0</v>
      </c>
      <c r="C39">
        <v>14</v>
      </c>
      <c r="D39">
        <v>0</v>
      </c>
      <c r="E39">
        <v>5</v>
      </c>
      <c r="F39">
        <v>2</v>
      </c>
      <c r="G39">
        <v>0</v>
      </c>
      <c r="H39">
        <v>12</v>
      </c>
      <c r="I39">
        <v>2</v>
      </c>
      <c r="J39" s="4">
        <v>0.1386138613861386</v>
      </c>
      <c r="K39" s="4">
        <v>4.9504950495049507E-2</v>
      </c>
      <c r="L39">
        <v>-1</v>
      </c>
      <c r="M39" s="4">
        <v>0.11881188118811881</v>
      </c>
      <c r="N39" s="4">
        <v>1.9801980198019799E-2</v>
      </c>
      <c r="O39">
        <v>-1</v>
      </c>
    </row>
    <row r="40" spans="1:15" x14ac:dyDescent="0.25">
      <c r="A40" s="8">
        <v>46177</v>
      </c>
      <c r="B40">
        <v>7</v>
      </c>
      <c r="C40">
        <v>21</v>
      </c>
      <c r="D40">
        <v>0</v>
      </c>
      <c r="E40">
        <v>5</v>
      </c>
      <c r="F40">
        <v>0</v>
      </c>
      <c r="G40">
        <v>0</v>
      </c>
      <c r="H40">
        <v>12</v>
      </c>
      <c r="I40">
        <v>2</v>
      </c>
      <c r="J40" s="4">
        <v>0.20792079207920791</v>
      </c>
      <c r="K40" s="4">
        <v>4.9504950495049507E-2</v>
      </c>
      <c r="L40">
        <v>-1</v>
      </c>
      <c r="M40" s="4">
        <v>0.11881188118811881</v>
      </c>
      <c r="N40" s="4">
        <v>1.9801980198019799E-2</v>
      </c>
      <c r="O40">
        <v>-1</v>
      </c>
    </row>
    <row r="41" spans="1:15" x14ac:dyDescent="0.25">
      <c r="A41" s="8">
        <v>46178</v>
      </c>
      <c r="B41">
        <v>0</v>
      </c>
      <c r="C41">
        <v>21</v>
      </c>
      <c r="D41">
        <v>0</v>
      </c>
      <c r="E41">
        <v>5</v>
      </c>
      <c r="F41">
        <v>2</v>
      </c>
      <c r="G41">
        <v>0</v>
      </c>
      <c r="H41">
        <v>14</v>
      </c>
      <c r="I41">
        <v>2</v>
      </c>
      <c r="J41" s="4">
        <v>0.20792079207920791</v>
      </c>
      <c r="K41" s="4">
        <v>4.9504950495049507E-2</v>
      </c>
      <c r="L41">
        <v>-1</v>
      </c>
      <c r="M41" s="4">
        <v>0.1386138613861386</v>
      </c>
      <c r="N41" s="4">
        <v>1.9801980198019799E-2</v>
      </c>
      <c r="O41">
        <v>-1</v>
      </c>
    </row>
    <row r="42" spans="1:15" x14ac:dyDescent="0.25">
      <c r="A42" s="8">
        <v>46179</v>
      </c>
      <c r="B42">
        <v>0</v>
      </c>
      <c r="C42">
        <v>21</v>
      </c>
      <c r="D42">
        <v>0</v>
      </c>
      <c r="E42">
        <v>5</v>
      </c>
      <c r="F42">
        <v>0</v>
      </c>
      <c r="G42">
        <v>0</v>
      </c>
      <c r="H42">
        <v>14</v>
      </c>
      <c r="I42">
        <v>2</v>
      </c>
      <c r="J42" s="4">
        <v>0.20792079207920791</v>
      </c>
      <c r="K42" s="4">
        <v>4.9504950495049507E-2</v>
      </c>
      <c r="L42">
        <v>-1</v>
      </c>
      <c r="M42" s="4">
        <v>0.1386138613861386</v>
      </c>
      <c r="N42" s="4">
        <v>1.9801980198019799E-2</v>
      </c>
      <c r="O42">
        <v>-1</v>
      </c>
    </row>
    <row r="43" spans="1:15" x14ac:dyDescent="0.25">
      <c r="A43" s="8">
        <v>46180</v>
      </c>
      <c r="B43">
        <v>0</v>
      </c>
      <c r="C43">
        <v>21</v>
      </c>
      <c r="D43">
        <v>0</v>
      </c>
      <c r="E43">
        <v>5</v>
      </c>
      <c r="F43">
        <v>0</v>
      </c>
      <c r="G43">
        <v>0</v>
      </c>
      <c r="H43">
        <v>14</v>
      </c>
      <c r="I43">
        <v>2</v>
      </c>
      <c r="J43" s="4">
        <v>0.20792079207920791</v>
      </c>
      <c r="K43" s="4">
        <v>4.9504950495049507E-2</v>
      </c>
      <c r="L43">
        <v>-1</v>
      </c>
      <c r="M43" s="4">
        <v>0.1386138613861386</v>
      </c>
      <c r="N43" s="4">
        <v>1.9801980198019799E-2</v>
      </c>
      <c r="O43">
        <v>-1</v>
      </c>
    </row>
    <row r="44" spans="1:15" x14ac:dyDescent="0.25">
      <c r="A44" s="8">
        <v>46181</v>
      </c>
      <c r="B44">
        <v>0</v>
      </c>
      <c r="C44">
        <v>21</v>
      </c>
      <c r="D44">
        <v>1</v>
      </c>
      <c r="E44">
        <v>6</v>
      </c>
      <c r="F44">
        <v>0</v>
      </c>
      <c r="G44">
        <v>0</v>
      </c>
      <c r="H44">
        <v>14</v>
      </c>
      <c r="I44">
        <v>2</v>
      </c>
      <c r="J44" s="4">
        <v>0.20792079207920791</v>
      </c>
      <c r="K44" s="4">
        <v>5.9405940594059403E-2</v>
      </c>
      <c r="L44">
        <v>-1</v>
      </c>
      <c r="M44" s="4">
        <v>0.1386138613861386</v>
      </c>
      <c r="N44" s="4">
        <v>1.9801980198019799E-2</v>
      </c>
      <c r="O44">
        <v>-1</v>
      </c>
    </row>
    <row r="45" spans="1:15" x14ac:dyDescent="0.25">
      <c r="A45" s="8">
        <v>46182</v>
      </c>
      <c r="B45">
        <v>8</v>
      </c>
      <c r="C45">
        <v>29</v>
      </c>
      <c r="D45">
        <v>0</v>
      </c>
      <c r="E45">
        <v>6</v>
      </c>
      <c r="F45">
        <v>0</v>
      </c>
      <c r="G45">
        <v>0</v>
      </c>
      <c r="H45">
        <v>14</v>
      </c>
      <c r="I45">
        <v>2</v>
      </c>
      <c r="J45" s="4">
        <v>0.28712871287128711</v>
      </c>
      <c r="K45" s="4">
        <v>5.9405940594059403E-2</v>
      </c>
      <c r="L45">
        <v>-1</v>
      </c>
      <c r="M45" s="4">
        <v>0.1386138613861386</v>
      </c>
      <c r="N45" s="4">
        <v>1.9801980198019799E-2</v>
      </c>
      <c r="O45">
        <v>-1</v>
      </c>
    </row>
    <row r="46" spans="1:15" x14ac:dyDescent="0.25">
      <c r="A46" s="8">
        <v>46183</v>
      </c>
      <c r="B46">
        <v>0</v>
      </c>
      <c r="C46">
        <v>29</v>
      </c>
      <c r="D46">
        <v>0</v>
      </c>
      <c r="E46">
        <v>6</v>
      </c>
      <c r="F46">
        <v>7</v>
      </c>
      <c r="G46">
        <v>0</v>
      </c>
      <c r="H46">
        <v>21</v>
      </c>
      <c r="I46">
        <v>2</v>
      </c>
      <c r="J46" s="4">
        <v>0.28712871287128711</v>
      </c>
      <c r="K46" s="4">
        <v>5.9405940594059403E-2</v>
      </c>
      <c r="L46">
        <v>-1</v>
      </c>
      <c r="M46" s="4">
        <v>0.20792079207920791</v>
      </c>
      <c r="N46" s="4">
        <v>1.9801980198019799E-2</v>
      </c>
      <c r="O46">
        <v>-1</v>
      </c>
    </row>
    <row r="47" spans="1:15" x14ac:dyDescent="0.25">
      <c r="A47" s="8">
        <v>46184</v>
      </c>
      <c r="B47">
        <v>1</v>
      </c>
      <c r="C47">
        <v>30</v>
      </c>
      <c r="D47">
        <v>0</v>
      </c>
      <c r="E47">
        <v>6</v>
      </c>
      <c r="F47">
        <v>0</v>
      </c>
      <c r="G47">
        <v>0</v>
      </c>
      <c r="H47">
        <v>21</v>
      </c>
      <c r="I47">
        <v>2</v>
      </c>
      <c r="J47" s="4">
        <v>0.29702970297029702</v>
      </c>
      <c r="K47" s="4">
        <v>5.9405940594059403E-2</v>
      </c>
      <c r="L47">
        <v>-1</v>
      </c>
      <c r="M47" s="4">
        <v>0.20792079207920791</v>
      </c>
      <c r="N47" s="4">
        <v>1.9801980198019799E-2</v>
      </c>
      <c r="O47">
        <v>-1</v>
      </c>
    </row>
    <row r="48" spans="1:15" x14ac:dyDescent="0.25">
      <c r="A48" s="8">
        <v>46185</v>
      </c>
      <c r="B48">
        <v>2</v>
      </c>
      <c r="C48">
        <v>32</v>
      </c>
      <c r="D48">
        <v>3</v>
      </c>
      <c r="E48">
        <v>9</v>
      </c>
      <c r="F48">
        <v>0</v>
      </c>
      <c r="G48">
        <v>0</v>
      </c>
      <c r="H48">
        <v>21</v>
      </c>
      <c r="I48">
        <v>2</v>
      </c>
      <c r="J48" s="4">
        <v>0.31683168316831678</v>
      </c>
      <c r="K48" s="4">
        <v>8.9108910891089105E-2</v>
      </c>
      <c r="L48">
        <v>-1</v>
      </c>
      <c r="M48" s="4">
        <v>0.20792079207920791</v>
      </c>
      <c r="N48" s="4">
        <v>1.9801980198019799E-2</v>
      </c>
      <c r="O48">
        <v>-1</v>
      </c>
    </row>
    <row r="49" spans="1:15" x14ac:dyDescent="0.25">
      <c r="A49" s="8">
        <v>46186</v>
      </c>
      <c r="B49">
        <v>0</v>
      </c>
      <c r="C49">
        <v>32</v>
      </c>
      <c r="D49">
        <v>0</v>
      </c>
      <c r="E49">
        <v>9</v>
      </c>
      <c r="F49">
        <v>0</v>
      </c>
      <c r="G49">
        <v>0</v>
      </c>
      <c r="H49">
        <v>21</v>
      </c>
      <c r="I49">
        <v>2</v>
      </c>
      <c r="J49" s="4">
        <v>0.31683168316831678</v>
      </c>
      <c r="K49" s="4">
        <v>8.9108910891089105E-2</v>
      </c>
      <c r="L49">
        <v>-1</v>
      </c>
      <c r="M49" s="4">
        <v>0.20792079207920791</v>
      </c>
      <c r="N49" s="4">
        <v>1.9801980198019799E-2</v>
      </c>
      <c r="O49">
        <v>-1</v>
      </c>
    </row>
    <row r="50" spans="1:15" x14ac:dyDescent="0.25">
      <c r="A50" s="8">
        <v>46187</v>
      </c>
      <c r="B50">
        <v>0</v>
      </c>
      <c r="C50">
        <v>32</v>
      </c>
      <c r="D50">
        <v>0</v>
      </c>
      <c r="E50">
        <v>9</v>
      </c>
      <c r="F50">
        <v>0</v>
      </c>
      <c r="G50">
        <v>0</v>
      </c>
      <c r="H50">
        <v>21</v>
      </c>
      <c r="I50">
        <v>2</v>
      </c>
      <c r="J50" s="4">
        <v>0.31683168316831678</v>
      </c>
      <c r="K50" s="4">
        <v>8.9108910891089105E-2</v>
      </c>
      <c r="L50">
        <v>-1</v>
      </c>
      <c r="M50" s="4">
        <v>0.20792079207920791</v>
      </c>
      <c r="N50" s="4">
        <v>1.9801980198019799E-2</v>
      </c>
      <c r="O50">
        <v>-1</v>
      </c>
    </row>
    <row r="51" spans="1:15" x14ac:dyDescent="0.25">
      <c r="A51" s="8">
        <v>46188</v>
      </c>
      <c r="B51">
        <v>0</v>
      </c>
      <c r="C51">
        <v>32</v>
      </c>
      <c r="D51">
        <v>0</v>
      </c>
      <c r="E51">
        <v>9</v>
      </c>
      <c r="F51">
        <v>8</v>
      </c>
      <c r="G51">
        <v>0</v>
      </c>
      <c r="H51">
        <v>29</v>
      </c>
      <c r="I51">
        <v>2</v>
      </c>
      <c r="J51" s="4">
        <v>0.31683168316831678</v>
      </c>
      <c r="K51" s="4">
        <v>8.9108910891089105E-2</v>
      </c>
      <c r="L51">
        <v>-1</v>
      </c>
      <c r="M51" s="4">
        <v>0.28712871287128711</v>
      </c>
      <c r="N51" s="4">
        <v>1.9801980198019799E-2</v>
      </c>
      <c r="O51">
        <v>-1</v>
      </c>
    </row>
    <row r="52" spans="1:15" x14ac:dyDescent="0.25">
      <c r="A52" s="8">
        <v>46189</v>
      </c>
      <c r="B52">
        <v>6</v>
      </c>
      <c r="C52">
        <v>38</v>
      </c>
      <c r="D52">
        <v>3</v>
      </c>
      <c r="E52">
        <v>12</v>
      </c>
      <c r="F52">
        <v>0</v>
      </c>
      <c r="G52">
        <v>0</v>
      </c>
      <c r="H52">
        <v>29</v>
      </c>
      <c r="I52">
        <v>2</v>
      </c>
      <c r="J52" s="4">
        <v>0.37623762376237618</v>
      </c>
      <c r="K52" s="4">
        <v>0.11881188118811881</v>
      </c>
      <c r="L52">
        <v>-1</v>
      </c>
      <c r="M52" s="4">
        <v>0.28712871287128711</v>
      </c>
      <c r="N52" s="4">
        <v>1.9801980198019799E-2</v>
      </c>
      <c r="O52">
        <v>-1</v>
      </c>
    </row>
    <row r="53" spans="1:15" x14ac:dyDescent="0.25">
      <c r="A53" s="8">
        <v>46190</v>
      </c>
      <c r="B53">
        <v>0</v>
      </c>
      <c r="C53">
        <v>38</v>
      </c>
      <c r="D53">
        <v>0</v>
      </c>
      <c r="E53">
        <v>12</v>
      </c>
      <c r="F53">
        <v>1</v>
      </c>
      <c r="G53">
        <v>0</v>
      </c>
      <c r="H53">
        <v>30</v>
      </c>
      <c r="I53">
        <v>2</v>
      </c>
      <c r="J53" s="4">
        <v>0.37623762376237618</v>
      </c>
      <c r="K53" s="4">
        <v>0.11881188118811881</v>
      </c>
      <c r="L53">
        <v>-1</v>
      </c>
      <c r="M53" s="4">
        <v>0.29702970297029702</v>
      </c>
      <c r="N53" s="4">
        <v>1.9801980198019799E-2</v>
      </c>
      <c r="O53">
        <v>-1</v>
      </c>
    </row>
    <row r="54" spans="1:15" x14ac:dyDescent="0.25">
      <c r="A54" s="8">
        <v>46191</v>
      </c>
      <c r="B54">
        <v>0</v>
      </c>
      <c r="C54">
        <v>38</v>
      </c>
      <c r="D54">
        <v>3</v>
      </c>
      <c r="E54">
        <v>15</v>
      </c>
      <c r="F54">
        <v>2</v>
      </c>
      <c r="G54">
        <v>0</v>
      </c>
      <c r="H54">
        <v>32</v>
      </c>
      <c r="I54">
        <v>2</v>
      </c>
      <c r="J54" s="4">
        <v>0.37623762376237618</v>
      </c>
      <c r="K54" s="4">
        <v>0.14851485148514851</v>
      </c>
      <c r="L54">
        <v>-1</v>
      </c>
      <c r="M54" s="4">
        <v>0.31683168316831678</v>
      </c>
      <c r="N54" s="4">
        <v>1.9801980198019799E-2</v>
      </c>
      <c r="O54">
        <v>-1</v>
      </c>
    </row>
    <row r="55" spans="1:15" x14ac:dyDescent="0.25">
      <c r="A55" s="8">
        <v>46192</v>
      </c>
      <c r="B55">
        <v>2</v>
      </c>
      <c r="C55">
        <v>40</v>
      </c>
      <c r="D55">
        <v>1</v>
      </c>
      <c r="E55">
        <v>16</v>
      </c>
      <c r="F55">
        <v>0</v>
      </c>
      <c r="G55">
        <v>1</v>
      </c>
      <c r="H55">
        <v>32</v>
      </c>
      <c r="I55">
        <v>3</v>
      </c>
      <c r="J55" s="4">
        <v>0.39603960396039611</v>
      </c>
      <c r="K55" s="4">
        <v>0.15841584158415839</v>
      </c>
      <c r="L55">
        <v>-1</v>
      </c>
      <c r="M55" s="4">
        <v>0.31683168316831678</v>
      </c>
      <c r="N55" s="4">
        <v>2.9702970297029702E-2</v>
      </c>
      <c r="O55">
        <v>-1</v>
      </c>
    </row>
    <row r="56" spans="1:15" x14ac:dyDescent="0.25">
      <c r="A56" s="8">
        <v>46193</v>
      </c>
      <c r="B56">
        <v>0</v>
      </c>
      <c r="C56">
        <v>40</v>
      </c>
      <c r="D56">
        <v>0</v>
      </c>
      <c r="E56">
        <v>16</v>
      </c>
      <c r="F56">
        <v>0</v>
      </c>
      <c r="G56">
        <v>0</v>
      </c>
      <c r="H56">
        <v>32</v>
      </c>
      <c r="I56">
        <v>3</v>
      </c>
      <c r="J56" s="4">
        <v>0.39603960396039611</v>
      </c>
      <c r="K56" s="4">
        <v>0.15841584158415839</v>
      </c>
      <c r="L56">
        <v>-1</v>
      </c>
      <c r="M56" s="4">
        <v>0.31683168316831678</v>
      </c>
      <c r="N56" s="4">
        <v>2.9702970297029702E-2</v>
      </c>
      <c r="O56">
        <v>-1</v>
      </c>
    </row>
    <row r="57" spans="1:15" x14ac:dyDescent="0.25">
      <c r="A57" s="8">
        <v>46194</v>
      </c>
      <c r="B57">
        <v>0</v>
      </c>
      <c r="C57">
        <v>40</v>
      </c>
      <c r="D57">
        <v>0</v>
      </c>
      <c r="E57">
        <v>16</v>
      </c>
      <c r="F57">
        <v>0</v>
      </c>
      <c r="G57">
        <v>0</v>
      </c>
      <c r="H57">
        <v>32</v>
      </c>
      <c r="I57">
        <v>3</v>
      </c>
      <c r="J57" s="4">
        <v>0.39603960396039611</v>
      </c>
      <c r="K57" s="4">
        <v>0.15841584158415839</v>
      </c>
      <c r="L57">
        <v>-1</v>
      </c>
      <c r="M57" s="4">
        <v>0.31683168316831678</v>
      </c>
      <c r="N57" s="4">
        <v>2.9702970297029702E-2</v>
      </c>
      <c r="O57">
        <v>-1</v>
      </c>
    </row>
    <row r="58" spans="1:15" x14ac:dyDescent="0.25">
      <c r="A58" s="8">
        <v>46195</v>
      </c>
      <c r="B58">
        <v>1</v>
      </c>
      <c r="C58">
        <v>41</v>
      </c>
      <c r="D58">
        <v>0</v>
      </c>
      <c r="E58">
        <v>16</v>
      </c>
      <c r="F58">
        <v>6</v>
      </c>
      <c r="G58">
        <v>0</v>
      </c>
      <c r="H58">
        <v>38</v>
      </c>
      <c r="I58">
        <v>3</v>
      </c>
      <c r="J58" s="4">
        <v>0.40594059405940602</v>
      </c>
      <c r="K58" s="4">
        <v>0.15841584158415839</v>
      </c>
      <c r="L58">
        <v>-1</v>
      </c>
      <c r="M58" s="4">
        <v>0.37623762376237618</v>
      </c>
      <c r="N58" s="4">
        <v>2.9702970297029702E-2</v>
      </c>
      <c r="O58">
        <v>-1</v>
      </c>
    </row>
    <row r="59" spans="1:15" x14ac:dyDescent="0.25">
      <c r="A59" s="8">
        <v>46196</v>
      </c>
      <c r="B59">
        <v>6</v>
      </c>
      <c r="C59">
        <v>47</v>
      </c>
      <c r="D59">
        <v>0</v>
      </c>
      <c r="E59">
        <v>16</v>
      </c>
      <c r="F59">
        <v>0</v>
      </c>
      <c r="G59">
        <v>0</v>
      </c>
      <c r="H59">
        <v>38</v>
      </c>
      <c r="I59">
        <v>3</v>
      </c>
      <c r="J59" s="4">
        <v>0.46534653465346543</v>
      </c>
      <c r="K59" s="4">
        <v>0.15841584158415839</v>
      </c>
      <c r="L59">
        <v>-1</v>
      </c>
      <c r="M59" s="4">
        <v>0.37623762376237618</v>
      </c>
      <c r="N59" s="4">
        <v>2.9702970297029702E-2</v>
      </c>
      <c r="O59">
        <v>-1</v>
      </c>
    </row>
    <row r="60" spans="1:15" x14ac:dyDescent="0.25">
      <c r="A60" s="8">
        <v>46197</v>
      </c>
      <c r="B60">
        <v>0</v>
      </c>
      <c r="C60">
        <v>47</v>
      </c>
      <c r="D60">
        <v>2</v>
      </c>
      <c r="E60">
        <v>18</v>
      </c>
      <c r="F60">
        <v>0</v>
      </c>
      <c r="G60">
        <v>0</v>
      </c>
      <c r="H60">
        <v>38</v>
      </c>
      <c r="I60">
        <v>3</v>
      </c>
      <c r="J60" s="4">
        <v>0.46534653465346543</v>
      </c>
      <c r="K60" s="4">
        <v>0.17821782178217821</v>
      </c>
      <c r="L60">
        <v>-1</v>
      </c>
      <c r="M60" s="4">
        <v>0.37623762376237618</v>
      </c>
      <c r="N60" s="4">
        <v>2.9702970297029702E-2</v>
      </c>
      <c r="O60">
        <v>-1</v>
      </c>
    </row>
    <row r="61" spans="1:15" x14ac:dyDescent="0.25">
      <c r="A61" s="8">
        <v>46198</v>
      </c>
      <c r="B61">
        <v>2</v>
      </c>
      <c r="C61">
        <v>49</v>
      </c>
      <c r="D61">
        <v>25</v>
      </c>
      <c r="E61">
        <v>43</v>
      </c>
      <c r="F61">
        <v>2</v>
      </c>
      <c r="G61">
        <v>0</v>
      </c>
      <c r="H61">
        <v>40</v>
      </c>
      <c r="I61">
        <v>3</v>
      </c>
      <c r="J61" s="4">
        <v>0.48514851485148508</v>
      </c>
      <c r="K61" s="4">
        <v>0.42574257425742568</v>
      </c>
      <c r="L61">
        <v>-1</v>
      </c>
      <c r="M61" s="4">
        <v>0.39603960396039611</v>
      </c>
      <c r="N61" s="4">
        <v>2.9702970297029702E-2</v>
      </c>
      <c r="O61">
        <v>-1</v>
      </c>
    </row>
    <row r="62" spans="1:15" x14ac:dyDescent="0.25">
      <c r="A62" s="8">
        <v>46199</v>
      </c>
      <c r="B62">
        <v>0</v>
      </c>
      <c r="C62">
        <v>49</v>
      </c>
      <c r="D62">
        <v>1</v>
      </c>
      <c r="E62">
        <v>44</v>
      </c>
      <c r="F62">
        <v>7</v>
      </c>
      <c r="G62">
        <v>0</v>
      </c>
      <c r="H62">
        <v>47</v>
      </c>
      <c r="I62">
        <v>3</v>
      </c>
      <c r="J62" s="4">
        <v>0.48514851485148508</v>
      </c>
      <c r="K62" s="4">
        <v>0.43564356435643559</v>
      </c>
      <c r="L62">
        <v>-1</v>
      </c>
      <c r="M62" s="4">
        <v>0.46534653465346543</v>
      </c>
      <c r="N62" s="4">
        <v>2.9702970297029702E-2</v>
      </c>
      <c r="O62">
        <v>-1</v>
      </c>
    </row>
    <row r="63" spans="1:15" x14ac:dyDescent="0.25">
      <c r="A63" s="8">
        <v>46200</v>
      </c>
      <c r="B63">
        <v>0</v>
      </c>
      <c r="C63">
        <v>49</v>
      </c>
      <c r="D63">
        <v>0</v>
      </c>
      <c r="E63">
        <v>44</v>
      </c>
      <c r="F63">
        <v>0</v>
      </c>
      <c r="G63">
        <v>0</v>
      </c>
      <c r="H63">
        <v>47</v>
      </c>
      <c r="I63">
        <v>3</v>
      </c>
      <c r="J63" s="4">
        <v>0.48514851485148508</v>
      </c>
      <c r="K63" s="4">
        <v>0.43564356435643559</v>
      </c>
      <c r="L63">
        <v>-1</v>
      </c>
      <c r="M63" s="4">
        <v>0.46534653465346543</v>
      </c>
      <c r="N63" s="4">
        <v>2.9702970297029702E-2</v>
      </c>
      <c r="O63">
        <v>-1</v>
      </c>
    </row>
    <row r="64" spans="1:15" x14ac:dyDescent="0.25">
      <c r="A64" s="8">
        <v>46201</v>
      </c>
      <c r="B64">
        <v>0</v>
      </c>
      <c r="C64">
        <v>49</v>
      </c>
      <c r="D64">
        <v>1</v>
      </c>
      <c r="E64">
        <v>45</v>
      </c>
      <c r="F64">
        <v>0</v>
      </c>
      <c r="G64">
        <v>0</v>
      </c>
      <c r="H64">
        <v>47</v>
      </c>
      <c r="I64">
        <v>3</v>
      </c>
      <c r="J64" s="4">
        <v>0.48514851485148508</v>
      </c>
      <c r="K64" s="4">
        <v>0.44554455445544561</v>
      </c>
      <c r="L64">
        <v>-1</v>
      </c>
      <c r="M64" s="4">
        <v>0.46534653465346543</v>
      </c>
      <c r="N64" s="4">
        <v>2.9702970297029702E-2</v>
      </c>
      <c r="O64">
        <v>-1</v>
      </c>
    </row>
    <row r="65" spans="1:15" x14ac:dyDescent="0.25">
      <c r="A65" s="8">
        <v>46202</v>
      </c>
      <c r="B65">
        <v>3</v>
      </c>
      <c r="C65">
        <v>52</v>
      </c>
      <c r="D65">
        <v>0</v>
      </c>
      <c r="E65">
        <v>45</v>
      </c>
      <c r="F65">
        <v>0</v>
      </c>
      <c r="G65">
        <v>0</v>
      </c>
      <c r="H65">
        <v>47</v>
      </c>
      <c r="I65">
        <v>3</v>
      </c>
      <c r="J65" s="4">
        <v>0.51485148514851486</v>
      </c>
      <c r="K65" s="4">
        <v>0.44554455445544561</v>
      </c>
      <c r="L65">
        <v>-1</v>
      </c>
      <c r="M65" s="4">
        <v>0.46534653465346543</v>
      </c>
      <c r="N65" s="4">
        <v>2.9702970297029702E-2</v>
      </c>
      <c r="O65">
        <v>-1</v>
      </c>
    </row>
    <row r="66" spans="1:15" x14ac:dyDescent="0.25">
      <c r="A66" s="8">
        <v>46203</v>
      </c>
      <c r="B66">
        <v>3</v>
      </c>
      <c r="C66">
        <v>55</v>
      </c>
      <c r="D66">
        <v>0</v>
      </c>
      <c r="E66">
        <v>45</v>
      </c>
      <c r="F66">
        <v>0</v>
      </c>
      <c r="G66">
        <v>0</v>
      </c>
      <c r="H66">
        <v>47</v>
      </c>
      <c r="I66">
        <v>3</v>
      </c>
      <c r="J66" s="4">
        <v>0.54455445544554459</v>
      </c>
      <c r="K66" s="4">
        <v>0.44554455445544561</v>
      </c>
      <c r="L66">
        <v>-1</v>
      </c>
      <c r="M66" s="4">
        <v>0.46534653465346543</v>
      </c>
      <c r="N66" s="4">
        <v>2.9702970297029702E-2</v>
      </c>
      <c r="O66">
        <v>-1</v>
      </c>
    </row>
    <row r="67" spans="1:15" x14ac:dyDescent="0.25">
      <c r="A67" s="8">
        <v>46204</v>
      </c>
      <c r="B67">
        <v>22</v>
      </c>
      <c r="C67">
        <v>77</v>
      </c>
      <c r="D67">
        <v>6</v>
      </c>
      <c r="E67">
        <v>51</v>
      </c>
      <c r="F67">
        <v>2</v>
      </c>
      <c r="G67">
        <v>0</v>
      </c>
      <c r="H67">
        <v>49</v>
      </c>
      <c r="I67">
        <v>3</v>
      </c>
      <c r="J67" s="4">
        <v>0.76237623762376239</v>
      </c>
      <c r="K67" s="4">
        <v>0.50495049504950495</v>
      </c>
      <c r="L67">
        <v>-1</v>
      </c>
      <c r="M67" s="4">
        <v>0.48514851485148508</v>
      </c>
      <c r="N67" s="4">
        <v>2.9702970297029702E-2</v>
      </c>
      <c r="O67">
        <v>-1</v>
      </c>
    </row>
    <row r="68" spans="1:15" x14ac:dyDescent="0.25">
      <c r="A68" s="8">
        <v>46205</v>
      </c>
      <c r="B68">
        <v>21</v>
      </c>
      <c r="C68">
        <v>98</v>
      </c>
      <c r="D68">
        <v>0</v>
      </c>
      <c r="E68">
        <v>51</v>
      </c>
      <c r="F68">
        <v>3</v>
      </c>
      <c r="G68">
        <v>0</v>
      </c>
      <c r="H68">
        <v>52</v>
      </c>
      <c r="I68">
        <v>3</v>
      </c>
      <c r="J68" s="4">
        <v>0.97029702970297027</v>
      </c>
      <c r="K68" s="4">
        <v>0.50495049504950495</v>
      </c>
      <c r="L68">
        <v>-1</v>
      </c>
      <c r="M68" s="4">
        <v>0.51485148514851486</v>
      </c>
      <c r="N68" s="4">
        <v>2.9702970297029702E-2</v>
      </c>
      <c r="O68">
        <v>-1</v>
      </c>
    </row>
    <row r="69" spans="1:15" x14ac:dyDescent="0.25">
      <c r="A69" s="8">
        <v>46206</v>
      </c>
      <c r="B69">
        <v>1</v>
      </c>
      <c r="C69">
        <v>99</v>
      </c>
      <c r="D69">
        <v>3</v>
      </c>
      <c r="E69">
        <v>54</v>
      </c>
      <c r="F69">
        <v>0</v>
      </c>
      <c r="G69">
        <v>1</v>
      </c>
      <c r="H69">
        <v>52</v>
      </c>
      <c r="I69">
        <v>4</v>
      </c>
      <c r="J69" s="4">
        <v>0.98019801980198018</v>
      </c>
      <c r="K69" s="4">
        <v>0.53465346534653468</v>
      </c>
      <c r="L69">
        <v>-1</v>
      </c>
      <c r="M69" s="4">
        <v>0.51485148514851486</v>
      </c>
      <c r="N69" s="4">
        <v>3.9603960396039598E-2</v>
      </c>
      <c r="O69">
        <v>-1</v>
      </c>
    </row>
    <row r="70" spans="1:15" x14ac:dyDescent="0.25">
      <c r="A70" s="8">
        <v>46207</v>
      </c>
      <c r="B70">
        <v>0</v>
      </c>
      <c r="C70">
        <v>99</v>
      </c>
      <c r="D70">
        <v>0</v>
      </c>
      <c r="E70">
        <v>54</v>
      </c>
      <c r="F70">
        <v>0</v>
      </c>
      <c r="G70">
        <v>0</v>
      </c>
      <c r="H70">
        <v>52</v>
      </c>
      <c r="I70">
        <v>4</v>
      </c>
      <c r="J70" s="4">
        <v>0.98019801980198018</v>
      </c>
      <c r="K70" s="4">
        <v>0.53465346534653468</v>
      </c>
      <c r="L70">
        <v>-1</v>
      </c>
      <c r="M70" s="4">
        <v>0.51485148514851486</v>
      </c>
      <c r="N70" s="4">
        <v>3.9603960396039598E-2</v>
      </c>
      <c r="O70">
        <v>-1</v>
      </c>
    </row>
    <row r="71" spans="1:15" x14ac:dyDescent="0.25">
      <c r="A71" s="8">
        <v>46208</v>
      </c>
      <c r="B71">
        <v>0</v>
      </c>
      <c r="C71">
        <v>99</v>
      </c>
      <c r="D71">
        <v>0</v>
      </c>
      <c r="E71">
        <v>54</v>
      </c>
      <c r="F71">
        <v>0</v>
      </c>
      <c r="G71">
        <v>0</v>
      </c>
      <c r="H71">
        <v>52</v>
      </c>
      <c r="I71">
        <v>4</v>
      </c>
      <c r="J71" s="4">
        <v>0.98019801980198018</v>
      </c>
      <c r="K71" s="4">
        <v>0.53465346534653468</v>
      </c>
      <c r="L71">
        <v>-1</v>
      </c>
      <c r="M71" s="4">
        <v>0.51485148514851486</v>
      </c>
      <c r="N71" s="4">
        <v>3.9603960396039598E-2</v>
      </c>
      <c r="O71">
        <v>-1</v>
      </c>
    </row>
    <row r="72" spans="1:15" x14ac:dyDescent="0.25">
      <c r="A72" s="8">
        <v>46209</v>
      </c>
      <c r="B72">
        <v>0</v>
      </c>
      <c r="C72">
        <v>99</v>
      </c>
      <c r="D72">
        <v>0</v>
      </c>
      <c r="E72">
        <v>54</v>
      </c>
      <c r="F72">
        <v>3</v>
      </c>
      <c r="G72">
        <v>0</v>
      </c>
      <c r="H72">
        <v>55</v>
      </c>
      <c r="I72">
        <v>4</v>
      </c>
      <c r="J72" s="4">
        <v>0.98019801980198018</v>
      </c>
      <c r="K72" s="4">
        <v>0.53465346534653468</v>
      </c>
      <c r="L72">
        <v>-1</v>
      </c>
      <c r="M72" s="4">
        <v>0.54455445544554459</v>
      </c>
      <c r="N72" s="4">
        <v>3.9603960396039598E-2</v>
      </c>
      <c r="O72">
        <v>-1</v>
      </c>
    </row>
    <row r="73" spans="1:15" x14ac:dyDescent="0.25">
      <c r="A73" s="8">
        <v>46210</v>
      </c>
      <c r="B73">
        <v>0</v>
      </c>
      <c r="C73">
        <v>99</v>
      </c>
      <c r="D73">
        <v>4</v>
      </c>
      <c r="E73">
        <v>58</v>
      </c>
      <c r="F73">
        <v>22</v>
      </c>
      <c r="G73">
        <v>0</v>
      </c>
      <c r="H73">
        <v>77</v>
      </c>
      <c r="I73">
        <v>4</v>
      </c>
      <c r="J73" s="4">
        <v>0.98019801980198018</v>
      </c>
      <c r="K73" s="4">
        <v>0.57425742574257421</v>
      </c>
      <c r="L73">
        <v>-1</v>
      </c>
      <c r="M73" s="4">
        <v>0.76237623762376239</v>
      </c>
      <c r="N73" s="4">
        <v>3.9603960396039598E-2</v>
      </c>
      <c r="O73">
        <v>-1</v>
      </c>
    </row>
    <row r="74" spans="1:15" x14ac:dyDescent="0.25">
      <c r="A74" s="8">
        <v>46211</v>
      </c>
      <c r="B74">
        <v>2</v>
      </c>
      <c r="C74">
        <v>101</v>
      </c>
      <c r="D74">
        <v>3</v>
      </c>
      <c r="E74">
        <v>61</v>
      </c>
      <c r="F74">
        <v>21</v>
      </c>
      <c r="G74">
        <v>1</v>
      </c>
      <c r="H74">
        <v>98</v>
      </c>
      <c r="I74">
        <v>5</v>
      </c>
      <c r="J74" s="4">
        <v>1</v>
      </c>
      <c r="K74" s="4">
        <v>0.60396039603960394</v>
      </c>
      <c r="L74">
        <v>-1</v>
      </c>
      <c r="M74" s="4">
        <v>0.97029702970297027</v>
      </c>
      <c r="N74" s="4">
        <v>4.9504950495049507E-2</v>
      </c>
      <c r="O74">
        <v>-1</v>
      </c>
    </row>
    <row r="75" spans="1:15" x14ac:dyDescent="0.25">
      <c r="A75" s="8">
        <v>46212</v>
      </c>
      <c r="B75">
        <v>0</v>
      </c>
      <c r="C75">
        <v>101</v>
      </c>
      <c r="D75">
        <v>0</v>
      </c>
      <c r="E75">
        <v>61</v>
      </c>
      <c r="F75">
        <v>0</v>
      </c>
      <c r="G75">
        <v>0</v>
      </c>
      <c r="H75">
        <v>98</v>
      </c>
      <c r="I75">
        <v>5</v>
      </c>
      <c r="J75" s="4">
        <v>1</v>
      </c>
      <c r="K75" s="4">
        <v>0.60396039603960394</v>
      </c>
      <c r="L75">
        <v>-1</v>
      </c>
      <c r="M75" s="4">
        <v>0.97029702970297027</v>
      </c>
      <c r="N75" s="4">
        <v>4.9504950495049507E-2</v>
      </c>
      <c r="O75">
        <v>-1</v>
      </c>
    </row>
    <row r="76" spans="1:15" x14ac:dyDescent="0.25">
      <c r="A76" s="8">
        <v>46213</v>
      </c>
      <c r="B76">
        <v>0</v>
      </c>
      <c r="C76">
        <v>101</v>
      </c>
      <c r="D76">
        <v>0</v>
      </c>
      <c r="E76">
        <v>61</v>
      </c>
      <c r="F76">
        <v>0</v>
      </c>
      <c r="G76">
        <v>0</v>
      </c>
      <c r="H76">
        <v>98</v>
      </c>
      <c r="I76">
        <v>5</v>
      </c>
      <c r="J76" s="4">
        <v>1</v>
      </c>
      <c r="K76" s="4">
        <v>0.60396039603960394</v>
      </c>
      <c r="L76">
        <v>-1</v>
      </c>
      <c r="M76" s="4">
        <v>0.97029702970297027</v>
      </c>
      <c r="N76" s="4">
        <v>4.9504950495049507E-2</v>
      </c>
      <c r="O76">
        <v>-1</v>
      </c>
    </row>
    <row r="77" spans="1:15" x14ac:dyDescent="0.25">
      <c r="A77" s="8">
        <v>46214</v>
      </c>
      <c r="B77">
        <v>0</v>
      </c>
      <c r="C77">
        <v>101</v>
      </c>
      <c r="D77">
        <v>0</v>
      </c>
      <c r="E77">
        <v>61</v>
      </c>
      <c r="F77">
        <v>0</v>
      </c>
      <c r="G77">
        <v>0</v>
      </c>
      <c r="H77">
        <v>98</v>
      </c>
      <c r="I77">
        <v>5</v>
      </c>
      <c r="J77" s="4">
        <v>1</v>
      </c>
      <c r="K77" s="4">
        <v>0.60396039603960394</v>
      </c>
      <c r="L77">
        <v>-1</v>
      </c>
      <c r="M77" s="4">
        <v>0.97029702970297027</v>
      </c>
      <c r="N77" s="4">
        <v>4.9504950495049507E-2</v>
      </c>
      <c r="O77">
        <v>-1</v>
      </c>
    </row>
    <row r="78" spans="1:15" x14ac:dyDescent="0.25">
      <c r="A78" s="8">
        <v>46215</v>
      </c>
      <c r="B78">
        <v>0</v>
      </c>
      <c r="C78">
        <v>101</v>
      </c>
      <c r="D78">
        <v>0</v>
      </c>
      <c r="E78">
        <v>61</v>
      </c>
      <c r="F78">
        <v>0</v>
      </c>
      <c r="G78">
        <v>0</v>
      </c>
      <c r="H78">
        <v>98</v>
      </c>
      <c r="I78">
        <v>5</v>
      </c>
      <c r="J78" s="4">
        <v>1</v>
      </c>
      <c r="K78" s="4">
        <v>0.60396039603960394</v>
      </c>
      <c r="L78">
        <v>-1</v>
      </c>
      <c r="M78" s="4">
        <v>0.97029702970297027</v>
      </c>
      <c r="N78" s="4">
        <v>4.9504950495049507E-2</v>
      </c>
      <c r="O78">
        <v>-1</v>
      </c>
    </row>
    <row r="79" spans="1:15" x14ac:dyDescent="0.25">
      <c r="A79" s="8">
        <v>46216</v>
      </c>
      <c r="B79">
        <v>0</v>
      </c>
      <c r="C79">
        <v>101</v>
      </c>
      <c r="D79">
        <v>11</v>
      </c>
      <c r="E79">
        <v>72</v>
      </c>
      <c r="F79">
        <v>1</v>
      </c>
      <c r="G79">
        <v>0</v>
      </c>
      <c r="H79">
        <v>99</v>
      </c>
      <c r="I79">
        <v>5</v>
      </c>
      <c r="J79" s="4">
        <v>1</v>
      </c>
      <c r="K79" s="4">
        <v>0.71287128712871284</v>
      </c>
      <c r="L79">
        <v>-1</v>
      </c>
      <c r="M79" s="4">
        <v>0.98019801980198018</v>
      </c>
      <c r="N79" s="4">
        <v>4.9504950495049507E-2</v>
      </c>
      <c r="O79">
        <v>-1</v>
      </c>
    </row>
    <row r="80" spans="1:15" x14ac:dyDescent="0.25">
      <c r="A80" s="8">
        <v>46217</v>
      </c>
      <c r="B80">
        <v>0</v>
      </c>
      <c r="C80">
        <v>101</v>
      </c>
      <c r="D80">
        <v>0</v>
      </c>
      <c r="E80">
        <v>72</v>
      </c>
      <c r="F80">
        <v>0</v>
      </c>
      <c r="G80">
        <v>0</v>
      </c>
      <c r="H80">
        <v>99</v>
      </c>
      <c r="I80">
        <v>5</v>
      </c>
      <c r="J80" s="4">
        <v>1</v>
      </c>
      <c r="K80" s="4">
        <v>0.71287128712871284</v>
      </c>
      <c r="L80">
        <v>-1</v>
      </c>
      <c r="M80" s="4">
        <v>0.98019801980198018</v>
      </c>
      <c r="N80" s="4">
        <v>4.9504950495049507E-2</v>
      </c>
      <c r="O80">
        <v>-1</v>
      </c>
    </row>
    <row r="81" spans="1:15" x14ac:dyDescent="0.25">
      <c r="A81" s="8">
        <v>46218</v>
      </c>
      <c r="B81">
        <v>0</v>
      </c>
      <c r="C81">
        <v>101</v>
      </c>
      <c r="D81">
        <v>0</v>
      </c>
      <c r="E81">
        <v>72</v>
      </c>
      <c r="F81">
        <v>0</v>
      </c>
      <c r="G81">
        <v>0</v>
      </c>
      <c r="H81">
        <v>99</v>
      </c>
      <c r="I81">
        <v>5</v>
      </c>
      <c r="J81" s="4">
        <v>1</v>
      </c>
      <c r="K81" s="4">
        <v>0.71287128712871284</v>
      </c>
      <c r="L81">
        <v>-1</v>
      </c>
      <c r="M81" s="4">
        <v>0.98019801980198018</v>
      </c>
      <c r="N81" s="4">
        <v>4.9504950495049507E-2</v>
      </c>
      <c r="O81">
        <v>-1</v>
      </c>
    </row>
    <row r="82" spans="1:15" x14ac:dyDescent="0.25">
      <c r="A82" s="8">
        <v>46219</v>
      </c>
      <c r="B82">
        <v>0</v>
      </c>
      <c r="C82">
        <v>101</v>
      </c>
      <c r="D82">
        <v>0</v>
      </c>
      <c r="E82">
        <v>72</v>
      </c>
      <c r="F82">
        <v>2</v>
      </c>
      <c r="G82">
        <v>0</v>
      </c>
      <c r="H82">
        <v>101</v>
      </c>
      <c r="I82">
        <v>5</v>
      </c>
      <c r="J82" s="4">
        <v>1</v>
      </c>
      <c r="K82" s="4">
        <v>0.71287128712871284</v>
      </c>
      <c r="L82">
        <v>-1</v>
      </c>
      <c r="M82" s="4">
        <v>1</v>
      </c>
      <c r="N82" s="4">
        <v>4.9504950495049507E-2</v>
      </c>
      <c r="O82">
        <v>-1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37"/>
  <sheetViews>
    <sheetView workbookViewId="0">
      <selection activeCell="H1" sqref="H1:H104857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1.5703125" bestFit="1" customWidth="1"/>
    <col min="5" max="5" width="10.42578125" bestFit="1" customWidth="1"/>
    <col min="6" max="7" width="18.28515625" bestFit="1" customWidth="1"/>
    <col min="8" max="8" width="13.7109375" style="4" bestFit="1" customWidth="1"/>
    <col min="9" max="9" width="18.28515625" bestFit="1" customWidth="1"/>
    <col min="10" max="10" width="37.42578125" bestFit="1" customWidth="1"/>
    <col min="11" max="11" width="121" bestFit="1" customWidth="1"/>
    <col min="12" max="12" width="9.5703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32.140625" bestFit="1" customWidth="1"/>
    <col min="17" max="17" width="8.7109375" bestFit="1" customWidth="1"/>
    <col min="18" max="18" width="8.85546875" bestFit="1" customWidth="1"/>
    <col min="19" max="20" width="18.28515625" bestFit="1" customWidth="1"/>
    <col min="21" max="21" width="14.140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5</v>
      </c>
      <c r="B2" t="s">
        <v>56</v>
      </c>
      <c r="C2" t="s">
        <v>51</v>
      </c>
      <c r="D2" t="s">
        <v>57</v>
      </c>
      <c r="E2" t="s">
        <v>53</v>
      </c>
      <c r="F2" s="1">
        <v>46161</v>
      </c>
      <c r="G2" s="1">
        <v>46161</v>
      </c>
      <c r="H2" s="4">
        <v>1</v>
      </c>
      <c r="I2" s="1">
        <v>46161</v>
      </c>
      <c r="K2" t="s">
        <v>58</v>
      </c>
      <c r="L2" t="s">
        <v>59</v>
      </c>
      <c r="M2" t="s">
        <v>44</v>
      </c>
      <c r="N2" s="1">
        <v>46161</v>
      </c>
      <c r="P2" t="s">
        <v>49</v>
      </c>
      <c r="Q2" t="s">
        <v>45</v>
      </c>
      <c r="R2" t="s">
        <v>55</v>
      </c>
      <c r="S2" s="1">
        <v>46161</v>
      </c>
      <c r="T2" s="1">
        <v>46161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6</v>
      </c>
      <c r="B3" t="s">
        <v>60</v>
      </c>
      <c r="C3" t="s">
        <v>51</v>
      </c>
      <c r="D3" t="s">
        <v>61</v>
      </c>
      <c r="E3" t="s">
        <v>53</v>
      </c>
      <c r="F3" s="1">
        <v>46164</v>
      </c>
      <c r="G3" s="1">
        <v>46164</v>
      </c>
      <c r="H3" s="4">
        <v>1</v>
      </c>
      <c r="I3" s="1">
        <v>46164</v>
      </c>
      <c r="K3">
        <v>206</v>
      </c>
      <c r="L3" t="s">
        <v>59</v>
      </c>
      <c r="M3" t="s">
        <v>62</v>
      </c>
      <c r="N3" s="1">
        <v>46164</v>
      </c>
      <c r="P3" t="s">
        <v>49</v>
      </c>
      <c r="Q3" t="s">
        <v>45</v>
      </c>
      <c r="R3" t="s">
        <v>55</v>
      </c>
      <c r="S3" s="1">
        <v>46164</v>
      </c>
      <c r="T3" s="1">
        <v>46164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7</v>
      </c>
      <c r="B4" t="s">
        <v>63</v>
      </c>
      <c r="C4" t="s">
        <v>51</v>
      </c>
      <c r="D4" t="s">
        <v>64</v>
      </c>
      <c r="E4" t="s">
        <v>53</v>
      </c>
      <c r="F4" s="1">
        <v>46178</v>
      </c>
      <c r="G4" s="1">
        <v>46178</v>
      </c>
      <c r="H4" s="4">
        <v>1</v>
      </c>
      <c r="I4" s="1">
        <v>46178</v>
      </c>
      <c r="K4">
        <v>408</v>
      </c>
      <c r="L4" t="s">
        <v>59</v>
      </c>
      <c r="M4" t="s">
        <v>62</v>
      </c>
      <c r="N4" s="1">
        <v>46164</v>
      </c>
      <c r="P4" t="s">
        <v>49</v>
      </c>
      <c r="Q4" t="s">
        <v>65</v>
      </c>
      <c r="R4" t="s">
        <v>55</v>
      </c>
      <c r="S4" s="1">
        <v>46164</v>
      </c>
      <c r="T4" s="1">
        <v>46164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11</v>
      </c>
      <c r="B5" t="s">
        <v>72</v>
      </c>
      <c r="C5" t="s">
        <v>73</v>
      </c>
      <c r="D5" t="s">
        <v>74</v>
      </c>
      <c r="E5" t="s">
        <v>75</v>
      </c>
      <c r="F5" s="1">
        <v>46139</v>
      </c>
      <c r="G5" s="1">
        <v>46139</v>
      </c>
      <c r="H5" s="4">
        <v>1</v>
      </c>
      <c r="I5" s="1">
        <v>46139</v>
      </c>
      <c r="K5" t="s">
        <v>76</v>
      </c>
      <c r="L5" t="s">
        <v>59</v>
      </c>
      <c r="M5" t="s">
        <v>36</v>
      </c>
      <c r="N5" s="1">
        <v>46139</v>
      </c>
      <c r="P5" t="s">
        <v>37</v>
      </c>
      <c r="Q5" t="s">
        <v>38</v>
      </c>
      <c r="R5" t="s">
        <v>55</v>
      </c>
      <c r="S5" s="1">
        <v>46139</v>
      </c>
      <c r="T5" s="1">
        <v>46139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12</v>
      </c>
      <c r="B6" t="s">
        <v>77</v>
      </c>
      <c r="C6" t="s">
        <v>73</v>
      </c>
      <c r="D6" t="s">
        <v>78</v>
      </c>
      <c r="E6" t="s">
        <v>79</v>
      </c>
      <c r="F6" s="1">
        <v>46141</v>
      </c>
      <c r="G6" s="1">
        <v>46141</v>
      </c>
      <c r="H6" s="4">
        <v>1</v>
      </c>
      <c r="I6" s="1">
        <v>46141</v>
      </c>
      <c r="L6" t="s">
        <v>59</v>
      </c>
      <c r="M6" t="s">
        <v>80</v>
      </c>
      <c r="N6" s="1">
        <v>46141</v>
      </c>
      <c r="P6" t="s">
        <v>81</v>
      </c>
      <c r="Q6" t="s">
        <v>38</v>
      </c>
      <c r="R6" t="s">
        <v>55</v>
      </c>
      <c r="S6" s="1">
        <v>46141</v>
      </c>
      <c r="T6" s="1">
        <v>46141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13</v>
      </c>
      <c r="B7" t="s">
        <v>82</v>
      </c>
      <c r="C7" t="s">
        <v>83</v>
      </c>
      <c r="D7" t="s">
        <v>84</v>
      </c>
      <c r="E7" t="s">
        <v>75</v>
      </c>
      <c r="F7" s="1">
        <v>46141</v>
      </c>
      <c r="G7" s="1">
        <v>46141</v>
      </c>
      <c r="H7" s="4">
        <v>1</v>
      </c>
      <c r="I7" s="1">
        <v>46141</v>
      </c>
      <c r="L7" t="s">
        <v>59</v>
      </c>
      <c r="M7" t="s">
        <v>80</v>
      </c>
      <c r="N7" s="1">
        <v>46141</v>
      </c>
      <c r="P7" t="s">
        <v>81</v>
      </c>
      <c r="Q7" t="s">
        <v>38</v>
      </c>
      <c r="R7" t="s">
        <v>55</v>
      </c>
      <c r="S7" s="1">
        <v>46141</v>
      </c>
      <c r="T7" s="1">
        <v>46141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14</v>
      </c>
      <c r="B8" t="s">
        <v>85</v>
      </c>
      <c r="C8" t="s">
        <v>73</v>
      </c>
      <c r="D8" t="s">
        <v>86</v>
      </c>
      <c r="E8" t="s">
        <v>87</v>
      </c>
      <c r="F8" s="1">
        <v>46139</v>
      </c>
      <c r="G8" s="1">
        <v>46174</v>
      </c>
      <c r="H8" s="4">
        <v>1</v>
      </c>
      <c r="I8" s="1">
        <v>46174</v>
      </c>
      <c r="L8" t="s">
        <v>59</v>
      </c>
      <c r="M8" t="s">
        <v>36</v>
      </c>
      <c r="N8" s="1">
        <v>46161</v>
      </c>
      <c r="P8" t="s">
        <v>88</v>
      </c>
      <c r="Q8" t="s">
        <v>38</v>
      </c>
      <c r="R8" t="s">
        <v>55</v>
      </c>
      <c r="S8" s="1">
        <v>46139</v>
      </c>
      <c r="T8" s="1">
        <v>46161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15</v>
      </c>
      <c r="B9" t="s">
        <v>89</v>
      </c>
      <c r="C9" t="s">
        <v>90</v>
      </c>
      <c r="D9" t="s">
        <v>91</v>
      </c>
      <c r="E9" t="s">
        <v>43</v>
      </c>
      <c r="F9" s="1">
        <v>46139</v>
      </c>
      <c r="G9" s="1">
        <v>46170</v>
      </c>
      <c r="H9" s="4">
        <v>1</v>
      </c>
      <c r="I9" s="1">
        <v>46170</v>
      </c>
      <c r="L9" t="s">
        <v>59</v>
      </c>
      <c r="M9" t="s">
        <v>36</v>
      </c>
      <c r="N9" s="1">
        <v>46161</v>
      </c>
      <c r="P9" t="s">
        <v>88</v>
      </c>
      <c r="Q9" t="s">
        <v>38</v>
      </c>
      <c r="R9" t="s">
        <v>55</v>
      </c>
      <c r="S9" s="1">
        <v>46139</v>
      </c>
      <c r="T9" s="1">
        <v>46161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16</v>
      </c>
      <c r="B10" t="s">
        <v>92</v>
      </c>
      <c r="C10" t="s">
        <v>93</v>
      </c>
      <c r="D10" t="s">
        <v>94</v>
      </c>
      <c r="E10" t="s">
        <v>95</v>
      </c>
      <c r="F10" s="1">
        <v>46139</v>
      </c>
      <c r="G10" s="1">
        <v>46141</v>
      </c>
      <c r="H10" s="4">
        <v>1</v>
      </c>
      <c r="I10" s="1">
        <v>46141</v>
      </c>
      <c r="J10">
        <v>11</v>
      </c>
      <c r="K10" t="s">
        <v>96</v>
      </c>
      <c r="L10" t="s">
        <v>59</v>
      </c>
      <c r="M10" t="s">
        <v>36</v>
      </c>
      <c r="N10" s="1">
        <v>46141</v>
      </c>
      <c r="P10" t="s">
        <v>88</v>
      </c>
      <c r="Q10" t="s">
        <v>38</v>
      </c>
      <c r="R10" t="s">
        <v>55</v>
      </c>
      <c r="S10" s="1">
        <v>46139</v>
      </c>
      <c r="T10" s="1">
        <v>46141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</row>
    <row r="11" spans="1:33" x14ac:dyDescent="0.25">
      <c r="A11">
        <v>17</v>
      </c>
      <c r="B11" t="s">
        <v>97</v>
      </c>
      <c r="C11" t="s">
        <v>93</v>
      </c>
      <c r="D11" t="s">
        <v>98</v>
      </c>
      <c r="E11" t="s">
        <v>53</v>
      </c>
      <c r="F11" s="1">
        <v>46142</v>
      </c>
      <c r="G11" s="1">
        <v>46142</v>
      </c>
      <c r="H11" s="4">
        <v>1</v>
      </c>
      <c r="I11" s="1">
        <v>46142</v>
      </c>
      <c r="J11">
        <v>16</v>
      </c>
      <c r="K11" t="s">
        <v>99</v>
      </c>
      <c r="L11" t="s">
        <v>59</v>
      </c>
      <c r="M11" t="s">
        <v>100</v>
      </c>
      <c r="N11" s="1">
        <v>46142</v>
      </c>
      <c r="P11" t="s">
        <v>88</v>
      </c>
      <c r="Q11" t="s">
        <v>38</v>
      </c>
      <c r="R11" t="s">
        <v>55</v>
      </c>
      <c r="S11" s="1">
        <v>46142</v>
      </c>
      <c r="T11" s="1">
        <v>46142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18</v>
      </c>
      <c r="B12" t="s">
        <v>101</v>
      </c>
      <c r="C12" t="s">
        <v>93</v>
      </c>
      <c r="D12" t="s">
        <v>102</v>
      </c>
      <c r="E12" t="s">
        <v>103</v>
      </c>
      <c r="F12" s="1">
        <v>46148</v>
      </c>
      <c r="G12" s="1">
        <v>46155</v>
      </c>
      <c r="H12" s="4">
        <v>1</v>
      </c>
      <c r="I12" s="1">
        <v>46155</v>
      </c>
      <c r="J12" t="s">
        <v>104</v>
      </c>
      <c r="K12" t="s">
        <v>105</v>
      </c>
      <c r="L12" t="s">
        <v>59</v>
      </c>
      <c r="M12" t="s">
        <v>106</v>
      </c>
      <c r="N12" s="1">
        <v>46155</v>
      </c>
      <c r="P12" t="s">
        <v>88</v>
      </c>
      <c r="Q12" t="s">
        <v>38</v>
      </c>
      <c r="R12" t="s">
        <v>55</v>
      </c>
      <c r="S12" s="1">
        <v>46148</v>
      </c>
      <c r="T12" s="1">
        <v>46155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19</v>
      </c>
      <c r="B13" t="s">
        <v>107</v>
      </c>
      <c r="C13" t="s">
        <v>93</v>
      </c>
      <c r="D13" t="s">
        <v>108</v>
      </c>
      <c r="E13" t="s">
        <v>53</v>
      </c>
      <c r="F13" s="1">
        <v>46170</v>
      </c>
      <c r="G13" s="1">
        <v>46170</v>
      </c>
      <c r="H13" s="4">
        <v>1</v>
      </c>
      <c r="I13" s="1">
        <v>46170</v>
      </c>
      <c r="J13" t="s">
        <v>109</v>
      </c>
      <c r="L13" t="s">
        <v>59</v>
      </c>
      <c r="M13" t="s">
        <v>44</v>
      </c>
      <c r="N13" s="1">
        <v>46161</v>
      </c>
      <c r="P13" t="s">
        <v>88</v>
      </c>
      <c r="Q13" t="s">
        <v>110</v>
      </c>
      <c r="R13" t="s">
        <v>55</v>
      </c>
      <c r="S13" s="1">
        <v>46161</v>
      </c>
      <c r="T13" s="1">
        <v>46161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</row>
    <row r="14" spans="1:33" x14ac:dyDescent="0.25">
      <c r="A14">
        <v>20</v>
      </c>
      <c r="B14" t="s">
        <v>111</v>
      </c>
      <c r="C14" t="s">
        <v>90</v>
      </c>
      <c r="D14" t="s">
        <v>112</v>
      </c>
      <c r="E14" t="s">
        <v>113</v>
      </c>
      <c r="F14" s="1">
        <v>46142</v>
      </c>
      <c r="G14" s="1">
        <v>46174</v>
      </c>
      <c r="H14" s="4">
        <v>1</v>
      </c>
      <c r="I14" s="1">
        <v>46174</v>
      </c>
      <c r="L14" t="s">
        <v>59</v>
      </c>
      <c r="M14" t="s">
        <v>100</v>
      </c>
      <c r="N14" s="1">
        <v>46161</v>
      </c>
      <c r="P14" t="s">
        <v>88</v>
      </c>
      <c r="Q14" t="s">
        <v>38</v>
      </c>
      <c r="R14" t="s">
        <v>55</v>
      </c>
      <c r="S14" s="1">
        <v>46142</v>
      </c>
      <c r="T14" s="1">
        <v>46161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21</v>
      </c>
      <c r="B15" t="s">
        <v>114</v>
      </c>
      <c r="C15" t="s">
        <v>115</v>
      </c>
      <c r="D15" t="s">
        <v>94</v>
      </c>
      <c r="E15" t="s">
        <v>95</v>
      </c>
      <c r="F15" s="1">
        <v>46142</v>
      </c>
      <c r="G15" s="1">
        <v>46146</v>
      </c>
      <c r="H15" s="4">
        <v>1</v>
      </c>
      <c r="I15" s="1">
        <v>46146</v>
      </c>
      <c r="J15">
        <v>16</v>
      </c>
      <c r="K15" t="s">
        <v>116</v>
      </c>
      <c r="L15" t="s">
        <v>59</v>
      </c>
      <c r="M15" t="s">
        <v>100</v>
      </c>
      <c r="N15" s="1">
        <v>46146</v>
      </c>
      <c r="P15" t="s">
        <v>88</v>
      </c>
      <c r="Q15" t="s">
        <v>38</v>
      </c>
      <c r="R15" t="s">
        <v>55</v>
      </c>
      <c r="S15" s="1">
        <v>46142</v>
      </c>
      <c r="T15" s="1">
        <v>46146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>
        <v>22</v>
      </c>
      <c r="B16" t="s">
        <v>117</v>
      </c>
      <c r="C16" t="s">
        <v>115</v>
      </c>
      <c r="D16" t="s">
        <v>98</v>
      </c>
      <c r="E16" t="s">
        <v>53</v>
      </c>
      <c r="F16" s="1">
        <v>46147</v>
      </c>
      <c r="G16" s="1">
        <v>46147</v>
      </c>
      <c r="H16" s="4">
        <v>1</v>
      </c>
      <c r="I16" s="1">
        <v>46147</v>
      </c>
      <c r="J16">
        <v>21</v>
      </c>
      <c r="K16" t="s">
        <v>118</v>
      </c>
      <c r="L16" t="s">
        <v>59</v>
      </c>
      <c r="M16" t="s">
        <v>119</v>
      </c>
      <c r="N16" s="1">
        <v>46147</v>
      </c>
      <c r="P16" t="s">
        <v>88</v>
      </c>
      <c r="Q16" t="s">
        <v>38</v>
      </c>
      <c r="R16" t="s">
        <v>55</v>
      </c>
      <c r="S16" s="1">
        <v>46147</v>
      </c>
      <c r="T16" s="1">
        <v>46147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23</v>
      </c>
      <c r="B17" t="s">
        <v>120</v>
      </c>
      <c r="C17" t="s">
        <v>115</v>
      </c>
      <c r="D17" t="s">
        <v>102</v>
      </c>
      <c r="E17" t="s">
        <v>121</v>
      </c>
      <c r="F17" s="1">
        <v>46155</v>
      </c>
      <c r="G17" s="1">
        <v>46160</v>
      </c>
      <c r="H17" s="4">
        <v>1</v>
      </c>
      <c r="I17" s="1">
        <v>46160</v>
      </c>
      <c r="J17" t="s">
        <v>122</v>
      </c>
      <c r="K17" t="s">
        <v>123</v>
      </c>
      <c r="L17" t="s">
        <v>59</v>
      </c>
      <c r="M17" t="s">
        <v>124</v>
      </c>
      <c r="N17" s="1">
        <v>46160</v>
      </c>
      <c r="P17" t="s">
        <v>88</v>
      </c>
      <c r="Q17" t="s">
        <v>125</v>
      </c>
      <c r="R17" t="s">
        <v>55</v>
      </c>
      <c r="S17" s="1">
        <v>46155</v>
      </c>
      <c r="T17" s="1">
        <v>46160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24</v>
      </c>
      <c r="B18" t="s">
        <v>126</v>
      </c>
      <c r="C18" t="s">
        <v>115</v>
      </c>
      <c r="D18" t="s">
        <v>108</v>
      </c>
      <c r="E18" t="s">
        <v>53</v>
      </c>
      <c r="F18" s="1">
        <v>46171</v>
      </c>
      <c r="G18" s="1">
        <v>46174</v>
      </c>
      <c r="H18" s="4">
        <v>1</v>
      </c>
      <c r="I18" s="1">
        <v>46174</v>
      </c>
      <c r="J18" t="s">
        <v>127</v>
      </c>
      <c r="L18" t="s">
        <v>59</v>
      </c>
      <c r="M18" t="s">
        <v>128</v>
      </c>
      <c r="N18" s="1">
        <v>46161</v>
      </c>
      <c r="P18" t="s">
        <v>88</v>
      </c>
      <c r="Q18" t="s">
        <v>110</v>
      </c>
      <c r="R18" t="s">
        <v>55</v>
      </c>
      <c r="S18" s="1">
        <v>46160</v>
      </c>
      <c r="T18" s="1">
        <v>46161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</row>
    <row r="19" spans="1:33" x14ac:dyDescent="0.25">
      <c r="A19">
        <v>63</v>
      </c>
      <c r="B19" t="s">
        <v>137</v>
      </c>
      <c r="C19" t="s">
        <v>138</v>
      </c>
      <c r="D19" t="s">
        <v>94</v>
      </c>
      <c r="E19" t="s">
        <v>53</v>
      </c>
      <c r="F19" s="1">
        <v>46191</v>
      </c>
      <c r="G19" s="1">
        <v>46191</v>
      </c>
      <c r="H19" s="4">
        <v>1</v>
      </c>
      <c r="I19" s="1">
        <v>46191</v>
      </c>
      <c r="J19" t="s">
        <v>139</v>
      </c>
      <c r="K19" t="s">
        <v>140</v>
      </c>
      <c r="L19" t="s">
        <v>59</v>
      </c>
      <c r="M19" t="s">
        <v>44</v>
      </c>
      <c r="N19" s="1">
        <v>46161</v>
      </c>
      <c r="P19" t="s">
        <v>132</v>
      </c>
      <c r="Q19" t="s">
        <v>133</v>
      </c>
      <c r="R19" t="s">
        <v>55</v>
      </c>
      <c r="S19" s="1">
        <v>46161</v>
      </c>
      <c r="T19" s="1">
        <v>46161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25">
      <c r="A20">
        <v>64</v>
      </c>
      <c r="B20" t="s">
        <v>141</v>
      </c>
      <c r="C20" t="s">
        <v>138</v>
      </c>
      <c r="D20" t="s">
        <v>98</v>
      </c>
      <c r="E20" t="s">
        <v>53</v>
      </c>
      <c r="F20" s="1">
        <v>46192</v>
      </c>
      <c r="G20" s="1">
        <v>46192</v>
      </c>
      <c r="H20" s="4">
        <v>1</v>
      </c>
      <c r="I20" s="1">
        <v>46192</v>
      </c>
      <c r="J20">
        <v>63</v>
      </c>
      <c r="K20">
        <v>65</v>
      </c>
      <c r="L20" t="s">
        <v>59</v>
      </c>
      <c r="M20" t="s">
        <v>142</v>
      </c>
      <c r="N20" s="1">
        <v>46162</v>
      </c>
      <c r="P20" t="s">
        <v>132</v>
      </c>
      <c r="Q20" t="s">
        <v>133</v>
      </c>
      <c r="R20" t="s">
        <v>55</v>
      </c>
      <c r="S20" s="1">
        <v>46162</v>
      </c>
      <c r="T20" s="1">
        <v>46162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>
        <v>78</v>
      </c>
      <c r="B21" t="s">
        <v>155</v>
      </c>
      <c r="C21" t="s">
        <v>156</v>
      </c>
      <c r="D21" t="s">
        <v>157</v>
      </c>
      <c r="E21" t="s">
        <v>158</v>
      </c>
      <c r="F21" s="1">
        <v>46171</v>
      </c>
      <c r="G21" s="1">
        <v>46192</v>
      </c>
      <c r="H21" s="4">
        <v>1</v>
      </c>
      <c r="I21" s="1">
        <v>46192</v>
      </c>
      <c r="L21" t="s">
        <v>59</v>
      </c>
      <c r="M21" t="s">
        <v>44</v>
      </c>
      <c r="N21" s="1">
        <v>46168</v>
      </c>
      <c r="P21" t="s">
        <v>154</v>
      </c>
      <c r="Q21" t="s">
        <v>110</v>
      </c>
      <c r="R21" t="s">
        <v>55</v>
      </c>
      <c r="S21" s="1">
        <v>46161</v>
      </c>
      <c r="T21" s="1">
        <v>46168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79</v>
      </c>
      <c r="B22" t="s">
        <v>159</v>
      </c>
      <c r="C22" t="s">
        <v>160</v>
      </c>
      <c r="D22" t="s">
        <v>94</v>
      </c>
      <c r="E22" t="s">
        <v>121</v>
      </c>
      <c r="F22" s="1">
        <v>46171</v>
      </c>
      <c r="G22" s="1">
        <v>46174</v>
      </c>
      <c r="H22" s="4">
        <v>1</v>
      </c>
      <c r="I22" s="1">
        <v>46174</v>
      </c>
      <c r="J22" t="s">
        <v>161</v>
      </c>
      <c r="K22" t="s">
        <v>162</v>
      </c>
      <c r="L22" t="s">
        <v>59</v>
      </c>
      <c r="M22" t="s">
        <v>44</v>
      </c>
      <c r="N22" s="1">
        <v>46162</v>
      </c>
      <c r="P22" t="s">
        <v>154</v>
      </c>
      <c r="Q22" t="s">
        <v>110</v>
      </c>
      <c r="R22" t="s">
        <v>55</v>
      </c>
      <c r="S22" s="1">
        <v>46161</v>
      </c>
      <c r="T22" s="1">
        <v>46162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80</v>
      </c>
      <c r="B23" t="s">
        <v>163</v>
      </c>
      <c r="C23" t="s">
        <v>160</v>
      </c>
      <c r="D23" t="s">
        <v>98</v>
      </c>
      <c r="E23" t="s">
        <v>53</v>
      </c>
      <c r="F23" s="1">
        <v>46175</v>
      </c>
      <c r="G23" s="1">
        <v>46175</v>
      </c>
      <c r="H23" s="4">
        <v>1</v>
      </c>
      <c r="I23" s="1">
        <v>46175</v>
      </c>
      <c r="J23">
        <v>79</v>
      </c>
      <c r="K23">
        <v>81</v>
      </c>
      <c r="L23" t="s">
        <v>59</v>
      </c>
      <c r="M23" t="s">
        <v>145</v>
      </c>
      <c r="N23" s="1">
        <v>46163</v>
      </c>
      <c r="P23" t="s">
        <v>154</v>
      </c>
      <c r="Q23" t="s">
        <v>110</v>
      </c>
      <c r="R23" t="s">
        <v>55</v>
      </c>
      <c r="S23" s="1">
        <v>46163</v>
      </c>
      <c r="T23" s="1">
        <v>46163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81</v>
      </c>
      <c r="B24" t="s">
        <v>164</v>
      </c>
      <c r="C24" t="s">
        <v>160</v>
      </c>
      <c r="D24" t="s">
        <v>102</v>
      </c>
      <c r="E24" t="s">
        <v>121</v>
      </c>
      <c r="F24" s="1">
        <v>46176</v>
      </c>
      <c r="G24" s="1">
        <v>46181</v>
      </c>
      <c r="H24" s="4">
        <v>1</v>
      </c>
      <c r="I24" s="1">
        <v>46181</v>
      </c>
      <c r="J24">
        <v>80</v>
      </c>
      <c r="K24" t="s">
        <v>165</v>
      </c>
      <c r="L24" t="s">
        <v>59</v>
      </c>
      <c r="M24" t="s">
        <v>62</v>
      </c>
      <c r="N24" s="1">
        <v>46167</v>
      </c>
      <c r="P24" t="s">
        <v>154</v>
      </c>
      <c r="Q24" t="s">
        <v>110</v>
      </c>
      <c r="R24" t="s">
        <v>55</v>
      </c>
      <c r="S24" s="1">
        <v>46164</v>
      </c>
      <c r="T24" s="1">
        <v>46167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82</v>
      </c>
      <c r="B25" t="s">
        <v>166</v>
      </c>
      <c r="C25" t="s">
        <v>160</v>
      </c>
      <c r="D25" t="s">
        <v>108</v>
      </c>
      <c r="E25" t="s">
        <v>53</v>
      </c>
      <c r="F25" s="1">
        <v>46192</v>
      </c>
      <c r="G25" s="1">
        <v>46192</v>
      </c>
      <c r="H25" s="4">
        <v>1</v>
      </c>
      <c r="I25" s="1">
        <v>46192</v>
      </c>
      <c r="J25">
        <v>81</v>
      </c>
      <c r="L25" t="s">
        <v>59</v>
      </c>
      <c r="M25" t="s">
        <v>167</v>
      </c>
      <c r="N25" s="1">
        <v>46168</v>
      </c>
      <c r="P25" t="s">
        <v>154</v>
      </c>
      <c r="Q25" t="s">
        <v>168</v>
      </c>
      <c r="R25" t="s">
        <v>55</v>
      </c>
      <c r="S25" s="1">
        <v>46168</v>
      </c>
      <c r="T25" s="1">
        <v>46168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84</v>
      </c>
      <c r="B26" t="s">
        <v>173</v>
      </c>
      <c r="C26" t="s">
        <v>174</v>
      </c>
      <c r="D26" t="s">
        <v>94</v>
      </c>
      <c r="E26" t="s">
        <v>175</v>
      </c>
      <c r="F26" s="1">
        <v>46206</v>
      </c>
      <c r="G26" s="1">
        <v>46211</v>
      </c>
      <c r="H26" s="4">
        <v>1</v>
      </c>
      <c r="I26" s="1">
        <v>46211</v>
      </c>
      <c r="J26">
        <v>74</v>
      </c>
      <c r="K26">
        <v>85</v>
      </c>
      <c r="L26" t="s">
        <v>59</v>
      </c>
      <c r="M26" t="s">
        <v>172</v>
      </c>
      <c r="N26" s="1">
        <v>46174</v>
      </c>
      <c r="P26" t="s">
        <v>154</v>
      </c>
      <c r="Q26" t="s">
        <v>133</v>
      </c>
      <c r="R26" t="s">
        <v>55</v>
      </c>
      <c r="S26" s="1">
        <v>46170</v>
      </c>
      <c r="T26" s="1">
        <v>46174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</row>
    <row r="27" spans="1:33" x14ac:dyDescent="0.25">
      <c r="A27">
        <v>134</v>
      </c>
      <c r="B27" t="s">
        <v>257</v>
      </c>
      <c r="C27" t="s">
        <v>258</v>
      </c>
      <c r="D27" t="s">
        <v>94</v>
      </c>
      <c r="E27" t="s">
        <v>259</v>
      </c>
      <c r="F27" s="1">
        <v>46195</v>
      </c>
      <c r="G27" s="1">
        <v>46204</v>
      </c>
      <c r="H27" s="4">
        <v>1</v>
      </c>
      <c r="I27" s="1">
        <v>46204</v>
      </c>
      <c r="J27">
        <v>185</v>
      </c>
      <c r="K27">
        <v>135</v>
      </c>
      <c r="L27" t="s">
        <v>59</v>
      </c>
      <c r="M27" t="s">
        <v>256</v>
      </c>
      <c r="N27" s="1">
        <v>46182</v>
      </c>
      <c r="P27" t="s">
        <v>154</v>
      </c>
      <c r="Q27" t="s">
        <v>133</v>
      </c>
      <c r="R27" t="s">
        <v>55</v>
      </c>
      <c r="S27" s="1">
        <v>46171</v>
      </c>
      <c r="T27" s="1">
        <v>46182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x14ac:dyDescent="0.25">
      <c r="A28">
        <v>139</v>
      </c>
      <c r="B28" t="s">
        <v>268</v>
      </c>
      <c r="C28" t="s">
        <v>269</v>
      </c>
      <c r="D28" t="s">
        <v>94</v>
      </c>
      <c r="E28" t="s">
        <v>259</v>
      </c>
      <c r="F28" s="1">
        <v>46195</v>
      </c>
      <c r="G28" s="1">
        <v>46204</v>
      </c>
      <c r="H28" s="4">
        <v>1</v>
      </c>
      <c r="I28" s="1">
        <v>46204</v>
      </c>
      <c r="J28">
        <v>185</v>
      </c>
      <c r="K28">
        <v>140</v>
      </c>
      <c r="L28" t="s">
        <v>59</v>
      </c>
      <c r="M28" t="s">
        <v>256</v>
      </c>
      <c r="N28" s="1">
        <v>46182</v>
      </c>
      <c r="P28" t="s">
        <v>154</v>
      </c>
      <c r="Q28" t="s">
        <v>133</v>
      </c>
      <c r="R28" t="s">
        <v>55</v>
      </c>
      <c r="S28" s="1">
        <v>46171</v>
      </c>
      <c r="T28" s="1">
        <v>46182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</row>
    <row r="29" spans="1:33" x14ac:dyDescent="0.25">
      <c r="A29">
        <v>144</v>
      </c>
      <c r="B29" t="s">
        <v>275</v>
      </c>
      <c r="C29" t="s">
        <v>276</v>
      </c>
      <c r="D29" t="s">
        <v>94</v>
      </c>
      <c r="E29" t="s">
        <v>259</v>
      </c>
      <c r="F29" s="1">
        <v>46195</v>
      </c>
      <c r="G29" s="1">
        <v>46204</v>
      </c>
      <c r="H29" s="4">
        <v>1</v>
      </c>
      <c r="I29" s="1">
        <v>46204</v>
      </c>
      <c r="J29">
        <v>185</v>
      </c>
      <c r="K29">
        <v>145</v>
      </c>
      <c r="L29" t="s">
        <v>59</v>
      </c>
      <c r="M29" t="s">
        <v>256</v>
      </c>
      <c r="N29" s="1">
        <v>46182</v>
      </c>
      <c r="P29" t="s">
        <v>154</v>
      </c>
      <c r="Q29" t="s">
        <v>133</v>
      </c>
      <c r="R29" t="s">
        <v>55</v>
      </c>
      <c r="S29" s="1">
        <v>46171</v>
      </c>
      <c r="T29" s="1">
        <v>46182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>
        <v>149</v>
      </c>
      <c r="B30" t="s">
        <v>282</v>
      </c>
      <c r="C30" t="s">
        <v>283</v>
      </c>
      <c r="D30" t="s">
        <v>94</v>
      </c>
      <c r="E30" t="s">
        <v>259</v>
      </c>
      <c r="F30" s="1">
        <v>46195</v>
      </c>
      <c r="G30" s="1">
        <v>46204</v>
      </c>
      <c r="H30" s="4">
        <v>1</v>
      </c>
      <c r="I30" s="1">
        <v>46204</v>
      </c>
      <c r="J30">
        <v>185</v>
      </c>
      <c r="K30">
        <v>150</v>
      </c>
      <c r="L30" t="s">
        <v>59</v>
      </c>
      <c r="M30" t="s">
        <v>256</v>
      </c>
      <c r="N30" s="1">
        <v>46182</v>
      </c>
      <c r="P30" t="s">
        <v>154</v>
      </c>
      <c r="Q30" t="s">
        <v>133</v>
      </c>
      <c r="R30" t="s">
        <v>55</v>
      </c>
      <c r="S30" s="1">
        <v>46171</v>
      </c>
      <c r="T30" s="1">
        <v>46182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A31">
        <v>154</v>
      </c>
      <c r="B31" t="s">
        <v>290</v>
      </c>
      <c r="C31" t="s">
        <v>291</v>
      </c>
      <c r="D31" t="s">
        <v>94</v>
      </c>
      <c r="E31" t="s">
        <v>259</v>
      </c>
      <c r="F31" s="1">
        <v>46195</v>
      </c>
      <c r="G31" s="1">
        <v>46204</v>
      </c>
      <c r="H31" s="4">
        <v>1</v>
      </c>
      <c r="I31" s="1">
        <v>46204</v>
      </c>
      <c r="J31">
        <v>185</v>
      </c>
      <c r="K31">
        <v>155</v>
      </c>
      <c r="L31" t="s">
        <v>59</v>
      </c>
      <c r="M31" t="s">
        <v>188</v>
      </c>
      <c r="N31" s="1">
        <v>46204</v>
      </c>
      <c r="P31" t="s">
        <v>154</v>
      </c>
      <c r="Q31" t="s">
        <v>133</v>
      </c>
      <c r="R31" t="s">
        <v>55</v>
      </c>
      <c r="S31" s="1">
        <v>46195</v>
      </c>
      <c r="T31" s="1">
        <v>46204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</row>
    <row r="32" spans="1:33" x14ac:dyDescent="0.25">
      <c r="A32">
        <v>159</v>
      </c>
      <c r="B32" t="s">
        <v>299</v>
      </c>
      <c r="C32" t="s">
        <v>300</v>
      </c>
      <c r="D32" t="s">
        <v>94</v>
      </c>
      <c r="E32" t="s">
        <v>259</v>
      </c>
      <c r="F32" s="1">
        <v>46195</v>
      </c>
      <c r="G32" s="1">
        <v>46204</v>
      </c>
      <c r="H32" s="4">
        <v>1</v>
      </c>
      <c r="I32" s="1">
        <v>46204</v>
      </c>
      <c r="J32">
        <v>185</v>
      </c>
      <c r="K32">
        <v>160</v>
      </c>
      <c r="L32" t="s">
        <v>59</v>
      </c>
      <c r="M32" t="s">
        <v>188</v>
      </c>
      <c r="N32" s="1">
        <v>46204</v>
      </c>
      <c r="P32" t="s">
        <v>154</v>
      </c>
      <c r="Q32" t="s">
        <v>133</v>
      </c>
      <c r="R32" t="s">
        <v>55</v>
      </c>
      <c r="S32" s="1">
        <v>46195</v>
      </c>
      <c r="T32" s="1">
        <v>46204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</row>
    <row r="33" spans="1:33" x14ac:dyDescent="0.25">
      <c r="A33">
        <v>164</v>
      </c>
      <c r="B33" t="s">
        <v>307</v>
      </c>
      <c r="C33" t="s">
        <v>308</v>
      </c>
      <c r="D33" t="s">
        <v>94</v>
      </c>
      <c r="E33" t="s">
        <v>309</v>
      </c>
      <c r="F33" s="1">
        <v>46174</v>
      </c>
      <c r="G33" s="1">
        <v>46189</v>
      </c>
      <c r="H33" s="4">
        <v>1</v>
      </c>
      <c r="I33" s="1">
        <v>46189</v>
      </c>
      <c r="J33">
        <v>185</v>
      </c>
      <c r="K33" t="s">
        <v>310</v>
      </c>
      <c r="L33" t="s">
        <v>59</v>
      </c>
      <c r="M33" t="s">
        <v>256</v>
      </c>
      <c r="N33" s="1">
        <v>46184</v>
      </c>
      <c r="P33" t="s">
        <v>154</v>
      </c>
      <c r="Q33" t="s">
        <v>168</v>
      </c>
      <c r="R33" t="s">
        <v>55</v>
      </c>
      <c r="S33" s="1">
        <v>46171</v>
      </c>
      <c r="T33" s="1">
        <v>46184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</row>
    <row r="34" spans="1:33" x14ac:dyDescent="0.25">
      <c r="A34">
        <v>165</v>
      </c>
      <c r="B34" t="s">
        <v>311</v>
      </c>
      <c r="C34" t="s">
        <v>308</v>
      </c>
      <c r="D34" t="s">
        <v>98</v>
      </c>
      <c r="E34" t="s">
        <v>53</v>
      </c>
      <c r="F34" s="1">
        <v>46192</v>
      </c>
      <c r="G34" s="1">
        <v>46192</v>
      </c>
      <c r="H34" s="4">
        <v>1</v>
      </c>
      <c r="I34" s="1">
        <v>46192</v>
      </c>
      <c r="J34">
        <v>164</v>
      </c>
      <c r="K34">
        <v>166</v>
      </c>
      <c r="L34" t="s">
        <v>59</v>
      </c>
      <c r="M34" t="s">
        <v>312</v>
      </c>
      <c r="N34" s="1">
        <v>46185</v>
      </c>
      <c r="P34" t="s">
        <v>154</v>
      </c>
      <c r="Q34" t="s">
        <v>133</v>
      </c>
      <c r="R34" t="s">
        <v>55</v>
      </c>
      <c r="S34" s="1">
        <v>46185</v>
      </c>
      <c r="T34" s="1">
        <v>46185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169</v>
      </c>
      <c r="B35" t="s">
        <v>318</v>
      </c>
      <c r="C35" t="s">
        <v>319</v>
      </c>
      <c r="D35" t="s">
        <v>94</v>
      </c>
      <c r="E35" t="s">
        <v>309</v>
      </c>
      <c r="F35" s="1">
        <v>46176</v>
      </c>
      <c r="G35" s="1">
        <v>46191</v>
      </c>
      <c r="H35" s="4">
        <v>1</v>
      </c>
      <c r="I35" s="1">
        <v>46191</v>
      </c>
      <c r="J35">
        <v>185</v>
      </c>
      <c r="K35" t="s">
        <v>320</v>
      </c>
      <c r="L35" t="s">
        <v>59</v>
      </c>
      <c r="M35" t="s">
        <v>321</v>
      </c>
      <c r="N35" s="1">
        <v>46189</v>
      </c>
      <c r="P35" t="s">
        <v>154</v>
      </c>
      <c r="Q35" t="s">
        <v>168</v>
      </c>
      <c r="R35" t="s">
        <v>55</v>
      </c>
      <c r="S35" s="1">
        <v>46174</v>
      </c>
      <c r="T35" s="1">
        <v>46189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25">
      <c r="A36">
        <v>174</v>
      </c>
      <c r="B36" t="s">
        <v>328</v>
      </c>
      <c r="C36" t="s">
        <v>329</v>
      </c>
      <c r="D36" t="s">
        <v>94</v>
      </c>
      <c r="E36" t="s">
        <v>309</v>
      </c>
      <c r="F36" s="1">
        <v>46174</v>
      </c>
      <c r="G36" s="1">
        <v>46189</v>
      </c>
      <c r="H36" s="4">
        <v>1</v>
      </c>
      <c r="I36" s="1">
        <v>46189</v>
      </c>
      <c r="J36">
        <v>185</v>
      </c>
      <c r="K36" t="s">
        <v>330</v>
      </c>
      <c r="L36" t="s">
        <v>59</v>
      </c>
      <c r="M36" t="s">
        <v>321</v>
      </c>
      <c r="N36" s="1">
        <v>46189</v>
      </c>
      <c r="P36" t="s">
        <v>154</v>
      </c>
      <c r="Q36" t="s">
        <v>168</v>
      </c>
      <c r="R36" t="s">
        <v>55</v>
      </c>
      <c r="S36" s="1">
        <v>46174</v>
      </c>
      <c r="T36" s="1">
        <v>46189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>
        <v>175</v>
      </c>
      <c r="B37" t="s">
        <v>331</v>
      </c>
      <c r="C37" t="s">
        <v>329</v>
      </c>
      <c r="D37" t="s">
        <v>98</v>
      </c>
      <c r="E37" t="s">
        <v>53</v>
      </c>
      <c r="F37" s="1">
        <v>46192</v>
      </c>
      <c r="G37" s="1">
        <v>46192</v>
      </c>
      <c r="H37" s="4">
        <v>1</v>
      </c>
      <c r="I37" s="1">
        <v>46192</v>
      </c>
      <c r="J37">
        <v>174</v>
      </c>
      <c r="K37">
        <v>176</v>
      </c>
      <c r="L37" t="s">
        <v>59</v>
      </c>
      <c r="M37" t="s">
        <v>315</v>
      </c>
      <c r="N37" s="1">
        <v>46190</v>
      </c>
      <c r="P37" t="s">
        <v>154</v>
      </c>
      <c r="Q37" t="s">
        <v>133</v>
      </c>
      <c r="R37" t="s">
        <v>55</v>
      </c>
      <c r="S37" s="1">
        <v>46190</v>
      </c>
      <c r="T37" s="1">
        <v>46190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179</v>
      </c>
      <c r="B38" t="s">
        <v>336</v>
      </c>
      <c r="C38" t="s">
        <v>337</v>
      </c>
      <c r="D38" t="s">
        <v>94</v>
      </c>
      <c r="E38" t="s">
        <v>309</v>
      </c>
      <c r="F38" s="1">
        <v>46176</v>
      </c>
      <c r="G38" s="1">
        <v>46191</v>
      </c>
      <c r="H38" s="4">
        <v>1</v>
      </c>
      <c r="I38" s="1">
        <v>46191</v>
      </c>
      <c r="J38">
        <v>185</v>
      </c>
      <c r="K38" t="s">
        <v>338</v>
      </c>
      <c r="L38" t="s">
        <v>59</v>
      </c>
      <c r="M38" t="s">
        <v>321</v>
      </c>
      <c r="N38" s="1">
        <v>46189</v>
      </c>
      <c r="P38" t="s">
        <v>154</v>
      </c>
      <c r="Q38" t="s">
        <v>168</v>
      </c>
      <c r="R38" t="s">
        <v>55</v>
      </c>
      <c r="S38" s="1">
        <v>46174</v>
      </c>
      <c r="T38" s="1">
        <v>46189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184</v>
      </c>
      <c r="B39" t="s">
        <v>344</v>
      </c>
      <c r="C39" t="s">
        <v>345</v>
      </c>
      <c r="D39" t="s">
        <v>94</v>
      </c>
      <c r="E39" t="s">
        <v>259</v>
      </c>
      <c r="F39" s="1">
        <v>46157</v>
      </c>
      <c r="G39" s="1">
        <v>46168</v>
      </c>
      <c r="H39" s="4">
        <v>1</v>
      </c>
      <c r="I39" s="1">
        <v>46168</v>
      </c>
      <c r="J39" t="s">
        <v>346</v>
      </c>
      <c r="K39" t="s">
        <v>347</v>
      </c>
      <c r="L39" t="s">
        <v>59</v>
      </c>
      <c r="M39" t="s">
        <v>348</v>
      </c>
      <c r="N39" s="1">
        <v>46168</v>
      </c>
      <c r="P39" t="s">
        <v>154</v>
      </c>
      <c r="Q39" t="s">
        <v>125</v>
      </c>
      <c r="R39" t="s">
        <v>55</v>
      </c>
      <c r="S39" s="1">
        <v>46157</v>
      </c>
      <c r="T39" s="1">
        <v>46168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>
        <v>185</v>
      </c>
      <c r="B40" t="s">
        <v>349</v>
      </c>
      <c r="C40" t="s">
        <v>345</v>
      </c>
      <c r="D40" t="s">
        <v>98</v>
      </c>
      <c r="E40" t="s">
        <v>53</v>
      </c>
      <c r="F40" s="1">
        <v>46171</v>
      </c>
      <c r="G40" s="1">
        <v>46171</v>
      </c>
      <c r="H40" s="4">
        <v>1</v>
      </c>
      <c r="I40" s="1">
        <v>46171</v>
      </c>
      <c r="J40">
        <v>184</v>
      </c>
      <c r="K40" t="s">
        <v>350</v>
      </c>
      <c r="L40" t="s">
        <v>59</v>
      </c>
      <c r="M40" t="s">
        <v>256</v>
      </c>
      <c r="N40" s="1">
        <v>46171</v>
      </c>
      <c r="P40" t="s">
        <v>154</v>
      </c>
      <c r="Q40" t="s">
        <v>110</v>
      </c>
      <c r="R40" t="s">
        <v>55</v>
      </c>
      <c r="S40" s="1">
        <v>46171</v>
      </c>
      <c r="T40" s="1">
        <v>46171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194</v>
      </c>
      <c r="B41" t="s">
        <v>365</v>
      </c>
      <c r="C41" t="s">
        <v>366</v>
      </c>
      <c r="D41" t="s">
        <v>94</v>
      </c>
      <c r="E41" t="s">
        <v>95</v>
      </c>
      <c r="F41" s="1">
        <v>46190</v>
      </c>
      <c r="G41" s="1">
        <v>46192</v>
      </c>
      <c r="H41" s="4">
        <v>1</v>
      </c>
      <c r="I41" s="1">
        <v>46192</v>
      </c>
      <c r="J41" t="s">
        <v>359</v>
      </c>
      <c r="K41">
        <v>195</v>
      </c>
      <c r="L41" t="s">
        <v>59</v>
      </c>
      <c r="M41" t="s">
        <v>312</v>
      </c>
      <c r="N41" s="1">
        <v>46189</v>
      </c>
      <c r="P41" t="s">
        <v>154</v>
      </c>
      <c r="Q41" t="s">
        <v>133</v>
      </c>
      <c r="R41" t="s">
        <v>55</v>
      </c>
      <c r="S41" s="1">
        <v>46185</v>
      </c>
      <c r="T41" s="1">
        <v>46189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</row>
    <row r="42" spans="1:33" x14ac:dyDescent="0.25">
      <c r="A42">
        <v>215</v>
      </c>
      <c r="B42" t="s">
        <v>383</v>
      </c>
      <c r="C42" t="s">
        <v>384</v>
      </c>
      <c r="D42" t="s">
        <v>94</v>
      </c>
      <c r="E42" t="s">
        <v>175</v>
      </c>
      <c r="F42" s="1">
        <v>46206</v>
      </c>
      <c r="G42" s="1">
        <v>46211</v>
      </c>
      <c r="H42" s="4">
        <v>1</v>
      </c>
      <c r="I42" s="1">
        <v>46211</v>
      </c>
      <c r="J42" t="s">
        <v>385</v>
      </c>
      <c r="K42">
        <v>216</v>
      </c>
      <c r="L42" t="s">
        <v>59</v>
      </c>
      <c r="M42" t="s">
        <v>172</v>
      </c>
      <c r="N42" s="1">
        <v>46174</v>
      </c>
      <c r="P42" t="s">
        <v>379</v>
      </c>
      <c r="Q42" t="s">
        <v>178</v>
      </c>
      <c r="R42" t="s">
        <v>55</v>
      </c>
      <c r="S42" s="1">
        <v>46170</v>
      </c>
      <c r="T42" s="1">
        <v>46174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</row>
    <row r="43" spans="1:33" x14ac:dyDescent="0.25">
      <c r="A43">
        <v>245</v>
      </c>
      <c r="B43" t="s">
        <v>404</v>
      </c>
      <c r="C43" t="s">
        <v>405</v>
      </c>
      <c r="D43" t="s">
        <v>94</v>
      </c>
      <c r="E43" t="s">
        <v>95</v>
      </c>
      <c r="F43" s="1">
        <v>46185</v>
      </c>
      <c r="G43" s="1">
        <v>46189</v>
      </c>
      <c r="H43" s="4">
        <v>1</v>
      </c>
      <c r="I43" s="1">
        <v>46189</v>
      </c>
      <c r="J43" t="s">
        <v>406</v>
      </c>
      <c r="K43" t="s">
        <v>407</v>
      </c>
      <c r="L43" t="s">
        <v>59</v>
      </c>
      <c r="M43" t="s">
        <v>142</v>
      </c>
      <c r="N43" s="1">
        <v>46163</v>
      </c>
      <c r="P43" t="s">
        <v>379</v>
      </c>
      <c r="Q43" t="s">
        <v>65</v>
      </c>
      <c r="R43" t="s">
        <v>55</v>
      </c>
      <c r="S43" s="1">
        <v>46162</v>
      </c>
      <c r="T43" s="1">
        <v>46163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>
        <v>255</v>
      </c>
      <c r="B44" t="s">
        <v>415</v>
      </c>
      <c r="C44" t="s">
        <v>416</v>
      </c>
      <c r="D44" t="s">
        <v>94</v>
      </c>
      <c r="E44" t="s">
        <v>95</v>
      </c>
      <c r="F44" s="1">
        <v>46209</v>
      </c>
      <c r="G44" s="1">
        <v>46216</v>
      </c>
      <c r="H44" s="4">
        <v>1</v>
      </c>
      <c r="I44" s="1">
        <v>46216</v>
      </c>
      <c r="J44" t="s">
        <v>417</v>
      </c>
      <c r="K44">
        <v>256</v>
      </c>
      <c r="L44" t="s">
        <v>59</v>
      </c>
      <c r="M44" t="s">
        <v>177</v>
      </c>
      <c r="N44" s="1">
        <v>46177</v>
      </c>
      <c r="P44" t="s">
        <v>379</v>
      </c>
      <c r="Q44" t="s">
        <v>146</v>
      </c>
      <c r="R44" t="s">
        <v>55</v>
      </c>
      <c r="S44" s="1">
        <v>46175</v>
      </c>
      <c r="T44" s="1">
        <v>46177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25">
      <c r="A45">
        <v>260</v>
      </c>
      <c r="B45" t="s">
        <v>424</v>
      </c>
      <c r="C45" t="s">
        <v>425</v>
      </c>
      <c r="D45" t="s">
        <v>94</v>
      </c>
      <c r="E45" t="s">
        <v>95</v>
      </c>
      <c r="F45" s="1">
        <v>46209</v>
      </c>
      <c r="G45" s="1">
        <v>46216</v>
      </c>
      <c r="H45" s="4">
        <v>1</v>
      </c>
      <c r="I45" s="1">
        <v>46216</v>
      </c>
      <c r="J45" t="s">
        <v>417</v>
      </c>
      <c r="K45">
        <v>261</v>
      </c>
      <c r="L45" t="s">
        <v>59</v>
      </c>
      <c r="M45" t="s">
        <v>177</v>
      </c>
      <c r="N45" s="1">
        <v>46177</v>
      </c>
      <c r="P45" t="s">
        <v>379</v>
      </c>
      <c r="Q45" t="s">
        <v>146</v>
      </c>
      <c r="R45" t="s">
        <v>55</v>
      </c>
      <c r="S45" s="1">
        <v>46175</v>
      </c>
      <c r="T45" s="1">
        <v>46177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25">
      <c r="A46">
        <v>265</v>
      </c>
      <c r="B46" t="s">
        <v>431</v>
      </c>
      <c r="C46" t="s">
        <v>432</v>
      </c>
      <c r="D46" t="s">
        <v>94</v>
      </c>
      <c r="E46" t="s">
        <v>95</v>
      </c>
      <c r="F46" s="1">
        <v>46209</v>
      </c>
      <c r="G46" s="1">
        <v>46216</v>
      </c>
      <c r="H46" s="4">
        <v>1</v>
      </c>
      <c r="I46" s="1">
        <v>46216</v>
      </c>
      <c r="J46" t="s">
        <v>417</v>
      </c>
      <c r="K46">
        <v>266</v>
      </c>
      <c r="L46" t="s">
        <v>59</v>
      </c>
      <c r="M46" t="s">
        <v>177</v>
      </c>
      <c r="N46" s="1">
        <v>46177</v>
      </c>
      <c r="P46" t="s">
        <v>379</v>
      </c>
      <c r="Q46" t="s">
        <v>146</v>
      </c>
      <c r="R46" t="s">
        <v>55</v>
      </c>
      <c r="S46" s="1">
        <v>46175</v>
      </c>
      <c r="T46" s="1">
        <v>46177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</row>
    <row r="47" spans="1:33" x14ac:dyDescent="0.25">
      <c r="A47">
        <v>285</v>
      </c>
      <c r="B47" t="s">
        <v>438</v>
      </c>
      <c r="C47" t="s">
        <v>439</v>
      </c>
      <c r="D47" t="s">
        <v>94</v>
      </c>
      <c r="E47" t="s">
        <v>95</v>
      </c>
      <c r="F47" s="1">
        <v>46209</v>
      </c>
      <c r="G47" s="1">
        <v>46216</v>
      </c>
      <c r="H47" s="4">
        <v>1</v>
      </c>
      <c r="I47" s="1">
        <v>46216</v>
      </c>
      <c r="J47" t="s">
        <v>417</v>
      </c>
      <c r="K47">
        <v>286</v>
      </c>
      <c r="L47" t="s">
        <v>59</v>
      </c>
      <c r="M47" t="s">
        <v>177</v>
      </c>
      <c r="N47" s="1">
        <v>46177</v>
      </c>
      <c r="P47" t="s">
        <v>379</v>
      </c>
      <c r="Q47" t="s">
        <v>146</v>
      </c>
      <c r="R47" t="s">
        <v>55</v>
      </c>
      <c r="S47" s="1">
        <v>46175</v>
      </c>
      <c r="T47" s="1">
        <v>46177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</row>
    <row r="48" spans="1:33" x14ac:dyDescent="0.25">
      <c r="A48">
        <v>290</v>
      </c>
      <c r="B48" t="s">
        <v>445</v>
      </c>
      <c r="C48" t="s">
        <v>446</v>
      </c>
      <c r="D48" t="s">
        <v>94</v>
      </c>
      <c r="E48" t="s">
        <v>95</v>
      </c>
      <c r="F48" s="1">
        <v>46209</v>
      </c>
      <c r="G48" s="1">
        <v>46216</v>
      </c>
      <c r="H48" s="4">
        <v>1</v>
      </c>
      <c r="I48" s="1">
        <v>46216</v>
      </c>
      <c r="J48" t="s">
        <v>417</v>
      </c>
      <c r="K48">
        <v>291</v>
      </c>
      <c r="L48" t="s">
        <v>59</v>
      </c>
      <c r="M48" t="s">
        <v>177</v>
      </c>
      <c r="N48" s="1">
        <v>46177</v>
      </c>
      <c r="P48" t="s">
        <v>379</v>
      </c>
      <c r="Q48" t="s">
        <v>146</v>
      </c>
      <c r="R48" t="s">
        <v>55</v>
      </c>
      <c r="S48" s="1">
        <v>46175</v>
      </c>
      <c r="T48" s="1">
        <v>46177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</row>
    <row r="49" spans="1:33" x14ac:dyDescent="0.25">
      <c r="A49">
        <v>295</v>
      </c>
      <c r="B49" t="s">
        <v>452</v>
      </c>
      <c r="C49" t="s">
        <v>453</v>
      </c>
      <c r="D49" t="s">
        <v>94</v>
      </c>
      <c r="E49" t="s">
        <v>95</v>
      </c>
      <c r="F49" s="1">
        <v>46209</v>
      </c>
      <c r="G49" s="1">
        <v>46216</v>
      </c>
      <c r="H49" s="4">
        <v>1</v>
      </c>
      <c r="I49" s="1">
        <v>46216</v>
      </c>
      <c r="J49" t="s">
        <v>417</v>
      </c>
      <c r="K49">
        <v>296</v>
      </c>
      <c r="L49" t="s">
        <v>59</v>
      </c>
      <c r="M49" t="s">
        <v>177</v>
      </c>
      <c r="N49" s="1">
        <v>46177</v>
      </c>
      <c r="P49" t="s">
        <v>379</v>
      </c>
      <c r="Q49" t="s">
        <v>146</v>
      </c>
      <c r="R49" t="s">
        <v>55</v>
      </c>
      <c r="S49" s="1">
        <v>46175</v>
      </c>
      <c r="T49" s="1">
        <v>46177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>
        <v>300</v>
      </c>
      <c r="B50" t="s">
        <v>459</v>
      </c>
      <c r="C50" t="s">
        <v>460</v>
      </c>
      <c r="D50" t="s">
        <v>94</v>
      </c>
      <c r="E50" t="s">
        <v>95</v>
      </c>
      <c r="F50" s="1">
        <v>46209</v>
      </c>
      <c r="G50" s="1">
        <v>46216</v>
      </c>
      <c r="H50" s="4">
        <v>1</v>
      </c>
      <c r="I50" s="1">
        <v>46216</v>
      </c>
      <c r="J50" t="s">
        <v>417</v>
      </c>
      <c r="K50">
        <v>301</v>
      </c>
      <c r="L50" t="s">
        <v>59</v>
      </c>
      <c r="M50" t="s">
        <v>194</v>
      </c>
      <c r="N50" s="1">
        <v>46211</v>
      </c>
      <c r="P50" t="s">
        <v>379</v>
      </c>
      <c r="Q50" t="s">
        <v>146</v>
      </c>
      <c r="R50" t="s">
        <v>55</v>
      </c>
      <c r="S50" s="1">
        <v>46209</v>
      </c>
      <c r="T50" s="1">
        <v>46211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25">
      <c r="A51">
        <v>305</v>
      </c>
      <c r="B51" t="s">
        <v>469</v>
      </c>
      <c r="C51" t="s">
        <v>470</v>
      </c>
      <c r="D51" t="s">
        <v>94</v>
      </c>
      <c r="E51" t="s">
        <v>95</v>
      </c>
      <c r="F51" s="1">
        <v>46209</v>
      </c>
      <c r="G51" s="1">
        <v>46216</v>
      </c>
      <c r="H51" s="4">
        <v>1</v>
      </c>
      <c r="I51" s="1">
        <v>46216</v>
      </c>
      <c r="J51" t="s">
        <v>417</v>
      </c>
      <c r="K51">
        <v>306</v>
      </c>
      <c r="L51" t="s">
        <v>59</v>
      </c>
      <c r="M51" t="s">
        <v>194</v>
      </c>
      <c r="N51" s="1">
        <v>46211</v>
      </c>
      <c r="P51" t="s">
        <v>379</v>
      </c>
      <c r="Q51" t="s">
        <v>146</v>
      </c>
      <c r="R51" t="s">
        <v>55</v>
      </c>
      <c r="S51" s="1">
        <v>46209</v>
      </c>
      <c r="T51" s="1">
        <v>46211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25">
      <c r="A52">
        <v>315</v>
      </c>
      <c r="B52" t="s">
        <v>476</v>
      </c>
      <c r="C52" t="s">
        <v>477</v>
      </c>
      <c r="D52" t="s">
        <v>94</v>
      </c>
      <c r="E52" t="s">
        <v>95</v>
      </c>
      <c r="F52" s="1">
        <v>46206</v>
      </c>
      <c r="G52" s="1">
        <v>46210</v>
      </c>
      <c r="H52" s="4">
        <v>1</v>
      </c>
      <c r="I52" s="1">
        <v>46210</v>
      </c>
      <c r="J52">
        <v>242</v>
      </c>
      <c r="K52">
        <v>316</v>
      </c>
      <c r="L52" t="s">
        <v>59</v>
      </c>
      <c r="M52" t="s">
        <v>177</v>
      </c>
      <c r="N52" s="1">
        <v>46177</v>
      </c>
      <c r="P52" t="s">
        <v>379</v>
      </c>
      <c r="Q52" t="s">
        <v>146</v>
      </c>
      <c r="R52" t="s">
        <v>55</v>
      </c>
      <c r="S52" s="1">
        <v>46175</v>
      </c>
      <c r="T52" s="1">
        <v>46177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</row>
    <row r="53" spans="1:33" x14ac:dyDescent="0.25">
      <c r="A53">
        <v>331</v>
      </c>
      <c r="B53" t="s">
        <v>489</v>
      </c>
      <c r="C53" t="s">
        <v>490</v>
      </c>
      <c r="D53" t="s">
        <v>94</v>
      </c>
      <c r="E53" t="s">
        <v>95</v>
      </c>
      <c r="F53" s="1">
        <v>46211</v>
      </c>
      <c r="G53" s="1">
        <v>46216</v>
      </c>
      <c r="H53" s="4">
        <v>1</v>
      </c>
      <c r="I53" s="1">
        <v>46216</v>
      </c>
      <c r="J53" t="s">
        <v>491</v>
      </c>
      <c r="K53" t="s">
        <v>492</v>
      </c>
      <c r="L53" t="s">
        <v>59</v>
      </c>
      <c r="M53" t="s">
        <v>315</v>
      </c>
      <c r="N53" s="1">
        <v>46192</v>
      </c>
      <c r="P53" t="s">
        <v>484</v>
      </c>
      <c r="Q53" t="s">
        <v>178</v>
      </c>
      <c r="R53" t="s">
        <v>55</v>
      </c>
      <c r="S53" s="1">
        <v>46190</v>
      </c>
      <c r="T53" s="1">
        <v>46192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</row>
    <row r="54" spans="1:33" x14ac:dyDescent="0.25">
      <c r="A54">
        <v>346</v>
      </c>
      <c r="B54" t="s">
        <v>509</v>
      </c>
      <c r="C54" t="s">
        <v>510</v>
      </c>
      <c r="D54" t="s">
        <v>94</v>
      </c>
      <c r="E54" t="s">
        <v>95</v>
      </c>
      <c r="F54" s="1">
        <v>46209</v>
      </c>
      <c r="G54" s="1">
        <v>46211</v>
      </c>
      <c r="H54" s="4">
        <v>1</v>
      </c>
      <c r="I54" s="1">
        <v>46211</v>
      </c>
      <c r="J54" t="s">
        <v>511</v>
      </c>
      <c r="K54" t="s">
        <v>512</v>
      </c>
      <c r="L54" t="s">
        <v>59</v>
      </c>
      <c r="M54" t="s">
        <v>265</v>
      </c>
      <c r="N54" s="1">
        <v>46192</v>
      </c>
      <c r="P54" t="s">
        <v>484</v>
      </c>
      <c r="Q54" t="s">
        <v>133</v>
      </c>
      <c r="R54" t="s">
        <v>55</v>
      </c>
      <c r="S54" s="1">
        <v>46188</v>
      </c>
      <c r="T54" s="1">
        <v>46192</v>
      </c>
      <c r="V54">
        <v>1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</row>
    <row r="55" spans="1:33" x14ac:dyDescent="0.25">
      <c r="A55">
        <v>417</v>
      </c>
      <c r="B55" t="s">
        <v>603</v>
      </c>
      <c r="C55" t="s">
        <v>604</v>
      </c>
      <c r="D55" t="s">
        <v>94</v>
      </c>
      <c r="E55" t="s">
        <v>121</v>
      </c>
      <c r="F55" s="1">
        <v>46176</v>
      </c>
      <c r="G55" s="1">
        <v>46181</v>
      </c>
      <c r="H55" s="4">
        <v>1</v>
      </c>
      <c r="I55" s="1">
        <v>46181</v>
      </c>
      <c r="J55" t="s">
        <v>605</v>
      </c>
      <c r="K55" t="s">
        <v>606</v>
      </c>
      <c r="L55" t="s">
        <v>59</v>
      </c>
      <c r="M55" t="s">
        <v>167</v>
      </c>
      <c r="N55" s="1">
        <v>46170</v>
      </c>
      <c r="P55" t="s">
        <v>598</v>
      </c>
      <c r="Q55" t="s">
        <v>168</v>
      </c>
      <c r="R55" t="s">
        <v>55</v>
      </c>
      <c r="S55" s="1">
        <v>46168</v>
      </c>
      <c r="T55" s="1">
        <v>46170</v>
      </c>
      <c r="V55">
        <v>1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25">
      <c r="A56">
        <v>418</v>
      </c>
      <c r="B56" t="s">
        <v>607</v>
      </c>
      <c r="C56" t="s">
        <v>604</v>
      </c>
      <c r="D56" t="s">
        <v>98</v>
      </c>
      <c r="E56" t="s">
        <v>53</v>
      </c>
      <c r="F56" s="1">
        <v>46182</v>
      </c>
      <c r="G56" s="1">
        <v>46182</v>
      </c>
      <c r="H56" s="4">
        <v>1</v>
      </c>
      <c r="I56" s="1">
        <v>46182</v>
      </c>
      <c r="J56">
        <v>417</v>
      </c>
      <c r="K56">
        <v>419</v>
      </c>
      <c r="L56" t="s">
        <v>59</v>
      </c>
      <c r="M56" t="s">
        <v>256</v>
      </c>
      <c r="N56" s="1">
        <v>46171</v>
      </c>
      <c r="P56" t="s">
        <v>598</v>
      </c>
      <c r="Q56" t="s">
        <v>65</v>
      </c>
      <c r="R56" t="s">
        <v>55</v>
      </c>
      <c r="S56" s="1">
        <v>46171</v>
      </c>
      <c r="T56" s="1">
        <v>46171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427</v>
      </c>
      <c r="B57" t="s">
        <v>613</v>
      </c>
      <c r="C57" t="s">
        <v>614</v>
      </c>
      <c r="D57" t="s">
        <v>94</v>
      </c>
      <c r="E57" t="s">
        <v>175</v>
      </c>
      <c r="F57" s="1">
        <v>46170</v>
      </c>
      <c r="G57" s="1">
        <v>46175</v>
      </c>
      <c r="H57" s="4">
        <v>1</v>
      </c>
      <c r="I57" s="1">
        <v>46175</v>
      </c>
      <c r="J57" t="s">
        <v>615</v>
      </c>
      <c r="K57" t="s">
        <v>616</v>
      </c>
      <c r="L57" t="s">
        <v>59</v>
      </c>
      <c r="M57" t="s">
        <v>145</v>
      </c>
      <c r="N57" s="1">
        <v>46167</v>
      </c>
      <c r="P57" t="s">
        <v>598</v>
      </c>
      <c r="Q57" t="s">
        <v>110</v>
      </c>
      <c r="R57" t="s">
        <v>55</v>
      </c>
      <c r="S57" s="1">
        <v>46163</v>
      </c>
      <c r="T57" s="1">
        <v>46167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25">
      <c r="A58">
        <v>428</v>
      </c>
      <c r="B58" t="s">
        <v>617</v>
      </c>
      <c r="C58" t="s">
        <v>614</v>
      </c>
      <c r="D58" t="s">
        <v>98</v>
      </c>
      <c r="E58" t="s">
        <v>175</v>
      </c>
      <c r="F58" s="1">
        <v>46175</v>
      </c>
      <c r="G58" s="1">
        <v>46182</v>
      </c>
      <c r="H58" s="4">
        <v>1</v>
      </c>
      <c r="I58" s="1">
        <v>46182</v>
      </c>
      <c r="J58">
        <v>427</v>
      </c>
      <c r="K58">
        <v>429</v>
      </c>
      <c r="L58" t="s">
        <v>59</v>
      </c>
      <c r="M58" t="s">
        <v>167</v>
      </c>
      <c r="N58" s="1">
        <v>46168</v>
      </c>
      <c r="P58" t="s">
        <v>598</v>
      </c>
      <c r="Q58" t="s">
        <v>168</v>
      </c>
      <c r="R58" t="s">
        <v>55</v>
      </c>
      <c r="S58" s="1">
        <v>46168</v>
      </c>
      <c r="T58" s="1">
        <v>46168</v>
      </c>
      <c r="V58">
        <v>1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447</v>
      </c>
      <c r="B59" t="s">
        <v>625</v>
      </c>
      <c r="C59" t="s">
        <v>626</v>
      </c>
      <c r="D59" t="s">
        <v>94</v>
      </c>
      <c r="E59" t="s">
        <v>121</v>
      </c>
      <c r="F59" s="1">
        <v>46205</v>
      </c>
      <c r="G59" s="1">
        <v>46206</v>
      </c>
      <c r="H59" s="4">
        <v>1</v>
      </c>
      <c r="I59" s="1">
        <v>46206</v>
      </c>
      <c r="J59" t="s">
        <v>627</v>
      </c>
      <c r="K59" t="s">
        <v>628</v>
      </c>
      <c r="L59" t="s">
        <v>59</v>
      </c>
      <c r="M59" t="s">
        <v>420</v>
      </c>
      <c r="N59" s="1">
        <v>46185</v>
      </c>
      <c r="P59" t="s">
        <v>598</v>
      </c>
      <c r="Q59" t="s">
        <v>168</v>
      </c>
      <c r="R59" t="s">
        <v>55</v>
      </c>
      <c r="S59" s="1">
        <v>46181</v>
      </c>
      <c r="T59" s="1">
        <v>46185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</row>
    <row r="60" spans="1:33" x14ac:dyDescent="0.25">
      <c r="A60">
        <v>478</v>
      </c>
      <c r="B60" t="s">
        <v>643</v>
      </c>
      <c r="C60" t="s">
        <v>644</v>
      </c>
      <c r="D60" t="s">
        <v>94</v>
      </c>
      <c r="E60" t="s">
        <v>590</v>
      </c>
      <c r="F60" s="1">
        <v>46204</v>
      </c>
      <c r="G60" s="1">
        <v>46210</v>
      </c>
      <c r="H60" s="4">
        <v>1</v>
      </c>
      <c r="I60" s="1">
        <v>46210</v>
      </c>
      <c r="J60">
        <v>513</v>
      </c>
      <c r="K60" t="s">
        <v>645</v>
      </c>
      <c r="L60" t="s">
        <v>59</v>
      </c>
      <c r="M60" t="s">
        <v>62</v>
      </c>
      <c r="N60" s="1">
        <v>46168</v>
      </c>
      <c r="P60" t="s">
        <v>638</v>
      </c>
      <c r="Q60" t="s">
        <v>133</v>
      </c>
      <c r="R60" t="s">
        <v>55</v>
      </c>
      <c r="S60" s="1">
        <v>46164</v>
      </c>
      <c r="T60" s="1">
        <v>46168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</row>
    <row r="61" spans="1:33" x14ac:dyDescent="0.25">
      <c r="A61">
        <v>483</v>
      </c>
      <c r="B61" t="s">
        <v>651</v>
      </c>
      <c r="C61" t="s">
        <v>652</v>
      </c>
      <c r="D61" t="s">
        <v>94</v>
      </c>
      <c r="E61" t="s">
        <v>175</v>
      </c>
      <c r="F61" s="1">
        <v>46203</v>
      </c>
      <c r="G61" s="1">
        <v>46206</v>
      </c>
      <c r="H61" s="4">
        <v>1</v>
      </c>
      <c r="I61" s="1">
        <v>46206</v>
      </c>
      <c r="K61">
        <v>484</v>
      </c>
      <c r="L61" t="s">
        <v>59</v>
      </c>
      <c r="M61" t="s">
        <v>392</v>
      </c>
      <c r="N61" s="1">
        <v>46198</v>
      </c>
      <c r="P61" t="s">
        <v>638</v>
      </c>
      <c r="Q61" t="s">
        <v>178</v>
      </c>
      <c r="R61" t="s">
        <v>55</v>
      </c>
      <c r="S61" s="1">
        <v>46196</v>
      </c>
      <c r="T61" s="1">
        <v>46198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</row>
    <row r="62" spans="1:33" x14ac:dyDescent="0.25">
      <c r="A62">
        <v>484</v>
      </c>
      <c r="B62" t="s">
        <v>653</v>
      </c>
      <c r="C62" t="s">
        <v>652</v>
      </c>
      <c r="D62" t="s">
        <v>98</v>
      </c>
      <c r="E62" t="s">
        <v>53</v>
      </c>
      <c r="F62" s="1">
        <v>46209</v>
      </c>
      <c r="G62" s="1">
        <v>46209</v>
      </c>
      <c r="H62" s="4">
        <v>1</v>
      </c>
      <c r="I62" s="1">
        <v>46209</v>
      </c>
      <c r="J62">
        <v>483</v>
      </c>
      <c r="K62">
        <v>485</v>
      </c>
      <c r="L62" t="s">
        <v>59</v>
      </c>
      <c r="M62" t="s">
        <v>396</v>
      </c>
      <c r="N62" s="1">
        <v>46199</v>
      </c>
      <c r="P62" t="s">
        <v>638</v>
      </c>
      <c r="Q62" t="s">
        <v>146</v>
      </c>
      <c r="R62" t="s">
        <v>55</v>
      </c>
      <c r="S62" s="1">
        <v>46199</v>
      </c>
      <c r="T62" s="1">
        <v>46199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488</v>
      </c>
      <c r="B63" t="s">
        <v>658</v>
      </c>
      <c r="C63" t="s">
        <v>659</v>
      </c>
      <c r="D63" t="s">
        <v>94</v>
      </c>
      <c r="E63" t="s">
        <v>175</v>
      </c>
      <c r="F63" s="1">
        <v>46203</v>
      </c>
      <c r="G63" s="1">
        <v>46206</v>
      </c>
      <c r="H63" s="4">
        <v>1</v>
      </c>
      <c r="I63" s="1">
        <v>46206</v>
      </c>
      <c r="J63">
        <v>543</v>
      </c>
      <c r="K63">
        <v>489</v>
      </c>
      <c r="L63" t="s">
        <v>59</v>
      </c>
      <c r="M63" t="s">
        <v>500</v>
      </c>
      <c r="N63" s="1">
        <v>46206</v>
      </c>
      <c r="P63" t="s">
        <v>638</v>
      </c>
      <c r="Q63" t="s">
        <v>178</v>
      </c>
      <c r="R63" t="s">
        <v>55</v>
      </c>
      <c r="S63" s="1">
        <v>46203</v>
      </c>
      <c r="T63" s="1">
        <v>46206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</row>
    <row r="64" spans="1:33" x14ac:dyDescent="0.25">
      <c r="A64">
        <v>489</v>
      </c>
      <c r="B64" t="s">
        <v>660</v>
      </c>
      <c r="C64" t="s">
        <v>659</v>
      </c>
      <c r="D64" t="s">
        <v>98</v>
      </c>
      <c r="E64" t="s">
        <v>53</v>
      </c>
      <c r="F64" s="1">
        <v>46209</v>
      </c>
      <c r="G64" s="1">
        <v>46209</v>
      </c>
      <c r="H64" s="4">
        <v>1</v>
      </c>
      <c r="I64" s="1">
        <v>46209</v>
      </c>
      <c r="J64">
        <v>488</v>
      </c>
      <c r="K64">
        <v>490</v>
      </c>
      <c r="L64" t="s">
        <v>59</v>
      </c>
      <c r="M64" t="s">
        <v>194</v>
      </c>
      <c r="N64" s="1">
        <v>46209</v>
      </c>
      <c r="P64" t="s">
        <v>638</v>
      </c>
      <c r="Q64" t="s">
        <v>146</v>
      </c>
      <c r="R64" t="s">
        <v>55</v>
      </c>
      <c r="S64" s="1">
        <v>46209</v>
      </c>
      <c r="T64" s="1">
        <v>46209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503</v>
      </c>
      <c r="B65" t="s">
        <v>665</v>
      </c>
      <c r="C65" t="s">
        <v>666</v>
      </c>
      <c r="D65" t="s">
        <v>94</v>
      </c>
      <c r="E65" t="s">
        <v>590</v>
      </c>
      <c r="F65" s="1">
        <v>46206</v>
      </c>
      <c r="G65" s="1">
        <v>46216</v>
      </c>
      <c r="H65" s="4">
        <v>1</v>
      </c>
      <c r="I65" s="1">
        <v>46216</v>
      </c>
      <c r="J65" t="s">
        <v>667</v>
      </c>
      <c r="K65">
        <v>504</v>
      </c>
      <c r="L65" t="s">
        <v>59</v>
      </c>
      <c r="M65" t="s">
        <v>293</v>
      </c>
      <c r="N65" s="1">
        <v>46205</v>
      </c>
      <c r="P65" t="s">
        <v>638</v>
      </c>
      <c r="Q65" t="s">
        <v>178</v>
      </c>
      <c r="R65" t="s">
        <v>55</v>
      </c>
      <c r="S65" s="1">
        <v>46205</v>
      </c>
      <c r="T65" s="1">
        <v>46205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</row>
    <row r="66" spans="1:33" x14ac:dyDescent="0.25">
      <c r="A66">
        <v>507</v>
      </c>
      <c r="B66" t="s">
        <v>671</v>
      </c>
      <c r="C66" t="s">
        <v>640</v>
      </c>
      <c r="D66" t="s">
        <v>672</v>
      </c>
      <c r="E66" t="s">
        <v>602</v>
      </c>
      <c r="F66" s="1">
        <v>46174</v>
      </c>
      <c r="G66" s="1">
        <v>46206</v>
      </c>
      <c r="H66" s="4">
        <v>1</v>
      </c>
      <c r="I66" s="1">
        <v>46206</v>
      </c>
      <c r="L66" t="s">
        <v>59</v>
      </c>
      <c r="M66" t="s">
        <v>142</v>
      </c>
      <c r="N66" s="1">
        <v>46169</v>
      </c>
      <c r="P66" t="s">
        <v>638</v>
      </c>
      <c r="Q66" t="s">
        <v>168</v>
      </c>
      <c r="R66" t="s">
        <v>55</v>
      </c>
      <c r="S66" s="1">
        <v>46162</v>
      </c>
      <c r="T66" s="1">
        <v>46169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508</v>
      </c>
      <c r="B67" t="s">
        <v>673</v>
      </c>
      <c r="C67" t="s">
        <v>674</v>
      </c>
      <c r="D67" t="s">
        <v>94</v>
      </c>
      <c r="E67" t="s">
        <v>103</v>
      </c>
      <c r="F67" s="1">
        <v>46174</v>
      </c>
      <c r="G67" s="1">
        <v>46185</v>
      </c>
      <c r="H67" s="4">
        <v>1</v>
      </c>
      <c r="I67" s="1">
        <v>46185</v>
      </c>
      <c r="J67" t="s">
        <v>675</v>
      </c>
      <c r="K67">
        <v>509</v>
      </c>
      <c r="L67" t="s">
        <v>59</v>
      </c>
      <c r="M67" t="s">
        <v>142</v>
      </c>
      <c r="N67" s="1">
        <v>46163</v>
      </c>
      <c r="P67" t="s">
        <v>638</v>
      </c>
      <c r="Q67" t="s">
        <v>168</v>
      </c>
      <c r="R67" t="s">
        <v>55</v>
      </c>
      <c r="S67" s="1">
        <v>46162</v>
      </c>
      <c r="T67" s="1">
        <v>46163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</row>
    <row r="68" spans="1:33" x14ac:dyDescent="0.25">
      <c r="A68">
        <v>509</v>
      </c>
      <c r="B68" t="s">
        <v>676</v>
      </c>
      <c r="C68" t="s">
        <v>674</v>
      </c>
      <c r="D68" t="s">
        <v>98</v>
      </c>
      <c r="E68" t="s">
        <v>590</v>
      </c>
      <c r="F68" s="1">
        <v>46188</v>
      </c>
      <c r="G68" s="1">
        <v>46192</v>
      </c>
      <c r="H68" s="4">
        <v>1</v>
      </c>
      <c r="I68" s="1">
        <v>46192</v>
      </c>
      <c r="J68">
        <v>508</v>
      </c>
      <c r="K68">
        <v>510</v>
      </c>
      <c r="L68" t="s">
        <v>59</v>
      </c>
      <c r="M68" t="s">
        <v>62</v>
      </c>
      <c r="N68" s="1">
        <v>46164</v>
      </c>
      <c r="P68" t="s">
        <v>638</v>
      </c>
      <c r="Q68" t="s">
        <v>133</v>
      </c>
      <c r="R68" t="s">
        <v>55</v>
      </c>
      <c r="S68" s="1">
        <v>46164</v>
      </c>
      <c r="T68" s="1">
        <v>46164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510</v>
      </c>
      <c r="B69" t="s">
        <v>677</v>
      </c>
      <c r="C69" t="s">
        <v>674</v>
      </c>
      <c r="D69" t="s">
        <v>102</v>
      </c>
      <c r="E69" t="s">
        <v>678</v>
      </c>
      <c r="F69" s="1">
        <v>46195</v>
      </c>
      <c r="G69" s="1">
        <v>46205</v>
      </c>
      <c r="H69" s="4">
        <v>1</v>
      </c>
      <c r="I69" s="1">
        <v>46205</v>
      </c>
      <c r="J69">
        <v>509</v>
      </c>
      <c r="K69">
        <v>511</v>
      </c>
      <c r="L69" t="s">
        <v>59</v>
      </c>
      <c r="M69" t="s">
        <v>149</v>
      </c>
      <c r="N69" s="1">
        <v>46168</v>
      </c>
      <c r="P69" t="s">
        <v>638</v>
      </c>
      <c r="Q69" t="s">
        <v>133</v>
      </c>
      <c r="R69" t="s">
        <v>55</v>
      </c>
      <c r="S69" s="1">
        <v>46167</v>
      </c>
      <c r="T69" s="1">
        <v>46168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511</v>
      </c>
      <c r="B70" t="s">
        <v>679</v>
      </c>
      <c r="C70" t="s">
        <v>674</v>
      </c>
      <c r="D70" t="s">
        <v>108</v>
      </c>
      <c r="E70" t="s">
        <v>53</v>
      </c>
      <c r="F70" s="1">
        <v>46206</v>
      </c>
      <c r="G70" s="1">
        <v>46206</v>
      </c>
      <c r="H70" s="4">
        <v>1</v>
      </c>
      <c r="I70" s="1">
        <v>46206</v>
      </c>
      <c r="J70">
        <v>510</v>
      </c>
      <c r="L70" t="s">
        <v>59</v>
      </c>
      <c r="M70" t="s">
        <v>411</v>
      </c>
      <c r="N70" s="1">
        <v>46169</v>
      </c>
      <c r="P70" t="s">
        <v>638</v>
      </c>
      <c r="Q70" t="s">
        <v>133</v>
      </c>
      <c r="R70" t="s">
        <v>55</v>
      </c>
      <c r="S70" s="1">
        <v>46169</v>
      </c>
      <c r="T70" s="1">
        <v>46169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</row>
    <row r="71" spans="1:33" x14ac:dyDescent="0.25">
      <c r="A71">
        <v>513</v>
      </c>
      <c r="B71" t="s">
        <v>682</v>
      </c>
      <c r="C71" t="s">
        <v>683</v>
      </c>
      <c r="D71" t="s">
        <v>94</v>
      </c>
      <c r="E71" t="s">
        <v>103</v>
      </c>
      <c r="F71" s="1">
        <v>46174</v>
      </c>
      <c r="G71" s="1">
        <v>46185</v>
      </c>
      <c r="H71" s="4">
        <v>1</v>
      </c>
      <c r="I71" s="1">
        <v>46185</v>
      </c>
      <c r="J71" t="s">
        <v>675</v>
      </c>
      <c r="K71" t="s">
        <v>684</v>
      </c>
      <c r="L71" t="s">
        <v>59</v>
      </c>
      <c r="M71" t="s">
        <v>142</v>
      </c>
      <c r="N71" s="1">
        <v>46163</v>
      </c>
      <c r="P71" t="s">
        <v>638</v>
      </c>
      <c r="Q71" t="s">
        <v>168</v>
      </c>
      <c r="R71" t="s">
        <v>55</v>
      </c>
      <c r="S71" s="1">
        <v>46162</v>
      </c>
      <c r="T71" s="1">
        <v>46163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</row>
    <row r="72" spans="1:33" x14ac:dyDescent="0.25">
      <c r="A72">
        <v>514</v>
      </c>
      <c r="B72" t="s">
        <v>685</v>
      </c>
      <c r="C72" t="s">
        <v>683</v>
      </c>
      <c r="D72" t="s">
        <v>98</v>
      </c>
      <c r="E72" t="s">
        <v>590</v>
      </c>
      <c r="F72" s="1">
        <v>46188</v>
      </c>
      <c r="G72" s="1">
        <v>46192</v>
      </c>
      <c r="H72" s="4">
        <v>1</v>
      </c>
      <c r="I72" s="1">
        <v>46192</v>
      </c>
      <c r="J72">
        <v>513</v>
      </c>
      <c r="K72">
        <v>515</v>
      </c>
      <c r="L72" t="s">
        <v>59</v>
      </c>
      <c r="M72" t="s">
        <v>62</v>
      </c>
      <c r="N72" s="1">
        <v>46164</v>
      </c>
      <c r="P72" t="s">
        <v>638</v>
      </c>
      <c r="Q72" t="s">
        <v>133</v>
      </c>
      <c r="R72" t="s">
        <v>55</v>
      </c>
      <c r="S72" s="1">
        <v>46164</v>
      </c>
      <c r="T72" s="1">
        <v>46164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518</v>
      </c>
      <c r="B73" t="s">
        <v>690</v>
      </c>
      <c r="C73" t="s">
        <v>691</v>
      </c>
      <c r="D73" t="s">
        <v>94</v>
      </c>
      <c r="E73" t="s">
        <v>103</v>
      </c>
      <c r="F73" s="1">
        <v>46174</v>
      </c>
      <c r="G73" s="1">
        <v>46185</v>
      </c>
      <c r="H73" s="4">
        <v>1</v>
      </c>
      <c r="I73" s="1">
        <v>46185</v>
      </c>
      <c r="J73" t="s">
        <v>675</v>
      </c>
      <c r="K73">
        <v>519</v>
      </c>
      <c r="L73" t="s">
        <v>59</v>
      </c>
      <c r="M73" t="s">
        <v>142</v>
      </c>
      <c r="N73" s="1">
        <v>46163</v>
      </c>
      <c r="P73" t="s">
        <v>638</v>
      </c>
      <c r="Q73" t="s">
        <v>168</v>
      </c>
      <c r="R73" t="s">
        <v>55</v>
      </c>
      <c r="S73" s="1">
        <v>46162</v>
      </c>
      <c r="T73" s="1">
        <v>46163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</row>
    <row r="74" spans="1:33" x14ac:dyDescent="0.25">
      <c r="A74">
        <v>519</v>
      </c>
      <c r="B74" t="s">
        <v>692</v>
      </c>
      <c r="C74" t="s">
        <v>691</v>
      </c>
      <c r="D74" t="s">
        <v>98</v>
      </c>
      <c r="E74" t="s">
        <v>590</v>
      </c>
      <c r="F74" s="1">
        <v>46188</v>
      </c>
      <c r="G74" s="1">
        <v>46192</v>
      </c>
      <c r="H74" s="4">
        <v>1</v>
      </c>
      <c r="I74" s="1">
        <v>46192</v>
      </c>
      <c r="J74">
        <v>518</v>
      </c>
      <c r="K74">
        <v>520</v>
      </c>
      <c r="L74" t="s">
        <v>59</v>
      </c>
      <c r="M74" t="s">
        <v>62</v>
      </c>
      <c r="N74" s="1">
        <v>46164</v>
      </c>
      <c r="P74" t="s">
        <v>638</v>
      </c>
      <c r="Q74" t="s">
        <v>133</v>
      </c>
      <c r="R74" t="s">
        <v>55</v>
      </c>
      <c r="S74" s="1">
        <v>46164</v>
      </c>
      <c r="T74" s="1">
        <v>46164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523</v>
      </c>
      <c r="B75" t="s">
        <v>698</v>
      </c>
      <c r="C75" t="s">
        <v>699</v>
      </c>
      <c r="D75" t="s">
        <v>94</v>
      </c>
      <c r="E75" t="s">
        <v>175</v>
      </c>
      <c r="F75" s="1">
        <v>46195</v>
      </c>
      <c r="G75" s="1">
        <v>46198</v>
      </c>
      <c r="H75" s="4">
        <v>1</v>
      </c>
      <c r="I75" s="1">
        <v>46198</v>
      </c>
      <c r="J75">
        <v>478</v>
      </c>
      <c r="K75">
        <v>524</v>
      </c>
      <c r="L75" t="s">
        <v>59</v>
      </c>
      <c r="M75" t="s">
        <v>411</v>
      </c>
      <c r="N75" s="1">
        <v>46182</v>
      </c>
      <c r="P75" t="s">
        <v>638</v>
      </c>
      <c r="Q75" t="s">
        <v>178</v>
      </c>
      <c r="R75" t="s">
        <v>55</v>
      </c>
      <c r="S75" s="1">
        <v>46169</v>
      </c>
      <c r="T75" s="1">
        <v>46182</v>
      </c>
      <c r="V75">
        <v>1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</row>
    <row r="76" spans="1:33" x14ac:dyDescent="0.25">
      <c r="A76">
        <v>524</v>
      </c>
      <c r="B76" t="s">
        <v>700</v>
      </c>
      <c r="C76" t="s">
        <v>699</v>
      </c>
      <c r="D76" t="s">
        <v>98</v>
      </c>
      <c r="E76" t="s">
        <v>53</v>
      </c>
      <c r="F76" s="1">
        <v>46199</v>
      </c>
      <c r="G76" s="1">
        <v>46199</v>
      </c>
      <c r="H76" s="4">
        <v>1</v>
      </c>
      <c r="I76" s="1">
        <v>46199</v>
      </c>
      <c r="J76">
        <v>523</v>
      </c>
      <c r="K76">
        <v>525</v>
      </c>
      <c r="L76" t="s">
        <v>59</v>
      </c>
      <c r="M76" t="s">
        <v>261</v>
      </c>
      <c r="N76" s="1">
        <v>46183</v>
      </c>
      <c r="P76" t="s">
        <v>638</v>
      </c>
      <c r="Q76" t="s">
        <v>146</v>
      </c>
      <c r="R76" t="s">
        <v>55</v>
      </c>
      <c r="S76" s="1">
        <v>46183</v>
      </c>
      <c r="T76" s="1">
        <v>46183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527</v>
      </c>
      <c r="B77" t="s">
        <v>703</v>
      </c>
      <c r="C77" t="s">
        <v>640</v>
      </c>
      <c r="D77" t="s">
        <v>704</v>
      </c>
      <c r="E77" t="s">
        <v>158</v>
      </c>
      <c r="F77" s="1">
        <v>46192</v>
      </c>
      <c r="G77" s="1">
        <v>46211</v>
      </c>
      <c r="H77" s="4">
        <v>1</v>
      </c>
      <c r="I77" s="1">
        <v>46211</v>
      </c>
      <c r="L77" t="s">
        <v>59</v>
      </c>
      <c r="M77" t="s">
        <v>411</v>
      </c>
      <c r="N77" s="1">
        <v>46188</v>
      </c>
      <c r="P77" t="s">
        <v>638</v>
      </c>
      <c r="Q77" t="s">
        <v>133</v>
      </c>
      <c r="R77" t="s">
        <v>55</v>
      </c>
      <c r="S77" s="1">
        <v>46169</v>
      </c>
      <c r="T77" s="1">
        <v>46188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528</v>
      </c>
      <c r="B78" t="s">
        <v>705</v>
      </c>
      <c r="C78" t="s">
        <v>706</v>
      </c>
      <c r="D78" t="s">
        <v>94</v>
      </c>
      <c r="E78" t="s">
        <v>175</v>
      </c>
      <c r="F78" s="1">
        <v>46192</v>
      </c>
      <c r="G78" s="1">
        <v>46197</v>
      </c>
      <c r="H78" s="4">
        <v>1</v>
      </c>
      <c r="I78" s="1">
        <v>46197</v>
      </c>
      <c r="J78">
        <v>478</v>
      </c>
      <c r="K78">
        <v>529</v>
      </c>
      <c r="L78" t="s">
        <v>59</v>
      </c>
      <c r="M78" t="s">
        <v>411</v>
      </c>
      <c r="N78" s="1">
        <v>46182</v>
      </c>
      <c r="P78" t="s">
        <v>638</v>
      </c>
      <c r="Q78" t="s">
        <v>133</v>
      </c>
      <c r="R78" t="s">
        <v>55</v>
      </c>
      <c r="S78" s="1">
        <v>46169</v>
      </c>
      <c r="T78" s="1">
        <v>46182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</row>
    <row r="79" spans="1:33" x14ac:dyDescent="0.25">
      <c r="A79">
        <v>529</v>
      </c>
      <c r="B79" t="s">
        <v>707</v>
      </c>
      <c r="C79" t="s">
        <v>706</v>
      </c>
      <c r="D79" t="s">
        <v>98</v>
      </c>
      <c r="E79" t="s">
        <v>53</v>
      </c>
      <c r="F79" s="1">
        <v>46198</v>
      </c>
      <c r="G79" s="1">
        <v>46198</v>
      </c>
      <c r="H79" s="4">
        <v>1</v>
      </c>
      <c r="I79" s="1">
        <v>46198</v>
      </c>
      <c r="J79">
        <v>528</v>
      </c>
      <c r="K79">
        <v>530</v>
      </c>
      <c r="L79" t="s">
        <v>59</v>
      </c>
      <c r="M79" t="s">
        <v>261</v>
      </c>
      <c r="N79" s="1">
        <v>46183</v>
      </c>
      <c r="P79" t="s">
        <v>638</v>
      </c>
      <c r="Q79" t="s">
        <v>178</v>
      </c>
      <c r="R79" t="s">
        <v>55</v>
      </c>
      <c r="S79" s="1">
        <v>46183</v>
      </c>
      <c r="T79" s="1">
        <v>46183</v>
      </c>
      <c r="V79">
        <v>1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530</v>
      </c>
      <c r="B80" t="s">
        <v>708</v>
      </c>
      <c r="C80" t="s">
        <v>706</v>
      </c>
      <c r="D80" t="s">
        <v>102</v>
      </c>
      <c r="E80" t="s">
        <v>121</v>
      </c>
      <c r="F80" s="1">
        <v>46209</v>
      </c>
      <c r="G80" s="1">
        <v>46210</v>
      </c>
      <c r="H80" s="4">
        <v>1</v>
      </c>
      <c r="I80" s="1">
        <v>46210</v>
      </c>
      <c r="J80">
        <v>529</v>
      </c>
      <c r="K80">
        <v>531</v>
      </c>
      <c r="L80" t="s">
        <v>59</v>
      </c>
      <c r="M80" t="s">
        <v>263</v>
      </c>
      <c r="N80" s="1">
        <v>46185</v>
      </c>
      <c r="P80" t="s">
        <v>638</v>
      </c>
      <c r="Q80" t="s">
        <v>178</v>
      </c>
      <c r="R80" t="s">
        <v>55</v>
      </c>
      <c r="S80" s="1">
        <v>46184</v>
      </c>
      <c r="T80" s="1">
        <v>46185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531</v>
      </c>
      <c r="B81" t="s">
        <v>709</v>
      </c>
      <c r="C81" t="s">
        <v>706</v>
      </c>
      <c r="D81" t="s">
        <v>108</v>
      </c>
      <c r="E81" t="s">
        <v>53</v>
      </c>
      <c r="F81" s="1">
        <v>46211</v>
      </c>
      <c r="G81" s="1">
        <v>46211</v>
      </c>
      <c r="H81" s="4">
        <v>1</v>
      </c>
      <c r="I81" s="1">
        <v>46211</v>
      </c>
      <c r="J81">
        <v>530</v>
      </c>
      <c r="L81" t="s">
        <v>59</v>
      </c>
      <c r="M81" t="s">
        <v>265</v>
      </c>
      <c r="N81" s="1">
        <v>46188</v>
      </c>
      <c r="P81" t="s">
        <v>638</v>
      </c>
      <c r="Q81" t="s">
        <v>146</v>
      </c>
      <c r="R81" t="s">
        <v>55</v>
      </c>
      <c r="S81" s="1">
        <v>46188</v>
      </c>
      <c r="T81" s="1">
        <v>46188</v>
      </c>
      <c r="V81">
        <v>1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</row>
    <row r="82" spans="1:33" x14ac:dyDescent="0.25">
      <c r="A82">
        <v>533</v>
      </c>
      <c r="B82" t="s">
        <v>712</v>
      </c>
      <c r="C82" t="s">
        <v>713</v>
      </c>
      <c r="D82" t="s">
        <v>94</v>
      </c>
      <c r="E82" t="s">
        <v>95</v>
      </c>
      <c r="F82" s="1">
        <v>46197</v>
      </c>
      <c r="G82" s="1">
        <v>46199</v>
      </c>
      <c r="H82" s="4">
        <v>1</v>
      </c>
      <c r="I82" s="1">
        <v>46199</v>
      </c>
      <c r="J82">
        <v>478</v>
      </c>
      <c r="K82">
        <v>534</v>
      </c>
      <c r="L82" t="s">
        <v>59</v>
      </c>
      <c r="M82" t="s">
        <v>411</v>
      </c>
      <c r="N82" s="1">
        <v>46182</v>
      </c>
      <c r="P82" t="s">
        <v>638</v>
      </c>
      <c r="Q82" t="s">
        <v>178</v>
      </c>
      <c r="R82" t="s">
        <v>55</v>
      </c>
      <c r="S82" s="1">
        <v>46169</v>
      </c>
      <c r="T82" s="1">
        <v>46182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</row>
    <row r="83" spans="1:33" x14ac:dyDescent="0.25">
      <c r="A83">
        <v>538</v>
      </c>
      <c r="B83" t="s">
        <v>719</v>
      </c>
      <c r="C83" t="s">
        <v>720</v>
      </c>
      <c r="D83" t="s">
        <v>94</v>
      </c>
      <c r="E83" t="s">
        <v>175</v>
      </c>
      <c r="F83" s="1">
        <v>46192</v>
      </c>
      <c r="G83" s="1">
        <v>46197</v>
      </c>
      <c r="H83" s="4">
        <v>1</v>
      </c>
      <c r="I83" s="1">
        <v>46197</v>
      </c>
      <c r="J83">
        <v>478</v>
      </c>
      <c r="K83">
        <v>539</v>
      </c>
      <c r="L83" t="s">
        <v>59</v>
      </c>
      <c r="M83" t="s">
        <v>411</v>
      </c>
      <c r="N83" s="1">
        <v>46182</v>
      </c>
      <c r="P83" t="s">
        <v>638</v>
      </c>
      <c r="Q83" t="s">
        <v>133</v>
      </c>
      <c r="R83" t="s">
        <v>55</v>
      </c>
      <c r="S83" s="1">
        <v>46169</v>
      </c>
      <c r="T83" s="1">
        <v>46182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</row>
    <row r="84" spans="1:33" x14ac:dyDescent="0.25">
      <c r="A84">
        <v>543</v>
      </c>
      <c r="B84" t="s">
        <v>727</v>
      </c>
      <c r="C84" t="s">
        <v>728</v>
      </c>
      <c r="D84" t="s">
        <v>94</v>
      </c>
      <c r="E84" t="s">
        <v>729</v>
      </c>
      <c r="F84" s="1">
        <v>46204</v>
      </c>
      <c r="G84" s="1">
        <v>46216</v>
      </c>
      <c r="H84" s="4">
        <v>1</v>
      </c>
      <c r="I84" s="1">
        <v>46216</v>
      </c>
      <c r="K84" t="s">
        <v>730</v>
      </c>
      <c r="L84" t="s">
        <v>59</v>
      </c>
      <c r="M84" t="s">
        <v>261</v>
      </c>
      <c r="N84" s="1">
        <v>46185</v>
      </c>
      <c r="P84" t="s">
        <v>638</v>
      </c>
      <c r="Q84" t="s">
        <v>133</v>
      </c>
      <c r="R84" t="s">
        <v>55</v>
      </c>
      <c r="S84" s="1">
        <v>46183</v>
      </c>
      <c r="T84" s="1">
        <v>46185</v>
      </c>
      <c r="V84">
        <v>1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</row>
    <row r="85" spans="1:33" x14ac:dyDescent="0.25">
      <c r="A85">
        <v>558</v>
      </c>
      <c r="B85" t="s">
        <v>736</v>
      </c>
      <c r="C85" t="s">
        <v>737</v>
      </c>
      <c r="D85" t="s">
        <v>94</v>
      </c>
      <c r="E85" t="s">
        <v>175</v>
      </c>
      <c r="F85" s="1">
        <v>46219</v>
      </c>
      <c r="G85" s="1">
        <v>46224</v>
      </c>
      <c r="H85" s="4">
        <v>1</v>
      </c>
      <c r="I85" s="1">
        <v>46224</v>
      </c>
      <c r="J85" t="s">
        <v>738</v>
      </c>
      <c r="K85" t="s">
        <v>739</v>
      </c>
      <c r="L85" t="s">
        <v>59</v>
      </c>
      <c r="M85" t="s">
        <v>400</v>
      </c>
      <c r="N85" s="1">
        <v>46204</v>
      </c>
      <c r="P85" t="s">
        <v>638</v>
      </c>
      <c r="Q85" t="s">
        <v>178</v>
      </c>
      <c r="R85" t="s">
        <v>55</v>
      </c>
      <c r="S85" s="1">
        <v>46204</v>
      </c>
      <c r="T85" s="1">
        <v>46204</v>
      </c>
      <c r="V85">
        <v>1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 x14ac:dyDescent="0.25">
      <c r="A86">
        <v>568</v>
      </c>
      <c r="B86" t="s">
        <v>754</v>
      </c>
      <c r="C86" t="s">
        <v>755</v>
      </c>
      <c r="D86" t="s">
        <v>94</v>
      </c>
      <c r="E86" t="s">
        <v>259</v>
      </c>
      <c r="F86" s="1">
        <v>46190</v>
      </c>
      <c r="G86" s="1">
        <v>46201</v>
      </c>
      <c r="H86" s="4">
        <v>1</v>
      </c>
      <c r="I86" s="1">
        <v>46201</v>
      </c>
      <c r="K86" t="s">
        <v>756</v>
      </c>
      <c r="L86" t="s">
        <v>59</v>
      </c>
      <c r="M86" t="s">
        <v>324</v>
      </c>
      <c r="N86" s="1">
        <v>46204</v>
      </c>
      <c r="P86" t="s">
        <v>638</v>
      </c>
      <c r="Q86" t="s">
        <v>133</v>
      </c>
      <c r="R86" t="s">
        <v>55</v>
      </c>
      <c r="S86" s="1">
        <v>46191</v>
      </c>
      <c r="T86" s="1">
        <v>46204</v>
      </c>
      <c r="V86">
        <v>1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</row>
    <row r="87" spans="1:33" x14ac:dyDescent="0.25">
      <c r="A87">
        <v>569</v>
      </c>
      <c r="B87" t="s">
        <v>757</v>
      </c>
      <c r="C87" t="s">
        <v>755</v>
      </c>
      <c r="D87" t="s">
        <v>98</v>
      </c>
      <c r="E87" t="s">
        <v>590</v>
      </c>
      <c r="F87" s="1">
        <v>46202</v>
      </c>
      <c r="G87" s="1">
        <v>46206</v>
      </c>
      <c r="H87" s="4">
        <v>1</v>
      </c>
      <c r="I87" s="1">
        <v>46206</v>
      </c>
      <c r="J87">
        <v>568</v>
      </c>
      <c r="K87">
        <v>570</v>
      </c>
      <c r="L87" t="s">
        <v>59</v>
      </c>
      <c r="M87" t="s">
        <v>293</v>
      </c>
      <c r="N87" s="1">
        <v>46205</v>
      </c>
      <c r="P87" t="s">
        <v>638</v>
      </c>
      <c r="Q87" t="s">
        <v>178</v>
      </c>
      <c r="R87" t="s">
        <v>55</v>
      </c>
      <c r="S87" s="1">
        <v>46205</v>
      </c>
      <c r="T87" s="1">
        <v>46205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573</v>
      </c>
      <c r="B88" t="s">
        <v>762</v>
      </c>
      <c r="C88" t="s">
        <v>763</v>
      </c>
      <c r="D88" t="s">
        <v>94</v>
      </c>
      <c r="E88" t="s">
        <v>729</v>
      </c>
      <c r="F88" s="1">
        <v>46190</v>
      </c>
      <c r="G88" s="1">
        <v>46198</v>
      </c>
      <c r="H88" s="4">
        <v>1</v>
      </c>
      <c r="I88" s="1">
        <v>46198</v>
      </c>
      <c r="J88" t="s">
        <v>764</v>
      </c>
      <c r="K88">
        <v>574</v>
      </c>
      <c r="L88" t="s">
        <v>59</v>
      </c>
      <c r="M88" t="s">
        <v>324</v>
      </c>
      <c r="N88" s="1">
        <v>46204</v>
      </c>
      <c r="P88" t="s">
        <v>638</v>
      </c>
      <c r="Q88" t="s">
        <v>133</v>
      </c>
      <c r="R88" t="s">
        <v>55</v>
      </c>
      <c r="S88" s="1">
        <v>46191</v>
      </c>
      <c r="T88" s="1">
        <v>46204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</row>
    <row r="89" spans="1:33" x14ac:dyDescent="0.25">
      <c r="A89">
        <v>574</v>
      </c>
      <c r="B89" t="s">
        <v>765</v>
      </c>
      <c r="C89" t="s">
        <v>763</v>
      </c>
      <c r="D89" t="s">
        <v>98</v>
      </c>
      <c r="E89" t="s">
        <v>103</v>
      </c>
      <c r="F89" s="1">
        <v>46199</v>
      </c>
      <c r="G89" s="1">
        <v>46206</v>
      </c>
      <c r="H89" s="4">
        <v>1</v>
      </c>
      <c r="I89" s="1">
        <v>46206</v>
      </c>
      <c r="J89">
        <v>573</v>
      </c>
      <c r="K89">
        <v>575</v>
      </c>
      <c r="L89" t="s">
        <v>59</v>
      </c>
      <c r="M89" t="s">
        <v>293</v>
      </c>
      <c r="N89" s="1">
        <v>46205</v>
      </c>
      <c r="P89" t="s">
        <v>638</v>
      </c>
      <c r="Q89" t="s">
        <v>178</v>
      </c>
      <c r="R89" t="s">
        <v>55</v>
      </c>
      <c r="S89" s="1">
        <v>46205</v>
      </c>
      <c r="T89" s="1">
        <v>46205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>
        <v>578</v>
      </c>
      <c r="B90" t="s">
        <v>770</v>
      </c>
      <c r="C90" t="s">
        <v>771</v>
      </c>
      <c r="D90" t="s">
        <v>94</v>
      </c>
      <c r="E90" t="s">
        <v>729</v>
      </c>
      <c r="F90" s="1">
        <v>46190</v>
      </c>
      <c r="G90" s="1">
        <v>46198</v>
      </c>
      <c r="H90" s="4">
        <v>1</v>
      </c>
      <c r="I90" s="1">
        <v>46198</v>
      </c>
      <c r="J90" t="s">
        <v>764</v>
      </c>
      <c r="K90">
        <v>579</v>
      </c>
      <c r="L90" t="s">
        <v>59</v>
      </c>
      <c r="M90" t="s">
        <v>324</v>
      </c>
      <c r="N90" s="1">
        <v>46204</v>
      </c>
      <c r="P90" t="s">
        <v>638</v>
      </c>
      <c r="Q90" t="s">
        <v>133</v>
      </c>
      <c r="R90" t="s">
        <v>55</v>
      </c>
      <c r="S90" s="1">
        <v>46191</v>
      </c>
      <c r="T90" s="1">
        <v>46204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</row>
    <row r="91" spans="1:33" x14ac:dyDescent="0.25">
      <c r="A91">
        <v>579</v>
      </c>
      <c r="B91" t="s">
        <v>772</v>
      </c>
      <c r="C91" t="s">
        <v>771</v>
      </c>
      <c r="D91" t="s">
        <v>98</v>
      </c>
      <c r="E91" t="s">
        <v>103</v>
      </c>
      <c r="F91" s="1">
        <v>46199</v>
      </c>
      <c r="G91" s="1">
        <v>46206</v>
      </c>
      <c r="H91" s="4">
        <v>1</v>
      </c>
      <c r="I91" s="1">
        <v>46206</v>
      </c>
      <c r="J91">
        <v>578</v>
      </c>
      <c r="K91">
        <v>580</v>
      </c>
      <c r="L91" t="s">
        <v>59</v>
      </c>
      <c r="M91" t="s">
        <v>293</v>
      </c>
      <c r="N91" s="1">
        <v>46205</v>
      </c>
      <c r="P91" t="s">
        <v>638</v>
      </c>
      <c r="Q91" t="s">
        <v>178</v>
      </c>
      <c r="R91" t="s">
        <v>55</v>
      </c>
      <c r="S91" s="1">
        <v>46205</v>
      </c>
      <c r="T91" s="1">
        <v>46205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583</v>
      </c>
      <c r="B92" t="s">
        <v>777</v>
      </c>
      <c r="C92" t="s">
        <v>778</v>
      </c>
      <c r="D92" t="s">
        <v>94</v>
      </c>
      <c r="E92" t="s">
        <v>729</v>
      </c>
      <c r="F92" s="1">
        <v>46190</v>
      </c>
      <c r="G92" s="1">
        <v>46198</v>
      </c>
      <c r="H92" s="4">
        <v>1</v>
      </c>
      <c r="I92" s="1">
        <v>46198</v>
      </c>
      <c r="J92" t="s">
        <v>764</v>
      </c>
      <c r="K92">
        <v>584</v>
      </c>
      <c r="L92" t="s">
        <v>59</v>
      </c>
      <c r="M92" t="s">
        <v>324</v>
      </c>
      <c r="N92" s="1">
        <v>46204</v>
      </c>
      <c r="P92" t="s">
        <v>638</v>
      </c>
      <c r="Q92" t="s">
        <v>133</v>
      </c>
      <c r="R92" t="s">
        <v>55</v>
      </c>
      <c r="S92" s="1">
        <v>46191</v>
      </c>
      <c r="T92" s="1">
        <v>46204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</row>
    <row r="93" spans="1:33" x14ac:dyDescent="0.25">
      <c r="A93">
        <v>584</v>
      </c>
      <c r="B93" t="s">
        <v>779</v>
      </c>
      <c r="C93" t="s">
        <v>778</v>
      </c>
      <c r="D93" t="s">
        <v>98</v>
      </c>
      <c r="E93" t="s">
        <v>103</v>
      </c>
      <c r="F93" s="1">
        <v>46199</v>
      </c>
      <c r="G93" s="1">
        <v>46206</v>
      </c>
      <c r="H93" s="4">
        <v>1</v>
      </c>
      <c r="I93" s="1">
        <v>46206</v>
      </c>
      <c r="J93">
        <v>583</v>
      </c>
      <c r="K93">
        <v>585</v>
      </c>
      <c r="L93" t="s">
        <v>59</v>
      </c>
      <c r="M93" t="s">
        <v>293</v>
      </c>
      <c r="N93" s="1">
        <v>46205</v>
      </c>
      <c r="P93" t="s">
        <v>638</v>
      </c>
      <c r="Q93" t="s">
        <v>178</v>
      </c>
      <c r="R93" t="s">
        <v>55</v>
      </c>
      <c r="S93" s="1">
        <v>46205</v>
      </c>
      <c r="T93" s="1">
        <v>46205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588</v>
      </c>
      <c r="B94" t="s">
        <v>784</v>
      </c>
      <c r="C94" t="s">
        <v>785</v>
      </c>
      <c r="D94" t="s">
        <v>94</v>
      </c>
      <c r="E94" t="s">
        <v>729</v>
      </c>
      <c r="F94" s="1">
        <v>46190</v>
      </c>
      <c r="G94" s="1">
        <v>46198</v>
      </c>
      <c r="H94" s="4">
        <v>1</v>
      </c>
      <c r="I94" s="1">
        <v>46198</v>
      </c>
      <c r="J94" t="s">
        <v>764</v>
      </c>
      <c r="K94">
        <v>589</v>
      </c>
      <c r="L94" t="s">
        <v>59</v>
      </c>
      <c r="M94" t="s">
        <v>324</v>
      </c>
      <c r="N94" s="1">
        <v>46204</v>
      </c>
      <c r="P94" t="s">
        <v>638</v>
      </c>
      <c r="Q94" t="s">
        <v>133</v>
      </c>
      <c r="R94" t="s">
        <v>55</v>
      </c>
      <c r="S94" s="1">
        <v>46191</v>
      </c>
      <c r="T94" s="1">
        <v>46204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</row>
    <row r="95" spans="1:33" x14ac:dyDescent="0.25">
      <c r="A95">
        <v>589</v>
      </c>
      <c r="B95" t="s">
        <v>786</v>
      </c>
      <c r="C95" t="s">
        <v>785</v>
      </c>
      <c r="D95" t="s">
        <v>98</v>
      </c>
      <c r="E95" t="s">
        <v>103</v>
      </c>
      <c r="F95" s="1">
        <v>46199</v>
      </c>
      <c r="G95" s="1">
        <v>46206</v>
      </c>
      <c r="H95" s="4">
        <v>1</v>
      </c>
      <c r="I95" s="1">
        <v>46206</v>
      </c>
      <c r="J95">
        <v>588</v>
      </c>
      <c r="K95">
        <v>590</v>
      </c>
      <c r="L95" t="s">
        <v>59</v>
      </c>
      <c r="M95" t="s">
        <v>293</v>
      </c>
      <c r="N95" s="1">
        <v>46205</v>
      </c>
      <c r="P95" t="s">
        <v>638</v>
      </c>
      <c r="Q95" t="s">
        <v>178</v>
      </c>
      <c r="R95" t="s">
        <v>55</v>
      </c>
      <c r="S95" s="1">
        <v>46205</v>
      </c>
      <c r="T95" s="1">
        <v>46205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593</v>
      </c>
      <c r="B96" t="s">
        <v>791</v>
      </c>
      <c r="C96" t="s">
        <v>792</v>
      </c>
      <c r="D96" t="s">
        <v>94</v>
      </c>
      <c r="E96" t="s">
        <v>729</v>
      </c>
      <c r="F96" s="1">
        <v>46190</v>
      </c>
      <c r="G96" s="1">
        <v>46198</v>
      </c>
      <c r="H96" s="4">
        <v>1</v>
      </c>
      <c r="I96" s="1">
        <v>46198</v>
      </c>
      <c r="J96" t="s">
        <v>764</v>
      </c>
      <c r="K96">
        <v>594</v>
      </c>
      <c r="L96" t="s">
        <v>59</v>
      </c>
      <c r="M96" t="s">
        <v>324</v>
      </c>
      <c r="N96" s="1">
        <v>46204</v>
      </c>
      <c r="P96" t="s">
        <v>638</v>
      </c>
      <c r="Q96" t="s">
        <v>133</v>
      </c>
      <c r="R96" t="s">
        <v>55</v>
      </c>
      <c r="S96" s="1">
        <v>46191</v>
      </c>
      <c r="T96" s="1">
        <v>46204</v>
      </c>
      <c r="V96">
        <v>1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</row>
    <row r="97" spans="1:33" x14ac:dyDescent="0.25">
      <c r="A97">
        <v>594</v>
      </c>
      <c r="B97" t="s">
        <v>793</v>
      </c>
      <c r="C97" t="s">
        <v>792</v>
      </c>
      <c r="D97" t="s">
        <v>98</v>
      </c>
      <c r="E97" t="s">
        <v>103</v>
      </c>
      <c r="F97" s="1">
        <v>46199</v>
      </c>
      <c r="G97" s="1">
        <v>46206</v>
      </c>
      <c r="H97" s="4">
        <v>1</v>
      </c>
      <c r="I97" s="1">
        <v>46206</v>
      </c>
      <c r="J97">
        <v>593</v>
      </c>
      <c r="K97">
        <v>595</v>
      </c>
      <c r="L97" t="s">
        <v>59</v>
      </c>
      <c r="M97" t="s">
        <v>293</v>
      </c>
      <c r="N97" s="1">
        <v>46205</v>
      </c>
      <c r="P97" t="s">
        <v>638</v>
      </c>
      <c r="Q97" t="s">
        <v>178</v>
      </c>
      <c r="R97" t="s">
        <v>55</v>
      </c>
      <c r="S97" s="1">
        <v>46205</v>
      </c>
      <c r="T97" s="1">
        <v>46205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598</v>
      </c>
      <c r="B98" t="s">
        <v>798</v>
      </c>
      <c r="C98" t="s">
        <v>799</v>
      </c>
      <c r="D98" t="s">
        <v>94</v>
      </c>
      <c r="E98" t="s">
        <v>729</v>
      </c>
      <c r="F98" s="1">
        <v>46190</v>
      </c>
      <c r="G98" s="1">
        <v>46198</v>
      </c>
      <c r="H98" s="4">
        <v>1</v>
      </c>
      <c r="I98" s="1">
        <v>46198</v>
      </c>
      <c r="J98" t="s">
        <v>764</v>
      </c>
      <c r="K98">
        <v>599</v>
      </c>
      <c r="L98" t="s">
        <v>59</v>
      </c>
      <c r="M98" t="s">
        <v>324</v>
      </c>
      <c r="N98" s="1">
        <v>46204</v>
      </c>
      <c r="P98" t="s">
        <v>638</v>
      </c>
      <c r="Q98" t="s">
        <v>133</v>
      </c>
      <c r="R98" t="s">
        <v>55</v>
      </c>
      <c r="S98" s="1">
        <v>46191</v>
      </c>
      <c r="T98" s="1">
        <v>46204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</row>
    <row r="99" spans="1:33" x14ac:dyDescent="0.25">
      <c r="A99">
        <v>599</v>
      </c>
      <c r="B99" t="s">
        <v>800</v>
      </c>
      <c r="C99" t="s">
        <v>799</v>
      </c>
      <c r="D99" t="s">
        <v>98</v>
      </c>
      <c r="E99" t="s">
        <v>103</v>
      </c>
      <c r="F99" s="1">
        <v>46199</v>
      </c>
      <c r="G99" s="1">
        <v>46206</v>
      </c>
      <c r="H99" s="4">
        <v>1</v>
      </c>
      <c r="I99" s="1">
        <v>46206</v>
      </c>
      <c r="J99">
        <v>598</v>
      </c>
      <c r="K99">
        <v>600</v>
      </c>
      <c r="L99" t="s">
        <v>59</v>
      </c>
      <c r="M99" t="s">
        <v>293</v>
      </c>
      <c r="N99" s="1">
        <v>46205</v>
      </c>
      <c r="P99" t="s">
        <v>638</v>
      </c>
      <c r="Q99" t="s">
        <v>178</v>
      </c>
      <c r="R99" t="s">
        <v>55</v>
      </c>
      <c r="S99" s="1">
        <v>46205</v>
      </c>
      <c r="T99" s="1">
        <v>46205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603</v>
      </c>
      <c r="B100" t="s">
        <v>805</v>
      </c>
      <c r="C100" t="s">
        <v>806</v>
      </c>
      <c r="D100" t="s">
        <v>94</v>
      </c>
      <c r="E100" t="s">
        <v>729</v>
      </c>
      <c r="F100" s="1">
        <v>46190</v>
      </c>
      <c r="G100" s="1">
        <v>46198</v>
      </c>
      <c r="H100" s="4">
        <v>1</v>
      </c>
      <c r="I100" s="1">
        <v>46198</v>
      </c>
      <c r="J100" t="s">
        <v>764</v>
      </c>
      <c r="K100">
        <v>604</v>
      </c>
      <c r="L100" t="s">
        <v>59</v>
      </c>
      <c r="M100" t="s">
        <v>324</v>
      </c>
      <c r="N100" s="1">
        <v>46204</v>
      </c>
      <c r="P100" t="s">
        <v>638</v>
      </c>
      <c r="Q100" t="s">
        <v>133</v>
      </c>
      <c r="R100" t="s">
        <v>55</v>
      </c>
      <c r="S100" s="1">
        <v>46191</v>
      </c>
      <c r="T100" s="1">
        <v>46204</v>
      </c>
      <c r="V100">
        <v>1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</row>
    <row r="101" spans="1:33" x14ac:dyDescent="0.25">
      <c r="A101">
        <v>604</v>
      </c>
      <c r="B101" t="s">
        <v>807</v>
      </c>
      <c r="C101" t="s">
        <v>806</v>
      </c>
      <c r="D101" t="s">
        <v>98</v>
      </c>
      <c r="E101" t="s">
        <v>103</v>
      </c>
      <c r="F101" s="1">
        <v>46199</v>
      </c>
      <c r="G101" s="1">
        <v>46206</v>
      </c>
      <c r="H101" s="4">
        <v>1</v>
      </c>
      <c r="I101" s="1">
        <v>46206</v>
      </c>
      <c r="J101">
        <v>603</v>
      </c>
      <c r="K101">
        <v>605</v>
      </c>
      <c r="L101" t="s">
        <v>59</v>
      </c>
      <c r="M101" t="s">
        <v>293</v>
      </c>
      <c r="N101" s="1">
        <v>46205</v>
      </c>
      <c r="P101" t="s">
        <v>638</v>
      </c>
      <c r="Q101" t="s">
        <v>178</v>
      </c>
      <c r="R101" t="s">
        <v>55</v>
      </c>
      <c r="S101" s="1">
        <v>46205</v>
      </c>
      <c r="T101" s="1">
        <v>46205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608</v>
      </c>
      <c r="B102" t="s">
        <v>812</v>
      </c>
      <c r="C102" t="s">
        <v>813</v>
      </c>
      <c r="D102" t="s">
        <v>94</v>
      </c>
      <c r="E102" t="s">
        <v>729</v>
      </c>
      <c r="F102" s="1">
        <v>46190</v>
      </c>
      <c r="G102" s="1">
        <v>46198</v>
      </c>
      <c r="H102" s="4">
        <v>1</v>
      </c>
      <c r="I102" s="1">
        <v>46198</v>
      </c>
      <c r="J102" t="s">
        <v>764</v>
      </c>
      <c r="K102">
        <v>609</v>
      </c>
      <c r="L102" t="s">
        <v>59</v>
      </c>
      <c r="M102" t="s">
        <v>324</v>
      </c>
      <c r="N102" s="1">
        <v>46204</v>
      </c>
      <c r="P102" t="s">
        <v>638</v>
      </c>
      <c r="Q102" t="s">
        <v>133</v>
      </c>
      <c r="R102" t="s">
        <v>55</v>
      </c>
      <c r="S102" s="1">
        <v>46191</v>
      </c>
      <c r="T102" s="1">
        <v>46204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</row>
    <row r="103" spans="1:33" x14ac:dyDescent="0.25">
      <c r="A103">
        <v>609</v>
      </c>
      <c r="B103" t="s">
        <v>814</v>
      </c>
      <c r="C103" t="s">
        <v>813</v>
      </c>
      <c r="D103" t="s">
        <v>98</v>
      </c>
      <c r="E103" t="s">
        <v>103</v>
      </c>
      <c r="F103" s="1">
        <v>46199</v>
      </c>
      <c r="G103" s="1">
        <v>46206</v>
      </c>
      <c r="H103" s="4">
        <v>1</v>
      </c>
      <c r="I103" s="1">
        <v>46206</v>
      </c>
      <c r="J103">
        <v>608</v>
      </c>
      <c r="K103">
        <v>610</v>
      </c>
      <c r="L103" t="s">
        <v>59</v>
      </c>
      <c r="M103" t="s">
        <v>293</v>
      </c>
      <c r="N103" s="1">
        <v>46205</v>
      </c>
      <c r="P103" t="s">
        <v>638</v>
      </c>
      <c r="Q103" t="s">
        <v>178</v>
      </c>
      <c r="R103" t="s">
        <v>55</v>
      </c>
      <c r="S103" s="1">
        <v>46205</v>
      </c>
      <c r="T103" s="1">
        <v>46205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613</v>
      </c>
      <c r="B104" t="s">
        <v>819</v>
      </c>
      <c r="C104" t="s">
        <v>820</v>
      </c>
      <c r="D104" t="s">
        <v>94</v>
      </c>
      <c r="E104" t="s">
        <v>729</v>
      </c>
      <c r="F104" s="1">
        <v>46190</v>
      </c>
      <c r="G104" s="1">
        <v>46198</v>
      </c>
      <c r="H104" s="4">
        <v>1</v>
      </c>
      <c r="I104" s="1">
        <v>46198</v>
      </c>
      <c r="J104" t="s">
        <v>764</v>
      </c>
      <c r="K104">
        <v>614</v>
      </c>
      <c r="L104" t="s">
        <v>59</v>
      </c>
      <c r="M104" t="s">
        <v>324</v>
      </c>
      <c r="N104" s="1">
        <v>46204</v>
      </c>
      <c r="P104" t="s">
        <v>638</v>
      </c>
      <c r="Q104" t="s">
        <v>133</v>
      </c>
      <c r="R104" t="s">
        <v>55</v>
      </c>
      <c r="S104" s="1">
        <v>46191</v>
      </c>
      <c r="T104" s="1">
        <v>46204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</row>
    <row r="105" spans="1:33" x14ac:dyDescent="0.25">
      <c r="A105">
        <v>614</v>
      </c>
      <c r="B105" t="s">
        <v>821</v>
      </c>
      <c r="C105" t="s">
        <v>820</v>
      </c>
      <c r="D105" t="s">
        <v>98</v>
      </c>
      <c r="E105" t="s">
        <v>103</v>
      </c>
      <c r="F105" s="1">
        <v>46199</v>
      </c>
      <c r="G105" s="1">
        <v>46206</v>
      </c>
      <c r="H105" s="4">
        <v>1</v>
      </c>
      <c r="I105" s="1">
        <v>46206</v>
      </c>
      <c r="J105">
        <v>613</v>
      </c>
      <c r="K105">
        <v>615</v>
      </c>
      <c r="L105" t="s">
        <v>59</v>
      </c>
      <c r="M105" t="s">
        <v>293</v>
      </c>
      <c r="N105" s="1">
        <v>46205</v>
      </c>
      <c r="P105" t="s">
        <v>638</v>
      </c>
      <c r="Q105" t="s">
        <v>178</v>
      </c>
      <c r="R105" t="s">
        <v>55</v>
      </c>
      <c r="S105" s="1">
        <v>46205</v>
      </c>
      <c r="T105" s="1">
        <v>46205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x14ac:dyDescent="0.25">
      <c r="A106">
        <v>618</v>
      </c>
      <c r="B106" t="s">
        <v>826</v>
      </c>
      <c r="C106" t="s">
        <v>827</v>
      </c>
      <c r="D106" t="s">
        <v>94</v>
      </c>
      <c r="E106" t="s">
        <v>729</v>
      </c>
      <c r="F106" s="1">
        <v>46190</v>
      </c>
      <c r="G106" s="1">
        <v>46198</v>
      </c>
      <c r="H106" s="4">
        <v>1</v>
      </c>
      <c r="I106" s="1">
        <v>46198</v>
      </c>
      <c r="J106" t="s">
        <v>764</v>
      </c>
      <c r="K106">
        <v>619</v>
      </c>
      <c r="L106" t="s">
        <v>59</v>
      </c>
      <c r="M106" t="s">
        <v>324</v>
      </c>
      <c r="N106" s="1">
        <v>46204</v>
      </c>
      <c r="P106" t="s">
        <v>638</v>
      </c>
      <c r="Q106" t="s">
        <v>133</v>
      </c>
      <c r="R106" t="s">
        <v>55</v>
      </c>
      <c r="S106" s="1">
        <v>46191</v>
      </c>
      <c r="T106" s="1">
        <v>46204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</row>
    <row r="107" spans="1:33" x14ac:dyDescent="0.25">
      <c r="A107">
        <v>619</v>
      </c>
      <c r="B107" t="s">
        <v>828</v>
      </c>
      <c r="C107" t="s">
        <v>827</v>
      </c>
      <c r="D107" t="s">
        <v>98</v>
      </c>
      <c r="E107" t="s">
        <v>103</v>
      </c>
      <c r="F107" s="1">
        <v>46199</v>
      </c>
      <c r="G107" s="1">
        <v>46206</v>
      </c>
      <c r="H107" s="4">
        <v>1</v>
      </c>
      <c r="I107" s="1">
        <v>46206</v>
      </c>
      <c r="J107">
        <v>618</v>
      </c>
      <c r="K107">
        <v>620</v>
      </c>
      <c r="L107" t="s">
        <v>59</v>
      </c>
      <c r="M107" t="s">
        <v>293</v>
      </c>
      <c r="N107" s="1">
        <v>46205</v>
      </c>
      <c r="P107" t="s">
        <v>638</v>
      </c>
      <c r="Q107" t="s">
        <v>178</v>
      </c>
      <c r="R107" t="s">
        <v>55</v>
      </c>
      <c r="S107" s="1">
        <v>46205</v>
      </c>
      <c r="T107" s="1">
        <v>46205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623</v>
      </c>
      <c r="B108" t="s">
        <v>833</v>
      </c>
      <c r="C108" t="s">
        <v>834</v>
      </c>
      <c r="D108" t="s">
        <v>94</v>
      </c>
      <c r="E108" t="s">
        <v>729</v>
      </c>
      <c r="F108" s="1">
        <v>46190</v>
      </c>
      <c r="G108" s="1">
        <v>46198</v>
      </c>
      <c r="H108" s="4">
        <v>1</v>
      </c>
      <c r="I108" s="1">
        <v>46198</v>
      </c>
      <c r="J108" t="s">
        <v>764</v>
      </c>
      <c r="K108">
        <v>624</v>
      </c>
      <c r="L108" t="s">
        <v>59</v>
      </c>
      <c r="M108" t="s">
        <v>324</v>
      </c>
      <c r="N108" s="1">
        <v>46204</v>
      </c>
      <c r="P108" t="s">
        <v>638</v>
      </c>
      <c r="Q108" t="s">
        <v>133</v>
      </c>
      <c r="R108" t="s">
        <v>55</v>
      </c>
      <c r="S108" s="1">
        <v>46191</v>
      </c>
      <c r="T108" s="1">
        <v>46204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</row>
    <row r="109" spans="1:33" x14ac:dyDescent="0.25">
      <c r="A109">
        <v>624</v>
      </c>
      <c r="B109" t="s">
        <v>835</v>
      </c>
      <c r="C109" t="s">
        <v>834</v>
      </c>
      <c r="D109" t="s">
        <v>98</v>
      </c>
      <c r="E109" t="s">
        <v>103</v>
      </c>
      <c r="F109" s="1">
        <v>46199</v>
      </c>
      <c r="G109" s="1">
        <v>46206</v>
      </c>
      <c r="H109" s="4">
        <v>1</v>
      </c>
      <c r="I109" s="1">
        <v>46206</v>
      </c>
      <c r="J109">
        <v>623</v>
      </c>
      <c r="K109">
        <v>625</v>
      </c>
      <c r="L109" t="s">
        <v>59</v>
      </c>
      <c r="M109" t="s">
        <v>293</v>
      </c>
      <c r="N109" s="1">
        <v>46205</v>
      </c>
      <c r="P109" t="s">
        <v>638</v>
      </c>
      <c r="Q109" t="s">
        <v>178</v>
      </c>
      <c r="R109" t="s">
        <v>55</v>
      </c>
      <c r="S109" s="1">
        <v>46205</v>
      </c>
      <c r="T109" s="1">
        <v>46205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628</v>
      </c>
      <c r="B110" t="s">
        <v>840</v>
      </c>
      <c r="C110" t="s">
        <v>841</v>
      </c>
      <c r="D110" t="s">
        <v>94</v>
      </c>
      <c r="E110" t="s">
        <v>729</v>
      </c>
      <c r="F110" s="1">
        <v>46190</v>
      </c>
      <c r="G110" s="1">
        <v>46198</v>
      </c>
      <c r="H110" s="4">
        <v>1</v>
      </c>
      <c r="I110" s="1">
        <v>46198</v>
      </c>
      <c r="J110" t="s">
        <v>764</v>
      </c>
      <c r="K110">
        <v>629</v>
      </c>
      <c r="L110" t="s">
        <v>59</v>
      </c>
      <c r="M110" t="s">
        <v>324</v>
      </c>
      <c r="N110" s="1">
        <v>46204</v>
      </c>
      <c r="P110" t="s">
        <v>638</v>
      </c>
      <c r="Q110" t="s">
        <v>133</v>
      </c>
      <c r="R110" t="s">
        <v>55</v>
      </c>
      <c r="S110" s="1">
        <v>46191</v>
      </c>
      <c r="T110" s="1">
        <v>46204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</row>
    <row r="111" spans="1:33" x14ac:dyDescent="0.25">
      <c r="A111">
        <v>629</v>
      </c>
      <c r="B111" t="s">
        <v>842</v>
      </c>
      <c r="C111" t="s">
        <v>841</v>
      </c>
      <c r="D111" t="s">
        <v>98</v>
      </c>
      <c r="E111" t="s">
        <v>103</v>
      </c>
      <c r="F111" s="1">
        <v>46199</v>
      </c>
      <c r="G111" s="1">
        <v>46206</v>
      </c>
      <c r="H111" s="4">
        <v>1</v>
      </c>
      <c r="I111" s="1">
        <v>46206</v>
      </c>
      <c r="J111">
        <v>628</v>
      </c>
      <c r="K111">
        <v>630</v>
      </c>
      <c r="L111" t="s">
        <v>59</v>
      </c>
      <c r="M111" t="s">
        <v>293</v>
      </c>
      <c r="N111" s="1">
        <v>46205</v>
      </c>
      <c r="P111" t="s">
        <v>638</v>
      </c>
      <c r="Q111" t="s">
        <v>178</v>
      </c>
      <c r="R111" t="s">
        <v>55</v>
      </c>
      <c r="S111" s="1">
        <v>46205</v>
      </c>
      <c r="T111" s="1">
        <v>46205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633</v>
      </c>
      <c r="B112" t="s">
        <v>847</v>
      </c>
      <c r="C112" t="s">
        <v>848</v>
      </c>
      <c r="D112" t="s">
        <v>94</v>
      </c>
      <c r="E112" t="s">
        <v>729</v>
      </c>
      <c r="F112" s="1">
        <v>46190</v>
      </c>
      <c r="G112" s="1">
        <v>46198</v>
      </c>
      <c r="H112" s="4">
        <v>1</v>
      </c>
      <c r="I112" s="1">
        <v>46198</v>
      </c>
      <c r="J112" t="s">
        <v>764</v>
      </c>
      <c r="K112">
        <v>634</v>
      </c>
      <c r="L112" t="s">
        <v>59</v>
      </c>
      <c r="M112" t="s">
        <v>324</v>
      </c>
      <c r="N112" s="1">
        <v>46204</v>
      </c>
      <c r="P112" t="s">
        <v>638</v>
      </c>
      <c r="Q112" t="s">
        <v>133</v>
      </c>
      <c r="R112" t="s">
        <v>55</v>
      </c>
      <c r="S112" s="1">
        <v>46191</v>
      </c>
      <c r="T112" s="1">
        <v>46204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</row>
    <row r="113" spans="1:33" x14ac:dyDescent="0.25">
      <c r="A113">
        <v>634</v>
      </c>
      <c r="B113" t="s">
        <v>849</v>
      </c>
      <c r="C113" t="s">
        <v>848</v>
      </c>
      <c r="D113" t="s">
        <v>98</v>
      </c>
      <c r="E113" t="s">
        <v>103</v>
      </c>
      <c r="F113" s="1">
        <v>46199</v>
      </c>
      <c r="G113" s="1">
        <v>46206</v>
      </c>
      <c r="H113" s="4">
        <v>1</v>
      </c>
      <c r="I113" s="1">
        <v>46206</v>
      </c>
      <c r="J113">
        <v>633</v>
      </c>
      <c r="K113">
        <v>635</v>
      </c>
      <c r="L113" t="s">
        <v>59</v>
      </c>
      <c r="M113" t="s">
        <v>293</v>
      </c>
      <c r="N113" s="1">
        <v>46205</v>
      </c>
      <c r="P113" t="s">
        <v>638</v>
      </c>
      <c r="Q113" t="s">
        <v>178</v>
      </c>
      <c r="R113" t="s">
        <v>55</v>
      </c>
      <c r="S113" s="1">
        <v>46205</v>
      </c>
      <c r="T113" s="1">
        <v>46205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638</v>
      </c>
      <c r="B114" t="s">
        <v>854</v>
      </c>
      <c r="C114" t="s">
        <v>855</v>
      </c>
      <c r="D114" t="s">
        <v>94</v>
      </c>
      <c r="E114" t="s">
        <v>729</v>
      </c>
      <c r="F114" s="1">
        <v>46190</v>
      </c>
      <c r="G114" s="1">
        <v>46198</v>
      </c>
      <c r="H114" s="4">
        <v>1</v>
      </c>
      <c r="I114" s="1">
        <v>46198</v>
      </c>
      <c r="J114" t="s">
        <v>764</v>
      </c>
      <c r="K114">
        <v>639</v>
      </c>
      <c r="L114" t="s">
        <v>59</v>
      </c>
      <c r="M114" t="s">
        <v>324</v>
      </c>
      <c r="N114" s="1">
        <v>46204</v>
      </c>
      <c r="P114" t="s">
        <v>638</v>
      </c>
      <c r="Q114" t="s">
        <v>133</v>
      </c>
      <c r="R114" t="s">
        <v>55</v>
      </c>
      <c r="S114" s="1">
        <v>46191</v>
      </c>
      <c r="T114" s="1">
        <v>46204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</row>
    <row r="115" spans="1:33" x14ac:dyDescent="0.25">
      <c r="A115">
        <v>639</v>
      </c>
      <c r="B115" t="s">
        <v>856</v>
      </c>
      <c r="C115" t="s">
        <v>855</v>
      </c>
      <c r="D115" t="s">
        <v>98</v>
      </c>
      <c r="E115" t="s">
        <v>103</v>
      </c>
      <c r="F115" s="1">
        <v>46199</v>
      </c>
      <c r="G115" s="1">
        <v>46206</v>
      </c>
      <c r="H115" s="4">
        <v>1</v>
      </c>
      <c r="I115" s="1">
        <v>46206</v>
      </c>
      <c r="J115">
        <v>638</v>
      </c>
      <c r="K115">
        <v>640</v>
      </c>
      <c r="L115" t="s">
        <v>59</v>
      </c>
      <c r="M115" t="s">
        <v>293</v>
      </c>
      <c r="N115" s="1">
        <v>46205</v>
      </c>
      <c r="P115" t="s">
        <v>638</v>
      </c>
      <c r="Q115" t="s">
        <v>178</v>
      </c>
      <c r="R115" t="s">
        <v>55</v>
      </c>
      <c r="S115" s="1">
        <v>46205</v>
      </c>
      <c r="T115" s="1">
        <v>46205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643</v>
      </c>
      <c r="B116" t="s">
        <v>861</v>
      </c>
      <c r="C116" t="s">
        <v>862</v>
      </c>
      <c r="D116" t="s">
        <v>94</v>
      </c>
      <c r="E116" t="s">
        <v>729</v>
      </c>
      <c r="F116" s="1">
        <v>46190</v>
      </c>
      <c r="G116" s="1">
        <v>46198</v>
      </c>
      <c r="H116" s="4">
        <v>1</v>
      </c>
      <c r="I116" s="1">
        <v>46198</v>
      </c>
      <c r="J116" t="s">
        <v>764</v>
      </c>
      <c r="K116">
        <v>644</v>
      </c>
      <c r="L116" t="s">
        <v>59</v>
      </c>
      <c r="M116" t="s">
        <v>324</v>
      </c>
      <c r="N116" s="1">
        <v>46204</v>
      </c>
      <c r="P116" t="s">
        <v>638</v>
      </c>
      <c r="Q116" t="s">
        <v>133</v>
      </c>
      <c r="R116" t="s">
        <v>55</v>
      </c>
      <c r="S116" s="1">
        <v>46191</v>
      </c>
      <c r="T116" s="1">
        <v>46204</v>
      </c>
      <c r="V116">
        <v>1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</row>
    <row r="117" spans="1:33" x14ac:dyDescent="0.25">
      <c r="A117">
        <v>644</v>
      </c>
      <c r="B117" t="s">
        <v>863</v>
      </c>
      <c r="C117" t="s">
        <v>862</v>
      </c>
      <c r="D117" t="s">
        <v>98</v>
      </c>
      <c r="E117" t="s">
        <v>103</v>
      </c>
      <c r="F117" s="1">
        <v>46199</v>
      </c>
      <c r="G117" s="1">
        <v>46206</v>
      </c>
      <c r="H117" s="4">
        <v>1</v>
      </c>
      <c r="I117" s="1">
        <v>46206</v>
      </c>
      <c r="J117">
        <v>643</v>
      </c>
      <c r="K117">
        <v>645</v>
      </c>
      <c r="L117" t="s">
        <v>59</v>
      </c>
      <c r="M117" t="s">
        <v>293</v>
      </c>
      <c r="N117" s="1">
        <v>46205</v>
      </c>
      <c r="P117" t="s">
        <v>638</v>
      </c>
      <c r="Q117" t="s">
        <v>178</v>
      </c>
      <c r="R117" t="s">
        <v>55</v>
      </c>
      <c r="S117" s="1">
        <v>46205</v>
      </c>
      <c r="T117" s="1">
        <v>46205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648</v>
      </c>
      <c r="B118" t="s">
        <v>868</v>
      </c>
      <c r="C118" t="s">
        <v>869</v>
      </c>
      <c r="D118" t="s">
        <v>94</v>
      </c>
      <c r="E118" t="s">
        <v>729</v>
      </c>
      <c r="F118" s="1">
        <v>46190</v>
      </c>
      <c r="G118" s="1">
        <v>46198</v>
      </c>
      <c r="H118" s="4">
        <v>1</v>
      </c>
      <c r="I118" s="1">
        <v>46198</v>
      </c>
      <c r="J118" t="s">
        <v>764</v>
      </c>
      <c r="K118">
        <v>649</v>
      </c>
      <c r="L118" t="s">
        <v>59</v>
      </c>
      <c r="M118" t="s">
        <v>265</v>
      </c>
      <c r="N118" s="1">
        <v>46196</v>
      </c>
      <c r="P118" t="s">
        <v>638</v>
      </c>
      <c r="Q118" t="s">
        <v>133</v>
      </c>
      <c r="R118" t="s">
        <v>55</v>
      </c>
      <c r="S118" s="1">
        <v>46188</v>
      </c>
      <c r="T118" s="1">
        <v>46196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</row>
    <row r="119" spans="1:33" x14ac:dyDescent="0.25">
      <c r="A119">
        <v>649</v>
      </c>
      <c r="B119" t="s">
        <v>870</v>
      </c>
      <c r="C119" t="s">
        <v>869</v>
      </c>
      <c r="D119" t="s">
        <v>98</v>
      </c>
      <c r="E119" t="s">
        <v>103</v>
      </c>
      <c r="F119" s="1">
        <v>46199</v>
      </c>
      <c r="G119" s="1">
        <v>46206</v>
      </c>
      <c r="H119" s="4">
        <v>1</v>
      </c>
      <c r="I119" s="1">
        <v>46206</v>
      </c>
      <c r="J119">
        <v>648</v>
      </c>
      <c r="K119">
        <v>650</v>
      </c>
      <c r="L119" t="s">
        <v>59</v>
      </c>
      <c r="M119" t="s">
        <v>749</v>
      </c>
      <c r="N119" s="1">
        <v>46197</v>
      </c>
      <c r="P119" t="s">
        <v>638</v>
      </c>
      <c r="Q119" t="s">
        <v>178</v>
      </c>
      <c r="R119" t="s">
        <v>55</v>
      </c>
      <c r="S119" s="1">
        <v>46197</v>
      </c>
      <c r="T119" s="1">
        <v>46197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653</v>
      </c>
      <c r="B120" t="s">
        <v>875</v>
      </c>
      <c r="C120" t="s">
        <v>876</v>
      </c>
      <c r="D120" t="s">
        <v>94</v>
      </c>
      <c r="E120" t="s">
        <v>729</v>
      </c>
      <c r="F120" s="1">
        <v>46190</v>
      </c>
      <c r="G120" s="1">
        <v>46198</v>
      </c>
      <c r="H120" s="4">
        <v>1</v>
      </c>
      <c r="I120" s="1">
        <v>46198</v>
      </c>
      <c r="J120" t="s">
        <v>764</v>
      </c>
      <c r="K120">
        <v>654</v>
      </c>
      <c r="L120" t="s">
        <v>59</v>
      </c>
      <c r="M120" t="s">
        <v>265</v>
      </c>
      <c r="N120" s="1">
        <v>46196</v>
      </c>
      <c r="P120" t="s">
        <v>638</v>
      </c>
      <c r="Q120" t="s">
        <v>133</v>
      </c>
      <c r="R120" t="s">
        <v>55</v>
      </c>
      <c r="S120" s="1">
        <v>46188</v>
      </c>
      <c r="T120" s="1">
        <v>46196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</row>
    <row r="121" spans="1:33" x14ac:dyDescent="0.25">
      <c r="A121">
        <v>654</v>
      </c>
      <c r="B121" t="s">
        <v>877</v>
      </c>
      <c r="C121" t="s">
        <v>876</v>
      </c>
      <c r="D121" t="s">
        <v>98</v>
      </c>
      <c r="E121" t="s">
        <v>103</v>
      </c>
      <c r="F121" s="1">
        <v>46199</v>
      </c>
      <c r="G121" s="1">
        <v>46206</v>
      </c>
      <c r="H121" s="4">
        <v>1</v>
      </c>
      <c r="I121" s="1">
        <v>46206</v>
      </c>
      <c r="J121">
        <v>653</v>
      </c>
      <c r="K121">
        <v>655</v>
      </c>
      <c r="L121" t="s">
        <v>59</v>
      </c>
      <c r="M121" t="s">
        <v>749</v>
      </c>
      <c r="N121" s="1">
        <v>46197</v>
      </c>
      <c r="P121" t="s">
        <v>638</v>
      </c>
      <c r="Q121" t="s">
        <v>178</v>
      </c>
      <c r="R121" t="s">
        <v>55</v>
      </c>
      <c r="S121" s="1">
        <v>46197</v>
      </c>
      <c r="T121" s="1">
        <v>46197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658</v>
      </c>
      <c r="B122" t="s">
        <v>882</v>
      </c>
      <c r="C122" t="s">
        <v>883</v>
      </c>
      <c r="D122" t="s">
        <v>94</v>
      </c>
      <c r="E122" t="s">
        <v>729</v>
      </c>
      <c r="F122" s="1">
        <v>46190</v>
      </c>
      <c r="G122" s="1">
        <v>46198</v>
      </c>
      <c r="H122" s="4">
        <v>1</v>
      </c>
      <c r="I122" s="1">
        <v>46198</v>
      </c>
      <c r="J122" t="s">
        <v>764</v>
      </c>
      <c r="K122">
        <v>659</v>
      </c>
      <c r="L122" t="s">
        <v>59</v>
      </c>
      <c r="M122" t="s">
        <v>265</v>
      </c>
      <c r="N122" s="1">
        <v>46196</v>
      </c>
      <c r="P122" t="s">
        <v>638</v>
      </c>
      <c r="Q122" t="s">
        <v>133</v>
      </c>
      <c r="R122" t="s">
        <v>55</v>
      </c>
      <c r="S122" s="1">
        <v>46188</v>
      </c>
      <c r="T122" s="1">
        <v>46196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</row>
    <row r="123" spans="1:33" x14ac:dyDescent="0.25">
      <c r="A123">
        <v>659</v>
      </c>
      <c r="B123" t="s">
        <v>884</v>
      </c>
      <c r="C123" t="s">
        <v>883</v>
      </c>
      <c r="D123" t="s">
        <v>98</v>
      </c>
      <c r="E123" t="s">
        <v>103</v>
      </c>
      <c r="F123" s="1">
        <v>46199</v>
      </c>
      <c r="G123" s="1">
        <v>46206</v>
      </c>
      <c r="H123" s="4">
        <v>1</v>
      </c>
      <c r="I123" s="1">
        <v>46206</v>
      </c>
      <c r="J123">
        <v>658</v>
      </c>
      <c r="K123">
        <v>660</v>
      </c>
      <c r="L123" t="s">
        <v>59</v>
      </c>
      <c r="M123" t="s">
        <v>749</v>
      </c>
      <c r="N123" s="1">
        <v>46197</v>
      </c>
      <c r="P123" t="s">
        <v>638</v>
      </c>
      <c r="Q123" t="s">
        <v>178</v>
      </c>
      <c r="R123" t="s">
        <v>55</v>
      </c>
      <c r="S123" s="1">
        <v>46197</v>
      </c>
      <c r="T123" s="1">
        <v>46197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663</v>
      </c>
      <c r="B124" t="s">
        <v>889</v>
      </c>
      <c r="C124" t="s">
        <v>890</v>
      </c>
      <c r="D124" t="s">
        <v>94</v>
      </c>
      <c r="E124" t="s">
        <v>729</v>
      </c>
      <c r="F124" s="1">
        <v>46190</v>
      </c>
      <c r="G124" s="1">
        <v>46198</v>
      </c>
      <c r="H124" s="4">
        <v>1</v>
      </c>
      <c r="I124" s="1">
        <v>46198</v>
      </c>
      <c r="J124" t="s">
        <v>764</v>
      </c>
      <c r="K124">
        <v>664</v>
      </c>
      <c r="L124" t="s">
        <v>59</v>
      </c>
      <c r="M124" t="s">
        <v>265</v>
      </c>
      <c r="N124" s="1">
        <v>46196</v>
      </c>
      <c r="P124" t="s">
        <v>638</v>
      </c>
      <c r="Q124" t="s">
        <v>133</v>
      </c>
      <c r="R124" t="s">
        <v>55</v>
      </c>
      <c r="S124" s="1">
        <v>46188</v>
      </c>
      <c r="T124" s="1">
        <v>46196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 spans="1:33" x14ac:dyDescent="0.25">
      <c r="A125">
        <v>664</v>
      </c>
      <c r="B125" t="s">
        <v>891</v>
      </c>
      <c r="C125" t="s">
        <v>890</v>
      </c>
      <c r="D125" t="s">
        <v>98</v>
      </c>
      <c r="E125" t="s">
        <v>103</v>
      </c>
      <c r="F125" s="1">
        <v>46199</v>
      </c>
      <c r="G125" s="1">
        <v>46206</v>
      </c>
      <c r="H125" s="4">
        <v>1</v>
      </c>
      <c r="I125" s="1">
        <v>46206</v>
      </c>
      <c r="J125">
        <v>663</v>
      </c>
      <c r="K125">
        <v>665</v>
      </c>
      <c r="L125" t="s">
        <v>59</v>
      </c>
      <c r="M125" t="s">
        <v>749</v>
      </c>
      <c r="N125" s="1">
        <v>46197</v>
      </c>
      <c r="P125" t="s">
        <v>638</v>
      </c>
      <c r="Q125" t="s">
        <v>178</v>
      </c>
      <c r="R125" t="s">
        <v>55</v>
      </c>
      <c r="S125" s="1">
        <v>46197</v>
      </c>
      <c r="T125" s="1">
        <v>46197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25">
      <c r="A126">
        <v>668</v>
      </c>
      <c r="B126" t="s">
        <v>896</v>
      </c>
      <c r="C126" t="s">
        <v>897</v>
      </c>
      <c r="D126" t="s">
        <v>94</v>
      </c>
      <c r="E126" t="s">
        <v>729</v>
      </c>
      <c r="F126" s="1">
        <v>46190</v>
      </c>
      <c r="G126" s="1">
        <v>46198</v>
      </c>
      <c r="H126" s="4">
        <v>1</v>
      </c>
      <c r="I126" s="1">
        <v>46198</v>
      </c>
      <c r="J126" t="s">
        <v>764</v>
      </c>
      <c r="K126">
        <v>669</v>
      </c>
      <c r="L126" t="s">
        <v>59</v>
      </c>
      <c r="M126" t="s">
        <v>265</v>
      </c>
      <c r="N126" s="1">
        <v>46196</v>
      </c>
      <c r="P126" t="s">
        <v>638</v>
      </c>
      <c r="Q126" t="s">
        <v>133</v>
      </c>
      <c r="R126" t="s">
        <v>55</v>
      </c>
      <c r="S126" s="1">
        <v>46188</v>
      </c>
      <c r="T126" s="1">
        <v>46196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</row>
    <row r="127" spans="1:33" x14ac:dyDescent="0.25">
      <c r="A127">
        <v>669</v>
      </c>
      <c r="B127" t="s">
        <v>898</v>
      </c>
      <c r="C127" t="s">
        <v>897</v>
      </c>
      <c r="D127" t="s">
        <v>98</v>
      </c>
      <c r="E127" t="s">
        <v>103</v>
      </c>
      <c r="F127" s="1">
        <v>46199</v>
      </c>
      <c r="G127" s="1">
        <v>46206</v>
      </c>
      <c r="H127" s="4">
        <v>1</v>
      </c>
      <c r="I127" s="1">
        <v>46206</v>
      </c>
      <c r="J127">
        <v>668</v>
      </c>
      <c r="K127">
        <v>670</v>
      </c>
      <c r="L127" t="s">
        <v>59</v>
      </c>
      <c r="M127" t="s">
        <v>749</v>
      </c>
      <c r="N127" s="1">
        <v>46197</v>
      </c>
      <c r="P127" t="s">
        <v>638</v>
      </c>
      <c r="Q127" t="s">
        <v>178</v>
      </c>
      <c r="R127" t="s">
        <v>55</v>
      </c>
      <c r="S127" s="1">
        <v>46197</v>
      </c>
      <c r="T127" s="1">
        <v>46197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673</v>
      </c>
      <c r="B128" t="s">
        <v>903</v>
      </c>
      <c r="C128" t="s">
        <v>904</v>
      </c>
      <c r="D128" t="s">
        <v>94</v>
      </c>
      <c r="E128" t="s">
        <v>729</v>
      </c>
      <c r="F128" s="1">
        <v>46190</v>
      </c>
      <c r="G128" s="1">
        <v>46198</v>
      </c>
      <c r="H128" s="4">
        <v>1</v>
      </c>
      <c r="I128" s="1">
        <v>46198</v>
      </c>
      <c r="J128" t="s">
        <v>764</v>
      </c>
      <c r="K128">
        <v>674</v>
      </c>
      <c r="L128" t="s">
        <v>59</v>
      </c>
      <c r="M128" t="s">
        <v>265</v>
      </c>
      <c r="N128" s="1">
        <v>46196</v>
      </c>
      <c r="P128" t="s">
        <v>638</v>
      </c>
      <c r="Q128" t="s">
        <v>133</v>
      </c>
      <c r="R128" t="s">
        <v>55</v>
      </c>
      <c r="S128" s="1">
        <v>46188</v>
      </c>
      <c r="T128" s="1">
        <v>46196</v>
      </c>
      <c r="V128">
        <v>1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</row>
    <row r="129" spans="1:33" x14ac:dyDescent="0.25">
      <c r="A129">
        <v>674</v>
      </c>
      <c r="B129" t="s">
        <v>905</v>
      </c>
      <c r="C129" t="s">
        <v>904</v>
      </c>
      <c r="D129" t="s">
        <v>98</v>
      </c>
      <c r="E129" t="s">
        <v>103</v>
      </c>
      <c r="F129" s="1">
        <v>46199</v>
      </c>
      <c r="G129" s="1">
        <v>46206</v>
      </c>
      <c r="H129" s="4">
        <v>1</v>
      </c>
      <c r="I129" s="1">
        <v>46206</v>
      </c>
      <c r="J129">
        <v>673</v>
      </c>
      <c r="K129">
        <v>675</v>
      </c>
      <c r="L129" t="s">
        <v>59</v>
      </c>
      <c r="M129" t="s">
        <v>749</v>
      </c>
      <c r="N129" s="1">
        <v>46197</v>
      </c>
      <c r="P129" t="s">
        <v>638</v>
      </c>
      <c r="Q129" t="s">
        <v>178</v>
      </c>
      <c r="R129" t="s">
        <v>55</v>
      </c>
      <c r="S129" s="1">
        <v>46197</v>
      </c>
      <c r="T129" s="1">
        <v>46197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678</v>
      </c>
      <c r="B130" t="s">
        <v>910</v>
      </c>
      <c r="C130" t="s">
        <v>911</v>
      </c>
      <c r="D130" t="s">
        <v>94</v>
      </c>
      <c r="E130" t="s">
        <v>729</v>
      </c>
      <c r="F130" s="1">
        <v>46190</v>
      </c>
      <c r="G130" s="1">
        <v>46198</v>
      </c>
      <c r="H130" s="4">
        <v>1</v>
      </c>
      <c r="I130" s="1">
        <v>46198</v>
      </c>
      <c r="J130" t="s">
        <v>764</v>
      </c>
      <c r="K130">
        <v>679</v>
      </c>
      <c r="L130" t="s">
        <v>59</v>
      </c>
      <c r="M130" t="s">
        <v>912</v>
      </c>
      <c r="N130" s="1">
        <v>46202</v>
      </c>
      <c r="P130" t="s">
        <v>638</v>
      </c>
      <c r="Q130" t="s">
        <v>133</v>
      </c>
      <c r="R130" t="s">
        <v>55</v>
      </c>
      <c r="S130" s="1">
        <v>46192</v>
      </c>
      <c r="T130" s="1">
        <v>46202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x14ac:dyDescent="0.25">
      <c r="A131">
        <v>679</v>
      </c>
      <c r="B131" t="s">
        <v>913</v>
      </c>
      <c r="C131" t="s">
        <v>911</v>
      </c>
      <c r="D131" t="s">
        <v>98</v>
      </c>
      <c r="E131" t="s">
        <v>103</v>
      </c>
      <c r="F131" s="1">
        <v>46199</v>
      </c>
      <c r="G131" s="1">
        <v>46206</v>
      </c>
      <c r="H131" s="4">
        <v>1</v>
      </c>
      <c r="I131" s="1">
        <v>46206</v>
      </c>
      <c r="J131">
        <v>678</v>
      </c>
      <c r="K131">
        <v>680</v>
      </c>
      <c r="L131" t="s">
        <v>59</v>
      </c>
      <c r="M131" t="s">
        <v>749</v>
      </c>
      <c r="N131" s="1">
        <v>46203</v>
      </c>
      <c r="P131" t="s">
        <v>638</v>
      </c>
      <c r="Q131" t="s">
        <v>178</v>
      </c>
      <c r="R131" t="s">
        <v>55</v>
      </c>
      <c r="S131" s="1">
        <v>46197</v>
      </c>
      <c r="T131" s="1">
        <v>46203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683</v>
      </c>
      <c r="B132" t="s">
        <v>918</v>
      </c>
      <c r="C132" t="s">
        <v>919</v>
      </c>
      <c r="D132" t="s">
        <v>94</v>
      </c>
      <c r="E132" t="s">
        <v>729</v>
      </c>
      <c r="F132" s="1">
        <v>46190</v>
      </c>
      <c r="G132" s="1">
        <v>46198</v>
      </c>
      <c r="H132" s="4">
        <v>1</v>
      </c>
      <c r="I132" s="1">
        <v>46198</v>
      </c>
      <c r="J132" t="s">
        <v>764</v>
      </c>
      <c r="K132">
        <v>684</v>
      </c>
      <c r="L132" t="s">
        <v>59</v>
      </c>
      <c r="M132" t="s">
        <v>912</v>
      </c>
      <c r="N132" s="1">
        <v>46202</v>
      </c>
      <c r="P132" t="s">
        <v>638</v>
      </c>
      <c r="Q132" t="s">
        <v>133</v>
      </c>
      <c r="R132" t="s">
        <v>55</v>
      </c>
      <c r="S132" s="1">
        <v>46192</v>
      </c>
      <c r="T132" s="1">
        <v>46202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25">
      <c r="A133">
        <v>684</v>
      </c>
      <c r="B133" t="s">
        <v>920</v>
      </c>
      <c r="C133" t="s">
        <v>919</v>
      </c>
      <c r="D133" t="s">
        <v>98</v>
      </c>
      <c r="E133" t="s">
        <v>103</v>
      </c>
      <c r="F133" s="1">
        <v>46199</v>
      </c>
      <c r="G133" s="1">
        <v>46206</v>
      </c>
      <c r="H133" s="4">
        <v>1</v>
      </c>
      <c r="I133" s="1">
        <v>46206</v>
      </c>
      <c r="J133">
        <v>683</v>
      </c>
      <c r="K133">
        <v>685</v>
      </c>
      <c r="L133" t="s">
        <v>59</v>
      </c>
      <c r="M133" t="s">
        <v>749</v>
      </c>
      <c r="N133" s="1">
        <v>46203</v>
      </c>
      <c r="P133" t="s">
        <v>638</v>
      </c>
      <c r="Q133" t="s">
        <v>178</v>
      </c>
      <c r="R133" t="s">
        <v>55</v>
      </c>
      <c r="S133" s="1">
        <v>46197</v>
      </c>
      <c r="T133" s="1">
        <v>46203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688</v>
      </c>
      <c r="B134" t="s">
        <v>925</v>
      </c>
      <c r="C134" t="s">
        <v>926</v>
      </c>
      <c r="D134" t="s">
        <v>94</v>
      </c>
      <c r="E134" t="s">
        <v>729</v>
      </c>
      <c r="F134" s="1">
        <v>46190</v>
      </c>
      <c r="G134" s="1">
        <v>46198</v>
      </c>
      <c r="H134" s="4">
        <v>1</v>
      </c>
      <c r="I134" s="1">
        <v>46198</v>
      </c>
      <c r="J134" t="s">
        <v>764</v>
      </c>
      <c r="K134">
        <v>689</v>
      </c>
      <c r="L134" t="s">
        <v>59</v>
      </c>
      <c r="M134" t="s">
        <v>912</v>
      </c>
      <c r="N134" s="1">
        <v>46202</v>
      </c>
      <c r="P134" t="s">
        <v>638</v>
      </c>
      <c r="Q134" t="s">
        <v>133</v>
      </c>
      <c r="R134" t="s">
        <v>55</v>
      </c>
      <c r="S134" s="1">
        <v>46192</v>
      </c>
      <c r="T134" s="1">
        <v>46202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</row>
    <row r="135" spans="1:33" x14ac:dyDescent="0.25">
      <c r="A135">
        <v>689</v>
      </c>
      <c r="B135" t="s">
        <v>927</v>
      </c>
      <c r="C135" t="s">
        <v>926</v>
      </c>
      <c r="D135" t="s">
        <v>98</v>
      </c>
      <c r="E135" t="s">
        <v>53</v>
      </c>
      <c r="F135" s="1">
        <v>46199</v>
      </c>
      <c r="G135" s="1">
        <v>46199</v>
      </c>
      <c r="H135" s="4">
        <v>1</v>
      </c>
      <c r="I135" s="1">
        <v>46199</v>
      </c>
      <c r="J135">
        <v>688</v>
      </c>
      <c r="K135">
        <v>690</v>
      </c>
      <c r="L135" t="s">
        <v>59</v>
      </c>
      <c r="M135" t="s">
        <v>749</v>
      </c>
      <c r="N135" s="1">
        <v>46203</v>
      </c>
      <c r="P135" t="s">
        <v>638</v>
      </c>
      <c r="Q135" t="s">
        <v>178</v>
      </c>
      <c r="R135" t="s">
        <v>55</v>
      </c>
      <c r="S135" s="1">
        <v>46197</v>
      </c>
      <c r="T135" s="1">
        <v>46203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x14ac:dyDescent="0.25">
      <c r="A136">
        <v>698</v>
      </c>
      <c r="B136" t="s">
        <v>941</v>
      </c>
      <c r="C136" t="s">
        <v>942</v>
      </c>
      <c r="D136" t="s">
        <v>94</v>
      </c>
      <c r="E136" t="s">
        <v>175</v>
      </c>
      <c r="F136" s="1">
        <v>46205</v>
      </c>
      <c r="G136" s="1">
        <v>46210</v>
      </c>
      <c r="H136" s="4">
        <v>1</v>
      </c>
      <c r="I136" s="1">
        <v>46210</v>
      </c>
      <c r="J136" t="s">
        <v>934</v>
      </c>
      <c r="K136" t="s">
        <v>943</v>
      </c>
      <c r="L136" t="s">
        <v>59</v>
      </c>
      <c r="M136" t="s">
        <v>396</v>
      </c>
      <c r="N136" s="1">
        <v>46203</v>
      </c>
      <c r="P136" t="s">
        <v>638</v>
      </c>
      <c r="Q136" t="s">
        <v>133</v>
      </c>
      <c r="R136" t="s">
        <v>55</v>
      </c>
      <c r="S136" s="1">
        <v>46199</v>
      </c>
      <c r="T136" s="1">
        <v>46203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</row>
    <row r="137" spans="1:33" x14ac:dyDescent="0.25">
      <c r="A137">
        <v>703</v>
      </c>
      <c r="B137" t="s">
        <v>949</v>
      </c>
      <c r="C137" t="s">
        <v>950</v>
      </c>
      <c r="D137" t="s">
        <v>94</v>
      </c>
      <c r="E137" t="s">
        <v>590</v>
      </c>
      <c r="F137" s="1">
        <v>46204</v>
      </c>
      <c r="G137" s="1">
        <v>46210</v>
      </c>
      <c r="H137" s="4">
        <v>1</v>
      </c>
      <c r="I137" s="1">
        <v>46210</v>
      </c>
      <c r="J137" t="s">
        <v>934</v>
      </c>
      <c r="K137" t="s">
        <v>951</v>
      </c>
      <c r="L137" t="s">
        <v>59</v>
      </c>
      <c r="M137" t="s">
        <v>396</v>
      </c>
      <c r="N137" s="1">
        <v>46203</v>
      </c>
      <c r="P137" t="s">
        <v>638</v>
      </c>
      <c r="Q137" t="s">
        <v>133</v>
      </c>
      <c r="R137" t="s">
        <v>55</v>
      </c>
      <c r="S137" s="1">
        <v>46199</v>
      </c>
      <c r="T137" s="1">
        <v>46203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9"/>
  <sheetViews>
    <sheetView topLeftCell="H1" workbookViewId="0">
      <selection activeCell="I13" sqref="I13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4.5703125" bestFit="1" customWidth="1"/>
    <col min="5" max="5" width="10.42578125" bestFit="1" customWidth="1"/>
    <col min="6" max="7" width="10.7109375" style="8" bestFit="1" customWidth="1"/>
    <col min="8" max="8" width="13.7109375" style="4" bestFit="1" customWidth="1"/>
    <col min="9" max="9" width="14.5703125" bestFit="1" customWidth="1"/>
    <col min="10" max="10" width="16.140625" bestFit="1" customWidth="1"/>
    <col min="11" max="11" width="55.7109375" bestFit="1" customWidth="1"/>
    <col min="12" max="12" width="12.42578125" bestFit="1" customWidth="1"/>
    <col min="13" max="13" width="23.42578125" bestFit="1" customWidth="1"/>
    <col min="14" max="14" width="25.85546875" style="8" bestFit="1" customWidth="1"/>
    <col min="15" max="15" width="21.28515625" bestFit="1" customWidth="1"/>
    <col min="16" max="16" width="32.140625" bestFit="1" customWidth="1"/>
    <col min="17" max="17" width="14.5703125" bestFit="1" customWidth="1"/>
    <col min="18" max="18" width="8.85546875" bestFit="1" customWidth="1"/>
    <col min="19" max="19" width="14.28515625" style="8" bestFit="1" customWidth="1"/>
    <col min="20" max="20" width="17" style="8" bestFit="1" customWidth="1"/>
    <col min="21" max="21" width="14.28515625" bestFit="1" customWidth="1"/>
    <col min="22" max="22" width="9.5703125" bestFit="1" customWidth="1"/>
    <col min="23" max="23" width="21" bestFit="1" customWidth="1"/>
    <col min="24" max="24" width="25.42578125" bestFit="1" customWidth="1"/>
    <col min="25" max="25" width="24.7109375" bestFit="1" customWidth="1"/>
    <col min="26" max="26" width="17.28515625" bestFit="1" customWidth="1"/>
    <col min="27" max="27" width="30.42578125" bestFit="1" customWidth="1"/>
    <col min="28" max="28" width="27.140625" bestFit="1" customWidth="1"/>
    <col min="29" max="29" width="38.28515625" bestFit="1" customWidth="1"/>
    <col min="30" max="30" width="23.85546875" bestFit="1" customWidth="1"/>
    <col min="31" max="31" width="21.7109375" bestFit="1" customWidth="1"/>
    <col min="32" max="32" width="21" bestFit="1" customWidth="1"/>
    <col min="33" max="33" width="12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  <c r="G1" s="8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8" t="s">
        <v>13</v>
      </c>
      <c r="O1" t="s">
        <v>14</v>
      </c>
      <c r="P1" t="s">
        <v>15</v>
      </c>
      <c r="Q1" t="s">
        <v>16</v>
      </c>
      <c r="R1" t="s">
        <v>17</v>
      </c>
      <c r="S1" s="8" t="s">
        <v>18</v>
      </c>
      <c r="T1" s="8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8">
        <v>46161</v>
      </c>
      <c r="G2" s="8">
        <v>46196</v>
      </c>
      <c r="H2" s="4">
        <v>0.5</v>
      </c>
      <c r="L2" t="s">
        <v>35</v>
      </c>
      <c r="M2" t="s">
        <v>44</v>
      </c>
      <c r="N2" s="8">
        <v>46164</v>
      </c>
      <c r="P2" t="s">
        <v>37</v>
      </c>
      <c r="Q2" t="s">
        <v>45</v>
      </c>
      <c r="R2" t="s">
        <v>39</v>
      </c>
      <c r="S2" s="8">
        <v>46161</v>
      </c>
      <c r="T2" s="8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idden="1" x14ac:dyDescent="0.25">
      <c r="A3">
        <v>3</v>
      </c>
      <c r="B3" t="s">
        <v>46</v>
      </c>
      <c r="C3" t="s">
        <v>47</v>
      </c>
      <c r="D3" t="s">
        <v>48</v>
      </c>
      <c r="E3" t="s">
        <v>43</v>
      </c>
      <c r="F3" s="8">
        <v>46161</v>
      </c>
      <c r="G3" s="8">
        <v>46196</v>
      </c>
      <c r="H3" s="4">
        <v>0.5</v>
      </c>
      <c r="L3" t="s">
        <v>35</v>
      </c>
      <c r="M3" t="s">
        <v>44</v>
      </c>
      <c r="N3" s="8">
        <v>46164</v>
      </c>
      <c r="P3" t="s">
        <v>49</v>
      </c>
      <c r="Q3" t="s">
        <v>45</v>
      </c>
      <c r="R3" t="s">
        <v>39</v>
      </c>
      <c r="S3" s="8">
        <v>46161</v>
      </c>
      <c r="T3" s="8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idden="1" x14ac:dyDescent="0.25">
      <c r="A4">
        <v>4</v>
      </c>
      <c r="B4" t="s">
        <v>50</v>
      </c>
      <c r="C4" t="s">
        <v>51</v>
      </c>
      <c r="D4" t="s">
        <v>52</v>
      </c>
      <c r="E4" t="s">
        <v>53</v>
      </c>
      <c r="F4" s="8">
        <v>46178</v>
      </c>
      <c r="G4" s="8">
        <v>46178</v>
      </c>
      <c r="H4" s="4">
        <v>0</v>
      </c>
      <c r="K4" t="s">
        <v>54</v>
      </c>
      <c r="L4" t="s">
        <v>35</v>
      </c>
      <c r="M4" t="s">
        <v>44</v>
      </c>
      <c r="N4" s="8">
        <v>46161</v>
      </c>
      <c r="P4" t="s">
        <v>49</v>
      </c>
      <c r="Q4" t="s">
        <v>38</v>
      </c>
      <c r="R4" t="s">
        <v>55</v>
      </c>
      <c r="S4" s="8">
        <v>46161</v>
      </c>
      <c r="T4" s="8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idden="1" x14ac:dyDescent="0.25">
      <c r="A5">
        <v>8</v>
      </c>
      <c r="B5" t="s">
        <v>66</v>
      </c>
      <c r="C5" t="s">
        <v>51</v>
      </c>
      <c r="D5" t="s">
        <v>67</v>
      </c>
      <c r="E5" t="s">
        <v>53</v>
      </c>
      <c r="F5" s="8">
        <v>46178</v>
      </c>
      <c r="G5" s="8">
        <v>46178</v>
      </c>
      <c r="H5" s="4">
        <v>0</v>
      </c>
      <c r="K5">
        <v>473</v>
      </c>
      <c r="L5" t="s">
        <v>35</v>
      </c>
      <c r="M5" t="s">
        <v>62</v>
      </c>
      <c r="N5" s="8">
        <v>46164</v>
      </c>
      <c r="P5" t="s">
        <v>49</v>
      </c>
      <c r="Q5" t="s">
        <v>65</v>
      </c>
      <c r="R5" t="s">
        <v>55</v>
      </c>
      <c r="S5" s="8">
        <v>46164</v>
      </c>
      <c r="T5" s="8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hidden="1" x14ac:dyDescent="0.25">
      <c r="A6">
        <v>9</v>
      </c>
      <c r="B6" t="s">
        <v>68</v>
      </c>
      <c r="C6" t="s">
        <v>51</v>
      </c>
      <c r="D6" t="s">
        <v>69</v>
      </c>
      <c r="E6" t="s">
        <v>53</v>
      </c>
      <c r="F6" s="8">
        <v>46196</v>
      </c>
      <c r="G6" s="8">
        <v>46196</v>
      </c>
      <c r="H6" s="4">
        <v>0</v>
      </c>
      <c r="K6">
        <v>327</v>
      </c>
      <c r="L6" t="s">
        <v>35</v>
      </c>
      <c r="M6" t="s">
        <v>62</v>
      </c>
      <c r="N6" s="8">
        <v>46164</v>
      </c>
      <c r="P6" t="s">
        <v>49</v>
      </c>
      <c r="Q6" t="s">
        <v>38</v>
      </c>
      <c r="R6" t="s">
        <v>55</v>
      </c>
      <c r="S6" s="8">
        <v>46164</v>
      </c>
      <c r="T6" s="8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idden="1" x14ac:dyDescent="0.25">
      <c r="A7">
        <v>51</v>
      </c>
      <c r="B7" t="s">
        <v>129</v>
      </c>
      <c r="C7" t="s">
        <v>73</v>
      </c>
      <c r="D7" t="s">
        <v>130</v>
      </c>
      <c r="E7" t="s">
        <v>131</v>
      </c>
      <c r="F7" s="8">
        <v>46191</v>
      </c>
      <c r="G7" s="8">
        <v>46216</v>
      </c>
      <c r="H7" s="4">
        <v>0.6</v>
      </c>
      <c r="L7" t="s">
        <v>35</v>
      </c>
      <c r="M7" t="s">
        <v>44</v>
      </c>
      <c r="N7" s="8">
        <v>46198</v>
      </c>
      <c r="P7" t="s">
        <v>132</v>
      </c>
      <c r="Q7" t="s">
        <v>133</v>
      </c>
      <c r="R7" t="s">
        <v>55</v>
      </c>
      <c r="S7" s="8">
        <v>46161</v>
      </c>
      <c r="T7" s="8">
        <v>46198</v>
      </c>
      <c r="V7">
        <v>0.6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idden="1" x14ac:dyDescent="0.25">
      <c r="A8">
        <v>62</v>
      </c>
      <c r="B8" t="s">
        <v>134</v>
      </c>
      <c r="C8" t="s">
        <v>135</v>
      </c>
      <c r="D8" t="s">
        <v>136</v>
      </c>
      <c r="E8" t="s">
        <v>131</v>
      </c>
      <c r="F8" s="8">
        <v>46191</v>
      </c>
      <c r="G8" s="8">
        <v>46216</v>
      </c>
      <c r="H8" s="4">
        <v>0.6</v>
      </c>
      <c r="L8" t="s">
        <v>35</v>
      </c>
      <c r="M8" t="s">
        <v>44</v>
      </c>
      <c r="N8" s="8">
        <v>46167</v>
      </c>
      <c r="P8" t="s">
        <v>132</v>
      </c>
      <c r="Q8" t="s">
        <v>133</v>
      </c>
      <c r="R8" t="s">
        <v>55</v>
      </c>
      <c r="S8" s="8">
        <v>46161</v>
      </c>
      <c r="T8" s="8">
        <v>46167</v>
      </c>
      <c r="V8">
        <v>0.6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idden="1" x14ac:dyDescent="0.25">
      <c r="A9">
        <v>89</v>
      </c>
      <c r="B9" t="s">
        <v>189</v>
      </c>
      <c r="C9" t="s">
        <v>190</v>
      </c>
      <c r="D9" t="s">
        <v>94</v>
      </c>
      <c r="E9" t="s">
        <v>95</v>
      </c>
      <c r="F9" s="8">
        <v>46216</v>
      </c>
      <c r="G9" s="8">
        <v>46219</v>
      </c>
      <c r="H9" s="4">
        <v>0</v>
      </c>
      <c r="J9">
        <v>331</v>
      </c>
      <c r="K9">
        <v>90</v>
      </c>
      <c r="L9" t="s">
        <v>35</v>
      </c>
      <c r="M9" t="s">
        <v>188</v>
      </c>
      <c r="N9" s="8">
        <v>46205</v>
      </c>
      <c r="P9" t="s">
        <v>154</v>
      </c>
      <c r="Q9" t="s">
        <v>146</v>
      </c>
      <c r="R9" t="s">
        <v>55</v>
      </c>
      <c r="S9" s="8">
        <v>46195</v>
      </c>
      <c r="T9" s="8">
        <v>46205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idden="1" x14ac:dyDescent="0.25">
      <c r="A10">
        <v>66</v>
      </c>
      <c r="B10" t="s">
        <v>147</v>
      </c>
      <c r="C10" t="s">
        <v>138</v>
      </c>
      <c r="D10" t="s">
        <v>108</v>
      </c>
      <c r="E10" t="s">
        <v>53</v>
      </c>
      <c r="F10" s="8">
        <v>46216</v>
      </c>
      <c r="G10" s="8">
        <v>46216</v>
      </c>
      <c r="H10" s="4">
        <v>0</v>
      </c>
      <c r="J10" t="s">
        <v>148</v>
      </c>
      <c r="L10" t="s">
        <v>35</v>
      </c>
      <c r="M10" t="s">
        <v>149</v>
      </c>
      <c r="N10" s="8">
        <v>46167</v>
      </c>
      <c r="P10" t="s">
        <v>132</v>
      </c>
      <c r="Q10" t="s">
        <v>150</v>
      </c>
      <c r="R10" t="s">
        <v>55</v>
      </c>
      <c r="S10" s="8">
        <v>46167</v>
      </c>
      <c r="T10" s="8">
        <v>46167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</row>
    <row r="11" spans="1:33" hidden="1" x14ac:dyDescent="0.25">
      <c r="A11">
        <v>83</v>
      </c>
      <c r="B11" t="s">
        <v>169</v>
      </c>
      <c r="C11" t="s">
        <v>156</v>
      </c>
      <c r="D11" t="s">
        <v>170</v>
      </c>
      <c r="E11" t="s">
        <v>171</v>
      </c>
      <c r="F11" s="8">
        <v>46206</v>
      </c>
      <c r="G11" s="8">
        <v>46219</v>
      </c>
      <c r="H11" s="4">
        <v>0.5</v>
      </c>
      <c r="L11" t="s">
        <v>35</v>
      </c>
      <c r="M11" t="s">
        <v>172</v>
      </c>
      <c r="N11" s="8">
        <v>46178</v>
      </c>
      <c r="P11" t="s">
        <v>154</v>
      </c>
      <c r="Q11" t="s">
        <v>133</v>
      </c>
      <c r="R11" t="s">
        <v>55</v>
      </c>
      <c r="S11" s="8">
        <v>46170</v>
      </c>
      <c r="T11" s="8">
        <v>46178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idden="1" x14ac:dyDescent="0.25">
      <c r="A12">
        <v>85</v>
      </c>
      <c r="B12" t="s">
        <v>176</v>
      </c>
      <c r="C12" t="s">
        <v>174</v>
      </c>
      <c r="D12" t="s">
        <v>98</v>
      </c>
      <c r="E12" t="s">
        <v>53</v>
      </c>
      <c r="F12" s="8">
        <v>46216</v>
      </c>
      <c r="G12" s="8">
        <v>46216</v>
      </c>
      <c r="H12" s="4">
        <v>0</v>
      </c>
      <c r="J12">
        <v>84</v>
      </c>
      <c r="K12">
        <v>86</v>
      </c>
      <c r="L12" t="s">
        <v>35</v>
      </c>
      <c r="M12" t="s">
        <v>177</v>
      </c>
      <c r="N12" s="8">
        <v>46175</v>
      </c>
      <c r="P12" t="s">
        <v>154</v>
      </c>
      <c r="Q12" t="s">
        <v>178</v>
      </c>
      <c r="R12" t="s">
        <v>55</v>
      </c>
      <c r="S12" s="8">
        <v>46175</v>
      </c>
      <c r="T12" s="8">
        <v>46175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idden="1" x14ac:dyDescent="0.25">
      <c r="A13">
        <v>94</v>
      </c>
      <c r="B13" t="s">
        <v>199</v>
      </c>
      <c r="C13" t="s">
        <v>200</v>
      </c>
      <c r="D13" t="s">
        <v>94</v>
      </c>
      <c r="E13" t="s">
        <v>95</v>
      </c>
      <c r="F13" s="8">
        <v>46216</v>
      </c>
      <c r="G13" s="8">
        <v>46219</v>
      </c>
      <c r="H13" s="4">
        <v>0</v>
      </c>
      <c r="J13">
        <v>331</v>
      </c>
      <c r="K13">
        <v>95</v>
      </c>
      <c r="L13" t="s">
        <v>35</v>
      </c>
      <c r="M13" t="s">
        <v>188</v>
      </c>
      <c r="N13" s="8">
        <v>46205</v>
      </c>
      <c r="P13" t="s">
        <v>154</v>
      </c>
      <c r="Q13" t="s">
        <v>146</v>
      </c>
      <c r="R13" t="s">
        <v>55</v>
      </c>
      <c r="S13" s="8">
        <v>46195</v>
      </c>
      <c r="T13" s="8">
        <v>46205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idden="1" x14ac:dyDescent="0.25">
      <c r="A14">
        <v>87</v>
      </c>
      <c r="B14" t="s">
        <v>182</v>
      </c>
      <c r="C14" t="s">
        <v>174</v>
      </c>
      <c r="D14" t="s">
        <v>108</v>
      </c>
      <c r="E14" t="s">
        <v>53</v>
      </c>
      <c r="F14" s="8">
        <v>46219</v>
      </c>
      <c r="G14" s="8">
        <v>46219</v>
      </c>
      <c r="H14" s="4">
        <v>0</v>
      </c>
      <c r="J14">
        <v>86</v>
      </c>
      <c r="L14" t="s">
        <v>183</v>
      </c>
      <c r="M14" t="s">
        <v>184</v>
      </c>
      <c r="N14" s="8">
        <v>46178</v>
      </c>
      <c r="P14" t="s">
        <v>154</v>
      </c>
      <c r="Q14" t="s">
        <v>178</v>
      </c>
      <c r="R14" t="s">
        <v>55</v>
      </c>
      <c r="S14" s="8">
        <v>46178</v>
      </c>
      <c r="T14" s="8">
        <v>46178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idden="1" x14ac:dyDescent="0.25">
      <c r="A15">
        <v>99</v>
      </c>
      <c r="B15" t="s">
        <v>206</v>
      </c>
      <c r="C15" t="s">
        <v>207</v>
      </c>
      <c r="D15" t="s">
        <v>94</v>
      </c>
      <c r="E15" t="s">
        <v>95</v>
      </c>
      <c r="F15" s="8">
        <v>46216</v>
      </c>
      <c r="G15" s="8">
        <v>46219</v>
      </c>
      <c r="H15" s="4">
        <v>0</v>
      </c>
      <c r="J15">
        <v>331</v>
      </c>
      <c r="K15">
        <v>100</v>
      </c>
      <c r="L15" t="s">
        <v>35</v>
      </c>
      <c r="M15" t="s">
        <v>188</v>
      </c>
      <c r="N15" s="8">
        <v>46205</v>
      </c>
      <c r="P15" t="s">
        <v>154</v>
      </c>
      <c r="Q15" t="s">
        <v>146</v>
      </c>
      <c r="R15" t="s">
        <v>55</v>
      </c>
      <c r="S15" s="8">
        <v>46195</v>
      </c>
      <c r="T15" s="8">
        <v>46205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idden="1" x14ac:dyDescent="0.25">
      <c r="A16">
        <v>104</v>
      </c>
      <c r="B16" t="s">
        <v>213</v>
      </c>
      <c r="C16" t="s">
        <v>214</v>
      </c>
      <c r="D16" t="s">
        <v>94</v>
      </c>
      <c r="E16" t="s">
        <v>95</v>
      </c>
      <c r="F16" s="8">
        <v>46216</v>
      </c>
      <c r="G16" s="8">
        <v>46219</v>
      </c>
      <c r="H16" s="4">
        <v>0</v>
      </c>
      <c r="J16">
        <v>331</v>
      </c>
      <c r="K16">
        <v>105</v>
      </c>
      <c r="L16" t="s">
        <v>35</v>
      </c>
      <c r="M16" t="s">
        <v>188</v>
      </c>
      <c r="N16" s="8">
        <v>46205</v>
      </c>
      <c r="P16" t="s">
        <v>154</v>
      </c>
      <c r="Q16" t="s">
        <v>146</v>
      </c>
      <c r="R16" t="s">
        <v>55</v>
      </c>
      <c r="S16" s="8">
        <v>46195</v>
      </c>
      <c r="T16" s="8">
        <v>46205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idden="1" x14ac:dyDescent="0.25">
      <c r="A17">
        <v>109</v>
      </c>
      <c r="B17" t="s">
        <v>220</v>
      </c>
      <c r="C17" t="s">
        <v>221</v>
      </c>
      <c r="D17" t="s">
        <v>94</v>
      </c>
      <c r="E17" t="s">
        <v>95</v>
      </c>
      <c r="F17" s="8">
        <v>46216</v>
      </c>
      <c r="G17" s="8">
        <v>46219</v>
      </c>
      <c r="H17" s="4">
        <v>0</v>
      </c>
      <c r="J17">
        <v>331</v>
      </c>
      <c r="K17">
        <v>110</v>
      </c>
      <c r="L17" t="s">
        <v>35</v>
      </c>
      <c r="M17" t="s">
        <v>188</v>
      </c>
      <c r="N17" s="8">
        <v>46205</v>
      </c>
      <c r="P17" t="s">
        <v>154</v>
      </c>
      <c r="Q17" t="s">
        <v>146</v>
      </c>
      <c r="R17" t="s">
        <v>55</v>
      </c>
      <c r="S17" s="8">
        <v>46195</v>
      </c>
      <c r="T17" s="8">
        <v>46205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idden="1" x14ac:dyDescent="0.25">
      <c r="A18">
        <v>114</v>
      </c>
      <c r="B18" t="s">
        <v>227</v>
      </c>
      <c r="C18" t="s">
        <v>228</v>
      </c>
      <c r="D18" t="s">
        <v>94</v>
      </c>
      <c r="E18" t="s">
        <v>95</v>
      </c>
      <c r="F18" s="8">
        <v>46216</v>
      </c>
      <c r="G18" s="8">
        <v>46219</v>
      </c>
      <c r="H18" s="4">
        <v>0</v>
      </c>
      <c r="J18">
        <v>331</v>
      </c>
      <c r="K18">
        <v>115</v>
      </c>
      <c r="L18" t="s">
        <v>35</v>
      </c>
      <c r="M18" t="s">
        <v>188</v>
      </c>
      <c r="N18" s="8">
        <v>46205</v>
      </c>
      <c r="P18" t="s">
        <v>154</v>
      </c>
      <c r="Q18" t="s">
        <v>146</v>
      </c>
      <c r="R18" t="s">
        <v>55</v>
      </c>
      <c r="S18" s="8">
        <v>46195</v>
      </c>
      <c r="T18" s="8">
        <v>46205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hidden="1" x14ac:dyDescent="0.25">
      <c r="A19">
        <v>119</v>
      </c>
      <c r="B19" t="s">
        <v>234</v>
      </c>
      <c r="C19" t="s">
        <v>235</v>
      </c>
      <c r="D19" t="s">
        <v>94</v>
      </c>
      <c r="E19" t="s">
        <v>95</v>
      </c>
      <c r="F19" s="8">
        <v>46216</v>
      </c>
      <c r="G19" s="8">
        <v>46219</v>
      </c>
      <c r="H19" s="4">
        <v>0</v>
      </c>
      <c r="J19">
        <v>331</v>
      </c>
      <c r="K19">
        <v>120</v>
      </c>
      <c r="L19" t="s">
        <v>35</v>
      </c>
      <c r="M19" t="s">
        <v>188</v>
      </c>
      <c r="N19" s="8">
        <v>46205</v>
      </c>
      <c r="P19" t="s">
        <v>154</v>
      </c>
      <c r="Q19" t="s">
        <v>146</v>
      </c>
      <c r="R19" t="s">
        <v>55</v>
      </c>
      <c r="S19" s="8">
        <v>46195</v>
      </c>
      <c r="T19" s="8">
        <v>46205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idden="1" x14ac:dyDescent="0.25">
      <c r="A20">
        <v>124</v>
      </c>
      <c r="B20" t="s">
        <v>241</v>
      </c>
      <c r="C20" t="s">
        <v>242</v>
      </c>
      <c r="D20" t="s">
        <v>94</v>
      </c>
      <c r="E20" t="s">
        <v>95</v>
      </c>
      <c r="F20" s="8">
        <v>46216</v>
      </c>
      <c r="G20" s="8">
        <v>46219</v>
      </c>
      <c r="H20" s="4">
        <v>0</v>
      </c>
      <c r="J20">
        <v>331</v>
      </c>
      <c r="K20">
        <v>125</v>
      </c>
      <c r="L20" t="s">
        <v>35</v>
      </c>
      <c r="M20" t="s">
        <v>188</v>
      </c>
      <c r="N20" s="8">
        <v>46205</v>
      </c>
      <c r="P20" t="s">
        <v>154</v>
      </c>
      <c r="Q20" t="s">
        <v>146</v>
      </c>
      <c r="R20" t="s">
        <v>55</v>
      </c>
      <c r="S20" s="8">
        <v>46195</v>
      </c>
      <c r="T20" s="8">
        <v>46205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idden="1" x14ac:dyDescent="0.25">
      <c r="A21">
        <v>129</v>
      </c>
      <c r="B21" t="s">
        <v>248</v>
      </c>
      <c r="C21" t="s">
        <v>249</v>
      </c>
      <c r="D21" t="s">
        <v>94</v>
      </c>
      <c r="E21" t="s">
        <v>95</v>
      </c>
      <c r="F21" s="8">
        <v>46216</v>
      </c>
      <c r="G21" s="8">
        <v>46219</v>
      </c>
      <c r="H21" s="4">
        <v>0</v>
      </c>
      <c r="J21">
        <v>331</v>
      </c>
      <c r="K21">
        <v>130</v>
      </c>
      <c r="L21" t="s">
        <v>35</v>
      </c>
      <c r="M21" t="s">
        <v>188</v>
      </c>
      <c r="N21" s="8">
        <v>46205</v>
      </c>
      <c r="P21" t="s">
        <v>154</v>
      </c>
      <c r="Q21" t="s">
        <v>146</v>
      </c>
      <c r="R21" t="s">
        <v>55</v>
      </c>
      <c r="S21" s="8">
        <v>46195</v>
      </c>
      <c r="T21" s="8">
        <v>46205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idden="1" x14ac:dyDescent="0.25">
      <c r="A22">
        <v>189</v>
      </c>
      <c r="B22" t="s">
        <v>357</v>
      </c>
      <c r="C22" t="s">
        <v>358</v>
      </c>
      <c r="D22" t="s">
        <v>94</v>
      </c>
      <c r="E22" t="s">
        <v>95</v>
      </c>
      <c r="F22" s="8">
        <v>46192</v>
      </c>
      <c r="G22" s="8">
        <v>46196</v>
      </c>
      <c r="H22" s="4">
        <v>0</v>
      </c>
      <c r="J22" t="s">
        <v>359</v>
      </c>
      <c r="K22">
        <v>190</v>
      </c>
      <c r="L22" t="s">
        <v>35</v>
      </c>
      <c r="M22" t="s">
        <v>312</v>
      </c>
      <c r="N22" s="8">
        <v>46189</v>
      </c>
      <c r="P22" t="s">
        <v>154</v>
      </c>
      <c r="Q22" t="s">
        <v>133</v>
      </c>
      <c r="R22" t="s">
        <v>55</v>
      </c>
      <c r="S22" s="8">
        <v>46185</v>
      </c>
      <c r="T22" s="8">
        <v>46189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idden="1" x14ac:dyDescent="0.25">
      <c r="A23">
        <v>199</v>
      </c>
      <c r="B23" t="s">
        <v>372</v>
      </c>
      <c r="C23" t="s">
        <v>373</v>
      </c>
      <c r="D23" t="s">
        <v>94</v>
      </c>
      <c r="E23" t="s">
        <v>95</v>
      </c>
      <c r="F23" s="8">
        <v>46192</v>
      </c>
      <c r="G23" s="8">
        <v>46196</v>
      </c>
      <c r="H23" s="4">
        <v>0</v>
      </c>
      <c r="J23" t="s">
        <v>359</v>
      </c>
      <c r="K23">
        <v>200</v>
      </c>
      <c r="L23" t="s">
        <v>35</v>
      </c>
      <c r="M23" t="s">
        <v>312</v>
      </c>
      <c r="N23" s="8">
        <v>46189</v>
      </c>
      <c r="P23" t="s">
        <v>154</v>
      </c>
      <c r="Q23" t="s">
        <v>133</v>
      </c>
      <c r="R23" t="s">
        <v>55</v>
      </c>
      <c r="S23" s="8">
        <v>46185</v>
      </c>
      <c r="T23" s="8">
        <v>46189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idden="1" x14ac:dyDescent="0.25">
      <c r="A24">
        <v>133</v>
      </c>
      <c r="B24" t="s">
        <v>253</v>
      </c>
      <c r="C24" t="s">
        <v>156</v>
      </c>
      <c r="D24" t="s">
        <v>254</v>
      </c>
      <c r="E24" t="s">
        <v>255</v>
      </c>
      <c r="F24" s="8">
        <v>46195</v>
      </c>
      <c r="G24" s="8">
        <v>46210</v>
      </c>
      <c r="H24" s="4">
        <v>0.67</v>
      </c>
      <c r="L24" t="s">
        <v>35</v>
      </c>
      <c r="M24" t="s">
        <v>256</v>
      </c>
      <c r="N24" s="8">
        <v>46188</v>
      </c>
      <c r="P24" t="s">
        <v>154</v>
      </c>
      <c r="Q24" t="s">
        <v>133</v>
      </c>
      <c r="R24" t="s">
        <v>55</v>
      </c>
      <c r="S24" s="8">
        <v>46171</v>
      </c>
      <c r="T24" s="8">
        <v>46188</v>
      </c>
      <c r="V24">
        <v>0.67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idden="1" x14ac:dyDescent="0.25">
      <c r="A25">
        <v>135</v>
      </c>
      <c r="B25" t="s">
        <v>260</v>
      </c>
      <c r="C25" t="s">
        <v>258</v>
      </c>
      <c r="D25" t="s">
        <v>98</v>
      </c>
      <c r="E25" t="s">
        <v>53</v>
      </c>
      <c r="F25" s="8">
        <v>46205</v>
      </c>
      <c r="G25" s="8">
        <v>46205</v>
      </c>
      <c r="H25" s="4">
        <v>0</v>
      </c>
      <c r="J25">
        <v>134</v>
      </c>
      <c r="K25">
        <v>136</v>
      </c>
      <c r="L25" t="s">
        <v>35</v>
      </c>
      <c r="M25" t="s">
        <v>261</v>
      </c>
      <c r="N25" s="8">
        <v>46183</v>
      </c>
      <c r="P25" t="s">
        <v>154</v>
      </c>
      <c r="Q25" t="s">
        <v>178</v>
      </c>
      <c r="R25" t="s">
        <v>55</v>
      </c>
      <c r="S25" s="8">
        <v>46183</v>
      </c>
      <c r="T25" s="8">
        <v>46183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>
        <v>235</v>
      </c>
      <c r="B26" t="s">
        <v>393</v>
      </c>
      <c r="C26" t="s">
        <v>394</v>
      </c>
      <c r="D26" t="s">
        <v>94</v>
      </c>
      <c r="E26" t="s">
        <v>95</v>
      </c>
      <c r="F26" s="8">
        <v>46216</v>
      </c>
      <c r="G26" s="8">
        <v>46218</v>
      </c>
      <c r="H26" s="4">
        <v>0</v>
      </c>
      <c r="K26">
        <v>236</v>
      </c>
      <c r="L26" t="s">
        <v>35</v>
      </c>
      <c r="M26" t="s">
        <v>392</v>
      </c>
      <c r="N26" s="8">
        <v>46198</v>
      </c>
      <c r="P26" t="s">
        <v>379</v>
      </c>
      <c r="Q26" t="s">
        <v>146</v>
      </c>
      <c r="R26" t="s">
        <v>55</v>
      </c>
      <c r="S26" s="8">
        <v>46196</v>
      </c>
      <c r="T26" s="8">
        <v>46198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hidden="1" x14ac:dyDescent="0.25">
      <c r="A27">
        <v>137</v>
      </c>
      <c r="B27" t="s">
        <v>264</v>
      </c>
      <c r="C27" t="s">
        <v>258</v>
      </c>
      <c r="D27" t="s">
        <v>108</v>
      </c>
      <c r="E27" t="s">
        <v>53</v>
      </c>
      <c r="F27" s="8">
        <v>46210</v>
      </c>
      <c r="G27" s="8">
        <v>46210</v>
      </c>
      <c r="H27" s="4">
        <v>0</v>
      </c>
      <c r="J27">
        <v>136</v>
      </c>
      <c r="L27" t="s">
        <v>35</v>
      </c>
      <c r="M27" t="s">
        <v>265</v>
      </c>
      <c r="N27" s="8">
        <v>46188</v>
      </c>
      <c r="P27" t="s">
        <v>154</v>
      </c>
      <c r="Q27" t="s">
        <v>146</v>
      </c>
      <c r="R27" t="s">
        <v>55</v>
      </c>
      <c r="S27" s="8">
        <v>46188</v>
      </c>
      <c r="T27" s="8">
        <v>46188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</row>
    <row r="28" spans="1:33" hidden="1" x14ac:dyDescent="0.25">
      <c r="A28">
        <v>138</v>
      </c>
      <c r="B28" t="s">
        <v>266</v>
      </c>
      <c r="C28" t="s">
        <v>156</v>
      </c>
      <c r="D28" t="s">
        <v>267</v>
      </c>
      <c r="E28" t="s">
        <v>255</v>
      </c>
      <c r="F28" s="8">
        <v>46195</v>
      </c>
      <c r="G28" s="8">
        <v>46210</v>
      </c>
      <c r="H28" s="4">
        <v>0.67</v>
      </c>
      <c r="L28" t="s">
        <v>35</v>
      </c>
      <c r="M28" t="s">
        <v>256</v>
      </c>
      <c r="N28" s="8">
        <v>46188</v>
      </c>
      <c r="P28" t="s">
        <v>154</v>
      </c>
      <c r="Q28" t="s">
        <v>133</v>
      </c>
      <c r="R28" t="s">
        <v>55</v>
      </c>
      <c r="S28" s="8">
        <v>46171</v>
      </c>
      <c r="T28" s="8">
        <v>46188</v>
      </c>
      <c r="V28">
        <v>0.67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hidden="1" x14ac:dyDescent="0.25">
      <c r="A29">
        <v>140</v>
      </c>
      <c r="B29" t="s">
        <v>270</v>
      </c>
      <c r="C29" t="s">
        <v>269</v>
      </c>
      <c r="D29" t="s">
        <v>98</v>
      </c>
      <c r="E29" t="s">
        <v>53</v>
      </c>
      <c r="F29" s="8">
        <v>46205</v>
      </c>
      <c r="G29" s="8">
        <v>46205</v>
      </c>
      <c r="H29" s="4">
        <v>0</v>
      </c>
      <c r="J29">
        <v>139</v>
      </c>
      <c r="K29">
        <v>141</v>
      </c>
      <c r="L29" t="s">
        <v>35</v>
      </c>
      <c r="M29" t="s">
        <v>261</v>
      </c>
      <c r="N29" s="8">
        <v>46183</v>
      </c>
      <c r="P29" t="s">
        <v>154</v>
      </c>
      <c r="Q29" t="s">
        <v>178</v>
      </c>
      <c r="R29" t="s">
        <v>55</v>
      </c>
      <c r="S29" s="8">
        <v>46183</v>
      </c>
      <c r="T29" s="8">
        <v>46183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hidden="1" x14ac:dyDescent="0.25">
      <c r="A30">
        <v>336</v>
      </c>
      <c r="B30" t="s">
        <v>501</v>
      </c>
      <c r="C30" t="s">
        <v>502</v>
      </c>
      <c r="D30" t="s">
        <v>94</v>
      </c>
      <c r="E30" t="s">
        <v>95</v>
      </c>
      <c r="F30" s="8">
        <v>46216</v>
      </c>
      <c r="G30" s="8">
        <v>46219</v>
      </c>
      <c r="H30" s="4">
        <v>0</v>
      </c>
      <c r="J30">
        <v>331</v>
      </c>
      <c r="K30">
        <v>337</v>
      </c>
      <c r="L30" t="s">
        <v>35</v>
      </c>
      <c r="M30" t="s">
        <v>500</v>
      </c>
      <c r="N30" s="8">
        <v>46204</v>
      </c>
      <c r="P30" t="s">
        <v>484</v>
      </c>
      <c r="Q30" t="s">
        <v>150</v>
      </c>
      <c r="R30" t="s">
        <v>55</v>
      </c>
      <c r="S30" s="8">
        <v>46203</v>
      </c>
      <c r="T30" s="8">
        <v>46204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hidden="1" x14ac:dyDescent="0.25">
      <c r="A31">
        <v>142</v>
      </c>
      <c r="B31" t="s">
        <v>272</v>
      </c>
      <c r="C31" t="s">
        <v>269</v>
      </c>
      <c r="D31" t="s">
        <v>108</v>
      </c>
      <c r="E31" t="s">
        <v>53</v>
      </c>
      <c r="F31" s="8">
        <v>46210</v>
      </c>
      <c r="G31" s="8">
        <v>46210</v>
      </c>
      <c r="H31" s="4">
        <v>0</v>
      </c>
      <c r="J31">
        <v>141</v>
      </c>
      <c r="L31" t="s">
        <v>35</v>
      </c>
      <c r="M31" t="s">
        <v>265</v>
      </c>
      <c r="N31" s="8">
        <v>46188</v>
      </c>
      <c r="P31" t="s">
        <v>154</v>
      </c>
      <c r="Q31" t="s">
        <v>146</v>
      </c>
      <c r="R31" t="s">
        <v>55</v>
      </c>
      <c r="S31" s="8">
        <v>46188</v>
      </c>
      <c r="T31" s="8">
        <v>46188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</row>
    <row r="32" spans="1:33" hidden="1" x14ac:dyDescent="0.25">
      <c r="A32">
        <v>143</v>
      </c>
      <c r="B32" t="s">
        <v>273</v>
      </c>
      <c r="C32" t="s">
        <v>156</v>
      </c>
      <c r="D32" t="s">
        <v>274</v>
      </c>
      <c r="E32" t="s">
        <v>255</v>
      </c>
      <c r="F32" s="8">
        <v>46195</v>
      </c>
      <c r="G32" s="8">
        <v>46210</v>
      </c>
      <c r="H32" s="4">
        <v>0.67</v>
      </c>
      <c r="L32" t="s">
        <v>35</v>
      </c>
      <c r="M32" t="s">
        <v>256</v>
      </c>
      <c r="N32" s="8">
        <v>46188</v>
      </c>
      <c r="P32" t="s">
        <v>154</v>
      </c>
      <c r="Q32" t="s">
        <v>133</v>
      </c>
      <c r="R32" t="s">
        <v>55</v>
      </c>
      <c r="S32" s="8">
        <v>46171</v>
      </c>
      <c r="T32" s="8">
        <v>46188</v>
      </c>
      <c r="V32">
        <v>0.67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hidden="1" x14ac:dyDescent="0.25">
      <c r="A33">
        <v>145</v>
      </c>
      <c r="B33" t="s">
        <v>277</v>
      </c>
      <c r="C33" t="s">
        <v>276</v>
      </c>
      <c r="D33" t="s">
        <v>98</v>
      </c>
      <c r="E33" t="s">
        <v>53</v>
      </c>
      <c r="F33" s="8">
        <v>46205</v>
      </c>
      <c r="G33" s="8">
        <v>46205</v>
      </c>
      <c r="H33" s="4">
        <v>0</v>
      </c>
      <c r="J33">
        <v>144</v>
      </c>
      <c r="K33">
        <v>146</v>
      </c>
      <c r="L33" t="s">
        <v>35</v>
      </c>
      <c r="M33" t="s">
        <v>261</v>
      </c>
      <c r="N33" s="8">
        <v>46183</v>
      </c>
      <c r="P33" t="s">
        <v>154</v>
      </c>
      <c r="Q33" t="s">
        <v>178</v>
      </c>
      <c r="R33" t="s">
        <v>55</v>
      </c>
      <c r="S33" s="8">
        <v>46183</v>
      </c>
      <c r="T33" s="8">
        <v>46183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hidden="1" x14ac:dyDescent="0.25">
      <c r="A34">
        <v>401</v>
      </c>
      <c r="B34" t="s">
        <v>588</v>
      </c>
      <c r="C34" t="s">
        <v>589</v>
      </c>
      <c r="D34" t="s">
        <v>94</v>
      </c>
      <c r="E34" t="s">
        <v>590</v>
      </c>
      <c r="F34" s="8">
        <v>46206</v>
      </c>
      <c r="G34" s="8">
        <v>46216</v>
      </c>
      <c r="H34" s="4">
        <v>0</v>
      </c>
      <c r="J34" t="s">
        <v>591</v>
      </c>
      <c r="K34">
        <v>402</v>
      </c>
      <c r="L34" t="s">
        <v>35</v>
      </c>
      <c r="M34" t="s">
        <v>497</v>
      </c>
      <c r="N34" s="8">
        <v>46204</v>
      </c>
      <c r="P34" t="s">
        <v>484</v>
      </c>
      <c r="Q34" t="s">
        <v>146</v>
      </c>
      <c r="R34" t="s">
        <v>55</v>
      </c>
      <c r="S34" s="8">
        <v>46198</v>
      </c>
      <c r="T34" s="8">
        <v>46204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hidden="1" x14ac:dyDescent="0.25">
      <c r="A35">
        <v>147</v>
      </c>
      <c r="B35" t="s">
        <v>279</v>
      </c>
      <c r="C35" t="s">
        <v>276</v>
      </c>
      <c r="D35" t="s">
        <v>108</v>
      </c>
      <c r="E35" t="s">
        <v>53</v>
      </c>
      <c r="F35" s="8">
        <v>46210</v>
      </c>
      <c r="G35" s="8">
        <v>46210</v>
      </c>
      <c r="H35" s="4">
        <v>0</v>
      </c>
      <c r="J35">
        <v>146</v>
      </c>
      <c r="L35" t="s">
        <v>35</v>
      </c>
      <c r="M35" t="s">
        <v>265</v>
      </c>
      <c r="N35" s="8">
        <v>46188</v>
      </c>
      <c r="P35" t="s">
        <v>154</v>
      </c>
      <c r="Q35" t="s">
        <v>146</v>
      </c>
      <c r="R35" t="s">
        <v>55</v>
      </c>
      <c r="S35" s="8">
        <v>46188</v>
      </c>
      <c r="T35" s="8">
        <v>46188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</row>
    <row r="36" spans="1:33" hidden="1" x14ac:dyDescent="0.25">
      <c r="A36">
        <v>148</v>
      </c>
      <c r="B36" t="s">
        <v>280</v>
      </c>
      <c r="C36" t="s">
        <v>156</v>
      </c>
      <c r="D36" t="s">
        <v>281</v>
      </c>
      <c r="E36" t="s">
        <v>255</v>
      </c>
      <c r="F36" s="8">
        <v>46195</v>
      </c>
      <c r="G36" s="8">
        <v>46210</v>
      </c>
      <c r="H36" s="4">
        <v>0.67</v>
      </c>
      <c r="L36" t="s">
        <v>35</v>
      </c>
      <c r="M36" t="s">
        <v>256</v>
      </c>
      <c r="N36" s="8">
        <v>46188</v>
      </c>
      <c r="P36" t="s">
        <v>154</v>
      </c>
      <c r="Q36" t="s">
        <v>133</v>
      </c>
      <c r="R36" t="s">
        <v>55</v>
      </c>
      <c r="S36" s="8">
        <v>46171</v>
      </c>
      <c r="T36" s="8">
        <v>46188</v>
      </c>
      <c r="V36">
        <v>0.67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hidden="1" x14ac:dyDescent="0.25">
      <c r="A37">
        <v>150</v>
      </c>
      <c r="B37" t="s">
        <v>284</v>
      </c>
      <c r="C37" t="s">
        <v>283</v>
      </c>
      <c r="D37" t="s">
        <v>98</v>
      </c>
      <c r="E37" t="s">
        <v>53</v>
      </c>
      <c r="F37" s="8">
        <v>46205</v>
      </c>
      <c r="G37" s="8">
        <v>46205</v>
      </c>
      <c r="H37" s="4">
        <v>0</v>
      </c>
      <c r="J37">
        <v>149</v>
      </c>
      <c r="K37">
        <v>151</v>
      </c>
      <c r="L37" t="s">
        <v>35</v>
      </c>
      <c r="M37" t="s">
        <v>261</v>
      </c>
      <c r="N37" s="8">
        <v>46183</v>
      </c>
      <c r="P37" t="s">
        <v>154</v>
      </c>
      <c r="Q37" t="s">
        <v>178</v>
      </c>
      <c r="R37" t="s">
        <v>55</v>
      </c>
      <c r="S37" s="8">
        <v>46183</v>
      </c>
      <c r="T37" s="8">
        <v>46183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hidden="1" x14ac:dyDescent="0.25">
      <c r="A38">
        <v>563</v>
      </c>
      <c r="B38" t="s">
        <v>745</v>
      </c>
      <c r="C38" t="s">
        <v>746</v>
      </c>
      <c r="D38" t="s">
        <v>94</v>
      </c>
      <c r="E38" t="s">
        <v>95</v>
      </c>
      <c r="F38" s="8">
        <v>46210</v>
      </c>
      <c r="G38" s="8">
        <v>46216</v>
      </c>
      <c r="H38" s="4">
        <v>0</v>
      </c>
      <c r="K38">
        <v>564</v>
      </c>
      <c r="L38" t="s">
        <v>35</v>
      </c>
      <c r="M38" t="s">
        <v>324</v>
      </c>
      <c r="N38" s="8">
        <v>46195</v>
      </c>
      <c r="P38" t="s">
        <v>638</v>
      </c>
      <c r="Q38" t="s">
        <v>178</v>
      </c>
      <c r="R38" t="s">
        <v>55</v>
      </c>
      <c r="S38" s="8">
        <v>46191</v>
      </c>
      <c r="T38" s="8">
        <v>46195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hidden="1" x14ac:dyDescent="0.25">
      <c r="A39">
        <v>152</v>
      </c>
      <c r="B39" t="s">
        <v>286</v>
      </c>
      <c r="C39" t="s">
        <v>283</v>
      </c>
      <c r="D39" t="s">
        <v>108</v>
      </c>
      <c r="E39" t="s">
        <v>53</v>
      </c>
      <c r="F39" s="8">
        <v>46210</v>
      </c>
      <c r="G39" s="8">
        <v>46210</v>
      </c>
      <c r="H39" s="4">
        <v>0</v>
      </c>
      <c r="J39">
        <v>151</v>
      </c>
      <c r="L39" t="s">
        <v>35</v>
      </c>
      <c r="M39" t="s">
        <v>265</v>
      </c>
      <c r="N39" s="8">
        <v>46188</v>
      </c>
      <c r="P39" t="s">
        <v>154</v>
      </c>
      <c r="Q39" t="s">
        <v>146</v>
      </c>
      <c r="R39" t="s">
        <v>55</v>
      </c>
      <c r="S39" s="8">
        <v>46188</v>
      </c>
      <c r="T39" s="8">
        <v>46188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</row>
    <row r="40" spans="1:33" hidden="1" x14ac:dyDescent="0.25">
      <c r="A40">
        <v>153</v>
      </c>
      <c r="B40" t="s">
        <v>287</v>
      </c>
      <c r="C40" t="s">
        <v>156</v>
      </c>
      <c r="D40" t="s">
        <v>288</v>
      </c>
      <c r="E40" t="s">
        <v>255</v>
      </c>
      <c r="F40" s="8">
        <v>46195</v>
      </c>
      <c r="G40" s="8">
        <v>46210</v>
      </c>
      <c r="H40" s="4">
        <v>0.67</v>
      </c>
      <c r="L40" t="s">
        <v>35</v>
      </c>
      <c r="M40" t="s">
        <v>256</v>
      </c>
      <c r="N40" s="8">
        <v>46188</v>
      </c>
      <c r="P40" t="s">
        <v>154</v>
      </c>
      <c r="Q40" t="s">
        <v>133</v>
      </c>
      <c r="R40" t="s">
        <v>55</v>
      </c>
      <c r="S40" s="8">
        <v>46171</v>
      </c>
      <c r="T40" s="8">
        <v>46188</v>
      </c>
      <c r="U40" t="s">
        <v>289</v>
      </c>
      <c r="V40">
        <v>0.67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hidden="1" x14ac:dyDescent="0.25">
      <c r="A41">
        <v>155</v>
      </c>
      <c r="B41" t="s">
        <v>292</v>
      </c>
      <c r="C41" t="s">
        <v>291</v>
      </c>
      <c r="D41" t="s">
        <v>98</v>
      </c>
      <c r="E41" t="s">
        <v>53</v>
      </c>
      <c r="F41" s="8">
        <v>46205</v>
      </c>
      <c r="G41" s="8">
        <v>46205</v>
      </c>
      <c r="H41" s="4">
        <v>0</v>
      </c>
      <c r="J41">
        <v>154</v>
      </c>
      <c r="K41">
        <v>156</v>
      </c>
      <c r="L41" t="s">
        <v>35</v>
      </c>
      <c r="M41" t="s">
        <v>293</v>
      </c>
      <c r="N41" s="8">
        <v>46205</v>
      </c>
      <c r="P41" t="s">
        <v>154</v>
      </c>
      <c r="Q41" t="s">
        <v>178</v>
      </c>
      <c r="R41" t="s">
        <v>55</v>
      </c>
      <c r="S41" s="8">
        <v>46205</v>
      </c>
      <c r="T41" s="8">
        <v>46205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hidden="1" x14ac:dyDescent="0.25">
      <c r="A42">
        <v>693</v>
      </c>
      <c r="B42" t="s">
        <v>932</v>
      </c>
      <c r="C42" t="s">
        <v>933</v>
      </c>
      <c r="D42" t="s">
        <v>94</v>
      </c>
      <c r="E42" t="s">
        <v>590</v>
      </c>
      <c r="F42" s="8">
        <v>46206</v>
      </c>
      <c r="G42" s="8">
        <v>46216</v>
      </c>
      <c r="H42" s="4">
        <v>0.5</v>
      </c>
      <c r="J42" t="s">
        <v>934</v>
      </c>
      <c r="K42" t="s">
        <v>935</v>
      </c>
      <c r="L42" t="s">
        <v>35</v>
      </c>
      <c r="M42" t="s">
        <v>396</v>
      </c>
      <c r="N42" s="8">
        <v>46203</v>
      </c>
      <c r="P42" t="s">
        <v>638</v>
      </c>
      <c r="Q42" t="s">
        <v>133</v>
      </c>
      <c r="R42" t="s">
        <v>55</v>
      </c>
      <c r="S42" s="8">
        <v>46199</v>
      </c>
      <c r="T42" s="8">
        <v>46203</v>
      </c>
      <c r="V42">
        <v>0.5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hidden="1" x14ac:dyDescent="0.25">
      <c r="A43">
        <v>157</v>
      </c>
      <c r="B43" t="s">
        <v>295</v>
      </c>
      <c r="C43" t="s">
        <v>291</v>
      </c>
      <c r="D43" t="s">
        <v>108</v>
      </c>
      <c r="E43" t="s">
        <v>53</v>
      </c>
      <c r="F43" s="8">
        <v>46210</v>
      </c>
      <c r="G43" s="8">
        <v>46210</v>
      </c>
      <c r="H43" s="4">
        <v>0</v>
      </c>
      <c r="J43">
        <v>156</v>
      </c>
      <c r="L43" t="s">
        <v>35</v>
      </c>
      <c r="M43" t="s">
        <v>296</v>
      </c>
      <c r="N43" s="8">
        <v>46210</v>
      </c>
      <c r="P43" t="s">
        <v>154</v>
      </c>
      <c r="Q43" t="s">
        <v>146</v>
      </c>
      <c r="R43" t="s">
        <v>55</v>
      </c>
      <c r="S43" s="8">
        <v>46210</v>
      </c>
      <c r="T43" s="8">
        <v>46210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</row>
    <row r="44" spans="1:33" hidden="1" x14ac:dyDescent="0.25">
      <c r="A44">
        <v>158</v>
      </c>
      <c r="B44" t="s">
        <v>297</v>
      </c>
      <c r="C44" t="s">
        <v>156</v>
      </c>
      <c r="D44" t="s">
        <v>298</v>
      </c>
      <c r="E44" t="s">
        <v>255</v>
      </c>
      <c r="F44" s="8">
        <v>46195</v>
      </c>
      <c r="G44" s="8">
        <v>46210</v>
      </c>
      <c r="H44" s="4">
        <v>0.67</v>
      </c>
      <c r="L44" t="s">
        <v>35</v>
      </c>
      <c r="M44" t="s">
        <v>256</v>
      </c>
      <c r="N44" s="8">
        <v>46188</v>
      </c>
      <c r="P44" t="s">
        <v>154</v>
      </c>
      <c r="Q44" t="s">
        <v>133</v>
      </c>
      <c r="R44" t="s">
        <v>55</v>
      </c>
      <c r="S44" s="8">
        <v>46171</v>
      </c>
      <c r="T44" s="8">
        <v>46188</v>
      </c>
      <c r="U44" t="s">
        <v>289</v>
      </c>
      <c r="V44">
        <v>0.67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hidden="1" x14ac:dyDescent="0.25">
      <c r="A45">
        <v>160</v>
      </c>
      <c r="B45" t="s">
        <v>301</v>
      </c>
      <c r="C45" t="s">
        <v>300</v>
      </c>
      <c r="D45" t="s">
        <v>98</v>
      </c>
      <c r="E45" t="s">
        <v>53</v>
      </c>
      <c r="F45" s="8">
        <v>46205</v>
      </c>
      <c r="G45" s="8">
        <v>46205</v>
      </c>
      <c r="H45" s="4">
        <v>0</v>
      </c>
      <c r="J45">
        <v>159</v>
      </c>
      <c r="K45">
        <v>161</v>
      </c>
      <c r="L45" t="s">
        <v>35</v>
      </c>
      <c r="M45" t="s">
        <v>293</v>
      </c>
      <c r="N45" s="8">
        <v>46205</v>
      </c>
      <c r="P45" t="s">
        <v>154</v>
      </c>
      <c r="Q45" t="s">
        <v>178</v>
      </c>
      <c r="R45" t="s">
        <v>55</v>
      </c>
      <c r="S45" s="8">
        <v>46205</v>
      </c>
      <c r="T45" s="8">
        <v>46205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hidden="1" x14ac:dyDescent="0.25">
      <c r="A46">
        <v>65</v>
      </c>
      <c r="B46" t="s">
        <v>143</v>
      </c>
      <c r="C46" t="s">
        <v>138</v>
      </c>
      <c r="D46" t="s">
        <v>102</v>
      </c>
      <c r="E46" t="s">
        <v>121</v>
      </c>
      <c r="F46" s="8">
        <v>46203</v>
      </c>
      <c r="G46" s="8">
        <v>46204</v>
      </c>
      <c r="H46" s="4">
        <v>0.5</v>
      </c>
      <c r="J46">
        <v>64</v>
      </c>
      <c r="K46" t="s">
        <v>144</v>
      </c>
      <c r="L46" t="s">
        <v>35</v>
      </c>
      <c r="M46" t="s">
        <v>145</v>
      </c>
      <c r="N46" s="8">
        <v>46164</v>
      </c>
      <c r="P46" t="s">
        <v>132</v>
      </c>
      <c r="Q46" t="s">
        <v>146</v>
      </c>
      <c r="R46" t="s">
        <v>55</v>
      </c>
      <c r="S46" s="8">
        <v>46163</v>
      </c>
      <c r="T46" s="8">
        <v>46164</v>
      </c>
      <c r="V46">
        <v>0.5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 hidden="1" x14ac:dyDescent="0.25">
      <c r="A47">
        <v>162</v>
      </c>
      <c r="B47" t="s">
        <v>303</v>
      </c>
      <c r="C47" t="s">
        <v>300</v>
      </c>
      <c r="D47" t="s">
        <v>108</v>
      </c>
      <c r="E47" t="s">
        <v>53</v>
      </c>
      <c r="F47" s="8">
        <v>46210</v>
      </c>
      <c r="G47" s="8">
        <v>46210</v>
      </c>
      <c r="H47" s="4">
        <v>0</v>
      </c>
      <c r="J47">
        <v>161</v>
      </c>
      <c r="L47" t="s">
        <v>35</v>
      </c>
      <c r="M47" t="s">
        <v>296</v>
      </c>
      <c r="N47" s="8">
        <v>46210</v>
      </c>
      <c r="P47" t="s">
        <v>154</v>
      </c>
      <c r="Q47" t="s">
        <v>146</v>
      </c>
      <c r="R47" t="s">
        <v>55</v>
      </c>
      <c r="S47" s="8">
        <v>46210</v>
      </c>
      <c r="T47" s="8">
        <v>46210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</row>
    <row r="48" spans="1:33" hidden="1" x14ac:dyDescent="0.25">
      <c r="A48">
        <v>163</v>
      </c>
      <c r="B48" t="s">
        <v>304</v>
      </c>
      <c r="C48" t="s">
        <v>156</v>
      </c>
      <c r="D48" t="s">
        <v>305</v>
      </c>
      <c r="E48" t="s">
        <v>306</v>
      </c>
      <c r="F48" s="8">
        <v>46174</v>
      </c>
      <c r="G48" s="8">
        <v>46211</v>
      </c>
      <c r="H48" s="4">
        <v>0.86</v>
      </c>
      <c r="L48" t="s">
        <v>35</v>
      </c>
      <c r="M48" t="s">
        <v>256</v>
      </c>
      <c r="N48" s="8">
        <v>46190</v>
      </c>
      <c r="P48" t="s">
        <v>154</v>
      </c>
      <c r="Q48" t="s">
        <v>168</v>
      </c>
      <c r="R48" t="s">
        <v>55</v>
      </c>
      <c r="S48" s="8">
        <v>46171</v>
      </c>
      <c r="T48" s="8">
        <v>46190</v>
      </c>
      <c r="V48">
        <v>0.86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hidden="1" x14ac:dyDescent="0.25">
      <c r="A49">
        <v>86</v>
      </c>
      <c r="B49" t="s">
        <v>179</v>
      </c>
      <c r="C49" t="s">
        <v>174</v>
      </c>
      <c r="D49" t="s">
        <v>102</v>
      </c>
      <c r="E49" t="s">
        <v>121</v>
      </c>
      <c r="F49" s="8">
        <v>46217</v>
      </c>
      <c r="G49" s="8">
        <v>46218</v>
      </c>
      <c r="H49" s="4">
        <v>0</v>
      </c>
      <c r="J49">
        <v>85</v>
      </c>
      <c r="K49">
        <v>87</v>
      </c>
      <c r="L49" t="s">
        <v>180</v>
      </c>
      <c r="M49" t="s">
        <v>181</v>
      </c>
      <c r="N49" s="8">
        <v>46177</v>
      </c>
      <c r="P49" t="s">
        <v>154</v>
      </c>
      <c r="Q49" t="s">
        <v>178</v>
      </c>
      <c r="R49" t="s">
        <v>55</v>
      </c>
      <c r="S49" s="8">
        <v>46176</v>
      </c>
      <c r="T49" s="8">
        <v>46177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hidden="1" x14ac:dyDescent="0.25">
      <c r="A50">
        <v>167</v>
      </c>
      <c r="B50" t="s">
        <v>314</v>
      </c>
      <c r="C50" t="s">
        <v>308</v>
      </c>
      <c r="D50" t="s">
        <v>108</v>
      </c>
      <c r="E50" t="s">
        <v>53</v>
      </c>
      <c r="F50" s="8">
        <v>46211</v>
      </c>
      <c r="G50" s="8">
        <v>46211</v>
      </c>
      <c r="H50" s="4">
        <v>0</v>
      </c>
      <c r="J50">
        <v>166</v>
      </c>
      <c r="L50" t="s">
        <v>35</v>
      </c>
      <c r="M50" t="s">
        <v>315</v>
      </c>
      <c r="N50" s="8">
        <v>46190</v>
      </c>
      <c r="P50" t="s">
        <v>154</v>
      </c>
      <c r="Q50" t="s">
        <v>178</v>
      </c>
      <c r="R50" t="s">
        <v>55</v>
      </c>
      <c r="S50" s="8">
        <v>46190</v>
      </c>
      <c r="T50" s="8">
        <v>46190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</row>
    <row r="51" spans="1:33" hidden="1" x14ac:dyDescent="0.25">
      <c r="A51">
        <v>168</v>
      </c>
      <c r="B51" t="s">
        <v>316</v>
      </c>
      <c r="C51" t="s">
        <v>156</v>
      </c>
      <c r="D51" t="s">
        <v>317</v>
      </c>
      <c r="E51" t="s">
        <v>158</v>
      </c>
      <c r="F51" s="8">
        <v>46176</v>
      </c>
      <c r="G51" s="8">
        <v>46197</v>
      </c>
      <c r="H51" s="4">
        <v>0.75</v>
      </c>
      <c r="L51" t="s">
        <v>35</v>
      </c>
      <c r="M51" t="s">
        <v>256</v>
      </c>
      <c r="N51" s="8">
        <v>46190</v>
      </c>
      <c r="P51" t="s">
        <v>154</v>
      </c>
      <c r="Q51" t="s">
        <v>168</v>
      </c>
      <c r="R51" t="s">
        <v>55</v>
      </c>
      <c r="S51" s="8">
        <v>46171</v>
      </c>
      <c r="T51" s="8">
        <v>46190</v>
      </c>
      <c r="U51" t="s">
        <v>289</v>
      </c>
      <c r="V51">
        <v>0.75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idden="1" x14ac:dyDescent="0.25">
      <c r="A52">
        <v>170</v>
      </c>
      <c r="B52" t="s">
        <v>322</v>
      </c>
      <c r="C52" t="s">
        <v>319</v>
      </c>
      <c r="D52" t="s">
        <v>98</v>
      </c>
      <c r="E52" t="s">
        <v>53</v>
      </c>
      <c r="F52" s="8">
        <v>46190</v>
      </c>
      <c r="G52" s="8">
        <v>46192</v>
      </c>
      <c r="H52" s="4">
        <v>0.5</v>
      </c>
      <c r="J52">
        <v>169</v>
      </c>
      <c r="K52">
        <v>171</v>
      </c>
      <c r="L52" t="s">
        <v>35</v>
      </c>
      <c r="M52" t="s">
        <v>315</v>
      </c>
      <c r="N52" s="8">
        <v>46190</v>
      </c>
      <c r="P52" t="s">
        <v>154</v>
      </c>
      <c r="Q52" t="s">
        <v>133</v>
      </c>
      <c r="R52" t="s">
        <v>55</v>
      </c>
      <c r="S52" s="8">
        <v>46190</v>
      </c>
      <c r="T52" s="8">
        <v>46190</v>
      </c>
      <c r="V52">
        <v>0.5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idden="1" x14ac:dyDescent="0.25">
      <c r="A53">
        <v>136</v>
      </c>
      <c r="B53" t="s">
        <v>262</v>
      </c>
      <c r="C53" t="s">
        <v>258</v>
      </c>
      <c r="D53" t="s">
        <v>102</v>
      </c>
      <c r="E53" t="s">
        <v>121</v>
      </c>
      <c r="F53" s="8">
        <v>46206</v>
      </c>
      <c r="G53" s="8">
        <v>46209</v>
      </c>
      <c r="H53" s="4">
        <v>0</v>
      </c>
      <c r="J53">
        <v>135</v>
      </c>
      <c r="K53">
        <v>137</v>
      </c>
      <c r="L53" t="s">
        <v>35</v>
      </c>
      <c r="M53" t="s">
        <v>263</v>
      </c>
      <c r="N53" s="8">
        <v>46185</v>
      </c>
      <c r="P53" t="s">
        <v>154</v>
      </c>
      <c r="Q53" t="s">
        <v>178</v>
      </c>
      <c r="R53" t="s">
        <v>55</v>
      </c>
      <c r="S53" s="8">
        <v>46184</v>
      </c>
      <c r="T53" s="8">
        <v>46185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hidden="1" x14ac:dyDescent="0.25">
      <c r="A54">
        <v>172</v>
      </c>
      <c r="B54" t="s">
        <v>325</v>
      </c>
      <c r="C54" t="s">
        <v>319</v>
      </c>
      <c r="D54" t="s">
        <v>108</v>
      </c>
      <c r="E54" t="s">
        <v>53</v>
      </c>
      <c r="F54" s="8">
        <v>46197</v>
      </c>
      <c r="G54" s="8">
        <v>46197</v>
      </c>
      <c r="H54" s="4">
        <v>0</v>
      </c>
      <c r="J54">
        <v>171</v>
      </c>
      <c r="L54" t="s">
        <v>35</v>
      </c>
      <c r="M54" t="s">
        <v>188</v>
      </c>
      <c r="N54" s="8">
        <v>46195</v>
      </c>
      <c r="P54" t="s">
        <v>154</v>
      </c>
      <c r="Q54" t="s">
        <v>178</v>
      </c>
      <c r="R54" t="s">
        <v>55</v>
      </c>
      <c r="S54" s="8">
        <v>46195</v>
      </c>
      <c r="T54" s="8">
        <v>46195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hidden="1" x14ac:dyDescent="0.25">
      <c r="A55">
        <v>173</v>
      </c>
      <c r="B55" t="s">
        <v>326</v>
      </c>
      <c r="C55" t="s">
        <v>156</v>
      </c>
      <c r="D55" t="s">
        <v>327</v>
      </c>
      <c r="E55" t="s">
        <v>306</v>
      </c>
      <c r="F55" s="8">
        <v>46174</v>
      </c>
      <c r="G55" s="8">
        <v>46211</v>
      </c>
      <c r="H55" s="4">
        <v>0.86</v>
      </c>
      <c r="L55" t="s">
        <v>35</v>
      </c>
      <c r="M55" t="s">
        <v>256</v>
      </c>
      <c r="N55" s="8">
        <v>46190</v>
      </c>
      <c r="P55" t="s">
        <v>154</v>
      </c>
      <c r="Q55" t="s">
        <v>168</v>
      </c>
      <c r="R55" t="s">
        <v>55</v>
      </c>
      <c r="S55" s="8">
        <v>46171</v>
      </c>
      <c r="T55" s="8">
        <v>46190</v>
      </c>
      <c r="U55" t="s">
        <v>289</v>
      </c>
      <c r="V55">
        <v>0.86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hidden="1" x14ac:dyDescent="0.25">
      <c r="A56">
        <v>141</v>
      </c>
      <c r="B56" t="s">
        <v>271</v>
      </c>
      <c r="C56" t="s">
        <v>269</v>
      </c>
      <c r="D56" t="s">
        <v>102</v>
      </c>
      <c r="E56" t="s">
        <v>121</v>
      </c>
      <c r="F56" s="8">
        <v>46206</v>
      </c>
      <c r="G56" s="8">
        <v>46209</v>
      </c>
      <c r="H56" s="4">
        <v>0</v>
      </c>
      <c r="J56">
        <v>140</v>
      </c>
      <c r="K56">
        <v>142</v>
      </c>
      <c r="L56" t="s">
        <v>35</v>
      </c>
      <c r="M56" t="s">
        <v>263</v>
      </c>
      <c r="N56" s="8">
        <v>46185</v>
      </c>
      <c r="P56" t="s">
        <v>154</v>
      </c>
      <c r="Q56" t="s">
        <v>178</v>
      </c>
      <c r="R56" t="s">
        <v>55</v>
      </c>
      <c r="S56" s="8">
        <v>46184</v>
      </c>
      <c r="T56" s="8">
        <v>46185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</row>
    <row r="57" spans="1:33" hidden="1" x14ac:dyDescent="0.25">
      <c r="A57">
        <v>177</v>
      </c>
      <c r="B57" t="s">
        <v>333</v>
      </c>
      <c r="C57" t="s">
        <v>329</v>
      </c>
      <c r="D57" t="s">
        <v>108</v>
      </c>
      <c r="E57" t="s">
        <v>53</v>
      </c>
      <c r="F57" s="8">
        <v>46211</v>
      </c>
      <c r="G57" s="8">
        <v>46211</v>
      </c>
      <c r="H57" s="4">
        <v>0</v>
      </c>
      <c r="J57">
        <v>176</v>
      </c>
      <c r="L57" t="s">
        <v>35</v>
      </c>
      <c r="M57" t="s">
        <v>188</v>
      </c>
      <c r="N57" s="8">
        <v>46195</v>
      </c>
      <c r="P57" t="s">
        <v>154</v>
      </c>
      <c r="Q57" t="s">
        <v>178</v>
      </c>
      <c r="R57" t="s">
        <v>55</v>
      </c>
      <c r="S57" s="8">
        <v>46195</v>
      </c>
      <c r="T57" s="8">
        <v>46195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</row>
    <row r="58" spans="1:33" hidden="1" x14ac:dyDescent="0.25">
      <c r="A58">
        <v>178</v>
      </c>
      <c r="B58" t="s">
        <v>334</v>
      </c>
      <c r="C58" t="s">
        <v>156</v>
      </c>
      <c r="D58" t="s">
        <v>335</v>
      </c>
      <c r="E58" t="s">
        <v>158</v>
      </c>
      <c r="F58" s="8">
        <v>46176</v>
      </c>
      <c r="G58" s="8">
        <v>46197</v>
      </c>
      <c r="H58" s="4">
        <v>0.75</v>
      </c>
      <c r="L58" t="s">
        <v>35</v>
      </c>
      <c r="M58" t="s">
        <v>256</v>
      </c>
      <c r="N58" s="8">
        <v>46190</v>
      </c>
      <c r="P58" t="s">
        <v>154</v>
      </c>
      <c r="Q58" t="s">
        <v>168</v>
      </c>
      <c r="R58" t="s">
        <v>55</v>
      </c>
      <c r="S58" s="8">
        <v>46171</v>
      </c>
      <c r="T58" s="8">
        <v>46190</v>
      </c>
      <c r="U58" t="s">
        <v>289</v>
      </c>
      <c r="V58">
        <v>0.75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hidden="1" x14ac:dyDescent="0.25">
      <c r="A59">
        <v>180</v>
      </c>
      <c r="B59" t="s">
        <v>339</v>
      </c>
      <c r="C59" t="s">
        <v>337</v>
      </c>
      <c r="D59" t="s">
        <v>98</v>
      </c>
      <c r="E59" t="s">
        <v>53</v>
      </c>
      <c r="F59" s="8">
        <v>46190</v>
      </c>
      <c r="G59" s="8">
        <v>46192</v>
      </c>
      <c r="H59" s="4">
        <v>0.5</v>
      </c>
      <c r="J59">
        <v>179</v>
      </c>
      <c r="K59">
        <v>181</v>
      </c>
      <c r="L59" t="s">
        <v>35</v>
      </c>
      <c r="M59" t="s">
        <v>315</v>
      </c>
      <c r="N59" s="8">
        <v>46190</v>
      </c>
      <c r="P59" t="s">
        <v>154</v>
      </c>
      <c r="Q59" t="s">
        <v>133</v>
      </c>
      <c r="R59" t="s">
        <v>55</v>
      </c>
      <c r="S59" s="8">
        <v>46190</v>
      </c>
      <c r="T59" s="8">
        <v>46190</v>
      </c>
      <c r="V59">
        <v>0.5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hidden="1" x14ac:dyDescent="0.25">
      <c r="A60">
        <v>146</v>
      </c>
      <c r="B60" t="s">
        <v>278</v>
      </c>
      <c r="C60" t="s">
        <v>276</v>
      </c>
      <c r="D60" t="s">
        <v>102</v>
      </c>
      <c r="E60" t="s">
        <v>121</v>
      </c>
      <c r="F60" s="8">
        <v>46206</v>
      </c>
      <c r="G60" s="8">
        <v>46209</v>
      </c>
      <c r="H60" s="4">
        <v>0</v>
      </c>
      <c r="J60">
        <v>145</v>
      </c>
      <c r="K60">
        <v>147</v>
      </c>
      <c r="L60" t="s">
        <v>35</v>
      </c>
      <c r="M60" t="s">
        <v>263</v>
      </c>
      <c r="N60" s="8">
        <v>46185</v>
      </c>
      <c r="P60" t="s">
        <v>154</v>
      </c>
      <c r="Q60" t="s">
        <v>178</v>
      </c>
      <c r="R60" t="s">
        <v>55</v>
      </c>
      <c r="S60" s="8">
        <v>46184</v>
      </c>
      <c r="T60" s="8">
        <v>46185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</row>
    <row r="61" spans="1:33" hidden="1" x14ac:dyDescent="0.25">
      <c r="A61">
        <v>182</v>
      </c>
      <c r="B61" t="s">
        <v>341</v>
      </c>
      <c r="C61" t="s">
        <v>337</v>
      </c>
      <c r="D61" t="s">
        <v>108</v>
      </c>
      <c r="E61" t="s">
        <v>53</v>
      </c>
      <c r="F61" s="8">
        <v>46197</v>
      </c>
      <c r="G61" s="8">
        <v>46197</v>
      </c>
      <c r="H61" s="4">
        <v>0</v>
      </c>
      <c r="J61">
        <v>181</v>
      </c>
      <c r="L61" t="s">
        <v>35</v>
      </c>
      <c r="M61" t="s">
        <v>188</v>
      </c>
      <c r="N61" s="8">
        <v>46195</v>
      </c>
      <c r="P61" t="s">
        <v>154</v>
      </c>
      <c r="Q61" t="s">
        <v>178</v>
      </c>
      <c r="R61" t="s">
        <v>55</v>
      </c>
      <c r="S61" s="8">
        <v>46195</v>
      </c>
      <c r="T61" s="8">
        <v>46195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</row>
    <row r="62" spans="1:33" hidden="1" x14ac:dyDescent="0.25">
      <c r="A62">
        <v>183</v>
      </c>
      <c r="B62" t="s">
        <v>342</v>
      </c>
      <c r="C62" t="s">
        <v>156</v>
      </c>
      <c r="D62" t="s">
        <v>343</v>
      </c>
      <c r="E62" t="s">
        <v>158</v>
      </c>
      <c r="F62" s="8">
        <v>46157</v>
      </c>
      <c r="G62" s="8">
        <v>46176</v>
      </c>
      <c r="H62" s="4">
        <v>0.92</v>
      </c>
      <c r="L62" t="s">
        <v>35</v>
      </c>
      <c r="M62" t="s">
        <v>44</v>
      </c>
      <c r="N62" s="8">
        <v>46175</v>
      </c>
      <c r="P62" t="s">
        <v>154</v>
      </c>
      <c r="Q62" t="s">
        <v>125</v>
      </c>
      <c r="R62" t="s">
        <v>55</v>
      </c>
      <c r="S62" s="8">
        <v>46161</v>
      </c>
      <c r="T62" s="8">
        <v>46175</v>
      </c>
      <c r="V62">
        <v>0.92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hidden="1" x14ac:dyDescent="0.25">
      <c r="A63">
        <v>151</v>
      </c>
      <c r="B63" t="s">
        <v>285</v>
      </c>
      <c r="C63" t="s">
        <v>283</v>
      </c>
      <c r="D63" t="s">
        <v>102</v>
      </c>
      <c r="E63" t="s">
        <v>121</v>
      </c>
      <c r="F63" s="8">
        <v>46206</v>
      </c>
      <c r="G63" s="8">
        <v>46209</v>
      </c>
      <c r="H63" s="4">
        <v>0</v>
      </c>
      <c r="J63">
        <v>150</v>
      </c>
      <c r="K63">
        <v>152</v>
      </c>
      <c r="L63" t="s">
        <v>35</v>
      </c>
      <c r="M63" t="s">
        <v>263</v>
      </c>
      <c r="N63" s="8">
        <v>46185</v>
      </c>
      <c r="P63" t="s">
        <v>154</v>
      </c>
      <c r="Q63" t="s">
        <v>178</v>
      </c>
      <c r="R63" t="s">
        <v>55</v>
      </c>
      <c r="S63" s="8">
        <v>46184</v>
      </c>
      <c r="T63" s="8">
        <v>46185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</row>
    <row r="64" spans="1:33" hidden="1" x14ac:dyDescent="0.25">
      <c r="A64">
        <v>187</v>
      </c>
      <c r="B64" t="s">
        <v>353</v>
      </c>
      <c r="C64" t="s">
        <v>345</v>
      </c>
      <c r="D64" t="s">
        <v>108</v>
      </c>
      <c r="E64" t="s">
        <v>53</v>
      </c>
      <c r="F64" s="8">
        <v>46176</v>
      </c>
      <c r="G64" s="8">
        <v>46176</v>
      </c>
      <c r="H64" s="4">
        <v>0.5</v>
      </c>
      <c r="J64">
        <v>186</v>
      </c>
      <c r="L64" t="s">
        <v>35</v>
      </c>
      <c r="M64" t="s">
        <v>181</v>
      </c>
      <c r="N64" s="8">
        <v>46176</v>
      </c>
      <c r="P64" t="s">
        <v>154</v>
      </c>
      <c r="Q64" t="s">
        <v>168</v>
      </c>
      <c r="R64" t="s">
        <v>55</v>
      </c>
      <c r="S64" s="8">
        <v>46176</v>
      </c>
      <c r="T64" s="8">
        <v>46176</v>
      </c>
      <c r="V64">
        <v>0.5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</row>
    <row r="65" spans="1:33" hidden="1" x14ac:dyDescent="0.25">
      <c r="A65">
        <v>188</v>
      </c>
      <c r="B65" t="s">
        <v>354</v>
      </c>
      <c r="C65" t="s">
        <v>156</v>
      </c>
      <c r="D65" t="s">
        <v>355</v>
      </c>
      <c r="E65" t="s">
        <v>356</v>
      </c>
      <c r="F65" s="8">
        <v>46192</v>
      </c>
      <c r="G65" s="8">
        <v>46202</v>
      </c>
      <c r="H65" s="4">
        <v>0</v>
      </c>
      <c r="L65" t="s">
        <v>35</v>
      </c>
      <c r="M65" t="s">
        <v>312</v>
      </c>
      <c r="N65" s="8">
        <v>46195</v>
      </c>
      <c r="P65" t="s">
        <v>154</v>
      </c>
      <c r="Q65" t="s">
        <v>133</v>
      </c>
      <c r="R65" t="s">
        <v>55</v>
      </c>
      <c r="S65" s="8">
        <v>46185</v>
      </c>
      <c r="T65" s="8">
        <v>46195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hidden="1" x14ac:dyDescent="0.25">
      <c r="A66">
        <v>156</v>
      </c>
      <c r="B66" t="s">
        <v>294</v>
      </c>
      <c r="C66" t="s">
        <v>291</v>
      </c>
      <c r="D66" t="s">
        <v>102</v>
      </c>
      <c r="E66" t="s">
        <v>121</v>
      </c>
      <c r="F66" s="8">
        <v>46206</v>
      </c>
      <c r="G66" s="8">
        <v>46209</v>
      </c>
      <c r="H66" s="4">
        <v>0</v>
      </c>
      <c r="J66">
        <v>155</v>
      </c>
      <c r="K66">
        <v>157</v>
      </c>
      <c r="L66" t="s">
        <v>35</v>
      </c>
      <c r="M66" t="s">
        <v>192</v>
      </c>
      <c r="N66" s="8">
        <v>46209</v>
      </c>
      <c r="P66" t="s">
        <v>154</v>
      </c>
      <c r="Q66" t="s">
        <v>178</v>
      </c>
      <c r="R66" t="s">
        <v>55</v>
      </c>
      <c r="S66" s="8">
        <v>46206</v>
      </c>
      <c r="T66" s="8">
        <v>46209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</row>
    <row r="67" spans="1:33" hidden="1" x14ac:dyDescent="0.25">
      <c r="A67">
        <v>190</v>
      </c>
      <c r="B67" t="s">
        <v>360</v>
      </c>
      <c r="C67" t="s">
        <v>358</v>
      </c>
      <c r="D67" t="s">
        <v>98</v>
      </c>
      <c r="E67" t="s">
        <v>53</v>
      </c>
      <c r="F67" s="8">
        <v>46197</v>
      </c>
      <c r="G67" s="8">
        <v>46197</v>
      </c>
      <c r="H67" s="4">
        <v>0</v>
      </c>
      <c r="J67">
        <v>189</v>
      </c>
      <c r="K67">
        <v>191</v>
      </c>
      <c r="L67" t="s">
        <v>35</v>
      </c>
      <c r="M67" t="s">
        <v>315</v>
      </c>
      <c r="N67" s="8">
        <v>46190</v>
      </c>
      <c r="P67" t="s">
        <v>154</v>
      </c>
      <c r="Q67" t="s">
        <v>178</v>
      </c>
      <c r="R67" t="s">
        <v>55</v>
      </c>
      <c r="S67" s="8">
        <v>46190</v>
      </c>
      <c r="T67" s="8">
        <v>46190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hidden="1" x14ac:dyDescent="0.25">
      <c r="A68">
        <v>161</v>
      </c>
      <c r="B68" t="s">
        <v>302</v>
      </c>
      <c r="C68" t="s">
        <v>300</v>
      </c>
      <c r="D68" t="s">
        <v>102</v>
      </c>
      <c r="E68" t="s">
        <v>121</v>
      </c>
      <c r="F68" s="8">
        <v>46206</v>
      </c>
      <c r="G68" s="8">
        <v>46209</v>
      </c>
      <c r="H68" s="4">
        <v>0</v>
      </c>
      <c r="J68">
        <v>160</v>
      </c>
      <c r="K68">
        <v>162</v>
      </c>
      <c r="L68" t="s">
        <v>35</v>
      </c>
      <c r="M68" t="s">
        <v>192</v>
      </c>
      <c r="N68" s="8">
        <v>46209</v>
      </c>
      <c r="P68" t="s">
        <v>154</v>
      </c>
      <c r="Q68" t="s">
        <v>178</v>
      </c>
      <c r="R68" t="s">
        <v>55</v>
      </c>
      <c r="S68" s="8">
        <v>46206</v>
      </c>
      <c r="T68" s="8">
        <v>46209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 hidden="1" x14ac:dyDescent="0.25">
      <c r="A69">
        <v>192</v>
      </c>
      <c r="B69" t="s">
        <v>362</v>
      </c>
      <c r="C69" t="s">
        <v>358</v>
      </c>
      <c r="D69" t="s">
        <v>108</v>
      </c>
      <c r="E69" t="s">
        <v>53</v>
      </c>
      <c r="F69" s="8">
        <v>46202</v>
      </c>
      <c r="G69" s="8">
        <v>46202</v>
      </c>
      <c r="H69" s="4">
        <v>0</v>
      </c>
      <c r="J69">
        <v>191</v>
      </c>
      <c r="L69" t="s">
        <v>35</v>
      </c>
      <c r="M69" t="s">
        <v>188</v>
      </c>
      <c r="N69" s="8">
        <v>46195</v>
      </c>
      <c r="P69" t="s">
        <v>154</v>
      </c>
      <c r="Q69" t="s">
        <v>178</v>
      </c>
      <c r="R69" t="s">
        <v>55</v>
      </c>
      <c r="S69" s="8">
        <v>46195</v>
      </c>
      <c r="T69" s="8">
        <v>46195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hidden="1" x14ac:dyDescent="0.25">
      <c r="A70">
        <v>193</v>
      </c>
      <c r="B70" t="s">
        <v>363</v>
      </c>
      <c r="C70" t="s">
        <v>156</v>
      </c>
      <c r="D70" t="s">
        <v>364</v>
      </c>
      <c r="E70" t="s">
        <v>356</v>
      </c>
      <c r="F70" s="8">
        <v>46190</v>
      </c>
      <c r="G70" s="8">
        <v>46198</v>
      </c>
      <c r="H70" s="4">
        <v>0.5</v>
      </c>
      <c r="L70" t="s">
        <v>35</v>
      </c>
      <c r="M70" t="s">
        <v>312</v>
      </c>
      <c r="N70" s="8">
        <v>46195</v>
      </c>
      <c r="P70" t="s">
        <v>154</v>
      </c>
      <c r="Q70" t="s">
        <v>133</v>
      </c>
      <c r="R70" t="s">
        <v>55</v>
      </c>
      <c r="S70" s="8">
        <v>46185</v>
      </c>
      <c r="T70" s="8">
        <v>46195</v>
      </c>
      <c r="V70">
        <v>0.5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hidden="1" x14ac:dyDescent="0.25">
      <c r="A71">
        <v>195</v>
      </c>
      <c r="B71" t="s">
        <v>367</v>
      </c>
      <c r="C71" t="s">
        <v>366</v>
      </c>
      <c r="D71" t="s">
        <v>98</v>
      </c>
      <c r="E71" t="s">
        <v>53</v>
      </c>
      <c r="F71" s="8">
        <v>46195</v>
      </c>
      <c r="G71" s="8">
        <v>46195</v>
      </c>
      <c r="H71" s="4">
        <v>0.5</v>
      </c>
      <c r="J71">
        <v>194</v>
      </c>
      <c r="K71">
        <v>196</v>
      </c>
      <c r="L71" t="s">
        <v>35</v>
      </c>
      <c r="M71" t="s">
        <v>315</v>
      </c>
      <c r="N71" s="8">
        <v>46190</v>
      </c>
      <c r="P71" t="s">
        <v>154</v>
      </c>
      <c r="Q71" t="s">
        <v>178</v>
      </c>
      <c r="R71" t="s">
        <v>55</v>
      </c>
      <c r="S71" s="8">
        <v>46190</v>
      </c>
      <c r="T71" s="8">
        <v>46190</v>
      </c>
      <c r="V71">
        <v>0.5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hidden="1" x14ac:dyDescent="0.25">
      <c r="A72">
        <v>166</v>
      </c>
      <c r="B72" t="s">
        <v>313</v>
      </c>
      <c r="C72" t="s">
        <v>308</v>
      </c>
      <c r="D72" t="s">
        <v>102</v>
      </c>
      <c r="E72" t="s">
        <v>121</v>
      </c>
      <c r="F72" s="8">
        <v>46209</v>
      </c>
      <c r="G72" s="8">
        <v>46210</v>
      </c>
      <c r="H72" s="4">
        <v>0.5</v>
      </c>
      <c r="J72">
        <v>165</v>
      </c>
      <c r="K72">
        <v>167</v>
      </c>
      <c r="L72" t="s">
        <v>35</v>
      </c>
      <c r="M72" t="s">
        <v>265</v>
      </c>
      <c r="N72" s="8">
        <v>46189</v>
      </c>
      <c r="P72" t="s">
        <v>154</v>
      </c>
      <c r="Q72" t="s">
        <v>133</v>
      </c>
      <c r="R72" t="s">
        <v>55</v>
      </c>
      <c r="S72" s="8">
        <v>46188</v>
      </c>
      <c r="T72" s="8">
        <v>46189</v>
      </c>
      <c r="V72">
        <v>0.5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</row>
    <row r="73" spans="1:33" hidden="1" x14ac:dyDescent="0.25">
      <c r="A73">
        <v>197</v>
      </c>
      <c r="B73" t="s">
        <v>369</v>
      </c>
      <c r="C73" t="s">
        <v>366</v>
      </c>
      <c r="D73" t="s">
        <v>108</v>
      </c>
      <c r="E73" t="s">
        <v>53</v>
      </c>
      <c r="F73" s="8">
        <v>46198</v>
      </c>
      <c r="G73" s="8">
        <v>46198</v>
      </c>
      <c r="H73" s="4">
        <v>0</v>
      </c>
      <c r="J73">
        <v>196</v>
      </c>
      <c r="L73" t="s">
        <v>35</v>
      </c>
      <c r="M73" t="s">
        <v>188</v>
      </c>
      <c r="N73" s="8">
        <v>46195</v>
      </c>
      <c r="P73" t="s">
        <v>154</v>
      </c>
      <c r="Q73" t="s">
        <v>178</v>
      </c>
      <c r="R73" t="s">
        <v>55</v>
      </c>
      <c r="S73" s="8">
        <v>46195</v>
      </c>
      <c r="T73" s="8">
        <v>46195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</row>
    <row r="74" spans="1:33" hidden="1" x14ac:dyDescent="0.25">
      <c r="A74">
        <v>198</v>
      </c>
      <c r="B74" t="s">
        <v>370</v>
      </c>
      <c r="C74" t="s">
        <v>156</v>
      </c>
      <c r="D74" t="s">
        <v>371</v>
      </c>
      <c r="E74" t="s">
        <v>356</v>
      </c>
      <c r="F74" s="8">
        <v>46192</v>
      </c>
      <c r="G74" s="8">
        <v>46202</v>
      </c>
      <c r="H74" s="4">
        <v>0</v>
      </c>
      <c r="L74" t="s">
        <v>35</v>
      </c>
      <c r="M74" t="s">
        <v>312</v>
      </c>
      <c r="N74" s="8">
        <v>46195</v>
      </c>
      <c r="P74" t="s">
        <v>154</v>
      </c>
      <c r="Q74" t="s">
        <v>133</v>
      </c>
      <c r="R74" t="s">
        <v>55</v>
      </c>
      <c r="S74" s="8">
        <v>46185</v>
      </c>
      <c r="T74" s="8">
        <v>46195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hidden="1" x14ac:dyDescent="0.25">
      <c r="A75">
        <v>171</v>
      </c>
      <c r="B75" t="s">
        <v>323</v>
      </c>
      <c r="C75" t="s">
        <v>319</v>
      </c>
      <c r="D75" t="s">
        <v>102</v>
      </c>
      <c r="E75" t="s">
        <v>121</v>
      </c>
      <c r="F75" s="8">
        <v>46195</v>
      </c>
      <c r="G75" s="8">
        <v>46196</v>
      </c>
      <c r="H75" s="4">
        <v>0</v>
      </c>
      <c r="J75">
        <v>170</v>
      </c>
      <c r="K75">
        <v>172</v>
      </c>
      <c r="L75" t="s">
        <v>35</v>
      </c>
      <c r="M75" t="s">
        <v>324</v>
      </c>
      <c r="N75" s="8">
        <v>46192</v>
      </c>
      <c r="P75" t="s">
        <v>154</v>
      </c>
      <c r="Q75" t="s">
        <v>133</v>
      </c>
      <c r="R75" t="s">
        <v>55</v>
      </c>
      <c r="S75" s="8">
        <v>46191</v>
      </c>
      <c r="T75" s="8">
        <v>46192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</row>
    <row r="76" spans="1:33" hidden="1" x14ac:dyDescent="0.25">
      <c r="A76">
        <v>200</v>
      </c>
      <c r="B76" t="s">
        <v>374</v>
      </c>
      <c r="C76" t="s">
        <v>373</v>
      </c>
      <c r="D76" t="s">
        <v>98</v>
      </c>
      <c r="E76" t="s">
        <v>53</v>
      </c>
      <c r="F76" s="8">
        <v>46197</v>
      </c>
      <c r="G76" s="8">
        <v>46197</v>
      </c>
      <c r="H76" s="4">
        <v>0</v>
      </c>
      <c r="J76">
        <v>199</v>
      </c>
      <c r="K76">
        <v>201</v>
      </c>
      <c r="L76" t="s">
        <v>35</v>
      </c>
      <c r="M76" t="s">
        <v>315</v>
      </c>
      <c r="N76" s="8">
        <v>46190</v>
      </c>
      <c r="P76" t="s">
        <v>154</v>
      </c>
      <c r="Q76" t="s">
        <v>178</v>
      </c>
      <c r="R76" t="s">
        <v>55</v>
      </c>
      <c r="S76" s="8">
        <v>46190</v>
      </c>
      <c r="T76" s="8">
        <v>46190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idden="1" x14ac:dyDescent="0.25">
      <c r="A77">
        <v>176</v>
      </c>
      <c r="B77" t="s">
        <v>332</v>
      </c>
      <c r="C77" t="s">
        <v>329</v>
      </c>
      <c r="D77" t="s">
        <v>102</v>
      </c>
      <c r="E77" t="s">
        <v>121</v>
      </c>
      <c r="F77" s="8">
        <v>46209</v>
      </c>
      <c r="G77" s="8">
        <v>46210</v>
      </c>
      <c r="H77" s="4">
        <v>0.5</v>
      </c>
      <c r="J77">
        <v>175</v>
      </c>
      <c r="K77">
        <v>177</v>
      </c>
      <c r="L77" t="s">
        <v>35</v>
      </c>
      <c r="M77" t="s">
        <v>324</v>
      </c>
      <c r="N77" s="8">
        <v>46192</v>
      </c>
      <c r="P77" t="s">
        <v>154</v>
      </c>
      <c r="Q77" t="s">
        <v>133</v>
      </c>
      <c r="R77" t="s">
        <v>55</v>
      </c>
      <c r="S77" s="8">
        <v>46191</v>
      </c>
      <c r="T77" s="8">
        <v>46192</v>
      </c>
      <c r="V77">
        <v>0.5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</row>
    <row r="78" spans="1:33" hidden="1" x14ac:dyDescent="0.25">
      <c r="A78">
        <v>202</v>
      </c>
      <c r="B78" t="s">
        <v>376</v>
      </c>
      <c r="C78" t="s">
        <v>373</v>
      </c>
      <c r="D78" t="s">
        <v>108</v>
      </c>
      <c r="E78" t="s">
        <v>53</v>
      </c>
      <c r="F78" s="8">
        <v>46202</v>
      </c>
      <c r="G78" s="8">
        <v>46202</v>
      </c>
      <c r="H78" s="4">
        <v>0</v>
      </c>
      <c r="J78">
        <v>201</v>
      </c>
      <c r="L78" t="s">
        <v>35</v>
      </c>
      <c r="M78" t="s">
        <v>188</v>
      </c>
      <c r="N78" s="8">
        <v>46195</v>
      </c>
      <c r="P78" t="s">
        <v>154</v>
      </c>
      <c r="Q78" t="s">
        <v>178</v>
      </c>
      <c r="R78" t="s">
        <v>55</v>
      </c>
      <c r="S78" s="8">
        <v>46195</v>
      </c>
      <c r="T78" s="8">
        <v>46195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 hidden="1" x14ac:dyDescent="0.25">
      <c r="A79">
        <v>214</v>
      </c>
      <c r="B79" t="s">
        <v>380</v>
      </c>
      <c r="C79" t="s">
        <v>381</v>
      </c>
      <c r="D79" t="s">
        <v>382</v>
      </c>
      <c r="E79" t="s">
        <v>171</v>
      </c>
      <c r="F79" s="8">
        <v>46206</v>
      </c>
      <c r="G79" s="8">
        <v>46219</v>
      </c>
      <c r="H79" s="4">
        <v>0.5</v>
      </c>
      <c r="L79" t="s">
        <v>35</v>
      </c>
      <c r="M79" t="s">
        <v>172</v>
      </c>
      <c r="N79" s="8">
        <v>46178</v>
      </c>
      <c r="P79" t="s">
        <v>379</v>
      </c>
      <c r="Q79" t="s">
        <v>178</v>
      </c>
      <c r="R79" t="s">
        <v>55</v>
      </c>
      <c r="S79" s="8">
        <v>46170</v>
      </c>
      <c r="T79" s="8">
        <v>46178</v>
      </c>
      <c r="V79">
        <v>0.5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hidden="1" x14ac:dyDescent="0.25">
      <c r="A80">
        <v>216</v>
      </c>
      <c r="B80" t="s">
        <v>386</v>
      </c>
      <c r="C80" t="s">
        <v>384</v>
      </c>
      <c r="D80" t="s">
        <v>98</v>
      </c>
      <c r="E80" t="s">
        <v>53</v>
      </c>
      <c r="F80" s="8">
        <v>46216</v>
      </c>
      <c r="G80" s="8">
        <v>46216</v>
      </c>
      <c r="H80" s="4">
        <v>0</v>
      </c>
      <c r="J80">
        <v>215</v>
      </c>
      <c r="K80" t="s">
        <v>387</v>
      </c>
      <c r="L80" t="s">
        <v>35</v>
      </c>
      <c r="M80" t="s">
        <v>177</v>
      </c>
      <c r="N80" s="8">
        <v>46175</v>
      </c>
      <c r="P80" t="s">
        <v>379</v>
      </c>
      <c r="Q80" t="s">
        <v>146</v>
      </c>
      <c r="R80" t="s">
        <v>55</v>
      </c>
      <c r="S80" s="8">
        <v>46175</v>
      </c>
      <c r="T80" s="8">
        <v>46175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hidden="1" x14ac:dyDescent="0.25">
      <c r="A81">
        <v>181</v>
      </c>
      <c r="B81" t="s">
        <v>340</v>
      </c>
      <c r="C81" t="s">
        <v>337</v>
      </c>
      <c r="D81" t="s">
        <v>102</v>
      </c>
      <c r="E81" t="s">
        <v>121</v>
      </c>
      <c r="F81" s="8">
        <v>46195</v>
      </c>
      <c r="G81" s="8">
        <v>46196</v>
      </c>
      <c r="H81" s="4">
        <v>0</v>
      </c>
      <c r="J81">
        <v>180</v>
      </c>
      <c r="K81">
        <v>182</v>
      </c>
      <c r="L81" t="s">
        <v>35</v>
      </c>
      <c r="M81" t="s">
        <v>324</v>
      </c>
      <c r="N81" s="8">
        <v>46192</v>
      </c>
      <c r="P81" t="s">
        <v>154</v>
      </c>
      <c r="Q81" t="s">
        <v>133</v>
      </c>
      <c r="R81" t="s">
        <v>55</v>
      </c>
      <c r="S81" s="8">
        <v>46191</v>
      </c>
      <c r="T81" s="8">
        <v>46192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</row>
    <row r="82" spans="1:33" hidden="1" x14ac:dyDescent="0.25">
      <c r="A82">
        <v>218</v>
      </c>
      <c r="B82" t="s">
        <v>389</v>
      </c>
      <c r="C82" t="s">
        <v>384</v>
      </c>
      <c r="D82" t="s">
        <v>108</v>
      </c>
      <c r="E82" t="s">
        <v>53</v>
      </c>
      <c r="F82" s="8">
        <v>46219</v>
      </c>
      <c r="G82" s="8">
        <v>46219</v>
      </c>
      <c r="H82" s="4">
        <v>0</v>
      </c>
      <c r="J82">
        <v>217</v>
      </c>
      <c r="L82" t="s">
        <v>183</v>
      </c>
      <c r="M82" t="s">
        <v>184</v>
      </c>
      <c r="N82" s="8">
        <v>46178</v>
      </c>
      <c r="P82" t="s">
        <v>379</v>
      </c>
      <c r="Q82" t="s">
        <v>146</v>
      </c>
      <c r="R82" t="s">
        <v>55</v>
      </c>
      <c r="S82" s="8">
        <v>46178</v>
      </c>
      <c r="T82" s="8">
        <v>46178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hidden="1" x14ac:dyDescent="0.25">
      <c r="A83">
        <v>186</v>
      </c>
      <c r="B83" t="s">
        <v>351</v>
      </c>
      <c r="C83" t="s">
        <v>345</v>
      </c>
      <c r="D83" t="s">
        <v>102</v>
      </c>
      <c r="E83" t="s">
        <v>121</v>
      </c>
      <c r="F83" s="8">
        <v>46174</v>
      </c>
      <c r="G83" s="8">
        <v>46175</v>
      </c>
      <c r="H83" s="4">
        <v>0.75</v>
      </c>
      <c r="J83">
        <v>185</v>
      </c>
      <c r="K83" t="s">
        <v>352</v>
      </c>
      <c r="L83" t="s">
        <v>35</v>
      </c>
      <c r="M83" t="s">
        <v>321</v>
      </c>
      <c r="N83" s="8">
        <v>46175</v>
      </c>
      <c r="P83" t="s">
        <v>154</v>
      </c>
      <c r="Q83" t="s">
        <v>168</v>
      </c>
      <c r="R83" t="s">
        <v>55</v>
      </c>
      <c r="S83" s="8">
        <v>46174</v>
      </c>
      <c r="T83" s="8">
        <v>46175</v>
      </c>
      <c r="V83">
        <v>0.75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</row>
    <row r="84" spans="1:33" hidden="1" x14ac:dyDescent="0.25">
      <c r="A84">
        <v>236</v>
      </c>
      <c r="B84" t="s">
        <v>395</v>
      </c>
      <c r="C84" t="s">
        <v>394</v>
      </c>
      <c r="D84" t="s">
        <v>98</v>
      </c>
      <c r="E84" t="s">
        <v>53</v>
      </c>
      <c r="F84" s="8">
        <v>46219</v>
      </c>
      <c r="G84" s="8">
        <v>46219</v>
      </c>
      <c r="H84" s="4">
        <v>0</v>
      </c>
      <c r="J84">
        <v>235</v>
      </c>
      <c r="K84">
        <v>237</v>
      </c>
      <c r="L84" t="s">
        <v>183</v>
      </c>
      <c r="M84" t="s">
        <v>396</v>
      </c>
      <c r="N84" s="8">
        <v>46199</v>
      </c>
      <c r="P84" t="s">
        <v>379</v>
      </c>
      <c r="Q84" t="s">
        <v>146</v>
      </c>
      <c r="R84" t="s">
        <v>55</v>
      </c>
      <c r="S84" s="8">
        <v>46199</v>
      </c>
      <c r="T84" s="8">
        <v>46199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hidden="1" x14ac:dyDescent="0.25">
      <c r="A85">
        <v>244</v>
      </c>
      <c r="B85" t="s">
        <v>401</v>
      </c>
      <c r="C85" t="s">
        <v>381</v>
      </c>
      <c r="D85" t="s">
        <v>402</v>
      </c>
      <c r="E85" t="s">
        <v>403</v>
      </c>
      <c r="F85" s="8">
        <v>46185</v>
      </c>
      <c r="G85" s="8">
        <v>46195</v>
      </c>
      <c r="H85" s="4">
        <v>0.5</v>
      </c>
      <c r="L85" t="s">
        <v>35</v>
      </c>
      <c r="M85" t="s">
        <v>142</v>
      </c>
      <c r="N85" s="8">
        <v>46169</v>
      </c>
      <c r="P85" t="s">
        <v>379</v>
      </c>
      <c r="Q85" t="s">
        <v>65</v>
      </c>
      <c r="R85" t="s">
        <v>55</v>
      </c>
      <c r="S85" s="8">
        <v>46162</v>
      </c>
      <c r="T85" s="8">
        <v>46169</v>
      </c>
      <c r="V85">
        <v>0.5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hidden="1" x14ac:dyDescent="0.25">
      <c r="A86">
        <v>246</v>
      </c>
      <c r="B86" t="s">
        <v>408</v>
      </c>
      <c r="C86" t="s">
        <v>405</v>
      </c>
      <c r="D86" t="s">
        <v>98</v>
      </c>
      <c r="E86" t="s">
        <v>53</v>
      </c>
      <c r="F86" s="8">
        <v>46189</v>
      </c>
      <c r="G86" s="8">
        <v>46190</v>
      </c>
      <c r="H86" s="4">
        <v>0.5</v>
      </c>
      <c r="J86">
        <v>245</v>
      </c>
      <c r="K86">
        <v>247</v>
      </c>
      <c r="L86" t="s">
        <v>35</v>
      </c>
      <c r="M86" t="s">
        <v>62</v>
      </c>
      <c r="N86" s="8">
        <v>46164</v>
      </c>
      <c r="P86" t="s">
        <v>379</v>
      </c>
      <c r="Q86" t="s">
        <v>133</v>
      </c>
      <c r="R86" t="s">
        <v>55</v>
      </c>
      <c r="S86" s="8">
        <v>46164</v>
      </c>
      <c r="T86" s="8">
        <v>46164</v>
      </c>
      <c r="V86">
        <v>0.5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hidden="1" x14ac:dyDescent="0.25">
      <c r="A87">
        <v>191</v>
      </c>
      <c r="B87" t="s">
        <v>361</v>
      </c>
      <c r="C87" t="s">
        <v>358</v>
      </c>
      <c r="D87" t="s">
        <v>102</v>
      </c>
      <c r="E87" t="s">
        <v>121</v>
      </c>
      <c r="F87" s="8">
        <v>46198</v>
      </c>
      <c r="G87" s="8">
        <v>46199</v>
      </c>
      <c r="H87" s="4">
        <v>0</v>
      </c>
      <c r="J87">
        <v>190</v>
      </c>
      <c r="K87">
        <v>192</v>
      </c>
      <c r="L87" t="s">
        <v>35</v>
      </c>
      <c r="M87" t="s">
        <v>324</v>
      </c>
      <c r="N87" s="8">
        <v>46192</v>
      </c>
      <c r="P87" t="s">
        <v>154</v>
      </c>
      <c r="Q87" t="s">
        <v>178</v>
      </c>
      <c r="R87" t="s">
        <v>55</v>
      </c>
      <c r="S87" s="8">
        <v>46191</v>
      </c>
      <c r="T87" s="8">
        <v>46192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</row>
    <row r="88" spans="1:33" hidden="1" x14ac:dyDescent="0.25">
      <c r="A88">
        <v>248</v>
      </c>
      <c r="B88" t="s">
        <v>410</v>
      </c>
      <c r="C88" t="s">
        <v>405</v>
      </c>
      <c r="D88" t="s">
        <v>108</v>
      </c>
      <c r="E88" t="s">
        <v>53</v>
      </c>
      <c r="F88" s="8">
        <v>46192</v>
      </c>
      <c r="G88" s="8">
        <v>46195</v>
      </c>
      <c r="H88" s="4">
        <v>0</v>
      </c>
      <c r="J88">
        <v>247</v>
      </c>
      <c r="L88" t="s">
        <v>35</v>
      </c>
      <c r="M88" t="s">
        <v>411</v>
      </c>
      <c r="N88" s="8">
        <v>46169</v>
      </c>
      <c r="P88" t="s">
        <v>379</v>
      </c>
      <c r="Q88" t="s">
        <v>133</v>
      </c>
      <c r="R88" t="s">
        <v>55</v>
      </c>
      <c r="S88" s="8">
        <v>46169</v>
      </c>
      <c r="T88" s="8">
        <v>46169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</row>
    <row r="89" spans="1:33" hidden="1" x14ac:dyDescent="0.25">
      <c r="A89">
        <v>256</v>
      </c>
      <c r="B89" t="s">
        <v>418</v>
      </c>
      <c r="C89" t="s">
        <v>416</v>
      </c>
      <c r="D89" t="s">
        <v>98</v>
      </c>
      <c r="E89" t="s">
        <v>53</v>
      </c>
      <c r="F89" s="8">
        <v>46217</v>
      </c>
      <c r="G89" s="8">
        <v>46217</v>
      </c>
      <c r="H89" s="4">
        <v>0</v>
      </c>
      <c r="J89">
        <v>255</v>
      </c>
      <c r="K89">
        <v>257</v>
      </c>
      <c r="L89" t="s">
        <v>180</v>
      </c>
      <c r="M89" t="s">
        <v>184</v>
      </c>
      <c r="N89" s="8">
        <v>46178</v>
      </c>
      <c r="P89" t="s">
        <v>379</v>
      </c>
      <c r="Q89" t="s">
        <v>146</v>
      </c>
      <c r="R89" t="s">
        <v>55</v>
      </c>
      <c r="S89" s="8">
        <v>46178</v>
      </c>
      <c r="T89" s="8">
        <v>46178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hidden="1" x14ac:dyDescent="0.25">
      <c r="A90">
        <v>196</v>
      </c>
      <c r="B90" t="s">
        <v>368</v>
      </c>
      <c r="C90" t="s">
        <v>366</v>
      </c>
      <c r="D90" t="s">
        <v>102</v>
      </c>
      <c r="E90" t="s">
        <v>121</v>
      </c>
      <c r="F90" s="8">
        <v>46196</v>
      </c>
      <c r="G90" s="8">
        <v>46197</v>
      </c>
      <c r="H90" s="4">
        <v>0</v>
      </c>
      <c r="J90">
        <v>195</v>
      </c>
      <c r="K90">
        <v>197</v>
      </c>
      <c r="L90" t="s">
        <v>35</v>
      </c>
      <c r="M90" t="s">
        <v>324</v>
      </c>
      <c r="N90" s="8">
        <v>46192</v>
      </c>
      <c r="P90" t="s">
        <v>154</v>
      </c>
      <c r="Q90" t="s">
        <v>178</v>
      </c>
      <c r="R90" t="s">
        <v>55</v>
      </c>
      <c r="S90" s="8">
        <v>46191</v>
      </c>
      <c r="T90" s="8">
        <v>46192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</row>
    <row r="91" spans="1:33" hidden="1" x14ac:dyDescent="0.25">
      <c r="A91">
        <v>261</v>
      </c>
      <c r="B91" t="s">
        <v>426</v>
      </c>
      <c r="C91" t="s">
        <v>425</v>
      </c>
      <c r="D91" t="s">
        <v>98</v>
      </c>
      <c r="E91" t="s">
        <v>53</v>
      </c>
      <c r="F91" s="8">
        <v>46217</v>
      </c>
      <c r="G91" s="8">
        <v>46217</v>
      </c>
      <c r="H91" s="4">
        <v>0</v>
      </c>
      <c r="J91">
        <v>260</v>
      </c>
      <c r="K91">
        <v>262</v>
      </c>
      <c r="L91" t="s">
        <v>180</v>
      </c>
      <c r="M91" t="s">
        <v>184</v>
      </c>
      <c r="N91" s="8">
        <v>46178</v>
      </c>
      <c r="P91" t="s">
        <v>379</v>
      </c>
      <c r="Q91" t="s">
        <v>146</v>
      </c>
      <c r="R91" t="s">
        <v>55</v>
      </c>
      <c r="S91" s="8">
        <v>46178</v>
      </c>
      <c r="T91" s="8">
        <v>46178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hidden="1" x14ac:dyDescent="0.25">
      <c r="A92">
        <v>201</v>
      </c>
      <c r="B92" t="s">
        <v>375</v>
      </c>
      <c r="C92" t="s">
        <v>373</v>
      </c>
      <c r="D92" t="s">
        <v>102</v>
      </c>
      <c r="E92" t="s">
        <v>121</v>
      </c>
      <c r="F92" s="8">
        <v>46198</v>
      </c>
      <c r="G92" s="8">
        <v>46199</v>
      </c>
      <c r="H92" s="4">
        <v>0</v>
      </c>
      <c r="J92">
        <v>200</v>
      </c>
      <c r="K92">
        <v>202</v>
      </c>
      <c r="L92" t="s">
        <v>35</v>
      </c>
      <c r="M92" t="s">
        <v>324</v>
      </c>
      <c r="N92" s="8">
        <v>46192</v>
      </c>
      <c r="P92" t="s">
        <v>154</v>
      </c>
      <c r="Q92" t="s">
        <v>178</v>
      </c>
      <c r="R92" t="s">
        <v>55</v>
      </c>
      <c r="S92" s="8">
        <v>46191</v>
      </c>
      <c r="T92" s="8">
        <v>46192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</row>
    <row r="93" spans="1:33" hidden="1" x14ac:dyDescent="0.25">
      <c r="A93">
        <v>266</v>
      </c>
      <c r="B93" t="s">
        <v>433</v>
      </c>
      <c r="C93" t="s">
        <v>432</v>
      </c>
      <c r="D93" t="s">
        <v>98</v>
      </c>
      <c r="E93" t="s">
        <v>53</v>
      </c>
      <c r="F93" s="8">
        <v>46217</v>
      </c>
      <c r="G93" s="8">
        <v>46217</v>
      </c>
      <c r="H93" s="4">
        <v>0</v>
      </c>
      <c r="J93">
        <v>265</v>
      </c>
      <c r="K93">
        <v>267</v>
      </c>
      <c r="L93" t="s">
        <v>180</v>
      </c>
      <c r="M93" t="s">
        <v>184</v>
      </c>
      <c r="N93" s="8">
        <v>46178</v>
      </c>
      <c r="P93" t="s">
        <v>379</v>
      </c>
      <c r="Q93" t="s">
        <v>146</v>
      </c>
      <c r="R93" t="s">
        <v>55</v>
      </c>
      <c r="S93" s="8">
        <v>46178</v>
      </c>
      <c r="T93" s="8">
        <v>46178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217</v>
      </c>
      <c r="B94" t="s">
        <v>388</v>
      </c>
      <c r="C94" t="s">
        <v>384</v>
      </c>
      <c r="D94" t="s">
        <v>102</v>
      </c>
      <c r="E94" t="s">
        <v>121</v>
      </c>
      <c r="F94" s="8">
        <v>46217</v>
      </c>
      <c r="G94" s="8">
        <v>46218</v>
      </c>
      <c r="H94" s="4">
        <v>0</v>
      </c>
      <c r="J94">
        <v>216</v>
      </c>
      <c r="K94">
        <v>218</v>
      </c>
      <c r="L94" t="s">
        <v>180</v>
      </c>
      <c r="M94" t="s">
        <v>181</v>
      </c>
      <c r="N94" s="8">
        <v>46177</v>
      </c>
      <c r="P94" t="s">
        <v>379</v>
      </c>
      <c r="Q94" t="s">
        <v>146</v>
      </c>
      <c r="R94" t="s">
        <v>55</v>
      </c>
      <c r="S94" s="8">
        <v>46176</v>
      </c>
      <c r="T94" s="8">
        <v>46177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hidden="1" x14ac:dyDescent="0.25">
      <c r="A95">
        <v>286</v>
      </c>
      <c r="B95" t="s">
        <v>440</v>
      </c>
      <c r="C95" t="s">
        <v>439</v>
      </c>
      <c r="D95" t="s">
        <v>98</v>
      </c>
      <c r="E95" t="s">
        <v>53</v>
      </c>
      <c r="F95" s="8">
        <v>46217</v>
      </c>
      <c r="G95" s="8">
        <v>46217</v>
      </c>
      <c r="H95" s="4">
        <v>0</v>
      </c>
      <c r="J95">
        <v>285</v>
      </c>
      <c r="K95">
        <v>287</v>
      </c>
      <c r="L95" t="s">
        <v>180</v>
      </c>
      <c r="M95" t="s">
        <v>184</v>
      </c>
      <c r="N95" s="8">
        <v>46178</v>
      </c>
      <c r="P95" t="s">
        <v>379</v>
      </c>
      <c r="Q95" t="s">
        <v>146</v>
      </c>
      <c r="R95" t="s">
        <v>55</v>
      </c>
      <c r="S95" s="8">
        <v>46178</v>
      </c>
      <c r="T95" s="8">
        <v>46178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247</v>
      </c>
      <c r="B96" t="s">
        <v>409</v>
      </c>
      <c r="C96" t="s">
        <v>405</v>
      </c>
      <c r="D96" t="s">
        <v>102</v>
      </c>
      <c r="E96" t="s">
        <v>121</v>
      </c>
      <c r="F96" s="8">
        <v>46190</v>
      </c>
      <c r="G96" s="8">
        <v>46192</v>
      </c>
      <c r="H96" s="4">
        <v>0</v>
      </c>
      <c r="J96">
        <v>246</v>
      </c>
      <c r="K96">
        <v>248</v>
      </c>
      <c r="L96" t="s">
        <v>35</v>
      </c>
      <c r="M96" t="s">
        <v>149</v>
      </c>
      <c r="N96" s="8">
        <v>46168</v>
      </c>
      <c r="P96" t="s">
        <v>379</v>
      </c>
      <c r="Q96" t="s">
        <v>133</v>
      </c>
      <c r="R96" t="s">
        <v>55</v>
      </c>
      <c r="S96" s="8">
        <v>46167</v>
      </c>
      <c r="T96" s="8">
        <v>46168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</row>
    <row r="97" spans="1:33" hidden="1" x14ac:dyDescent="0.25">
      <c r="A97">
        <v>291</v>
      </c>
      <c r="B97" t="s">
        <v>447</v>
      </c>
      <c r="C97" t="s">
        <v>446</v>
      </c>
      <c r="D97" t="s">
        <v>98</v>
      </c>
      <c r="E97" t="s">
        <v>53</v>
      </c>
      <c r="F97" s="8">
        <v>46217</v>
      </c>
      <c r="G97" s="8">
        <v>46217</v>
      </c>
      <c r="H97" s="4">
        <v>0</v>
      </c>
      <c r="J97">
        <v>290</v>
      </c>
      <c r="K97">
        <v>292</v>
      </c>
      <c r="L97" t="s">
        <v>180</v>
      </c>
      <c r="M97" t="s">
        <v>184</v>
      </c>
      <c r="N97" s="8">
        <v>46178</v>
      </c>
      <c r="P97" t="s">
        <v>379</v>
      </c>
      <c r="Q97" t="s">
        <v>146</v>
      </c>
      <c r="R97" t="s">
        <v>55</v>
      </c>
      <c r="S97" s="8">
        <v>46178</v>
      </c>
      <c r="T97" s="8">
        <v>46178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257</v>
      </c>
      <c r="B98" t="s">
        <v>419</v>
      </c>
      <c r="C98" t="s">
        <v>416</v>
      </c>
      <c r="D98" t="s">
        <v>102</v>
      </c>
      <c r="E98" t="s">
        <v>121</v>
      </c>
      <c r="F98" s="8">
        <v>46218</v>
      </c>
      <c r="G98" s="8">
        <v>46219</v>
      </c>
      <c r="H98" s="4">
        <v>0</v>
      </c>
      <c r="J98">
        <v>256</v>
      </c>
      <c r="K98">
        <v>258</v>
      </c>
      <c r="L98" t="s">
        <v>183</v>
      </c>
      <c r="M98" t="s">
        <v>420</v>
      </c>
      <c r="N98" s="8">
        <v>46182</v>
      </c>
      <c r="P98" t="s">
        <v>379</v>
      </c>
      <c r="Q98" t="s">
        <v>150</v>
      </c>
      <c r="R98" t="s">
        <v>55</v>
      </c>
      <c r="S98" s="8">
        <v>46181</v>
      </c>
      <c r="T98" s="8">
        <v>46182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hidden="1" x14ac:dyDescent="0.25">
      <c r="A99">
        <v>296</v>
      </c>
      <c r="B99" t="s">
        <v>454</v>
      </c>
      <c r="C99" t="s">
        <v>453</v>
      </c>
      <c r="D99" t="s">
        <v>98</v>
      </c>
      <c r="E99" t="s">
        <v>53</v>
      </c>
      <c r="F99" s="8">
        <v>46217</v>
      </c>
      <c r="G99" s="8">
        <v>46217</v>
      </c>
      <c r="H99" s="4">
        <v>0</v>
      </c>
      <c r="J99">
        <v>295</v>
      </c>
      <c r="K99">
        <v>297</v>
      </c>
      <c r="L99" t="s">
        <v>180</v>
      </c>
      <c r="M99" t="s">
        <v>184</v>
      </c>
      <c r="N99" s="8">
        <v>46178</v>
      </c>
      <c r="P99" t="s">
        <v>379</v>
      </c>
      <c r="Q99" t="s">
        <v>146</v>
      </c>
      <c r="R99" t="s">
        <v>55</v>
      </c>
      <c r="S99" s="8">
        <v>46178</v>
      </c>
      <c r="T99" s="8">
        <v>46178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262</v>
      </c>
      <c r="B100" t="s">
        <v>427</v>
      </c>
      <c r="C100" t="s">
        <v>425</v>
      </c>
      <c r="D100" t="s">
        <v>102</v>
      </c>
      <c r="E100" t="s">
        <v>121</v>
      </c>
      <c r="F100" s="8">
        <v>46218</v>
      </c>
      <c r="G100" s="8">
        <v>46219</v>
      </c>
      <c r="H100" s="4">
        <v>0</v>
      </c>
      <c r="J100">
        <v>261</v>
      </c>
      <c r="K100">
        <v>263</v>
      </c>
      <c r="L100" t="s">
        <v>183</v>
      </c>
      <c r="M100" t="s">
        <v>420</v>
      </c>
      <c r="N100" s="8">
        <v>46182</v>
      </c>
      <c r="P100" t="s">
        <v>379</v>
      </c>
      <c r="Q100" t="s">
        <v>150</v>
      </c>
      <c r="R100" t="s">
        <v>55</v>
      </c>
      <c r="S100" s="8">
        <v>46181</v>
      </c>
      <c r="T100" s="8">
        <v>46182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hidden="1" x14ac:dyDescent="0.25">
      <c r="A101">
        <v>301</v>
      </c>
      <c r="B101" t="s">
        <v>461</v>
      </c>
      <c r="C101" t="s">
        <v>460</v>
      </c>
      <c r="D101" t="s">
        <v>98</v>
      </c>
      <c r="E101" t="s">
        <v>53</v>
      </c>
      <c r="F101" s="8">
        <v>46217</v>
      </c>
      <c r="G101" s="8">
        <v>46217</v>
      </c>
      <c r="H101" s="4">
        <v>0</v>
      </c>
      <c r="J101">
        <v>300</v>
      </c>
      <c r="K101">
        <v>302</v>
      </c>
      <c r="L101" t="s">
        <v>180</v>
      </c>
      <c r="M101" t="s">
        <v>462</v>
      </c>
      <c r="N101" s="8">
        <v>46216</v>
      </c>
      <c r="P101" t="s">
        <v>379</v>
      </c>
      <c r="Q101" t="s">
        <v>146</v>
      </c>
      <c r="R101" t="s">
        <v>55</v>
      </c>
      <c r="S101" s="8">
        <v>46216</v>
      </c>
      <c r="T101" s="8">
        <v>46216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267</v>
      </c>
      <c r="B102" t="s">
        <v>434</v>
      </c>
      <c r="C102" t="s">
        <v>432</v>
      </c>
      <c r="D102" t="s">
        <v>102</v>
      </c>
      <c r="E102" t="s">
        <v>121</v>
      </c>
      <c r="F102" s="8">
        <v>46218</v>
      </c>
      <c r="G102" s="8">
        <v>46219</v>
      </c>
      <c r="H102" s="4">
        <v>0</v>
      </c>
      <c r="J102">
        <v>266</v>
      </c>
      <c r="K102">
        <v>268</v>
      </c>
      <c r="L102" t="s">
        <v>183</v>
      </c>
      <c r="M102" t="s">
        <v>420</v>
      </c>
      <c r="N102" s="8">
        <v>46182</v>
      </c>
      <c r="P102" t="s">
        <v>379</v>
      </c>
      <c r="Q102" t="s">
        <v>150</v>
      </c>
      <c r="R102" t="s">
        <v>55</v>
      </c>
      <c r="S102" s="8">
        <v>46181</v>
      </c>
      <c r="T102" s="8">
        <v>46182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hidden="1" x14ac:dyDescent="0.25">
      <c r="A103">
        <v>306</v>
      </c>
      <c r="B103" t="s">
        <v>471</v>
      </c>
      <c r="C103" t="s">
        <v>470</v>
      </c>
      <c r="D103" t="s">
        <v>98</v>
      </c>
      <c r="E103" t="s">
        <v>53</v>
      </c>
      <c r="F103" s="8">
        <v>46217</v>
      </c>
      <c r="G103" s="8">
        <v>46217</v>
      </c>
      <c r="H103" s="4">
        <v>0</v>
      </c>
      <c r="J103">
        <v>305</v>
      </c>
      <c r="K103">
        <v>307</v>
      </c>
      <c r="L103" t="s">
        <v>180</v>
      </c>
      <c r="M103" t="s">
        <v>462</v>
      </c>
      <c r="N103" s="8">
        <v>46216</v>
      </c>
      <c r="P103" t="s">
        <v>379</v>
      </c>
      <c r="Q103" t="s">
        <v>146</v>
      </c>
      <c r="R103" t="s">
        <v>55</v>
      </c>
      <c r="S103" s="8">
        <v>46216</v>
      </c>
      <c r="T103" s="8">
        <v>46216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287</v>
      </c>
      <c r="B104" t="s">
        <v>441</v>
      </c>
      <c r="C104" t="s">
        <v>439</v>
      </c>
      <c r="D104" t="s">
        <v>102</v>
      </c>
      <c r="E104" t="s">
        <v>121</v>
      </c>
      <c r="F104" s="8">
        <v>46218</v>
      </c>
      <c r="G104" s="8">
        <v>46219</v>
      </c>
      <c r="H104" s="4">
        <v>0</v>
      </c>
      <c r="J104">
        <v>286</v>
      </c>
      <c r="K104">
        <v>288</v>
      </c>
      <c r="L104" t="s">
        <v>183</v>
      </c>
      <c r="M104" t="s">
        <v>420</v>
      </c>
      <c r="N104" s="8">
        <v>46182</v>
      </c>
      <c r="P104" t="s">
        <v>379</v>
      </c>
      <c r="Q104" t="s">
        <v>150</v>
      </c>
      <c r="R104" t="s">
        <v>55</v>
      </c>
      <c r="S104" s="8">
        <v>46181</v>
      </c>
      <c r="T104" s="8">
        <v>46182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hidden="1" x14ac:dyDescent="0.25">
      <c r="A105">
        <v>314</v>
      </c>
      <c r="B105" t="s">
        <v>474</v>
      </c>
      <c r="C105" t="s">
        <v>381</v>
      </c>
      <c r="D105" t="s">
        <v>475</v>
      </c>
      <c r="E105" t="s">
        <v>356</v>
      </c>
      <c r="F105" s="8">
        <v>46206</v>
      </c>
      <c r="G105" s="8">
        <v>46218</v>
      </c>
      <c r="H105" s="4">
        <v>0.43</v>
      </c>
      <c r="L105" t="s">
        <v>35</v>
      </c>
      <c r="M105" t="s">
        <v>177</v>
      </c>
      <c r="N105" s="8">
        <v>46183</v>
      </c>
      <c r="P105" t="s">
        <v>379</v>
      </c>
      <c r="Q105" t="s">
        <v>146</v>
      </c>
      <c r="R105" t="s">
        <v>55</v>
      </c>
      <c r="S105" s="8">
        <v>46175</v>
      </c>
      <c r="T105" s="8">
        <v>46183</v>
      </c>
      <c r="V105">
        <v>0.43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hidden="1" x14ac:dyDescent="0.25">
      <c r="A106">
        <v>316</v>
      </c>
      <c r="B106" t="s">
        <v>478</v>
      </c>
      <c r="C106" t="s">
        <v>477</v>
      </c>
      <c r="D106" t="s">
        <v>98</v>
      </c>
      <c r="E106" t="s">
        <v>53</v>
      </c>
      <c r="F106" s="8">
        <v>46211</v>
      </c>
      <c r="G106" s="8">
        <v>46211</v>
      </c>
      <c r="H106" s="4">
        <v>0</v>
      </c>
      <c r="J106">
        <v>315</v>
      </c>
      <c r="K106">
        <v>317</v>
      </c>
      <c r="L106" t="s">
        <v>35</v>
      </c>
      <c r="M106" t="s">
        <v>184</v>
      </c>
      <c r="N106" s="8">
        <v>46178</v>
      </c>
      <c r="P106" t="s">
        <v>379</v>
      </c>
      <c r="Q106" t="s">
        <v>146</v>
      </c>
      <c r="R106" t="s">
        <v>55</v>
      </c>
      <c r="S106" s="8">
        <v>46178</v>
      </c>
      <c r="T106" s="8">
        <v>46178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292</v>
      </c>
      <c r="B107" t="s">
        <v>448</v>
      </c>
      <c r="C107" t="s">
        <v>446</v>
      </c>
      <c r="D107" t="s">
        <v>102</v>
      </c>
      <c r="E107" t="s">
        <v>121</v>
      </c>
      <c r="F107" s="8">
        <v>46218</v>
      </c>
      <c r="G107" s="8">
        <v>46219</v>
      </c>
      <c r="H107" s="4">
        <v>0</v>
      </c>
      <c r="J107">
        <v>291</v>
      </c>
      <c r="K107">
        <v>293</v>
      </c>
      <c r="L107" t="s">
        <v>183</v>
      </c>
      <c r="M107" t="s">
        <v>420</v>
      </c>
      <c r="N107" s="8">
        <v>46182</v>
      </c>
      <c r="P107" t="s">
        <v>379</v>
      </c>
      <c r="Q107" t="s">
        <v>150</v>
      </c>
      <c r="R107" t="s">
        <v>55</v>
      </c>
      <c r="S107" s="8">
        <v>46181</v>
      </c>
      <c r="T107" s="8">
        <v>46182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hidden="1" x14ac:dyDescent="0.25">
      <c r="A108">
        <v>318</v>
      </c>
      <c r="B108" t="s">
        <v>480</v>
      </c>
      <c r="C108" t="s">
        <v>477</v>
      </c>
      <c r="D108" t="s">
        <v>108</v>
      </c>
      <c r="E108" t="s">
        <v>53</v>
      </c>
      <c r="F108" s="8">
        <v>46218</v>
      </c>
      <c r="G108" s="8">
        <v>46218</v>
      </c>
      <c r="H108" s="4">
        <v>0</v>
      </c>
      <c r="J108">
        <v>317</v>
      </c>
      <c r="L108" t="s">
        <v>183</v>
      </c>
      <c r="M108" t="s">
        <v>261</v>
      </c>
      <c r="N108" s="8">
        <v>46183</v>
      </c>
      <c r="P108" t="s">
        <v>379</v>
      </c>
      <c r="Q108" t="s">
        <v>150</v>
      </c>
      <c r="R108" t="s">
        <v>55</v>
      </c>
      <c r="S108" s="8">
        <v>46183</v>
      </c>
      <c r="T108" s="8">
        <v>46183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hidden="1" x14ac:dyDescent="0.25">
      <c r="A109">
        <v>330</v>
      </c>
      <c r="B109" t="s">
        <v>485</v>
      </c>
      <c r="C109" t="s">
        <v>486</v>
      </c>
      <c r="D109" t="s">
        <v>487</v>
      </c>
      <c r="E109" t="s">
        <v>488</v>
      </c>
      <c r="F109" s="8">
        <v>46211</v>
      </c>
      <c r="G109" s="8">
        <v>46219</v>
      </c>
      <c r="H109" s="4">
        <v>0.5</v>
      </c>
      <c r="L109" t="s">
        <v>35</v>
      </c>
      <c r="M109" t="s">
        <v>315</v>
      </c>
      <c r="N109" s="8">
        <v>46198</v>
      </c>
      <c r="P109" t="s">
        <v>484</v>
      </c>
      <c r="Q109" t="s">
        <v>178</v>
      </c>
      <c r="R109" t="s">
        <v>55</v>
      </c>
      <c r="S109" s="8">
        <v>46190</v>
      </c>
      <c r="T109" s="8">
        <v>46198</v>
      </c>
      <c r="V109">
        <v>0.5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hidden="1" x14ac:dyDescent="0.25">
      <c r="A110">
        <v>332</v>
      </c>
      <c r="B110" t="s">
        <v>493</v>
      </c>
      <c r="C110" t="s">
        <v>490</v>
      </c>
      <c r="D110" t="s">
        <v>98</v>
      </c>
      <c r="E110" t="s">
        <v>53</v>
      </c>
      <c r="F110" s="8">
        <v>46216</v>
      </c>
      <c r="G110" s="8">
        <v>46217</v>
      </c>
      <c r="H110" s="4">
        <v>0</v>
      </c>
      <c r="J110">
        <v>331</v>
      </c>
      <c r="K110">
        <v>333</v>
      </c>
      <c r="L110" t="s">
        <v>35</v>
      </c>
      <c r="M110" t="s">
        <v>188</v>
      </c>
      <c r="N110" s="8">
        <v>46195</v>
      </c>
      <c r="P110" t="s">
        <v>484</v>
      </c>
      <c r="Q110" t="s">
        <v>146</v>
      </c>
      <c r="R110" t="s">
        <v>55</v>
      </c>
      <c r="S110" s="8">
        <v>46195</v>
      </c>
      <c r="T110" s="8">
        <v>46195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5">
      <c r="A111">
        <v>297</v>
      </c>
      <c r="B111" t="s">
        <v>455</v>
      </c>
      <c r="C111" t="s">
        <v>453</v>
      </c>
      <c r="D111" t="s">
        <v>102</v>
      </c>
      <c r="E111" t="s">
        <v>121</v>
      </c>
      <c r="F111" s="8">
        <v>46218</v>
      </c>
      <c r="G111" s="8">
        <v>46219</v>
      </c>
      <c r="H111" s="4">
        <v>0</v>
      </c>
      <c r="J111">
        <v>296</v>
      </c>
      <c r="K111">
        <v>298</v>
      </c>
      <c r="L111" t="s">
        <v>183</v>
      </c>
      <c r="M111" t="s">
        <v>420</v>
      </c>
      <c r="N111" s="8">
        <v>46182</v>
      </c>
      <c r="P111" t="s">
        <v>379</v>
      </c>
      <c r="Q111" t="s">
        <v>150</v>
      </c>
      <c r="R111" t="s">
        <v>55</v>
      </c>
      <c r="S111" s="8">
        <v>46181</v>
      </c>
      <c r="T111" s="8">
        <v>46182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hidden="1" x14ac:dyDescent="0.25">
      <c r="A112">
        <v>334</v>
      </c>
      <c r="B112" t="s">
        <v>496</v>
      </c>
      <c r="C112" t="s">
        <v>490</v>
      </c>
      <c r="D112" t="s">
        <v>108</v>
      </c>
      <c r="E112" t="s">
        <v>53</v>
      </c>
      <c r="F112" s="8">
        <v>46218</v>
      </c>
      <c r="G112" s="8">
        <v>46219</v>
      </c>
      <c r="H112" s="4">
        <v>0</v>
      </c>
      <c r="J112">
        <v>333</v>
      </c>
      <c r="K112">
        <v>341</v>
      </c>
      <c r="L112" t="s">
        <v>183</v>
      </c>
      <c r="M112" t="s">
        <v>497</v>
      </c>
      <c r="N112" s="8">
        <v>46198</v>
      </c>
      <c r="P112" t="s">
        <v>484</v>
      </c>
      <c r="Q112" t="s">
        <v>146</v>
      </c>
      <c r="R112" t="s">
        <v>55</v>
      </c>
      <c r="S112" s="8">
        <v>46198</v>
      </c>
      <c r="T112" s="8">
        <v>46198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302</v>
      </c>
      <c r="B113" t="s">
        <v>463</v>
      </c>
      <c r="C113" t="s">
        <v>460</v>
      </c>
      <c r="D113" t="s">
        <v>102</v>
      </c>
      <c r="E113" t="s">
        <v>121</v>
      </c>
      <c r="F113" s="8">
        <v>46218</v>
      </c>
      <c r="G113" s="8">
        <v>46219</v>
      </c>
      <c r="H113" s="4">
        <v>0</v>
      </c>
      <c r="J113">
        <v>301</v>
      </c>
      <c r="K113">
        <v>303</v>
      </c>
      <c r="L113" t="s">
        <v>183</v>
      </c>
      <c r="M113" t="s">
        <v>464</v>
      </c>
      <c r="N113" s="8">
        <v>46218</v>
      </c>
      <c r="P113" t="s">
        <v>379</v>
      </c>
      <c r="Q113" t="s">
        <v>150</v>
      </c>
      <c r="R113" t="s">
        <v>55</v>
      </c>
      <c r="S113" s="8">
        <v>46217</v>
      </c>
      <c r="T113" s="8">
        <v>46218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hidden="1" x14ac:dyDescent="0.25">
      <c r="A114">
        <v>345</v>
      </c>
      <c r="B114" t="s">
        <v>507</v>
      </c>
      <c r="C114" t="s">
        <v>486</v>
      </c>
      <c r="D114" t="s">
        <v>508</v>
      </c>
      <c r="E114" t="s">
        <v>187</v>
      </c>
      <c r="F114" s="8">
        <v>46209</v>
      </c>
      <c r="G114" s="8">
        <v>46218</v>
      </c>
      <c r="H114" s="4">
        <v>0.5</v>
      </c>
      <c r="L114" t="s">
        <v>35</v>
      </c>
      <c r="M114" t="s">
        <v>265</v>
      </c>
      <c r="N114" s="8">
        <v>46198</v>
      </c>
      <c r="P114" t="s">
        <v>484</v>
      </c>
      <c r="Q114" t="s">
        <v>133</v>
      </c>
      <c r="R114" t="s">
        <v>55</v>
      </c>
      <c r="S114" s="8">
        <v>46188</v>
      </c>
      <c r="T114" s="8">
        <v>46198</v>
      </c>
      <c r="V114">
        <v>0.5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hidden="1" x14ac:dyDescent="0.25">
      <c r="A115">
        <v>347</v>
      </c>
      <c r="B115" t="s">
        <v>513</v>
      </c>
      <c r="C115" t="s">
        <v>510</v>
      </c>
      <c r="D115" t="s">
        <v>98</v>
      </c>
      <c r="E115" t="s">
        <v>53</v>
      </c>
      <c r="F115" s="8">
        <v>46216</v>
      </c>
      <c r="G115" s="8">
        <v>46216</v>
      </c>
      <c r="H115" s="4">
        <v>0</v>
      </c>
      <c r="J115">
        <v>346</v>
      </c>
      <c r="K115">
        <v>348</v>
      </c>
      <c r="L115" t="s">
        <v>35</v>
      </c>
      <c r="M115" t="s">
        <v>188</v>
      </c>
      <c r="N115" s="8">
        <v>46195</v>
      </c>
      <c r="P115" t="s">
        <v>484</v>
      </c>
      <c r="Q115" t="s">
        <v>178</v>
      </c>
      <c r="R115" t="s">
        <v>55</v>
      </c>
      <c r="S115" s="8">
        <v>46195</v>
      </c>
      <c r="T115" s="8">
        <v>46195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 x14ac:dyDescent="0.25">
      <c r="A116">
        <v>307</v>
      </c>
      <c r="B116" t="s">
        <v>472</v>
      </c>
      <c r="C116" t="s">
        <v>470</v>
      </c>
      <c r="D116" t="s">
        <v>102</v>
      </c>
      <c r="E116" t="s">
        <v>121</v>
      </c>
      <c r="F116" s="8">
        <v>46218</v>
      </c>
      <c r="G116" s="8">
        <v>46219</v>
      </c>
      <c r="H116" s="4">
        <v>0</v>
      </c>
      <c r="J116">
        <v>306</v>
      </c>
      <c r="K116">
        <v>308</v>
      </c>
      <c r="L116" t="s">
        <v>183</v>
      </c>
      <c r="M116" t="s">
        <v>464</v>
      </c>
      <c r="N116" s="8">
        <v>46218</v>
      </c>
      <c r="P116" t="s">
        <v>379</v>
      </c>
      <c r="Q116" t="s">
        <v>150</v>
      </c>
      <c r="R116" t="s">
        <v>55</v>
      </c>
      <c r="S116" s="8">
        <v>46217</v>
      </c>
      <c r="T116" s="8">
        <v>46218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hidden="1" x14ac:dyDescent="0.25">
      <c r="A117">
        <v>349</v>
      </c>
      <c r="B117" t="s">
        <v>515</v>
      </c>
      <c r="C117" t="s">
        <v>510</v>
      </c>
      <c r="D117" t="s">
        <v>108</v>
      </c>
      <c r="E117" t="s">
        <v>53</v>
      </c>
      <c r="F117" s="8">
        <v>46218</v>
      </c>
      <c r="G117" s="8">
        <v>46218</v>
      </c>
      <c r="H117" s="4">
        <v>0</v>
      </c>
      <c r="J117">
        <v>348</v>
      </c>
      <c r="L117" t="s">
        <v>183</v>
      </c>
      <c r="M117" t="s">
        <v>497</v>
      </c>
      <c r="N117" s="8">
        <v>46198</v>
      </c>
      <c r="P117" t="s">
        <v>484</v>
      </c>
      <c r="Q117" t="s">
        <v>178</v>
      </c>
      <c r="R117" t="s">
        <v>55</v>
      </c>
      <c r="S117" s="8">
        <v>46198</v>
      </c>
      <c r="T117" s="8">
        <v>46198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hidden="1" x14ac:dyDescent="0.25">
      <c r="A118">
        <v>400</v>
      </c>
      <c r="B118" t="s">
        <v>586</v>
      </c>
      <c r="C118" t="s">
        <v>486</v>
      </c>
      <c r="D118" t="s">
        <v>587</v>
      </c>
      <c r="E118" t="s">
        <v>171</v>
      </c>
      <c r="F118" s="8">
        <v>46206</v>
      </c>
      <c r="G118" s="8">
        <v>46219</v>
      </c>
      <c r="H118" s="4">
        <v>0</v>
      </c>
      <c r="L118" t="s">
        <v>35</v>
      </c>
      <c r="M118" t="s">
        <v>497</v>
      </c>
      <c r="N118" s="8">
        <v>46210</v>
      </c>
      <c r="P118" t="s">
        <v>484</v>
      </c>
      <c r="Q118" t="s">
        <v>146</v>
      </c>
      <c r="R118" t="s">
        <v>55</v>
      </c>
      <c r="S118" s="8">
        <v>46198</v>
      </c>
      <c r="T118" s="8">
        <v>46210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317</v>
      </c>
      <c r="B119" t="s">
        <v>479</v>
      </c>
      <c r="C119" t="s">
        <v>477</v>
      </c>
      <c r="D119" t="s">
        <v>102</v>
      </c>
      <c r="E119" t="s">
        <v>121</v>
      </c>
      <c r="F119" s="8">
        <v>46216</v>
      </c>
      <c r="G119" s="8">
        <v>46217</v>
      </c>
      <c r="H119" s="4">
        <v>0</v>
      </c>
      <c r="J119">
        <v>316</v>
      </c>
      <c r="K119">
        <v>318</v>
      </c>
      <c r="L119" t="s">
        <v>35</v>
      </c>
      <c r="M119" t="s">
        <v>420</v>
      </c>
      <c r="N119" s="8">
        <v>46182</v>
      </c>
      <c r="P119" t="s">
        <v>379</v>
      </c>
      <c r="Q119" t="s">
        <v>150</v>
      </c>
      <c r="R119" t="s">
        <v>55</v>
      </c>
      <c r="S119" s="8">
        <v>46181</v>
      </c>
      <c r="T119" s="8">
        <v>46182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</row>
    <row r="120" spans="1:33" hidden="1" x14ac:dyDescent="0.25">
      <c r="A120">
        <v>402</v>
      </c>
      <c r="B120" t="s">
        <v>592</v>
      </c>
      <c r="C120" t="s">
        <v>589</v>
      </c>
      <c r="D120" t="s">
        <v>98</v>
      </c>
      <c r="E120" t="s">
        <v>53</v>
      </c>
      <c r="F120" s="8">
        <v>46217</v>
      </c>
      <c r="G120" s="8">
        <v>46217</v>
      </c>
      <c r="H120" s="4">
        <v>0</v>
      </c>
      <c r="J120">
        <v>401</v>
      </c>
      <c r="K120">
        <v>403</v>
      </c>
      <c r="L120" t="s">
        <v>180</v>
      </c>
      <c r="M120" t="s">
        <v>293</v>
      </c>
      <c r="N120" s="8">
        <v>46205</v>
      </c>
      <c r="P120" t="s">
        <v>484</v>
      </c>
      <c r="Q120" t="s">
        <v>150</v>
      </c>
      <c r="R120" t="s">
        <v>55</v>
      </c>
      <c r="S120" s="8">
        <v>46205</v>
      </c>
      <c r="T120" s="8">
        <v>46205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hidden="1" x14ac:dyDescent="0.25">
      <c r="A121">
        <v>333</v>
      </c>
      <c r="B121" t="s">
        <v>494</v>
      </c>
      <c r="C121" t="s">
        <v>490</v>
      </c>
      <c r="D121" t="s">
        <v>102</v>
      </c>
      <c r="E121" t="s">
        <v>53</v>
      </c>
      <c r="F121" s="8">
        <v>46217</v>
      </c>
      <c r="G121" s="8">
        <v>46218</v>
      </c>
      <c r="H121" s="4">
        <v>0</v>
      </c>
      <c r="J121">
        <v>332</v>
      </c>
      <c r="K121" t="s">
        <v>495</v>
      </c>
      <c r="L121" t="s">
        <v>180</v>
      </c>
      <c r="M121" t="s">
        <v>392</v>
      </c>
      <c r="N121" s="8">
        <v>46197</v>
      </c>
      <c r="P121" t="s">
        <v>484</v>
      </c>
      <c r="Q121" t="s">
        <v>146</v>
      </c>
      <c r="R121" t="s">
        <v>55</v>
      </c>
      <c r="S121" s="8">
        <v>46196</v>
      </c>
      <c r="T121" s="8">
        <v>46197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hidden="1" x14ac:dyDescent="0.25">
      <c r="A122">
        <v>404</v>
      </c>
      <c r="B122" t="s">
        <v>594</v>
      </c>
      <c r="C122" t="s">
        <v>589</v>
      </c>
      <c r="D122" t="s">
        <v>108</v>
      </c>
      <c r="E122" t="s">
        <v>53</v>
      </c>
      <c r="F122" s="8">
        <v>46219</v>
      </c>
      <c r="G122" s="8">
        <v>46219</v>
      </c>
      <c r="H122" s="4">
        <v>0</v>
      </c>
      <c r="J122">
        <v>403</v>
      </c>
      <c r="L122" t="s">
        <v>183</v>
      </c>
      <c r="M122" t="s">
        <v>296</v>
      </c>
      <c r="N122" s="8">
        <v>46210</v>
      </c>
      <c r="P122" t="s">
        <v>484</v>
      </c>
      <c r="Q122" t="s">
        <v>150</v>
      </c>
      <c r="R122" t="s">
        <v>55</v>
      </c>
      <c r="S122" s="8">
        <v>46210</v>
      </c>
      <c r="T122" s="8">
        <v>46210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hidden="1" x14ac:dyDescent="0.25">
      <c r="A123">
        <v>405</v>
      </c>
      <c r="B123" t="s">
        <v>595</v>
      </c>
      <c r="C123" t="s">
        <v>73</v>
      </c>
      <c r="D123" t="s">
        <v>596</v>
      </c>
      <c r="E123" t="s">
        <v>597</v>
      </c>
      <c r="F123" s="8">
        <v>46170</v>
      </c>
      <c r="G123" s="8">
        <v>46210</v>
      </c>
      <c r="H123" s="4">
        <v>0.73</v>
      </c>
      <c r="L123" t="s">
        <v>35</v>
      </c>
      <c r="M123" t="s">
        <v>145</v>
      </c>
      <c r="N123" s="8">
        <v>46211</v>
      </c>
      <c r="P123" t="s">
        <v>598</v>
      </c>
      <c r="Q123" t="s">
        <v>110</v>
      </c>
      <c r="R123" t="s">
        <v>55</v>
      </c>
      <c r="S123" s="8">
        <v>46163</v>
      </c>
      <c r="T123" s="8">
        <v>46211</v>
      </c>
      <c r="V123">
        <v>0.73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hidden="1" x14ac:dyDescent="0.25">
      <c r="A124">
        <v>416</v>
      </c>
      <c r="B124" t="s">
        <v>599</v>
      </c>
      <c r="C124" t="s">
        <v>600</v>
      </c>
      <c r="D124" t="s">
        <v>601</v>
      </c>
      <c r="E124" t="s">
        <v>602</v>
      </c>
      <c r="F124" s="8">
        <v>46176</v>
      </c>
      <c r="G124" s="8">
        <v>46210</v>
      </c>
      <c r="H124" s="4">
        <v>0.7</v>
      </c>
      <c r="L124" t="s">
        <v>35</v>
      </c>
      <c r="M124" t="s">
        <v>167</v>
      </c>
      <c r="N124" s="8">
        <v>46176</v>
      </c>
      <c r="P124" t="s">
        <v>598</v>
      </c>
      <c r="Q124" t="s">
        <v>168</v>
      </c>
      <c r="R124" t="s">
        <v>55</v>
      </c>
      <c r="S124" s="8">
        <v>46168</v>
      </c>
      <c r="T124" s="8">
        <v>46176</v>
      </c>
      <c r="V124">
        <v>0.7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hidden="1" x14ac:dyDescent="0.25">
      <c r="A125">
        <v>348</v>
      </c>
      <c r="B125" t="s">
        <v>514</v>
      </c>
      <c r="C125" t="s">
        <v>510</v>
      </c>
      <c r="D125" t="s">
        <v>102</v>
      </c>
      <c r="E125" t="s">
        <v>53</v>
      </c>
      <c r="F125" s="8">
        <v>46217</v>
      </c>
      <c r="G125" s="8">
        <v>46217</v>
      </c>
      <c r="H125" s="4">
        <v>0</v>
      </c>
      <c r="J125">
        <v>347</v>
      </c>
      <c r="K125">
        <v>349</v>
      </c>
      <c r="L125" t="s">
        <v>180</v>
      </c>
      <c r="M125" t="s">
        <v>392</v>
      </c>
      <c r="N125" s="8">
        <v>46197</v>
      </c>
      <c r="P125" t="s">
        <v>484</v>
      </c>
      <c r="Q125" t="s">
        <v>178</v>
      </c>
      <c r="R125" t="s">
        <v>55</v>
      </c>
      <c r="S125" s="8">
        <v>46196</v>
      </c>
      <c r="T125" s="8">
        <v>46197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hidden="1" x14ac:dyDescent="0.25">
      <c r="A126">
        <v>420</v>
      </c>
      <c r="B126" t="s">
        <v>609</v>
      </c>
      <c r="C126" t="s">
        <v>604</v>
      </c>
      <c r="D126" t="s">
        <v>108</v>
      </c>
      <c r="E126" t="s">
        <v>53</v>
      </c>
      <c r="F126" s="8">
        <v>46210</v>
      </c>
      <c r="G126" s="8">
        <v>46210</v>
      </c>
      <c r="H126" s="4">
        <v>0</v>
      </c>
      <c r="J126">
        <v>419</v>
      </c>
      <c r="L126" t="s">
        <v>35</v>
      </c>
      <c r="M126" t="s">
        <v>181</v>
      </c>
      <c r="N126" s="8">
        <v>46176</v>
      </c>
      <c r="P126" t="s">
        <v>598</v>
      </c>
      <c r="Q126" t="s">
        <v>65</v>
      </c>
      <c r="R126" t="s">
        <v>55</v>
      </c>
      <c r="S126" s="8">
        <v>46176</v>
      </c>
      <c r="T126" s="8">
        <v>46176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</row>
    <row r="127" spans="1:33" hidden="1" x14ac:dyDescent="0.25">
      <c r="A127">
        <v>426</v>
      </c>
      <c r="B127" t="s">
        <v>610</v>
      </c>
      <c r="C127" t="s">
        <v>600</v>
      </c>
      <c r="D127" t="s">
        <v>611</v>
      </c>
      <c r="E127" t="s">
        <v>612</v>
      </c>
      <c r="F127" s="8">
        <v>46170</v>
      </c>
      <c r="G127" s="8">
        <v>46198</v>
      </c>
      <c r="H127" s="4">
        <v>0.85</v>
      </c>
      <c r="L127" t="s">
        <v>35</v>
      </c>
      <c r="M127" t="s">
        <v>145</v>
      </c>
      <c r="N127" s="8">
        <v>46171</v>
      </c>
      <c r="P127" t="s">
        <v>598</v>
      </c>
      <c r="Q127" t="s">
        <v>110</v>
      </c>
      <c r="R127" t="s">
        <v>55</v>
      </c>
      <c r="S127" s="8">
        <v>46163</v>
      </c>
      <c r="T127" s="8">
        <v>46171</v>
      </c>
      <c r="V127">
        <v>0.85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hidden="1" x14ac:dyDescent="0.25">
      <c r="A128">
        <v>403</v>
      </c>
      <c r="B128" t="s">
        <v>593</v>
      </c>
      <c r="C128" t="s">
        <v>589</v>
      </c>
      <c r="D128" t="s">
        <v>102</v>
      </c>
      <c r="E128" t="s">
        <v>53</v>
      </c>
      <c r="F128" s="8">
        <v>46218</v>
      </c>
      <c r="G128" s="8">
        <v>46218</v>
      </c>
      <c r="H128" s="4">
        <v>0</v>
      </c>
      <c r="J128">
        <v>402</v>
      </c>
      <c r="K128">
        <v>404</v>
      </c>
      <c r="L128" t="s">
        <v>183</v>
      </c>
      <c r="M128" t="s">
        <v>192</v>
      </c>
      <c r="N128" s="8">
        <v>46209</v>
      </c>
      <c r="P128" t="s">
        <v>484</v>
      </c>
      <c r="Q128" t="s">
        <v>150</v>
      </c>
      <c r="R128" t="s">
        <v>55</v>
      </c>
      <c r="S128" s="8">
        <v>46206</v>
      </c>
      <c r="T128" s="8">
        <v>46209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hidden="1" x14ac:dyDescent="0.25">
      <c r="A129">
        <v>430</v>
      </c>
      <c r="B129" t="s">
        <v>620</v>
      </c>
      <c r="C129" t="s">
        <v>614</v>
      </c>
      <c r="D129" t="s">
        <v>108</v>
      </c>
      <c r="E129" t="s">
        <v>53</v>
      </c>
      <c r="F129" s="8">
        <v>46198</v>
      </c>
      <c r="G129" s="8">
        <v>46198</v>
      </c>
      <c r="H129" s="4">
        <v>0</v>
      </c>
      <c r="J129" t="s">
        <v>621</v>
      </c>
      <c r="L129" t="s">
        <v>35</v>
      </c>
      <c r="M129" t="s">
        <v>256</v>
      </c>
      <c r="N129" s="8">
        <v>46171</v>
      </c>
      <c r="P129" t="s">
        <v>598</v>
      </c>
      <c r="Q129" t="s">
        <v>168</v>
      </c>
      <c r="R129" t="s">
        <v>55</v>
      </c>
      <c r="S129" s="8">
        <v>46171</v>
      </c>
      <c r="T129" s="8">
        <v>46171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</row>
    <row r="130" spans="1:33" hidden="1" x14ac:dyDescent="0.25">
      <c r="A130">
        <v>446</v>
      </c>
      <c r="B130" t="s">
        <v>622</v>
      </c>
      <c r="C130" t="s">
        <v>600</v>
      </c>
      <c r="D130" t="s">
        <v>623</v>
      </c>
      <c r="E130" t="s">
        <v>624</v>
      </c>
      <c r="F130" s="8">
        <v>46205</v>
      </c>
      <c r="G130" s="8">
        <v>46210</v>
      </c>
      <c r="H130" s="4">
        <v>0.5</v>
      </c>
      <c r="L130" t="s">
        <v>35</v>
      </c>
      <c r="M130" t="s">
        <v>420</v>
      </c>
      <c r="N130" s="8">
        <v>46191</v>
      </c>
      <c r="P130" t="s">
        <v>598</v>
      </c>
      <c r="Q130" t="s">
        <v>168</v>
      </c>
      <c r="R130" t="s">
        <v>55</v>
      </c>
      <c r="S130" s="8">
        <v>46181</v>
      </c>
      <c r="T130" s="8">
        <v>46191</v>
      </c>
      <c r="V130">
        <v>0.5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hidden="1" x14ac:dyDescent="0.25">
      <c r="A131">
        <v>448</v>
      </c>
      <c r="B131" t="s">
        <v>629</v>
      </c>
      <c r="C131" t="s">
        <v>626</v>
      </c>
      <c r="D131" t="s">
        <v>98</v>
      </c>
      <c r="E131" t="s">
        <v>53</v>
      </c>
      <c r="F131" s="8">
        <v>46209</v>
      </c>
      <c r="G131" s="8">
        <v>46209</v>
      </c>
      <c r="H131" s="4">
        <v>0.5</v>
      </c>
      <c r="J131">
        <v>447</v>
      </c>
      <c r="K131">
        <v>449</v>
      </c>
      <c r="L131" t="s">
        <v>35</v>
      </c>
      <c r="M131" t="s">
        <v>265</v>
      </c>
      <c r="N131" s="8">
        <v>46188</v>
      </c>
      <c r="P131" t="s">
        <v>598</v>
      </c>
      <c r="Q131" t="s">
        <v>65</v>
      </c>
      <c r="R131" t="s">
        <v>55</v>
      </c>
      <c r="S131" s="8">
        <v>46188</v>
      </c>
      <c r="T131" s="8">
        <v>46188</v>
      </c>
      <c r="V131">
        <v>0.5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hidden="1" x14ac:dyDescent="0.25">
      <c r="A132">
        <v>419</v>
      </c>
      <c r="B132" t="s">
        <v>608</v>
      </c>
      <c r="C132" t="s">
        <v>604</v>
      </c>
      <c r="D132" t="s">
        <v>102</v>
      </c>
      <c r="E132" t="s">
        <v>53</v>
      </c>
      <c r="F132" s="8">
        <v>46209</v>
      </c>
      <c r="G132" s="8">
        <v>46209</v>
      </c>
      <c r="H132" s="4">
        <v>0.5</v>
      </c>
      <c r="J132">
        <v>418</v>
      </c>
      <c r="K132">
        <v>420</v>
      </c>
      <c r="L132" t="s">
        <v>35</v>
      </c>
      <c r="M132" t="s">
        <v>321</v>
      </c>
      <c r="N132" s="8">
        <v>46175</v>
      </c>
      <c r="P132" t="s">
        <v>598</v>
      </c>
      <c r="Q132" t="s">
        <v>65</v>
      </c>
      <c r="R132" t="s">
        <v>55</v>
      </c>
      <c r="S132" s="8">
        <v>46174</v>
      </c>
      <c r="T132" s="8">
        <v>46175</v>
      </c>
      <c r="V132">
        <v>0.5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 hidden="1" x14ac:dyDescent="0.25">
      <c r="A133">
        <v>450</v>
      </c>
      <c r="B133" t="s">
        <v>633</v>
      </c>
      <c r="C133" t="s">
        <v>626</v>
      </c>
      <c r="D133" t="s">
        <v>108</v>
      </c>
      <c r="E133" t="s">
        <v>53</v>
      </c>
      <c r="F133" s="8">
        <v>46210</v>
      </c>
      <c r="G133" s="8">
        <v>46210</v>
      </c>
      <c r="H133" s="4">
        <v>0</v>
      </c>
      <c r="J133" t="s">
        <v>634</v>
      </c>
      <c r="L133" t="s">
        <v>35</v>
      </c>
      <c r="M133" t="s">
        <v>324</v>
      </c>
      <c r="N133" s="8">
        <v>46191</v>
      </c>
      <c r="P133" t="s">
        <v>598</v>
      </c>
      <c r="Q133" t="s">
        <v>65</v>
      </c>
      <c r="R133" t="s">
        <v>55</v>
      </c>
      <c r="S133" s="8">
        <v>46191</v>
      </c>
      <c r="T133" s="8">
        <v>46191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</row>
    <row r="134" spans="1:33" hidden="1" x14ac:dyDescent="0.25">
      <c r="A134">
        <v>477</v>
      </c>
      <c r="B134" t="s">
        <v>639</v>
      </c>
      <c r="C134" t="s">
        <v>640</v>
      </c>
      <c r="D134" t="s">
        <v>641</v>
      </c>
      <c r="E134" t="s">
        <v>642</v>
      </c>
      <c r="F134" s="8">
        <v>46204</v>
      </c>
      <c r="G134" s="8">
        <v>46218</v>
      </c>
      <c r="H134" s="4">
        <v>0.56000000000000005</v>
      </c>
      <c r="K134">
        <v>558</v>
      </c>
      <c r="L134" t="s">
        <v>35</v>
      </c>
      <c r="M134" t="s">
        <v>62</v>
      </c>
      <c r="N134" s="8">
        <v>46174</v>
      </c>
      <c r="P134" t="s">
        <v>638</v>
      </c>
      <c r="Q134" t="s">
        <v>133</v>
      </c>
      <c r="R134" t="s">
        <v>55</v>
      </c>
      <c r="S134" s="8">
        <v>46164</v>
      </c>
      <c r="T134" s="8">
        <v>46174</v>
      </c>
      <c r="V134">
        <v>0.56000000000000005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hidden="1" x14ac:dyDescent="0.25">
      <c r="A135">
        <v>479</v>
      </c>
      <c r="B135" t="s">
        <v>646</v>
      </c>
      <c r="C135" t="s">
        <v>644</v>
      </c>
      <c r="D135" t="s">
        <v>98</v>
      </c>
      <c r="E135" t="s">
        <v>53</v>
      </c>
      <c r="F135" s="8">
        <v>46211</v>
      </c>
      <c r="G135" s="8">
        <v>46211</v>
      </c>
      <c r="H135" s="4">
        <v>0</v>
      </c>
      <c r="J135">
        <v>478</v>
      </c>
      <c r="K135">
        <v>480</v>
      </c>
      <c r="L135" t="s">
        <v>35</v>
      </c>
      <c r="M135" t="s">
        <v>411</v>
      </c>
      <c r="N135" s="8">
        <v>46169</v>
      </c>
      <c r="P135" t="s">
        <v>638</v>
      </c>
      <c r="Q135" t="s">
        <v>178</v>
      </c>
      <c r="R135" t="s">
        <v>55</v>
      </c>
      <c r="S135" s="8">
        <v>46169</v>
      </c>
      <c r="T135" s="8">
        <v>46169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 hidden="1" x14ac:dyDescent="0.25">
      <c r="A136">
        <v>429</v>
      </c>
      <c r="B136" t="s">
        <v>618</v>
      </c>
      <c r="C136" t="s">
        <v>614</v>
      </c>
      <c r="D136" t="s">
        <v>102</v>
      </c>
      <c r="E136" t="s">
        <v>53</v>
      </c>
      <c r="F136" s="8">
        <v>46197</v>
      </c>
      <c r="G136" s="8">
        <v>46197</v>
      </c>
      <c r="H136" s="4">
        <v>0.5</v>
      </c>
      <c r="J136">
        <v>428</v>
      </c>
      <c r="K136" t="s">
        <v>619</v>
      </c>
      <c r="L136" t="s">
        <v>35</v>
      </c>
      <c r="M136" t="s">
        <v>411</v>
      </c>
      <c r="N136" s="8">
        <v>46170</v>
      </c>
      <c r="P136" t="s">
        <v>598</v>
      </c>
      <c r="Q136" t="s">
        <v>168</v>
      </c>
      <c r="R136" t="s">
        <v>55</v>
      </c>
      <c r="S136" s="8">
        <v>46169</v>
      </c>
      <c r="T136" s="8">
        <v>46170</v>
      </c>
      <c r="V136">
        <v>0.5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</row>
    <row r="137" spans="1:33" hidden="1" x14ac:dyDescent="0.25">
      <c r="A137">
        <v>481</v>
      </c>
      <c r="B137" t="s">
        <v>648</v>
      </c>
      <c r="C137" t="s">
        <v>644</v>
      </c>
      <c r="D137" t="s">
        <v>108</v>
      </c>
      <c r="E137" t="s">
        <v>53</v>
      </c>
      <c r="F137" s="8">
        <v>46218</v>
      </c>
      <c r="G137" s="8">
        <v>46218</v>
      </c>
      <c r="H137" s="4">
        <v>0</v>
      </c>
      <c r="J137">
        <v>480</v>
      </c>
      <c r="L137" t="s">
        <v>183</v>
      </c>
      <c r="M137" t="s">
        <v>321</v>
      </c>
      <c r="N137" s="8">
        <v>46174</v>
      </c>
      <c r="P137" t="s">
        <v>638</v>
      </c>
      <c r="Q137" t="s">
        <v>146</v>
      </c>
      <c r="R137" t="s">
        <v>55</v>
      </c>
      <c r="S137" s="8">
        <v>46174</v>
      </c>
      <c r="T137" s="8">
        <v>46174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hidden="1" x14ac:dyDescent="0.25">
      <c r="A138">
        <v>482</v>
      </c>
      <c r="B138" t="s">
        <v>649</v>
      </c>
      <c r="C138" t="s">
        <v>640</v>
      </c>
      <c r="D138" t="s">
        <v>650</v>
      </c>
      <c r="E138" t="s">
        <v>171</v>
      </c>
      <c r="F138" s="8">
        <v>46203</v>
      </c>
      <c r="G138" s="8">
        <v>46216</v>
      </c>
      <c r="H138" s="4">
        <v>0.75</v>
      </c>
      <c r="L138" t="s">
        <v>35</v>
      </c>
      <c r="M138" t="s">
        <v>392</v>
      </c>
      <c r="N138" s="8">
        <v>46204</v>
      </c>
      <c r="P138" t="s">
        <v>638</v>
      </c>
      <c r="Q138" t="s">
        <v>178</v>
      </c>
      <c r="R138" t="s">
        <v>55</v>
      </c>
      <c r="S138" s="8">
        <v>46196</v>
      </c>
      <c r="T138" s="8">
        <v>46204</v>
      </c>
      <c r="V138">
        <v>0.75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hidden="1" x14ac:dyDescent="0.25">
      <c r="A139">
        <v>449</v>
      </c>
      <c r="B139" t="s">
        <v>630</v>
      </c>
      <c r="C139" t="s">
        <v>626</v>
      </c>
      <c r="D139" t="s">
        <v>102</v>
      </c>
      <c r="E139" t="s">
        <v>53</v>
      </c>
      <c r="F139" s="8">
        <v>46210</v>
      </c>
      <c r="G139" s="8">
        <v>46210</v>
      </c>
      <c r="H139" s="4">
        <v>0</v>
      </c>
      <c r="J139">
        <v>448</v>
      </c>
      <c r="K139" t="s">
        <v>631</v>
      </c>
      <c r="L139" t="s">
        <v>35</v>
      </c>
      <c r="M139" t="s">
        <v>632</v>
      </c>
      <c r="N139" s="8">
        <v>46190</v>
      </c>
      <c r="P139" t="s">
        <v>598</v>
      </c>
      <c r="Q139" t="s">
        <v>65</v>
      </c>
      <c r="R139" t="s">
        <v>55</v>
      </c>
      <c r="S139" s="8">
        <v>46189</v>
      </c>
      <c r="T139" s="8">
        <v>46190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 hidden="1" x14ac:dyDescent="0.25">
      <c r="A140">
        <v>486</v>
      </c>
      <c r="B140" t="s">
        <v>655</v>
      </c>
      <c r="C140" t="s">
        <v>652</v>
      </c>
      <c r="D140" t="s">
        <v>108</v>
      </c>
      <c r="E140" t="s">
        <v>53</v>
      </c>
      <c r="F140" s="8">
        <v>46216</v>
      </c>
      <c r="G140" s="8">
        <v>46216</v>
      </c>
      <c r="H140" s="4">
        <v>0</v>
      </c>
      <c r="J140">
        <v>485</v>
      </c>
      <c r="L140" t="s">
        <v>35</v>
      </c>
      <c r="M140" t="s">
        <v>400</v>
      </c>
      <c r="N140" s="8">
        <v>46204</v>
      </c>
      <c r="P140" t="s">
        <v>638</v>
      </c>
      <c r="Q140" t="s">
        <v>150</v>
      </c>
      <c r="R140" t="s">
        <v>55</v>
      </c>
      <c r="S140" s="8">
        <v>46204</v>
      </c>
      <c r="T140" s="8">
        <v>46204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</row>
    <row r="141" spans="1:33" hidden="1" x14ac:dyDescent="0.25">
      <c r="A141">
        <v>487</v>
      </c>
      <c r="B141" t="s">
        <v>656</v>
      </c>
      <c r="C141" t="s">
        <v>640</v>
      </c>
      <c r="D141" t="s">
        <v>657</v>
      </c>
      <c r="E141" t="s">
        <v>171</v>
      </c>
      <c r="F141" s="8">
        <v>46203</v>
      </c>
      <c r="G141" s="8">
        <v>46216</v>
      </c>
      <c r="H141" s="4">
        <v>0.75</v>
      </c>
      <c r="L141" t="s">
        <v>35</v>
      </c>
      <c r="M141" t="s">
        <v>265</v>
      </c>
      <c r="N141" s="8">
        <v>46196</v>
      </c>
      <c r="P141" t="s">
        <v>638</v>
      </c>
      <c r="Q141" t="s">
        <v>178</v>
      </c>
      <c r="R141" t="s">
        <v>55</v>
      </c>
      <c r="S141" s="8">
        <v>46188</v>
      </c>
      <c r="T141" s="8">
        <v>46196</v>
      </c>
      <c r="U141" t="s">
        <v>289</v>
      </c>
      <c r="V141">
        <v>0.75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hidden="1" x14ac:dyDescent="0.25">
      <c r="A142">
        <v>480</v>
      </c>
      <c r="B142" t="s">
        <v>647</v>
      </c>
      <c r="C142" t="s">
        <v>644</v>
      </c>
      <c r="D142" t="s">
        <v>102</v>
      </c>
      <c r="E142" t="s">
        <v>121</v>
      </c>
      <c r="F142" s="8">
        <v>46216</v>
      </c>
      <c r="G142" s="8">
        <v>46217</v>
      </c>
      <c r="H142" s="4">
        <v>0</v>
      </c>
      <c r="J142">
        <v>479</v>
      </c>
      <c r="K142">
        <v>481</v>
      </c>
      <c r="L142" t="s">
        <v>35</v>
      </c>
      <c r="M142" t="s">
        <v>172</v>
      </c>
      <c r="N142" s="8">
        <v>46171</v>
      </c>
      <c r="P142" t="s">
        <v>638</v>
      </c>
      <c r="Q142" t="s">
        <v>178</v>
      </c>
      <c r="R142" t="s">
        <v>55</v>
      </c>
      <c r="S142" s="8">
        <v>46170</v>
      </c>
      <c r="T142" s="8">
        <v>46171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</row>
    <row r="143" spans="1:33" hidden="1" x14ac:dyDescent="0.25">
      <c r="A143">
        <v>491</v>
      </c>
      <c r="B143" t="s">
        <v>662</v>
      </c>
      <c r="C143" t="s">
        <v>659</v>
      </c>
      <c r="D143" t="s">
        <v>108</v>
      </c>
      <c r="E143" t="s">
        <v>53</v>
      </c>
      <c r="F143" s="8">
        <v>46216</v>
      </c>
      <c r="G143" s="8">
        <v>46216</v>
      </c>
      <c r="H143" s="4">
        <v>0</v>
      </c>
      <c r="J143">
        <v>490</v>
      </c>
      <c r="L143" t="s">
        <v>35</v>
      </c>
      <c r="M143" t="s">
        <v>462</v>
      </c>
      <c r="N143" s="8">
        <v>46216</v>
      </c>
      <c r="P143" t="s">
        <v>638</v>
      </c>
      <c r="Q143" t="s">
        <v>150</v>
      </c>
      <c r="R143" t="s">
        <v>55</v>
      </c>
      <c r="S143" s="8">
        <v>46216</v>
      </c>
      <c r="T143" s="8">
        <v>46216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</row>
    <row r="144" spans="1:33" hidden="1" x14ac:dyDescent="0.25">
      <c r="A144">
        <v>502</v>
      </c>
      <c r="B144" t="s">
        <v>663</v>
      </c>
      <c r="C144" t="s">
        <v>640</v>
      </c>
      <c r="D144" t="s">
        <v>664</v>
      </c>
      <c r="E144" t="s">
        <v>171</v>
      </c>
      <c r="F144" s="8">
        <v>46206</v>
      </c>
      <c r="G144" s="8">
        <v>46219</v>
      </c>
      <c r="H144" s="4">
        <v>0.63</v>
      </c>
      <c r="L144" t="s">
        <v>180</v>
      </c>
      <c r="M144" t="s">
        <v>293</v>
      </c>
      <c r="N144" s="8">
        <v>46211</v>
      </c>
      <c r="P144" t="s">
        <v>638</v>
      </c>
      <c r="Q144" t="s">
        <v>178</v>
      </c>
      <c r="R144" t="s">
        <v>55</v>
      </c>
      <c r="S144" s="8">
        <v>46205</v>
      </c>
      <c r="T144" s="8">
        <v>46211</v>
      </c>
      <c r="V144">
        <v>0.63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hidden="1" x14ac:dyDescent="0.25">
      <c r="A145">
        <v>504</v>
      </c>
      <c r="B145" t="s">
        <v>668</v>
      </c>
      <c r="C145" t="s">
        <v>666</v>
      </c>
      <c r="D145" t="s">
        <v>98</v>
      </c>
      <c r="E145" t="s">
        <v>53</v>
      </c>
      <c r="F145" s="8">
        <v>46217</v>
      </c>
      <c r="G145" s="8">
        <v>46217</v>
      </c>
      <c r="H145" s="4">
        <v>0</v>
      </c>
      <c r="J145">
        <v>503</v>
      </c>
      <c r="K145">
        <v>505</v>
      </c>
      <c r="L145" t="s">
        <v>180</v>
      </c>
      <c r="M145" t="s">
        <v>192</v>
      </c>
      <c r="N145" s="8">
        <v>46206</v>
      </c>
      <c r="P145" t="s">
        <v>638</v>
      </c>
      <c r="Q145" t="s">
        <v>146</v>
      </c>
      <c r="R145" t="s">
        <v>55</v>
      </c>
      <c r="S145" s="8">
        <v>46206</v>
      </c>
      <c r="T145" s="8">
        <v>46206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hidden="1" x14ac:dyDescent="0.25">
      <c r="A146">
        <v>485</v>
      </c>
      <c r="B146" t="s">
        <v>654</v>
      </c>
      <c r="C146" t="s">
        <v>652</v>
      </c>
      <c r="D146" t="s">
        <v>102</v>
      </c>
      <c r="E146" t="s">
        <v>121</v>
      </c>
      <c r="F146" s="8">
        <v>46210</v>
      </c>
      <c r="G146" s="8">
        <v>46211</v>
      </c>
      <c r="H146" s="4">
        <v>0.5</v>
      </c>
      <c r="J146">
        <v>484</v>
      </c>
      <c r="K146">
        <v>486</v>
      </c>
      <c r="L146" t="s">
        <v>35</v>
      </c>
      <c r="M146" t="s">
        <v>398</v>
      </c>
      <c r="N146" s="8">
        <v>46203</v>
      </c>
      <c r="P146" t="s">
        <v>638</v>
      </c>
      <c r="Q146" t="s">
        <v>146</v>
      </c>
      <c r="R146" t="s">
        <v>55</v>
      </c>
      <c r="S146" s="8">
        <v>46202</v>
      </c>
      <c r="T146" s="8">
        <v>46203</v>
      </c>
      <c r="V146">
        <v>0.5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</row>
    <row r="147" spans="1:33" hidden="1" x14ac:dyDescent="0.25">
      <c r="A147">
        <v>506</v>
      </c>
      <c r="B147" t="s">
        <v>670</v>
      </c>
      <c r="C147" t="s">
        <v>666</v>
      </c>
      <c r="D147" t="s">
        <v>108</v>
      </c>
      <c r="E147" t="s">
        <v>53</v>
      </c>
      <c r="F147" s="8">
        <v>46219</v>
      </c>
      <c r="G147" s="8">
        <v>46219</v>
      </c>
      <c r="H147" s="4">
        <v>0</v>
      </c>
      <c r="J147">
        <v>505</v>
      </c>
      <c r="L147" t="s">
        <v>183</v>
      </c>
      <c r="M147" t="s">
        <v>196</v>
      </c>
      <c r="N147" s="8">
        <v>46211</v>
      </c>
      <c r="P147" t="s">
        <v>638</v>
      </c>
      <c r="Q147" t="s">
        <v>150</v>
      </c>
      <c r="R147" t="s">
        <v>55</v>
      </c>
      <c r="S147" s="8">
        <v>46211</v>
      </c>
      <c r="T147" s="8">
        <v>46211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</row>
    <row r="148" spans="1:33" hidden="1" x14ac:dyDescent="0.25">
      <c r="A148">
        <v>512</v>
      </c>
      <c r="B148" t="s">
        <v>680</v>
      </c>
      <c r="C148" t="s">
        <v>640</v>
      </c>
      <c r="D148" t="s">
        <v>681</v>
      </c>
      <c r="E148" t="s">
        <v>602</v>
      </c>
      <c r="F148" s="8">
        <v>46174</v>
      </c>
      <c r="G148" s="8">
        <v>46206</v>
      </c>
      <c r="H148" s="4">
        <v>0.74</v>
      </c>
      <c r="L148" t="s">
        <v>35</v>
      </c>
      <c r="M148" t="s">
        <v>142</v>
      </c>
      <c r="N148" s="8">
        <v>46169</v>
      </c>
      <c r="P148" t="s">
        <v>638</v>
      </c>
      <c r="Q148" t="s">
        <v>168</v>
      </c>
      <c r="R148" t="s">
        <v>55</v>
      </c>
      <c r="S148" s="8">
        <v>46162</v>
      </c>
      <c r="T148" s="8">
        <v>46169</v>
      </c>
      <c r="V148">
        <v>0.74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hidden="1" x14ac:dyDescent="0.25">
      <c r="A149">
        <v>490</v>
      </c>
      <c r="B149" t="s">
        <v>661</v>
      </c>
      <c r="C149" t="s">
        <v>659</v>
      </c>
      <c r="D149" t="s">
        <v>102</v>
      </c>
      <c r="E149" t="s">
        <v>121</v>
      </c>
      <c r="F149" s="8">
        <v>46210</v>
      </c>
      <c r="G149" s="8">
        <v>46211</v>
      </c>
      <c r="H149" s="4">
        <v>0.5</v>
      </c>
      <c r="J149">
        <v>489</v>
      </c>
      <c r="K149">
        <v>491</v>
      </c>
      <c r="L149" t="s">
        <v>35</v>
      </c>
      <c r="M149" t="s">
        <v>296</v>
      </c>
      <c r="N149" s="8">
        <v>46211</v>
      </c>
      <c r="P149" t="s">
        <v>638</v>
      </c>
      <c r="Q149" t="s">
        <v>146</v>
      </c>
      <c r="R149" t="s">
        <v>55</v>
      </c>
      <c r="S149" s="8">
        <v>46210</v>
      </c>
      <c r="T149" s="8">
        <v>46211</v>
      </c>
      <c r="V149">
        <v>0.5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</row>
    <row r="150" spans="1:33" hidden="1" x14ac:dyDescent="0.25">
      <c r="A150">
        <v>516</v>
      </c>
      <c r="B150" t="s">
        <v>687</v>
      </c>
      <c r="C150" t="s">
        <v>683</v>
      </c>
      <c r="D150" t="s">
        <v>108</v>
      </c>
      <c r="E150" t="s">
        <v>53</v>
      </c>
      <c r="F150" s="8">
        <v>46206</v>
      </c>
      <c r="G150" s="8">
        <v>46206</v>
      </c>
      <c r="H150" s="4">
        <v>0</v>
      </c>
      <c r="J150">
        <v>515</v>
      </c>
      <c r="L150" t="s">
        <v>35</v>
      </c>
      <c r="M150" t="s">
        <v>411</v>
      </c>
      <c r="N150" s="8">
        <v>46169</v>
      </c>
      <c r="P150" t="s">
        <v>638</v>
      </c>
      <c r="Q150" t="s">
        <v>133</v>
      </c>
      <c r="R150" t="s">
        <v>55</v>
      </c>
      <c r="S150" s="8">
        <v>46169</v>
      </c>
      <c r="T150" s="8">
        <v>46169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</row>
    <row r="151" spans="1:33" hidden="1" x14ac:dyDescent="0.25">
      <c r="A151">
        <v>517</v>
      </c>
      <c r="B151" t="s">
        <v>688</v>
      </c>
      <c r="C151" t="s">
        <v>640</v>
      </c>
      <c r="D151" t="s">
        <v>689</v>
      </c>
      <c r="E151" t="s">
        <v>602</v>
      </c>
      <c r="F151" s="8">
        <v>46174</v>
      </c>
      <c r="G151" s="8">
        <v>46206</v>
      </c>
      <c r="H151" s="4">
        <v>0.74</v>
      </c>
      <c r="L151" t="s">
        <v>35</v>
      </c>
      <c r="M151" t="s">
        <v>142</v>
      </c>
      <c r="N151" s="8">
        <v>46169</v>
      </c>
      <c r="P151" t="s">
        <v>638</v>
      </c>
      <c r="Q151" t="s">
        <v>168</v>
      </c>
      <c r="R151" t="s">
        <v>55</v>
      </c>
      <c r="S151" s="8">
        <v>46162</v>
      </c>
      <c r="T151" s="8">
        <v>46169</v>
      </c>
      <c r="V151">
        <v>0.74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hidden="1" x14ac:dyDescent="0.25">
      <c r="A152">
        <v>505</v>
      </c>
      <c r="B152" t="s">
        <v>669</v>
      </c>
      <c r="C152" t="s">
        <v>666</v>
      </c>
      <c r="D152" t="s">
        <v>102</v>
      </c>
      <c r="E152" t="s">
        <v>53</v>
      </c>
      <c r="F152" s="8">
        <v>46218</v>
      </c>
      <c r="G152" s="8">
        <v>46218</v>
      </c>
      <c r="H152" s="4">
        <v>0</v>
      </c>
      <c r="J152">
        <v>504</v>
      </c>
      <c r="K152">
        <v>506</v>
      </c>
      <c r="L152" t="s">
        <v>183</v>
      </c>
      <c r="M152" t="s">
        <v>194</v>
      </c>
      <c r="N152" s="8">
        <v>46210</v>
      </c>
      <c r="P152" t="s">
        <v>638</v>
      </c>
      <c r="Q152" t="s">
        <v>150</v>
      </c>
      <c r="R152" t="s">
        <v>55</v>
      </c>
      <c r="S152" s="8">
        <v>46209</v>
      </c>
      <c r="T152" s="8">
        <v>46210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hidden="1" x14ac:dyDescent="0.25">
      <c r="A153">
        <v>521</v>
      </c>
      <c r="B153" t="s">
        <v>694</v>
      </c>
      <c r="C153" t="s">
        <v>691</v>
      </c>
      <c r="D153" t="s">
        <v>108</v>
      </c>
      <c r="E153" t="s">
        <v>53</v>
      </c>
      <c r="F153" s="8">
        <v>46206</v>
      </c>
      <c r="G153" s="8">
        <v>46206</v>
      </c>
      <c r="H153" s="4">
        <v>0</v>
      </c>
      <c r="J153">
        <v>520</v>
      </c>
      <c r="L153" t="s">
        <v>35</v>
      </c>
      <c r="M153" t="s">
        <v>411</v>
      </c>
      <c r="N153" s="8">
        <v>46169</v>
      </c>
      <c r="P153" t="s">
        <v>638</v>
      </c>
      <c r="Q153" t="s">
        <v>133</v>
      </c>
      <c r="R153" t="s">
        <v>55</v>
      </c>
      <c r="S153" s="8">
        <v>46169</v>
      </c>
      <c r="T153" s="8">
        <v>46169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hidden="1" x14ac:dyDescent="0.25">
      <c r="A154">
        <v>522</v>
      </c>
      <c r="B154" t="s">
        <v>695</v>
      </c>
      <c r="C154" t="s">
        <v>640</v>
      </c>
      <c r="D154" t="s">
        <v>696</v>
      </c>
      <c r="E154" t="s">
        <v>697</v>
      </c>
      <c r="F154" s="8">
        <v>46195</v>
      </c>
      <c r="G154" s="8">
        <v>46206</v>
      </c>
      <c r="H154" s="4">
        <v>0.63</v>
      </c>
      <c r="L154" t="s">
        <v>35</v>
      </c>
      <c r="M154" t="s">
        <v>411</v>
      </c>
      <c r="N154" s="8">
        <v>46188</v>
      </c>
      <c r="P154" t="s">
        <v>638</v>
      </c>
      <c r="Q154" t="s">
        <v>178</v>
      </c>
      <c r="R154" t="s">
        <v>55</v>
      </c>
      <c r="S154" s="8">
        <v>46169</v>
      </c>
      <c r="T154" s="8">
        <v>46188</v>
      </c>
      <c r="V154">
        <v>0.63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hidden="1" x14ac:dyDescent="0.25">
      <c r="A155">
        <v>515</v>
      </c>
      <c r="B155" t="s">
        <v>686</v>
      </c>
      <c r="C155" t="s">
        <v>683</v>
      </c>
      <c r="D155" t="s">
        <v>102</v>
      </c>
      <c r="E155" t="s">
        <v>678</v>
      </c>
      <c r="F155" s="8">
        <v>46195</v>
      </c>
      <c r="G155" s="8">
        <v>46205</v>
      </c>
      <c r="H155" s="4">
        <v>0.5</v>
      </c>
      <c r="J155">
        <v>514</v>
      </c>
      <c r="K155">
        <v>516</v>
      </c>
      <c r="L155" t="s">
        <v>35</v>
      </c>
      <c r="M155" t="s">
        <v>149</v>
      </c>
      <c r="N155" s="8">
        <v>46168</v>
      </c>
      <c r="P155" t="s">
        <v>638</v>
      </c>
      <c r="Q155" t="s">
        <v>133</v>
      </c>
      <c r="R155" t="s">
        <v>55</v>
      </c>
      <c r="S155" s="8">
        <v>46167</v>
      </c>
      <c r="T155" s="8">
        <v>46168</v>
      </c>
      <c r="V155">
        <v>0.5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</row>
    <row r="156" spans="1:33" hidden="1" x14ac:dyDescent="0.25">
      <c r="A156">
        <v>526</v>
      </c>
      <c r="B156" t="s">
        <v>702</v>
      </c>
      <c r="C156" t="s">
        <v>699</v>
      </c>
      <c r="D156" t="s">
        <v>108</v>
      </c>
      <c r="E156" t="s">
        <v>53</v>
      </c>
      <c r="F156" s="8">
        <v>46206</v>
      </c>
      <c r="G156" s="8">
        <v>46206</v>
      </c>
      <c r="H156" s="4">
        <v>0</v>
      </c>
      <c r="J156">
        <v>525</v>
      </c>
      <c r="L156" t="s">
        <v>35</v>
      </c>
      <c r="M156" t="s">
        <v>265</v>
      </c>
      <c r="N156" s="8">
        <v>46188</v>
      </c>
      <c r="P156" t="s">
        <v>638</v>
      </c>
      <c r="Q156" t="s">
        <v>146</v>
      </c>
      <c r="R156" t="s">
        <v>55</v>
      </c>
      <c r="S156" s="8">
        <v>46188</v>
      </c>
      <c r="T156" s="8">
        <v>46188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</row>
    <row r="157" spans="1:33" hidden="1" x14ac:dyDescent="0.25">
      <c r="A157">
        <v>532</v>
      </c>
      <c r="B157" t="s">
        <v>710</v>
      </c>
      <c r="C157" t="s">
        <v>640</v>
      </c>
      <c r="D157" t="s">
        <v>711</v>
      </c>
      <c r="E157" t="s">
        <v>356</v>
      </c>
      <c r="F157" s="8">
        <v>46197</v>
      </c>
      <c r="G157" s="8">
        <v>46205</v>
      </c>
      <c r="H157" s="4">
        <v>0.5</v>
      </c>
      <c r="L157" t="s">
        <v>35</v>
      </c>
      <c r="M157" t="s">
        <v>411</v>
      </c>
      <c r="N157" s="8">
        <v>46188</v>
      </c>
      <c r="P157" t="s">
        <v>638</v>
      </c>
      <c r="Q157" t="s">
        <v>178</v>
      </c>
      <c r="R157" t="s">
        <v>55</v>
      </c>
      <c r="S157" s="8">
        <v>46169</v>
      </c>
      <c r="T157" s="8">
        <v>46188</v>
      </c>
      <c r="V157">
        <v>0.5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hidden="1" x14ac:dyDescent="0.25">
      <c r="A158">
        <v>534</v>
      </c>
      <c r="B158" t="s">
        <v>714</v>
      </c>
      <c r="C158" t="s">
        <v>713</v>
      </c>
      <c r="D158" t="s">
        <v>98</v>
      </c>
      <c r="E158" t="s">
        <v>53</v>
      </c>
      <c r="F158" s="8">
        <v>46202</v>
      </c>
      <c r="G158" s="8">
        <v>46202</v>
      </c>
      <c r="H158" s="4">
        <v>0.5</v>
      </c>
      <c r="J158">
        <v>533</v>
      </c>
      <c r="K158">
        <v>535</v>
      </c>
      <c r="L158" t="s">
        <v>35</v>
      </c>
      <c r="M158" t="s">
        <v>261</v>
      </c>
      <c r="N158" s="8">
        <v>46183</v>
      </c>
      <c r="P158" t="s">
        <v>638</v>
      </c>
      <c r="Q158" t="s">
        <v>146</v>
      </c>
      <c r="R158" t="s">
        <v>55</v>
      </c>
      <c r="S158" s="8">
        <v>46183</v>
      </c>
      <c r="T158" s="8">
        <v>46183</v>
      </c>
      <c r="V158">
        <v>0.5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hidden="1" x14ac:dyDescent="0.25">
      <c r="A159">
        <v>520</v>
      </c>
      <c r="B159" t="s">
        <v>693</v>
      </c>
      <c r="C159" t="s">
        <v>691</v>
      </c>
      <c r="D159" t="s">
        <v>102</v>
      </c>
      <c r="E159" t="s">
        <v>678</v>
      </c>
      <c r="F159" s="8">
        <v>46195</v>
      </c>
      <c r="G159" s="8">
        <v>46205</v>
      </c>
      <c r="H159" s="4">
        <v>0.5</v>
      </c>
      <c r="J159">
        <v>519</v>
      </c>
      <c r="K159">
        <v>521</v>
      </c>
      <c r="L159" t="s">
        <v>35</v>
      </c>
      <c r="M159" t="s">
        <v>149</v>
      </c>
      <c r="N159" s="8">
        <v>46168</v>
      </c>
      <c r="P159" t="s">
        <v>638</v>
      </c>
      <c r="Q159" t="s">
        <v>133</v>
      </c>
      <c r="R159" t="s">
        <v>55</v>
      </c>
      <c r="S159" s="8">
        <v>46167</v>
      </c>
      <c r="T159" s="8">
        <v>46168</v>
      </c>
      <c r="V159">
        <v>0.5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 hidden="1" x14ac:dyDescent="0.25">
      <c r="A160">
        <v>536</v>
      </c>
      <c r="B160" t="s">
        <v>716</v>
      </c>
      <c r="C160" t="s">
        <v>713</v>
      </c>
      <c r="D160" t="s">
        <v>108</v>
      </c>
      <c r="E160" t="s">
        <v>53</v>
      </c>
      <c r="F160" s="8">
        <v>46205</v>
      </c>
      <c r="G160" s="8">
        <v>46205</v>
      </c>
      <c r="H160" s="4">
        <v>0</v>
      </c>
      <c r="J160">
        <v>535</v>
      </c>
      <c r="L160" t="s">
        <v>35</v>
      </c>
      <c r="M160" t="s">
        <v>265</v>
      </c>
      <c r="N160" s="8">
        <v>46188</v>
      </c>
      <c r="P160" t="s">
        <v>638</v>
      </c>
      <c r="Q160" t="s">
        <v>146</v>
      </c>
      <c r="R160" t="s">
        <v>55</v>
      </c>
      <c r="S160" s="8">
        <v>46188</v>
      </c>
      <c r="T160" s="8">
        <v>46188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</row>
    <row r="161" spans="1:33" hidden="1" x14ac:dyDescent="0.25">
      <c r="A161">
        <v>537</v>
      </c>
      <c r="B161" t="s">
        <v>717</v>
      </c>
      <c r="C161" t="s">
        <v>640</v>
      </c>
      <c r="D161" t="s">
        <v>718</v>
      </c>
      <c r="E161" t="s">
        <v>171</v>
      </c>
      <c r="F161" s="8">
        <v>46192</v>
      </c>
      <c r="G161" s="8">
        <v>46203</v>
      </c>
      <c r="H161" s="4">
        <v>0.56000000000000005</v>
      </c>
      <c r="L161" t="s">
        <v>35</v>
      </c>
      <c r="M161" t="s">
        <v>411</v>
      </c>
      <c r="N161" s="8">
        <v>46188</v>
      </c>
      <c r="P161" t="s">
        <v>638</v>
      </c>
      <c r="Q161" t="s">
        <v>133</v>
      </c>
      <c r="R161" t="s">
        <v>55</v>
      </c>
      <c r="S161" s="8">
        <v>46169</v>
      </c>
      <c r="T161" s="8">
        <v>46188</v>
      </c>
      <c r="V161">
        <v>0.56000000000000005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hidden="1" x14ac:dyDescent="0.25">
      <c r="A162">
        <v>539</v>
      </c>
      <c r="B162" t="s">
        <v>721</v>
      </c>
      <c r="C162" t="s">
        <v>720</v>
      </c>
      <c r="D162" t="s">
        <v>98</v>
      </c>
      <c r="E162" t="s">
        <v>53</v>
      </c>
      <c r="F162" s="8">
        <v>46198</v>
      </c>
      <c r="G162" s="8">
        <v>46198</v>
      </c>
      <c r="H162" s="4">
        <v>0.5</v>
      </c>
      <c r="J162">
        <v>538</v>
      </c>
      <c r="K162">
        <v>540</v>
      </c>
      <c r="L162" t="s">
        <v>35</v>
      </c>
      <c r="M162" t="s">
        <v>261</v>
      </c>
      <c r="N162" s="8">
        <v>46183</v>
      </c>
      <c r="P162" t="s">
        <v>638</v>
      </c>
      <c r="Q162" t="s">
        <v>178</v>
      </c>
      <c r="R162" t="s">
        <v>55</v>
      </c>
      <c r="S162" s="8">
        <v>46183</v>
      </c>
      <c r="T162" s="8">
        <v>46183</v>
      </c>
      <c r="V162">
        <v>0.5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hidden="1" x14ac:dyDescent="0.25">
      <c r="A163">
        <v>525</v>
      </c>
      <c r="B163" t="s">
        <v>701</v>
      </c>
      <c r="C163" t="s">
        <v>699</v>
      </c>
      <c r="D163" t="s">
        <v>102</v>
      </c>
      <c r="E163" t="s">
        <v>121</v>
      </c>
      <c r="F163" s="8">
        <v>46202</v>
      </c>
      <c r="G163" s="8">
        <v>46203</v>
      </c>
      <c r="H163" s="4">
        <v>0</v>
      </c>
      <c r="J163">
        <v>524</v>
      </c>
      <c r="K163">
        <v>526</v>
      </c>
      <c r="L163" t="s">
        <v>35</v>
      </c>
      <c r="M163" t="s">
        <v>263</v>
      </c>
      <c r="N163" s="8">
        <v>46185</v>
      </c>
      <c r="P163" t="s">
        <v>638</v>
      </c>
      <c r="Q163" t="s">
        <v>146</v>
      </c>
      <c r="R163" t="s">
        <v>55</v>
      </c>
      <c r="S163" s="8">
        <v>46184</v>
      </c>
      <c r="T163" s="8">
        <v>46185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 hidden="1" x14ac:dyDescent="0.25">
      <c r="A164">
        <v>541</v>
      </c>
      <c r="B164" t="s">
        <v>723</v>
      </c>
      <c r="C164" t="s">
        <v>720</v>
      </c>
      <c r="D164" t="s">
        <v>108</v>
      </c>
      <c r="E164" t="s">
        <v>53</v>
      </c>
      <c r="F164" s="8">
        <v>46203</v>
      </c>
      <c r="G164" s="8">
        <v>46203</v>
      </c>
      <c r="H164" s="4">
        <v>0</v>
      </c>
      <c r="J164">
        <v>540</v>
      </c>
      <c r="L164" t="s">
        <v>35</v>
      </c>
      <c r="M164" t="s">
        <v>265</v>
      </c>
      <c r="N164" s="8">
        <v>46188</v>
      </c>
      <c r="P164" t="s">
        <v>638</v>
      </c>
      <c r="Q164" t="s">
        <v>146</v>
      </c>
      <c r="R164" t="s">
        <v>55</v>
      </c>
      <c r="S164" s="8">
        <v>46188</v>
      </c>
      <c r="T164" s="8">
        <v>46188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</row>
    <row r="165" spans="1:33" hidden="1" x14ac:dyDescent="0.25">
      <c r="A165">
        <v>544</v>
      </c>
      <c r="B165" t="s">
        <v>731</v>
      </c>
      <c r="C165" t="s">
        <v>728</v>
      </c>
      <c r="D165" t="s">
        <v>98</v>
      </c>
      <c r="E165" t="s">
        <v>53</v>
      </c>
      <c r="F165" s="8">
        <v>46217</v>
      </c>
      <c r="G165" s="8">
        <v>46217</v>
      </c>
      <c r="H165" s="4">
        <v>0</v>
      </c>
      <c r="J165">
        <v>543</v>
      </c>
      <c r="K165">
        <v>545</v>
      </c>
      <c r="L165" t="s">
        <v>180</v>
      </c>
      <c r="M165" t="s">
        <v>265</v>
      </c>
      <c r="N165" s="8">
        <v>46188</v>
      </c>
      <c r="P165" t="s">
        <v>638</v>
      </c>
      <c r="Q165" t="s">
        <v>178</v>
      </c>
      <c r="R165" t="s">
        <v>55</v>
      </c>
      <c r="S165" s="8">
        <v>46188</v>
      </c>
      <c r="T165" s="8">
        <v>46188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hidden="1" x14ac:dyDescent="0.25">
      <c r="A166">
        <v>535</v>
      </c>
      <c r="B166" t="s">
        <v>715</v>
      </c>
      <c r="C166" t="s">
        <v>713</v>
      </c>
      <c r="D166" t="s">
        <v>102</v>
      </c>
      <c r="E166" t="s">
        <v>121</v>
      </c>
      <c r="F166" s="8">
        <v>46203</v>
      </c>
      <c r="G166" s="8">
        <v>46204</v>
      </c>
      <c r="H166" s="4">
        <v>0</v>
      </c>
      <c r="J166">
        <v>534</v>
      </c>
      <c r="K166">
        <v>536</v>
      </c>
      <c r="L166" t="s">
        <v>35</v>
      </c>
      <c r="M166" t="s">
        <v>263</v>
      </c>
      <c r="N166" s="8">
        <v>46185</v>
      </c>
      <c r="P166" t="s">
        <v>638</v>
      </c>
      <c r="Q166" t="s">
        <v>146</v>
      </c>
      <c r="R166" t="s">
        <v>55</v>
      </c>
      <c r="S166" s="8">
        <v>46184</v>
      </c>
      <c r="T166" s="8">
        <v>46185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</row>
    <row r="167" spans="1:33" hidden="1" x14ac:dyDescent="0.25">
      <c r="A167">
        <v>540</v>
      </c>
      <c r="B167" t="s">
        <v>722</v>
      </c>
      <c r="C167" t="s">
        <v>720</v>
      </c>
      <c r="D167" t="s">
        <v>102</v>
      </c>
      <c r="E167" t="s">
        <v>121</v>
      </c>
      <c r="F167" s="8">
        <v>46199</v>
      </c>
      <c r="G167" s="8">
        <v>46202</v>
      </c>
      <c r="H167" s="4">
        <v>0</v>
      </c>
      <c r="J167">
        <v>539</v>
      </c>
      <c r="K167">
        <v>541</v>
      </c>
      <c r="L167" t="s">
        <v>35</v>
      </c>
      <c r="M167" t="s">
        <v>263</v>
      </c>
      <c r="N167" s="8">
        <v>46185</v>
      </c>
      <c r="P167" t="s">
        <v>638</v>
      </c>
      <c r="Q167" t="s">
        <v>178</v>
      </c>
      <c r="R167" t="s">
        <v>55</v>
      </c>
      <c r="S167" s="8">
        <v>46184</v>
      </c>
      <c r="T167" s="8">
        <v>46185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</row>
    <row r="168" spans="1:33" hidden="1" x14ac:dyDescent="0.25">
      <c r="A168">
        <v>564</v>
      </c>
      <c r="B168" t="s">
        <v>747</v>
      </c>
      <c r="C168" t="s">
        <v>746</v>
      </c>
      <c r="D168" t="s">
        <v>98</v>
      </c>
      <c r="E168" t="s">
        <v>53</v>
      </c>
      <c r="F168" s="8">
        <v>46217</v>
      </c>
      <c r="G168" s="8">
        <v>46217</v>
      </c>
      <c r="H168" s="4">
        <v>0</v>
      </c>
      <c r="J168">
        <v>563</v>
      </c>
      <c r="K168">
        <v>565</v>
      </c>
      <c r="L168" t="s">
        <v>180</v>
      </c>
      <c r="M168" t="s">
        <v>392</v>
      </c>
      <c r="N168" s="8">
        <v>46196</v>
      </c>
      <c r="P168" t="s">
        <v>638</v>
      </c>
      <c r="Q168" t="s">
        <v>146</v>
      </c>
      <c r="R168" t="s">
        <v>55</v>
      </c>
      <c r="S168" s="8">
        <v>46196</v>
      </c>
      <c r="T168" s="8">
        <v>46196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hidden="1" x14ac:dyDescent="0.25">
      <c r="A169">
        <v>545</v>
      </c>
      <c r="B169" t="s">
        <v>732</v>
      </c>
      <c r="C169" t="s">
        <v>728</v>
      </c>
      <c r="D169" t="s">
        <v>102</v>
      </c>
      <c r="E169" t="s">
        <v>121</v>
      </c>
      <c r="F169" s="8">
        <v>46218</v>
      </c>
      <c r="G169" s="8">
        <v>46219</v>
      </c>
      <c r="H169" s="4">
        <v>0</v>
      </c>
      <c r="J169">
        <v>544</v>
      </c>
      <c r="K169">
        <v>546</v>
      </c>
      <c r="L169" t="s">
        <v>183</v>
      </c>
      <c r="M169" t="s">
        <v>632</v>
      </c>
      <c r="N169" s="8">
        <v>46190</v>
      </c>
      <c r="P169" t="s">
        <v>638</v>
      </c>
      <c r="Q169" t="s">
        <v>178</v>
      </c>
      <c r="R169" t="s">
        <v>55</v>
      </c>
      <c r="S169" s="8">
        <v>46189</v>
      </c>
      <c r="T169" s="8">
        <v>46190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hidden="1" x14ac:dyDescent="0.25">
      <c r="A170">
        <v>567</v>
      </c>
      <c r="B170" t="s">
        <v>751</v>
      </c>
      <c r="C170" t="s">
        <v>640</v>
      </c>
      <c r="D170" t="s">
        <v>752</v>
      </c>
      <c r="E170" t="s">
        <v>753</v>
      </c>
      <c r="F170" s="8">
        <v>46190</v>
      </c>
      <c r="G170" s="8">
        <v>46210</v>
      </c>
      <c r="H170" s="4">
        <v>0.87</v>
      </c>
      <c r="L170" t="s">
        <v>35</v>
      </c>
      <c r="M170" t="s">
        <v>324</v>
      </c>
      <c r="N170" s="8">
        <v>46210</v>
      </c>
      <c r="P170" t="s">
        <v>638</v>
      </c>
      <c r="Q170" t="s">
        <v>133</v>
      </c>
      <c r="R170" t="s">
        <v>55</v>
      </c>
      <c r="S170" s="8">
        <v>46191</v>
      </c>
      <c r="T170" s="8">
        <v>46210</v>
      </c>
      <c r="V170">
        <v>0.87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hidden="1" x14ac:dyDescent="0.25">
      <c r="A171">
        <v>565</v>
      </c>
      <c r="B171" t="s">
        <v>748</v>
      </c>
      <c r="C171" t="s">
        <v>746</v>
      </c>
      <c r="D171" t="s">
        <v>102</v>
      </c>
      <c r="E171" t="s">
        <v>121</v>
      </c>
      <c r="F171" s="8">
        <v>46218</v>
      </c>
      <c r="G171" s="8">
        <v>46219</v>
      </c>
      <c r="H171" s="4">
        <v>0</v>
      </c>
      <c r="J171">
        <v>564</v>
      </c>
      <c r="K171">
        <v>566</v>
      </c>
      <c r="L171" t="s">
        <v>183</v>
      </c>
      <c r="M171" t="s">
        <v>749</v>
      </c>
      <c r="N171" s="8">
        <v>46198</v>
      </c>
      <c r="P171" t="s">
        <v>638</v>
      </c>
      <c r="Q171" t="s">
        <v>146</v>
      </c>
      <c r="R171" t="s">
        <v>55</v>
      </c>
      <c r="S171" s="8">
        <v>46197</v>
      </c>
      <c r="T171" s="8">
        <v>46198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hidden="1" x14ac:dyDescent="0.25">
      <c r="A172">
        <v>571</v>
      </c>
      <c r="B172" t="s">
        <v>759</v>
      </c>
      <c r="C172" t="s">
        <v>755</v>
      </c>
      <c r="D172" t="s">
        <v>108</v>
      </c>
      <c r="E172" t="s">
        <v>53</v>
      </c>
      <c r="F172" s="8">
        <v>46210</v>
      </c>
      <c r="G172" s="8">
        <v>46210</v>
      </c>
      <c r="H172" s="4">
        <v>0</v>
      </c>
      <c r="J172">
        <v>570</v>
      </c>
      <c r="L172" t="s">
        <v>35</v>
      </c>
      <c r="M172" t="s">
        <v>296</v>
      </c>
      <c r="N172" s="8">
        <v>46210</v>
      </c>
      <c r="P172" t="s">
        <v>638</v>
      </c>
      <c r="Q172" t="s">
        <v>178</v>
      </c>
      <c r="R172" t="s">
        <v>55</v>
      </c>
      <c r="S172" s="8">
        <v>46210</v>
      </c>
      <c r="T172" s="8">
        <v>46210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</row>
    <row r="173" spans="1:33" hidden="1" x14ac:dyDescent="0.25">
      <c r="A173">
        <v>572</v>
      </c>
      <c r="B173" t="s">
        <v>760</v>
      </c>
      <c r="C173" t="s">
        <v>640</v>
      </c>
      <c r="D173" t="s">
        <v>761</v>
      </c>
      <c r="E173" t="s">
        <v>753</v>
      </c>
      <c r="F173" s="8">
        <v>46190</v>
      </c>
      <c r="G173" s="8">
        <v>46210</v>
      </c>
      <c r="H173" s="4">
        <v>0.87</v>
      </c>
      <c r="L173" t="s">
        <v>35</v>
      </c>
      <c r="M173" t="s">
        <v>324</v>
      </c>
      <c r="N173" s="8">
        <v>46210</v>
      </c>
      <c r="P173" t="s">
        <v>638</v>
      </c>
      <c r="Q173" t="s">
        <v>133</v>
      </c>
      <c r="R173" t="s">
        <v>55</v>
      </c>
      <c r="S173" s="8">
        <v>46191</v>
      </c>
      <c r="T173" s="8">
        <v>46210</v>
      </c>
      <c r="V173">
        <v>0.87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hidden="1" x14ac:dyDescent="0.25">
      <c r="A174">
        <v>570</v>
      </c>
      <c r="B174" t="s">
        <v>758</v>
      </c>
      <c r="C174" t="s">
        <v>755</v>
      </c>
      <c r="D174" t="s">
        <v>102</v>
      </c>
      <c r="E174" t="s">
        <v>53</v>
      </c>
      <c r="F174" s="8">
        <v>46209</v>
      </c>
      <c r="G174" s="8">
        <v>46209</v>
      </c>
      <c r="H174" s="4">
        <v>0</v>
      </c>
      <c r="J174">
        <v>569</v>
      </c>
      <c r="K174">
        <v>571</v>
      </c>
      <c r="L174" t="s">
        <v>35</v>
      </c>
      <c r="M174" t="s">
        <v>192</v>
      </c>
      <c r="N174" s="8">
        <v>46209</v>
      </c>
      <c r="P174" t="s">
        <v>638</v>
      </c>
      <c r="Q174" t="s">
        <v>178</v>
      </c>
      <c r="R174" t="s">
        <v>55</v>
      </c>
      <c r="S174" s="8">
        <v>46206</v>
      </c>
      <c r="T174" s="8">
        <v>46209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</row>
    <row r="175" spans="1:33" hidden="1" x14ac:dyDescent="0.25">
      <c r="A175">
        <v>576</v>
      </c>
      <c r="B175" t="s">
        <v>767</v>
      </c>
      <c r="C175" t="s">
        <v>763</v>
      </c>
      <c r="D175" t="s">
        <v>108</v>
      </c>
      <c r="E175" t="s">
        <v>53</v>
      </c>
      <c r="F175" s="8">
        <v>46210</v>
      </c>
      <c r="G175" s="8">
        <v>46210</v>
      </c>
      <c r="H175" s="4">
        <v>0</v>
      </c>
      <c r="J175">
        <v>575</v>
      </c>
      <c r="L175" t="s">
        <v>35</v>
      </c>
      <c r="M175" t="s">
        <v>296</v>
      </c>
      <c r="N175" s="8">
        <v>46210</v>
      </c>
      <c r="P175" t="s">
        <v>638</v>
      </c>
      <c r="Q175" t="s">
        <v>146</v>
      </c>
      <c r="R175" t="s">
        <v>55</v>
      </c>
      <c r="S175" s="8">
        <v>46210</v>
      </c>
      <c r="T175" s="8">
        <v>46210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</row>
    <row r="176" spans="1:33" hidden="1" x14ac:dyDescent="0.25">
      <c r="A176">
        <v>577</v>
      </c>
      <c r="B176" t="s">
        <v>768</v>
      </c>
      <c r="C176" t="s">
        <v>640</v>
      </c>
      <c r="D176" t="s">
        <v>769</v>
      </c>
      <c r="E176" t="s">
        <v>753</v>
      </c>
      <c r="F176" s="8">
        <v>46190</v>
      </c>
      <c r="G176" s="8">
        <v>46210</v>
      </c>
      <c r="H176" s="4">
        <v>0.87</v>
      </c>
      <c r="L176" t="s">
        <v>35</v>
      </c>
      <c r="M176" t="s">
        <v>324</v>
      </c>
      <c r="N176" s="8">
        <v>46210</v>
      </c>
      <c r="P176" t="s">
        <v>638</v>
      </c>
      <c r="Q176" t="s">
        <v>133</v>
      </c>
      <c r="R176" t="s">
        <v>55</v>
      </c>
      <c r="S176" s="8">
        <v>46191</v>
      </c>
      <c r="T176" s="8">
        <v>46210</v>
      </c>
      <c r="V176">
        <v>0.87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hidden="1" x14ac:dyDescent="0.25">
      <c r="A177">
        <v>575</v>
      </c>
      <c r="B177" t="s">
        <v>766</v>
      </c>
      <c r="C177" t="s">
        <v>763</v>
      </c>
      <c r="D177" t="s">
        <v>102</v>
      </c>
      <c r="E177" t="s">
        <v>53</v>
      </c>
      <c r="F177" s="8">
        <v>46209</v>
      </c>
      <c r="G177" s="8">
        <v>46209</v>
      </c>
      <c r="H177" s="4">
        <v>0</v>
      </c>
      <c r="J177">
        <v>574</v>
      </c>
      <c r="K177">
        <v>576</v>
      </c>
      <c r="L177" t="s">
        <v>35</v>
      </c>
      <c r="M177" t="s">
        <v>192</v>
      </c>
      <c r="N177" s="8">
        <v>46209</v>
      </c>
      <c r="P177" t="s">
        <v>638</v>
      </c>
      <c r="Q177" t="s">
        <v>178</v>
      </c>
      <c r="R177" t="s">
        <v>55</v>
      </c>
      <c r="S177" s="8">
        <v>46206</v>
      </c>
      <c r="T177" s="8">
        <v>46209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</row>
    <row r="178" spans="1:33" hidden="1" x14ac:dyDescent="0.25">
      <c r="A178">
        <v>581</v>
      </c>
      <c r="B178" t="s">
        <v>774</v>
      </c>
      <c r="C178" t="s">
        <v>771</v>
      </c>
      <c r="D178" t="s">
        <v>108</v>
      </c>
      <c r="E178" t="s">
        <v>53</v>
      </c>
      <c r="F178" s="8">
        <v>46210</v>
      </c>
      <c r="G178" s="8">
        <v>46210</v>
      </c>
      <c r="H178" s="4">
        <v>0</v>
      </c>
      <c r="J178">
        <v>580</v>
      </c>
      <c r="L178" t="s">
        <v>35</v>
      </c>
      <c r="M178" t="s">
        <v>296</v>
      </c>
      <c r="N178" s="8">
        <v>46210</v>
      </c>
      <c r="P178" t="s">
        <v>638</v>
      </c>
      <c r="Q178" t="s">
        <v>146</v>
      </c>
      <c r="R178" t="s">
        <v>55</v>
      </c>
      <c r="S178" s="8">
        <v>46210</v>
      </c>
      <c r="T178" s="8">
        <v>46210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</row>
    <row r="179" spans="1:33" hidden="1" x14ac:dyDescent="0.25">
      <c r="A179">
        <v>582</v>
      </c>
      <c r="B179" t="s">
        <v>775</v>
      </c>
      <c r="C179" t="s">
        <v>640</v>
      </c>
      <c r="D179" t="s">
        <v>776</v>
      </c>
      <c r="E179" t="s">
        <v>753</v>
      </c>
      <c r="F179" s="8">
        <v>46190</v>
      </c>
      <c r="G179" s="8">
        <v>46210</v>
      </c>
      <c r="H179" s="4">
        <v>0.87</v>
      </c>
      <c r="L179" t="s">
        <v>35</v>
      </c>
      <c r="M179" t="s">
        <v>324</v>
      </c>
      <c r="N179" s="8">
        <v>46210</v>
      </c>
      <c r="P179" t="s">
        <v>638</v>
      </c>
      <c r="Q179" t="s">
        <v>133</v>
      </c>
      <c r="R179" t="s">
        <v>55</v>
      </c>
      <c r="S179" s="8">
        <v>46191</v>
      </c>
      <c r="T179" s="8">
        <v>46210</v>
      </c>
      <c r="V179">
        <v>0.87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hidden="1" x14ac:dyDescent="0.25">
      <c r="A180">
        <v>580</v>
      </c>
      <c r="B180" t="s">
        <v>773</v>
      </c>
      <c r="C180" t="s">
        <v>771</v>
      </c>
      <c r="D180" t="s">
        <v>102</v>
      </c>
      <c r="E180" t="s">
        <v>53</v>
      </c>
      <c r="F180" s="8">
        <v>46209</v>
      </c>
      <c r="G180" s="8">
        <v>46209</v>
      </c>
      <c r="H180" s="4">
        <v>0</v>
      </c>
      <c r="J180">
        <v>579</v>
      </c>
      <c r="K180">
        <v>581</v>
      </c>
      <c r="L180" t="s">
        <v>35</v>
      </c>
      <c r="M180" t="s">
        <v>192</v>
      </c>
      <c r="N180" s="8">
        <v>46209</v>
      </c>
      <c r="P180" t="s">
        <v>638</v>
      </c>
      <c r="Q180" t="s">
        <v>178</v>
      </c>
      <c r="R180" t="s">
        <v>55</v>
      </c>
      <c r="S180" s="8">
        <v>46206</v>
      </c>
      <c r="T180" s="8">
        <v>46209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</row>
    <row r="181" spans="1:33" hidden="1" x14ac:dyDescent="0.25">
      <c r="A181">
        <v>586</v>
      </c>
      <c r="B181" t="s">
        <v>781</v>
      </c>
      <c r="C181" t="s">
        <v>778</v>
      </c>
      <c r="D181" t="s">
        <v>108</v>
      </c>
      <c r="E181" t="s">
        <v>53</v>
      </c>
      <c r="F181" s="8">
        <v>46210</v>
      </c>
      <c r="G181" s="8">
        <v>46210</v>
      </c>
      <c r="H181" s="4">
        <v>0</v>
      </c>
      <c r="J181">
        <v>585</v>
      </c>
      <c r="L181" t="s">
        <v>35</v>
      </c>
      <c r="M181" t="s">
        <v>296</v>
      </c>
      <c r="N181" s="8">
        <v>46210</v>
      </c>
      <c r="P181" t="s">
        <v>638</v>
      </c>
      <c r="Q181" t="s">
        <v>146</v>
      </c>
      <c r="R181" t="s">
        <v>55</v>
      </c>
      <c r="S181" s="8">
        <v>46210</v>
      </c>
      <c r="T181" s="8">
        <v>46210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</row>
    <row r="182" spans="1:33" hidden="1" x14ac:dyDescent="0.25">
      <c r="A182">
        <v>587</v>
      </c>
      <c r="B182" t="s">
        <v>782</v>
      </c>
      <c r="C182" t="s">
        <v>640</v>
      </c>
      <c r="D182" t="s">
        <v>783</v>
      </c>
      <c r="E182" t="s">
        <v>753</v>
      </c>
      <c r="F182" s="8">
        <v>46190</v>
      </c>
      <c r="G182" s="8">
        <v>46210</v>
      </c>
      <c r="H182" s="4">
        <v>0.87</v>
      </c>
      <c r="L182" t="s">
        <v>35</v>
      </c>
      <c r="M182" t="s">
        <v>324</v>
      </c>
      <c r="N182" s="8">
        <v>46210</v>
      </c>
      <c r="P182" t="s">
        <v>638</v>
      </c>
      <c r="Q182" t="s">
        <v>133</v>
      </c>
      <c r="R182" t="s">
        <v>55</v>
      </c>
      <c r="S182" s="8">
        <v>46191</v>
      </c>
      <c r="T182" s="8">
        <v>46210</v>
      </c>
      <c r="V182">
        <v>0.87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hidden="1" x14ac:dyDescent="0.25">
      <c r="A183">
        <v>585</v>
      </c>
      <c r="B183" t="s">
        <v>780</v>
      </c>
      <c r="C183" t="s">
        <v>778</v>
      </c>
      <c r="D183" t="s">
        <v>102</v>
      </c>
      <c r="E183" t="s">
        <v>53</v>
      </c>
      <c r="F183" s="8">
        <v>46209</v>
      </c>
      <c r="G183" s="8">
        <v>46209</v>
      </c>
      <c r="H183" s="4">
        <v>0</v>
      </c>
      <c r="J183">
        <v>584</v>
      </c>
      <c r="K183">
        <v>586</v>
      </c>
      <c r="L183" t="s">
        <v>35</v>
      </c>
      <c r="M183" t="s">
        <v>192</v>
      </c>
      <c r="N183" s="8">
        <v>46209</v>
      </c>
      <c r="P183" t="s">
        <v>638</v>
      </c>
      <c r="Q183" t="s">
        <v>178</v>
      </c>
      <c r="R183" t="s">
        <v>55</v>
      </c>
      <c r="S183" s="8">
        <v>46206</v>
      </c>
      <c r="T183" s="8">
        <v>46209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</row>
    <row r="184" spans="1:33" hidden="1" x14ac:dyDescent="0.25">
      <c r="A184">
        <v>591</v>
      </c>
      <c r="B184" t="s">
        <v>788</v>
      </c>
      <c r="C184" t="s">
        <v>785</v>
      </c>
      <c r="D184" t="s">
        <v>108</v>
      </c>
      <c r="E184" t="s">
        <v>53</v>
      </c>
      <c r="F184" s="8">
        <v>46210</v>
      </c>
      <c r="G184" s="8">
        <v>46210</v>
      </c>
      <c r="H184" s="4">
        <v>0</v>
      </c>
      <c r="J184">
        <v>590</v>
      </c>
      <c r="L184" t="s">
        <v>35</v>
      </c>
      <c r="M184" t="s">
        <v>296</v>
      </c>
      <c r="N184" s="8">
        <v>46210</v>
      </c>
      <c r="P184" t="s">
        <v>638</v>
      </c>
      <c r="Q184" t="s">
        <v>146</v>
      </c>
      <c r="R184" t="s">
        <v>55</v>
      </c>
      <c r="S184" s="8">
        <v>46210</v>
      </c>
      <c r="T184" s="8">
        <v>46210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hidden="1" x14ac:dyDescent="0.25">
      <c r="A185">
        <v>592</v>
      </c>
      <c r="B185" t="s">
        <v>789</v>
      </c>
      <c r="C185" t="s">
        <v>640</v>
      </c>
      <c r="D185" t="s">
        <v>790</v>
      </c>
      <c r="E185" t="s">
        <v>753</v>
      </c>
      <c r="F185" s="8">
        <v>46190</v>
      </c>
      <c r="G185" s="8">
        <v>46210</v>
      </c>
      <c r="H185" s="4">
        <v>0.87</v>
      </c>
      <c r="L185" t="s">
        <v>35</v>
      </c>
      <c r="M185" t="s">
        <v>324</v>
      </c>
      <c r="N185" s="8">
        <v>46210</v>
      </c>
      <c r="P185" t="s">
        <v>638</v>
      </c>
      <c r="Q185" t="s">
        <v>133</v>
      </c>
      <c r="R185" t="s">
        <v>55</v>
      </c>
      <c r="S185" s="8">
        <v>46191</v>
      </c>
      <c r="T185" s="8">
        <v>46210</v>
      </c>
      <c r="V185">
        <v>0.87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hidden="1" x14ac:dyDescent="0.25">
      <c r="A186">
        <v>590</v>
      </c>
      <c r="B186" t="s">
        <v>787</v>
      </c>
      <c r="C186" t="s">
        <v>785</v>
      </c>
      <c r="D186" t="s">
        <v>102</v>
      </c>
      <c r="E186" t="s">
        <v>53</v>
      </c>
      <c r="F186" s="8">
        <v>46209</v>
      </c>
      <c r="G186" s="8">
        <v>46209</v>
      </c>
      <c r="H186" s="4">
        <v>0</v>
      </c>
      <c r="J186">
        <v>589</v>
      </c>
      <c r="K186">
        <v>591</v>
      </c>
      <c r="L186" t="s">
        <v>35</v>
      </c>
      <c r="M186" t="s">
        <v>192</v>
      </c>
      <c r="N186" s="8">
        <v>46209</v>
      </c>
      <c r="P186" t="s">
        <v>638</v>
      </c>
      <c r="Q186" t="s">
        <v>178</v>
      </c>
      <c r="R186" t="s">
        <v>55</v>
      </c>
      <c r="S186" s="8">
        <v>46206</v>
      </c>
      <c r="T186" s="8">
        <v>46209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</row>
    <row r="187" spans="1:33" hidden="1" x14ac:dyDescent="0.25">
      <c r="A187">
        <v>596</v>
      </c>
      <c r="B187" t="s">
        <v>795</v>
      </c>
      <c r="C187" t="s">
        <v>792</v>
      </c>
      <c r="D187" t="s">
        <v>108</v>
      </c>
      <c r="E187" t="s">
        <v>53</v>
      </c>
      <c r="F187" s="8">
        <v>46210</v>
      </c>
      <c r="G187" s="8">
        <v>46210</v>
      </c>
      <c r="H187" s="4">
        <v>0</v>
      </c>
      <c r="J187">
        <v>595</v>
      </c>
      <c r="L187" t="s">
        <v>35</v>
      </c>
      <c r="M187" t="s">
        <v>296</v>
      </c>
      <c r="N187" s="8">
        <v>46210</v>
      </c>
      <c r="P187" t="s">
        <v>638</v>
      </c>
      <c r="Q187" t="s">
        <v>146</v>
      </c>
      <c r="R187" t="s">
        <v>55</v>
      </c>
      <c r="S187" s="8">
        <v>46210</v>
      </c>
      <c r="T187" s="8">
        <v>46210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</row>
    <row r="188" spans="1:33" hidden="1" x14ac:dyDescent="0.25">
      <c r="A188">
        <v>597</v>
      </c>
      <c r="B188" t="s">
        <v>796</v>
      </c>
      <c r="C188" t="s">
        <v>640</v>
      </c>
      <c r="D188" t="s">
        <v>797</v>
      </c>
      <c r="E188" t="s">
        <v>753</v>
      </c>
      <c r="F188" s="8">
        <v>46190</v>
      </c>
      <c r="G188" s="8">
        <v>46210</v>
      </c>
      <c r="H188" s="4">
        <v>0.87</v>
      </c>
      <c r="L188" t="s">
        <v>35</v>
      </c>
      <c r="M188" t="s">
        <v>324</v>
      </c>
      <c r="N188" s="8">
        <v>46210</v>
      </c>
      <c r="P188" t="s">
        <v>638</v>
      </c>
      <c r="Q188" t="s">
        <v>133</v>
      </c>
      <c r="R188" t="s">
        <v>55</v>
      </c>
      <c r="S188" s="8">
        <v>46191</v>
      </c>
      <c r="T188" s="8">
        <v>46210</v>
      </c>
      <c r="V188">
        <v>0.87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hidden="1" x14ac:dyDescent="0.25">
      <c r="A189">
        <v>595</v>
      </c>
      <c r="B189" t="s">
        <v>794</v>
      </c>
      <c r="C189" t="s">
        <v>792</v>
      </c>
      <c r="D189" t="s">
        <v>102</v>
      </c>
      <c r="E189" t="s">
        <v>53</v>
      </c>
      <c r="F189" s="8">
        <v>46209</v>
      </c>
      <c r="G189" s="8">
        <v>46209</v>
      </c>
      <c r="H189" s="4">
        <v>0</v>
      </c>
      <c r="J189">
        <v>594</v>
      </c>
      <c r="K189">
        <v>596</v>
      </c>
      <c r="L189" t="s">
        <v>35</v>
      </c>
      <c r="M189" t="s">
        <v>192</v>
      </c>
      <c r="N189" s="8">
        <v>46209</v>
      </c>
      <c r="P189" t="s">
        <v>638</v>
      </c>
      <c r="Q189" t="s">
        <v>178</v>
      </c>
      <c r="R189" t="s">
        <v>55</v>
      </c>
      <c r="S189" s="8">
        <v>46206</v>
      </c>
      <c r="T189" s="8">
        <v>46209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</row>
    <row r="190" spans="1:33" hidden="1" x14ac:dyDescent="0.25">
      <c r="A190">
        <v>601</v>
      </c>
      <c r="B190" t="s">
        <v>802</v>
      </c>
      <c r="C190" t="s">
        <v>799</v>
      </c>
      <c r="D190" t="s">
        <v>108</v>
      </c>
      <c r="E190" t="s">
        <v>53</v>
      </c>
      <c r="F190" s="8">
        <v>46210</v>
      </c>
      <c r="G190" s="8">
        <v>46210</v>
      </c>
      <c r="H190" s="4">
        <v>0</v>
      </c>
      <c r="J190">
        <v>600</v>
      </c>
      <c r="L190" t="s">
        <v>35</v>
      </c>
      <c r="M190" t="s">
        <v>296</v>
      </c>
      <c r="N190" s="8">
        <v>46210</v>
      </c>
      <c r="P190" t="s">
        <v>638</v>
      </c>
      <c r="Q190" t="s">
        <v>146</v>
      </c>
      <c r="R190" t="s">
        <v>55</v>
      </c>
      <c r="S190" s="8">
        <v>46210</v>
      </c>
      <c r="T190" s="8">
        <v>46210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</row>
    <row r="191" spans="1:33" hidden="1" x14ac:dyDescent="0.25">
      <c r="A191">
        <v>602</v>
      </c>
      <c r="B191" t="s">
        <v>803</v>
      </c>
      <c r="C191" t="s">
        <v>640</v>
      </c>
      <c r="D191" t="s">
        <v>804</v>
      </c>
      <c r="E191" t="s">
        <v>753</v>
      </c>
      <c r="F191" s="8">
        <v>46190</v>
      </c>
      <c r="G191" s="8">
        <v>46210</v>
      </c>
      <c r="H191" s="4">
        <v>0.87</v>
      </c>
      <c r="L191" t="s">
        <v>35</v>
      </c>
      <c r="M191" t="s">
        <v>324</v>
      </c>
      <c r="N191" s="8">
        <v>46210</v>
      </c>
      <c r="P191" t="s">
        <v>638</v>
      </c>
      <c r="Q191" t="s">
        <v>133</v>
      </c>
      <c r="R191" t="s">
        <v>55</v>
      </c>
      <c r="S191" s="8">
        <v>46191</v>
      </c>
      <c r="T191" s="8">
        <v>46210</v>
      </c>
      <c r="V191">
        <v>0.87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hidden="1" x14ac:dyDescent="0.25">
      <c r="A192">
        <v>600</v>
      </c>
      <c r="B192" t="s">
        <v>801</v>
      </c>
      <c r="C192" t="s">
        <v>799</v>
      </c>
      <c r="D192" t="s">
        <v>102</v>
      </c>
      <c r="E192" t="s">
        <v>53</v>
      </c>
      <c r="F192" s="8">
        <v>46209</v>
      </c>
      <c r="G192" s="8">
        <v>46209</v>
      </c>
      <c r="H192" s="4">
        <v>0</v>
      </c>
      <c r="J192">
        <v>599</v>
      </c>
      <c r="K192">
        <v>601</v>
      </c>
      <c r="L192" t="s">
        <v>35</v>
      </c>
      <c r="M192" t="s">
        <v>192</v>
      </c>
      <c r="N192" s="8">
        <v>46209</v>
      </c>
      <c r="P192" t="s">
        <v>638</v>
      </c>
      <c r="Q192" t="s">
        <v>178</v>
      </c>
      <c r="R192" t="s">
        <v>55</v>
      </c>
      <c r="S192" s="8">
        <v>46206</v>
      </c>
      <c r="T192" s="8">
        <v>46209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</row>
    <row r="193" spans="1:33" hidden="1" x14ac:dyDescent="0.25">
      <c r="A193">
        <v>606</v>
      </c>
      <c r="B193" t="s">
        <v>809</v>
      </c>
      <c r="C193" t="s">
        <v>806</v>
      </c>
      <c r="D193" t="s">
        <v>108</v>
      </c>
      <c r="E193" t="s">
        <v>53</v>
      </c>
      <c r="F193" s="8">
        <v>46210</v>
      </c>
      <c r="G193" s="8">
        <v>46210</v>
      </c>
      <c r="H193" s="4">
        <v>0</v>
      </c>
      <c r="J193">
        <v>605</v>
      </c>
      <c r="L193" t="s">
        <v>35</v>
      </c>
      <c r="M193" t="s">
        <v>296</v>
      </c>
      <c r="N193" s="8">
        <v>46210</v>
      </c>
      <c r="P193" t="s">
        <v>638</v>
      </c>
      <c r="Q193" t="s">
        <v>146</v>
      </c>
      <c r="R193" t="s">
        <v>55</v>
      </c>
      <c r="S193" s="8">
        <v>46210</v>
      </c>
      <c r="T193" s="8">
        <v>46210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</row>
    <row r="194" spans="1:33" hidden="1" x14ac:dyDescent="0.25">
      <c r="A194">
        <v>607</v>
      </c>
      <c r="B194" t="s">
        <v>810</v>
      </c>
      <c r="C194" t="s">
        <v>640</v>
      </c>
      <c r="D194" t="s">
        <v>811</v>
      </c>
      <c r="E194" t="s">
        <v>753</v>
      </c>
      <c r="F194" s="8">
        <v>46190</v>
      </c>
      <c r="G194" s="8">
        <v>46210</v>
      </c>
      <c r="H194" s="4">
        <v>0.87</v>
      </c>
      <c r="L194" t="s">
        <v>35</v>
      </c>
      <c r="M194" t="s">
        <v>324</v>
      </c>
      <c r="N194" s="8">
        <v>46210</v>
      </c>
      <c r="P194" t="s">
        <v>638</v>
      </c>
      <c r="Q194" t="s">
        <v>133</v>
      </c>
      <c r="R194" t="s">
        <v>55</v>
      </c>
      <c r="S194" s="8">
        <v>46191</v>
      </c>
      <c r="T194" s="8">
        <v>46210</v>
      </c>
      <c r="V194">
        <v>0.87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hidden="1" x14ac:dyDescent="0.25">
      <c r="A195">
        <v>605</v>
      </c>
      <c r="B195" t="s">
        <v>808</v>
      </c>
      <c r="C195" t="s">
        <v>806</v>
      </c>
      <c r="D195" t="s">
        <v>102</v>
      </c>
      <c r="E195" t="s">
        <v>53</v>
      </c>
      <c r="F195" s="8">
        <v>46209</v>
      </c>
      <c r="G195" s="8">
        <v>46209</v>
      </c>
      <c r="H195" s="4">
        <v>0</v>
      </c>
      <c r="J195">
        <v>604</v>
      </c>
      <c r="K195">
        <v>606</v>
      </c>
      <c r="L195" t="s">
        <v>35</v>
      </c>
      <c r="M195" t="s">
        <v>192</v>
      </c>
      <c r="N195" s="8">
        <v>46209</v>
      </c>
      <c r="P195" t="s">
        <v>638</v>
      </c>
      <c r="Q195" t="s">
        <v>178</v>
      </c>
      <c r="R195" t="s">
        <v>55</v>
      </c>
      <c r="S195" s="8">
        <v>46206</v>
      </c>
      <c r="T195" s="8">
        <v>46209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</row>
    <row r="196" spans="1:33" hidden="1" x14ac:dyDescent="0.25">
      <c r="A196">
        <v>611</v>
      </c>
      <c r="B196" t="s">
        <v>816</v>
      </c>
      <c r="C196" t="s">
        <v>813</v>
      </c>
      <c r="D196" t="s">
        <v>108</v>
      </c>
      <c r="E196" t="s">
        <v>53</v>
      </c>
      <c r="F196" s="8">
        <v>46210</v>
      </c>
      <c r="G196" s="8">
        <v>46210</v>
      </c>
      <c r="H196" s="4">
        <v>0</v>
      </c>
      <c r="J196">
        <v>610</v>
      </c>
      <c r="L196" t="s">
        <v>35</v>
      </c>
      <c r="M196" t="s">
        <v>296</v>
      </c>
      <c r="N196" s="8">
        <v>46210</v>
      </c>
      <c r="P196" t="s">
        <v>638</v>
      </c>
      <c r="Q196" t="s">
        <v>178</v>
      </c>
      <c r="R196" t="s">
        <v>55</v>
      </c>
      <c r="S196" s="8">
        <v>46210</v>
      </c>
      <c r="T196" s="8">
        <v>46210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</row>
    <row r="197" spans="1:33" hidden="1" x14ac:dyDescent="0.25">
      <c r="A197">
        <v>612</v>
      </c>
      <c r="B197" t="s">
        <v>817</v>
      </c>
      <c r="C197" t="s">
        <v>640</v>
      </c>
      <c r="D197" t="s">
        <v>818</v>
      </c>
      <c r="E197" t="s">
        <v>753</v>
      </c>
      <c r="F197" s="8">
        <v>46190</v>
      </c>
      <c r="G197" s="8">
        <v>46210</v>
      </c>
      <c r="H197" s="4">
        <v>0.87</v>
      </c>
      <c r="L197" t="s">
        <v>35</v>
      </c>
      <c r="M197" t="s">
        <v>324</v>
      </c>
      <c r="N197" s="8">
        <v>46210</v>
      </c>
      <c r="P197" t="s">
        <v>638</v>
      </c>
      <c r="Q197" t="s">
        <v>133</v>
      </c>
      <c r="R197" t="s">
        <v>55</v>
      </c>
      <c r="S197" s="8">
        <v>46191</v>
      </c>
      <c r="T197" s="8">
        <v>46210</v>
      </c>
      <c r="V197">
        <v>0.87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hidden="1" x14ac:dyDescent="0.25">
      <c r="A198">
        <v>610</v>
      </c>
      <c r="B198" t="s">
        <v>815</v>
      </c>
      <c r="C198" t="s">
        <v>813</v>
      </c>
      <c r="D198" t="s">
        <v>102</v>
      </c>
      <c r="E198" t="s">
        <v>53</v>
      </c>
      <c r="F198" s="8">
        <v>46209</v>
      </c>
      <c r="G198" s="8">
        <v>46209</v>
      </c>
      <c r="H198" s="4">
        <v>0</v>
      </c>
      <c r="J198">
        <v>609</v>
      </c>
      <c r="K198">
        <v>611</v>
      </c>
      <c r="L198" t="s">
        <v>35</v>
      </c>
      <c r="M198" t="s">
        <v>192</v>
      </c>
      <c r="N198" s="8">
        <v>46209</v>
      </c>
      <c r="P198" t="s">
        <v>638</v>
      </c>
      <c r="Q198" t="s">
        <v>178</v>
      </c>
      <c r="R198" t="s">
        <v>55</v>
      </c>
      <c r="S198" s="8">
        <v>46206</v>
      </c>
      <c r="T198" s="8">
        <v>46209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</row>
    <row r="199" spans="1:33" hidden="1" x14ac:dyDescent="0.25">
      <c r="A199">
        <v>616</v>
      </c>
      <c r="B199" t="s">
        <v>823</v>
      </c>
      <c r="C199" t="s">
        <v>820</v>
      </c>
      <c r="D199" t="s">
        <v>108</v>
      </c>
      <c r="E199" t="s">
        <v>53</v>
      </c>
      <c r="F199" s="8">
        <v>46210</v>
      </c>
      <c r="G199" s="8">
        <v>46210</v>
      </c>
      <c r="H199" s="4">
        <v>0</v>
      </c>
      <c r="J199">
        <v>615</v>
      </c>
      <c r="L199" t="s">
        <v>35</v>
      </c>
      <c r="M199" t="s">
        <v>296</v>
      </c>
      <c r="N199" s="8">
        <v>46210</v>
      </c>
      <c r="P199" t="s">
        <v>638</v>
      </c>
      <c r="Q199" t="s">
        <v>178</v>
      </c>
      <c r="R199" t="s">
        <v>55</v>
      </c>
      <c r="S199" s="8">
        <v>46210</v>
      </c>
      <c r="T199" s="8">
        <v>46210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</row>
    <row r="200" spans="1:33" hidden="1" x14ac:dyDescent="0.25">
      <c r="A200">
        <v>617</v>
      </c>
      <c r="B200" t="s">
        <v>824</v>
      </c>
      <c r="C200" t="s">
        <v>640</v>
      </c>
      <c r="D200" t="s">
        <v>825</v>
      </c>
      <c r="E200" t="s">
        <v>753</v>
      </c>
      <c r="F200" s="8">
        <v>46190</v>
      </c>
      <c r="G200" s="8">
        <v>46210</v>
      </c>
      <c r="H200" s="4">
        <v>0.87</v>
      </c>
      <c r="L200" t="s">
        <v>35</v>
      </c>
      <c r="M200" t="s">
        <v>324</v>
      </c>
      <c r="N200" s="8">
        <v>46210</v>
      </c>
      <c r="P200" t="s">
        <v>638</v>
      </c>
      <c r="Q200" t="s">
        <v>133</v>
      </c>
      <c r="R200" t="s">
        <v>55</v>
      </c>
      <c r="S200" s="8">
        <v>46191</v>
      </c>
      <c r="T200" s="8">
        <v>46210</v>
      </c>
      <c r="V200">
        <v>0.87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hidden="1" x14ac:dyDescent="0.25">
      <c r="A201">
        <v>615</v>
      </c>
      <c r="B201" t="s">
        <v>822</v>
      </c>
      <c r="C201" t="s">
        <v>820</v>
      </c>
      <c r="D201" t="s">
        <v>102</v>
      </c>
      <c r="E201" t="s">
        <v>53</v>
      </c>
      <c r="F201" s="8">
        <v>46209</v>
      </c>
      <c r="G201" s="8">
        <v>46209</v>
      </c>
      <c r="H201" s="4">
        <v>0</v>
      </c>
      <c r="J201">
        <v>614</v>
      </c>
      <c r="K201">
        <v>616</v>
      </c>
      <c r="L201" t="s">
        <v>35</v>
      </c>
      <c r="M201" t="s">
        <v>192</v>
      </c>
      <c r="N201" s="8">
        <v>46209</v>
      </c>
      <c r="P201" t="s">
        <v>638</v>
      </c>
      <c r="Q201" t="s">
        <v>178</v>
      </c>
      <c r="R201" t="s">
        <v>55</v>
      </c>
      <c r="S201" s="8">
        <v>46206</v>
      </c>
      <c r="T201" s="8">
        <v>46209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</row>
    <row r="202" spans="1:33" hidden="1" x14ac:dyDescent="0.25">
      <c r="A202">
        <v>621</v>
      </c>
      <c r="B202" t="s">
        <v>830</v>
      </c>
      <c r="C202" t="s">
        <v>827</v>
      </c>
      <c r="D202" t="s">
        <v>108</v>
      </c>
      <c r="E202" t="s">
        <v>53</v>
      </c>
      <c r="F202" s="8">
        <v>46210</v>
      </c>
      <c r="G202" s="8">
        <v>46210</v>
      </c>
      <c r="H202" s="4">
        <v>0</v>
      </c>
      <c r="J202">
        <v>620</v>
      </c>
      <c r="L202" t="s">
        <v>35</v>
      </c>
      <c r="M202" t="s">
        <v>296</v>
      </c>
      <c r="N202" s="8">
        <v>46210</v>
      </c>
      <c r="P202" t="s">
        <v>638</v>
      </c>
      <c r="Q202" t="s">
        <v>178</v>
      </c>
      <c r="R202" t="s">
        <v>55</v>
      </c>
      <c r="S202" s="8">
        <v>46210</v>
      </c>
      <c r="T202" s="8">
        <v>46210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</row>
    <row r="203" spans="1:33" hidden="1" x14ac:dyDescent="0.25">
      <c r="A203">
        <v>622</v>
      </c>
      <c r="B203" t="s">
        <v>831</v>
      </c>
      <c r="C203" t="s">
        <v>640</v>
      </c>
      <c r="D203" t="s">
        <v>832</v>
      </c>
      <c r="E203" t="s">
        <v>753</v>
      </c>
      <c r="F203" s="8">
        <v>46190</v>
      </c>
      <c r="G203" s="8">
        <v>46210</v>
      </c>
      <c r="H203" s="4">
        <v>0.87</v>
      </c>
      <c r="L203" t="s">
        <v>35</v>
      </c>
      <c r="M203" t="s">
        <v>324</v>
      </c>
      <c r="N203" s="8">
        <v>46210</v>
      </c>
      <c r="P203" t="s">
        <v>638</v>
      </c>
      <c r="Q203" t="s">
        <v>133</v>
      </c>
      <c r="R203" t="s">
        <v>55</v>
      </c>
      <c r="S203" s="8">
        <v>46191</v>
      </c>
      <c r="T203" s="8">
        <v>46210</v>
      </c>
      <c r="V203">
        <v>0.87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hidden="1" x14ac:dyDescent="0.25">
      <c r="A204">
        <v>620</v>
      </c>
      <c r="B204" t="s">
        <v>829</v>
      </c>
      <c r="C204" t="s">
        <v>827</v>
      </c>
      <c r="D204" t="s">
        <v>102</v>
      </c>
      <c r="E204" t="s">
        <v>53</v>
      </c>
      <c r="F204" s="8">
        <v>46209</v>
      </c>
      <c r="G204" s="8">
        <v>46209</v>
      </c>
      <c r="H204" s="4">
        <v>0</v>
      </c>
      <c r="J204">
        <v>619</v>
      </c>
      <c r="K204">
        <v>621</v>
      </c>
      <c r="L204" t="s">
        <v>35</v>
      </c>
      <c r="M204" t="s">
        <v>192</v>
      </c>
      <c r="N204" s="8">
        <v>46209</v>
      </c>
      <c r="P204" t="s">
        <v>638</v>
      </c>
      <c r="Q204" t="s">
        <v>178</v>
      </c>
      <c r="R204" t="s">
        <v>55</v>
      </c>
      <c r="S204" s="8">
        <v>46206</v>
      </c>
      <c r="T204" s="8">
        <v>46209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</row>
    <row r="205" spans="1:33" hidden="1" x14ac:dyDescent="0.25">
      <c r="A205">
        <v>626</v>
      </c>
      <c r="B205" t="s">
        <v>837</v>
      </c>
      <c r="C205" t="s">
        <v>834</v>
      </c>
      <c r="D205" t="s">
        <v>108</v>
      </c>
      <c r="E205" t="s">
        <v>53</v>
      </c>
      <c r="F205" s="8">
        <v>46210</v>
      </c>
      <c r="G205" s="8">
        <v>46210</v>
      </c>
      <c r="H205" s="4">
        <v>0</v>
      </c>
      <c r="J205">
        <v>625</v>
      </c>
      <c r="L205" t="s">
        <v>35</v>
      </c>
      <c r="M205" t="s">
        <v>296</v>
      </c>
      <c r="N205" s="8">
        <v>46210</v>
      </c>
      <c r="P205" t="s">
        <v>638</v>
      </c>
      <c r="Q205" t="s">
        <v>178</v>
      </c>
      <c r="R205" t="s">
        <v>55</v>
      </c>
      <c r="S205" s="8">
        <v>46210</v>
      </c>
      <c r="T205" s="8">
        <v>46210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</row>
    <row r="206" spans="1:33" hidden="1" x14ac:dyDescent="0.25">
      <c r="A206">
        <v>627</v>
      </c>
      <c r="B206" t="s">
        <v>838</v>
      </c>
      <c r="C206" t="s">
        <v>640</v>
      </c>
      <c r="D206" t="s">
        <v>839</v>
      </c>
      <c r="E206" t="s">
        <v>753</v>
      </c>
      <c r="F206" s="8">
        <v>46190</v>
      </c>
      <c r="G206" s="8">
        <v>46210</v>
      </c>
      <c r="H206" s="4">
        <v>0.87</v>
      </c>
      <c r="L206" t="s">
        <v>35</v>
      </c>
      <c r="M206" t="s">
        <v>324</v>
      </c>
      <c r="N206" s="8">
        <v>46210</v>
      </c>
      <c r="P206" t="s">
        <v>638</v>
      </c>
      <c r="Q206" t="s">
        <v>133</v>
      </c>
      <c r="R206" t="s">
        <v>55</v>
      </c>
      <c r="S206" s="8">
        <v>46191</v>
      </c>
      <c r="T206" s="8">
        <v>46210</v>
      </c>
      <c r="V206">
        <v>0.87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hidden="1" x14ac:dyDescent="0.25">
      <c r="A207">
        <v>625</v>
      </c>
      <c r="B207" t="s">
        <v>836</v>
      </c>
      <c r="C207" t="s">
        <v>834</v>
      </c>
      <c r="D207" t="s">
        <v>102</v>
      </c>
      <c r="E207" t="s">
        <v>53</v>
      </c>
      <c r="F207" s="8">
        <v>46209</v>
      </c>
      <c r="G207" s="8">
        <v>46209</v>
      </c>
      <c r="H207" s="4">
        <v>0</v>
      </c>
      <c r="J207">
        <v>624</v>
      </c>
      <c r="K207">
        <v>626</v>
      </c>
      <c r="L207" t="s">
        <v>35</v>
      </c>
      <c r="M207" t="s">
        <v>192</v>
      </c>
      <c r="N207" s="8">
        <v>46209</v>
      </c>
      <c r="P207" t="s">
        <v>638</v>
      </c>
      <c r="Q207" t="s">
        <v>178</v>
      </c>
      <c r="R207" t="s">
        <v>55</v>
      </c>
      <c r="S207" s="8">
        <v>46206</v>
      </c>
      <c r="T207" s="8">
        <v>46209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</row>
    <row r="208" spans="1:33" hidden="1" x14ac:dyDescent="0.25">
      <c r="A208">
        <v>631</v>
      </c>
      <c r="B208" t="s">
        <v>844</v>
      </c>
      <c r="C208" t="s">
        <v>841</v>
      </c>
      <c r="D208" t="s">
        <v>108</v>
      </c>
      <c r="E208" t="s">
        <v>53</v>
      </c>
      <c r="F208" s="8">
        <v>46210</v>
      </c>
      <c r="G208" s="8">
        <v>46210</v>
      </c>
      <c r="H208" s="4">
        <v>0</v>
      </c>
      <c r="J208">
        <v>630</v>
      </c>
      <c r="L208" t="s">
        <v>35</v>
      </c>
      <c r="M208" t="s">
        <v>296</v>
      </c>
      <c r="N208" s="8">
        <v>46210</v>
      </c>
      <c r="P208" t="s">
        <v>638</v>
      </c>
      <c r="Q208" t="s">
        <v>178</v>
      </c>
      <c r="R208" t="s">
        <v>55</v>
      </c>
      <c r="S208" s="8">
        <v>46210</v>
      </c>
      <c r="T208" s="8">
        <v>46210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</row>
    <row r="209" spans="1:33" hidden="1" x14ac:dyDescent="0.25">
      <c r="A209">
        <v>632</v>
      </c>
      <c r="B209" t="s">
        <v>845</v>
      </c>
      <c r="C209" t="s">
        <v>640</v>
      </c>
      <c r="D209" t="s">
        <v>846</v>
      </c>
      <c r="E209" t="s">
        <v>753</v>
      </c>
      <c r="F209" s="8">
        <v>46190</v>
      </c>
      <c r="G209" s="8">
        <v>46210</v>
      </c>
      <c r="H209" s="4">
        <v>0.87</v>
      </c>
      <c r="L209" t="s">
        <v>35</v>
      </c>
      <c r="M209" t="s">
        <v>324</v>
      </c>
      <c r="N209" s="8">
        <v>46210</v>
      </c>
      <c r="P209" t="s">
        <v>638</v>
      </c>
      <c r="Q209" t="s">
        <v>133</v>
      </c>
      <c r="R209" t="s">
        <v>55</v>
      </c>
      <c r="S209" s="8">
        <v>46191</v>
      </c>
      <c r="T209" s="8">
        <v>46210</v>
      </c>
      <c r="V209">
        <v>0.87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hidden="1" x14ac:dyDescent="0.25">
      <c r="A210">
        <v>630</v>
      </c>
      <c r="B210" t="s">
        <v>843</v>
      </c>
      <c r="C210" t="s">
        <v>841</v>
      </c>
      <c r="D210" t="s">
        <v>102</v>
      </c>
      <c r="E210" t="s">
        <v>53</v>
      </c>
      <c r="F210" s="8">
        <v>46209</v>
      </c>
      <c r="G210" s="8">
        <v>46209</v>
      </c>
      <c r="H210" s="4">
        <v>0</v>
      </c>
      <c r="J210">
        <v>629</v>
      </c>
      <c r="K210">
        <v>631</v>
      </c>
      <c r="L210" t="s">
        <v>35</v>
      </c>
      <c r="M210" t="s">
        <v>192</v>
      </c>
      <c r="N210" s="8">
        <v>46209</v>
      </c>
      <c r="P210" t="s">
        <v>638</v>
      </c>
      <c r="Q210" t="s">
        <v>178</v>
      </c>
      <c r="R210" t="s">
        <v>55</v>
      </c>
      <c r="S210" s="8">
        <v>46206</v>
      </c>
      <c r="T210" s="8">
        <v>46209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</row>
    <row r="211" spans="1:33" hidden="1" x14ac:dyDescent="0.25">
      <c r="A211">
        <v>636</v>
      </c>
      <c r="B211" t="s">
        <v>851</v>
      </c>
      <c r="C211" t="s">
        <v>848</v>
      </c>
      <c r="D211" t="s">
        <v>108</v>
      </c>
      <c r="E211" t="s">
        <v>53</v>
      </c>
      <c r="F211" s="8">
        <v>46210</v>
      </c>
      <c r="G211" s="8">
        <v>46210</v>
      </c>
      <c r="H211" s="4">
        <v>0</v>
      </c>
      <c r="J211">
        <v>635</v>
      </c>
      <c r="L211" t="s">
        <v>35</v>
      </c>
      <c r="M211" t="s">
        <v>296</v>
      </c>
      <c r="N211" s="8">
        <v>46210</v>
      </c>
      <c r="P211" t="s">
        <v>638</v>
      </c>
      <c r="Q211" t="s">
        <v>178</v>
      </c>
      <c r="R211" t="s">
        <v>55</v>
      </c>
      <c r="S211" s="8">
        <v>46210</v>
      </c>
      <c r="T211" s="8">
        <v>46210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</row>
    <row r="212" spans="1:33" hidden="1" x14ac:dyDescent="0.25">
      <c r="A212">
        <v>637</v>
      </c>
      <c r="B212" t="s">
        <v>852</v>
      </c>
      <c r="C212" t="s">
        <v>640</v>
      </c>
      <c r="D212" t="s">
        <v>853</v>
      </c>
      <c r="E212" t="s">
        <v>753</v>
      </c>
      <c r="F212" s="8">
        <v>46190</v>
      </c>
      <c r="G212" s="8">
        <v>46210</v>
      </c>
      <c r="H212" s="4">
        <v>0.87</v>
      </c>
      <c r="L212" t="s">
        <v>35</v>
      </c>
      <c r="M212" t="s">
        <v>324</v>
      </c>
      <c r="N212" s="8">
        <v>46210</v>
      </c>
      <c r="P212" t="s">
        <v>638</v>
      </c>
      <c r="Q212" t="s">
        <v>133</v>
      </c>
      <c r="R212" t="s">
        <v>55</v>
      </c>
      <c r="S212" s="8">
        <v>46191</v>
      </c>
      <c r="T212" s="8">
        <v>46210</v>
      </c>
      <c r="V212">
        <v>0.87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hidden="1" x14ac:dyDescent="0.25">
      <c r="A213">
        <v>635</v>
      </c>
      <c r="B213" t="s">
        <v>850</v>
      </c>
      <c r="C213" t="s">
        <v>848</v>
      </c>
      <c r="D213" t="s">
        <v>102</v>
      </c>
      <c r="E213" t="s">
        <v>53</v>
      </c>
      <c r="F213" s="8">
        <v>46209</v>
      </c>
      <c r="G213" s="8">
        <v>46209</v>
      </c>
      <c r="H213" s="4">
        <v>0</v>
      </c>
      <c r="J213">
        <v>634</v>
      </c>
      <c r="K213">
        <v>636</v>
      </c>
      <c r="L213" t="s">
        <v>35</v>
      </c>
      <c r="M213" t="s">
        <v>192</v>
      </c>
      <c r="N213" s="8">
        <v>46209</v>
      </c>
      <c r="P213" t="s">
        <v>638</v>
      </c>
      <c r="Q213" t="s">
        <v>178</v>
      </c>
      <c r="R213" t="s">
        <v>55</v>
      </c>
      <c r="S213" s="8">
        <v>46206</v>
      </c>
      <c r="T213" s="8">
        <v>46209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</row>
    <row r="214" spans="1:33" hidden="1" x14ac:dyDescent="0.25">
      <c r="A214">
        <v>641</v>
      </c>
      <c r="B214" t="s">
        <v>858</v>
      </c>
      <c r="C214" t="s">
        <v>855</v>
      </c>
      <c r="D214" t="s">
        <v>108</v>
      </c>
      <c r="E214" t="s">
        <v>53</v>
      </c>
      <c r="F214" s="8">
        <v>46210</v>
      </c>
      <c r="G214" s="8">
        <v>46210</v>
      </c>
      <c r="H214" s="4">
        <v>0</v>
      </c>
      <c r="J214">
        <v>640</v>
      </c>
      <c r="L214" t="s">
        <v>35</v>
      </c>
      <c r="M214" t="s">
        <v>296</v>
      </c>
      <c r="N214" s="8">
        <v>46210</v>
      </c>
      <c r="P214" t="s">
        <v>638</v>
      </c>
      <c r="Q214" t="s">
        <v>178</v>
      </c>
      <c r="R214" t="s">
        <v>55</v>
      </c>
      <c r="S214" s="8">
        <v>46210</v>
      </c>
      <c r="T214" s="8">
        <v>46210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</row>
    <row r="215" spans="1:33" hidden="1" x14ac:dyDescent="0.25">
      <c r="A215">
        <v>642</v>
      </c>
      <c r="B215" t="s">
        <v>859</v>
      </c>
      <c r="C215" t="s">
        <v>640</v>
      </c>
      <c r="D215" t="s">
        <v>860</v>
      </c>
      <c r="E215" t="s">
        <v>753</v>
      </c>
      <c r="F215" s="8">
        <v>46190</v>
      </c>
      <c r="G215" s="8">
        <v>46210</v>
      </c>
      <c r="H215" s="4">
        <v>0.87</v>
      </c>
      <c r="L215" t="s">
        <v>35</v>
      </c>
      <c r="M215" t="s">
        <v>324</v>
      </c>
      <c r="N215" s="8">
        <v>46210</v>
      </c>
      <c r="P215" t="s">
        <v>638</v>
      </c>
      <c r="Q215" t="s">
        <v>133</v>
      </c>
      <c r="R215" t="s">
        <v>55</v>
      </c>
      <c r="S215" s="8">
        <v>46191</v>
      </c>
      <c r="T215" s="8">
        <v>46210</v>
      </c>
      <c r="V215">
        <v>0.87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hidden="1" x14ac:dyDescent="0.25">
      <c r="A216">
        <v>640</v>
      </c>
      <c r="B216" t="s">
        <v>857</v>
      </c>
      <c r="C216" t="s">
        <v>855</v>
      </c>
      <c r="D216" t="s">
        <v>102</v>
      </c>
      <c r="E216" t="s">
        <v>53</v>
      </c>
      <c r="F216" s="8">
        <v>46209</v>
      </c>
      <c r="G216" s="8">
        <v>46209</v>
      </c>
      <c r="H216" s="4">
        <v>0</v>
      </c>
      <c r="J216">
        <v>639</v>
      </c>
      <c r="K216">
        <v>641</v>
      </c>
      <c r="L216" t="s">
        <v>35</v>
      </c>
      <c r="M216" t="s">
        <v>192</v>
      </c>
      <c r="N216" s="8">
        <v>46209</v>
      </c>
      <c r="P216" t="s">
        <v>638</v>
      </c>
      <c r="Q216" t="s">
        <v>178</v>
      </c>
      <c r="R216" t="s">
        <v>55</v>
      </c>
      <c r="S216" s="8">
        <v>46206</v>
      </c>
      <c r="T216" s="8">
        <v>46209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</row>
    <row r="217" spans="1:33" hidden="1" x14ac:dyDescent="0.25">
      <c r="A217">
        <v>646</v>
      </c>
      <c r="B217" t="s">
        <v>865</v>
      </c>
      <c r="C217" t="s">
        <v>862</v>
      </c>
      <c r="D217" t="s">
        <v>108</v>
      </c>
      <c r="E217" t="s">
        <v>53</v>
      </c>
      <c r="F217" s="8">
        <v>46210</v>
      </c>
      <c r="G217" s="8">
        <v>46210</v>
      </c>
      <c r="H217" s="4">
        <v>0</v>
      </c>
      <c r="J217">
        <v>645</v>
      </c>
      <c r="L217" t="s">
        <v>35</v>
      </c>
      <c r="M217" t="s">
        <v>296</v>
      </c>
      <c r="N217" s="8">
        <v>46210</v>
      </c>
      <c r="P217" t="s">
        <v>638</v>
      </c>
      <c r="Q217" t="s">
        <v>178</v>
      </c>
      <c r="R217" t="s">
        <v>55</v>
      </c>
      <c r="S217" s="8">
        <v>46210</v>
      </c>
      <c r="T217" s="8">
        <v>46210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</row>
    <row r="218" spans="1:33" hidden="1" x14ac:dyDescent="0.25">
      <c r="A218">
        <v>647</v>
      </c>
      <c r="B218" t="s">
        <v>866</v>
      </c>
      <c r="C218" t="s">
        <v>640</v>
      </c>
      <c r="D218" t="s">
        <v>867</v>
      </c>
      <c r="E218" t="s">
        <v>753</v>
      </c>
      <c r="F218" s="8">
        <v>46190</v>
      </c>
      <c r="G218" s="8">
        <v>46210</v>
      </c>
      <c r="H218" s="4">
        <v>0.87</v>
      </c>
      <c r="L218" t="s">
        <v>35</v>
      </c>
      <c r="M218" t="s">
        <v>324</v>
      </c>
      <c r="N218" s="8">
        <v>46210</v>
      </c>
      <c r="P218" t="s">
        <v>638</v>
      </c>
      <c r="Q218" t="s">
        <v>133</v>
      </c>
      <c r="R218" t="s">
        <v>55</v>
      </c>
      <c r="S218" s="8">
        <v>46191</v>
      </c>
      <c r="T218" s="8">
        <v>46210</v>
      </c>
      <c r="U218" t="s">
        <v>289</v>
      </c>
      <c r="V218">
        <v>0.87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hidden="1" x14ac:dyDescent="0.25">
      <c r="A219">
        <v>645</v>
      </c>
      <c r="B219" t="s">
        <v>864</v>
      </c>
      <c r="C219" t="s">
        <v>862</v>
      </c>
      <c r="D219" t="s">
        <v>102</v>
      </c>
      <c r="E219" t="s">
        <v>53</v>
      </c>
      <c r="F219" s="8">
        <v>46209</v>
      </c>
      <c r="G219" s="8">
        <v>46209</v>
      </c>
      <c r="H219" s="4">
        <v>0</v>
      </c>
      <c r="J219">
        <v>644</v>
      </c>
      <c r="K219">
        <v>646</v>
      </c>
      <c r="L219" t="s">
        <v>35</v>
      </c>
      <c r="M219" t="s">
        <v>192</v>
      </c>
      <c r="N219" s="8">
        <v>46209</v>
      </c>
      <c r="P219" t="s">
        <v>638</v>
      </c>
      <c r="Q219" t="s">
        <v>178</v>
      </c>
      <c r="R219" t="s">
        <v>55</v>
      </c>
      <c r="S219" s="8">
        <v>46206</v>
      </c>
      <c r="T219" s="8">
        <v>46209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</row>
    <row r="220" spans="1:33" hidden="1" x14ac:dyDescent="0.25">
      <c r="A220">
        <v>651</v>
      </c>
      <c r="B220" t="s">
        <v>872</v>
      </c>
      <c r="C220" t="s">
        <v>869</v>
      </c>
      <c r="D220" t="s">
        <v>108</v>
      </c>
      <c r="E220" t="s">
        <v>53</v>
      </c>
      <c r="F220" s="8">
        <v>46210</v>
      </c>
      <c r="G220" s="8">
        <v>46210</v>
      </c>
      <c r="H220" s="4">
        <v>0</v>
      </c>
      <c r="J220">
        <v>650</v>
      </c>
      <c r="L220" t="s">
        <v>35</v>
      </c>
      <c r="M220" t="s">
        <v>396</v>
      </c>
      <c r="N220" s="8">
        <v>46199</v>
      </c>
      <c r="P220" t="s">
        <v>638</v>
      </c>
      <c r="Q220" t="s">
        <v>178</v>
      </c>
      <c r="R220" t="s">
        <v>55</v>
      </c>
      <c r="S220" s="8">
        <v>46199</v>
      </c>
      <c r="T220" s="8">
        <v>46199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</row>
    <row r="221" spans="1:33" hidden="1" x14ac:dyDescent="0.25">
      <c r="A221">
        <v>652</v>
      </c>
      <c r="B221" t="s">
        <v>873</v>
      </c>
      <c r="C221" t="s">
        <v>640</v>
      </c>
      <c r="D221" t="s">
        <v>874</v>
      </c>
      <c r="E221" t="s">
        <v>753</v>
      </c>
      <c r="F221" s="8">
        <v>46190</v>
      </c>
      <c r="G221" s="8">
        <v>46210</v>
      </c>
      <c r="H221" s="4">
        <v>0.87</v>
      </c>
      <c r="L221" t="s">
        <v>35</v>
      </c>
      <c r="M221" t="s">
        <v>324</v>
      </c>
      <c r="N221" s="8">
        <v>46210</v>
      </c>
      <c r="P221" t="s">
        <v>638</v>
      </c>
      <c r="Q221" t="s">
        <v>133</v>
      </c>
      <c r="R221" t="s">
        <v>55</v>
      </c>
      <c r="S221" s="8">
        <v>46191</v>
      </c>
      <c r="T221" s="8">
        <v>46210</v>
      </c>
      <c r="U221" t="s">
        <v>289</v>
      </c>
      <c r="V221">
        <v>0.87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hidden="1" x14ac:dyDescent="0.25">
      <c r="A222">
        <v>650</v>
      </c>
      <c r="B222" t="s">
        <v>871</v>
      </c>
      <c r="C222" t="s">
        <v>869</v>
      </c>
      <c r="D222" t="s">
        <v>102</v>
      </c>
      <c r="E222" t="s">
        <v>53</v>
      </c>
      <c r="F222" s="8">
        <v>46209</v>
      </c>
      <c r="G222" s="8">
        <v>46209</v>
      </c>
      <c r="H222" s="4">
        <v>0</v>
      </c>
      <c r="J222">
        <v>649</v>
      </c>
      <c r="K222">
        <v>651</v>
      </c>
      <c r="L222" t="s">
        <v>35</v>
      </c>
      <c r="M222" t="s">
        <v>497</v>
      </c>
      <c r="N222" s="8">
        <v>46198</v>
      </c>
      <c r="P222" t="s">
        <v>638</v>
      </c>
      <c r="Q222" t="s">
        <v>178</v>
      </c>
      <c r="R222" t="s">
        <v>55</v>
      </c>
      <c r="S222" s="8">
        <v>46198</v>
      </c>
      <c r="T222" s="8">
        <v>46198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</row>
    <row r="223" spans="1:33" hidden="1" x14ac:dyDescent="0.25">
      <c r="A223">
        <v>656</v>
      </c>
      <c r="B223" t="s">
        <v>879</v>
      </c>
      <c r="C223" t="s">
        <v>876</v>
      </c>
      <c r="D223" t="s">
        <v>108</v>
      </c>
      <c r="E223" t="s">
        <v>53</v>
      </c>
      <c r="F223" s="8">
        <v>46210</v>
      </c>
      <c r="G223" s="8">
        <v>46210</v>
      </c>
      <c r="H223" s="4">
        <v>0</v>
      </c>
      <c r="J223">
        <v>655</v>
      </c>
      <c r="L223" t="s">
        <v>35</v>
      </c>
      <c r="M223" t="s">
        <v>396</v>
      </c>
      <c r="N223" s="8">
        <v>46199</v>
      </c>
      <c r="P223" t="s">
        <v>638</v>
      </c>
      <c r="Q223" t="s">
        <v>178</v>
      </c>
      <c r="R223" t="s">
        <v>55</v>
      </c>
      <c r="S223" s="8">
        <v>46199</v>
      </c>
      <c r="T223" s="8">
        <v>46199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</row>
    <row r="224" spans="1:33" hidden="1" x14ac:dyDescent="0.25">
      <c r="A224">
        <v>657</v>
      </c>
      <c r="B224" t="s">
        <v>880</v>
      </c>
      <c r="C224" t="s">
        <v>640</v>
      </c>
      <c r="D224" t="s">
        <v>881</v>
      </c>
      <c r="E224" t="s">
        <v>753</v>
      </c>
      <c r="F224" s="8">
        <v>46190</v>
      </c>
      <c r="G224" s="8">
        <v>46210</v>
      </c>
      <c r="H224" s="4">
        <v>0.87</v>
      </c>
      <c r="L224" t="s">
        <v>35</v>
      </c>
      <c r="M224" t="s">
        <v>324</v>
      </c>
      <c r="N224" s="8">
        <v>46210</v>
      </c>
      <c r="P224" t="s">
        <v>638</v>
      </c>
      <c r="Q224" t="s">
        <v>133</v>
      </c>
      <c r="R224" t="s">
        <v>55</v>
      </c>
      <c r="S224" s="8">
        <v>46191</v>
      </c>
      <c r="T224" s="8">
        <v>46210</v>
      </c>
      <c r="U224" t="s">
        <v>289</v>
      </c>
      <c r="V224">
        <v>0.87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hidden="1" x14ac:dyDescent="0.25">
      <c r="A225">
        <v>655</v>
      </c>
      <c r="B225" t="s">
        <v>878</v>
      </c>
      <c r="C225" t="s">
        <v>876</v>
      </c>
      <c r="D225" t="s">
        <v>102</v>
      </c>
      <c r="E225" t="s">
        <v>53</v>
      </c>
      <c r="F225" s="8">
        <v>46209</v>
      </c>
      <c r="G225" s="8">
        <v>46209</v>
      </c>
      <c r="H225" s="4">
        <v>0</v>
      </c>
      <c r="J225">
        <v>654</v>
      </c>
      <c r="K225">
        <v>656</v>
      </c>
      <c r="L225" t="s">
        <v>35</v>
      </c>
      <c r="M225" t="s">
        <v>497</v>
      </c>
      <c r="N225" s="8">
        <v>46198</v>
      </c>
      <c r="P225" t="s">
        <v>638</v>
      </c>
      <c r="Q225" t="s">
        <v>178</v>
      </c>
      <c r="R225" t="s">
        <v>55</v>
      </c>
      <c r="S225" s="8">
        <v>46198</v>
      </c>
      <c r="T225" s="8">
        <v>46198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</row>
    <row r="226" spans="1:33" hidden="1" x14ac:dyDescent="0.25">
      <c r="A226">
        <v>661</v>
      </c>
      <c r="B226" t="s">
        <v>886</v>
      </c>
      <c r="C226" t="s">
        <v>883</v>
      </c>
      <c r="D226" t="s">
        <v>108</v>
      </c>
      <c r="E226" t="s">
        <v>53</v>
      </c>
      <c r="F226" s="8">
        <v>46210</v>
      </c>
      <c r="G226" s="8">
        <v>46210</v>
      </c>
      <c r="H226" s="4">
        <v>0</v>
      </c>
      <c r="J226">
        <v>660</v>
      </c>
      <c r="L226" t="s">
        <v>35</v>
      </c>
      <c r="M226" t="s">
        <v>396</v>
      </c>
      <c r="N226" s="8">
        <v>46199</v>
      </c>
      <c r="P226" t="s">
        <v>638</v>
      </c>
      <c r="Q226" t="s">
        <v>178</v>
      </c>
      <c r="R226" t="s">
        <v>55</v>
      </c>
      <c r="S226" s="8">
        <v>46199</v>
      </c>
      <c r="T226" s="8">
        <v>46199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</row>
    <row r="227" spans="1:33" hidden="1" x14ac:dyDescent="0.25">
      <c r="A227">
        <v>662</v>
      </c>
      <c r="B227" t="s">
        <v>887</v>
      </c>
      <c r="C227" t="s">
        <v>640</v>
      </c>
      <c r="D227" t="s">
        <v>888</v>
      </c>
      <c r="E227" t="s">
        <v>753</v>
      </c>
      <c r="F227" s="8">
        <v>46190</v>
      </c>
      <c r="G227" s="8">
        <v>46210</v>
      </c>
      <c r="H227" s="4">
        <v>0.87</v>
      </c>
      <c r="L227" t="s">
        <v>35</v>
      </c>
      <c r="M227" t="s">
        <v>324</v>
      </c>
      <c r="N227" s="8">
        <v>46210</v>
      </c>
      <c r="P227" t="s">
        <v>638</v>
      </c>
      <c r="Q227" t="s">
        <v>133</v>
      </c>
      <c r="R227" t="s">
        <v>55</v>
      </c>
      <c r="S227" s="8">
        <v>46191</v>
      </c>
      <c r="T227" s="8">
        <v>46210</v>
      </c>
      <c r="U227" t="s">
        <v>289</v>
      </c>
      <c r="V227">
        <v>0.87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hidden="1" x14ac:dyDescent="0.25">
      <c r="A228">
        <v>660</v>
      </c>
      <c r="B228" t="s">
        <v>885</v>
      </c>
      <c r="C228" t="s">
        <v>883</v>
      </c>
      <c r="D228" t="s">
        <v>102</v>
      </c>
      <c r="E228" t="s">
        <v>53</v>
      </c>
      <c r="F228" s="8">
        <v>46209</v>
      </c>
      <c r="G228" s="8">
        <v>46209</v>
      </c>
      <c r="H228" s="4">
        <v>0</v>
      </c>
      <c r="J228">
        <v>659</v>
      </c>
      <c r="K228">
        <v>661</v>
      </c>
      <c r="L228" t="s">
        <v>35</v>
      </c>
      <c r="M228" t="s">
        <v>497</v>
      </c>
      <c r="N228" s="8">
        <v>46198</v>
      </c>
      <c r="P228" t="s">
        <v>638</v>
      </c>
      <c r="Q228" t="s">
        <v>178</v>
      </c>
      <c r="R228" t="s">
        <v>55</v>
      </c>
      <c r="S228" s="8">
        <v>46198</v>
      </c>
      <c r="T228" s="8">
        <v>46198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</row>
    <row r="229" spans="1:33" hidden="1" x14ac:dyDescent="0.25">
      <c r="A229">
        <v>666</v>
      </c>
      <c r="B229" t="s">
        <v>893</v>
      </c>
      <c r="C229" t="s">
        <v>890</v>
      </c>
      <c r="D229" t="s">
        <v>108</v>
      </c>
      <c r="E229" t="s">
        <v>53</v>
      </c>
      <c r="F229" s="8">
        <v>46210</v>
      </c>
      <c r="G229" s="8">
        <v>46210</v>
      </c>
      <c r="H229" s="4">
        <v>0</v>
      </c>
      <c r="J229">
        <v>665</v>
      </c>
      <c r="L229" t="s">
        <v>35</v>
      </c>
      <c r="M229" t="s">
        <v>396</v>
      </c>
      <c r="N229" s="8">
        <v>46199</v>
      </c>
      <c r="P229" t="s">
        <v>638</v>
      </c>
      <c r="Q229" t="s">
        <v>178</v>
      </c>
      <c r="R229" t="s">
        <v>55</v>
      </c>
      <c r="S229" s="8">
        <v>46199</v>
      </c>
      <c r="T229" s="8">
        <v>46199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</row>
    <row r="230" spans="1:33" hidden="1" x14ac:dyDescent="0.25">
      <c r="A230">
        <v>667</v>
      </c>
      <c r="B230" t="s">
        <v>894</v>
      </c>
      <c r="C230" t="s">
        <v>640</v>
      </c>
      <c r="D230" t="s">
        <v>895</v>
      </c>
      <c r="E230" t="s">
        <v>753</v>
      </c>
      <c r="F230" s="8">
        <v>46190</v>
      </c>
      <c r="G230" s="8">
        <v>46210</v>
      </c>
      <c r="H230" s="4">
        <v>0.87</v>
      </c>
      <c r="L230" t="s">
        <v>35</v>
      </c>
      <c r="M230" t="s">
        <v>324</v>
      </c>
      <c r="N230" s="8">
        <v>46210</v>
      </c>
      <c r="P230" t="s">
        <v>638</v>
      </c>
      <c r="Q230" t="s">
        <v>133</v>
      </c>
      <c r="R230" t="s">
        <v>55</v>
      </c>
      <c r="S230" s="8">
        <v>46191</v>
      </c>
      <c r="T230" s="8">
        <v>46210</v>
      </c>
      <c r="U230" t="s">
        <v>289</v>
      </c>
      <c r="V230">
        <v>0.87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hidden="1" x14ac:dyDescent="0.25">
      <c r="A231">
        <v>665</v>
      </c>
      <c r="B231" t="s">
        <v>892</v>
      </c>
      <c r="C231" t="s">
        <v>890</v>
      </c>
      <c r="D231" t="s">
        <v>102</v>
      </c>
      <c r="E231" t="s">
        <v>53</v>
      </c>
      <c r="F231" s="8">
        <v>46209</v>
      </c>
      <c r="G231" s="8">
        <v>46209</v>
      </c>
      <c r="H231" s="4">
        <v>0</v>
      </c>
      <c r="J231">
        <v>664</v>
      </c>
      <c r="K231">
        <v>666</v>
      </c>
      <c r="L231" t="s">
        <v>35</v>
      </c>
      <c r="M231" t="s">
        <v>497</v>
      </c>
      <c r="N231" s="8">
        <v>46198</v>
      </c>
      <c r="P231" t="s">
        <v>638</v>
      </c>
      <c r="Q231" t="s">
        <v>178</v>
      </c>
      <c r="R231" t="s">
        <v>55</v>
      </c>
      <c r="S231" s="8">
        <v>46198</v>
      </c>
      <c r="T231" s="8">
        <v>46198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</row>
    <row r="232" spans="1:33" hidden="1" x14ac:dyDescent="0.25">
      <c r="A232">
        <v>671</v>
      </c>
      <c r="B232" t="s">
        <v>900</v>
      </c>
      <c r="C232" t="s">
        <v>897</v>
      </c>
      <c r="D232" t="s">
        <v>108</v>
      </c>
      <c r="E232" t="s">
        <v>53</v>
      </c>
      <c r="F232" s="8">
        <v>46210</v>
      </c>
      <c r="G232" s="8">
        <v>46210</v>
      </c>
      <c r="H232" s="4">
        <v>0</v>
      </c>
      <c r="J232">
        <v>670</v>
      </c>
      <c r="L232" t="s">
        <v>35</v>
      </c>
      <c r="M232" t="s">
        <v>396</v>
      </c>
      <c r="N232" s="8">
        <v>46199</v>
      </c>
      <c r="P232" t="s">
        <v>638</v>
      </c>
      <c r="Q232" t="s">
        <v>178</v>
      </c>
      <c r="R232" t="s">
        <v>55</v>
      </c>
      <c r="S232" s="8">
        <v>46199</v>
      </c>
      <c r="T232" s="8">
        <v>46199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</row>
    <row r="233" spans="1:33" hidden="1" x14ac:dyDescent="0.25">
      <c r="A233">
        <v>672</v>
      </c>
      <c r="B233" t="s">
        <v>901</v>
      </c>
      <c r="C233" t="s">
        <v>640</v>
      </c>
      <c r="D233" t="s">
        <v>902</v>
      </c>
      <c r="E233" t="s">
        <v>753</v>
      </c>
      <c r="F233" s="8">
        <v>46190</v>
      </c>
      <c r="G233" s="8">
        <v>46210</v>
      </c>
      <c r="H233" s="4">
        <v>0.87</v>
      </c>
      <c r="L233" t="s">
        <v>35</v>
      </c>
      <c r="M233" t="s">
        <v>324</v>
      </c>
      <c r="N233" s="8">
        <v>46210</v>
      </c>
      <c r="P233" t="s">
        <v>638</v>
      </c>
      <c r="Q233" t="s">
        <v>133</v>
      </c>
      <c r="R233" t="s">
        <v>55</v>
      </c>
      <c r="S233" s="8">
        <v>46191</v>
      </c>
      <c r="T233" s="8">
        <v>46210</v>
      </c>
      <c r="U233" t="s">
        <v>289</v>
      </c>
      <c r="V233">
        <v>0.87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hidden="1" x14ac:dyDescent="0.25">
      <c r="A234">
        <v>670</v>
      </c>
      <c r="B234" t="s">
        <v>899</v>
      </c>
      <c r="C234" t="s">
        <v>897</v>
      </c>
      <c r="D234" t="s">
        <v>102</v>
      </c>
      <c r="E234" t="s">
        <v>53</v>
      </c>
      <c r="F234" s="8">
        <v>46209</v>
      </c>
      <c r="G234" s="8">
        <v>46209</v>
      </c>
      <c r="H234" s="4">
        <v>0</v>
      </c>
      <c r="J234">
        <v>669</v>
      </c>
      <c r="K234">
        <v>671</v>
      </c>
      <c r="L234" t="s">
        <v>35</v>
      </c>
      <c r="M234" t="s">
        <v>497</v>
      </c>
      <c r="N234" s="8">
        <v>46198</v>
      </c>
      <c r="P234" t="s">
        <v>638</v>
      </c>
      <c r="Q234" t="s">
        <v>178</v>
      </c>
      <c r="R234" t="s">
        <v>55</v>
      </c>
      <c r="S234" s="8">
        <v>46198</v>
      </c>
      <c r="T234" s="8">
        <v>46198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</row>
    <row r="235" spans="1:33" hidden="1" x14ac:dyDescent="0.25">
      <c r="A235">
        <v>676</v>
      </c>
      <c r="B235" t="s">
        <v>907</v>
      </c>
      <c r="C235" t="s">
        <v>904</v>
      </c>
      <c r="D235" t="s">
        <v>108</v>
      </c>
      <c r="E235" t="s">
        <v>53</v>
      </c>
      <c r="F235" s="8">
        <v>46210</v>
      </c>
      <c r="G235" s="8">
        <v>46210</v>
      </c>
      <c r="H235" s="4">
        <v>0</v>
      </c>
      <c r="J235">
        <v>675</v>
      </c>
      <c r="L235" t="s">
        <v>35</v>
      </c>
      <c r="M235" t="s">
        <v>396</v>
      </c>
      <c r="N235" s="8">
        <v>46199</v>
      </c>
      <c r="P235" t="s">
        <v>638</v>
      </c>
      <c r="Q235" t="s">
        <v>178</v>
      </c>
      <c r="R235" t="s">
        <v>55</v>
      </c>
      <c r="S235" s="8">
        <v>46199</v>
      </c>
      <c r="T235" s="8">
        <v>46199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</row>
    <row r="236" spans="1:33" hidden="1" x14ac:dyDescent="0.25">
      <c r="A236">
        <v>677</v>
      </c>
      <c r="B236" t="s">
        <v>908</v>
      </c>
      <c r="C236" t="s">
        <v>640</v>
      </c>
      <c r="D236" t="s">
        <v>909</v>
      </c>
      <c r="E236" t="s">
        <v>753</v>
      </c>
      <c r="F236" s="8">
        <v>46190</v>
      </c>
      <c r="G236" s="8">
        <v>46210</v>
      </c>
      <c r="H236" s="4">
        <v>0.87</v>
      </c>
      <c r="L236" t="s">
        <v>35</v>
      </c>
      <c r="M236" t="s">
        <v>324</v>
      </c>
      <c r="N236" s="8">
        <v>46210</v>
      </c>
      <c r="P236" t="s">
        <v>638</v>
      </c>
      <c r="Q236" t="s">
        <v>133</v>
      </c>
      <c r="R236" t="s">
        <v>55</v>
      </c>
      <c r="S236" s="8">
        <v>46191</v>
      </c>
      <c r="T236" s="8">
        <v>46210</v>
      </c>
      <c r="U236" t="s">
        <v>289</v>
      </c>
      <c r="V236">
        <v>0.87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hidden="1" x14ac:dyDescent="0.25">
      <c r="A237">
        <v>675</v>
      </c>
      <c r="B237" t="s">
        <v>906</v>
      </c>
      <c r="C237" t="s">
        <v>904</v>
      </c>
      <c r="D237" t="s">
        <v>102</v>
      </c>
      <c r="E237" t="s">
        <v>53</v>
      </c>
      <c r="F237" s="8">
        <v>46209</v>
      </c>
      <c r="G237" s="8">
        <v>46209</v>
      </c>
      <c r="H237" s="4">
        <v>0</v>
      </c>
      <c r="J237">
        <v>674</v>
      </c>
      <c r="K237">
        <v>676</v>
      </c>
      <c r="L237" t="s">
        <v>35</v>
      </c>
      <c r="M237" t="s">
        <v>497</v>
      </c>
      <c r="N237" s="8">
        <v>46198</v>
      </c>
      <c r="P237" t="s">
        <v>638</v>
      </c>
      <c r="Q237" t="s">
        <v>178</v>
      </c>
      <c r="R237" t="s">
        <v>55</v>
      </c>
      <c r="S237" s="8">
        <v>46198</v>
      </c>
      <c r="T237" s="8">
        <v>46198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</row>
    <row r="238" spans="1:33" hidden="1" x14ac:dyDescent="0.25">
      <c r="A238">
        <v>681</v>
      </c>
      <c r="B238" t="s">
        <v>915</v>
      </c>
      <c r="C238" t="s">
        <v>911</v>
      </c>
      <c r="D238" t="s">
        <v>108</v>
      </c>
      <c r="E238" t="s">
        <v>53</v>
      </c>
      <c r="F238" s="8">
        <v>46210</v>
      </c>
      <c r="G238" s="8">
        <v>46210</v>
      </c>
      <c r="H238" s="4">
        <v>0</v>
      </c>
      <c r="J238">
        <v>680</v>
      </c>
      <c r="L238" t="s">
        <v>35</v>
      </c>
      <c r="M238" t="s">
        <v>400</v>
      </c>
      <c r="N238" s="8">
        <v>46205</v>
      </c>
      <c r="P238" t="s">
        <v>638</v>
      </c>
      <c r="Q238" t="s">
        <v>178</v>
      </c>
      <c r="R238" t="s">
        <v>55</v>
      </c>
      <c r="S238" s="8">
        <v>46204</v>
      </c>
      <c r="T238" s="8">
        <v>46205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</row>
    <row r="239" spans="1:33" hidden="1" x14ac:dyDescent="0.25">
      <c r="A239">
        <v>682</v>
      </c>
      <c r="B239" t="s">
        <v>916</v>
      </c>
      <c r="C239" t="s">
        <v>640</v>
      </c>
      <c r="D239" t="s">
        <v>917</v>
      </c>
      <c r="E239" t="s">
        <v>753</v>
      </c>
      <c r="F239" s="8">
        <v>46190</v>
      </c>
      <c r="G239" s="8">
        <v>46210</v>
      </c>
      <c r="H239" s="4">
        <v>0.87</v>
      </c>
      <c r="L239" t="s">
        <v>35</v>
      </c>
      <c r="M239" t="s">
        <v>324</v>
      </c>
      <c r="N239" s="8">
        <v>46210</v>
      </c>
      <c r="P239" t="s">
        <v>638</v>
      </c>
      <c r="Q239" t="s">
        <v>133</v>
      </c>
      <c r="R239" t="s">
        <v>55</v>
      </c>
      <c r="S239" s="8">
        <v>46191</v>
      </c>
      <c r="T239" s="8">
        <v>46210</v>
      </c>
      <c r="U239" t="s">
        <v>289</v>
      </c>
      <c r="V239">
        <v>0.87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hidden="1" x14ac:dyDescent="0.25">
      <c r="A240">
        <v>680</v>
      </c>
      <c r="B240" t="s">
        <v>914</v>
      </c>
      <c r="C240" t="s">
        <v>911</v>
      </c>
      <c r="D240" t="s">
        <v>102</v>
      </c>
      <c r="E240" t="s">
        <v>53</v>
      </c>
      <c r="F240" s="8">
        <v>46209</v>
      </c>
      <c r="G240" s="8">
        <v>46209</v>
      </c>
      <c r="H240" s="4">
        <v>0</v>
      </c>
      <c r="J240">
        <v>679</v>
      </c>
      <c r="K240">
        <v>681</v>
      </c>
      <c r="L240" t="s">
        <v>35</v>
      </c>
      <c r="M240" t="s">
        <v>500</v>
      </c>
      <c r="N240" s="8">
        <v>46204</v>
      </c>
      <c r="P240" t="s">
        <v>638</v>
      </c>
      <c r="Q240" t="s">
        <v>178</v>
      </c>
      <c r="R240" t="s">
        <v>55</v>
      </c>
      <c r="S240" s="8">
        <v>46203</v>
      </c>
      <c r="T240" s="8">
        <v>46204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</row>
    <row r="241" spans="1:33" hidden="1" x14ac:dyDescent="0.25">
      <c r="A241">
        <v>686</v>
      </c>
      <c r="B241" t="s">
        <v>922</v>
      </c>
      <c r="C241" t="s">
        <v>919</v>
      </c>
      <c r="D241" t="s">
        <v>108</v>
      </c>
      <c r="E241" t="s">
        <v>53</v>
      </c>
      <c r="F241" s="8">
        <v>46210</v>
      </c>
      <c r="G241" s="8">
        <v>46210</v>
      </c>
      <c r="H241" s="4">
        <v>0</v>
      </c>
      <c r="J241">
        <v>685</v>
      </c>
      <c r="L241" t="s">
        <v>35</v>
      </c>
      <c r="M241" t="s">
        <v>400</v>
      </c>
      <c r="N241" s="8">
        <v>46205</v>
      </c>
      <c r="P241" t="s">
        <v>638</v>
      </c>
      <c r="Q241" t="s">
        <v>178</v>
      </c>
      <c r="R241" t="s">
        <v>55</v>
      </c>
      <c r="S241" s="8">
        <v>46204</v>
      </c>
      <c r="T241" s="8">
        <v>46205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</row>
    <row r="242" spans="1:33" hidden="1" x14ac:dyDescent="0.25">
      <c r="A242">
        <v>687</v>
      </c>
      <c r="B242" t="s">
        <v>923</v>
      </c>
      <c r="C242" t="s">
        <v>640</v>
      </c>
      <c r="D242" t="s">
        <v>924</v>
      </c>
      <c r="E242" t="s">
        <v>753</v>
      </c>
      <c r="F242" s="8">
        <v>46190</v>
      </c>
      <c r="G242" s="8">
        <v>46210</v>
      </c>
      <c r="H242" s="4">
        <v>0.8</v>
      </c>
      <c r="L242" t="s">
        <v>35</v>
      </c>
      <c r="M242" t="s">
        <v>324</v>
      </c>
      <c r="N242" s="8">
        <v>46210</v>
      </c>
      <c r="P242" t="s">
        <v>638</v>
      </c>
      <c r="Q242" t="s">
        <v>133</v>
      </c>
      <c r="R242" t="s">
        <v>55</v>
      </c>
      <c r="S242" s="8">
        <v>46191</v>
      </c>
      <c r="T242" s="8">
        <v>46210</v>
      </c>
      <c r="U242" t="s">
        <v>289</v>
      </c>
      <c r="V242">
        <v>0.8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hidden="1" x14ac:dyDescent="0.25">
      <c r="A243">
        <v>685</v>
      </c>
      <c r="B243" t="s">
        <v>921</v>
      </c>
      <c r="C243" t="s">
        <v>919</v>
      </c>
      <c r="D243" t="s">
        <v>102</v>
      </c>
      <c r="E243" t="s">
        <v>53</v>
      </c>
      <c r="F243" s="8">
        <v>46209</v>
      </c>
      <c r="G243" s="8">
        <v>46209</v>
      </c>
      <c r="H243" s="4">
        <v>0</v>
      </c>
      <c r="J243">
        <v>684</v>
      </c>
      <c r="K243">
        <v>686</v>
      </c>
      <c r="L243" t="s">
        <v>35</v>
      </c>
      <c r="M243" t="s">
        <v>500</v>
      </c>
      <c r="N243" s="8">
        <v>46204</v>
      </c>
      <c r="P243" t="s">
        <v>638</v>
      </c>
      <c r="Q243" t="s">
        <v>178</v>
      </c>
      <c r="R243" t="s">
        <v>55</v>
      </c>
      <c r="S243" s="8">
        <v>46203</v>
      </c>
      <c r="T243" s="8">
        <v>46204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</row>
    <row r="244" spans="1:33" hidden="1" x14ac:dyDescent="0.25">
      <c r="A244">
        <v>691</v>
      </c>
      <c r="B244" t="s">
        <v>929</v>
      </c>
      <c r="C244" t="s">
        <v>926</v>
      </c>
      <c r="D244" t="s">
        <v>108</v>
      </c>
      <c r="E244" t="s">
        <v>53</v>
      </c>
      <c r="F244" s="8">
        <v>46210</v>
      </c>
      <c r="G244" s="8">
        <v>46210</v>
      </c>
      <c r="H244" s="4">
        <v>0</v>
      </c>
      <c r="J244">
        <v>690</v>
      </c>
      <c r="L244" t="s">
        <v>35</v>
      </c>
      <c r="M244" t="s">
        <v>400</v>
      </c>
      <c r="N244" s="8">
        <v>46205</v>
      </c>
      <c r="P244" t="s">
        <v>638</v>
      </c>
      <c r="Q244" t="s">
        <v>178</v>
      </c>
      <c r="R244" t="s">
        <v>55</v>
      </c>
      <c r="S244" s="8">
        <v>46204</v>
      </c>
      <c r="T244" s="8">
        <v>46205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</row>
    <row r="245" spans="1:33" hidden="1" x14ac:dyDescent="0.25">
      <c r="A245">
        <v>690</v>
      </c>
      <c r="B245" t="s">
        <v>928</v>
      </c>
      <c r="C245" t="s">
        <v>926</v>
      </c>
      <c r="D245" t="s">
        <v>102</v>
      </c>
      <c r="E245" t="s">
        <v>53</v>
      </c>
      <c r="F245" s="8">
        <v>46209</v>
      </c>
      <c r="G245" s="8">
        <v>46209</v>
      </c>
      <c r="H245" s="4">
        <v>0</v>
      </c>
      <c r="J245">
        <v>689</v>
      </c>
      <c r="K245">
        <v>691</v>
      </c>
      <c r="L245" t="s">
        <v>35</v>
      </c>
      <c r="M245" t="s">
        <v>500</v>
      </c>
      <c r="N245" s="8">
        <v>46204</v>
      </c>
      <c r="P245" t="s">
        <v>638</v>
      </c>
      <c r="Q245" t="s">
        <v>178</v>
      </c>
      <c r="R245" t="s">
        <v>55</v>
      </c>
      <c r="S245" s="8">
        <v>46203</v>
      </c>
      <c r="T245" s="8">
        <v>46204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</row>
    <row r="246" spans="1:33" hidden="1" x14ac:dyDescent="0.25">
      <c r="A246">
        <v>694</v>
      </c>
      <c r="B246" t="s">
        <v>936</v>
      </c>
      <c r="C246" t="s">
        <v>933</v>
      </c>
      <c r="D246" t="s">
        <v>98</v>
      </c>
      <c r="E246" t="s">
        <v>53</v>
      </c>
      <c r="F246" s="8">
        <v>46217</v>
      </c>
      <c r="G246" s="8">
        <v>46217</v>
      </c>
      <c r="H246" s="4">
        <v>0</v>
      </c>
      <c r="J246">
        <v>693</v>
      </c>
      <c r="K246">
        <v>695</v>
      </c>
      <c r="L246" t="s">
        <v>180</v>
      </c>
      <c r="M246" t="s">
        <v>400</v>
      </c>
      <c r="N246" s="8">
        <v>46204</v>
      </c>
      <c r="P246" t="s">
        <v>638</v>
      </c>
      <c r="Q246" t="s">
        <v>178</v>
      </c>
      <c r="R246" t="s">
        <v>55</v>
      </c>
      <c r="S246" s="8">
        <v>46204</v>
      </c>
      <c r="T246" s="8">
        <v>46204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hidden="1" x14ac:dyDescent="0.25">
      <c r="A247">
        <v>695</v>
      </c>
      <c r="B247" t="s">
        <v>937</v>
      </c>
      <c r="C247" t="s">
        <v>933</v>
      </c>
      <c r="D247" t="s">
        <v>102</v>
      </c>
      <c r="E247" t="s">
        <v>121</v>
      </c>
      <c r="F247" s="8">
        <v>46218</v>
      </c>
      <c r="G247" s="8">
        <v>46219</v>
      </c>
      <c r="H247" s="4">
        <v>0</v>
      </c>
      <c r="J247">
        <v>694</v>
      </c>
      <c r="K247">
        <v>696</v>
      </c>
      <c r="L247" t="s">
        <v>183</v>
      </c>
      <c r="M247" t="s">
        <v>293</v>
      </c>
      <c r="N247" s="8">
        <v>46206</v>
      </c>
      <c r="P247" t="s">
        <v>638</v>
      </c>
      <c r="Q247" t="s">
        <v>178</v>
      </c>
      <c r="R247" t="s">
        <v>55</v>
      </c>
      <c r="S247" s="8">
        <v>46205</v>
      </c>
      <c r="T247" s="8">
        <v>46206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hidden="1" x14ac:dyDescent="0.25">
      <c r="A248">
        <v>697</v>
      </c>
      <c r="B248" t="s">
        <v>939</v>
      </c>
      <c r="C248" t="s">
        <v>640</v>
      </c>
      <c r="D248" t="s">
        <v>940</v>
      </c>
      <c r="E248" t="s">
        <v>171</v>
      </c>
      <c r="F248" s="8">
        <v>46205</v>
      </c>
      <c r="G248" s="8">
        <v>46218</v>
      </c>
      <c r="H248" s="4">
        <v>0.5</v>
      </c>
      <c r="L248" t="s">
        <v>35</v>
      </c>
      <c r="M248" t="s">
        <v>396</v>
      </c>
      <c r="N248" s="8">
        <v>46209</v>
      </c>
      <c r="P248" t="s">
        <v>638</v>
      </c>
      <c r="Q248" t="s">
        <v>133</v>
      </c>
      <c r="R248" t="s">
        <v>55</v>
      </c>
      <c r="S248" s="8">
        <v>46199</v>
      </c>
      <c r="T248" s="8">
        <v>46209</v>
      </c>
      <c r="U248" t="s">
        <v>289</v>
      </c>
      <c r="V248">
        <v>0.5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hidden="1" x14ac:dyDescent="0.25">
      <c r="A249">
        <v>699</v>
      </c>
      <c r="B249" t="s">
        <v>944</v>
      </c>
      <c r="C249" t="s">
        <v>942</v>
      </c>
      <c r="D249" t="s">
        <v>98</v>
      </c>
      <c r="E249" t="s">
        <v>53</v>
      </c>
      <c r="F249" s="8">
        <v>46211</v>
      </c>
      <c r="G249" s="8">
        <v>46211</v>
      </c>
      <c r="H249" s="4">
        <v>0</v>
      </c>
      <c r="J249">
        <v>698</v>
      </c>
      <c r="K249">
        <v>700</v>
      </c>
      <c r="L249" t="s">
        <v>35</v>
      </c>
      <c r="M249" t="s">
        <v>400</v>
      </c>
      <c r="N249" s="8">
        <v>46204</v>
      </c>
      <c r="P249" t="s">
        <v>638</v>
      </c>
      <c r="Q249" t="s">
        <v>178</v>
      </c>
      <c r="R249" t="s">
        <v>55</v>
      </c>
      <c r="S249" s="8">
        <v>46204</v>
      </c>
      <c r="T249" s="8">
        <v>46204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hidden="1" x14ac:dyDescent="0.25">
      <c r="A250">
        <v>700</v>
      </c>
      <c r="B250" t="s">
        <v>945</v>
      </c>
      <c r="C250" t="s">
        <v>942</v>
      </c>
      <c r="D250" t="s">
        <v>102</v>
      </c>
      <c r="E250" t="s">
        <v>121</v>
      </c>
      <c r="F250" s="8">
        <v>46216</v>
      </c>
      <c r="G250" s="8">
        <v>46217</v>
      </c>
      <c r="H250" s="4">
        <v>0</v>
      </c>
      <c r="J250">
        <v>699</v>
      </c>
      <c r="K250">
        <v>701</v>
      </c>
      <c r="L250" t="s">
        <v>35</v>
      </c>
      <c r="M250" t="s">
        <v>293</v>
      </c>
      <c r="N250" s="8">
        <v>46206</v>
      </c>
      <c r="P250" t="s">
        <v>638</v>
      </c>
      <c r="Q250" t="s">
        <v>178</v>
      </c>
      <c r="R250" t="s">
        <v>55</v>
      </c>
      <c r="S250" s="8">
        <v>46205</v>
      </c>
      <c r="T250" s="8">
        <v>46206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</row>
    <row r="251" spans="1:33" hidden="1" x14ac:dyDescent="0.25">
      <c r="A251">
        <v>701</v>
      </c>
      <c r="B251" t="s">
        <v>946</v>
      </c>
      <c r="C251" t="s">
        <v>942</v>
      </c>
      <c r="D251" t="s">
        <v>108</v>
      </c>
      <c r="E251" t="s">
        <v>53</v>
      </c>
      <c r="F251" s="8">
        <v>46218</v>
      </c>
      <c r="G251" s="8">
        <v>46218</v>
      </c>
      <c r="H251" s="4">
        <v>0</v>
      </c>
      <c r="J251">
        <v>700</v>
      </c>
      <c r="L251" t="s">
        <v>183</v>
      </c>
      <c r="M251" t="s">
        <v>194</v>
      </c>
      <c r="N251" s="8">
        <v>46209</v>
      </c>
      <c r="P251" t="s">
        <v>638</v>
      </c>
      <c r="Q251" t="s">
        <v>146</v>
      </c>
      <c r="R251" t="s">
        <v>55</v>
      </c>
      <c r="S251" s="8">
        <v>46209</v>
      </c>
      <c r="T251" s="8">
        <v>46209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hidden="1" x14ac:dyDescent="0.25">
      <c r="A252">
        <v>702</v>
      </c>
      <c r="B252" t="s">
        <v>947</v>
      </c>
      <c r="C252" t="s">
        <v>640</v>
      </c>
      <c r="D252" t="s">
        <v>948</v>
      </c>
      <c r="E252" t="s">
        <v>642</v>
      </c>
      <c r="F252" s="8">
        <v>46204</v>
      </c>
      <c r="G252" s="8">
        <v>46218</v>
      </c>
      <c r="H252" s="4">
        <v>0.56000000000000005</v>
      </c>
      <c r="L252" t="s">
        <v>35</v>
      </c>
      <c r="M252" t="s">
        <v>396</v>
      </c>
      <c r="N252" s="8">
        <v>46209</v>
      </c>
      <c r="P252" t="s">
        <v>638</v>
      </c>
      <c r="Q252" t="s">
        <v>133</v>
      </c>
      <c r="R252" t="s">
        <v>55</v>
      </c>
      <c r="S252" s="8">
        <v>46199</v>
      </c>
      <c r="T252" s="8">
        <v>46209</v>
      </c>
      <c r="V252">
        <v>0.56000000000000005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hidden="1" x14ac:dyDescent="0.25">
      <c r="A253">
        <v>704</v>
      </c>
      <c r="B253" t="s">
        <v>952</v>
      </c>
      <c r="C253" t="s">
        <v>950</v>
      </c>
      <c r="D253" t="s">
        <v>98</v>
      </c>
      <c r="E253" t="s">
        <v>53</v>
      </c>
      <c r="F253" s="8">
        <v>46211</v>
      </c>
      <c r="G253" s="8">
        <v>46211</v>
      </c>
      <c r="H253" s="4">
        <v>0</v>
      </c>
      <c r="J253">
        <v>703</v>
      </c>
      <c r="K253">
        <v>705</v>
      </c>
      <c r="L253" t="s">
        <v>35</v>
      </c>
      <c r="M253" t="s">
        <v>400</v>
      </c>
      <c r="N253" s="8">
        <v>46204</v>
      </c>
      <c r="P253" t="s">
        <v>638</v>
      </c>
      <c r="Q253" t="s">
        <v>178</v>
      </c>
      <c r="R253" t="s">
        <v>55</v>
      </c>
      <c r="S253" s="8">
        <v>46204</v>
      </c>
      <c r="T253" s="8">
        <v>46204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hidden="1" x14ac:dyDescent="0.25">
      <c r="A254">
        <v>705</v>
      </c>
      <c r="B254" t="s">
        <v>953</v>
      </c>
      <c r="C254" t="s">
        <v>950</v>
      </c>
      <c r="D254" t="s">
        <v>102</v>
      </c>
      <c r="E254" t="s">
        <v>121</v>
      </c>
      <c r="F254" s="8">
        <v>46216</v>
      </c>
      <c r="G254" s="8">
        <v>46217</v>
      </c>
      <c r="H254" s="4">
        <v>0</v>
      </c>
      <c r="J254">
        <v>704</v>
      </c>
      <c r="K254">
        <v>706</v>
      </c>
      <c r="L254" t="s">
        <v>35</v>
      </c>
      <c r="M254" t="s">
        <v>293</v>
      </c>
      <c r="N254" s="8">
        <v>46206</v>
      </c>
      <c r="P254" t="s">
        <v>638</v>
      </c>
      <c r="Q254" t="s">
        <v>178</v>
      </c>
      <c r="R254" t="s">
        <v>55</v>
      </c>
      <c r="S254" s="8">
        <v>46205</v>
      </c>
      <c r="T254" s="8">
        <v>46206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</row>
    <row r="255" spans="1:33" hidden="1" x14ac:dyDescent="0.25">
      <c r="A255">
        <v>706</v>
      </c>
      <c r="B255" t="s">
        <v>954</v>
      </c>
      <c r="C255" t="s">
        <v>950</v>
      </c>
      <c r="D255" t="s">
        <v>108</v>
      </c>
      <c r="E255" t="s">
        <v>53</v>
      </c>
      <c r="F255" s="8">
        <v>46218</v>
      </c>
      <c r="G255" s="8">
        <v>46218</v>
      </c>
      <c r="H255" s="4">
        <v>0</v>
      </c>
      <c r="J255">
        <v>705</v>
      </c>
      <c r="L255" t="s">
        <v>183</v>
      </c>
      <c r="M255" t="s">
        <v>194</v>
      </c>
      <c r="N255" s="8">
        <v>46209</v>
      </c>
      <c r="P255" t="s">
        <v>638</v>
      </c>
      <c r="Q255" t="s">
        <v>178</v>
      </c>
      <c r="R255" t="s">
        <v>55</v>
      </c>
      <c r="S255" s="8">
        <v>46209</v>
      </c>
      <c r="T255" s="8">
        <v>46209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hidden="1" x14ac:dyDescent="0.25">
      <c r="A256">
        <v>30</v>
      </c>
      <c r="B256" t="s">
        <v>977</v>
      </c>
      <c r="C256" t="s">
        <v>73</v>
      </c>
      <c r="D256" t="s">
        <v>978</v>
      </c>
      <c r="E256" t="s">
        <v>979</v>
      </c>
      <c r="F256" s="8">
        <v>46139</v>
      </c>
      <c r="G256" s="8">
        <v>46211</v>
      </c>
      <c r="H256" s="4">
        <v>0.16</v>
      </c>
      <c r="L256" t="s">
        <v>180</v>
      </c>
      <c r="M256" t="s">
        <v>36</v>
      </c>
      <c r="N256" s="8">
        <v>46211</v>
      </c>
      <c r="P256" t="s">
        <v>980</v>
      </c>
      <c r="Q256" t="s">
        <v>981</v>
      </c>
      <c r="R256" t="s">
        <v>55</v>
      </c>
      <c r="S256" s="8">
        <v>46139</v>
      </c>
      <c r="T256" s="8">
        <v>46211</v>
      </c>
      <c r="U256" t="s">
        <v>982</v>
      </c>
      <c r="V256">
        <v>0.16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hidden="1" x14ac:dyDescent="0.25">
      <c r="A257">
        <v>31</v>
      </c>
      <c r="B257" t="s">
        <v>983</v>
      </c>
      <c r="C257" t="s">
        <v>984</v>
      </c>
      <c r="D257" t="s">
        <v>985</v>
      </c>
      <c r="E257" t="s">
        <v>729</v>
      </c>
      <c r="F257" s="8">
        <v>46170</v>
      </c>
      <c r="G257" s="8">
        <v>46178</v>
      </c>
      <c r="H257" s="4">
        <v>0</v>
      </c>
      <c r="L257" t="s">
        <v>180</v>
      </c>
      <c r="M257" t="s">
        <v>149</v>
      </c>
      <c r="N257" s="8">
        <v>46175</v>
      </c>
      <c r="P257" t="s">
        <v>980</v>
      </c>
      <c r="Q257" t="s">
        <v>981</v>
      </c>
      <c r="R257" t="s">
        <v>55</v>
      </c>
      <c r="S257" s="8">
        <v>46167</v>
      </c>
      <c r="T257" s="8">
        <v>46175</v>
      </c>
      <c r="U257" t="s">
        <v>982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hidden="1" x14ac:dyDescent="0.25">
      <c r="A258">
        <v>36</v>
      </c>
      <c r="B258" t="s">
        <v>986</v>
      </c>
      <c r="C258" t="s">
        <v>984</v>
      </c>
      <c r="D258" t="s">
        <v>987</v>
      </c>
      <c r="E258" t="s">
        <v>729</v>
      </c>
      <c r="F258" s="8">
        <v>46189</v>
      </c>
      <c r="G258" s="8">
        <v>46197</v>
      </c>
      <c r="H258" s="4">
        <v>0</v>
      </c>
      <c r="L258" t="s">
        <v>183</v>
      </c>
      <c r="M258" t="s">
        <v>263</v>
      </c>
      <c r="N258" s="8">
        <v>46192</v>
      </c>
      <c r="P258" t="s">
        <v>980</v>
      </c>
      <c r="Q258" t="s">
        <v>981</v>
      </c>
      <c r="R258" t="s">
        <v>55</v>
      </c>
      <c r="S258" s="8">
        <v>46184</v>
      </c>
      <c r="T258" s="8">
        <v>46192</v>
      </c>
      <c r="U258" t="s">
        <v>982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hidden="1" x14ac:dyDescent="0.25">
      <c r="A259">
        <v>41</v>
      </c>
      <c r="B259" t="s">
        <v>988</v>
      </c>
      <c r="C259" t="s">
        <v>984</v>
      </c>
      <c r="D259" t="s">
        <v>989</v>
      </c>
      <c r="E259" t="s">
        <v>175</v>
      </c>
      <c r="F259" s="8">
        <v>46205</v>
      </c>
      <c r="G259" s="8">
        <v>46211</v>
      </c>
      <c r="H259" s="4">
        <v>0</v>
      </c>
      <c r="L259" t="s">
        <v>183</v>
      </c>
      <c r="M259" t="s">
        <v>500</v>
      </c>
      <c r="N259" s="8">
        <v>46211</v>
      </c>
      <c r="P259" t="s">
        <v>980</v>
      </c>
      <c r="Q259" t="s">
        <v>981</v>
      </c>
      <c r="R259" t="s">
        <v>55</v>
      </c>
      <c r="S259" s="8">
        <v>46203</v>
      </c>
      <c r="T259" s="8">
        <v>46211</v>
      </c>
      <c r="U259" t="s">
        <v>982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hidden="1" x14ac:dyDescent="0.25">
      <c r="A260">
        <v>46</v>
      </c>
      <c r="B260" t="s">
        <v>990</v>
      </c>
      <c r="C260" t="s">
        <v>984</v>
      </c>
      <c r="D260" t="s">
        <v>991</v>
      </c>
      <c r="E260" t="s">
        <v>992</v>
      </c>
      <c r="F260" s="8">
        <v>46139</v>
      </c>
      <c r="G260" s="8">
        <v>46189</v>
      </c>
      <c r="H260" s="4">
        <v>0.56999999999999995</v>
      </c>
      <c r="L260" t="s">
        <v>180</v>
      </c>
      <c r="M260" t="s">
        <v>36</v>
      </c>
      <c r="N260" s="8">
        <v>46189</v>
      </c>
      <c r="P260" t="s">
        <v>980</v>
      </c>
      <c r="Q260" t="s">
        <v>981</v>
      </c>
      <c r="R260" t="s">
        <v>55</v>
      </c>
      <c r="S260" s="8">
        <v>46139</v>
      </c>
      <c r="T260" s="8">
        <v>46189</v>
      </c>
      <c r="U260" t="s">
        <v>982</v>
      </c>
      <c r="V260">
        <v>0.56999999999999995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hidden="1" x14ac:dyDescent="0.25">
      <c r="A261">
        <v>194</v>
      </c>
      <c r="B261" t="s">
        <v>993</v>
      </c>
      <c r="C261" t="s">
        <v>381</v>
      </c>
      <c r="D261" t="s">
        <v>994</v>
      </c>
      <c r="E261" t="s">
        <v>729</v>
      </c>
      <c r="F261" s="8">
        <v>46204</v>
      </c>
      <c r="G261" s="8">
        <v>46212</v>
      </c>
      <c r="H261" s="4">
        <v>0</v>
      </c>
      <c r="L261" t="s">
        <v>183</v>
      </c>
      <c r="M261" t="s">
        <v>500</v>
      </c>
      <c r="N261" s="8">
        <v>46211</v>
      </c>
      <c r="P261" t="s">
        <v>379</v>
      </c>
      <c r="Q261" t="s">
        <v>981</v>
      </c>
      <c r="R261" t="s">
        <v>39</v>
      </c>
      <c r="S261" s="8">
        <v>46203</v>
      </c>
      <c r="T261" s="8">
        <v>46211</v>
      </c>
      <c r="U261" t="s">
        <v>982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hidden="1" x14ac:dyDescent="0.25">
      <c r="A262">
        <v>199</v>
      </c>
      <c r="B262" t="s">
        <v>995</v>
      </c>
      <c r="C262" t="s">
        <v>381</v>
      </c>
      <c r="D262" t="s">
        <v>996</v>
      </c>
      <c r="E262" t="s">
        <v>729</v>
      </c>
      <c r="F262" s="8">
        <v>46197</v>
      </c>
      <c r="G262" s="8">
        <v>46205</v>
      </c>
      <c r="H262" s="4">
        <v>0</v>
      </c>
      <c r="L262" t="s">
        <v>183</v>
      </c>
      <c r="M262" t="s">
        <v>392</v>
      </c>
      <c r="N262" s="8">
        <v>46204</v>
      </c>
      <c r="P262" t="s">
        <v>379</v>
      </c>
      <c r="Q262" t="s">
        <v>981</v>
      </c>
      <c r="R262" t="s">
        <v>39</v>
      </c>
      <c r="S262" s="8">
        <v>46196</v>
      </c>
      <c r="T262" s="8">
        <v>46204</v>
      </c>
      <c r="U262" t="s">
        <v>982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hidden="1" x14ac:dyDescent="0.25">
      <c r="A263">
        <v>204</v>
      </c>
      <c r="B263" t="s">
        <v>997</v>
      </c>
      <c r="C263" t="s">
        <v>381</v>
      </c>
      <c r="D263" t="s">
        <v>998</v>
      </c>
      <c r="E263" t="s">
        <v>729</v>
      </c>
      <c r="F263" s="8">
        <v>46197</v>
      </c>
      <c r="G263" s="8">
        <v>46205</v>
      </c>
      <c r="H263" s="4">
        <v>0</v>
      </c>
      <c r="L263" t="s">
        <v>183</v>
      </c>
      <c r="M263" t="s">
        <v>392</v>
      </c>
      <c r="N263" s="8">
        <v>46204</v>
      </c>
      <c r="P263" t="s">
        <v>379</v>
      </c>
      <c r="Q263" t="s">
        <v>981</v>
      </c>
      <c r="R263" t="s">
        <v>55</v>
      </c>
      <c r="S263" s="8">
        <v>46196</v>
      </c>
      <c r="T263" s="8">
        <v>46204</v>
      </c>
      <c r="U263" t="s">
        <v>982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hidden="1" x14ac:dyDescent="0.25">
      <c r="A264">
        <v>214</v>
      </c>
      <c r="B264" t="s">
        <v>999</v>
      </c>
      <c r="C264" t="s">
        <v>381</v>
      </c>
      <c r="D264" t="s">
        <v>1000</v>
      </c>
      <c r="E264" t="s">
        <v>729</v>
      </c>
      <c r="F264" s="8">
        <v>46192</v>
      </c>
      <c r="G264" s="8">
        <v>46202</v>
      </c>
      <c r="H264" s="4">
        <v>0</v>
      </c>
      <c r="L264" t="s">
        <v>183</v>
      </c>
      <c r="M264" t="s">
        <v>324</v>
      </c>
      <c r="N264" s="8">
        <v>46199</v>
      </c>
      <c r="P264" t="s">
        <v>379</v>
      </c>
      <c r="Q264" t="s">
        <v>981</v>
      </c>
      <c r="R264" t="s">
        <v>39</v>
      </c>
      <c r="S264" s="8">
        <v>46191</v>
      </c>
      <c r="T264" s="8">
        <v>46199</v>
      </c>
      <c r="U264" t="s">
        <v>982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hidden="1" x14ac:dyDescent="0.25">
      <c r="A265">
        <v>224</v>
      </c>
      <c r="B265" t="s">
        <v>1001</v>
      </c>
      <c r="C265" t="s">
        <v>381</v>
      </c>
      <c r="D265" t="s">
        <v>1002</v>
      </c>
      <c r="E265" t="s">
        <v>103</v>
      </c>
      <c r="F265" s="8">
        <v>46176</v>
      </c>
      <c r="G265" s="8">
        <v>46183</v>
      </c>
      <c r="H265" s="4">
        <v>0</v>
      </c>
      <c r="L265" t="s">
        <v>183</v>
      </c>
      <c r="M265" t="s">
        <v>142</v>
      </c>
      <c r="N265" s="8">
        <v>46169</v>
      </c>
      <c r="P265" t="s">
        <v>379</v>
      </c>
      <c r="Q265" t="s">
        <v>981</v>
      </c>
      <c r="R265" t="s">
        <v>55</v>
      </c>
      <c r="S265" s="8">
        <v>46162</v>
      </c>
      <c r="T265" s="8">
        <v>46169</v>
      </c>
      <c r="U265" t="s">
        <v>982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hidden="1" x14ac:dyDescent="0.25">
      <c r="A266">
        <v>264</v>
      </c>
      <c r="B266" t="s">
        <v>443</v>
      </c>
      <c r="C266" t="s">
        <v>381</v>
      </c>
      <c r="D266" t="s">
        <v>1003</v>
      </c>
      <c r="E266" t="s">
        <v>1004</v>
      </c>
      <c r="F266" s="8">
        <v>46171</v>
      </c>
      <c r="G266" s="8">
        <v>46190</v>
      </c>
      <c r="H266" s="4">
        <v>0</v>
      </c>
      <c r="L266" t="s">
        <v>183</v>
      </c>
      <c r="M266" t="s">
        <v>172</v>
      </c>
      <c r="N266" s="8">
        <v>46189</v>
      </c>
      <c r="P266" t="s">
        <v>379</v>
      </c>
      <c r="Q266" t="s">
        <v>981</v>
      </c>
      <c r="R266" t="s">
        <v>55</v>
      </c>
      <c r="S266" s="8">
        <v>46170</v>
      </c>
      <c r="T266" s="8">
        <v>46189</v>
      </c>
      <c r="U266" t="s">
        <v>982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hidden="1" x14ac:dyDescent="0.25">
      <c r="A267">
        <v>285</v>
      </c>
      <c r="B267" t="s">
        <v>1005</v>
      </c>
      <c r="C267" t="s">
        <v>486</v>
      </c>
      <c r="D267" t="s">
        <v>1006</v>
      </c>
      <c r="E267" t="s">
        <v>103</v>
      </c>
      <c r="F267" s="8">
        <v>46199</v>
      </c>
      <c r="G267" s="8">
        <v>46206</v>
      </c>
      <c r="H267" s="4">
        <v>0</v>
      </c>
      <c r="L267" t="s">
        <v>183</v>
      </c>
      <c r="M267" t="s">
        <v>396</v>
      </c>
      <c r="N267" s="8">
        <v>46206</v>
      </c>
      <c r="P267" t="s">
        <v>484</v>
      </c>
      <c r="Q267" t="s">
        <v>981</v>
      </c>
      <c r="R267" t="s">
        <v>55</v>
      </c>
      <c r="S267" s="8">
        <v>46199</v>
      </c>
      <c r="T267" s="8">
        <v>46206</v>
      </c>
      <c r="U267" t="s">
        <v>982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hidden="1" x14ac:dyDescent="0.25">
      <c r="A268">
        <v>356</v>
      </c>
      <c r="B268" t="s">
        <v>1007</v>
      </c>
      <c r="C268" t="s">
        <v>600</v>
      </c>
      <c r="D268" t="s">
        <v>1008</v>
      </c>
      <c r="E268" t="s">
        <v>1009</v>
      </c>
      <c r="F268" s="8">
        <v>46188</v>
      </c>
      <c r="G268" s="8">
        <v>46202</v>
      </c>
      <c r="H268" s="4">
        <v>0</v>
      </c>
      <c r="L268" t="s">
        <v>183</v>
      </c>
      <c r="M268" t="s">
        <v>265</v>
      </c>
      <c r="N268" s="8">
        <v>46202</v>
      </c>
      <c r="P268" t="s">
        <v>598</v>
      </c>
      <c r="Q268" t="s">
        <v>981</v>
      </c>
      <c r="R268" t="s">
        <v>55</v>
      </c>
      <c r="S268" s="8">
        <v>46188</v>
      </c>
      <c r="T268" s="8">
        <v>46202</v>
      </c>
      <c r="U268" t="s">
        <v>982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hidden="1" x14ac:dyDescent="0.25">
      <c r="A269">
        <v>366</v>
      </c>
      <c r="B269" t="s">
        <v>1010</v>
      </c>
      <c r="C269" t="s">
        <v>600</v>
      </c>
      <c r="D269" t="s">
        <v>1011</v>
      </c>
      <c r="E269" t="s">
        <v>729</v>
      </c>
      <c r="F269" s="8">
        <v>46195</v>
      </c>
      <c r="G269" s="8">
        <v>46203</v>
      </c>
      <c r="H269" s="4">
        <v>0</v>
      </c>
      <c r="L269" t="s">
        <v>183</v>
      </c>
      <c r="M269" t="s">
        <v>265</v>
      </c>
      <c r="N269" s="8">
        <v>46196</v>
      </c>
      <c r="P269" t="s">
        <v>598</v>
      </c>
      <c r="Q269" t="s">
        <v>981</v>
      </c>
      <c r="R269" t="s">
        <v>55</v>
      </c>
      <c r="S269" s="8">
        <v>46188</v>
      </c>
      <c r="T269" s="8">
        <v>46196</v>
      </c>
      <c r="U269" t="s">
        <v>982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hidden="1" x14ac:dyDescent="0.25">
      <c r="A270">
        <v>376</v>
      </c>
      <c r="B270" t="s">
        <v>1012</v>
      </c>
      <c r="C270" t="s">
        <v>600</v>
      </c>
      <c r="D270" t="s">
        <v>1013</v>
      </c>
      <c r="E270" t="s">
        <v>103</v>
      </c>
      <c r="F270" s="8">
        <v>46203</v>
      </c>
      <c r="G270" s="8">
        <v>46210</v>
      </c>
      <c r="H270" s="4">
        <v>0</v>
      </c>
      <c r="L270" t="s">
        <v>183</v>
      </c>
      <c r="M270" t="s">
        <v>500</v>
      </c>
      <c r="N270" s="8">
        <v>46210</v>
      </c>
      <c r="P270" t="s">
        <v>598</v>
      </c>
      <c r="Q270" t="s">
        <v>981</v>
      </c>
      <c r="R270" t="s">
        <v>55</v>
      </c>
      <c r="S270" s="8">
        <v>46203</v>
      </c>
      <c r="T270" s="8">
        <v>46210</v>
      </c>
      <c r="U270" t="s">
        <v>982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hidden="1" x14ac:dyDescent="0.25">
      <c r="A271">
        <v>381</v>
      </c>
      <c r="B271" t="s">
        <v>1014</v>
      </c>
      <c r="C271" t="s">
        <v>600</v>
      </c>
      <c r="D271" t="s">
        <v>1015</v>
      </c>
      <c r="E271" t="s">
        <v>590</v>
      </c>
      <c r="F271" s="8">
        <v>46205</v>
      </c>
      <c r="G271" s="8">
        <v>46211</v>
      </c>
      <c r="H271" s="4">
        <v>0</v>
      </c>
      <c r="L271" t="s">
        <v>183</v>
      </c>
      <c r="M271" t="s">
        <v>293</v>
      </c>
      <c r="N271" s="8">
        <v>46211</v>
      </c>
      <c r="P271" t="s">
        <v>598</v>
      </c>
      <c r="Q271" t="s">
        <v>981</v>
      </c>
      <c r="R271" t="s">
        <v>55</v>
      </c>
      <c r="S271" s="8">
        <v>46205</v>
      </c>
      <c r="T271" s="8">
        <v>46211</v>
      </c>
      <c r="U271" t="s">
        <v>982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hidden="1" x14ac:dyDescent="0.25">
      <c r="A272">
        <v>396</v>
      </c>
      <c r="B272" t="s">
        <v>1016</v>
      </c>
      <c r="C272" t="s">
        <v>600</v>
      </c>
      <c r="D272" t="s">
        <v>1017</v>
      </c>
      <c r="E272" t="s">
        <v>729</v>
      </c>
      <c r="F272" s="8">
        <v>46197</v>
      </c>
      <c r="G272" s="8">
        <v>46205</v>
      </c>
      <c r="H272" s="4">
        <v>0</v>
      </c>
      <c r="L272" t="s">
        <v>183</v>
      </c>
      <c r="M272" t="s">
        <v>749</v>
      </c>
      <c r="N272" s="8">
        <v>46205</v>
      </c>
      <c r="P272" t="s">
        <v>598</v>
      </c>
      <c r="Q272" t="s">
        <v>981</v>
      </c>
      <c r="R272" t="s">
        <v>55</v>
      </c>
      <c r="S272" s="8">
        <v>46197</v>
      </c>
      <c r="T272" s="8">
        <v>46205</v>
      </c>
      <c r="U272" t="s">
        <v>982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hidden="1" x14ac:dyDescent="0.25">
      <c r="A273">
        <v>401</v>
      </c>
      <c r="B273" t="s">
        <v>1018</v>
      </c>
      <c r="C273" t="s">
        <v>600</v>
      </c>
      <c r="D273" t="s">
        <v>1019</v>
      </c>
      <c r="E273" t="s">
        <v>729</v>
      </c>
      <c r="F273" s="8">
        <v>46178</v>
      </c>
      <c r="G273" s="8">
        <v>46188</v>
      </c>
      <c r="H273" s="4">
        <v>0</v>
      </c>
      <c r="L273" t="s">
        <v>183</v>
      </c>
      <c r="M273" t="s">
        <v>256</v>
      </c>
      <c r="N273" s="8">
        <v>46181</v>
      </c>
      <c r="P273" t="s">
        <v>598</v>
      </c>
      <c r="Q273" t="s">
        <v>981</v>
      </c>
      <c r="R273" t="s">
        <v>55</v>
      </c>
      <c r="S273" s="8">
        <v>46171</v>
      </c>
      <c r="T273" s="8">
        <v>46181</v>
      </c>
      <c r="U273" t="s">
        <v>982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hidden="1" x14ac:dyDescent="0.25">
      <c r="A274">
        <v>406</v>
      </c>
      <c r="B274" t="s">
        <v>1020</v>
      </c>
      <c r="C274" t="s">
        <v>600</v>
      </c>
      <c r="D274" t="s">
        <v>1021</v>
      </c>
      <c r="E274" t="s">
        <v>259</v>
      </c>
      <c r="F274" s="8">
        <v>46197</v>
      </c>
      <c r="G274" s="8">
        <v>46206</v>
      </c>
      <c r="H274" s="4">
        <v>0</v>
      </c>
      <c r="L274" t="s">
        <v>183</v>
      </c>
      <c r="M274" t="s">
        <v>749</v>
      </c>
      <c r="N274" s="8">
        <v>46206</v>
      </c>
      <c r="P274" t="s">
        <v>598</v>
      </c>
      <c r="Q274" t="s">
        <v>981</v>
      </c>
      <c r="R274" t="s">
        <v>55</v>
      </c>
      <c r="S274" s="8">
        <v>46197</v>
      </c>
      <c r="T274" s="8">
        <v>46206</v>
      </c>
      <c r="U274" t="s">
        <v>982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hidden="1" x14ac:dyDescent="0.25">
      <c r="A275">
        <v>411</v>
      </c>
      <c r="B275" t="s">
        <v>1022</v>
      </c>
      <c r="C275" t="s">
        <v>600</v>
      </c>
      <c r="D275" t="s">
        <v>1023</v>
      </c>
      <c r="E275" t="s">
        <v>729</v>
      </c>
      <c r="F275" s="8">
        <v>46183</v>
      </c>
      <c r="G275" s="8">
        <v>46191</v>
      </c>
      <c r="H275" s="4">
        <v>0</v>
      </c>
      <c r="L275" t="s">
        <v>183</v>
      </c>
      <c r="M275" t="s">
        <v>181</v>
      </c>
      <c r="N275" s="8">
        <v>46184</v>
      </c>
      <c r="P275" t="s">
        <v>598</v>
      </c>
      <c r="Q275" t="s">
        <v>981</v>
      </c>
      <c r="R275" t="s">
        <v>55</v>
      </c>
      <c r="S275" s="8">
        <v>46176</v>
      </c>
      <c r="T275" s="8">
        <v>46184</v>
      </c>
      <c r="U275" t="s">
        <v>982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hidden="1" x14ac:dyDescent="0.25">
      <c r="A276">
        <v>432</v>
      </c>
      <c r="B276" t="s">
        <v>656</v>
      </c>
      <c r="C276" t="s">
        <v>640</v>
      </c>
      <c r="D276" t="s">
        <v>1024</v>
      </c>
      <c r="E276" t="s">
        <v>103</v>
      </c>
      <c r="F276" s="8">
        <v>46195</v>
      </c>
      <c r="G276" s="8">
        <v>46202</v>
      </c>
      <c r="H276" s="4">
        <v>0</v>
      </c>
      <c r="L276" t="s">
        <v>183</v>
      </c>
      <c r="M276" t="s">
        <v>265</v>
      </c>
      <c r="N276" s="8">
        <v>46196</v>
      </c>
      <c r="P276" t="s">
        <v>638</v>
      </c>
      <c r="Q276" t="s">
        <v>981</v>
      </c>
      <c r="R276" t="s">
        <v>55</v>
      </c>
      <c r="S276" s="8">
        <v>46188</v>
      </c>
      <c r="T276" s="8">
        <v>46196</v>
      </c>
      <c r="U276" t="s">
        <v>982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hidden="1" x14ac:dyDescent="0.25">
      <c r="A277">
        <v>437</v>
      </c>
      <c r="B277" t="s">
        <v>1025</v>
      </c>
      <c r="C277" t="s">
        <v>640</v>
      </c>
      <c r="D277" t="s">
        <v>1026</v>
      </c>
      <c r="E277" t="s">
        <v>103</v>
      </c>
      <c r="F277" s="8">
        <v>46202</v>
      </c>
      <c r="G277" s="8">
        <v>46209</v>
      </c>
      <c r="H277" s="4">
        <v>0</v>
      </c>
      <c r="L277" t="s">
        <v>183</v>
      </c>
      <c r="M277" t="s">
        <v>392</v>
      </c>
      <c r="N277" s="8">
        <v>46204</v>
      </c>
      <c r="P277" t="s">
        <v>638</v>
      </c>
      <c r="Q277" t="s">
        <v>981</v>
      </c>
      <c r="R277" t="s">
        <v>55</v>
      </c>
      <c r="S277" s="8">
        <v>46196</v>
      </c>
      <c r="T277" s="8">
        <v>46204</v>
      </c>
      <c r="U277" t="s">
        <v>982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hidden="1" x14ac:dyDescent="0.25">
      <c r="A278">
        <v>487</v>
      </c>
      <c r="B278" t="s">
        <v>724</v>
      </c>
      <c r="C278" t="s">
        <v>640</v>
      </c>
      <c r="D278" t="s">
        <v>1027</v>
      </c>
      <c r="E278" t="s">
        <v>103</v>
      </c>
      <c r="F278" s="8">
        <v>46202</v>
      </c>
      <c r="G278" s="8">
        <v>46209</v>
      </c>
      <c r="H278" s="4">
        <v>0</v>
      </c>
      <c r="L278" t="s">
        <v>183</v>
      </c>
      <c r="M278" t="s">
        <v>392</v>
      </c>
      <c r="N278" s="8">
        <v>46204</v>
      </c>
      <c r="P278" t="s">
        <v>638</v>
      </c>
      <c r="Q278" t="s">
        <v>981</v>
      </c>
      <c r="R278" t="s">
        <v>55</v>
      </c>
      <c r="S278" s="8">
        <v>46196</v>
      </c>
      <c r="T278" s="8">
        <v>46204</v>
      </c>
      <c r="U278" t="s">
        <v>982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hidden="1" x14ac:dyDescent="0.25">
      <c r="A279">
        <v>492</v>
      </c>
      <c r="B279" t="s">
        <v>1028</v>
      </c>
      <c r="C279" t="s">
        <v>640</v>
      </c>
      <c r="D279" t="s">
        <v>1029</v>
      </c>
      <c r="E279" t="s">
        <v>103</v>
      </c>
      <c r="F279" s="8">
        <v>46202</v>
      </c>
      <c r="G279" s="8">
        <v>46209</v>
      </c>
      <c r="H279" s="4">
        <v>0</v>
      </c>
      <c r="L279" t="s">
        <v>183</v>
      </c>
      <c r="M279" t="s">
        <v>392</v>
      </c>
      <c r="N279" s="8">
        <v>46204</v>
      </c>
      <c r="P279" t="s">
        <v>638</v>
      </c>
      <c r="Q279" t="s">
        <v>981</v>
      </c>
      <c r="R279" t="s">
        <v>55</v>
      </c>
      <c r="S279" s="8">
        <v>46196</v>
      </c>
      <c r="T279" s="8">
        <v>46204</v>
      </c>
      <c r="U279" t="s">
        <v>982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7"/>
  <sheetViews>
    <sheetView tabSelected="1" topLeftCell="D1" workbookViewId="0">
      <selection activeCell="I226" sqref="I226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10.28515625" bestFit="1" customWidth="1"/>
    <col min="4" max="4" width="28.140625" bestFit="1" customWidth="1"/>
    <col min="5" max="5" width="34.57031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2.140625" bestFit="1" customWidth="1"/>
    <col min="10" max="10" width="8.85546875" bestFit="1" customWidth="1"/>
    <col min="11" max="11" width="14.42578125" bestFit="1" customWidth="1"/>
    <col min="12" max="12" width="20.85546875" bestFit="1" customWidth="1"/>
  </cols>
  <sheetData>
    <row r="1" spans="1:12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4" t="s">
        <v>7</v>
      </c>
      <c r="H1" t="s">
        <v>14</v>
      </c>
      <c r="I1" t="s">
        <v>15</v>
      </c>
      <c r="J1" t="s">
        <v>17</v>
      </c>
      <c r="K1" t="s">
        <v>1050</v>
      </c>
      <c r="L1" t="s">
        <v>1052</v>
      </c>
    </row>
    <row r="2" spans="1:12" hidden="1" x14ac:dyDescent="0.25">
      <c r="A2" t="s">
        <v>38</v>
      </c>
      <c r="B2">
        <v>1</v>
      </c>
      <c r="C2">
        <v>1</v>
      </c>
      <c r="E2" t="s">
        <v>33</v>
      </c>
      <c r="F2" t="s">
        <v>35</v>
      </c>
      <c r="G2" s="4">
        <v>0.62</v>
      </c>
      <c r="I2" t="s">
        <v>37</v>
      </c>
      <c r="J2" t="s">
        <v>39</v>
      </c>
    </row>
    <row r="3" spans="1:12" hidden="1" x14ac:dyDescent="0.25">
      <c r="A3" t="s">
        <v>45</v>
      </c>
      <c r="B3">
        <v>2</v>
      </c>
      <c r="C3" t="s">
        <v>40</v>
      </c>
      <c r="D3" t="s">
        <v>41</v>
      </c>
      <c r="E3" t="s">
        <v>42</v>
      </c>
      <c r="F3" t="s">
        <v>35</v>
      </c>
      <c r="G3" s="4">
        <v>0.5</v>
      </c>
      <c r="I3" t="s">
        <v>37</v>
      </c>
      <c r="J3" t="s">
        <v>39</v>
      </c>
    </row>
    <row r="4" spans="1:12" hidden="1" x14ac:dyDescent="0.25">
      <c r="A4" t="s">
        <v>45</v>
      </c>
      <c r="B4">
        <v>3</v>
      </c>
      <c r="C4" t="s">
        <v>46</v>
      </c>
      <c r="D4" t="s">
        <v>47</v>
      </c>
      <c r="E4" t="s">
        <v>48</v>
      </c>
      <c r="F4" t="s">
        <v>35</v>
      </c>
      <c r="G4" s="4">
        <v>0.5</v>
      </c>
      <c r="I4" t="s">
        <v>49</v>
      </c>
      <c r="J4" t="s">
        <v>39</v>
      </c>
    </row>
    <row r="5" spans="1:12" hidden="1" x14ac:dyDescent="0.25">
      <c r="A5" t="s">
        <v>38</v>
      </c>
      <c r="B5">
        <v>4</v>
      </c>
      <c r="C5" t="s">
        <v>50</v>
      </c>
      <c r="D5" t="s">
        <v>51</v>
      </c>
      <c r="E5" t="s">
        <v>52</v>
      </c>
      <c r="F5" t="s">
        <v>35</v>
      </c>
      <c r="G5" s="4">
        <v>0</v>
      </c>
      <c r="I5" t="s">
        <v>49</v>
      </c>
      <c r="J5" t="s">
        <v>55</v>
      </c>
    </row>
    <row r="6" spans="1:12" hidden="1" x14ac:dyDescent="0.25">
      <c r="A6" t="s">
        <v>65</v>
      </c>
      <c r="B6">
        <v>8</v>
      </c>
      <c r="C6" t="s">
        <v>66</v>
      </c>
      <c r="D6" t="s">
        <v>51</v>
      </c>
      <c r="E6" t="s">
        <v>67</v>
      </c>
      <c r="F6" t="s">
        <v>35</v>
      </c>
      <c r="G6" s="4">
        <v>0</v>
      </c>
      <c r="I6" t="s">
        <v>49</v>
      </c>
      <c r="J6" t="s">
        <v>55</v>
      </c>
    </row>
    <row r="7" spans="1:12" hidden="1" x14ac:dyDescent="0.25">
      <c r="A7" t="s">
        <v>38</v>
      </c>
      <c r="B7">
        <v>9</v>
      </c>
      <c r="C7" t="s">
        <v>68</v>
      </c>
      <c r="D7" t="s">
        <v>51</v>
      </c>
      <c r="E7" t="s">
        <v>69</v>
      </c>
      <c r="F7" t="s">
        <v>35</v>
      </c>
      <c r="G7" s="4">
        <v>0</v>
      </c>
      <c r="I7" t="s">
        <v>49</v>
      </c>
      <c r="J7" t="s">
        <v>55</v>
      </c>
    </row>
    <row r="8" spans="1:12" hidden="1" x14ac:dyDescent="0.25">
      <c r="A8" t="s">
        <v>38</v>
      </c>
      <c r="B8">
        <v>10</v>
      </c>
      <c r="C8" t="s">
        <v>70</v>
      </c>
      <c r="D8" t="s">
        <v>41</v>
      </c>
      <c r="E8" t="s">
        <v>71</v>
      </c>
      <c r="F8" t="s">
        <v>35</v>
      </c>
      <c r="G8" s="4">
        <v>0.62</v>
      </c>
      <c r="I8" t="s">
        <v>37</v>
      </c>
      <c r="J8" t="s">
        <v>39</v>
      </c>
    </row>
    <row r="9" spans="1:12" hidden="1" x14ac:dyDescent="0.25">
      <c r="A9" t="s">
        <v>133</v>
      </c>
      <c r="B9">
        <v>51</v>
      </c>
      <c r="C9" t="s">
        <v>129</v>
      </c>
      <c r="D9" t="s">
        <v>73</v>
      </c>
      <c r="E9" t="s">
        <v>130</v>
      </c>
      <c r="F9" t="s">
        <v>35</v>
      </c>
      <c r="G9" s="4">
        <v>0.6</v>
      </c>
      <c r="I9" t="s">
        <v>132</v>
      </c>
      <c r="J9" t="s">
        <v>55</v>
      </c>
    </row>
    <row r="10" spans="1:12" hidden="1" x14ac:dyDescent="0.25">
      <c r="A10" t="s">
        <v>133</v>
      </c>
      <c r="B10">
        <v>62</v>
      </c>
      <c r="C10" t="s">
        <v>134</v>
      </c>
      <c r="D10" t="s">
        <v>135</v>
      </c>
      <c r="E10" t="s">
        <v>136</v>
      </c>
      <c r="F10" t="s">
        <v>35</v>
      </c>
      <c r="G10" s="4">
        <v>0.6</v>
      </c>
      <c r="I10" t="s">
        <v>132</v>
      </c>
      <c r="J10" t="s">
        <v>55</v>
      </c>
    </row>
    <row r="11" spans="1:12" x14ac:dyDescent="0.25">
      <c r="A11" t="s">
        <v>146</v>
      </c>
      <c r="B11">
        <v>89</v>
      </c>
      <c r="C11" t="s">
        <v>189</v>
      </c>
      <c r="D11" t="s">
        <v>190</v>
      </c>
      <c r="E11" t="s">
        <v>94</v>
      </c>
      <c r="F11" t="s">
        <v>35</v>
      </c>
      <c r="G11" s="4">
        <v>0</v>
      </c>
      <c r="I11" t="s">
        <v>154</v>
      </c>
      <c r="J11" t="s">
        <v>55</v>
      </c>
      <c r="K11" s="8">
        <v>46220</v>
      </c>
    </row>
    <row r="12" spans="1:12" hidden="1" x14ac:dyDescent="0.25">
      <c r="A12" t="s">
        <v>150</v>
      </c>
      <c r="B12">
        <v>66</v>
      </c>
      <c r="C12" t="s">
        <v>147</v>
      </c>
      <c r="D12" t="s">
        <v>138</v>
      </c>
      <c r="E12" t="s">
        <v>108</v>
      </c>
      <c r="F12" t="s">
        <v>35</v>
      </c>
      <c r="G12" s="4">
        <v>0</v>
      </c>
      <c r="I12" t="s">
        <v>132</v>
      </c>
      <c r="J12" t="s">
        <v>55</v>
      </c>
    </row>
    <row r="13" spans="1:12" hidden="1" x14ac:dyDescent="0.25">
      <c r="A13" t="s">
        <v>125</v>
      </c>
      <c r="B13">
        <v>67</v>
      </c>
      <c r="C13" t="s">
        <v>151</v>
      </c>
      <c r="D13" t="s">
        <v>73</v>
      </c>
      <c r="E13" t="s">
        <v>152</v>
      </c>
      <c r="F13" t="s">
        <v>35</v>
      </c>
      <c r="G13" s="4">
        <v>0.51</v>
      </c>
      <c r="I13" t="s">
        <v>154</v>
      </c>
      <c r="J13" t="s">
        <v>55</v>
      </c>
    </row>
    <row r="14" spans="1:12" hidden="1" x14ac:dyDescent="0.25">
      <c r="A14" t="s">
        <v>133</v>
      </c>
      <c r="B14">
        <v>83</v>
      </c>
      <c r="C14" t="s">
        <v>169</v>
      </c>
      <c r="D14" t="s">
        <v>156</v>
      </c>
      <c r="E14" t="s">
        <v>170</v>
      </c>
      <c r="F14" t="s">
        <v>35</v>
      </c>
      <c r="G14" s="4">
        <v>0.5</v>
      </c>
      <c r="I14" t="s">
        <v>154</v>
      </c>
      <c r="J14" t="s">
        <v>55</v>
      </c>
    </row>
    <row r="15" spans="1:12" hidden="1" x14ac:dyDescent="0.25">
      <c r="A15" t="s">
        <v>178</v>
      </c>
      <c r="B15">
        <v>85</v>
      </c>
      <c r="C15" t="s">
        <v>176</v>
      </c>
      <c r="D15" t="s">
        <v>174</v>
      </c>
      <c r="E15" t="s">
        <v>98</v>
      </c>
      <c r="F15" t="s">
        <v>35</v>
      </c>
      <c r="G15" s="4">
        <v>0</v>
      </c>
      <c r="I15" t="s">
        <v>154</v>
      </c>
      <c r="J15" t="s">
        <v>55</v>
      </c>
    </row>
    <row r="16" spans="1:12" x14ac:dyDescent="0.25">
      <c r="A16" t="s">
        <v>146</v>
      </c>
      <c r="B16">
        <v>94</v>
      </c>
      <c r="C16" t="s">
        <v>199</v>
      </c>
      <c r="D16" t="s">
        <v>200</v>
      </c>
      <c r="E16" t="s">
        <v>94</v>
      </c>
      <c r="F16" t="s">
        <v>35</v>
      </c>
      <c r="G16" s="4">
        <v>0</v>
      </c>
      <c r="I16" t="s">
        <v>154</v>
      </c>
      <c r="J16" t="s">
        <v>55</v>
      </c>
      <c r="K16" s="8">
        <v>46220</v>
      </c>
    </row>
    <row r="17" spans="1:11" hidden="1" x14ac:dyDescent="0.25">
      <c r="A17" t="s">
        <v>178</v>
      </c>
      <c r="B17">
        <v>87</v>
      </c>
      <c r="C17" t="s">
        <v>182</v>
      </c>
      <c r="D17" t="s">
        <v>174</v>
      </c>
      <c r="E17" t="s">
        <v>108</v>
      </c>
      <c r="F17" t="s">
        <v>183</v>
      </c>
      <c r="G17" s="4">
        <v>0</v>
      </c>
      <c r="I17" t="s">
        <v>154</v>
      </c>
      <c r="J17" t="s">
        <v>55</v>
      </c>
    </row>
    <row r="18" spans="1:11" hidden="1" x14ac:dyDescent="0.25">
      <c r="A18" t="s">
        <v>146</v>
      </c>
      <c r="B18">
        <v>88</v>
      </c>
      <c r="C18" t="s">
        <v>185</v>
      </c>
      <c r="D18" t="s">
        <v>156</v>
      </c>
      <c r="E18" t="s">
        <v>186</v>
      </c>
      <c r="F18" t="s">
        <v>35</v>
      </c>
      <c r="G18" s="4">
        <v>0</v>
      </c>
      <c r="I18" t="s">
        <v>154</v>
      </c>
      <c r="J18" t="s">
        <v>55</v>
      </c>
    </row>
    <row r="19" spans="1:11" x14ac:dyDescent="0.25">
      <c r="A19" t="s">
        <v>146</v>
      </c>
      <c r="B19">
        <v>99</v>
      </c>
      <c r="C19" t="s">
        <v>206</v>
      </c>
      <c r="D19" t="s">
        <v>207</v>
      </c>
      <c r="E19" t="s">
        <v>94</v>
      </c>
      <c r="F19" t="s">
        <v>35</v>
      </c>
      <c r="G19" s="4">
        <v>0</v>
      </c>
      <c r="I19" t="s">
        <v>154</v>
      </c>
      <c r="J19" t="s">
        <v>55</v>
      </c>
      <c r="K19" s="8">
        <v>46220</v>
      </c>
    </row>
    <row r="20" spans="1:11" hidden="1" x14ac:dyDescent="0.25">
      <c r="A20" t="s">
        <v>146</v>
      </c>
      <c r="B20">
        <v>90</v>
      </c>
      <c r="C20" t="s">
        <v>191</v>
      </c>
      <c r="D20" t="s">
        <v>190</v>
      </c>
      <c r="E20" t="s">
        <v>98</v>
      </c>
      <c r="F20" t="s">
        <v>183</v>
      </c>
      <c r="G20" s="4">
        <v>0</v>
      </c>
      <c r="I20" t="s">
        <v>154</v>
      </c>
      <c r="J20" t="s">
        <v>55</v>
      </c>
    </row>
    <row r="21" spans="1:11" x14ac:dyDescent="0.25">
      <c r="A21" t="s">
        <v>146</v>
      </c>
      <c r="B21">
        <v>104</v>
      </c>
      <c r="C21" t="s">
        <v>213</v>
      </c>
      <c r="D21" t="s">
        <v>214</v>
      </c>
      <c r="E21" t="s">
        <v>94</v>
      </c>
      <c r="F21" t="s">
        <v>35</v>
      </c>
      <c r="G21" s="4">
        <v>0</v>
      </c>
      <c r="I21" t="s">
        <v>154</v>
      </c>
      <c r="J21" t="s">
        <v>55</v>
      </c>
      <c r="K21" s="8">
        <v>46220</v>
      </c>
    </row>
    <row r="22" spans="1:11" hidden="1" x14ac:dyDescent="0.25">
      <c r="A22" t="s">
        <v>146</v>
      </c>
      <c r="B22">
        <v>93</v>
      </c>
      <c r="C22" t="s">
        <v>197</v>
      </c>
      <c r="D22" t="s">
        <v>156</v>
      </c>
      <c r="E22" t="s">
        <v>198</v>
      </c>
      <c r="F22" t="s">
        <v>35</v>
      </c>
      <c r="G22" s="4">
        <v>0</v>
      </c>
      <c r="I22" t="s">
        <v>154</v>
      </c>
      <c r="J22" t="s">
        <v>55</v>
      </c>
    </row>
    <row r="23" spans="1:11" x14ac:dyDescent="0.25">
      <c r="A23" t="s">
        <v>146</v>
      </c>
      <c r="B23">
        <v>109</v>
      </c>
      <c r="C23" t="s">
        <v>220</v>
      </c>
      <c r="D23" t="s">
        <v>221</v>
      </c>
      <c r="E23" t="s">
        <v>94</v>
      </c>
      <c r="F23" t="s">
        <v>35</v>
      </c>
      <c r="G23" s="4">
        <v>0</v>
      </c>
      <c r="I23" t="s">
        <v>154</v>
      </c>
      <c r="J23" t="s">
        <v>55</v>
      </c>
      <c r="K23" s="8">
        <v>46220</v>
      </c>
    </row>
    <row r="24" spans="1:11" hidden="1" x14ac:dyDescent="0.25">
      <c r="A24" t="s">
        <v>146</v>
      </c>
      <c r="B24">
        <v>95</v>
      </c>
      <c r="C24" t="s">
        <v>201</v>
      </c>
      <c r="D24" t="s">
        <v>200</v>
      </c>
      <c r="E24" t="s">
        <v>98</v>
      </c>
      <c r="F24" t="s">
        <v>183</v>
      </c>
      <c r="G24" s="4">
        <v>0</v>
      </c>
      <c r="I24" t="s">
        <v>154</v>
      </c>
      <c r="J24" t="s">
        <v>55</v>
      </c>
    </row>
    <row r="25" spans="1:11" x14ac:dyDescent="0.25">
      <c r="A25" t="s">
        <v>146</v>
      </c>
      <c r="B25">
        <v>114</v>
      </c>
      <c r="C25" t="s">
        <v>227</v>
      </c>
      <c r="D25" t="s">
        <v>228</v>
      </c>
      <c r="E25" t="s">
        <v>94</v>
      </c>
      <c r="F25" t="s">
        <v>35</v>
      </c>
      <c r="G25" s="4">
        <v>0</v>
      </c>
      <c r="I25" t="s">
        <v>154</v>
      </c>
      <c r="J25" t="s">
        <v>55</v>
      </c>
      <c r="K25" s="8">
        <v>46220</v>
      </c>
    </row>
    <row r="26" spans="1:11" hidden="1" x14ac:dyDescent="0.25">
      <c r="A26" t="s">
        <v>146</v>
      </c>
      <c r="B26">
        <v>98</v>
      </c>
      <c r="C26" t="s">
        <v>204</v>
      </c>
      <c r="D26" t="s">
        <v>156</v>
      </c>
      <c r="E26" t="s">
        <v>205</v>
      </c>
      <c r="F26" t="s">
        <v>35</v>
      </c>
      <c r="G26" s="4">
        <v>0</v>
      </c>
      <c r="I26" t="s">
        <v>154</v>
      </c>
      <c r="J26" t="s">
        <v>55</v>
      </c>
    </row>
    <row r="27" spans="1:11" x14ac:dyDescent="0.25">
      <c r="A27" t="s">
        <v>146</v>
      </c>
      <c r="B27">
        <v>119</v>
      </c>
      <c r="C27" t="s">
        <v>234</v>
      </c>
      <c r="D27" t="s">
        <v>235</v>
      </c>
      <c r="E27" t="s">
        <v>94</v>
      </c>
      <c r="F27" t="s">
        <v>35</v>
      </c>
      <c r="G27" s="4">
        <v>0</v>
      </c>
      <c r="I27" t="s">
        <v>154</v>
      </c>
      <c r="J27" t="s">
        <v>55</v>
      </c>
      <c r="K27" s="8">
        <v>46220</v>
      </c>
    </row>
    <row r="28" spans="1:11" hidden="1" x14ac:dyDescent="0.25">
      <c r="A28" t="s">
        <v>146</v>
      </c>
      <c r="B28">
        <v>100</v>
      </c>
      <c r="C28" t="s">
        <v>208</v>
      </c>
      <c r="D28" t="s">
        <v>207</v>
      </c>
      <c r="E28" t="s">
        <v>98</v>
      </c>
      <c r="F28" t="s">
        <v>183</v>
      </c>
      <c r="G28" s="4">
        <v>0</v>
      </c>
      <c r="I28" t="s">
        <v>154</v>
      </c>
      <c r="J28" t="s">
        <v>55</v>
      </c>
    </row>
    <row r="29" spans="1:11" x14ac:dyDescent="0.25">
      <c r="A29" t="s">
        <v>146</v>
      </c>
      <c r="B29">
        <v>124</v>
      </c>
      <c r="C29" t="s">
        <v>241</v>
      </c>
      <c r="D29" t="s">
        <v>242</v>
      </c>
      <c r="E29" t="s">
        <v>94</v>
      </c>
      <c r="F29" t="s">
        <v>35</v>
      </c>
      <c r="G29" s="4">
        <v>0</v>
      </c>
      <c r="I29" t="s">
        <v>154</v>
      </c>
      <c r="J29" t="s">
        <v>55</v>
      </c>
      <c r="K29" s="8">
        <v>46220</v>
      </c>
    </row>
    <row r="30" spans="1:11" hidden="1" x14ac:dyDescent="0.25">
      <c r="A30" t="s">
        <v>146</v>
      </c>
      <c r="B30">
        <v>103</v>
      </c>
      <c r="C30" t="s">
        <v>211</v>
      </c>
      <c r="D30" t="s">
        <v>156</v>
      </c>
      <c r="E30" t="s">
        <v>212</v>
      </c>
      <c r="F30" t="s">
        <v>35</v>
      </c>
      <c r="G30" s="4">
        <v>0</v>
      </c>
      <c r="I30" t="s">
        <v>154</v>
      </c>
      <c r="J30" t="s">
        <v>55</v>
      </c>
    </row>
    <row r="31" spans="1:11" x14ac:dyDescent="0.25">
      <c r="A31" t="s">
        <v>146</v>
      </c>
      <c r="B31">
        <v>129</v>
      </c>
      <c r="C31" t="s">
        <v>248</v>
      </c>
      <c r="D31" t="s">
        <v>249</v>
      </c>
      <c r="E31" t="s">
        <v>94</v>
      </c>
      <c r="F31" t="s">
        <v>35</v>
      </c>
      <c r="G31" s="4">
        <v>0</v>
      </c>
      <c r="I31" t="s">
        <v>154</v>
      </c>
      <c r="J31" t="s">
        <v>55</v>
      </c>
      <c r="K31" s="8">
        <v>46220</v>
      </c>
    </row>
    <row r="32" spans="1:11" hidden="1" x14ac:dyDescent="0.25">
      <c r="A32" t="s">
        <v>146</v>
      </c>
      <c r="B32">
        <v>105</v>
      </c>
      <c r="C32" t="s">
        <v>215</v>
      </c>
      <c r="D32" t="s">
        <v>214</v>
      </c>
      <c r="E32" t="s">
        <v>98</v>
      </c>
      <c r="F32" t="s">
        <v>183</v>
      </c>
      <c r="G32" s="4">
        <v>0</v>
      </c>
      <c r="I32" t="s">
        <v>154</v>
      </c>
      <c r="J32" t="s">
        <v>55</v>
      </c>
    </row>
    <row r="33" spans="1:11" x14ac:dyDescent="0.25">
      <c r="A33" t="s">
        <v>133</v>
      </c>
      <c r="B33">
        <v>189</v>
      </c>
      <c r="C33" t="s">
        <v>357</v>
      </c>
      <c r="D33" t="s">
        <v>358</v>
      </c>
      <c r="E33" t="s">
        <v>94</v>
      </c>
      <c r="F33" t="s">
        <v>35</v>
      </c>
      <c r="G33" s="4">
        <v>0</v>
      </c>
      <c r="I33" t="s">
        <v>154</v>
      </c>
      <c r="J33" t="s">
        <v>55</v>
      </c>
      <c r="K33" s="8">
        <v>46220</v>
      </c>
    </row>
    <row r="34" spans="1:11" hidden="1" x14ac:dyDescent="0.25">
      <c r="A34" t="s">
        <v>146</v>
      </c>
      <c r="B34">
        <v>108</v>
      </c>
      <c r="C34" t="s">
        <v>218</v>
      </c>
      <c r="D34" t="s">
        <v>156</v>
      </c>
      <c r="E34" t="s">
        <v>219</v>
      </c>
      <c r="F34" t="s">
        <v>35</v>
      </c>
      <c r="G34" s="4">
        <v>0</v>
      </c>
      <c r="I34" t="s">
        <v>154</v>
      </c>
      <c r="J34" t="s">
        <v>55</v>
      </c>
    </row>
    <row r="35" spans="1:11" x14ac:dyDescent="0.25">
      <c r="A35" t="s">
        <v>133</v>
      </c>
      <c r="B35">
        <v>199</v>
      </c>
      <c r="C35" t="s">
        <v>372</v>
      </c>
      <c r="D35" t="s">
        <v>373</v>
      </c>
      <c r="E35" t="s">
        <v>94</v>
      </c>
      <c r="F35" t="s">
        <v>35</v>
      </c>
      <c r="G35" s="4">
        <v>0</v>
      </c>
      <c r="I35" t="s">
        <v>154</v>
      </c>
      <c r="J35" t="s">
        <v>55</v>
      </c>
      <c r="K35" s="8">
        <v>46220</v>
      </c>
    </row>
    <row r="36" spans="1:11" hidden="1" x14ac:dyDescent="0.25">
      <c r="A36" t="s">
        <v>146</v>
      </c>
      <c r="B36">
        <v>110</v>
      </c>
      <c r="C36" t="s">
        <v>222</v>
      </c>
      <c r="D36" t="s">
        <v>221</v>
      </c>
      <c r="E36" t="s">
        <v>98</v>
      </c>
      <c r="F36" t="s">
        <v>183</v>
      </c>
      <c r="G36" s="4">
        <v>0</v>
      </c>
      <c r="I36" t="s">
        <v>154</v>
      </c>
      <c r="J36" t="s">
        <v>55</v>
      </c>
    </row>
    <row r="37" spans="1:11" hidden="1" x14ac:dyDescent="0.25">
      <c r="A37" t="s">
        <v>146</v>
      </c>
      <c r="B37">
        <v>235</v>
      </c>
      <c r="C37" t="s">
        <v>393</v>
      </c>
      <c r="D37" t="s">
        <v>394</v>
      </c>
      <c r="E37" t="s">
        <v>94</v>
      </c>
      <c r="F37" t="s">
        <v>35</v>
      </c>
      <c r="G37" s="4">
        <v>0</v>
      </c>
      <c r="I37" t="s">
        <v>379</v>
      </c>
      <c r="J37" t="s">
        <v>55</v>
      </c>
      <c r="K37" s="8">
        <v>46220</v>
      </c>
    </row>
    <row r="38" spans="1:11" hidden="1" x14ac:dyDescent="0.25">
      <c r="A38" t="s">
        <v>146</v>
      </c>
      <c r="B38">
        <v>113</v>
      </c>
      <c r="C38" t="s">
        <v>225</v>
      </c>
      <c r="D38" t="s">
        <v>156</v>
      </c>
      <c r="E38" t="s">
        <v>226</v>
      </c>
      <c r="F38" t="s">
        <v>35</v>
      </c>
      <c r="G38" s="4">
        <v>0</v>
      </c>
      <c r="I38" t="s">
        <v>154</v>
      </c>
      <c r="J38" t="s">
        <v>55</v>
      </c>
    </row>
    <row r="39" spans="1:11" hidden="1" x14ac:dyDescent="0.25">
      <c r="A39" t="s">
        <v>150</v>
      </c>
      <c r="B39">
        <v>336</v>
      </c>
      <c r="C39" t="s">
        <v>501</v>
      </c>
      <c r="D39" t="s">
        <v>502</v>
      </c>
      <c r="E39" t="s">
        <v>94</v>
      </c>
      <c r="F39" t="s">
        <v>35</v>
      </c>
      <c r="G39" s="4">
        <v>0</v>
      </c>
      <c r="I39" t="s">
        <v>484</v>
      </c>
      <c r="J39" t="s">
        <v>55</v>
      </c>
      <c r="K39" s="8">
        <v>46219</v>
      </c>
    </row>
    <row r="40" spans="1:11" hidden="1" x14ac:dyDescent="0.25">
      <c r="A40" t="s">
        <v>146</v>
      </c>
      <c r="B40">
        <v>115</v>
      </c>
      <c r="C40" t="s">
        <v>229</v>
      </c>
      <c r="D40" t="s">
        <v>228</v>
      </c>
      <c r="E40" t="s">
        <v>98</v>
      </c>
      <c r="F40" t="s">
        <v>183</v>
      </c>
      <c r="G40" s="4">
        <v>0</v>
      </c>
      <c r="I40" t="s">
        <v>154</v>
      </c>
      <c r="J40" t="s">
        <v>55</v>
      </c>
    </row>
    <row r="41" spans="1:11" hidden="1" x14ac:dyDescent="0.25">
      <c r="A41" t="s">
        <v>146</v>
      </c>
      <c r="B41">
        <v>351</v>
      </c>
      <c r="C41" t="s">
        <v>518</v>
      </c>
      <c r="D41" t="s">
        <v>519</v>
      </c>
      <c r="E41" t="s">
        <v>94</v>
      </c>
      <c r="F41" t="s">
        <v>183</v>
      </c>
      <c r="G41" s="4">
        <v>0</v>
      </c>
      <c r="I41" t="s">
        <v>484</v>
      </c>
      <c r="J41" t="s">
        <v>55</v>
      </c>
      <c r="K41" s="8">
        <v>46220</v>
      </c>
    </row>
    <row r="42" spans="1:11" hidden="1" x14ac:dyDescent="0.25">
      <c r="A42" t="s">
        <v>146</v>
      </c>
      <c r="B42">
        <v>118</v>
      </c>
      <c r="C42" t="s">
        <v>232</v>
      </c>
      <c r="D42" t="s">
        <v>156</v>
      </c>
      <c r="E42" t="s">
        <v>233</v>
      </c>
      <c r="F42" t="s">
        <v>35</v>
      </c>
      <c r="G42" s="4">
        <v>0</v>
      </c>
      <c r="I42" t="s">
        <v>154</v>
      </c>
      <c r="J42" t="s">
        <v>55</v>
      </c>
    </row>
    <row r="43" spans="1:11" hidden="1" x14ac:dyDescent="0.25">
      <c r="A43" t="s">
        <v>146</v>
      </c>
      <c r="B43">
        <v>356</v>
      </c>
      <c r="C43" t="s">
        <v>525</v>
      </c>
      <c r="D43" t="s">
        <v>526</v>
      </c>
      <c r="E43" t="s">
        <v>94</v>
      </c>
      <c r="F43" t="s">
        <v>183</v>
      </c>
      <c r="G43" s="4">
        <v>0</v>
      </c>
      <c r="I43" t="s">
        <v>484</v>
      </c>
      <c r="J43" t="s">
        <v>55</v>
      </c>
      <c r="K43" s="8">
        <v>46220</v>
      </c>
    </row>
    <row r="44" spans="1:11" hidden="1" x14ac:dyDescent="0.25">
      <c r="A44" t="s">
        <v>146</v>
      </c>
      <c r="B44">
        <v>120</v>
      </c>
      <c r="C44" t="s">
        <v>236</v>
      </c>
      <c r="D44" t="s">
        <v>235</v>
      </c>
      <c r="E44" t="s">
        <v>98</v>
      </c>
      <c r="F44" t="s">
        <v>183</v>
      </c>
      <c r="G44" s="4">
        <v>0</v>
      </c>
      <c r="I44" t="s">
        <v>154</v>
      </c>
      <c r="J44" t="s">
        <v>55</v>
      </c>
    </row>
    <row r="45" spans="1:11" hidden="1" x14ac:dyDescent="0.25">
      <c r="A45" t="s">
        <v>146</v>
      </c>
      <c r="B45">
        <v>361</v>
      </c>
      <c r="C45" t="s">
        <v>532</v>
      </c>
      <c r="D45" t="s">
        <v>533</v>
      </c>
      <c r="E45" t="s">
        <v>94</v>
      </c>
      <c r="F45" t="s">
        <v>183</v>
      </c>
      <c r="G45" s="4">
        <v>0</v>
      </c>
      <c r="I45" t="s">
        <v>484</v>
      </c>
      <c r="J45" t="s">
        <v>55</v>
      </c>
      <c r="K45" s="8">
        <v>46227</v>
      </c>
    </row>
    <row r="46" spans="1:11" hidden="1" x14ac:dyDescent="0.25">
      <c r="A46" t="s">
        <v>146</v>
      </c>
      <c r="B46">
        <v>123</v>
      </c>
      <c r="C46" t="s">
        <v>239</v>
      </c>
      <c r="D46" t="s">
        <v>156</v>
      </c>
      <c r="E46" t="s">
        <v>240</v>
      </c>
      <c r="F46" t="s">
        <v>35</v>
      </c>
      <c r="G46" s="4">
        <v>0</v>
      </c>
      <c r="I46" t="s">
        <v>154</v>
      </c>
      <c r="J46" t="s">
        <v>55</v>
      </c>
    </row>
    <row r="47" spans="1:11" hidden="1" x14ac:dyDescent="0.25">
      <c r="A47" t="s">
        <v>146</v>
      </c>
      <c r="B47">
        <v>366</v>
      </c>
      <c r="C47" t="s">
        <v>539</v>
      </c>
      <c r="D47" t="s">
        <v>540</v>
      </c>
      <c r="E47" t="s">
        <v>94</v>
      </c>
      <c r="F47" t="s">
        <v>183</v>
      </c>
      <c r="G47" s="4">
        <v>0</v>
      </c>
      <c r="I47" t="s">
        <v>484</v>
      </c>
      <c r="J47" t="s">
        <v>55</v>
      </c>
      <c r="K47" s="8">
        <v>46227</v>
      </c>
    </row>
    <row r="48" spans="1:11" hidden="1" x14ac:dyDescent="0.25">
      <c r="A48" t="s">
        <v>146</v>
      </c>
      <c r="B48">
        <v>125</v>
      </c>
      <c r="C48" t="s">
        <v>243</v>
      </c>
      <c r="D48" t="s">
        <v>242</v>
      </c>
      <c r="E48" t="s">
        <v>98</v>
      </c>
      <c r="F48" t="s">
        <v>183</v>
      </c>
      <c r="G48" s="4">
        <v>0</v>
      </c>
      <c r="I48" t="s">
        <v>154</v>
      </c>
      <c r="J48" t="s">
        <v>55</v>
      </c>
    </row>
    <row r="49" spans="1:12" hidden="1" x14ac:dyDescent="0.25">
      <c r="A49" t="s">
        <v>146</v>
      </c>
      <c r="B49">
        <v>371</v>
      </c>
      <c r="C49" t="s">
        <v>546</v>
      </c>
      <c r="D49" t="s">
        <v>547</v>
      </c>
      <c r="E49" t="s">
        <v>94</v>
      </c>
      <c r="F49" t="s">
        <v>183</v>
      </c>
      <c r="G49" s="4">
        <v>0</v>
      </c>
      <c r="I49" t="s">
        <v>484</v>
      </c>
      <c r="J49" t="s">
        <v>55</v>
      </c>
      <c r="K49" s="8">
        <v>46227</v>
      </c>
    </row>
    <row r="50" spans="1:12" hidden="1" x14ac:dyDescent="0.25">
      <c r="A50" t="s">
        <v>146</v>
      </c>
      <c r="B50">
        <v>128</v>
      </c>
      <c r="C50" t="s">
        <v>246</v>
      </c>
      <c r="D50" t="s">
        <v>156</v>
      </c>
      <c r="E50" t="s">
        <v>247</v>
      </c>
      <c r="F50" t="s">
        <v>35</v>
      </c>
      <c r="G50" s="4">
        <v>0</v>
      </c>
      <c r="I50" t="s">
        <v>154</v>
      </c>
      <c r="J50" t="s">
        <v>55</v>
      </c>
    </row>
    <row r="51" spans="1:12" hidden="1" x14ac:dyDescent="0.25">
      <c r="A51" t="s">
        <v>146</v>
      </c>
      <c r="B51">
        <v>376</v>
      </c>
      <c r="C51" t="s">
        <v>553</v>
      </c>
      <c r="D51" t="s">
        <v>554</v>
      </c>
      <c r="E51" t="s">
        <v>94</v>
      </c>
      <c r="F51" t="s">
        <v>183</v>
      </c>
      <c r="G51" s="4">
        <v>0</v>
      </c>
      <c r="I51" t="s">
        <v>484</v>
      </c>
      <c r="J51" t="s">
        <v>55</v>
      </c>
      <c r="K51" s="8">
        <v>46227</v>
      </c>
    </row>
    <row r="52" spans="1:12" hidden="1" x14ac:dyDescent="0.25">
      <c r="A52" t="s">
        <v>146</v>
      </c>
      <c r="B52">
        <v>130</v>
      </c>
      <c r="C52" t="s">
        <v>250</v>
      </c>
      <c r="D52" t="s">
        <v>249</v>
      </c>
      <c r="E52" t="s">
        <v>98</v>
      </c>
      <c r="F52" t="s">
        <v>183</v>
      </c>
      <c r="G52" s="4">
        <v>0</v>
      </c>
      <c r="I52" t="s">
        <v>154</v>
      </c>
      <c r="J52" t="s">
        <v>55</v>
      </c>
    </row>
    <row r="53" spans="1:12" hidden="1" x14ac:dyDescent="0.25">
      <c r="A53" t="s">
        <v>146</v>
      </c>
      <c r="B53">
        <v>381</v>
      </c>
      <c r="C53" t="s">
        <v>560</v>
      </c>
      <c r="D53" t="s">
        <v>561</v>
      </c>
      <c r="E53" t="s">
        <v>94</v>
      </c>
      <c r="F53" t="s">
        <v>183</v>
      </c>
      <c r="G53" s="4">
        <v>0</v>
      </c>
      <c r="I53" t="s">
        <v>484</v>
      </c>
      <c r="J53" t="s">
        <v>55</v>
      </c>
      <c r="K53" s="8">
        <v>46227</v>
      </c>
    </row>
    <row r="54" spans="1:12" hidden="1" x14ac:dyDescent="0.25">
      <c r="A54" t="s">
        <v>133</v>
      </c>
      <c r="B54">
        <v>133</v>
      </c>
      <c r="C54" t="s">
        <v>253</v>
      </c>
      <c r="D54" t="s">
        <v>156</v>
      </c>
      <c r="E54" t="s">
        <v>254</v>
      </c>
      <c r="F54" t="s">
        <v>35</v>
      </c>
      <c r="G54" s="4">
        <v>0.67</v>
      </c>
      <c r="I54" t="s">
        <v>154</v>
      </c>
      <c r="J54" t="s">
        <v>55</v>
      </c>
    </row>
    <row r="55" spans="1:12" hidden="1" x14ac:dyDescent="0.25">
      <c r="A55" t="s">
        <v>178</v>
      </c>
      <c r="B55">
        <v>135</v>
      </c>
      <c r="C55" t="s">
        <v>260</v>
      </c>
      <c r="D55" t="s">
        <v>258</v>
      </c>
      <c r="E55" t="s">
        <v>98</v>
      </c>
      <c r="F55" t="s">
        <v>35</v>
      </c>
      <c r="G55" s="4">
        <v>0</v>
      </c>
      <c r="I55" t="s">
        <v>154</v>
      </c>
      <c r="J55" t="s">
        <v>55</v>
      </c>
    </row>
    <row r="56" spans="1:12" hidden="1" x14ac:dyDescent="0.25">
      <c r="A56" t="s">
        <v>146</v>
      </c>
      <c r="B56">
        <v>386</v>
      </c>
      <c r="C56" t="s">
        <v>567</v>
      </c>
      <c r="D56" t="s">
        <v>568</v>
      </c>
      <c r="E56" t="s">
        <v>94</v>
      </c>
      <c r="F56" t="s">
        <v>183</v>
      </c>
      <c r="G56" s="4">
        <v>0</v>
      </c>
      <c r="I56" t="s">
        <v>484</v>
      </c>
      <c r="J56" t="s">
        <v>55</v>
      </c>
      <c r="K56" s="8">
        <v>46227</v>
      </c>
    </row>
    <row r="57" spans="1:12" hidden="1" x14ac:dyDescent="0.25">
      <c r="A57" t="s">
        <v>146</v>
      </c>
      <c r="B57">
        <v>137</v>
      </c>
      <c r="C57" t="s">
        <v>264</v>
      </c>
      <c r="D57" t="s">
        <v>258</v>
      </c>
      <c r="E57" t="s">
        <v>108</v>
      </c>
      <c r="F57" t="s">
        <v>35</v>
      </c>
      <c r="G57" s="4">
        <v>0</v>
      </c>
      <c r="I57" t="s">
        <v>154</v>
      </c>
      <c r="J57" t="s">
        <v>55</v>
      </c>
    </row>
    <row r="58" spans="1:12" hidden="1" x14ac:dyDescent="0.25">
      <c r="A58" t="s">
        <v>133</v>
      </c>
      <c r="B58">
        <v>138</v>
      </c>
      <c r="C58" t="s">
        <v>266</v>
      </c>
      <c r="D58" t="s">
        <v>156</v>
      </c>
      <c r="E58" t="s">
        <v>267</v>
      </c>
      <c r="F58" t="s">
        <v>35</v>
      </c>
      <c r="G58" s="4">
        <v>0.67</v>
      </c>
      <c r="I58" t="s">
        <v>154</v>
      </c>
      <c r="J58" t="s">
        <v>55</v>
      </c>
    </row>
    <row r="59" spans="1:12" hidden="1" x14ac:dyDescent="0.25">
      <c r="A59" t="s">
        <v>178</v>
      </c>
      <c r="B59">
        <v>140</v>
      </c>
      <c r="C59" t="s">
        <v>270</v>
      </c>
      <c r="D59" t="s">
        <v>269</v>
      </c>
      <c r="E59" t="s">
        <v>98</v>
      </c>
      <c r="F59" t="s">
        <v>35</v>
      </c>
      <c r="G59" s="4">
        <v>0</v>
      </c>
      <c r="I59" t="s">
        <v>154</v>
      </c>
      <c r="J59" t="s">
        <v>55</v>
      </c>
    </row>
    <row r="60" spans="1:12" hidden="1" x14ac:dyDescent="0.25">
      <c r="A60" t="s">
        <v>146</v>
      </c>
      <c r="B60">
        <v>391</v>
      </c>
      <c r="C60" t="s">
        <v>574</v>
      </c>
      <c r="D60" t="s">
        <v>575</v>
      </c>
      <c r="E60" t="s">
        <v>94</v>
      </c>
      <c r="F60" t="s">
        <v>183</v>
      </c>
      <c r="G60" s="4">
        <v>0</v>
      </c>
      <c r="I60" t="s">
        <v>484</v>
      </c>
      <c r="J60" t="s">
        <v>55</v>
      </c>
      <c r="K60" s="8"/>
      <c r="L60" t="s">
        <v>1054</v>
      </c>
    </row>
    <row r="61" spans="1:12" hidden="1" x14ac:dyDescent="0.25">
      <c r="A61" t="s">
        <v>146</v>
      </c>
      <c r="B61">
        <v>142</v>
      </c>
      <c r="C61" t="s">
        <v>272</v>
      </c>
      <c r="D61" t="s">
        <v>269</v>
      </c>
      <c r="E61" t="s">
        <v>108</v>
      </c>
      <c r="F61" t="s">
        <v>35</v>
      </c>
      <c r="G61" s="4">
        <v>0</v>
      </c>
      <c r="I61" t="s">
        <v>154</v>
      </c>
      <c r="J61" t="s">
        <v>55</v>
      </c>
    </row>
    <row r="62" spans="1:12" hidden="1" x14ac:dyDescent="0.25">
      <c r="A62" t="s">
        <v>133</v>
      </c>
      <c r="B62">
        <v>143</v>
      </c>
      <c r="C62" t="s">
        <v>273</v>
      </c>
      <c r="D62" t="s">
        <v>156</v>
      </c>
      <c r="E62" t="s">
        <v>274</v>
      </c>
      <c r="F62" t="s">
        <v>35</v>
      </c>
      <c r="G62" s="4">
        <v>0.67</v>
      </c>
      <c r="I62" t="s">
        <v>154</v>
      </c>
      <c r="J62" t="s">
        <v>55</v>
      </c>
    </row>
    <row r="63" spans="1:12" hidden="1" x14ac:dyDescent="0.25">
      <c r="A63" t="s">
        <v>178</v>
      </c>
      <c r="B63">
        <v>145</v>
      </c>
      <c r="C63" t="s">
        <v>277</v>
      </c>
      <c r="D63" t="s">
        <v>276</v>
      </c>
      <c r="E63" t="s">
        <v>98</v>
      </c>
      <c r="F63" t="s">
        <v>35</v>
      </c>
      <c r="G63" s="4">
        <v>0</v>
      </c>
      <c r="I63" t="s">
        <v>154</v>
      </c>
      <c r="J63" t="s">
        <v>55</v>
      </c>
    </row>
    <row r="64" spans="1:12" hidden="1" x14ac:dyDescent="0.25">
      <c r="A64" t="s">
        <v>146</v>
      </c>
      <c r="B64">
        <v>396</v>
      </c>
      <c r="C64" t="s">
        <v>581</v>
      </c>
      <c r="D64" t="s">
        <v>582</v>
      </c>
      <c r="E64" t="s">
        <v>94</v>
      </c>
      <c r="F64" t="s">
        <v>183</v>
      </c>
      <c r="G64" s="4">
        <v>0</v>
      </c>
      <c r="I64" t="s">
        <v>484</v>
      </c>
      <c r="J64" t="s">
        <v>55</v>
      </c>
      <c r="L64" t="s">
        <v>1054</v>
      </c>
    </row>
    <row r="65" spans="1:11" hidden="1" x14ac:dyDescent="0.25">
      <c r="A65" t="s">
        <v>146</v>
      </c>
      <c r="B65">
        <v>147</v>
      </c>
      <c r="C65" t="s">
        <v>279</v>
      </c>
      <c r="D65" t="s">
        <v>276</v>
      </c>
      <c r="E65" t="s">
        <v>108</v>
      </c>
      <c r="F65" t="s">
        <v>35</v>
      </c>
      <c r="G65" s="4">
        <v>0</v>
      </c>
      <c r="I65" t="s">
        <v>154</v>
      </c>
      <c r="J65" t="s">
        <v>55</v>
      </c>
    </row>
    <row r="66" spans="1:11" hidden="1" x14ac:dyDescent="0.25">
      <c r="A66" t="s">
        <v>133</v>
      </c>
      <c r="B66">
        <v>148</v>
      </c>
      <c r="C66" t="s">
        <v>280</v>
      </c>
      <c r="D66" t="s">
        <v>156</v>
      </c>
      <c r="E66" t="s">
        <v>281</v>
      </c>
      <c r="F66" t="s">
        <v>35</v>
      </c>
      <c r="G66" s="4">
        <v>0.67</v>
      </c>
      <c r="I66" t="s">
        <v>154</v>
      </c>
      <c r="J66" t="s">
        <v>55</v>
      </c>
    </row>
    <row r="67" spans="1:11" hidden="1" x14ac:dyDescent="0.25">
      <c r="A67" t="s">
        <v>178</v>
      </c>
      <c r="B67">
        <v>150</v>
      </c>
      <c r="C67" t="s">
        <v>284</v>
      </c>
      <c r="D67" t="s">
        <v>283</v>
      </c>
      <c r="E67" t="s">
        <v>98</v>
      </c>
      <c r="F67" t="s">
        <v>35</v>
      </c>
      <c r="G67" s="4">
        <v>0</v>
      </c>
      <c r="I67" t="s">
        <v>154</v>
      </c>
      <c r="J67" t="s">
        <v>55</v>
      </c>
    </row>
    <row r="68" spans="1:11" hidden="1" x14ac:dyDescent="0.25">
      <c r="A68" t="s">
        <v>146</v>
      </c>
      <c r="B68">
        <v>401</v>
      </c>
      <c r="C68" t="s">
        <v>588</v>
      </c>
      <c r="D68" t="s">
        <v>589</v>
      </c>
      <c r="E68" t="s">
        <v>94</v>
      </c>
      <c r="F68" t="s">
        <v>35</v>
      </c>
      <c r="G68" s="4">
        <v>0</v>
      </c>
      <c r="I68" t="s">
        <v>484</v>
      </c>
      <c r="J68" t="s">
        <v>55</v>
      </c>
      <c r="K68" s="8">
        <v>46219</v>
      </c>
    </row>
    <row r="69" spans="1:11" hidden="1" x14ac:dyDescent="0.25">
      <c r="A69" t="s">
        <v>146</v>
      </c>
      <c r="B69">
        <v>152</v>
      </c>
      <c r="C69" t="s">
        <v>286</v>
      </c>
      <c r="D69" t="s">
        <v>283</v>
      </c>
      <c r="E69" t="s">
        <v>108</v>
      </c>
      <c r="F69" t="s">
        <v>35</v>
      </c>
      <c r="G69" s="4">
        <v>0</v>
      </c>
      <c r="I69" t="s">
        <v>154</v>
      </c>
      <c r="J69" t="s">
        <v>55</v>
      </c>
    </row>
    <row r="70" spans="1:11" hidden="1" x14ac:dyDescent="0.25">
      <c r="A70" t="s">
        <v>133</v>
      </c>
      <c r="B70">
        <v>153</v>
      </c>
      <c r="C70" t="s">
        <v>287</v>
      </c>
      <c r="D70" t="s">
        <v>156</v>
      </c>
      <c r="E70" t="s">
        <v>288</v>
      </c>
      <c r="F70" t="s">
        <v>35</v>
      </c>
      <c r="G70" s="4">
        <v>0.67</v>
      </c>
      <c r="I70" t="s">
        <v>154</v>
      </c>
      <c r="J70" t="s">
        <v>55</v>
      </c>
    </row>
    <row r="71" spans="1:11" hidden="1" x14ac:dyDescent="0.25">
      <c r="A71" t="s">
        <v>178</v>
      </c>
      <c r="B71">
        <v>155</v>
      </c>
      <c r="C71" t="s">
        <v>292</v>
      </c>
      <c r="D71" t="s">
        <v>291</v>
      </c>
      <c r="E71" t="s">
        <v>98</v>
      </c>
      <c r="F71" t="s">
        <v>35</v>
      </c>
      <c r="G71" s="4">
        <v>0</v>
      </c>
      <c r="I71" t="s">
        <v>154</v>
      </c>
      <c r="J71" t="s">
        <v>55</v>
      </c>
    </row>
    <row r="72" spans="1:11" hidden="1" x14ac:dyDescent="0.25">
      <c r="A72" t="s">
        <v>178</v>
      </c>
      <c r="B72">
        <v>563</v>
      </c>
      <c r="C72" t="s">
        <v>745</v>
      </c>
      <c r="D72" t="s">
        <v>746</v>
      </c>
      <c r="E72" t="s">
        <v>94</v>
      </c>
      <c r="F72" t="s">
        <v>35</v>
      </c>
      <c r="G72" s="4">
        <v>0</v>
      </c>
      <c r="I72" t="s">
        <v>638</v>
      </c>
      <c r="J72" t="s">
        <v>55</v>
      </c>
    </row>
    <row r="73" spans="1:11" hidden="1" x14ac:dyDescent="0.25">
      <c r="A73" t="s">
        <v>146</v>
      </c>
      <c r="B73">
        <v>157</v>
      </c>
      <c r="C73" t="s">
        <v>295</v>
      </c>
      <c r="D73" t="s">
        <v>291</v>
      </c>
      <c r="E73" t="s">
        <v>108</v>
      </c>
      <c r="F73" t="s">
        <v>35</v>
      </c>
      <c r="G73" s="4">
        <v>0</v>
      </c>
      <c r="I73" t="s">
        <v>154</v>
      </c>
      <c r="J73" t="s">
        <v>55</v>
      </c>
    </row>
    <row r="74" spans="1:11" hidden="1" x14ac:dyDescent="0.25">
      <c r="A74" t="s">
        <v>133</v>
      </c>
      <c r="B74">
        <v>158</v>
      </c>
      <c r="C74" t="s">
        <v>297</v>
      </c>
      <c r="D74" t="s">
        <v>156</v>
      </c>
      <c r="E74" t="s">
        <v>298</v>
      </c>
      <c r="F74" t="s">
        <v>35</v>
      </c>
      <c r="G74" s="4">
        <v>0.67</v>
      </c>
      <c r="I74" t="s">
        <v>154</v>
      </c>
      <c r="J74" t="s">
        <v>55</v>
      </c>
    </row>
    <row r="75" spans="1:11" hidden="1" x14ac:dyDescent="0.25">
      <c r="A75" t="s">
        <v>178</v>
      </c>
      <c r="B75">
        <v>160</v>
      </c>
      <c r="C75" t="s">
        <v>301</v>
      </c>
      <c r="D75" t="s">
        <v>300</v>
      </c>
      <c r="E75" t="s">
        <v>98</v>
      </c>
      <c r="F75" t="s">
        <v>35</v>
      </c>
      <c r="G75" s="4">
        <v>0</v>
      </c>
      <c r="I75" t="s">
        <v>154</v>
      </c>
      <c r="J75" t="s">
        <v>55</v>
      </c>
    </row>
    <row r="76" spans="1:11" hidden="1" x14ac:dyDescent="0.25">
      <c r="A76" t="s">
        <v>133</v>
      </c>
      <c r="B76">
        <v>693</v>
      </c>
      <c r="C76" t="s">
        <v>932</v>
      </c>
      <c r="D76" t="s">
        <v>933</v>
      </c>
      <c r="E76" t="s">
        <v>94</v>
      </c>
      <c r="F76" t="s">
        <v>35</v>
      </c>
      <c r="G76" s="4">
        <v>0.5</v>
      </c>
      <c r="I76" t="s">
        <v>638</v>
      </c>
      <c r="J76" t="s">
        <v>55</v>
      </c>
      <c r="K76" s="8">
        <v>46219</v>
      </c>
    </row>
    <row r="77" spans="1:11" hidden="1" x14ac:dyDescent="0.25">
      <c r="A77" t="s">
        <v>146</v>
      </c>
      <c r="B77">
        <v>162</v>
      </c>
      <c r="C77" t="s">
        <v>303</v>
      </c>
      <c r="D77" t="s">
        <v>300</v>
      </c>
      <c r="E77" t="s">
        <v>108</v>
      </c>
      <c r="F77" t="s">
        <v>35</v>
      </c>
      <c r="G77" s="4">
        <v>0</v>
      </c>
      <c r="I77" t="s">
        <v>154</v>
      </c>
      <c r="J77" t="s">
        <v>55</v>
      </c>
    </row>
    <row r="78" spans="1:11" hidden="1" x14ac:dyDescent="0.25">
      <c r="A78" t="s">
        <v>168</v>
      </c>
      <c r="B78">
        <v>163</v>
      </c>
      <c r="C78" t="s">
        <v>304</v>
      </c>
      <c r="D78" t="s">
        <v>156</v>
      </c>
      <c r="E78" t="s">
        <v>305</v>
      </c>
      <c r="F78" t="s">
        <v>35</v>
      </c>
      <c r="G78" s="4">
        <v>0.86</v>
      </c>
      <c r="I78" t="s">
        <v>154</v>
      </c>
      <c r="J78" t="s">
        <v>55</v>
      </c>
    </row>
    <row r="79" spans="1:11" hidden="1" x14ac:dyDescent="0.25">
      <c r="A79" t="s">
        <v>178</v>
      </c>
      <c r="B79">
        <v>709</v>
      </c>
      <c r="C79" t="s">
        <v>963</v>
      </c>
      <c r="D79" t="s">
        <v>964</v>
      </c>
      <c r="E79" t="s">
        <v>94</v>
      </c>
      <c r="F79" t="s">
        <v>35</v>
      </c>
      <c r="G79" s="4">
        <v>0.1</v>
      </c>
      <c r="I79" t="s">
        <v>958</v>
      </c>
      <c r="J79" t="s">
        <v>55</v>
      </c>
    </row>
    <row r="80" spans="1:11" hidden="1" x14ac:dyDescent="0.25">
      <c r="A80" t="s">
        <v>178</v>
      </c>
      <c r="B80">
        <v>167</v>
      </c>
      <c r="C80" t="s">
        <v>314</v>
      </c>
      <c r="D80" t="s">
        <v>308</v>
      </c>
      <c r="E80" t="s">
        <v>108</v>
      </c>
      <c r="F80" t="s">
        <v>35</v>
      </c>
      <c r="G80" s="4">
        <v>0</v>
      </c>
      <c r="I80" t="s">
        <v>154</v>
      </c>
      <c r="J80" t="s">
        <v>55</v>
      </c>
    </row>
    <row r="81" spans="1:12" hidden="1" x14ac:dyDescent="0.25">
      <c r="A81" t="s">
        <v>168</v>
      </c>
      <c r="B81">
        <v>168</v>
      </c>
      <c r="C81" t="s">
        <v>316</v>
      </c>
      <c r="D81" t="s">
        <v>156</v>
      </c>
      <c r="E81" t="s">
        <v>317</v>
      </c>
      <c r="F81" t="s">
        <v>35</v>
      </c>
      <c r="G81" s="4">
        <v>0.75</v>
      </c>
      <c r="I81" t="s">
        <v>154</v>
      </c>
      <c r="J81" t="s">
        <v>55</v>
      </c>
    </row>
    <row r="82" spans="1:12" hidden="1" x14ac:dyDescent="0.25">
      <c r="A82" t="s">
        <v>133</v>
      </c>
      <c r="B82">
        <v>170</v>
      </c>
      <c r="C82" t="s">
        <v>322</v>
      </c>
      <c r="D82" t="s">
        <v>319</v>
      </c>
      <c r="E82" t="s">
        <v>98</v>
      </c>
      <c r="F82" t="s">
        <v>35</v>
      </c>
      <c r="G82" s="4">
        <v>0.5</v>
      </c>
      <c r="I82" t="s">
        <v>154</v>
      </c>
      <c r="J82" t="s">
        <v>55</v>
      </c>
    </row>
    <row r="83" spans="1:12" hidden="1" x14ac:dyDescent="0.25">
      <c r="A83" t="s">
        <v>146</v>
      </c>
      <c r="B83">
        <v>714</v>
      </c>
      <c r="C83" t="s">
        <v>972</v>
      </c>
      <c r="D83" t="s">
        <v>973</v>
      </c>
      <c r="E83" t="s">
        <v>94</v>
      </c>
      <c r="F83" t="s">
        <v>183</v>
      </c>
      <c r="G83" s="4">
        <v>0</v>
      </c>
      <c r="I83" t="s">
        <v>958</v>
      </c>
      <c r="J83" t="s">
        <v>55</v>
      </c>
    </row>
    <row r="84" spans="1:12" hidden="1" x14ac:dyDescent="0.25">
      <c r="A84" t="s">
        <v>178</v>
      </c>
      <c r="B84">
        <v>172</v>
      </c>
      <c r="C84" t="s">
        <v>325</v>
      </c>
      <c r="D84" t="s">
        <v>319</v>
      </c>
      <c r="E84" t="s">
        <v>108</v>
      </c>
      <c r="F84" t="s">
        <v>35</v>
      </c>
      <c r="G84" s="4">
        <v>0</v>
      </c>
      <c r="I84" t="s">
        <v>154</v>
      </c>
      <c r="J84" t="s">
        <v>55</v>
      </c>
    </row>
    <row r="85" spans="1:12" hidden="1" x14ac:dyDescent="0.25">
      <c r="A85" t="s">
        <v>168</v>
      </c>
      <c r="B85">
        <v>173</v>
      </c>
      <c r="C85" t="s">
        <v>326</v>
      </c>
      <c r="D85" t="s">
        <v>156</v>
      </c>
      <c r="E85" t="s">
        <v>327</v>
      </c>
      <c r="F85" t="s">
        <v>35</v>
      </c>
      <c r="G85" s="4">
        <v>0.86</v>
      </c>
      <c r="I85" t="s">
        <v>154</v>
      </c>
      <c r="J85" t="s">
        <v>55</v>
      </c>
    </row>
    <row r="86" spans="1:12" hidden="1" x14ac:dyDescent="0.25">
      <c r="A86" t="s">
        <v>146</v>
      </c>
      <c r="B86">
        <v>65</v>
      </c>
      <c r="C86" t="s">
        <v>143</v>
      </c>
      <c r="D86" t="s">
        <v>138</v>
      </c>
      <c r="E86" t="s">
        <v>102</v>
      </c>
      <c r="F86" t="s">
        <v>35</v>
      </c>
      <c r="G86" s="4">
        <v>0.5</v>
      </c>
      <c r="I86" t="s">
        <v>132</v>
      </c>
      <c r="J86" t="s">
        <v>55</v>
      </c>
    </row>
    <row r="87" spans="1:12" hidden="1" x14ac:dyDescent="0.25">
      <c r="A87" t="s">
        <v>178</v>
      </c>
      <c r="B87">
        <v>177</v>
      </c>
      <c r="C87" t="s">
        <v>333</v>
      </c>
      <c r="D87" t="s">
        <v>329</v>
      </c>
      <c r="E87" t="s">
        <v>108</v>
      </c>
      <c r="F87" t="s">
        <v>35</v>
      </c>
      <c r="G87" s="4">
        <v>0</v>
      </c>
      <c r="I87" t="s">
        <v>154</v>
      </c>
      <c r="J87" t="s">
        <v>55</v>
      </c>
    </row>
    <row r="88" spans="1:12" hidden="1" x14ac:dyDescent="0.25">
      <c r="A88" t="s">
        <v>168</v>
      </c>
      <c r="B88">
        <v>178</v>
      </c>
      <c r="C88" t="s">
        <v>334</v>
      </c>
      <c r="D88" t="s">
        <v>156</v>
      </c>
      <c r="E88" t="s">
        <v>335</v>
      </c>
      <c r="F88" t="s">
        <v>35</v>
      </c>
      <c r="G88" s="4">
        <v>0.75</v>
      </c>
      <c r="I88" t="s">
        <v>154</v>
      </c>
      <c r="J88" t="s">
        <v>55</v>
      </c>
    </row>
    <row r="89" spans="1:12" hidden="1" x14ac:dyDescent="0.25">
      <c r="A89" t="s">
        <v>133</v>
      </c>
      <c r="B89">
        <v>180</v>
      </c>
      <c r="C89" t="s">
        <v>339</v>
      </c>
      <c r="D89" t="s">
        <v>337</v>
      </c>
      <c r="E89" t="s">
        <v>98</v>
      </c>
      <c r="F89" t="s">
        <v>35</v>
      </c>
      <c r="G89" s="4">
        <v>0.5</v>
      </c>
      <c r="I89" t="s">
        <v>154</v>
      </c>
      <c r="J89" t="s">
        <v>55</v>
      </c>
    </row>
    <row r="90" spans="1:12" hidden="1" x14ac:dyDescent="0.25">
      <c r="A90" t="s">
        <v>178</v>
      </c>
      <c r="B90">
        <v>86</v>
      </c>
      <c r="C90" t="s">
        <v>179</v>
      </c>
      <c r="D90" t="s">
        <v>174</v>
      </c>
      <c r="E90" t="s">
        <v>102</v>
      </c>
      <c r="F90" t="s">
        <v>180</v>
      </c>
      <c r="G90" s="4">
        <v>0</v>
      </c>
      <c r="I90" t="s">
        <v>154</v>
      </c>
      <c r="J90" t="s">
        <v>55</v>
      </c>
      <c r="L90" t="s">
        <v>1051</v>
      </c>
    </row>
    <row r="91" spans="1:12" hidden="1" x14ac:dyDescent="0.25">
      <c r="A91" t="s">
        <v>178</v>
      </c>
      <c r="B91">
        <v>182</v>
      </c>
      <c r="C91" t="s">
        <v>341</v>
      </c>
      <c r="D91" t="s">
        <v>337</v>
      </c>
      <c r="E91" t="s">
        <v>108</v>
      </c>
      <c r="F91" t="s">
        <v>35</v>
      </c>
      <c r="G91" s="4">
        <v>0</v>
      </c>
      <c r="I91" t="s">
        <v>154</v>
      </c>
      <c r="J91" t="s">
        <v>55</v>
      </c>
    </row>
    <row r="92" spans="1:12" hidden="1" x14ac:dyDescent="0.25">
      <c r="A92" t="s">
        <v>125</v>
      </c>
      <c r="B92">
        <v>183</v>
      </c>
      <c r="C92" t="s">
        <v>342</v>
      </c>
      <c r="D92" t="s">
        <v>156</v>
      </c>
      <c r="E92" t="s">
        <v>343</v>
      </c>
      <c r="F92" t="s">
        <v>35</v>
      </c>
      <c r="G92" s="4">
        <v>0.92</v>
      </c>
      <c r="I92" t="s">
        <v>154</v>
      </c>
      <c r="J92" t="s">
        <v>55</v>
      </c>
    </row>
    <row r="93" spans="1:12" hidden="1" x14ac:dyDescent="0.25">
      <c r="A93" t="s">
        <v>146</v>
      </c>
      <c r="B93">
        <v>91</v>
      </c>
      <c r="C93" t="s">
        <v>193</v>
      </c>
      <c r="D93" t="s">
        <v>190</v>
      </c>
      <c r="E93" t="s">
        <v>102</v>
      </c>
      <c r="F93" t="s">
        <v>183</v>
      </c>
      <c r="G93" s="4">
        <v>0</v>
      </c>
      <c r="I93" t="s">
        <v>154</v>
      </c>
      <c r="J93" t="s">
        <v>55</v>
      </c>
    </row>
    <row r="94" spans="1:12" hidden="1" x14ac:dyDescent="0.25">
      <c r="A94" t="s">
        <v>168</v>
      </c>
      <c r="B94">
        <v>187</v>
      </c>
      <c r="C94" t="s">
        <v>353</v>
      </c>
      <c r="D94" t="s">
        <v>345</v>
      </c>
      <c r="E94" t="s">
        <v>108</v>
      </c>
      <c r="F94" t="s">
        <v>35</v>
      </c>
      <c r="G94" s="4">
        <v>0.5</v>
      </c>
      <c r="I94" t="s">
        <v>154</v>
      </c>
      <c r="J94" t="s">
        <v>55</v>
      </c>
    </row>
    <row r="95" spans="1:12" hidden="1" x14ac:dyDescent="0.25">
      <c r="A95" t="s">
        <v>133</v>
      </c>
      <c r="B95">
        <v>188</v>
      </c>
      <c r="C95" t="s">
        <v>354</v>
      </c>
      <c r="D95" t="s">
        <v>156</v>
      </c>
      <c r="E95" t="s">
        <v>355</v>
      </c>
      <c r="F95" t="s">
        <v>35</v>
      </c>
      <c r="G95" s="4">
        <v>0</v>
      </c>
      <c r="I95" t="s">
        <v>154</v>
      </c>
      <c r="J95" t="s">
        <v>55</v>
      </c>
    </row>
    <row r="96" spans="1:12" hidden="1" x14ac:dyDescent="0.25">
      <c r="A96" t="s">
        <v>146</v>
      </c>
      <c r="B96">
        <v>96</v>
      </c>
      <c r="C96" t="s">
        <v>202</v>
      </c>
      <c r="D96" t="s">
        <v>200</v>
      </c>
      <c r="E96" t="s">
        <v>102</v>
      </c>
      <c r="F96" t="s">
        <v>183</v>
      </c>
      <c r="G96" s="4">
        <v>0</v>
      </c>
      <c r="I96" t="s">
        <v>154</v>
      </c>
      <c r="J96" t="s">
        <v>55</v>
      </c>
    </row>
    <row r="97" spans="1:10" hidden="1" x14ac:dyDescent="0.25">
      <c r="A97" t="s">
        <v>178</v>
      </c>
      <c r="B97">
        <v>190</v>
      </c>
      <c r="C97" t="s">
        <v>360</v>
      </c>
      <c r="D97" t="s">
        <v>358</v>
      </c>
      <c r="E97" t="s">
        <v>98</v>
      </c>
      <c r="F97" t="s">
        <v>35</v>
      </c>
      <c r="G97" s="4">
        <v>0</v>
      </c>
      <c r="I97" t="s">
        <v>154</v>
      </c>
      <c r="J97" t="s">
        <v>55</v>
      </c>
    </row>
    <row r="98" spans="1:10" hidden="1" x14ac:dyDescent="0.25">
      <c r="A98" t="s">
        <v>146</v>
      </c>
      <c r="B98">
        <v>101</v>
      </c>
      <c r="C98" t="s">
        <v>209</v>
      </c>
      <c r="D98" t="s">
        <v>207</v>
      </c>
      <c r="E98" t="s">
        <v>102</v>
      </c>
      <c r="F98" t="s">
        <v>183</v>
      </c>
      <c r="G98" s="4">
        <v>0</v>
      </c>
      <c r="I98" t="s">
        <v>154</v>
      </c>
      <c r="J98" t="s">
        <v>55</v>
      </c>
    </row>
    <row r="99" spans="1:10" hidden="1" x14ac:dyDescent="0.25">
      <c r="A99" t="s">
        <v>178</v>
      </c>
      <c r="B99">
        <v>192</v>
      </c>
      <c r="C99" t="s">
        <v>362</v>
      </c>
      <c r="D99" t="s">
        <v>358</v>
      </c>
      <c r="E99" t="s">
        <v>108</v>
      </c>
      <c r="F99" t="s">
        <v>35</v>
      </c>
      <c r="G99" s="4">
        <v>0</v>
      </c>
      <c r="I99" t="s">
        <v>154</v>
      </c>
      <c r="J99" t="s">
        <v>55</v>
      </c>
    </row>
    <row r="100" spans="1:10" hidden="1" x14ac:dyDescent="0.25">
      <c r="A100" t="s">
        <v>133</v>
      </c>
      <c r="B100">
        <v>193</v>
      </c>
      <c r="C100" t="s">
        <v>363</v>
      </c>
      <c r="D100" t="s">
        <v>156</v>
      </c>
      <c r="E100" t="s">
        <v>364</v>
      </c>
      <c r="F100" t="s">
        <v>35</v>
      </c>
      <c r="G100" s="4">
        <v>0.5</v>
      </c>
      <c r="I100" t="s">
        <v>154</v>
      </c>
      <c r="J100" t="s">
        <v>55</v>
      </c>
    </row>
    <row r="101" spans="1:10" hidden="1" x14ac:dyDescent="0.25">
      <c r="A101" t="s">
        <v>178</v>
      </c>
      <c r="B101">
        <v>195</v>
      </c>
      <c r="C101" t="s">
        <v>367</v>
      </c>
      <c r="D101" t="s">
        <v>366</v>
      </c>
      <c r="E101" t="s">
        <v>98</v>
      </c>
      <c r="F101" t="s">
        <v>35</v>
      </c>
      <c r="G101" s="4">
        <v>0.5</v>
      </c>
      <c r="I101" t="s">
        <v>154</v>
      </c>
      <c r="J101" t="s">
        <v>55</v>
      </c>
    </row>
    <row r="102" spans="1:10" hidden="1" x14ac:dyDescent="0.25">
      <c r="A102" t="s">
        <v>146</v>
      </c>
      <c r="B102">
        <v>106</v>
      </c>
      <c r="C102" t="s">
        <v>216</v>
      </c>
      <c r="D102" t="s">
        <v>214</v>
      </c>
      <c r="E102" t="s">
        <v>102</v>
      </c>
      <c r="F102" t="s">
        <v>183</v>
      </c>
      <c r="G102" s="4">
        <v>0</v>
      </c>
      <c r="I102" t="s">
        <v>154</v>
      </c>
      <c r="J102" t="s">
        <v>55</v>
      </c>
    </row>
    <row r="103" spans="1:10" hidden="1" x14ac:dyDescent="0.25">
      <c r="A103" t="s">
        <v>178</v>
      </c>
      <c r="B103">
        <v>197</v>
      </c>
      <c r="C103" t="s">
        <v>369</v>
      </c>
      <c r="D103" t="s">
        <v>366</v>
      </c>
      <c r="E103" t="s">
        <v>108</v>
      </c>
      <c r="F103" t="s">
        <v>35</v>
      </c>
      <c r="G103" s="4">
        <v>0</v>
      </c>
      <c r="I103" t="s">
        <v>154</v>
      </c>
      <c r="J103" t="s">
        <v>55</v>
      </c>
    </row>
    <row r="104" spans="1:10" hidden="1" x14ac:dyDescent="0.25">
      <c r="A104" t="s">
        <v>133</v>
      </c>
      <c r="B104">
        <v>198</v>
      </c>
      <c r="C104" t="s">
        <v>370</v>
      </c>
      <c r="D104" t="s">
        <v>156</v>
      </c>
      <c r="E104" t="s">
        <v>371</v>
      </c>
      <c r="F104" t="s">
        <v>35</v>
      </c>
      <c r="G104" s="4">
        <v>0</v>
      </c>
      <c r="I104" t="s">
        <v>154</v>
      </c>
      <c r="J104" t="s">
        <v>55</v>
      </c>
    </row>
    <row r="105" spans="1:10" hidden="1" x14ac:dyDescent="0.25">
      <c r="A105" t="s">
        <v>146</v>
      </c>
      <c r="B105">
        <v>111</v>
      </c>
      <c r="C105" t="s">
        <v>223</v>
      </c>
      <c r="D105" t="s">
        <v>221</v>
      </c>
      <c r="E105" t="s">
        <v>102</v>
      </c>
      <c r="F105" t="s">
        <v>183</v>
      </c>
      <c r="G105" s="4">
        <v>0</v>
      </c>
      <c r="I105" t="s">
        <v>154</v>
      </c>
      <c r="J105" t="s">
        <v>55</v>
      </c>
    </row>
    <row r="106" spans="1:10" hidden="1" x14ac:dyDescent="0.25">
      <c r="A106" t="s">
        <v>178</v>
      </c>
      <c r="B106">
        <v>200</v>
      </c>
      <c r="C106" t="s">
        <v>374</v>
      </c>
      <c r="D106" t="s">
        <v>373</v>
      </c>
      <c r="E106" t="s">
        <v>98</v>
      </c>
      <c r="F106" t="s">
        <v>35</v>
      </c>
      <c r="G106" s="4">
        <v>0</v>
      </c>
      <c r="I106" t="s">
        <v>154</v>
      </c>
      <c r="J106" t="s">
        <v>55</v>
      </c>
    </row>
    <row r="107" spans="1:10" hidden="1" x14ac:dyDescent="0.25">
      <c r="A107" t="s">
        <v>146</v>
      </c>
      <c r="B107">
        <v>116</v>
      </c>
      <c r="C107" t="s">
        <v>230</v>
      </c>
      <c r="D107" t="s">
        <v>228</v>
      </c>
      <c r="E107" t="s">
        <v>102</v>
      </c>
      <c r="F107" t="s">
        <v>183</v>
      </c>
      <c r="G107" s="4">
        <v>0</v>
      </c>
      <c r="I107" t="s">
        <v>154</v>
      </c>
      <c r="J107" t="s">
        <v>55</v>
      </c>
    </row>
    <row r="108" spans="1:10" hidden="1" x14ac:dyDescent="0.25">
      <c r="A108" t="s">
        <v>178</v>
      </c>
      <c r="B108">
        <v>202</v>
      </c>
      <c r="C108" t="s">
        <v>376</v>
      </c>
      <c r="D108" t="s">
        <v>373</v>
      </c>
      <c r="E108" t="s">
        <v>108</v>
      </c>
      <c r="F108" t="s">
        <v>35</v>
      </c>
      <c r="G108" s="4">
        <v>0</v>
      </c>
      <c r="I108" t="s">
        <v>154</v>
      </c>
      <c r="J108" t="s">
        <v>55</v>
      </c>
    </row>
    <row r="109" spans="1:10" hidden="1" x14ac:dyDescent="0.25">
      <c r="A109" t="s">
        <v>65</v>
      </c>
      <c r="B109">
        <v>203</v>
      </c>
      <c r="C109" t="s">
        <v>377</v>
      </c>
      <c r="D109" t="s">
        <v>73</v>
      </c>
      <c r="E109" t="s">
        <v>378</v>
      </c>
      <c r="F109" t="s">
        <v>35</v>
      </c>
      <c r="G109" s="4">
        <v>0.41</v>
      </c>
      <c r="I109" t="s">
        <v>379</v>
      </c>
      <c r="J109" t="s">
        <v>55</v>
      </c>
    </row>
    <row r="110" spans="1:10" hidden="1" x14ac:dyDescent="0.25">
      <c r="A110" t="s">
        <v>178</v>
      </c>
      <c r="B110">
        <v>214</v>
      </c>
      <c r="C110" t="s">
        <v>380</v>
      </c>
      <c r="D110" t="s">
        <v>381</v>
      </c>
      <c r="E110" t="s">
        <v>382</v>
      </c>
      <c r="F110" t="s">
        <v>35</v>
      </c>
      <c r="G110" s="4">
        <v>0.5</v>
      </c>
      <c r="I110" t="s">
        <v>379</v>
      </c>
      <c r="J110" t="s">
        <v>55</v>
      </c>
    </row>
    <row r="111" spans="1:10" hidden="1" x14ac:dyDescent="0.25">
      <c r="A111" t="s">
        <v>146</v>
      </c>
      <c r="B111">
        <v>216</v>
      </c>
      <c r="C111" t="s">
        <v>386</v>
      </c>
      <c r="D111" t="s">
        <v>384</v>
      </c>
      <c r="E111" t="s">
        <v>98</v>
      </c>
      <c r="F111" t="s">
        <v>35</v>
      </c>
      <c r="G111" s="4">
        <v>0</v>
      </c>
      <c r="I111" t="s">
        <v>379</v>
      </c>
      <c r="J111" t="s">
        <v>55</v>
      </c>
    </row>
    <row r="112" spans="1:10" hidden="1" x14ac:dyDescent="0.25">
      <c r="A112" t="s">
        <v>146</v>
      </c>
      <c r="B112">
        <v>121</v>
      </c>
      <c r="C112" t="s">
        <v>237</v>
      </c>
      <c r="D112" t="s">
        <v>235</v>
      </c>
      <c r="E112" t="s">
        <v>102</v>
      </c>
      <c r="F112" t="s">
        <v>183</v>
      </c>
      <c r="G112" s="4">
        <v>0</v>
      </c>
      <c r="I112" t="s">
        <v>154</v>
      </c>
      <c r="J112" t="s">
        <v>55</v>
      </c>
    </row>
    <row r="113" spans="1:12" hidden="1" x14ac:dyDescent="0.25">
      <c r="A113" t="s">
        <v>146</v>
      </c>
      <c r="B113">
        <v>218</v>
      </c>
      <c r="C113" t="s">
        <v>389</v>
      </c>
      <c r="D113" t="s">
        <v>384</v>
      </c>
      <c r="E113" t="s">
        <v>108</v>
      </c>
      <c r="F113" t="s">
        <v>183</v>
      </c>
      <c r="G113" s="4">
        <v>0</v>
      </c>
      <c r="I113" t="s">
        <v>379</v>
      </c>
      <c r="J113" t="s">
        <v>55</v>
      </c>
    </row>
    <row r="114" spans="1:12" hidden="1" x14ac:dyDescent="0.25">
      <c r="A114" t="s">
        <v>146</v>
      </c>
      <c r="B114">
        <v>234</v>
      </c>
      <c r="C114" t="s">
        <v>390</v>
      </c>
      <c r="D114" t="s">
        <v>381</v>
      </c>
      <c r="E114" t="s">
        <v>391</v>
      </c>
      <c r="F114" t="s">
        <v>35</v>
      </c>
      <c r="G114" s="4">
        <v>0</v>
      </c>
      <c r="I114" t="s">
        <v>379</v>
      </c>
      <c r="J114" t="s">
        <v>55</v>
      </c>
    </row>
    <row r="115" spans="1:12" hidden="1" x14ac:dyDescent="0.25">
      <c r="A115" t="s">
        <v>146</v>
      </c>
      <c r="B115">
        <v>126</v>
      </c>
      <c r="C115" t="s">
        <v>244</v>
      </c>
      <c r="D115" t="s">
        <v>242</v>
      </c>
      <c r="E115" t="s">
        <v>102</v>
      </c>
      <c r="F115" t="s">
        <v>183</v>
      </c>
      <c r="G115" s="4">
        <v>0</v>
      </c>
      <c r="I115" t="s">
        <v>154</v>
      </c>
      <c r="J115" t="s">
        <v>55</v>
      </c>
    </row>
    <row r="116" spans="1:12" hidden="1" x14ac:dyDescent="0.25">
      <c r="A116" t="s">
        <v>146</v>
      </c>
      <c r="B116">
        <v>236</v>
      </c>
      <c r="C116" t="s">
        <v>395</v>
      </c>
      <c r="D116" t="s">
        <v>394</v>
      </c>
      <c r="E116" t="s">
        <v>98</v>
      </c>
      <c r="F116" t="s">
        <v>183</v>
      </c>
      <c r="G116" s="4">
        <v>0</v>
      </c>
      <c r="I116" t="s">
        <v>379</v>
      </c>
      <c r="J116" t="s">
        <v>55</v>
      </c>
    </row>
    <row r="117" spans="1:12" hidden="1" x14ac:dyDescent="0.25">
      <c r="A117" t="s">
        <v>146</v>
      </c>
      <c r="B117">
        <v>131</v>
      </c>
      <c r="C117" t="s">
        <v>251</v>
      </c>
      <c r="D117" t="s">
        <v>249</v>
      </c>
      <c r="E117" t="s">
        <v>102</v>
      </c>
      <c r="F117" t="s">
        <v>183</v>
      </c>
      <c r="G117" s="4">
        <v>0</v>
      </c>
      <c r="I117" t="s">
        <v>154</v>
      </c>
      <c r="J117" t="s">
        <v>55</v>
      </c>
    </row>
    <row r="118" spans="1:12" hidden="1" x14ac:dyDescent="0.25">
      <c r="A118" t="s">
        <v>65</v>
      </c>
      <c r="B118">
        <v>244</v>
      </c>
      <c r="C118" t="s">
        <v>401</v>
      </c>
      <c r="D118" t="s">
        <v>381</v>
      </c>
      <c r="E118" t="s">
        <v>402</v>
      </c>
      <c r="F118" t="s">
        <v>35</v>
      </c>
      <c r="G118" s="4">
        <v>0.5</v>
      </c>
      <c r="I118" t="s">
        <v>379</v>
      </c>
      <c r="J118" t="s">
        <v>55</v>
      </c>
    </row>
    <row r="119" spans="1:12" hidden="1" x14ac:dyDescent="0.25">
      <c r="A119" t="s">
        <v>133</v>
      </c>
      <c r="B119">
        <v>246</v>
      </c>
      <c r="C119" t="s">
        <v>408</v>
      </c>
      <c r="D119" t="s">
        <v>405</v>
      </c>
      <c r="E119" t="s">
        <v>98</v>
      </c>
      <c r="F119" t="s">
        <v>35</v>
      </c>
      <c r="G119" s="4">
        <v>0.5</v>
      </c>
      <c r="I119" t="s">
        <v>379</v>
      </c>
      <c r="J119" t="s">
        <v>55</v>
      </c>
    </row>
    <row r="120" spans="1:12" hidden="1" x14ac:dyDescent="0.25">
      <c r="A120" t="s">
        <v>178</v>
      </c>
      <c r="B120">
        <v>136</v>
      </c>
      <c r="C120" t="s">
        <v>262</v>
      </c>
      <c r="D120" t="s">
        <v>258</v>
      </c>
      <c r="E120" t="s">
        <v>102</v>
      </c>
      <c r="F120" t="s">
        <v>35</v>
      </c>
      <c r="G120" s="4">
        <v>0</v>
      </c>
      <c r="I120" t="s">
        <v>154</v>
      </c>
      <c r="J120" t="s">
        <v>55</v>
      </c>
      <c r="L120" t="s">
        <v>1051</v>
      </c>
    </row>
    <row r="121" spans="1:12" hidden="1" x14ac:dyDescent="0.25">
      <c r="A121" t="s">
        <v>133</v>
      </c>
      <c r="B121">
        <v>248</v>
      </c>
      <c r="C121" t="s">
        <v>410</v>
      </c>
      <c r="D121" t="s">
        <v>405</v>
      </c>
      <c r="E121" t="s">
        <v>108</v>
      </c>
      <c r="F121" t="s">
        <v>35</v>
      </c>
      <c r="G121" s="4">
        <v>0</v>
      </c>
      <c r="I121" t="s">
        <v>379</v>
      </c>
      <c r="J121" t="s">
        <v>55</v>
      </c>
    </row>
    <row r="122" spans="1:12" hidden="1" x14ac:dyDescent="0.25">
      <c r="A122" t="s">
        <v>146</v>
      </c>
      <c r="B122">
        <v>254</v>
      </c>
      <c r="C122" t="s">
        <v>412</v>
      </c>
      <c r="D122" t="s">
        <v>381</v>
      </c>
      <c r="E122" t="s">
        <v>413</v>
      </c>
      <c r="F122" t="s">
        <v>180</v>
      </c>
      <c r="G122" s="4">
        <v>0.43</v>
      </c>
      <c r="I122" t="s">
        <v>379</v>
      </c>
      <c r="J122" t="s">
        <v>55</v>
      </c>
    </row>
    <row r="123" spans="1:12" hidden="1" x14ac:dyDescent="0.25">
      <c r="A123" t="s">
        <v>146</v>
      </c>
      <c r="B123">
        <v>256</v>
      </c>
      <c r="C123" t="s">
        <v>418</v>
      </c>
      <c r="D123" t="s">
        <v>416</v>
      </c>
      <c r="E123" t="s">
        <v>98</v>
      </c>
      <c r="F123" t="s">
        <v>180</v>
      </c>
      <c r="G123" s="4">
        <v>0</v>
      </c>
      <c r="I123" t="s">
        <v>379</v>
      </c>
      <c r="J123" t="s">
        <v>55</v>
      </c>
    </row>
    <row r="124" spans="1:12" hidden="1" x14ac:dyDescent="0.25">
      <c r="A124" t="s">
        <v>178</v>
      </c>
      <c r="B124">
        <v>141</v>
      </c>
      <c r="C124" t="s">
        <v>271</v>
      </c>
      <c r="D124" t="s">
        <v>269</v>
      </c>
      <c r="E124" t="s">
        <v>102</v>
      </c>
      <c r="F124" t="s">
        <v>35</v>
      </c>
      <c r="G124" s="4">
        <v>0</v>
      </c>
      <c r="I124" t="s">
        <v>154</v>
      </c>
      <c r="J124" t="s">
        <v>55</v>
      </c>
      <c r="L124" t="s">
        <v>1051</v>
      </c>
    </row>
    <row r="125" spans="1:12" hidden="1" x14ac:dyDescent="0.25">
      <c r="A125" t="s">
        <v>150</v>
      </c>
      <c r="B125">
        <v>258</v>
      </c>
      <c r="C125" t="s">
        <v>421</v>
      </c>
      <c r="D125" t="s">
        <v>416</v>
      </c>
      <c r="E125" t="s">
        <v>108</v>
      </c>
      <c r="F125" t="s">
        <v>183</v>
      </c>
      <c r="G125" s="4">
        <v>0</v>
      </c>
      <c r="I125" t="s">
        <v>379</v>
      </c>
      <c r="J125" t="s">
        <v>55</v>
      </c>
    </row>
    <row r="126" spans="1:12" hidden="1" x14ac:dyDescent="0.25">
      <c r="A126" t="s">
        <v>146</v>
      </c>
      <c r="B126">
        <v>259</v>
      </c>
      <c r="C126" t="s">
        <v>422</v>
      </c>
      <c r="D126" t="s">
        <v>381</v>
      </c>
      <c r="E126" t="s">
        <v>423</v>
      </c>
      <c r="F126" t="s">
        <v>180</v>
      </c>
      <c r="G126" s="4">
        <v>0.43</v>
      </c>
      <c r="I126" t="s">
        <v>379</v>
      </c>
      <c r="J126" t="s">
        <v>55</v>
      </c>
    </row>
    <row r="127" spans="1:12" hidden="1" x14ac:dyDescent="0.25">
      <c r="A127" t="s">
        <v>146</v>
      </c>
      <c r="B127">
        <v>261</v>
      </c>
      <c r="C127" t="s">
        <v>426</v>
      </c>
      <c r="D127" t="s">
        <v>425</v>
      </c>
      <c r="E127" t="s">
        <v>98</v>
      </c>
      <c r="F127" t="s">
        <v>180</v>
      </c>
      <c r="G127" s="4">
        <v>0</v>
      </c>
      <c r="I127" t="s">
        <v>379</v>
      </c>
      <c r="J127" t="s">
        <v>55</v>
      </c>
    </row>
    <row r="128" spans="1:12" hidden="1" x14ac:dyDescent="0.25">
      <c r="A128" t="s">
        <v>178</v>
      </c>
      <c r="B128">
        <v>146</v>
      </c>
      <c r="C128" t="s">
        <v>278</v>
      </c>
      <c r="D128" t="s">
        <v>276</v>
      </c>
      <c r="E128" t="s">
        <v>102</v>
      </c>
      <c r="F128" t="s">
        <v>35</v>
      </c>
      <c r="G128" s="4">
        <v>0</v>
      </c>
      <c r="I128" t="s">
        <v>154</v>
      </c>
      <c r="J128" t="s">
        <v>55</v>
      </c>
      <c r="L128" t="s">
        <v>1051</v>
      </c>
    </row>
    <row r="129" spans="1:12" hidden="1" x14ac:dyDescent="0.25">
      <c r="A129" t="s">
        <v>150</v>
      </c>
      <c r="B129">
        <v>263</v>
      </c>
      <c r="C129" t="s">
        <v>428</v>
      </c>
      <c r="D129" t="s">
        <v>425</v>
      </c>
      <c r="E129" t="s">
        <v>108</v>
      </c>
      <c r="F129" t="s">
        <v>183</v>
      </c>
      <c r="G129" s="4">
        <v>0</v>
      </c>
      <c r="I129" t="s">
        <v>379</v>
      </c>
      <c r="J129" t="s">
        <v>55</v>
      </c>
    </row>
    <row r="130" spans="1:12" hidden="1" x14ac:dyDescent="0.25">
      <c r="A130" t="s">
        <v>146</v>
      </c>
      <c r="B130">
        <v>264</v>
      </c>
      <c r="C130" t="s">
        <v>429</v>
      </c>
      <c r="D130" t="s">
        <v>381</v>
      </c>
      <c r="E130" t="s">
        <v>430</v>
      </c>
      <c r="F130" t="s">
        <v>180</v>
      </c>
      <c r="G130" s="4">
        <v>0.43</v>
      </c>
      <c r="I130" t="s">
        <v>379</v>
      </c>
      <c r="J130" t="s">
        <v>55</v>
      </c>
    </row>
    <row r="131" spans="1:12" hidden="1" x14ac:dyDescent="0.25">
      <c r="A131" t="s">
        <v>146</v>
      </c>
      <c r="B131">
        <v>266</v>
      </c>
      <c r="C131" t="s">
        <v>433</v>
      </c>
      <c r="D131" t="s">
        <v>432</v>
      </c>
      <c r="E131" t="s">
        <v>98</v>
      </c>
      <c r="F131" t="s">
        <v>180</v>
      </c>
      <c r="G131" s="4">
        <v>0</v>
      </c>
      <c r="I131" t="s">
        <v>379</v>
      </c>
      <c r="J131" t="s">
        <v>55</v>
      </c>
    </row>
    <row r="132" spans="1:12" hidden="1" x14ac:dyDescent="0.25">
      <c r="A132" t="s">
        <v>178</v>
      </c>
      <c r="B132">
        <v>151</v>
      </c>
      <c r="C132" t="s">
        <v>285</v>
      </c>
      <c r="D132" t="s">
        <v>283</v>
      </c>
      <c r="E132" t="s">
        <v>102</v>
      </c>
      <c r="F132" t="s">
        <v>35</v>
      </c>
      <c r="G132" s="4">
        <v>0</v>
      </c>
      <c r="I132" t="s">
        <v>154</v>
      </c>
      <c r="J132" t="s">
        <v>55</v>
      </c>
      <c r="L132" t="s">
        <v>1051</v>
      </c>
    </row>
    <row r="133" spans="1:12" hidden="1" x14ac:dyDescent="0.25">
      <c r="A133" t="s">
        <v>150</v>
      </c>
      <c r="B133">
        <v>268</v>
      </c>
      <c r="C133" t="s">
        <v>435</v>
      </c>
      <c r="D133" t="s">
        <v>432</v>
      </c>
      <c r="E133" t="s">
        <v>108</v>
      </c>
      <c r="F133" t="s">
        <v>183</v>
      </c>
      <c r="G133" s="4">
        <v>0</v>
      </c>
      <c r="I133" t="s">
        <v>379</v>
      </c>
      <c r="J133" t="s">
        <v>55</v>
      </c>
    </row>
    <row r="134" spans="1:12" hidden="1" x14ac:dyDescent="0.25">
      <c r="A134" t="s">
        <v>146</v>
      </c>
      <c r="B134">
        <v>284</v>
      </c>
      <c r="C134" t="s">
        <v>436</v>
      </c>
      <c r="D134" t="s">
        <v>381</v>
      </c>
      <c r="E134" t="s">
        <v>437</v>
      </c>
      <c r="F134" t="s">
        <v>180</v>
      </c>
      <c r="G134" s="4">
        <v>0.43</v>
      </c>
      <c r="I134" t="s">
        <v>379</v>
      </c>
      <c r="J134" t="s">
        <v>55</v>
      </c>
    </row>
    <row r="135" spans="1:12" hidden="1" x14ac:dyDescent="0.25">
      <c r="A135" t="s">
        <v>146</v>
      </c>
      <c r="B135">
        <v>286</v>
      </c>
      <c r="C135" t="s">
        <v>440</v>
      </c>
      <c r="D135" t="s">
        <v>439</v>
      </c>
      <c r="E135" t="s">
        <v>98</v>
      </c>
      <c r="F135" t="s">
        <v>180</v>
      </c>
      <c r="G135" s="4">
        <v>0</v>
      </c>
      <c r="I135" t="s">
        <v>379</v>
      </c>
      <c r="J135" t="s">
        <v>55</v>
      </c>
    </row>
    <row r="136" spans="1:12" hidden="1" x14ac:dyDescent="0.25">
      <c r="A136" t="s">
        <v>178</v>
      </c>
      <c r="B136">
        <v>156</v>
      </c>
      <c r="C136" t="s">
        <v>294</v>
      </c>
      <c r="D136" t="s">
        <v>291</v>
      </c>
      <c r="E136" t="s">
        <v>102</v>
      </c>
      <c r="F136" t="s">
        <v>35</v>
      </c>
      <c r="G136" s="4">
        <v>0</v>
      </c>
      <c r="I136" t="s">
        <v>154</v>
      </c>
      <c r="J136" t="s">
        <v>55</v>
      </c>
      <c r="L136" t="s">
        <v>1051</v>
      </c>
    </row>
    <row r="137" spans="1:12" hidden="1" x14ac:dyDescent="0.25">
      <c r="A137" t="s">
        <v>150</v>
      </c>
      <c r="B137">
        <v>288</v>
      </c>
      <c r="C137" t="s">
        <v>442</v>
      </c>
      <c r="D137" t="s">
        <v>439</v>
      </c>
      <c r="E137" t="s">
        <v>108</v>
      </c>
      <c r="F137" t="s">
        <v>183</v>
      </c>
      <c r="G137" s="4">
        <v>0</v>
      </c>
      <c r="I137" t="s">
        <v>379</v>
      </c>
      <c r="J137" t="s">
        <v>55</v>
      </c>
    </row>
    <row r="138" spans="1:12" hidden="1" x14ac:dyDescent="0.25">
      <c r="A138" t="s">
        <v>146</v>
      </c>
      <c r="B138">
        <v>289</v>
      </c>
      <c r="C138" t="s">
        <v>443</v>
      </c>
      <c r="D138" t="s">
        <v>381</v>
      </c>
      <c r="E138" t="s">
        <v>444</v>
      </c>
      <c r="F138" t="s">
        <v>180</v>
      </c>
      <c r="G138" s="4">
        <v>0.43</v>
      </c>
      <c r="I138" t="s">
        <v>379</v>
      </c>
      <c r="J138" t="s">
        <v>55</v>
      </c>
    </row>
    <row r="139" spans="1:12" hidden="1" x14ac:dyDescent="0.25">
      <c r="A139" t="s">
        <v>146</v>
      </c>
      <c r="B139">
        <v>291</v>
      </c>
      <c r="C139" t="s">
        <v>447</v>
      </c>
      <c r="D139" t="s">
        <v>446</v>
      </c>
      <c r="E139" t="s">
        <v>98</v>
      </c>
      <c r="F139" t="s">
        <v>180</v>
      </c>
      <c r="G139" s="4">
        <v>0</v>
      </c>
      <c r="I139" t="s">
        <v>379</v>
      </c>
      <c r="J139" t="s">
        <v>55</v>
      </c>
    </row>
    <row r="140" spans="1:12" hidden="1" x14ac:dyDescent="0.25">
      <c r="A140" t="s">
        <v>178</v>
      </c>
      <c r="B140">
        <v>161</v>
      </c>
      <c r="C140" t="s">
        <v>302</v>
      </c>
      <c r="D140" t="s">
        <v>300</v>
      </c>
      <c r="E140" t="s">
        <v>102</v>
      </c>
      <c r="F140" t="s">
        <v>35</v>
      </c>
      <c r="G140" s="4">
        <v>0</v>
      </c>
      <c r="I140" t="s">
        <v>154</v>
      </c>
      <c r="J140" t="s">
        <v>55</v>
      </c>
      <c r="L140" t="s">
        <v>1051</v>
      </c>
    </row>
    <row r="141" spans="1:12" hidden="1" x14ac:dyDescent="0.25">
      <c r="A141" t="s">
        <v>150</v>
      </c>
      <c r="B141">
        <v>293</v>
      </c>
      <c r="C141" t="s">
        <v>449</v>
      </c>
      <c r="D141" t="s">
        <v>446</v>
      </c>
      <c r="E141" t="s">
        <v>108</v>
      </c>
      <c r="F141" t="s">
        <v>183</v>
      </c>
      <c r="G141" s="4">
        <v>0</v>
      </c>
      <c r="I141" t="s">
        <v>379</v>
      </c>
      <c r="J141" t="s">
        <v>55</v>
      </c>
    </row>
    <row r="142" spans="1:12" hidden="1" x14ac:dyDescent="0.25">
      <c r="A142" t="s">
        <v>146</v>
      </c>
      <c r="B142">
        <v>294</v>
      </c>
      <c r="C142" t="s">
        <v>450</v>
      </c>
      <c r="D142" t="s">
        <v>381</v>
      </c>
      <c r="E142" t="s">
        <v>451</v>
      </c>
      <c r="F142" t="s">
        <v>180</v>
      </c>
      <c r="G142" s="4">
        <v>0.43</v>
      </c>
      <c r="I142" t="s">
        <v>379</v>
      </c>
      <c r="J142" t="s">
        <v>55</v>
      </c>
    </row>
    <row r="143" spans="1:12" hidden="1" x14ac:dyDescent="0.25">
      <c r="A143" t="s">
        <v>146</v>
      </c>
      <c r="B143">
        <v>296</v>
      </c>
      <c r="C143" t="s">
        <v>454</v>
      </c>
      <c r="D143" t="s">
        <v>453</v>
      </c>
      <c r="E143" t="s">
        <v>98</v>
      </c>
      <c r="F143" t="s">
        <v>180</v>
      </c>
      <c r="G143" s="4">
        <v>0</v>
      </c>
      <c r="I143" t="s">
        <v>379</v>
      </c>
      <c r="J143" t="s">
        <v>55</v>
      </c>
    </row>
    <row r="144" spans="1:12" hidden="1" x14ac:dyDescent="0.25">
      <c r="A144" t="s">
        <v>133</v>
      </c>
      <c r="B144">
        <v>166</v>
      </c>
      <c r="C144" t="s">
        <v>313</v>
      </c>
      <c r="D144" t="s">
        <v>308</v>
      </c>
      <c r="E144" t="s">
        <v>102</v>
      </c>
      <c r="F144" t="s">
        <v>35</v>
      </c>
      <c r="G144" s="4">
        <v>0.5</v>
      </c>
      <c r="I144" t="s">
        <v>154</v>
      </c>
      <c r="J144" t="s">
        <v>55</v>
      </c>
      <c r="K144" s="8">
        <v>46224</v>
      </c>
    </row>
    <row r="145" spans="1:11" hidden="1" x14ac:dyDescent="0.25">
      <c r="A145" t="s">
        <v>150</v>
      </c>
      <c r="B145">
        <v>298</v>
      </c>
      <c r="C145" t="s">
        <v>456</v>
      </c>
      <c r="D145" t="s">
        <v>453</v>
      </c>
      <c r="E145" t="s">
        <v>108</v>
      </c>
      <c r="F145" t="s">
        <v>183</v>
      </c>
      <c r="G145" s="4">
        <v>0</v>
      </c>
      <c r="I145" t="s">
        <v>379</v>
      </c>
      <c r="J145" t="s">
        <v>55</v>
      </c>
    </row>
    <row r="146" spans="1:11" hidden="1" x14ac:dyDescent="0.25">
      <c r="A146" t="s">
        <v>146</v>
      </c>
      <c r="B146">
        <v>299</v>
      </c>
      <c r="C146" t="s">
        <v>457</v>
      </c>
      <c r="D146" t="s">
        <v>381</v>
      </c>
      <c r="E146" t="s">
        <v>458</v>
      </c>
      <c r="F146" t="s">
        <v>180</v>
      </c>
      <c r="G146" s="4">
        <v>0.43</v>
      </c>
      <c r="I146" t="s">
        <v>379</v>
      </c>
      <c r="J146" t="s">
        <v>55</v>
      </c>
    </row>
    <row r="147" spans="1:11" hidden="1" x14ac:dyDescent="0.25">
      <c r="A147" t="s">
        <v>146</v>
      </c>
      <c r="B147">
        <v>301</v>
      </c>
      <c r="C147" t="s">
        <v>461</v>
      </c>
      <c r="D147" t="s">
        <v>460</v>
      </c>
      <c r="E147" t="s">
        <v>98</v>
      </c>
      <c r="F147" t="s">
        <v>180</v>
      </c>
      <c r="G147" s="4">
        <v>0</v>
      </c>
      <c r="I147" t="s">
        <v>379</v>
      </c>
      <c r="J147" t="s">
        <v>55</v>
      </c>
    </row>
    <row r="148" spans="1:11" hidden="1" x14ac:dyDescent="0.25">
      <c r="A148" t="s">
        <v>133</v>
      </c>
      <c r="B148">
        <v>171</v>
      </c>
      <c r="C148" t="s">
        <v>323</v>
      </c>
      <c r="D148" t="s">
        <v>319</v>
      </c>
      <c r="E148" t="s">
        <v>102</v>
      </c>
      <c r="F148" t="s">
        <v>35</v>
      </c>
      <c r="G148" s="4">
        <v>0</v>
      </c>
      <c r="I148" t="s">
        <v>154</v>
      </c>
      <c r="J148" t="s">
        <v>55</v>
      </c>
      <c r="K148" s="8">
        <v>46224</v>
      </c>
    </row>
    <row r="149" spans="1:11" hidden="1" x14ac:dyDescent="0.25">
      <c r="A149" t="s">
        <v>150</v>
      </c>
      <c r="B149">
        <v>303</v>
      </c>
      <c r="C149" t="s">
        <v>465</v>
      </c>
      <c r="D149" t="s">
        <v>460</v>
      </c>
      <c r="E149" t="s">
        <v>108</v>
      </c>
      <c r="F149" t="s">
        <v>183</v>
      </c>
      <c r="G149" s="4">
        <v>0</v>
      </c>
      <c r="I149" t="s">
        <v>379</v>
      </c>
      <c r="J149" t="s">
        <v>55</v>
      </c>
    </row>
    <row r="150" spans="1:11" hidden="1" x14ac:dyDescent="0.25">
      <c r="A150" t="s">
        <v>146</v>
      </c>
      <c r="B150">
        <v>304</v>
      </c>
      <c r="C150" t="s">
        <v>467</v>
      </c>
      <c r="D150" t="s">
        <v>381</v>
      </c>
      <c r="E150" t="s">
        <v>468</v>
      </c>
      <c r="F150" t="s">
        <v>180</v>
      </c>
      <c r="G150" s="4">
        <v>0.43</v>
      </c>
      <c r="I150" t="s">
        <v>379</v>
      </c>
      <c r="J150" t="s">
        <v>55</v>
      </c>
    </row>
    <row r="151" spans="1:11" hidden="1" x14ac:dyDescent="0.25">
      <c r="A151" t="s">
        <v>146</v>
      </c>
      <c r="B151">
        <v>306</v>
      </c>
      <c r="C151" t="s">
        <v>471</v>
      </c>
      <c r="D151" t="s">
        <v>470</v>
      </c>
      <c r="E151" t="s">
        <v>98</v>
      </c>
      <c r="F151" t="s">
        <v>180</v>
      </c>
      <c r="G151" s="4">
        <v>0</v>
      </c>
      <c r="I151" t="s">
        <v>379</v>
      </c>
      <c r="J151" t="s">
        <v>55</v>
      </c>
    </row>
    <row r="152" spans="1:11" hidden="1" x14ac:dyDescent="0.25">
      <c r="A152" t="s">
        <v>133</v>
      </c>
      <c r="B152">
        <v>176</v>
      </c>
      <c r="C152" t="s">
        <v>332</v>
      </c>
      <c r="D152" t="s">
        <v>329</v>
      </c>
      <c r="E152" t="s">
        <v>102</v>
      </c>
      <c r="F152" t="s">
        <v>35</v>
      </c>
      <c r="G152" s="4">
        <v>0.5</v>
      </c>
      <c r="I152" t="s">
        <v>154</v>
      </c>
      <c r="J152" t="s">
        <v>55</v>
      </c>
      <c r="K152" s="8">
        <v>46224</v>
      </c>
    </row>
    <row r="153" spans="1:11" hidden="1" x14ac:dyDescent="0.25">
      <c r="A153" t="s">
        <v>150</v>
      </c>
      <c r="B153">
        <v>308</v>
      </c>
      <c r="C153" t="s">
        <v>473</v>
      </c>
      <c r="D153" t="s">
        <v>470</v>
      </c>
      <c r="E153" t="s">
        <v>108</v>
      </c>
      <c r="F153" t="s">
        <v>183</v>
      </c>
      <c r="G153" s="4">
        <v>0</v>
      </c>
      <c r="I153" t="s">
        <v>379</v>
      </c>
      <c r="J153" t="s">
        <v>55</v>
      </c>
    </row>
    <row r="154" spans="1:11" hidden="1" x14ac:dyDescent="0.25">
      <c r="A154" t="s">
        <v>146</v>
      </c>
      <c r="B154">
        <v>314</v>
      </c>
      <c r="C154" t="s">
        <v>474</v>
      </c>
      <c r="D154" t="s">
        <v>381</v>
      </c>
      <c r="E154" t="s">
        <v>475</v>
      </c>
      <c r="F154" t="s">
        <v>35</v>
      </c>
      <c r="G154" s="4">
        <v>0.43</v>
      </c>
      <c r="I154" t="s">
        <v>379</v>
      </c>
      <c r="J154" t="s">
        <v>55</v>
      </c>
    </row>
    <row r="155" spans="1:11" hidden="1" x14ac:dyDescent="0.25">
      <c r="A155" t="s">
        <v>146</v>
      </c>
      <c r="B155">
        <v>316</v>
      </c>
      <c r="C155" t="s">
        <v>478</v>
      </c>
      <c r="D155" t="s">
        <v>477</v>
      </c>
      <c r="E155" t="s">
        <v>98</v>
      </c>
      <c r="F155" t="s">
        <v>35</v>
      </c>
      <c r="G155" s="4">
        <v>0</v>
      </c>
      <c r="I155" t="s">
        <v>379</v>
      </c>
      <c r="J155" t="s">
        <v>55</v>
      </c>
    </row>
    <row r="156" spans="1:11" hidden="1" x14ac:dyDescent="0.25">
      <c r="A156" t="s">
        <v>133</v>
      </c>
      <c r="B156">
        <v>181</v>
      </c>
      <c r="C156" t="s">
        <v>340</v>
      </c>
      <c r="D156" t="s">
        <v>337</v>
      </c>
      <c r="E156" t="s">
        <v>102</v>
      </c>
      <c r="F156" t="s">
        <v>35</v>
      </c>
      <c r="G156" s="4">
        <v>0</v>
      </c>
      <c r="I156" t="s">
        <v>154</v>
      </c>
      <c r="J156" t="s">
        <v>55</v>
      </c>
    </row>
    <row r="157" spans="1:11" hidden="1" x14ac:dyDescent="0.25">
      <c r="A157" t="s">
        <v>150</v>
      </c>
      <c r="B157">
        <v>318</v>
      </c>
      <c r="C157" t="s">
        <v>480</v>
      </c>
      <c r="D157" t="s">
        <v>477</v>
      </c>
      <c r="E157" t="s">
        <v>108</v>
      </c>
      <c r="F157" t="s">
        <v>183</v>
      </c>
      <c r="G157" s="4">
        <v>0</v>
      </c>
      <c r="I157" t="s">
        <v>379</v>
      </c>
      <c r="J157" t="s">
        <v>55</v>
      </c>
    </row>
    <row r="158" spans="1:11" hidden="1" x14ac:dyDescent="0.25">
      <c r="A158" t="s">
        <v>133</v>
      </c>
      <c r="B158">
        <v>324</v>
      </c>
      <c r="C158" t="s">
        <v>481</v>
      </c>
      <c r="D158" t="s">
        <v>73</v>
      </c>
      <c r="E158" t="s">
        <v>482</v>
      </c>
      <c r="F158" t="s">
        <v>35</v>
      </c>
      <c r="G158" s="4">
        <v>0.06</v>
      </c>
      <c r="I158" t="s">
        <v>484</v>
      </c>
      <c r="J158" t="s">
        <v>55</v>
      </c>
    </row>
    <row r="159" spans="1:11" hidden="1" x14ac:dyDescent="0.25">
      <c r="A159" t="s">
        <v>178</v>
      </c>
      <c r="B159">
        <v>330</v>
      </c>
      <c r="C159" t="s">
        <v>485</v>
      </c>
      <c r="D159" t="s">
        <v>486</v>
      </c>
      <c r="E159" t="s">
        <v>487</v>
      </c>
      <c r="F159" t="s">
        <v>35</v>
      </c>
      <c r="G159" s="4">
        <v>0.5</v>
      </c>
      <c r="I159" t="s">
        <v>484</v>
      </c>
      <c r="J159" t="s">
        <v>55</v>
      </c>
    </row>
    <row r="160" spans="1:11" hidden="1" x14ac:dyDescent="0.25">
      <c r="A160" t="s">
        <v>146</v>
      </c>
      <c r="B160">
        <v>332</v>
      </c>
      <c r="C160" t="s">
        <v>493</v>
      </c>
      <c r="D160" t="s">
        <v>490</v>
      </c>
      <c r="E160" t="s">
        <v>98</v>
      </c>
      <c r="F160" t="s">
        <v>35</v>
      </c>
      <c r="G160" s="4">
        <v>0</v>
      </c>
      <c r="I160" t="s">
        <v>484</v>
      </c>
      <c r="J160" t="s">
        <v>55</v>
      </c>
    </row>
    <row r="161" spans="1:12" hidden="1" x14ac:dyDescent="0.25">
      <c r="A161" t="s">
        <v>168</v>
      </c>
      <c r="B161">
        <v>186</v>
      </c>
      <c r="C161" t="s">
        <v>351</v>
      </c>
      <c r="D161" t="s">
        <v>345</v>
      </c>
      <c r="E161" t="s">
        <v>102</v>
      </c>
      <c r="F161" t="s">
        <v>35</v>
      </c>
      <c r="G161" s="4">
        <v>1</v>
      </c>
      <c r="I161" t="s">
        <v>154</v>
      </c>
      <c r="J161" t="s">
        <v>55</v>
      </c>
    </row>
    <row r="162" spans="1:12" hidden="1" x14ac:dyDescent="0.25">
      <c r="A162" t="s">
        <v>146</v>
      </c>
      <c r="B162">
        <v>334</v>
      </c>
      <c r="C162" t="s">
        <v>496</v>
      </c>
      <c r="D162" t="s">
        <v>490</v>
      </c>
      <c r="E162" t="s">
        <v>108</v>
      </c>
      <c r="F162" t="s">
        <v>183</v>
      </c>
      <c r="G162" s="4">
        <v>0</v>
      </c>
      <c r="I162" t="s">
        <v>484</v>
      </c>
      <c r="J162" t="s">
        <v>55</v>
      </c>
    </row>
    <row r="163" spans="1:12" hidden="1" x14ac:dyDescent="0.25">
      <c r="A163" t="s">
        <v>150</v>
      </c>
      <c r="B163">
        <v>335</v>
      </c>
      <c r="C163" t="s">
        <v>498</v>
      </c>
      <c r="D163" t="s">
        <v>486</v>
      </c>
      <c r="E163" t="s">
        <v>499</v>
      </c>
      <c r="F163" t="s">
        <v>35</v>
      </c>
      <c r="G163" s="4">
        <v>0</v>
      </c>
      <c r="I163" t="s">
        <v>484</v>
      </c>
      <c r="J163" t="s">
        <v>55</v>
      </c>
    </row>
    <row r="164" spans="1:12" hidden="1" x14ac:dyDescent="0.25">
      <c r="A164" t="s">
        <v>178</v>
      </c>
      <c r="B164">
        <v>191</v>
      </c>
      <c r="C164" t="s">
        <v>361</v>
      </c>
      <c r="D164" t="s">
        <v>358</v>
      </c>
      <c r="E164" t="s">
        <v>102</v>
      </c>
      <c r="F164" t="s">
        <v>35</v>
      </c>
      <c r="G164" s="4">
        <v>0</v>
      </c>
      <c r="I164" t="s">
        <v>154</v>
      </c>
      <c r="J164" t="s">
        <v>55</v>
      </c>
      <c r="L164" t="s">
        <v>1051</v>
      </c>
    </row>
    <row r="165" spans="1:12" hidden="1" x14ac:dyDescent="0.25">
      <c r="A165" t="s">
        <v>150</v>
      </c>
      <c r="B165">
        <v>337</v>
      </c>
      <c r="C165" t="s">
        <v>503</v>
      </c>
      <c r="D165" t="s">
        <v>502</v>
      </c>
      <c r="E165" t="s">
        <v>98</v>
      </c>
      <c r="F165" t="s">
        <v>183</v>
      </c>
      <c r="G165" s="4">
        <v>0</v>
      </c>
      <c r="I165" t="s">
        <v>484</v>
      </c>
      <c r="J165" t="s">
        <v>55</v>
      </c>
    </row>
    <row r="166" spans="1:12" hidden="1" x14ac:dyDescent="0.25">
      <c r="A166" t="s">
        <v>178</v>
      </c>
      <c r="B166">
        <v>196</v>
      </c>
      <c r="C166" t="s">
        <v>368</v>
      </c>
      <c r="D166" t="s">
        <v>366</v>
      </c>
      <c r="E166" t="s">
        <v>102</v>
      </c>
      <c r="F166" t="s">
        <v>35</v>
      </c>
      <c r="G166" s="4">
        <v>0</v>
      </c>
      <c r="I166" t="s">
        <v>154</v>
      </c>
      <c r="J166" t="s">
        <v>55</v>
      </c>
    </row>
    <row r="167" spans="1:12" hidden="1" x14ac:dyDescent="0.25">
      <c r="A167" t="s">
        <v>133</v>
      </c>
      <c r="B167">
        <v>345</v>
      </c>
      <c r="C167" t="s">
        <v>507</v>
      </c>
      <c r="D167" t="s">
        <v>486</v>
      </c>
      <c r="E167" t="s">
        <v>508</v>
      </c>
      <c r="F167" t="s">
        <v>35</v>
      </c>
      <c r="G167" s="4">
        <v>0.5</v>
      </c>
      <c r="I167" t="s">
        <v>484</v>
      </c>
      <c r="J167" t="s">
        <v>55</v>
      </c>
    </row>
    <row r="168" spans="1:12" hidden="1" x14ac:dyDescent="0.25">
      <c r="A168" t="s">
        <v>178</v>
      </c>
      <c r="B168">
        <v>347</v>
      </c>
      <c r="C168" t="s">
        <v>513</v>
      </c>
      <c r="D168" t="s">
        <v>510</v>
      </c>
      <c r="E168" t="s">
        <v>98</v>
      </c>
      <c r="F168" t="s">
        <v>35</v>
      </c>
      <c r="G168" s="4">
        <v>0</v>
      </c>
      <c r="I168" t="s">
        <v>484</v>
      </c>
      <c r="J168" t="s">
        <v>55</v>
      </c>
    </row>
    <row r="169" spans="1:12" hidden="1" x14ac:dyDescent="0.25">
      <c r="A169" t="s">
        <v>178</v>
      </c>
      <c r="B169">
        <v>201</v>
      </c>
      <c r="C169" t="s">
        <v>375</v>
      </c>
      <c r="D169" t="s">
        <v>373</v>
      </c>
      <c r="E169" t="s">
        <v>102</v>
      </c>
      <c r="F169" t="s">
        <v>35</v>
      </c>
      <c r="G169" s="4">
        <v>0</v>
      </c>
      <c r="I169" t="s">
        <v>154</v>
      </c>
      <c r="J169" t="s">
        <v>55</v>
      </c>
      <c r="L169" t="s">
        <v>1051</v>
      </c>
    </row>
    <row r="170" spans="1:12" hidden="1" x14ac:dyDescent="0.25">
      <c r="A170" t="s">
        <v>178</v>
      </c>
      <c r="B170">
        <v>349</v>
      </c>
      <c r="C170" t="s">
        <v>515</v>
      </c>
      <c r="D170" t="s">
        <v>510</v>
      </c>
      <c r="E170" t="s">
        <v>108</v>
      </c>
      <c r="F170" t="s">
        <v>183</v>
      </c>
      <c r="G170" s="4">
        <v>0</v>
      </c>
      <c r="I170" t="s">
        <v>484</v>
      </c>
      <c r="J170" t="s">
        <v>55</v>
      </c>
    </row>
    <row r="171" spans="1:12" hidden="1" x14ac:dyDescent="0.25">
      <c r="A171" t="s">
        <v>146</v>
      </c>
      <c r="B171">
        <v>350</v>
      </c>
      <c r="C171" t="s">
        <v>516</v>
      </c>
      <c r="D171" t="s">
        <v>486</v>
      </c>
      <c r="E171" t="s">
        <v>517</v>
      </c>
      <c r="F171" t="s">
        <v>183</v>
      </c>
      <c r="G171" s="4">
        <v>0</v>
      </c>
      <c r="I171" t="s">
        <v>484</v>
      </c>
      <c r="J171" t="s">
        <v>55</v>
      </c>
    </row>
    <row r="172" spans="1:12" hidden="1" x14ac:dyDescent="0.25">
      <c r="A172" t="s">
        <v>146</v>
      </c>
      <c r="B172">
        <v>217</v>
      </c>
      <c r="C172" t="s">
        <v>388</v>
      </c>
      <c r="D172" t="s">
        <v>384</v>
      </c>
      <c r="E172" t="s">
        <v>102</v>
      </c>
      <c r="F172" t="s">
        <v>180</v>
      </c>
      <c r="G172" s="4">
        <v>0</v>
      </c>
      <c r="I172" t="s">
        <v>379</v>
      </c>
      <c r="J172" t="s">
        <v>55</v>
      </c>
      <c r="L172" t="s">
        <v>1056</v>
      </c>
    </row>
    <row r="173" spans="1:12" hidden="1" x14ac:dyDescent="0.25">
      <c r="A173" t="s">
        <v>146</v>
      </c>
      <c r="B173">
        <v>355</v>
      </c>
      <c r="C173" t="s">
        <v>523</v>
      </c>
      <c r="D173" t="s">
        <v>486</v>
      </c>
      <c r="E173" t="s">
        <v>524</v>
      </c>
      <c r="F173" t="s">
        <v>183</v>
      </c>
      <c r="G173" s="4">
        <v>0</v>
      </c>
      <c r="I173" t="s">
        <v>484</v>
      </c>
      <c r="J173" t="s">
        <v>55</v>
      </c>
    </row>
    <row r="174" spans="1:12" hidden="1" x14ac:dyDescent="0.25">
      <c r="A174" t="s">
        <v>146</v>
      </c>
      <c r="B174">
        <v>237</v>
      </c>
      <c r="C174" t="s">
        <v>397</v>
      </c>
      <c r="D174" t="s">
        <v>394</v>
      </c>
      <c r="E174" t="s">
        <v>102</v>
      </c>
      <c r="F174" t="s">
        <v>183</v>
      </c>
      <c r="G174" s="4">
        <v>0</v>
      </c>
      <c r="I174" t="s">
        <v>379</v>
      </c>
      <c r="J174" t="s">
        <v>55</v>
      </c>
    </row>
    <row r="175" spans="1:12" hidden="1" x14ac:dyDescent="0.25">
      <c r="A175" t="s">
        <v>146</v>
      </c>
      <c r="B175">
        <v>360</v>
      </c>
      <c r="C175" t="s">
        <v>530</v>
      </c>
      <c r="D175" t="s">
        <v>486</v>
      </c>
      <c r="E175" t="s">
        <v>531</v>
      </c>
      <c r="F175" t="s">
        <v>183</v>
      </c>
      <c r="G175" s="4">
        <v>0</v>
      </c>
      <c r="I175" t="s">
        <v>484</v>
      </c>
      <c r="J175" t="s">
        <v>55</v>
      </c>
    </row>
    <row r="176" spans="1:12" hidden="1" x14ac:dyDescent="0.25">
      <c r="A176" t="s">
        <v>133</v>
      </c>
      <c r="B176">
        <v>247</v>
      </c>
      <c r="C176" t="s">
        <v>409</v>
      </c>
      <c r="D176" t="s">
        <v>405</v>
      </c>
      <c r="E176" t="s">
        <v>102</v>
      </c>
      <c r="F176" t="s">
        <v>35</v>
      </c>
      <c r="G176" s="4">
        <v>0</v>
      </c>
      <c r="I176" t="s">
        <v>379</v>
      </c>
      <c r="J176" t="s">
        <v>55</v>
      </c>
      <c r="L176" t="s">
        <v>1055</v>
      </c>
    </row>
    <row r="177" spans="1:12" hidden="1" x14ac:dyDescent="0.25">
      <c r="A177" t="s">
        <v>146</v>
      </c>
      <c r="B177">
        <v>365</v>
      </c>
      <c r="C177" t="s">
        <v>537</v>
      </c>
      <c r="D177" t="s">
        <v>486</v>
      </c>
      <c r="E177" t="s">
        <v>538</v>
      </c>
      <c r="F177" t="s">
        <v>183</v>
      </c>
      <c r="G177" s="4">
        <v>0</v>
      </c>
      <c r="I177" t="s">
        <v>484</v>
      </c>
      <c r="J177" t="s">
        <v>55</v>
      </c>
    </row>
    <row r="178" spans="1:12" hidden="1" x14ac:dyDescent="0.25">
      <c r="A178" t="s">
        <v>150</v>
      </c>
      <c r="B178">
        <v>257</v>
      </c>
      <c r="C178" t="s">
        <v>419</v>
      </c>
      <c r="D178" t="s">
        <v>416</v>
      </c>
      <c r="E178" t="s">
        <v>102</v>
      </c>
      <c r="F178" t="s">
        <v>183</v>
      </c>
      <c r="G178" s="4">
        <v>0</v>
      </c>
      <c r="I178" t="s">
        <v>379</v>
      </c>
      <c r="J178" t="s">
        <v>55</v>
      </c>
      <c r="L178" t="s">
        <v>1055</v>
      </c>
    </row>
    <row r="179" spans="1:12" hidden="1" x14ac:dyDescent="0.25">
      <c r="A179" t="s">
        <v>146</v>
      </c>
      <c r="B179">
        <v>370</v>
      </c>
      <c r="C179" t="s">
        <v>544</v>
      </c>
      <c r="D179" t="s">
        <v>486</v>
      </c>
      <c r="E179" t="s">
        <v>545</v>
      </c>
      <c r="F179" t="s">
        <v>183</v>
      </c>
      <c r="G179" s="4">
        <v>0</v>
      </c>
      <c r="I179" t="s">
        <v>484</v>
      </c>
      <c r="J179" t="s">
        <v>55</v>
      </c>
    </row>
    <row r="180" spans="1:12" hidden="1" x14ac:dyDescent="0.25">
      <c r="A180" t="s">
        <v>150</v>
      </c>
      <c r="B180">
        <v>262</v>
      </c>
      <c r="C180" t="s">
        <v>427</v>
      </c>
      <c r="D180" t="s">
        <v>425</v>
      </c>
      <c r="E180" t="s">
        <v>102</v>
      </c>
      <c r="F180" t="s">
        <v>183</v>
      </c>
      <c r="G180" s="4">
        <v>0</v>
      </c>
      <c r="I180" t="s">
        <v>379</v>
      </c>
      <c r="J180" t="s">
        <v>55</v>
      </c>
      <c r="L180" t="s">
        <v>1055</v>
      </c>
    </row>
    <row r="181" spans="1:12" hidden="1" x14ac:dyDescent="0.25">
      <c r="A181" t="s">
        <v>146</v>
      </c>
      <c r="B181">
        <v>375</v>
      </c>
      <c r="C181" t="s">
        <v>551</v>
      </c>
      <c r="D181" t="s">
        <v>486</v>
      </c>
      <c r="E181" t="s">
        <v>552</v>
      </c>
      <c r="F181" t="s">
        <v>183</v>
      </c>
      <c r="G181" s="4">
        <v>0</v>
      </c>
      <c r="I181" t="s">
        <v>484</v>
      </c>
      <c r="J181" t="s">
        <v>55</v>
      </c>
    </row>
    <row r="182" spans="1:12" hidden="1" x14ac:dyDescent="0.25">
      <c r="A182" t="s">
        <v>150</v>
      </c>
      <c r="B182">
        <v>267</v>
      </c>
      <c r="C182" t="s">
        <v>434</v>
      </c>
      <c r="D182" t="s">
        <v>432</v>
      </c>
      <c r="E182" t="s">
        <v>102</v>
      </c>
      <c r="F182" t="s">
        <v>183</v>
      </c>
      <c r="G182" s="4">
        <v>0</v>
      </c>
      <c r="I182" t="s">
        <v>379</v>
      </c>
      <c r="J182" t="s">
        <v>55</v>
      </c>
      <c r="L182" t="s">
        <v>1055</v>
      </c>
    </row>
    <row r="183" spans="1:12" hidden="1" x14ac:dyDescent="0.25">
      <c r="A183" t="s">
        <v>146</v>
      </c>
      <c r="B183">
        <v>380</v>
      </c>
      <c r="C183" t="s">
        <v>558</v>
      </c>
      <c r="D183" t="s">
        <v>486</v>
      </c>
      <c r="E183" t="s">
        <v>559</v>
      </c>
      <c r="F183" t="s">
        <v>183</v>
      </c>
      <c r="G183" s="4">
        <v>0</v>
      </c>
      <c r="I183" t="s">
        <v>484</v>
      </c>
      <c r="J183" t="s">
        <v>55</v>
      </c>
    </row>
    <row r="184" spans="1:12" hidden="1" x14ac:dyDescent="0.25">
      <c r="A184" t="s">
        <v>150</v>
      </c>
      <c r="B184">
        <v>287</v>
      </c>
      <c r="C184" t="s">
        <v>441</v>
      </c>
      <c r="D184" t="s">
        <v>439</v>
      </c>
      <c r="E184" t="s">
        <v>102</v>
      </c>
      <c r="F184" t="s">
        <v>183</v>
      </c>
      <c r="G184" s="4">
        <v>0</v>
      </c>
      <c r="I184" t="s">
        <v>379</v>
      </c>
      <c r="J184" t="s">
        <v>55</v>
      </c>
      <c r="L184" t="s">
        <v>1055</v>
      </c>
    </row>
    <row r="185" spans="1:12" hidden="1" x14ac:dyDescent="0.25">
      <c r="A185" t="s">
        <v>146</v>
      </c>
      <c r="B185">
        <v>385</v>
      </c>
      <c r="C185" t="s">
        <v>565</v>
      </c>
      <c r="D185" t="s">
        <v>486</v>
      </c>
      <c r="E185" t="s">
        <v>566</v>
      </c>
      <c r="F185" t="s">
        <v>183</v>
      </c>
      <c r="G185" s="4">
        <v>0</v>
      </c>
      <c r="I185" t="s">
        <v>484</v>
      </c>
      <c r="J185" t="s">
        <v>55</v>
      </c>
    </row>
    <row r="186" spans="1:12" hidden="1" x14ac:dyDescent="0.25">
      <c r="A186" t="s">
        <v>150</v>
      </c>
      <c r="B186">
        <v>292</v>
      </c>
      <c r="C186" t="s">
        <v>448</v>
      </c>
      <c r="D186" t="s">
        <v>446</v>
      </c>
      <c r="E186" t="s">
        <v>102</v>
      </c>
      <c r="F186" t="s">
        <v>183</v>
      </c>
      <c r="G186" s="4">
        <v>0</v>
      </c>
      <c r="I186" t="s">
        <v>379</v>
      </c>
      <c r="J186" t="s">
        <v>55</v>
      </c>
      <c r="L186" t="s">
        <v>1055</v>
      </c>
    </row>
    <row r="187" spans="1:12" hidden="1" x14ac:dyDescent="0.25">
      <c r="A187" t="s">
        <v>146</v>
      </c>
      <c r="B187">
        <v>390</v>
      </c>
      <c r="C187" t="s">
        <v>572</v>
      </c>
      <c r="D187" t="s">
        <v>486</v>
      </c>
      <c r="E187" t="s">
        <v>573</v>
      </c>
      <c r="F187" t="s">
        <v>183</v>
      </c>
      <c r="G187" s="4">
        <v>0</v>
      </c>
      <c r="I187" t="s">
        <v>484</v>
      </c>
      <c r="J187" t="s">
        <v>55</v>
      </c>
    </row>
    <row r="188" spans="1:12" hidden="1" x14ac:dyDescent="0.25">
      <c r="A188" t="s">
        <v>150</v>
      </c>
      <c r="B188">
        <v>297</v>
      </c>
      <c r="C188" t="s">
        <v>455</v>
      </c>
      <c r="D188" t="s">
        <v>453</v>
      </c>
      <c r="E188" t="s">
        <v>102</v>
      </c>
      <c r="F188" t="s">
        <v>183</v>
      </c>
      <c r="G188" s="4">
        <v>0</v>
      </c>
      <c r="I188" t="s">
        <v>379</v>
      </c>
      <c r="J188" t="s">
        <v>55</v>
      </c>
      <c r="L188" t="s">
        <v>1055</v>
      </c>
    </row>
    <row r="189" spans="1:12" hidden="1" x14ac:dyDescent="0.25">
      <c r="A189" t="s">
        <v>146</v>
      </c>
      <c r="B189">
        <v>395</v>
      </c>
      <c r="C189" t="s">
        <v>579</v>
      </c>
      <c r="D189" t="s">
        <v>486</v>
      </c>
      <c r="E189" t="s">
        <v>580</v>
      </c>
      <c r="F189" t="s">
        <v>183</v>
      </c>
      <c r="G189" s="4">
        <v>0</v>
      </c>
      <c r="I189" t="s">
        <v>484</v>
      </c>
      <c r="J189" t="s">
        <v>55</v>
      </c>
    </row>
    <row r="190" spans="1:12" hidden="1" x14ac:dyDescent="0.25">
      <c r="A190" t="s">
        <v>150</v>
      </c>
      <c r="B190">
        <v>302</v>
      </c>
      <c r="C190" t="s">
        <v>463</v>
      </c>
      <c r="D190" t="s">
        <v>460</v>
      </c>
      <c r="E190" t="s">
        <v>102</v>
      </c>
      <c r="F190" t="s">
        <v>183</v>
      </c>
      <c r="G190" s="4">
        <v>0</v>
      </c>
      <c r="I190" t="s">
        <v>379</v>
      </c>
      <c r="J190" t="s">
        <v>55</v>
      </c>
      <c r="L190" t="s">
        <v>1055</v>
      </c>
    </row>
    <row r="191" spans="1:12" hidden="1" x14ac:dyDescent="0.25">
      <c r="A191" t="s">
        <v>146</v>
      </c>
      <c r="B191">
        <v>400</v>
      </c>
      <c r="C191" t="s">
        <v>586</v>
      </c>
      <c r="D191" t="s">
        <v>486</v>
      </c>
      <c r="E191" t="s">
        <v>587</v>
      </c>
      <c r="F191" t="s">
        <v>35</v>
      </c>
      <c r="G191" s="4">
        <v>0</v>
      </c>
      <c r="I191" t="s">
        <v>484</v>
      </c>
      <c r="J191" t="s">
        <v>55</v>
      </c>
    </row>
    <row r="192" spans="1:12" hidden="1" x14ac:dyDescent="0.25">
      <c r="A192" t="s">
        <v>150</v>
      </c>
      <c r="B192">
        <v>307</v>
      </c>
      <c r="C192" t="s">
        <v>472</v>
      </c>
      <c r="D192" t="s">
        <v>470</v>
      </c>
      <c r="E192" t="s">
        <v>102</v>
      </c>
      <c r="F192" t="s">
        <v>183</v>
      </c>
      <c r="G192" s="4">
        <v>0</v>
      </c>
      <c r="I192" t="s">
        <v>379</v>
      </c>
      <c r="J192" t="s">
        <v>55</v>
      </c>
      <c r="L192" t="s">
        <v>1055</v>
      </c>
    </row>
    <row r="193" spans="1:12" hidden="1" x14ac:dyDescent="0.25">
      <c r="A193" t="s">
        <v>150</v>
      </c>
      <c r="B193">
        <v>402</v>
      </c>
      <c r="C193" t="s">
        <v>592</v>
      </c>
      <c r="D193" t="s">
        <v>589</v>
      </c>
      <c r="E193" t="s">
        <v>98</v>
      </c>
      <c r="F193" t="s">
        <v>180</v>
      </c>
      <c r="G193" s="4">
        <v>0</v>
      </c>
      <c r="I193" t="s">
        <v>484</v>
      </c>
      <c r="J193" t="s">
        <v>55</v>
      </c>
    </row>
    <row r="194" spans="1:12" hidden="1" x14ac:dyDescent="0.25">
      <c r="A194" t="s">
        <v>150</v>
      </c>
      <c r="B194">
        <v>317</v>
      </c>
      <c r="C194" t="s">
        <v>479</v>
      </c>
      <c r="D194" t="s">
        <v>477</v>
      </c>
      <c r="E194" t="s">
        <v>102</v>
      </c>
      <c r="F194" t="s">
        <v>35</v>
      </c>
      <c r="G194" s="4">
        <v>0</v>
      </c>
      <c r="I194" t="s">
        <v>379</v>
      </c>
      <c r="J194" t="s">
        <v>55</v>
      </c>
      <c r="L194" t="s">
        <v>1055</v>
      </c>
    </row>
    <row r="195" spans="1:12" hidden="1" x14ac:dyDescent="0.25">
      <c r="A195" t="s">
        <v>150</v>
      </c>
      <c r="B195">
        <v>404</v>
      </c>
      <c r="C195" t="s">
        <v>594</v>
      </c>
      <c r="D195" t="s">
        <v>589</v>
      </c>
      <c r="E195" t="s">
        <v>108</v>
      </c>
      <c r="F195" t="s">
        <v>183</v>
      </c>
      <c r="G195" s="4">
        <v>0</v>
      </c>
      <c r="I195" t="s">
        <v>484</v>
      </c>
      <c r="J195" t="s">
        <v>55</v>
      </c>
    </row>
    <row r="196" spans="1:12" hidden="1" x14ac:dyDescent="0.25">
      <c r="A196" t="s">
        <v>110</v>
      </c>
      <c r="B196">
        <v>405</v>
      </c>
      <c r="C196" t="s">
        <v>595</v>
      </c>
      <c r="D196" t="s">
        <v>73</v>
      </c>
      <c r="E196" t="s">
        <v>596</v>
      </c>
      <c r="F196" t="s">
        <v>35</v>
      </c>
      <c r="G196" s="4">
        <v>0.73</v>
      </c>
      <c r="I196" t="s">
        <v>598</v>
      </c>
      <c r="J196" t="s">
        <v>55</v>
      </c>
    </row>
    <row r="197" spans="1:12" hidden="1" x14ac:dyDescent="0.25">
      <c r="A197" t="s">
        <v>168</v>
      </c>
      <c r="B197">
        <v>416</v>
      </c>
      <c r="C197" t="s">
        <v>599</v>
      </c>
      <c r="D197" t="s">
        <v>600</v>
      </c>
      <c r="E197" t="s">
        <v>601</v>
      </c>
      <c r="F197" t="s">
        <v>35</v>
      </c>
      <c r="G197" s="4">
        <v>0.7</v>
      </c>
      <c r="I197" t="s">
        <v>598</v>
      </c>
      <c r="J197" t="s">
        <v>55</v>
      </c>
    </row>
    <row r="198" spans="1:12" hidden="1" x14ac:dyDescent="0.25">
      <c r="A198" t="s">
        <v>146</v>
      </c>
      <c r="B198">
        <v>333</v>
      </c>
      <c r="C198" t="s">
        <v>494</v>
      </c>
      <c r="D198" t="s">
        <v>490</v>
      </c>
      <c r="E198" t="s">
        <v>102</v>
      </c>
      <c r="F198" t="s">
        <v>180</v>
      </c>
      <c r="G198" s="4">
        <v>0</v>
      </c>
      <c r="I198" t="s">
        <v>484</v>
      </c>
      <c r="J198" t="s">
        <v>55</v>
      </c>
      <c r="L198" t="s">
        <v>1055</v>
      </c>
    </row>
    <row r="199" spans="1:12" hidden="1" x14ac:dyDescent="0.25">
      <c r="A199" t="s">
        <v>65</v>
      </c>
      <c r="B199">
        <v>420</v>
      </c>
      <c r="C199" t="s">
        <v>609</v>
      </c>
      <c r="D199" t="s">
        <v>604</v>
      </c>
      <c r="E199" t="s">
        <v>108</v>
      </c>
      <c r="F199" t="s">
        <v>35</v>
      </c>
      <c r="G199" s="4">
        <v>0</v>
      </c>
      <c r="I199" t="s">
        <v>598</v>
      </c>
      <c r="J199" t="s">
        <v>55</v>
      </c>
    </row>
    <row r="200" spans="1:12" hidden="1" x14ac:dyDescent="0.25">
      <c r="A200" t="s">
        <v>110</v>
      </c>
      <c r="B200">
        <v>426</v>
      </c>
      <c r="C200" t="s">
        <v>610</v>
      </c>
      <c r="D200" t="s">
        <v>600</v>
      </c>
      <c r="E200" t="s">
        <v>611</v>
      </c>
      <c r="F200" t="s">
        <v>35</v>
      </c>
      <c r="G200" s="4">
        <v>0.85</v>
      </c>
      <c r="I200" t="s">
        <v>598</v>
      </c>
      <c r="J200" t="s">
        <v>55</v>
      </c>
    </row>
    <row r="201" spans="1:12" hidden="1" x14ac:dyDescent="0.25">
      <c r="A201" t="s">
        <v>150</v>
      </c>
      <c r="B201">
        <v>338</v>
      </c>
      <c r="C201" t="s">
        <v>504</v>
      </c>
      <c r="D201" t="s">
        <v>502</v>
      </c>
      <c r="E201" t="s">
        <v>102</v>
      </c>
      <c r="F201" t="s">
        <v>183</v>
      </c>
      <c r="G201" s="4">
        <v>0</v>
      </c>
      <c r="I201" t="s">
        <v>484</v>
      </c>
      <c r="J201" t="s">
        <v>55</v>
      </c>
    </row>
    <row r="202" spans="1:12" hidden="1" x14ac:dyDescent="0.25">
      <c r="A202" t="s">
        <v>168</v>
      </c>
      <c r="B202">
        <v>430</v>
      </c>
      <c r="C202" t="s">
        <v>620</v>
      </c>
      <c r="D202" t="s">
        <v>614</v>
      </c>
      <c r="E202" t="s">
        <v>108</v>
      </c>
      <c r="F202" t="s">
        <v>35</v>
      </c>
      <c r="G202" s="4">
        <v>0</v>
      </c>
      <c r="I202" t="s">
        <v>598</v>
      </c>
      <c r="J202" t="s">
        <v>55</v>
      </c>
    </row>
    <row r="203" spans="1:12" hidden="1" x14ac:dyDescent="0.25">
      <c r="A203" t="s">
        <v>168</v>
      </c>
      <c r="B203">
        <v>446</v>
      </c>
      <c r="C203" t="s">
        <v>622</v>
      </c>
      <c r="D203" t="s">
        <v>600</v>
      </c>
      <c r="E203" t="s">
        <v>623</v>
      </c>
      <c r="F203" t="s">
        <v>35</v>
      </c>
      <c r="G203" s="4">
        <v>0.5</v>
      </c>
      <c r="I203" t="s">
        <v>598</v>
      </c>
      <c r="J203" t="s">
        <v>55</v>
      </c>
    </row>
    <row r="204" spans="1:12" hidden="1" x14ac:dyDescent="0.25">
      <c r="A204" t="s">
        <v>65</v>
      </c>
      <c r="B204">
        <v>448</v>
      </c>
      <c r="C204" t="s">
        <v>629</v>
      </c>
      <c r="D204" t="s">
        <v>626</v>
      </c>
      <c r="E204" t="s">
        <v>98</v>
      </c>
      <c r="F204" t="s">
        <v>35</v>
      </c>
      <c r="G204" s="4">
        <v>0.5</v>
      </c>
      <c r="I204" t="s">
        <v>598</v>
      </c>
      <c r="J204" t="s">
        <v>55</v>
      </c>
    </row>
    <row r="205" spans="1:12" hidden="1" x14ac:dyDescent="0.25">
      <c r="A205" t="s">
        <v>178</v>
      </c>
      <c r="B205">
        <v>348</v>
      </c>
      <c r="C205" t="s">
        <v>514</v>
      </c>
      <c r="D205" t="s">
        <v>510</v>
      </c>
      <c r="E205" t="s">
        <v>102</v>
      </c>
      <c r="F205" t="s">
        <v>180</v>
      </c>
      <c r="G205" s="4">
        <v>0</v>
      </c>
      <c r="I205" t="s">
        <v>484</v>
      </c>
      <c r="J205" t="s">
        <v>55</v>
      </c>
      <c r="L205" t="s">
        <v>1055</v>
      </c>
    </row>
    <row r="206" spans="1:12" hidden="1" x14ac:dyDescent="0.25">
      <c r="A206" t="s">
        <v>65</v>
      </c>
      <c r="B206">
        <v>450</v>
      </c>
      <c r="C206" t="s">
        <v>633</v>
      </c>
      <c r="D206" t="s">
        <v>626</v>
      </c>
      <c r="E206" t="s">
        <v>108</v>
      </c>
      <c r="F206" t="s">
        <v>35</v>
      </c>
      <c r="G206" s="4">
        <v>0</v>
      </c>
      <c r="I206" t="s">
        <v>598</v>
      </c>
      <c r="J206" t="s">
        <v>55</v>
      </c>
    </row>
    <row r="207" spans="1:12" hidden="1" x14ac:dyDescent="0.25">
      <c r="A207" t="s">
        <v>168</v>
      </c>
      <c r="B207">
        <v>471</v>
      </c>
      <c r="C207" t="s">
        <v>635</v>
      </c>
      <c r="D207" t="s">
        <v>73</v>
      </c>
      <c r="E207" t="s">
        <v>636</v>
      </c>
      <c r="F207" t="s">
        <v>35</v>
      </c>
      <c r="G207" s="4">
        <v>0.8</v>
      </c>
      <c r="I207" t="s">
        <v>638</v>
      </c>
      <c r="J207" t="s">
        <v>39</v>
      </c>
    </row>
    <row r="208" spans="1:12" hidden="1" x14ac:dyDescent="0.25">
      <c r="A208" t="s">
        <v>133</v>
      </c>
      <c r="B208">
        <v>477</v>
      </c>
      <c r="C208" t="s">
        <v>639</v>
      </c>
      <c r="D208" t="s">
        <v>640</v>
      </c>
      <c r="E208" t="s">
        <v>641</v>
      </c>
      <c r="F208" t="s">
        <v>35</v>
      </c>
      <c r="G208" s="4">
        <v>0.56000000000000005</v>
      </c>
      <c r="I208" t="s">
        <v>638</v>
      </c>
      <c r="J208" t="s">
        <v>55</v>
      </c>
    </row>
    <row r="209" spans="1:10" hidden="1" x14ac:dyDescent="0.25">
      <c r="A209" t="s">
        <v>178</v>
      </c>
      <c r="B209">
        <v>479</v>
      </c>
      <c r="C209" t="s">
        <v>646</v>
      </c>
      <c r="D209" t="s">
        <v>644</v>
      </c>
      <c r="E209" t="s">
        <v>98</v>
      </c>
      <c r="F209" t="s">
        <v>35</v>
      </c>
      <c r="G209" s="4">
        <v>0</v>
      </c>
      <c r="I209" t="s">
        <v>638</v>
      </c>
      <c r="J209" t="s">
        <v>55</v>
      </c>
    </row>
    <row r="210" spans="1:10" hidden="1" x14ac:dyDescent="0.25">
      <c r="A210" t="s">
        <v>150</v>
      </c>
      <c r="B210">
        <v>403</v>
      </c>
      <c r="C210" t="s">
        <v>593</v>
      </c>
      <c r="D210" t="s">
        <v>589</v>
      </c>
      <c r="E210" t="s">
        <v>102</v>
      </c>
      <c r="F210" t="s">
        <v>183</v>
      </c>
      <c r="G210" s="4">
        <v>0</v>
      </c>
      <c r="I210" t="s">
        <v>484</v>
      </c>
      <c r="J210" t="s">
        <v>55</v>
      </c>
    </row>
    <row r="211" spans="1:10" hidden="1" x14ac:dyDescent="0.25">
      <c r="A211" t="s">
        <v>146</v>
      </c>
      <c r="B211">
        <v>481</v>
      </c>
      <c r="C211" t="s">
        <v>648</v>
      </c>
      <c r="D211" t="s">
        <v>644</v>
      </c>
      <c r="E211" t="s">
        <v>108</v>
      </c>
      <c r="F211" t="s">
        <v>183</v>
      </c>
      <c r="G211" s="4">
        <v>0</v>
      </c>
      <c r="I211" t="s">
        <v>638</v>
      </c>
      <c r="J211" t="s">
        <v>55</v>
      </c>
    </row>
    <row r="212" spans="1:10" hidden="1" x14ac:dyDescent="0.25">
      <c r="A212" t="s">
        <v>178</v>
      </c>
      <c r="B212">
        <v>482</v>
      </c>
      <c r="C212" t="s">
        <v>649</v>
      </c>
      <c r="D212" t="s">
        <v>640</v>
      </c>
      <c r="E212" t="s">
        <v>650</v>
      </c>
      <c r="F212" t="s">
        <v>35</v>
      </c>
      <c r="G212" s="4">
        <v>0.75</v>
      </c>
      <c r="I212" t="s">
        <v>638</v>
      </c>
      <c r="J212" t="s">
        <v>55</v>
      </c>
    </row>
    <row r="213" spans="1:10" hidden="1" x14ac:dyDescent="0.25">
      <c r="A213" t="s">
        <v>65</v>
      </c>
      <c r="B213">
        <v>419</v>
      </c>
      <c r="C213" t="s">
        <v>608</v>
      </c>
      <c r="D213" t="s">
        <v>604</v>
      </c>
      <c r="E213" t="s">
        <v>102</v>
      </c>
      <c r="F213" t="s">
        <v>35</v>
      </c>
      <c r="G213" s="4">
        <v>0.5</v>
      </c>
      <c r="I213" t="s">
        <v>598</v>
      </c>
      <c r="J213" t="s">
        <v>55</v>
      </c>
    </row>
    <row r="214" spans="1:10" hidden="1" x14ac:dyDescent="0.25">
      <c r="A214" t="s">
        <v>150</v>
      </c>
      <c r="B214">
        <v>486</v>
      </c>
      <c r="C214" t="s">
        <v>655</v>
      </c>
      <c r="D214" t="s">
        <v>652</v>
      </c>
      <c r="E214" t="s">
        <v>108</v>
      </c>
      <c r="F214" t="s">
        <v>35</v>
      </c>
      <c r="G214" s="4">
        <v>0</v>
      </c>
      <c r="I214" t="s">
        <v>638</v>
      </c>
      <c r="J214" t="s">
        <v>55</v>
      </c>
    </row>
    <row r="215" spans="1:10" hidden="1" x14ac:dyDescent="0.25">
      <c r="A215" t="s">
        <v>178</v>
      </c>
      <c r="B215">
        <v>487</v>
      </c>
      <c r="C215" t="s">
        <v>656</v>
      </c>
      <c r="D215" t="s">
        <v>640</v>
      </c>
      <c r="E215" t="s">
        <v>657</v>
      </c>
      <c r="F215" t="s">
        <v>35</v>
      </c>
      <c r="G215" s="4">
        <v>0.75</v>
      </c>
      <c r="I215" t="s">
        <v>638</v>
      </c>
      <c r="J215" t="s">
        <v>55</v>
      </c>
    </row>
    <row r="216" spans="1:10" hidden="1" x14ac:dyDescent="0.25">
      <c r="A216" t="s">
        <v>168</v>
      </c>
      <c r="B216">
        <v>429</v>
      </c>
      <c r="C216" t="s">
        <v>618</v>
      </c>
      <c r="D216" t="s">
        <v>614</v>
      </c>
      <c r="E216" t="s">
        <v>102</v>
      </c>
      <c r="F216" t="s">
        <v>35</v>
      </c>
      <c r="G216" s="4">
        <v>0.5</v>
      </c>
      <c r="I216" t="s">
        <v>598</v>
      </c>
      <c r="J216" t="s">
        <v>55</v>
      </c>
    </row>
    <row r="217" spans="1:10" hidden="1" x14ac:dyDescent="0.25">
      <c r="A217" t="s">
        <v>150</v>
      </c>
      <c r="B217">
        <v>491</v>
      </c>
      <c r="C217" t="s">
        <v>662</v>
      </c>
      <c r="D217" t="s">
        <v>659</v>
      </c>
      <c r="E217" t="s">
        <v>108</v>
      </c>
      <c r="F217" t="s">
        <v>35</v>
      </c>
      <c r="G217" s="4">
        <v>0</v>
      </c>
      <c r="I217" t="s">
        <v>638</v>
      </c>
      <c r="J217" t="s">
        <v>55</v>
      </c>
    </row>
    <row r="218" spans="1:10" hidden="1" x14ac:dyDescent="0.25">
      <c r="A218" t="s">
        <v>178</v>
      </c>
      <c r="B218">
        <v>502</v>
      </c>
      <c r="C218" t="s">
        <v>663</v>
      </c>
      <c r="D218" t="s">
        <v>640</v>
      </c>
      <c r="E218" t="s">
        <v>664</v>
      </c>
      <c r="F218" t="s">
        <v>180</v>
      </c>
      <c r="G218" s="4">
        <v>0.63</v>
      </c>
      <c r="I218" t="s">
        <v>638</v>
      </c>
      <c r="J218" t="s">
        <v>55</v>
      </c>
    </row>
    <row r="219" spans="1:10" hidden="1" x14ac:dyDescent="0.25">
      <c r="A219" t="s">
        <v>146</v>
      </c>
      <c r="B219">
        <v>504</v>
      </c>
      <c r="C219" t="s">
        <v>668</v>
      </c>
      <c r="D219" t="s">
        <v>666</v>
      </c>
      <c r="E219" t="s">
        <v>98</v>
      </c>
      <c r="F219" t="s">
        <v>180</v>
      </c>
      <c r="G219" s="4">
        <v>0</v>
      </c>
      <c r="I219" t="s">
        <v>638</v>
      </c>
      <c r="J219" t="s">
        <v>55</v>
      </c>
    </row>
    <row r="220" spans="1:10" hidden="1" x14ac:dyDescent="0.25">
      <c r="A220" t="s">
        <v>65</v>
      </c>
      <c r="B220">
        <v>449</v>
      </c>
      <c r="C220" t="s">
        <v>630</v>
      </c>
      <c r="D220" t="s">
        <v>626</v>
      </c>
      <c r="E220" t="s">
        <v>102</v>
      </c>
      <c r="F220" t="s">
        <v>35</v>
      </c>
      <c r="G220" s="4">
        <v>0</v>
      </c>
      <c r="I220" t="s">
        <v>598</v>
      </c>
      <c r="J220" t="s">
        <v>55</v>
      </c>
    </row>
    <row r="221" spans="1:10" hidden="1" x14ac:dyDescent="0.25">
      <c r="A221" t="s">
        <v>150</v>
      </c>
      <c r="B221">
        <v>506</v>
      </c>
      <c r="C221" t="s">
        <v>670</v>
      </c>
      <c r="D221" t="s">
        <v>666</v>
      </c>
      <c r="E221" t="s">
        <v>108</v>
      </c>
      <c r="F221" t="s">
        <v>183</v>
      </c>
      <c r="G221" s="4">
        <v>0</v>
      </c>
      <c r="I221" t="s">
        <v>638</v>
      </c>
      <c r="J221" t="s">
        <v>55</v>
      </c>
    </row>
    <row r="222" spans="1:10" hidden="1" x14ac:dyDescent="0.25">
      <c r="A222" t="s">
        <v>168</v>
      </c>
      <c r="B222">
        <v>512</v>
      </c>
      <c r="C222" t="s">
        <v>680</v>
      </c>
      <c r="D222" t="s">
        <v>640</v>
      </c>
      <c r="E222" t="s">
        <v>681</v>
      </c>
      <c r="F222" t="s">
        <v>35</v>
      </c>
      <c r="G222" s="4">
        <v>0.74</v>
      </c>
      <c r="I222" t="s">
        <v>638</v>
      </c>
      <c r="J222" t="s">
        <v>55</v>
      </c>
    </row>
    <row r="223" spans="1:10" hidden="1" x14ac:dyDescent="0.25">
      <c r="A223" t="s">
        <v>178</v>
      </c>
      <c r="B223">
        <v>480</v>
      </c>
      <c r="C223" t="s">
        <v>647</v>
      </c>
      <c r="D223" t="s">
        <v>644</v>
      </c>
      <c r="E223" t="s">
        <v>102</v>
      </c>
      <c r="F223" t="s">
        <v>35</v>
      </c>
      <c r="G223" s="4">
        <v>0</v>
      </c>
      <c r="I223" t="s">
        <v>638</v>
      </c>
      <c r="J223" t="s">
        <v>55</v>
      </c>
    </row>
    <row r="224" spans="1:10" hidden="1" x14ac:dyDescent="0.25">
      <c r="A224" t="s">
        <v>133</v>
      </c>
      <c r="B224">
        <v>516</v>
      </c>
      <c r="C224" t="s">
        <v>687</v>
      </c>
      <c r="D224" t="s">
        <v>683</v>
      </c>
      <c r="E224" t="s">
        <v>108</v>
      </c>
      <c r="F224" t="s">
        <v>35</v>
      </c>
      <c r="G224" s="4">
        <v>0</v>
      </c>
      <c r="I224" t="s">
        <v>638</v>
      </c>
      <c r="J224" t="s">
        <v>55</v>
      </c>
    </row>
    <row r="225" spans="1:10" hidden="1" x14ac:dyDescent="0.25">
      <c r="A225" t="s">
        <v>168</v>
      </c>
      <c r="B225">
        <v>517</v>
      </c>
      <c r="C225" t="s">
        <v>688</v>
      </c>
      <c r="D225" t="s">
        <v>640</v>
      </c>
      <c r="E225" t="s">
        <v>689</v>
      </c>
      <c r="F225" t="s">
        <v>35</v>
      </c>
      <c r="G225" s="4">
        <v>0.74</v>
      </c>
      <c r="I225" t="s">
        <v>638</v>
      </c>
      <c r="J225" t="s">
        <v>55</v>
      </c>
    </row>
    <row r="226" spans="1:10" hidden="1" x14ac:dyDescent="0.25">
      <c r="A226" t="s">
        <v>146</v>
      </c>
      <c r="B226">
        <v>485</v>
      </c>
      <c r="C226" t="s">
        <v>654</v>
      </c>
      <c r="D226" t="s">
        <v>652</v>
      </c>
      <c r="E226" t="s">
        <v>102</v>
      </c>
      <c r="F226" t="s">
        <v>35</v>
      </c>
      <c r="G226" s="4">
        <v>0.5</v>
      </c>
      <c r="I226" t="s">
        <v>638</v>
      </c>
      <c r="J226" t="s">
        <v>55</v>
      </c>
    </row>
    <row r="227" spans="1:10" hidden="1" x14ac:dyDescent="0.25">
      <c r="A227" t="s">
        <v>133</v>
      </c>
      <c r="B227">
        <v>521</v>
      </c>
      <c r="C227" t="s">
        <v>694</v>
      </c>
      <c r="D227" t="s">
        <v>691</v>
      </c>
      <c r="E227" t="s">
        <v>108</v>
      </c>
      <c r="F227" t="s">
        <v>35</v>
      </c>
      <c r="G227" s="4">
        <v>0</v>
      </c>
      <c r="I227" t="s">
        <v>638</v>
      </c>
      <c r="J227" t="s">
        <v>55</v>
      </c>
    </row>
    <row r="228" spans="1:10" hidden="1" x14ac:dyDescent="0.25">
      <c r="A228" t="s">
        <v>178</v>
      </c>
      <c r="B228">
        <v>522</v>
      </c>
      <c r="C228" t="s">
        <v>695</v>
      </c>
      <c r="D228" t="s">
        <v>640</v>
      </c>
      <c r="E228" t="s">
        <v>696</v>
      </c>
      <c r="F228" t="s">
        <v>35</v>
      </c>
      <c r="G228" s="4">
        <v>0.63</v>
      </c>
      <c r="I228" t="s">
        <v>638</v>
      </c>
      <c r="J228" t="s">
        <v>55</v>
      </c>
    </row>
    <row r="229" spans="1:10" hidden="1" x14ac:dyDescent="0.25">
      <c r="A229" t="s">
        <v>146</v>
      </c>
      <c r="B229">
        <v>490</v>
      </c>
      <c r="C229" t="s">
        <v>661</v>
      </c>
      <c r="D229" t="s">
        <v>659</v>
      </c>
      <c r="E229" t="s">
        <v>102</v>
      </c>
      <c r="F229" t="s">
        <v>35</v>
      </c>
      <c r="G229" s="4">
        <v>0.5</v>
      </c>
      <c r="I229" t="s">
        <v>638</v>
      </c>
      <c r="J229" t="s">
        <v>55</v>
      </c>
    </row>
    <row r="230" spans="1:10" hidden="1" x14ac:dyDescent="0.25">
      <c r="A230" t="s">
        <v>146</v>
      </c>
      <c r="B230">
        <v>526</v>
      </c>
      <c r="C230" t="s">
        <v>702</v>
      </c>
      <c r="D230" t="s">
        <v>699</v>
      </c>
      <c r="E230" t="s">
        <v>108</v>
      </c>
      <c r="F230" t="s">
        <v>35</v>
      </c>
      <c r="G230" s="4">
        <v>0</v>
      </c>
      <c r="I230" t="s">
        <v>638</v>
      </c>
      <c r="J230" t="s">
        <v>55</v>
      </c>
    </row>
    <row r="231" spans="1:10" hidden="1" x14ac:dyDescent="0.25">
      <c r="A231" t="s">
        <v>178</v>
      </c>
      <c r="B231">
        <v>532</v>
      </c>
      <c r="C231" t="s">
        <v>710</v>
      </c>
      <c r="D231" t="s">
        <v>640</v>
      </c>
      <c r="E231" t="s">
        <v>711</v>
      </c>
      <c r="F231" t="s">
        <v>35</v>
      </c>
      <c r="G231" s="4">
        <v>0.5</v>
      </c>
      <c r="I231" t="s">
        <v>638</v>
      </c>
      <c r="J231" t="s">
        <v>55</v>
      </c>
    </row>
    <row r="232" spans="1:10" hidden="1" x14ac:dyDescent="0.25">
      <c r="A232" t="s">
        <v>146</v>
      </c>
      <c r="B232">
        <v>534</v>
      </c>
      <c r="C232" t="s">
        <v>714</v>
      </c>
      <c r="D232" t="s">
        <v>713</v>
      </c>
      <c r="E232" t="s">
        <v>98</v>
      </c>
      <c r="F232" t="s">
        <v>35</v>
      </c>
      <c r="G232" s="4">
        <v>0.5</v>
      </c>
      <c r="I232" t="s">
        <v>638</v>
      </c>
      <c r="J232" t="s">
        <v>55</v>
      </c>
    </row>
    <row r="233" spans="1:10" hidden="1" x14ac:dyDescent="0.25">
      <c r="A233" t="s">
        <v>150</v>
      </c>
      <c r="B233">
        <v>505</v>
      </c>
      <c r="C233" t="s">
        <v>669</v>
      </c>
      <c r="D233" t="s">
        <v>666</v>
      </c>
      <c r="E233" t="s">
        <v>102</v>
      </c>
      <c r="F233" t="s">
        <v>183</v>
      </c>
      <c r="G233" s="4">
        <v>0</v>
      </c>
      <c r="I233" t="s">
        <v>638</v>
      </c>
      <c r="J233" t="s">
        <v>55</v>
      </c>
    </row>
    <row r="234" spans="1:10" hidden="1" x14ac:dyDescent="0.25">
      <c r="A234" t="s">
        <v>146</v>
      </c>
      <c r="B234">
        <v>536</v>
      </c>
      <c r="C234" t="s">
        <v>716</v>
      </c>
      <c r="D234" t="s">
        <v>713</v>
      </c>
      <c r="E234" t="s">
        <v>108</v>
      </c>
      <c r="F234" t="s">
        <v>35</v>
      </c>
      <c r="G234" s="4">
        <v>0</v>
      </c>
      <c r="I234" t="s">
        <v>638</v>
      </c>
      <c r="J234" t="s">
        <v>55</v>
      </c>
    </row>
    <row r="235" spans="1:10" hidden="1" x14ac:dyDescent="0.25">
      <c r="A235" t="s">
        <v>133</v>
      </c>
      <c r="B235">
        <v>537</v>
      </c>
      <c r="C235" t="s">
        <v>717</v>
      </c>
      <c r="D235" t="s">
        <v>640</v>
      </c>
      <c r="E235" t="s">
        <v>718</v>
      </c>
      <c r="F235" t="s">
        <v>35</v>
      </c>
      <c r="G235" s="4">
        <v>0.56000000000000005</v>
      </c>
      <c r="I235" t="s">
        <v>638</v>
      </c>
      <c r="J235" t="s">
        <v>55</v>
      </c>
    </row>
    <row r="236" spans="1:10" hidden="1" x14ac:dyDescent="0.25">
      <c r="A236" t="s">
        <v>178</v>
      </c>
      <c r="B236">
        <v>539</v>
      </c>
      <c r="C236" t="s">
        <v>721</v>
      </c>
      <c r="D236" t="s">
        <v>720</v>
      </c>
      <c r="E236" t="s">
        <v>98</v>
      </c>
      <c r="F236" t="s">
        <v>35</v>
      </c>
      <c r="G236" s="4">
        <v>0.5</v>
      </c>
      <c r="I236" t="s">
        <v>638</v>
      </c>
      <c r="J236" t="s">
        <v>55</v>
      </c>
    </row>
    <row r="237" spans="1:10" hidden="1" x14ac:dyDescent="0.25">
      <c r="A237" t="s">
        <v>133</v>
      </c>
      <c r="B237">
        <v>515</v>
      </c>
      <c r="C237" t="s">
        <v>686</v>
      </c>
      <c r="D237" t="s">
        <v>683</v>
      </c>
      <c r="E237" t="s">
        <v>102</v>
      </c>
      <c r="F237" t="s">
        <v>35</v>
      </c>
      <c r="G237" s="4">
        <v>0.5</v>
      </c>
      <c r="I237" t="s">
        <v>638</v>
      </c>
      <c r="J237" t="s">
        <v>55</v>
      </c>
    </row>
    <row r="238" spans="1:10" hidden="1" x14ac:dyDescent="0.25">
      <c r="A238" t="s">
        <v>146</v>
      </c>
      <c r="B238">
        <v>541</v>
      </c>
      <c r="C238" t="s">
        <v>723</v>
      </c>
      <c r="D238" t="s">
        <v>720</v>
      </c>
      <c r="E238" t="s">
        <v>108</v>
      </c>
      <c r="F238" t="s">
        <v>35</v>
      </c>
      <c r="G238" s="4">
        <v>0</v>
      </c>
      <c r="I238" t="s">
        <v>638</v>
      </c>
      <c r="J238" t="s">
        <v>55</v>
      </c>
    </row>
    <row r="239" spans="1:10" hidden="1" x14ac:dyDescent="0.25">
      <c r="A239" t="s">
        <v>133</v>
      </c>
      <c r="B239">
        <v>542</v>
      </c>
      <c r="C239" t="s">
        <v>724</v>
      </c>
      <c r="D239" t="s">
        <v>640</v>
      </c>
      <c r="E239" t="s">
        <v>725</v>
      </c>
      <c r="F239" t="s">
        <v>180</v>
      </c>
      <c r="G239" s="4">
        <v>0.64</v>
      </c>
      <c r="I239" t="s">
        <v>638</v>
      </c>
      <c r="J239" t="s">
        <v>55</v>
      </c>
    </row>
    <row r="240" spans="1:10" hidden="1" x14ac:dyDescent="0.25">
      <c r="A240" t="s">
        <v>178</v>
      </c>
      <c r="B240">
        <v>544</v>
      </c>
      <c r="C240" t="s">
        <v>731</v>
      </c>
      <c r="D240" t="s">
        <v>728</v>
      </c>
      <c r="E240" t="s">
        <v>98</v>
      </c>
      <c r="F240" t="s">
        <v>180</v>
      </c>
      <c r="G240" s="4">
        <v>0</v>
      </c>
      <c r="I240" t="s">
        <v>638</v>
      </c>
      <c r="J240" t="s">
        <v>55</v>
      </c>
    </row>
    <row r="241" spans="1:10" hidden="1" x14ac:dyDescent="0.25">
      <c r="A241" t="s">
        <v>133</v>
      </c>
      <c r="B241">
        <v>520</v>
      </c>
      <c r="C241" t="s">
        <v>693</v>
      </c>
      <c r="D241" t="s">
        <v>691</v>
      </c>
      <c r="E241" t="s">
        <v>102</v>
      </c>
      <c r="F241" t="s">
        <v>35</v>
      </c>
      <c r="G241" s="4">
        <v>0.5</v>
      </c>
      <c r="I241" t="s">
        <v>638</v>
      </c>
      <c r="J241" t="s">
        <v>55</v>
      </c>
    </row>
    <row r="242" spans="1:10" hidden="1" x14ac:dyDescent="0.25">
      <c r="A242" t="s">
        <v>178</v>
      </c>
      <c r="B242">
        <v>546</v>
      </c>
      <c r="C242" t="s">
        <v>733</v>
      </c>
      <c r="D242" t="s">
        <v>728</v>
      </c>
      <c r="E242" t="s">
        <v>108</v>
      </c>
      <c r="F242" t="s">
        <v>183</v>
      </c>
      <c r="G242" s="4">
        <v>0</v>
      </c>
      <c r="I242" t="s">
        <v>638</v>
      </c>
      <c r="J242" t="s">
        <v>55</v>
      </c>
    </row>
    <row r="243" spans="1:10" hidden="1" x14ac:dyDescent="0.25">
      <c r="A243" t="s">
        <v>178</v>
      </c>
      <c r="B243">
        <v>557</v>
      </c>
      <c r="C243" t="s">
        <v>734</v>
      </c>
      <c r="D243" t="s">
        <v>640</v>
      </c>
      <c r="E243" t="s">
        <v>735</v>
      </c>
      <c r="F243" t="s">
        <v>183</v>
      </c>
      <c r="G243" s="4">
        <v>0.56999999999999995</v>
      </c>
      <c r="I243" t="s">
        <v>638</v>
      </c>
      <c r="J243" t="s">
        <v>39</v>
      </c>
    </row>
    <row r="244" spans="1:10" hidden="1" x14ac:dyDescent="0.25">
      <c r="A244" t="s">
        <v>178</v>
      </c>
      <c r="B244">
        <v>562</v>
      </c>
      <c r="C244" t="s">
        <v>743</v>
      </c>
      <c r="D244" t="s">
        <v>640</v>
      </c>
      <c r="E244" t="s">
        <v>744</v>
      </c>
      <c r="F244" t="s">
        <v>35</v>
      </c>
      <c r="G244" s="4">
        <v>0</v>
      </c>
      <c r="I244" t="s">
        <v>638</v>
      </c>
      <c r="J244" t="s">
        <v>55</v>
      </c>
    </row>
    <row r="245" spans="1:10" hidden="1" x14ac:dyDescent="0.25">
      <c r="A245" t="s">
        <v>146</v>
      </c>
      <c r="B245">
        <v>525</v>
      </c>
      <c r="C245" t="s">
        <v>701</v>
      </c>
      <c r="D245" t="s">
        <v>699</v>
      </c>
      <c r="E245" t="s">
        <v>102</v>
      </c>
      <c r="F245" t="s">
        <v>35</v>
      </c>
      <c r="G245" s="4">
        <v>0</v>
      </c>
      <c r="I245" t="s">
        <v>638</v>
      </c>
      <c r="J245" t="s">
        <v>55</v>
      </c>
    </row>
    <row r="246" spans="1:10" hidden="1" x14ac:dyDescent="0.25">
      <c r="A246" t="s">
        <v>146</v>
      </c>
      <c r="B246">
        <v>564</v>
      </c>
      <c r="C246" t="s">
        <v>747</v>
      </c>
      <c r="D246" t="s">
        <v>746</v>
      </c>
      <c r="E246" t="s">
        <v>98</v>
      </c>
      <c r="F246" t="s">
        <v>180</v>
      </c>
      <c r="G246" s="4">
        <v>0</v>
      </c>
      <c r="I246" t="s">
        <v>638</v>
      </c>
      <c r="J246" t="s">
        <v>55</v>
      </c>
    </row>
    <row r="247" spans="1:10" hidden="1" x14ac:dyDescent="0.25">
      <c r="A247" t="s">
        <v>146</v>
      </c>
      <c r="B247">
        <v>535</v>
      </c>
      <c r="C247" t="s">
        <v>715</v>
      </c>
      <c r="D247" t="s">
        <v>713</v>
      </c>
      <c r="E247" t="s">
        <v>102</v>
      </c>
      <c r="F247" t="s">
        <v>35</v>
      </c>
      <c r="G247" s="4">
        <v>0</v>
      </c>
      <c r="I247" t="s">
        <v>638</v>
      </c>
      <c r="J247" t="s">
        <v>55</v>
      </c>
    </row>
    <row r="248" spans="1:10" hidden="1" x14ac:dyDescent="0.25">
      <c r="A248" t="s">
        <v>150</v>
      </c>
      <c r="B248">
        <v>566</v>
      </c>
      <c r="C248" t="s">
        <v>750</v>
      </c>
      <c r="D248" t="s">
        <v>746</v>
      </c>
      <c r="E248" t="s">
        <v>108</v>
      </c>
      <c r="F248" t="s">
        <v>183</v>
      </c>
      <c r="G248" s="4">
        <v>0</v>
      </c>
      <c r="I248" t="s">
        <v>638</v>
      </c>
      <c r="J248" t="s">
        <v>55</v>
      </c>
    </row>
    <row r="249" spans="1:10" hidden="1" x14ac:dyDescent="0.25">
      <c r="A249" t="s">
        <v>133</v>
      </c>
      <c r="B249">
        <v>567</v>
      </c>
      <c r="C249" t="s">
        <v>751</v>
      </c>
      <c r="D249" t="s">
        <v>640</v>
      </c>
      <c r="E249" t="s">
        <v>752</v>
      </c>
      <c r="F249" t="s">
        <v>35</v>
      </c>
      <c r="G249" s="4">
        <v>0.87</v>
      </c>
      <c r="I249" t="s">
        <v>638</v>
      </c>
      <c r="J249" t="s">
        <v>55</v>
      </c>
    </row>
    <row r="250" spans="1:10" hidden="1" x14ac:dyDescent="0.25">
      <c r="A250" t="s">
        <v>178</v>
      </c>
      <c r="B250">
        <v>540</v>
      </c>
      <c r="C250" t="s">
        <v>722</v>
      </c>
      <c r="D250" t="s">
        <v>720</v>
      </c>
      <c r="E250" t="s">
        <v>102</v>
      </c>
      <c r="F250" t="s">
        <v>35</v>
      </c>
      <c r="G250" s="4">
        <v>0</v>
      </c>
      <c r="I250" t="s">
        <v>638</v>
      </c>
      <c r="J250" t="s">
        <v>55</v>
      </c>
    </row>
    <row r="251" spans="1:10" hidden="1" x14ac:dyDescent="0.25">
      <c r="A251" t="s">
        <v>178</v>
      </c>
      <c r="B251">
        <v>571</v>
      </c>
      <c r="C251" t="s">
        <v>759</v>
      </c>
      <c r="D251" t="s">
        <v>755</v>
      </c>
      <c r="E251" t="s">
        <v>108</v>
      </c>
      <c r="F251" t="s">
        <v>35</v>
      </c>
      <c r="G251" s="4">
        <v>0</v>
      </c>
      <c r="I251" t="s">
        <v>638</v>
      </c>
      <c r="J251" t="s">
        <v>55</v>
      </c>
    </row>
    <row r="252" spans="1:10" hidden="1" x14ac:dyDescent="0.25">
      <c r="A252" t="s">
        <v>133</v>
      </c>
      <c r="B252">
        <v>572</v>
      </c>
      <c r="C252" t="s">
        <v>760</v>
      </c>
      <c r="D252" t="s">
        <v>640</v>
      </c>
      <c r="E252" t="s">
        <v>761</v>
      </c>
      <c r="F252" t="s">
        <v>35</v>
      </c>
      <c r="G252" s="4">
        <v>0.87</v>
      </c>
      <c r="I252" t="s">
        <v>638</v>
      </c>
      <c r="J252" t="s">
        <v>55</v>
      </c>
    </row>
    <row r="253" spans="1:10" hidden="1" x14ac:dyDescent="0.25">
      <c r="A253" t="s">
        <v>178</v>
      </c>
      <c r="B253">
        <v>545</v>
      </c>
      <c r="C253" t="s">
        <v>732</v>
      </c>
      <c r="D253" t="s">
        <v>728</v>
      </c>
      <c r="E253" t="s">
        <v>102</v>
      </c>
      <c r="F253" t="s">
        <v>183</v>
      </c>
      <c r="G253" s="4">
        <v>0</v>
      </c>
      <c r="I253" t="s">
        <v>638</v>
      </c>
      <c r="J253" t="s">
        <v>55</v>
      </c>
    </row>
    <row r="254" spans="1:10" hidden="1" x14ac:dyDescent="0.25">
      <c r="A254" t="s">
        <v>146</v>
      </c>
      <c r="B254">
        <v>576</v>
      </c>
      <c r="C254" t="s">
        <v>767</v>
      </c>
      <c r="D254" t="s">
        <v>763</v>
      </c>
      <c r="E254" t="s">
        <v>108</v>
      </c>
      <c r="F254" t="s">
        <v>35</v>
      </c>
      <c r="G254" s="4">
        <v>0</v>
      </c>
      <c r="I254" t="s">
        <v>638</v>
      </c>
      <c r="J254" t="s">
        <v>55</v>
      </c>
    </row>
    <row r="255" spans="1:10" hidden="1" x14ac:dyDescent="0.25">
      <c r="A255" t="s">
        <v>133</v>
      </c>
      <c r="B255">
        <v>577</v>
      </c>
      <c r="C255" t="s">
        <v>768</v>
      </c>
      <c r="D255" t="s">
        <v>640</v>
      </c>
      <c r="E255" t="s">
        <v>769</v>
      </c>
      <c r="F255" t="s">
        <v>35</v>
      </c>
      <c r="G255" s="4">
        <v>0.87</v>
      </c>
      <c r="I255" t="s">
        <v>638</v>
      </c>
      <c r="J255" t="s">
        <v>55</v>
      </c>
    </row>
    <row r="256" spans="1:10" hidden="1" x14ac:dyDescent="0.25">
      <c r="A256" t="s">
        <v>146</v>
      </c>
      <c r="B256">
        <v>565</v>
      </c>
      <c r="C256" t="s">
        <v>748</v>
      </c>
      <c r="D256" t="s">
        <v>746</v>
      </c>
      <c r="E256" t="s">
        <v>102</v>
      </c>
      <c r="F256" t="s">
        <v>183</v>
      </c>
      <c r="G256" s="4">
        <v>0</v>
      </c>
      <c r="I256" t="s">
        <v>638</v>
      </c>
      <c r="J256" t="s">
        <v>55</v>
      </c>
    </row>
    <row r="257" spans="1:10" hidden="1" x14ac:dyDescent="0.25">
      <c r="A257" t="s">
        <v>146</v>
      </c>
      <c r="B257">
        <v>581</v>
      </c>
      <c r="C257" t="s">
        <v>774</v>
      </c>
      <c r="D257" t="s">
        <v>771</v>
      </c>
      <c r="E257" t="s">
        <v>108</v>
      </c>
      <c r="F257" t="s">
        <v>35</v>
      </c>
      <c r="G257" s="4">
        <v>0</v>
      </c>
      <c r="I257" t="s">
        <v>638</v>
      </c>
      <c r="J257" t="s">
        <v>55</v>
      </c>
    </row>
    <row r="258" spans="1:10" hidden="1" x14ac:dyDescent="0.25">
      <c r="A258" t="s">
        <v>133</v>
      </c>
      <c r="B258">
        <v>582</v>
      </c>
      <c r="C258" t="s">
        <v>775</v>
      </c>
      <c r="D258" t="s">
        <v>640</v>
      </c>
      <c r="E258" t="s">
        <v>776</v>
      </c>
      <c r="F258" t="s">
        <v>35</v>
      </c>
      <c r="G258" s="4">
        <v>0.87</v>
      </c>
      <c r="I258" t="s">
        <v>638</v>
      </c>
      <c r="J258" t="s">
        <v>55</v>
      </c>
    </row>
    <row r="259" spans="1:10" hidden="1" x14ac:dyDescent="0.25">
      <c r="A259" t="s">
        <v>178</v>
      </c>
      <c r="B259">
        <v>570</v>
      </c>
      <c r="C259" t="s">
        <v>758</v>
      </c>
      <c r="D259" t="s">
        <v>755</v>
      </c>
      <c r="E259" t="s">
        <v>102</v>
      </c>
      <c r="F259" t="s">
        <v>35</v>
      </c>
      <c r="G259" s="4">
        <v>0</v>
      </c>
      <c r="I259" t="s">
        <v>638</v>
      </c>
      <c r="J259" t="s">
        <v>55</v>
      </c>
    </row>
    <row r="260" spans="1:10" hidden="1" x14ac:dyDescent="0.25">
      <c r="A260" t="s">
        <v>146</v>
      </c>
      <c r="B260">
        <v>586</v>
      </c>
      <c r="C260" t="s">
        <v>781</v>
      </c>
      <c r="D260" t="s">
        <v>778</v>
      </c>
      <c r="E260" t="s">
        <v>108</v>
      </c>
      <c r="F260" t="s">
        <v>35</v>
      </c>
      <c r="G260" s="4">
        <v>0</v>
      </c>
      <c r="I260" t="s">
        <v>638</v>
      </c>
      <c r="J260" t="s">
        <v>55</v>
      </c>
    </row>
    <row r="261" spans="1:10" hidden="1" x14ac:dyDescent="0.25">
      <c r="A261" t="s">
        <v>133</v>
      </c>
      <c r="B261">
        <v>587</v>
      </c>
      <c r="C261" t="s">
        <v>782</v>
      </c>
      <c r="D261" t="s">
        <v>640</v>
      </c>
      <c r="E261" t="s">
        <v>783</v>
      </c>
      <c r="F261" t="s">
        <v>35</v>
      </c>
      <c r="G261" s="4">
        <v>0.87</v>
      </c>
      <c r="I261" t="s">
        <v>638</v>
      </c>
      <c r="J261" t="s">
        <v>55</v>
      </c>
    </row>
    <row r="262" spans="1:10" hidden="1" x14ac:dyDescent="0.25">
      <c r="A262" t="s">
        <v>178</v>
      </c>
      <c r="B262">
        <v>575</v>
      </c>
      <c r="C262" t="s">
        <v>766</v>
      </c>
      <c r="D262" t="s">
        <v>763</v>
      </c>
      <c r="E262" t="s">
        <v>102</v>
      </c>
      <c r="F262" t="s">
        <v>35</v>
      </c>
      <c r="G262" s="4">
        <v>0</v>
      </c>
      <c r="I262" t="s">
        <v>638</v>
      </c>
      <c r="J262" t="s">
        <v>55</v>
      </c>
    </row>
    <row r="263" spans="1:10" hidden="1" x14ac:dyDescent="0.25">
      <c r="A263" t="s">
        <v>146</v>
      </c>
      <c r="B263">
        <v>591</v>
      </c>
      <c r="C263" t="s">
        <v>788</v>
      </c>
      <c r="D263" t="s">
        <v>785</v>
      </c>
      <c r="E263" t="s">
        <v>108</v>
      </c>
      <c r="F263" t="s">
        <v>35</v>
      </c>
      <c r="G263" s="4">
        <v>0</v>
      </c>
      <c r="I263" t="s">
        <v>638</v>
      </c>
      <c r="J263" t="s">
        <v>55</v>
      </c>
    </row>
    <row r="264" spans="1:10" hidden="1" x14ac:dyDescent="0.25">
      <c r="A264" t="s">
        <v>133</v>
      </c>
      <c r="B264">
        <v>592</v>
      </c>
      <c r="C264" t="s">
        <v>789</v>
      </c>
      <c r="D264" t="s">
        <v>640</v>
      </c>
      <c r="E264" t="s">
        <v>790</v>
      </c>
      <c r="F264" t="s">
        <v>35</v>
      </c>
      <c r="G264" s="4">
        <v>0.87</v>
      </c>
      <c r="I264" t="s">
        <v>638</v>
      </c>
      <c r="J264" t="s">
        <v>55</v>
      </c>
    </row>
    <row r="265" spans="1:10" hidden="1" x14ac:dyDescent="0.25">
      <c r="A265" t="s">
        <v>178</v>
      </c>
      <c r="B265">
        <v>580</v>
      </c>
      <c r="C265" t="s">
        <v>773</v>
      </c>
      <c r="D265" t="s">
        <v>771</v>
      </c>
      <c r="E265" t="s">
        <v>102</v>
      </c>
      <c r="F265" t="s">
        <v>35</v>
      </c>
      <c r="G265" s="4">
        <v>0</v>
      </c>
      <c r="I265" t="s">
        <v>638</v>
      </c>
      <c r="J265" t="s">
        <v>55</v>
      </c>
    </row>
    <row r="266" spans="1:10" hidden="1" x14ac:dyDescent="0.25">
      <c r="A266" t="s">
        <v>146</v>
      </c>
      <c r="B266">
        <v>596</v>
      </c>
      <c r="C266" t="s">
        <v>795</v>
      </c>
      <c r="D266" t="s">
        <v>792</v>
      </c>
      <c r="E266" t="s">
        <v>108</v>
      </c>
      <c r="F266" t="s">
        <v>35</v>
      </c>
      <c r="G266" s="4">
        <v>0</v>
      </c>
      <c r="I266" t="s">
        <v>638</v>
      </c>
      <c r="J266" t="s">
        <v>55</v>
      </c>
    </row>
    <row r="267" spans="1:10" hidden="1" x14ac:dyDescent="0.25">
      <c r="A267" t="s">
        <v>133</v>
      </c>
      <c r="B267">
        <v>597</v>
      </c>
      <c r="C267" t="s">
        <v>796</v>
      </c>
      <c r="D267" t="s">
        <v>640</v>
      </c>
      <c r="E267" t="s">
        <v>797</v>
      </c>
      <c r="F267" t="s">
        <v>35</v>
      </c>
      <c r="G267" s="4">
        <v>0.87</v>
      </c>
      <c r="I267" t="s">
        <v>638</v>
      </c>
      <c r="J267" t="s">
        <v>55</v>
      </c>
    </row>
    <row r="268" spans="1:10" hidden="1" x14ac:dyDescent="0.25">
      <c r="A268" t="s">
        <v>178</v>
      </c>
      <c r="B268">
        <v>585</v>
      </c>
      <c r="C268" t="s">
        <v>780</v>
      </c>
      <c r="D268" t="s">
        <v>778</v>
      </c>
      <c r="E268" t="s">
        <v>102</v>
      </c>
      <c r="F268" t="s">
        <v>35</v>
      </c>
      <c r="G268" s="4">
        <v>0</v>
      </c>
      <c r="I268" t="s">
        <v>638</v>
      </c>
      <c r="J268" t="s">
        <v>55</v>
      </c>
    </row>
    <row r="269" spans="1:10" hidden="1" x14ac:dyDescent="0.25">
      <c r="A269" t="s">
        <v>146</v>
      </c>
      <c r="B269">
        <v>601</v>
      </c>
      <c r="C269" t="s">
        <v>802</v>
      </c>
      <c r="D269" t="s">
        <v>799</v>
      </c>
      <c r="E269" t="s">
        <v>108</v>
      </c>
      <c r="F269" t="s">
        <v>35</v>
      </c>
      <c r="G269" s="4">
        <v>0</v>
      </c>
      <c r="I269" t="s">
        <v>638</v>
      </c>
      <c r="J269" t="s">
        <v>55</v>
      </c>
    </row>
    <row r="270" spans="1:10" hidden="1" x14ac:dyDescent="0.25">
      <c r="A270" t="s">
        <v>133</v>
      </c>
      <c r="B270">
        <v>602</v>
      </c>
      <c r="C270" t="s">
        <v>803</v>
      </c>
      <c r="D270" t="s">
        <v>640</v>
      </c>
      <c r="E270" t="s">
        <v>804</v>
      </c>
      <c r="F270" t="s">
        <v>35</v>
      </c>
      <c r="G270" s="4">
        <v>0.87</v>
      </c>
      <c r="I270" t="s">
        <v>638</v>
      </c>
      <c r="J270" t="s">
        <v>55</v>
      </c>
    </row>
    <row r="271" spans="1:10" hidden="1" x14ac:dyDescent="0.25">
      <c r="A271" t="s">
        <v>178</v>
      </c>
      <c r="B271">
        <v>590</v>
      </c>
      <c r="C271" t="s">
        <v>787</v>
      </c>
      <c r="D271" t="s">
        <v>785</v>
      </c>
      <c r="E271" t="s">
        <v>102</v>
      </c>
      <c r="F271" t="s">
        <v>35</v>
      </c>
      <c r="G271" s="4">
        <v>0</v>
      </c>
      <c r="I271" t="s">
        <v>638</v>
      </c>
      <c r="J271" t="s">
        <v>55</v>
      </c>
    </row>
    <row r="272" spans="1:10" hidden="1" x14ac:dyDescent="0.25">
      <c r="A272" t="s">
        <v>146</v>
      </c>
      <c r="B272">
        <v>606</v>
      </c>
      <c r="C272" t="s">
        <v>809</v>
      </c>
      <c r="D272" t="s">
        <v>806</v>
      </c>
      <c r="E272" t="s">
        <v>108</v>
      </c>
      <c r="F272" t="s">
        <v>35</v>
      </c>
      <c r="G272" s="4">
        <v>0</v>
      </c>
      <c r="I272" t="s">
        <v>638</v>
      </c>
      <c r="J272" t="s">
        <v>55</v>
      </c>
    </row>
    <row r="273" spans="1:10" hidden="1" x14ac:dyDescent="0.25">
      <c r="A273" t="s">
        <v>133</v>
      </c>
      <c r="B273">
        <v>607</v>
      </c>
      <c r="C273" t="s">
        <v>810</v>
      </c>
      <c r="D273" t="s">
        <v>640</v>
      </c>
      <c r="E273" t="s">
        <v>811</v>
      </c>
      <c r="F273" t="s">
        <v>35</v>
      </c>
      <c r="G273" s="4">
        <v>0.87</v>
      </c>
      <c r="I273" t="s">
        <v>638</v>
      </c>
      <c r="J273" t="s">
        <v>55</v>
      </c>
    </row>
    <row r="274" spans="1:10" hidden="1" x14ac:dyDescent="0.25">
      <c r="A274" t="s">
        <v>178</v>
      </c>
      <c r="B274">
        <v>595</v>
      </c>
      <c r="C274" t="s">
        <v>794</v>
      </c>
      <c r="D274" t="s">
        <v>792</v>
      </c>
      <c r="E274" t="s">
        <v>102</v>
      </c>
      <c r="F274" t="s">
        <v>35</v>
      </c>
      <c r="G274" s="4">
        <v>0</v>
      </c>
      <c r="I274" t="s">
        <v>638</v>
      </c>
      <c r="J274" t="s">
        <v>55</v>
      </c>
    </row>
    <row r="275" spans="1:10" hidden="1" x14ac:dyDescent="0.25">
      <c r="A275" t="s">
        <v>178</v>
      </c>
      <c r="B275">
        <v>611</v>
      </c>
      <c r="C275" t="s">
        <v>816</v>
      </c>
      <c r="D275" t="s">
        <v>813</v>
      </c>
      <c r="E275" t="s">
        <v>108</v>
      </c>
      <c r="F275" t="s">
        <v>35</v>
      </c>
      <c r="G275" s="4">
        <v>0</v>
      </c>
      <c r="I275" t="s">
        <v>638</v>
      </c>
      <c r="J275" t="s">
        <v>55</v>
      </c>
    </row>
    <row r="276" spans="1:10" hidden="1" x14ac:dyDescent="0.25">
      <c r="A276" t="s">
        <v>133</v>
      </c>
      <c r="B276">
        <v>612</v>
      </c>
      <c r="C276" t="s">
        <v>817</v>
      </c>
      <c r="D276" t="s">
        <v>640</v>
      </c>
      <c r="E276" t="s">
        <v>818</v>
      </c>
      <c r="F276" t="s">
        <v>35</v>
      </c>
      <c r="G276" s="4">
        <v>0.87</v>
      </c>
      <c r="I276" t="s">
        <v>638</v>
      </c>
      <c r="J276" t="s">
        <v>55</v>
      </c>
    </row>
    <row r="277" spans="1:10" hidden="1" x14ac:dyDescent="0.25">
      <c r="A277" t="s">
        <v>178</v>
      </c>
      <c r="B277">
        <v>600</v>
      </c>
      <c r="C277" t="s">
        <v>801</v>
      </c>
      <c r="D277" t="s">
        <v>799</v>
      </c>
      <c r="E277" t="s">
        <v>102</v>
      </c>
      <c r="F277" t="s">
        <v>35</v>
      </c>
      <c r="G277" s="4">
        <v>0</v>
      </c>
      <c r="I277" t="s">
        <v>638</v>
      </c>
      <c r="J277" t="s">
        <v>55</v>
      </c>
    </row>
    <row r="278" spans="1:10" hidden="1" x14ac:dyDescent="0.25">
      <c r="A278" t="s">
        <v>178</v>
      </c>
      <c r="B278">
        <v>616</v>
      </c>
      <c r="C278" t="s">
        <v>823</v>
      </c>
      <c r="D278" t="s">
        <v>820</v>
      </c>
      <c r="E278" t="s">
        <v>108</v>
      </c>
      <c r="F278" t="s">
        <v>35</v>
      </c>
      <c r="G278" s="4">
        <v>0</v>
      </c>
      <c r="I278" t="s">
        <v>638</v>
      </c>
      <c r="J278" t="s">
        <v>55</v>
      </c>
    </row>
    <row r="279" spans="1:10" hidden="1" x14ac:dyDescent="0.25">
      <c r="A279" t="s">
        <v>133</v>
      </c>
      <c r="B279">
        <v>617</v>
      </c>
      <c r="C279" t="s">
        <v>824</v>
      </c>
      <c r="D279" t="s">
        <v>640</v>
      </c>
      <c r="E279" t="s">
        <v>825</v>
      </c>
      <c r="F279" t="s">
        <v>35</v>
      </c>
      <c r="G279" s="4">
        <v>0.87</v>
      </c>
      <c r="I279" t="s">
        <v>638</v>
      </c>
      <c r="J279" t="s">
        <v>55</v>
      </c>
    </row>
    <row r="280" spans="1:10" hidden="1" x14ac:dyDescent="0.25">
      <c r="A280" t="s">
        <v>178</v>
      </c>
      <c r="B280">
        <v>605</v>
      </c>
      <c r="C280" t="s">
        <v>808</v>
      </c>
      <c r="D280" t="s">
        <v>806</v>
      </c>
      <c r="E280" t="s">
        <v>102</v>
      </c>
      <c r="F280" t="s">
        <v>35</v>
      </c>
      <c r="G280" s="4">
        <v>0</v>
      </c>
      <c r="I280" t="s">
        <v>638</v>
      </c>
      <c r="J280" t="s">
        <v>55</v>
      </c>
    </row>
    <row r="281" spans="1:10" hidden="1" x14ac:dyDescent="0.25">
      <c r="A281" t="s">
        <v>178</v>
      </c>
      <c r="B281">
        <v>621</v>
      </c>
      <c r="C281" t="s">
        <v>830</v>
      </c>
      <c r="D281" t="s">
        <v>827</v>
      </c>
      <c r="E281" t="s">
        <v>108</v>
      </c>
      <c r="F281" t="s">
        <v>35</v>
      </c>
      <c r="G281" s="4">
        <v>0</v>
      </c>
      <c r="I281" t="s">
        <v>638</v>
      </c>
      <c r="J281" t="s">
        <v>55</v>
      </c>
    </row>
    <row r="282" spans="1:10" hidden="1" x14ac:dyDescent="0.25">
      <c r="A282" t="s">
        <v>133</v>
      </c>
      <c r="B282">
        <v>622</v>
      </c>
      <c r="C282" t="s">
        <v>831</v>
      </c>
      <c r="D282" t="s">
        <v>640</v>
      </c>
      <c r="E282" t="s">
        <v>832</v>
      </c>
      <c r="F282" t="s">
        <v>35</v>
      </c>
      <c r="G282" s="4">
        <v>0.87</v>
      </c>
      <c r="I282" t="s">
        <v>638</v>
      </c>
      <c r="J282" t="s">
        <v>55</v>
      </c>
    </row>
    <row r="283" spans="1:10" hidden="1" x14ac:dyDescent="0.25">
      <c r="A283" t="s">
        <v>178</v>
      </c>
      <c r="B283">
        <v>610</v>
      </c>
      <c r="C283" t="s">
        <v>815</v>
      </c>
      <c r="D283" t="s">
        <v>813</v>
      </c>
      <c r="E283" t="s">
        <v>102</v>
      </c>
      <c r="F283" t="s">
        <v>35</v>
      </c>
      <c r="G283" s="4">
        <v>0</v>
      </c>
      <c r="I283" t="s">
        <v>638</v>
      </c>
      <c r="J283" t="s">
        <v>55</v>
      </c>
    </row>
    <row r="284" spans="1:10" hidden="1" x14ac:dyDescent="0.25">
      <c r="A284" t="s">
        <v>178</v>
      </c>
      <c r="B284">
        <v>626</v>
      </c>
      <c r="C284" t="s">
        <v>837</v>
      </c>
      <c r="D284" t="s">
        <v>834</v>
      </c>
      <c r="E284" t="s">
        <v>108</v>
      </c>
      <c r="F284" t="s">
        <v>35</v>
      </c>
      <c r="G284" s="4">
        <v>0</v>
      </c>
      <c r="I284" t="s">
        <v>638</v>
      </c>
      <c r="J284" t="s">
        <v>55</v>
      </c>
    </row>
    <row r="285" spans="1:10" hidden="1" x14ac:dyDescent="0.25">
      <c r="A285" t="s">
        <v>133</v>
      </c>
      <c r="B285">
        <v>627</v>
      </c>
      <c r="C285" t="s">
        <v>838</v>
      </c>
      <c r="D285" t="s">
        <v>640</v>
      </c>
      <c r="E285" t="s">
        <v>839</v>
      </c>
      <c r="F285" t="s">
        <v>35</v>
      </c>
      <c r="G285" s="4">
        <v>0.87</v>
      </c>
      <c r="I285" t="s">
        <v>638</v>
      </c>
      <c r="J285" t="s">
        <v>55</v>
      </c>
    </row>
    <row r="286" spans="1:10" hidden="1" x14ac:dyDescent="0.25">
      <c r="A286" t="s">
        <v>178</v>
      </c>
      <c r="B286">
        <v>615</v>
      </c>
      <c r="C286" t="s">
        <v>822</v>
      </c>
      <c r="D286" t="s">
        <v>820</v>
      </c>
      <c r="E286" t="s">
        <v>102</v>
      </c>
      <c r="F286" t="s">
        <v>35</v>
      </c>
      <c r="G286" s="4">
        <v>0</v>
      </c>
      <c r="I286" t="s">
        <v>638</v>
      </c>
      <c r="J286" t="s">
        <v>55</v>
      </c>
    </row>
    <row r="287" spans="1:10" hidden="1" x14ac:dyDescent="0.25">
      <c r="A287" t="s">
        <v>178</v>
      </c>
      <c r="B287">
        <v>631</v>
      </c>
      <c r="C287" t="s">
        <v>844</v>
      </c>
      <c r="D287" t="s">
        <v>841</v>
      </c>
      <c r="E287" t="s">
        <v>108</v>
      </c>
      <c r="F287" t="s">
        <v>35</v>
      </c>
      <c r="G287" s="4">
        <v>0</v>
      </c>
      <c r="I287" t="s">
        <v>638</v>
      </c>
      <c r="J287" t="s">
        <v>55</v>
      </c>
    </row>
    <row r="288" spans="1:10" hidden="1" x14ac:dyDescent="0.25">
      <c r="A288" t="s">
        <v>133</v>
      </c>
      <c r="B288">
        <v>632</v>
      </c>
      <c r="C288" t="s">
        <v>845</v>
      </c>
      <c r="D288" t="s">
        <v>640</v>
      </c>
      <c r="E288" t="s">
        <v>846</v>
      </c>
      <c r="F288" t="s">
        <v>35</v>
      </c>
      <c r="G288" s="4">
        <v>0.87</v>
      </c>
      <c r="I288" t="s">
        <v>638</v>
      </c>
      <c r="J288" t="s">
        <v>55</v>
      </c>
    </row>
    <row r="289" spans="1:10" hidden="1" x14ac:dyDescent="0.25">
      <c r="A289" t="s">
        <v>178</v>
      </c>
      <c r="B289">
        <v>620</v>
      </c>
      <c r="C289" t="s">
        <v>829</v>
      </c>
      <c r="D289" t="s">
        <v>827</v>
      </c>
      <c r="E289" t="s">
        <v>102</v>
      </c>
      <c r="F289" t="s">
        <v>35</v>
      </c>
      <c r="G289" s="4">
        <v>0</v>
      </c>
      <c r="I289" t="s">
        <v>638</v>
      </c>
      <c r="J289" t="s">
        <v>55</v>
      </c>
    </row>
    <row r="290" spans="1:10" hidden="1" x14ac:dyDescent="0.25">
      <c r="A290" t="s">
        <v>178</v>
      </c>
      <c r="B290">
        <v>636</v>
      </c>
      <c r="C290" t="s">
        <v>851</v>
      </c>
      <c r="D290" t="s">
        <v>848</v>
      </c>
      <c r="E290" t="s">
        <v>108</v>
      </c>
      <c r="F290" t="s">
        <v>35</v>
      </c>
      <c r="G290" s="4">
        <v>0</v>
      </c>
      <c r="I290" t="s">
        <v>638</v>
      </c>
      <c r="J290" t="s">
        <v>55</v>
      </c>
    </row>
    <row r="291" spans="1:10" hidden="1" x14ac:dyDescent="0.25">
      <c r="A291" t="s">
        <v>133</v>
      </c>
      <c r="B291">
        <v>637</v>
      </c>
      <c r="C291" t="s">
        <v>852</v>
      </c>
      <c r="D291" t="s">
        <v>640</v>
      </c>
      <c r="E291" t="s">
        <v>853</v>
      </c>
      <c r="F291" t="s">
        <v>35</v>
      </c>
      <c r="G291" s="4">
        <v>0.87</v>
      </c>
      <c r="I291" t="s">
        <v>638</v>
      </c>
      <c r="J291" t="s">
        <v>55</v>
      </c>
    </row>
    <row r="292" spans="1:10" hidden="1" x14ac:dyDescent="0.25">
      <c r="A292" t="s">
        <v>178</v>
      </c>
      <c r="B292">
        <v>625</v>
      </c>
      <c r="C292" t="s">
        <v>836</v>
      </c>
      <c r="D292" t="s">
        <v>834</v>
      </c>
      <c r="E292" t="s">
        <v>102</v>
      </c>
      <c r="F292" t="s">
        <v>35</v>
      </c>
      <c r="G292" s="4">
        <v>0</v>
      </c>
      <c r="I292" t="s">
        <v>638</v>
      </c>
      <c r="J292" t="s">
        <v>55</v>
      </c>
    </row>
    <row r="293" spans="1:10" hidden="1" x14ac:dyDescent="0.25">
      <c r="A293" t="s">
        <v>178</v>
      </c>
      <c r="B293">
        <v>641</v>
      </c>
      <c r="C293" t="s">
        <v>858</v>
      </c>
      <c r="D293" t="s">
        <v>855</v>
      </c>
      <c r="E293" t="s">
        <v>108</v>
      </c>
      <c r="F293" t="s">
        <v>35</v>
      </c>
      <c r="G293" s="4">
        <v>0</v>
      </c>
      <c r="I293" t="s">
        <v>638</v>
      </c>
      <c r="J293" t="s">
        <v>55</v>
      </c>
    </row>
    <row r="294" spans="1:10" hidden="1" x14ac:dyDescent="0.25">
      <c r="A294" t="s">
        <v>133</v>
      </c>
      <c r="B294">
        <v>642</v>
      </c>
      <c r="C294" t="s">
        <v>859</v>
      </c>
      <c r="D294" t="s">
        <v>640</v>
      </c>
      <c r="E294" t="s">
        <v>860</v>
      </c>
      <c r="F294" t="s">
        <v>35</v>
      </c>
      <c r="G294" s="4">
        <v>0.87</v>
      </c>
      <c r="I294" t="s">
        <v>638</v>
      </c>
      <c r="J294" t="s">
        <v>55</v>
      </c>
    </row>
    <row r="295" spans="1:10" hidden="1" x14ac:dyDescent="0.25">
      <c r="A295" t="s">
        <v>178</v>
      </c>
      <c r="B295">
        <v>630</v>
      </c>
      <c r="C295" t="s">
        <v>843</v>
      </c>
      <c r="D295" t="s">
        <v>841</v>
      </c>
      <c r="E295" t="s">
        <v>102</v>
      </c>
      <c r="F295" t="s">
        <v>35</v>
      </c>
      <c r="G295" s="4">
        <v>0</v>
      </c>
      <c r="I295" t="s">
        <v>638</v>
      </c>
      <c r="J295" t="s">
        <v>55</v>
      </c>
    </row>
    <row r="296" spans="1:10" hidden="1" x14ac:dyDescent="0.25">
      <c r="A296" t="s">
        <v>178</v>
      </c>
      <c r="B296">
        <v>646</v>
      </c>
      <c r="C296" t="s">
        <v>865</v>
      </c>
      <c r="D296" t="s">
        <v>862</v>
      </c>
      <c r="E296" t="s">
        <v>108</v>
      </c>
      <c r="F296" t="s">
        <v>35</v>
      </c>
      <c r="G296" s="4">
        <v>0</v>
      </c>
      <c r="I296" t="s">
        <v>638</v>
      </c>
      <c r="J296" t="s">
        <v>55</v>
      </c>
    </row>
    <row r="297" spans="1:10" hidden="1" x14ac:dyDescent="0.25">
      <c r="A297" t="s">
        <v>133</v>
      </c>
      <c r="B297">
        <v>647</v>
      </c>
      <c r="C297" t="s">
        <v>866</v>
      </c>
      <c r="D297" t="s">
        <v>640</v>
      </c>
      <c r="E297" t="s">
        <v>867</v>
      </c>
      <c r="F297" t="s">
        <v>35</v>
      </c>
      <c r="G297" s="4">
        <v>0.87</v>
      </c>
      <c r="I297" t="s">
        <v>638</v>
      </c>
      <c r="J297" t="s">
        <v>55</v>
      </c>
    </row>
    <row r="298" spans="1:10" hidden="1" x14ac:dyDescent="0.25">
      <c r="A298" t="s">
        <v>178</v>
      </c>
      <c r="B298">
        <v>635</v>
      </c>
      <c r="C298" t="s">
        <v>850</v>
      </c>
      <c r="D298" t="s">
        <v>848</v>
      </c>
      <c r="E298" t="s">
        <v>102</v>
      </c>
      <c r="F298" t="s">
        <v>35</v>
      </c>
      <c r="G298" s="4">
        <v>0</v>
      </c>
      <c r="I298" t="s">
        <v>638</v>
      </c>
      <c r="J298" t="s">
        <v>55</v>
      </c>
    </row>
    <row r="299" spans="1:10" hidden="1" x14ac:dyDescent="0.25">
      <c r="A299" t="s">
        <v>178</v>
      </c>
      <c r="B299">
        <v>651</v>
      </c>
      <c r="C299" t="s">
        <v>872</v>
      </c>
      <c r="D299" t="s">
        <v>869</v>
      </c>
      <c r="E299" t="s">
        <v>108</v>
      </c>
      <c r="F299" t="s">
        <v>35</v>
      </c>
      <c r="G299" s="4">
        <v>0</v>
      </c>
      <c r="I299" t="s">
        <v>638</v>
      </c>
      <c r="J299" t="s">
        <v>55</v>
      </c>
    </row>
    <row r="300" spans="1:10" hidden="1" x14ac:dyDescent="0.25">
      <c r="A300" t="s">
        <v>133</v>
      </c>
      <c r="B300">
        <v>652</v>
      </c>
      <c r="C300" t="s">
        <v>873</v>
      </c>
      <c r="D300" t="s">
        <v>640</v>
      </c>
      <c r="E300" t="s">
        <v>874</v>
      </c>
      <c r="F300" t="s">
        <v>35</v>
      </c>
      <c r="G300" s="4">
        <v>0.87</v>
      </c>
      <c r="I300" t="s">
        <v>638</v>
      </c>
      <c r="J300" t="s">
        <v>55</v>
      </c>
    </row>
    <row r="301" spans="1:10" hidden="1" x14ac:dyDescent="0.25">
      <c r="A301" t="s">
        <v>178</v>
      </c>
      <c r="B301">
        <v>640</v>
      </c>
      <c r="C301" t="s">
        <v>857</v>
      </c>
      <c r="D301" t="s">
        <v>855</v>
      </c>
      <c r="E301" t="s">
        <v>102</v>
      </c>
      <c r="F301" t="s">
        <v>35</v>
      </c>
      <c r="G301" s="4">
        <v>0</v>
      </c>
      <c r="I301" t="s">
        <v>638</v>
      </c>
      <c r="J301" t="s">
        <v>55</v>
      </c>
    </row>
    <row r="302" spans="1:10" hidden="1" x14ac:dyDescent="0.25">
      <c r="A302" t="s">
        <v>178</v>
      </c>
      <c r="B302">
        <v>656</v>
      </c>
      <c r="C302" t="s">
        <v>879</v>
      </c>
      <c r="D302" t="s">
        <v>876</v>
      </c>
      <c r="E302" t="s">
        <v>108</v>
      </c>
      <c r="F302" t="s">
        <v>35</v>
      </c>
      <c r="G302" s="4">
        <v>0</v>
      </c>
      <c r="I302" t="s">
        <v>638</v>
      </c>
      <c r="J302" t="s">
        <v>55</v>
      </c>
    </row>
    <row r="303" spans="1:10" hidden="1" x14ac:dyDescent="0.25">
      <c r="A303" t="s">
        <v>133</v>
      </c>
      <c r="B303">
        <v>657</v>
      </c>
      <c r="C303" t="s">
        <v>880</v>
      </c>
      <c r="D303" t="s">
        <v>640</v>
      </c>
      <c r="E303" t="s">
        <v>881</v>
      </c>
      <c r="F303" t="s">
        <v>35</v>
      </c>
      <c r="G303" s="4">
        <v>0.87</v>
      </c>
      <c r="I303" t="s">
        <v>638</v>
      </c>
      <c r="J303" t="s">
        <v>55</v>
      </c>
    </row>
    <row r="304" spans="1:10" hidden="1" x14ac:dyDescent="0.25">
      <c r="A304" t="s">
        <v>178</v>
      </c>
      <c r="B304">
        <v>645</v>
      </c>
      <c r="C304" t="s">
        <v>864</v>
      </c>
      <c r="D304" t="s">
        <v>862</v>
      </c>
      <c r="E304" t="s">
        <v>102</v>
      </c>
      <c r="F304" t="s">
        <v>35</v>
      </c>
      <c r="G304" s="4">
        <v>0</v>
      </c>
      <c r="I304" t="s">
        <v>638</v>
      </c>
      <c r="J304" t="s">
        <v>55</v>
      </c>
    </row>
    <row r="305" spans="1:10" hidden="1" x14ac:dyDescent="0.25">
      <c r="A305" t="s">
        <v>178</v>
      </c>
      <c r="B305">
        <v>661</v>
      </c>
      <c r="C305" t="s">
        <v>886</v>
      </c>
      <c r="D305" t="s">
        <v>883</v>
      </c>
      <c r="E305" t="s">
        <v>108</v>
      </c>
      <c r="F305" t="s">
        <v>35</v>
      </c>
      <c r="G305" s="4">
        <v>0</v>
      </c>
      <c r="I305" t="s">
        <v>638</v>
      </c>
      <c r="J305" t="s">
        <v>55</v>
      </c>
    </row>
    <row r="306" spans="1:10" hidden="1" x14ac:dyDescent="0.25">
      <c r="A306" t="s">
        <v>133</v>
      </c>
      <c r="B306">
        <v>662</v>
      </c>
      <c r="C306" t="s">
        <v>887</v>
      </c>
      <c r="D306" t="s">
        <v>640</v>
      </c>
      <c r="E306" t="s">
        <v>888</v>
      </c>
      <c r="F306" t="s">
        <v>35</v>
      </c>
      <c r="G306" s="4">
        <v>0.87</v>
      </c>
      <c r="I306" t="s">
        <v>638</v>
      </c>
      <c r="J306" t="s">
        <v>55</v>
      </c>
    </row>
    <row r="307" spans="1:10" hidden="1" x14ac:dyDescent="0.25">
      <c r="A307" t="s">
        <v>178</v>
      </c>
      <c r="B307">
        <v>650</v>
      </c>
      <c r="C307" t="s">
        <v>871</v>
      </c>
      <c r="D307" t="s">
        <v>869</v>
      </c>
      <c r="E307" t="s">
        <v>102</v>
      </c>
      <c r="F307" t="s">
        <v>35</v>
      </c>
      <c r="G307" s="4">
        <v>0</v>
      </c>
      <c r="I307" t="s">
        <v>638</v>
      </c>
      <c r="J307" t="s">
        <v>55</v>
      </c>
    </row>
    <row r="308" spans="1:10" hidden="1" x14ac:dyDescent="0.25">
      <c r="A308" t="s">
        <v>178</v>
      </c>
      <c r="B308">
        <v>666</v>
      </c>
      <c r="C308" t="s">
        <v>893</v>
      </c>
      <c r="D308" t="s">
        <v>890</v>
      </c>
      <c r="E308" t="s">
        <v>108</v>
      </c>
      <c r="F308" t="s">
        <v>35</v>
      </c>
      <c r="G308" s="4">
        <v>0</v>
      </c>
      <c r="I308" t="s">
        <v>638</v>
      </c>
      <c r="J308" t="s">
        <v>55</v>
      </c>
    </row>
    <row r="309" spans="1:10" hidden="1" x14ac:dyDescent="0.25">
      <c r="A309" t="s">
        <v>133</v>
      </c>
      <c r="B309">
        <v>667</v>
      </c>
      <c r="C309" t="s">
        <v>894</v>
      </c>
      <c r="D309" t="s">
        <v>640</v>
      </c>
      <c r="E309" t="s">
        <v>895</v>
      </c>
      <c r="F309" t="s">
        <v>35</v>
      </c>
      <c r="G309" s="4">
        <v>0.87</v>
      </c>
      <c r="I309" t="s">
        <v>638</v>
      </c>
      <c r="J309" t="s">
        <v>55</v>
      </c>
    </row>
    <row r="310" spans="1:10" hidden="1" x14ac:dyDescent="0.25">
      <c r="A310" t="s">
        <v>178</v>
      </c>
      <c r="B310">
        <v>655</v>
      </c>
      <c r="C310" t="s">
        <v>878</v>
      </c>
      <c r="D310" t="s">
        <v>876</v>
      </c>
      <c r="E310" t="s">
        <v>102</v>
      </c>
      <c r="F310" t="s">
        <v>35</v>
      </c>
      <c r="G310" s="4">
        <v>0</v>
      </c>
      <c r="I310" t="s">
        <v>638</v>
      </c>
      <c r="J310" t="s">
        <v>55</v>
      </c>
    </row>
    <row r="311" spans="1:10" hidden="1" x14ac:dyDescent="0.25">
      <c r="A311" t="s">
        <v>178</v>
      </c>
      <c r="B311">
        <v>671</v>
      </c>
      <c r="C311" t="s">
        <v>900</v>
      </c>
      <c r="D311" t="s">
        <v>897</v>
      </c>
      <c r="E311" t="s">
        <v>108</v>
      </c>
      <c r="F311" t="s">
        <v>35</v>
      </c>
      <c r="G311" s="4">
        <v>0</v>
      </c>
      <c r="I311" t="s">
        <v>638</v>
      </c>
      <c r="J311" t="s">
        <v>55</v>
      </c>
    </row>
    <row r="312" spans="1:10" hidden="1" x14ac:dyDescent="0.25">
      <c r="A312" t="s">
        <v>133</v>
      </c>
      <c r="B312">
        <v>672</v>
      </c>
      <c r="C312" t="s">
        <v>901</v>
      </c>
      <c r="D312" t="s">
        <v>640</v>
      </c>
      <c r="E312" t="s">
        <v>902</v>
      </c>
      <c r="F312" t="s">
        <v>35</v>
      </c>
      <c r="G312" s="4">
        <v>0.87</v>
      </c>
      <c r="I312" t="s">
        <v>638</v>
      </c>
      <c r="J312" t="s">
        <v>55</v>
      </c>
    </row>
    <row r="313" spans="1:10" hidden="1" x14ac:dyDescent="0.25">
      <c r="A313" t="s">
        <v>178</v>
      </c>
      <c r="B313">
        <v>660</v>
      </c>
      <c r="C313" t="s">
        <v>885</v>
      </c>
      <c r="D313" t="s">
        <v>883</v>
      </c>
      <c r="E313" t="s">
        <v>102</v>
      </c>
      <c r="F313" t="s">
        <v>35</v>
      </c>
      <c r="G313" s="4">
        <v>0</v>
      </c>
      <c r="I313" t="s">
        <v>638</v>
      </c>
      <c r="J313" t="s">
        <v>55</v>
      </c>
    </row>
    <row r="314" spans="1:10" hidden="1" x14ac:dyDescent="0.25">
      <c r="A314" t="s">
        <v>178</v>
      </c>
      <c r="B314">
        <v>676</v>
      </c>
      <c r="C314" t="s">
        <v>907</v>
      </c>
      <c r="D314" t="s">
        <v>904</v>
      </c>
      <c r="E314" t="s">
        <v>108</v>
      </c>
      <c r="F314" t="s">
        <v>35</v>
      </c>
      <c r="G314" s="4">
        <v>0</v>
      </c>
      <c r="I314" t="s">
        <v>638</v>
      </c>
      <c r="J314" t="s">
        <v>55</v>
      </c>
    </row>
    <row r="315" spans="1:10" hidden="1" x14ac:dyDescent="0.25">
      <c r="A315" t="s">
        <v>133</v>
      </c>
      <c r="B315">
        <v>677</v>
      </c>
      <c r="C315" t="s">
        <v>908</v>
      </c>
      <c r="D315" t="s">
        <v>640</v>
      </c>
      <c r="E315" t="s">
        <v>909</v>
      </c>
      <c r="F315" t="s">
        <v>35</v>
      </c>
      <c r="G315" s="4">
        <v>0.87</v>
      </c>
      <c r="I315" t="s">
        <v>638</v>
      </c>
      <c r="J315" t="s">
        <v>55</v>
      </c>
    </row>
    <row r="316" spans="1:10" hidden="1" x14ac:dyDescent="0.25">
      <c r="A316" t="s">
        <v>178</v>
      </c>
      <c r="B316">
        <v>665</v>
      </c>
      <c r="C316" t="s">
        <v>892</v>
      </c>
      <c r="D316" t="s">
        <v>890</v>
      </c>
      <c r="E316" t="s">
        <v>102</v>
      </c>
      <c r="F316" t="s">
        <v>35</v>
      </c>
      <c r="G316" s="4">
        <v>0</v>
      </c>
      <c r="I316" t="s">
        <v>638</v>
      </c>
      <c r="J316" t="s">
        <v>55</v>
      </c>
    </row>
    <row r="317" spans="1:10" hidden="1" x14ac:dyDescent="0.25">
      <c r="A317" t="s">
        <v>178</v>
      </c>
      <c r="B317">
        <v>681</v>
      </c>
      <c r="C317" t="s">
        <v>915</v>
      </c>
      <c r="D317" t="s">
        <v>911</v>
      </c>
      <c r="E317" t="s">
        <v>108</v>
      </c>
      <c r="F317" t="s">
        <v>35</v>
      </c>
      <c r="G317" s="4">
        <v>0</v>
      </c>
      <c r="I317" t="s">
        <v>638</v>
      </c>
      <c r="J317" t="s">
        <v>55</v>
      </c>
    </row>
    <row r="318" spans="1:10" hidden="1" x14ac:dyDescent="0.25">
      <c r="A318" t="s">
        <v>133</v>
      </c>
      <c r="B318">
        <v>682</v>
      </c>
      <c r="C318" t="s">
        <v>916</v>
      </c>
      <c r="D318" t="s">
        <v>640</v>
      </c>
      <c r="E318" t="s">
        <v>917</v>
      </c>
      <c r="F318" t="s">
        <v>35</v>
      </c>
      <c r="G318" s="4">
        <v>0.87</v>
      </c>
      <c r="I318" t="s">
        <v>638</v>
      </c>
      <c r="J318" t="s">
        <v>55</v>
      </c>
    </row>
    <row r="319" spans="1:10" hidden="1" x14ac:dyDescent="0.25">
      <c r="A319" t="s">
        <v>178</v>
      </c>
      <c r="B319">
        <v>670</v>
      </c>
      <c r="C319" t="s">
        <v>899</v>
      </c>
      <c r="D319" t="s">
        <v>897</v>
      </c>
      <c r="E319" t="s">
        <v>102</v>
      </c>
      <c r="F319" t="s">
        <v>35</v>
      </c>
      <c r="G319" s="4">
        <v>0</v>
      </c>
      <c r="I319" t="s">
        <v>638</v>
      </c>
      <c r="J319" t="s">
        <v>55</v>
      </c>
    </row>
    <row r="320" spans="1:10" hidden="1" x14ac:dyDescent="0.25">
      <c r="A320" t="s">
        <v>178</v>
      </c>
      <c r="B320">
        <v>686</v>
      </c>
      <c r="C320" t="s">
        <v>922</v>
      </c>
      <c r="D320" t="s">
        <v>919</v>
      </c>
      <c r="E320" t="s">
        <v>108</v>
      </c>
      <c r="F320" t="s">
        <v>35</v>
      </c>
      <c r="G320" s="4">
        <v>0</v>
      </c>
      <c r="I320" t="s">
        <v>638</v>
      </c>
      <c r="J320" t="s">
        <v>55</v>
      </c>
    </row>
    <row r="321" spans="1:10" hidden="1" x14ac:dyDescent="0.25">
      <c r="A321" t="s">
        <v>133</v>
      </c>
      <c r="B321">
        <v>687</v>
      </c>
      <c r="C321" t="s">
        <v>923</v>
      </c>
      <c r="D321" t="s">
        <v>640</v>
      </c>
      <c r="E321" t="s">
        <v>924</v>
      </c>
      <c r="F321" t="s">
        <v>35</v>
      </c>
      <c r="G321" s="4">
        <v>0.8</v>
      </c>
      <c r="I321" t="s">
        <v>638</v>
      </c>
      <c r="J321" t="s">
        <v>55</v>
      </c>
    </row>
    <row r="322" spans="1:10" hidden="1" x14ac:dyDescent="0.25">
      <c r="A322" t="s">
        <v>178</v>
      </c>
      <c r="B322">
        <v>675</v>
      </c>
      <c r="C322" t="s">
        <v>906</v>
      </c>
      <c r="D322" t="s">
        <v>904</v>
      </c>
      <c r="E322" t="s">
        <v>102</v>
      </c>
      <c r="F322" t="s">
        <v>35</v>
      </c>
      <c r="G322" s="4">
        <v>0</v>
      </c>
      <c r="I322" t="s">
        <v>638</v>
      </c>
      <c r="J322" t="s">
        <v>55</v>
      </c>
    </row>
    <row r="323" spans="1:10" hidden="1" x14ac:dyDescent="0.25">
      <c r="A323" t="s">
        <v>178</v>
      </c>
      <c r="B323">
        <v>691</v>
      </c>
      <c r="C323" t="s">
        <v>929</v>
      </c>
      <c r="D323" t="s">
        <v>926</v>
      </c>
      <c r="E323" t="s">
        <v>108</v>
      </c>
      <c r="F323" t="s">
        <v>35</v>
      </c>
      <c r="G323" s="4">
        <v>0</v>
      </c>
      <c r="I323" t="s">
        <v>638</v>
      </c>
      <c r="J323" t="s">
        <v>55</v>
      </c>
    </row>
    <row r="324" spans="1:10" hidden="1" x14ac:dyDescent="0.25">
      <c r="A324" t="s">
        <v>133</v>
      </c>
      <c r="B324">
        <v>692</v>
      </c>
      <c r="C324" t="s">
        <v>930</v>
      </c>
      <c r="D324" t="s">
        <v>640</v>
      </c>
      <c r="E324" t="s">
        <v>931</v>
      </c>
      <c r="F324" t="s">
        <v>35</v>
      </c>
      <c r="G324" s="4">
        <v>0.28000000000000003</v>
      </c>
      <c r="I324" t="s">
        <v>638</v>
      </c>
      <c r="J324" t="s">
        <v>55</v>
      </c>
    </row>
    <row r="325" spans="1:10" hidden="1" x14ac:dyDescent="0.25">
      <c r="A325" t="s">
        <v>178</v>
      </c>
      <c r="B325">
        <v>680</v>
      </c>
      <c r="C325" t="s">
        <v>914</v>
      </c>
      <c r="D325" t="s">
        <v>911</v>
      </c>
      <c r="E325" t="s">
        <v>102</v>
      </c>
      <c r="F325" t="s">
        <v>35</v>
      </c>
      <c r="G325" s="4">
        <v>0</v>
      </c>
      <c r="I325" t="s">
        <v>638</v>
      </c>
      <c r="J325" t="s">
        <v>55</v>
      </c>
    </row>
    <row r="326" spans="1:10" hidden="1" x14ac:dyDescent="0.25">
      <c r="A326" t="s">
        <v>178</v>
      </c>
      <c r="B326">
        <v>694</v>
      </c>
      <c r="C326" t="s">
        <v>936</v>
      </c>
      <c r="D326" t="s">
        <v>933</v>
      </c>
      <c r="E326" t="s">
        <v>98</v>
      </c>
      <c r="F326" t="s">
        <v>180</v>
      </c>
      <c r="G326" s="4">
        <v>0</v>
      </c>
      <c r="I326" t="s">
        <v>638</v>
      </c>
      <c r="J326" t="s">
        <v>55</v>
      </c>
    </row>
    <row r="327" spans="1:10" hidden="1" x14ac:dyDescent="0.25">
      <c r="A327" t="s">
        <v>178</v>
      </c>
      <c r="B327">
        <v>685</v>
      </c>
      <c r="C327" t="s">
        <v>921</v>
      </c>
      <c r="D327" t="s">
        <v>919</v>
      </c>
      <c r="E327" t="s">
        <v>102</v>
      </c>
      <c r="F327" t="s">
        <v>35</v>
      </c>
      <c r="G327" s="4">
        <v>0</v>
      </c>
      <c r="I327" t="s">
        <v>638</v>
      </c>
      <c r="J327" t="s">
        <v>55</v>
      </c>
    </row>
    <row r="328" spans="1:10" hidden="1" x14ac:dyDescent="0.25">
      <c r="A328" t="s">
        <v>146</v>
      </c>
      <c r="B328">
        <v>696</v>
      </c>
      <c r="C328" t="s">
        <v>938</v>
      </c>
      <c r="D328" t="s">
        <v>933</v>
      </c>
      <c r="E328" t="s">
        <v>108</v>
      </c>
      <c r="F328" t="s">
        <v>183</v>
      </c>
      <c r="G328" s="4">
        <v>0</v>
      </c>
      <c r="I328" t="s">
        <v>638</v>
      </c>
      <c r="J328" t="s">
        <v>55</v>
      </c>
    </row>
    <row r="329" spans="1:10" hidden="1" x14ac:dyDescent="0.25">
      <c r="A329" t="s">
        <v>133</v>
      </c>
      <c r="B329">
        <v>697</v>
      </c>
      <c r="C329" t="s">
        <v>939</v>
      </c>
      <c r="D329" t="s">
        <v>640</v>
      </c>
      <c r="E329" t="s">
        <v>940</v>
      </c>
      <c r="F329" t="s">
        <v>35</v>
      </c>
      <c r="G329" s="4">
        <v>0.5</v>
      </c>
      <c r="I329" t="s">
        <v>638</v>
      </c>
      <c r="J329" t="s">
        <v>55</v>
      </c>
    </row>
    <row r="330" spans="1:10" hidden="1" x14ac:dyDescent="0.25">
      <c r="A330" t="s">
        <v>178</v>
      </c>
      <c r="B330">
        <v>699</v>
      </c>
      <c r="C330" t="s">
        <v>944</v>
      </c>
      <c r="D330" t="s">
        <v>942</v>
      </c>
      <c r="E330" t="s">
        <v>98</v>
      </c>
      <c r="F330" t="s">
        <v>35</v>
      </c>
      <c r="G330" s="4">
        <v>0</v>
      </c>
      <c r="I330" t="s">
        <v>638</v>
      </c>
      <c r="J330" t="s">
        <v>55</v>
      </c>
    </row>
    <row r="331" spans="1:10" hidden="1" x14ac:dyDescent="0.25">
      <c r="A331" t="s">
        <v>178</v>
      </c>
      <c r="B331">
        <v>690</v>
      </c>
      <c r="C331" t="s">
        <v>928</v>
      </c>
      <c r="D331" t="s">
        <v>926</v>
      </c>
      <c r="E331" t="s">
        <v>102</v>
      </c>
      <c r="F331" t="s">
        <v>35</v>
      </c>
      <c r="G331" s="4">
        <v>0</v>
      </c>
      <c r="I331" t="s">
        <v>638</v>
      </c>
      <c r="J331" t="s">
        <v>55</v>
      </c>
    </row>
    <row r="332" spans="1:10" hidden="1" x14ac:dyDescent="0.25">
      <c r="A332" t="s">
        <v>146</v>
      </c>
      <c r="B332">
        <v>701</v>
      </c>
      <c r="C332" t="s">
        <v>946</v>
      </c>
      <c r="D332" t="s">
        <v>942</v>
      </c>
      <c r="E332" t="s">
        <v>108</v>
      </c>
      <c r="F332" t="s">
        <v>183</v>
      </c>
      <c r="G332" s="4">
        <v>0</v>
      </c>
      <c r="I332" t="s">
        <v>638</v>
      </c>
      <c r="J332" t="s">
        <v>55</v>
      </c>
    </row>
    <row r="333" spans="1:10" hidden="1" x14ac:dyDescent="0.25">
      <c r="A333" t="s">
        <v>133</v>
      </c>
      <c r="B333">
        <v>702</v>
      </c>
      <c r="C333" t="s">
        <v>947</v>
      </c>
      <c r="D333" t="s">
        <v>640</v>
      </c>
      <c r="E333" t="s">
        <v>948</v>
      </c>
      <c r="F333" t="s">
        <v>35</v>
      </c>
      <c r="G333" s="4">
        <v>0.56000000000000005</v>
      </c>
      <c r="I333" t="s">
        <v>638</v>
      </c>
      <c r="J333" t="s">
        <v>55</v>
      </c>
    </row>
    <row r="334" spans="1:10" hidden="1" x14ac:dyDescent="0.25">
      <c r="A334" t="s">
        <v>178</v>
      </c>
      <c r="B334">
        <v>704</v>
      </c>
      <c r="C334" t="s">
        <v>952</v>
      </c>
      <c r="D334" t="s">
        <v>950</v>
      </c>
      <c r="E334" t="s">
        <v>98</v>
      </c>
      <c r="F334" t="s">
        <v>35</v>
      </c>
      <c r="G334" s="4">
        <v>0</v>
      </c>
      <c r="I334" t="s">
        <v>638</v>
      </c>
      <c r="J334" t="s">
        <v>55</v>
      </c>
    </row>
    <row r="335" spans="1:10" hidden="1" x14ac:dyDescent="0.25">
      <c r="A335" t="s">
        <v>178</v>
      </c>
      <c r="B335">
        <v>695</v>
      </c>
      <c r="C335" t="s">
        <v>937</v>
      </c>
      <c r="D335" t="s">
        <v>933</v>
      </c>
      <c r="E335" t="s">
        <v>102</v>
      </c>
      <c r="F335" t="s">
        <v>183</v>
      </c>
      <c r="G335" s="4">
        <v>0</v>
      </c>
      <c r="I335" t="s">
        <v>638</v>
      </c>
      <c r="J335" t="s">
        <v>55</v>
      </c>
    </row>
    <row r="336" spans="1:10" hidden="1" x14ac:dyDescent="0.25">
      <c r="A336" t="s">
        <v>178</v>
      </c>
      <c r="B336">
        <v>706</v>
      </c>
      <c r="C336" t="s">
        <v>954</v>
      </c>
      <c r="D336" t="s">
        <v>950</v>
      </c>
      <c r="E336" t="s">
        <v>108</v>
      </c>
      <c r="F336" t="s">
        <v>183</v>
      </c>
      <c r="G336" s="4">
        <v>0</v>
      </c>
      <c r="I336" t="s">
        <v>638</v>
      </c>
      <c r="J336" t="s">
        <v>55</v>
      </c>
    </row>
    <row r="337" spans="1:10" hidden="1" x14ac:dyDescent="0.25">
      <c r="A337" t="s">
        <v>178</v>
      </c>
      <c r="B337">
        <v>707</v>
      </c>
      <c r="C337" t="s">
        <v>955</v>
      </c>
      <c r="D337" t="s">
        <v>73</v>
      </c>
      <c r="E337" t="s">
        <v>956</v>
      </c>
      <c r="F337" t="s">
        <v>35</v>
      </c>
      <c r="G337" s="4">
        <v>0.04</v>
      </c>
      <c r="I337" t="s">
        <v>958</v>
      </c>
      <c r="J337" t="s">
        <v>55</v>
      </c>
    </row>
    <row r="338" spans="1:10" hidden="1" x14ac:dyDescent="0.25">
      <c r="A338" t="s">
        <v>178</v>
      </c>
      <c r="B338">
        <v>708</v>
      </c>
      <c r="C338" t="s">
        <v>959</v>
      </c>
      <c r="D338" t="s">
        <v>960</v>
      </c>
      <c r="E338" t="s">
        <v>961</v>
      </c>
      <c r="F338" t="s">
        <v>35</v>
      </c>
      <c r="G338" s="4">
        <v>0.06</v>
      </c>
      <c r="I338" t="s">
        <v>958</v>
      </c>
      <c r="J338" t="s">
        <v>55</v>
      </c>
    </row>
    <row r="339" spans="1:10" hidden="1" x14ac:dyDescent="0.25">
      <c r="A339" t="s">
        <v>178</v>
      </c>
      <c r="B339">
        <v>700</v>
      </c>
      <c r="C339" t="s">
        <v>945</v>
      </c>
      <c r="D339" t="s">
        <v>942</v>
      </c>
      <c r="E339" t="s">
        <v>102</v>
      </c>
      <c r="F339" t="s">
        <v>35</v>
      </c>
      <c r="G339" s="4">
        <v>0</v>
      </c>
      <c r="I339" t="s">
        <v>638</v>
      </c>
      <c r="J339" t="s">
        <v>55</v>
      </c>
    </row>
    <row r="340" spans="1:10" hidden="1" x14ac:dyDescent="0.25">
      <c r="A340" t="s">
        <v>146</v>
      </c>
      <c r="B340">
        <v>710</v>
      </c>
      <c r="C340" t="s">
        <v>966</v>
      </c>
      <c r="D340" t="s">
        <v>964</v>
      </c>
      <c r="E340" t="s">
        <v>98</v>
      </c>
      <c r="F340" t="s">
        <v>183</v>
      </c>
      <c r="G340" s="4">
        <v>0</v>
      </c>
      <c r="I340" t="s">
        <v>958</v>
      </c>
      <c r="J340" t="s">
        <v>55</v>
      </c>
    </row>
    <row r="341" spans="1:10" hidden="1" x14ac:dyDescent="0.25">
      <c r="A341" t="s">
        <v>146</v>
      </c>
      <c r="B341">
        <v>713</v>
      </c>
      <c r="C341" t="s">
        <v>969</v>
      </c>
      <c r="D341" t="s">
        <v>960</v>
      </c>
      <c r="E341" t="s">
        <v>970</v>
      </c>
      <c r="F341" t="s">
        <v>183</v>
      </c>
      <c r="G341" s="4">
        <v>0</v>
      </c>
      <c r="I341" t="s">
        <v>958</v>
      </c>
      <c r="J341" t="s">
        <v>55</v>
      </c>
    </row>
    <row r="342" spans="1:10" hidden="1" x14ac:dyDescent="0.25">
      <c r="A342" t="s">
        <v>178</v>
      </c>
      <c r="B342">
        <v>705</v>
      </c>
      <c r="C342" t="s">
        <v>953</v>
      </c>
      <c r="D342" t="s">
        <v>950</v>
      </c>
      <c r="E342" t="s">
        <v>102</v>
      </c>
      <c r="F342" t="s">
        <v>35</v>
      </c>
      <c r="G342" s="4">
        <v>0</v>
      </c>
      <c r="I342" t="s">
        <v>638</v>
      </c>
      <c r="J342" t="s">
        <v>55</v>
      </c>
    </row>
    <row r="343" spans="1:10" hidden="1" x14ac:dyDescent="0.25">
      <c r="A343" t="s">
        <v>981</v>
      </c>
      <c r="B343">
        <v>30</v>
      </c>
      <c r="C343" t="s">
        <v>977</v>
      </c>
      <c r="D343" t="s">
        <v>73</v>
      </c>
      <c r="E343" t="s">
        <v>978</v>
      </c>
      <c r="F343" t="s">
        <v>180</v>
      </c>
      <c r="G343" s="4">
        <v>0.16</v>
      </c>
      <c r="I343" t="s">
        <v>980</v>
      </c>
      <c r="J343" t="s">
        <v>55</v>
      </c>
    </row>
    <row r="344" spans="1:10" hidden="1" x14ac:dyDescent="0.25">
      <c r="A344" t="s">
        <v>981</v>
      </c>
      <c r="B344">
        <v>31</v>
      </c>
      <c r="C344" t="s">
        <v>983</v>
      </c>
      <c r="D344" t="s">
        <v>984</v>
      </c>
      <c r="E344" t="s">
        <v>985</v>
      </c>
      <c r="F344" t="s">
        <v>180</v>
      </c>
      <c r="G344" s="4">
        <v>0</v>
      </c>
      <c r="I344" t="s">
        <v>980</v>
      </c>
      <c r="J344" t="s">
        <v>55</v>
      </c>
    </row>
    <row r="345" spans="1:10" hidden="1" x14ac:dyDescent="0.25">
      <c r="A345" t="s">
        <v>981</v>
      </c>
      <c r="B345">
        <v>36</v>
      </c>
      <c r="C345" t="s">
        <v>986</v>
      </c>
      <c r="D345" t="s">
        <v>984</v>
      </c>
      <c r="E345" t="s">
        <v>987</v>
      </c>
      <c r="F345" t="s">
        <v>183</v>
      </c>
      <c r="G345" s="4">
        <v>0</v>
      </c>
      <c r="I345" t="s">
        <v>980</v>
      </c>
      <c r="J345" t="s">
        <v>55</v>
      </c>
    </row>
    <row r="346" spans="1:10" hidden="1" x14ac:dyDescent="0.25">
      <c r="A346" t="s">
        <v>981</v>
      </c>
      <c r="B346">
        <v>41</v>
      </c>
      <c r="C346" t="s">
        <v>988</v>
      </c>
      <c r="D346" t="s">
        <v>984</v>
      </c>
      <c r="E346" t="s">
        <v>989</v>
      </c>
      <c r="F346" t="s">
        <v>183</v>
      </c>
      <c r="G346" s="4">
        <v>0</v>
      </c>
      <c r="I346" t="s">
        <v>980</v>
      </c>
      <c r="J346" t="s">
        <v>55</v>
      </c>
    </row>
    <row r="347" spans="1:10" hidden="1" x14ac:dyDescent="0.25">
      <c r="A347" t="s">
        <v>981</v>
      </c>
      <c r="B347">
        <v>46</v>
      </c>
      <c r="C347" t="s">
        <v>990</v>
      </c>
      <c r="D347" t="s">
        <v>984</v>
      </c>
      <c r="E347" t="s">
        <v>991</v>
      </c>
      <c r="F347" t="s">
        <v>180</v>
      </c>
      <c r="G347" s="4">
        <v>0.56999999999999995</v>
      </c>
      <c r="I347" t="s">
        <v>980</v>
      </c>
      <c r="J347" t="s">
        <v>55</v>
      </c>
    </row>
    <row r="348" spans="1:10" hidden="1" x14ac:dyDescent="0.25">
      <c r="A348" t="s">
        <v>981</v>
      </c>
      <c r="B348">
        <v>194</v>
      </c>
      <c r="C348" t="s">
        <v>993</v>
      </c>
      <c r="D348" t="s">
        <v>381</v>
      </c>
      <c r="E348" t="s">
        <v>994</v>
      </c>
      <c r="F348" t="s">
        <v>183</v>
      </c>
      <c r="G348" s="4">
        <v>0</v>
      </c>
      <c r="I348" t="s">
        <v>379</v>
      </c>
      <c r="J348" t="s">
        <v>39</v>
      </c>
    </row>
    <row r="349" spans="1:10" hidden="1" x14ac:dyDescent="0.25">
      <c r="A349" t="s">
        <v>981</v>
      </c>
      <c r="B349">
        <v>199</v>
      </c>
      <c r="C349" t="s">
        <v>995</v>
      </c>
      <c r="D349" t="s">
        <v>381</v>
      </c>
      <c r="E349" t="s">
        <v>996</v>
      </c>
      <c r="F349" t="s">
        <v>183</v>
      </c>
      <c r="G349" s="4">
        <v>0</v>
      </c>
      <c r="I349" t="s">
        <v>379</v>
      </c>
      <c r="J349" t="s">
        <v>39</v>
      </c>
    </row>
    <row r="350" spans="1:10" hidden="1" x14ac:dyDescent="0.25">
      <c r="A350" t="s">
        <v>981</v>
      </c>
      <c r="B350">
        <v>204</v>
      </c>
      <c r="C350" t="s">
        <v>997</v>
      </c>
      <c r="D350" t="s">
        <v>381</v>
      </c>
      <c r="E350" t="s">
        <v>998</v>
      </c>
      <c r="F350" t="s">
        <v>183</v>
      </c>
      <c r="G350" s="4">
        <v>0</v>
      </c>
      <c r="I350" t="s">
        <v>379</v>
      </c>
      <c r="J350" t="s">
        <v>55</v>
      </c>
    </row>
    <row r="351" spans="1:10" hidden="1" x14ac:dyDescent="0.25">
      <c r="A351" t="s">
        <v>981</v>
      </c>
      <c r="B351">
        <v>214</v>
      </c>
      <c r="C351" t="s">
        <v>999</v>
      </c>
      <c r="D351" t="s">
        <v>381</v>
      </c>
      <c r="E351" t="s">
        <v>1000</v>
      </c>
      <c r="F351" t="s">
        <v>183</v>
      </c>
      <c r="G351" s="4">
        <v>0</v>
      </c>
      <c r="I351" t="s">
        <v>379</v>
      </c>
      <c r="J351" t="s">
        <v>39</v>
      </c>
    </row>
    <row r="352" spans="1:10" hidden="1" x14ac:dyDescent="0.25">
      <c r="A352" t="s">
        <v>981</v>
      </c>
      <c r="B352">
        <v>224</v>
      </c>
      <c r="C352" t="s">
        <v>1001</v>
      </c>
      <c r="D352" t="s">
        <v>381</v>
      </c>
      <c r="E352" t="s">
        <v>1002</v>
      </c>
      <c r="F352" t="s">
        <v>183</v>
      </c>
      <c r="G352" s="4">
        <v>0</v>
      </c>
      <c r="I352" t="s">
        <v>379</v>
      </c>
      <c r="J352" t="s">
        <v>55</v>
      </c>
    </row>
    <row r="353" spans="1:11" hidden="1" x14ac:dyDescent="0.25">
      <c r="A353" t="s">
        <v>981</v>
      </c>
      <c r="B353">
        <v>264</v>
      </c>
      <c r="C353" t="s">
        <v>443</v>
      </c>
      <c r="D353" t="s">
        <v>381</v>
      </c>
      <c r="E353" t="s">
        <v>1003</v>
      </c>
      <c r="F353" t="s">
        <v>183</v>
      </c>
      <c r="G353" s="4">
        <v>0</v>
      </c>
      <c r="I353" t="s">
        <v>379</v>
      </c>
      <c r="J353" t="s">
        <v>55</v>
      </c>
    </row>
    <row r="354" spans="1:11" hidden="1" x14ac:dyDescent="0.25">
      <c r="A354" t="s">
        <v>981</v>
      </c>
      <c r="B354">
        <v>285</v>
      </c>
      <c r="C354" t="s">
        <v>1005</v>
      </c>
      <c r="D354" t="s">
        <v>486</v>
      </c>
      <c r="E354" t="s">
        <v>1006</v>
      </c>
      <c r="F354" t="s">
        <v>183</v>
      </c>
      <c r="G354" s="4">
        <v>0</v>
      </c>
      <c r="I354" t="s">
        <v>484</v>
      </c>
      <c r="J354" t="s">
        <v>55</v>
      </c>
    </row>
    <row r="355" spans="1:11" hidden="1" x14ac:dyDescent="0.25">
      <c r="A355" t="s">
        <v>981</v>
      </c>
      <c r="B355">
        <v>356</v>
      </c>
      <c r="C355" t="s">
        <v>1007</v>
      </c>
      <c r="D355" t="s">
        <v>600</v>
      </c>
      <c r="E355" t="s">
        <v>1008</v>
      </c>
      <c r="F355" t="s">
        <v>183</v>
      </c>
      <c r="G355" s="4">
        <v>0</v>
      </c>
      <c r="I355" t="s">
        <v>598</v>
      </c>
      <c r="J355" t="s">
        <v>55</v>
      </c>
    </row>
    <row r="356" spans="1:11" hidden="1" x14ac:dyDescent="0.25">
      <c r="A356" t="s">
        <v>981</v>
      </c>
      <c r="B356">
        <v>366</v>
      </c>
      <c r="C356" t="s">
        <v>1010</v>
      </c>
      <c r="D356" t="s">
        <v>600</v>
      </c>
      <c r="E356" t="s">
        <v>1011</v>
      </c>
      <c r="F356" t="s">
        <v>183</v>
      </c>
      <c r="G356" s="4">
        <v>0</v>
      </c>
      <c r="I356" t="s">
        <v>598</v>
      </c>
      <c r="J356" t="s">
        <v>55</v>
      </c>
    </row>
    <row r="357" spans="1:11" hidden="1" x14ac:dyDescent="0.25">
      <c r="A357" t="s">
        <v>981</v>
      </c>
      <c r="B357">
        <v>376</v>
      </c>
      <c r="C357" t="s">
        <v>1012</v>
      </c>
      <c r="D357" t="s">
        <v>600</v>
      </c>
      <c r="E357" t="s">
        <v>1013</v>
      </c>
      <c r="F357" t="s">
        <v>183</v>
      </c>
      <c r="G357" s="4">
        <v>0</v>
      </c>
      <c r="I357" t="s">
        <v>598</v>
      </c>
      <c r="J357" t="s">
        <v>55</v>
      </c>
    </row>
    <row r="358" spans="1:11" hidden="1" x14ac:dyDescent="0.25">
      <c r="A358" t="s">
        <v>981</v>
      </c>
      <c r="B358">
        <v>381</v>
      </c>
      <c r="C358" t="s">
        <v>1014</v>
      </c>
      <c r="D358" t="s">
        <v>600</v>
      </c>
      <c r="E358" t="s">
        <v>1015</v>
      </c>
      <c r="F358" t="s">
        <v>183</v>
      </c>
      <c r="G358" s="4">
        <v>0</v>
      </c>
      <c r="I358" t="s">
        <v>598</v>
      </c>
      <c r="J358" t="s">
        <v>55</v>
      </c>
    </row>
    <row r="359" spans="1:11" hidden="1" x14ac:dyDescent="0.25">
      <c r="A359" t="s">
        <v>981</v>
      </c>
      <c r="B359">
        <v>396</v>
      </c>
      <c r="C359" t="s">
        <v>1016</v>
      </c>
      <c r="D359" t="s">
        <v>600</v>
      </c>
      <c r="E359" t="s">
        <v>1017</v>
      </c>
      <c r="F359" t="s">
        <v>183</v>
      </c>
      <c r="G359" s="4">
        <v>0</v>
      </c>
      <c r="I359" t="s">
        <v>598</v>
      </c>
      <c r="J359" t="s">
        <v>55</v>
      </c>
    </row>
    <row r="360" spans="1:11" hidden="1" x14ac:dyDescent="0.25">
      <c r="A360" t="s">
        <v>981</v>
      </c>
      <c r="B360">
        <v>401</v>
      </c>
      <c r="C360" t="s">
        <v>1018</v>
      </c>
      <c r="D360" t="s">
        <v>600</v>
      </c>
      <c r="E360" t="s">
        <v>1019</v>
      </c>
      <c r="F360" t="s">
        <v>183</v>
      </c>
      <c r="G360" s="4">
        <v>0</v>
      </c>
      <c r="I360" t="s">
        <v>598</v>
      </c>
      <c r="J360" t="s">
        <v>55</v>
      </c>
    </row>
    <row r="361" spans="1:11" hidden="1" x14ac:dyDescent="0.25">
      <c r="A361" t="s">
        <v>981</v>
      </c>
      <c r="B361">
        <v>406</v>
      </c>
      <c r="C361" t="s">
        <v>1020</v>
      </c>
      <c r="D361" t="s">
        <v>600</v>
      </c>
      <c r="E361" t="s">
        <v>1021</v>
      </c>
      <c r="F361" t="s">
        <v>183</v>
      </c>
      <c r="G361" s="4">
        <v>0</v>
      </c>
      <c r="I361" t="s">
        <v>598</v>
      </c>
      <c r="J361" t="s">
        <v>55</v>
      </c>
    </row>
    <row r="362" spans="1:11" hidden="1" x14ac:dyDescent="0.25">
      <c r="A362" t="s">
        <v>981</v>
      </c>
      <c r="B362">
        <v>411</v>
      </c>
      <c r="C362" t="s">
        <v>1022</v>
      </c>
      <c r="D362" t="s">
        <v>600</v>
      </c>
      <c r="E362" t="s">
        <v>1023</v>
      </c>
      <c r="F362" t="s">
        <v>183</v>
      </c>
      <c r="G362" s="4">
        <v>0</v>
      </c>
      <c r="I362" t="s">
        <v>598</v>
      </c>
      <c r="J362" t="s">
        <v>55</v>
      </c>
    </row>
    <row r="363" spans="1:11" hidden="1" x14ac:dyDescent="0.25">
      <c r="A363" t="s">
        <v>981</v>
      </c>
      <c r="B363">
        <v>432</v>
      </c>
      <c r="C363" t="s">
        <v>656</v>
      </c>
      <c r="D363" t="s">
        <v>640</v>
      </c>
      <c r="E363" t="s">
        <v>1024</v>
      </c>
      <c r="F363" t="s">
        <v>183</v>
      </c>
      <c r="G363" s="4">
        <v>0</v>
      </c>
      <c r="I363" t="s">
        <v>638</v>
      </c>
      <c r="J363" t="s">
        <v>55</v>
      </c>
    </row>
    <row r="364" spans="1:11" hidden="1" x14ac:dyDescent="0.25">
      <c r="A364" t="s">
        <v>981</v>
      </c>
      <c r="B364">
        <v>437</v>
      </c>
      <c r="C364" t="s">
        <v>1025</v>
      </c>
      <c r="D364" t="s">
        <v>640</v>
      </c>
      <c r="E364" t="s">
        <v>1026</v>
      </c>
      <c r="F364" t="s">
        <v>183</v>
      </c>
      <c r="G364" s="4">
        <v>0</v>
      </c>
      <c r="I364" t="s">
        <v>638</v>
      </c>
      <c r="J364" t="s">
        <v>55</v>
      </c>
    </row>
    <row r="365" spans="1:11" hidden="1" x14ac:dyDescent="0.25">
      <c r="A365" t="s">
        <v>981</v>
      </c>
      <c r="B365">
        <v>487</v>
      </c>
      <c r="C365" t="s">
        <v>724</v>
      </c>
      <c r="D365" t="s">
        <v>640</v>
      </c>
      <c r="E365" t="s">
        <v>1027</v>
      </c>
      <c r="F365" t="s">
        <v>183</v>
      </c>
      <c r="G365" s="4">
        <v>0</v>
      </c>
      <c r="I365" t="s">
        <v>638</v>
      </c>
      <c r="J365" t="s">
        <v>55</v>
      </c>
    </row>
    <row r="366" spans="1:11" hidden="1" x14ac:dyDescent="0.25">
      <c r="A366" t="s">
        <v>981</v>
      </c>
      <c r="B366">
        <v>492</v>
      </c>
      <c r="C366" t="s">
        <v>1028</v>
      </c>
      <c r="D366" t="s">
        <v>640</v>
      </c>
      <c r="E366" t="s">
        <v>1029</v>
      </c>
      <c r="F366" t="s">
        <v>183</v>
      </c>
      <c r="G366" s="4">
        <v>0</v>
      </c>
      <c r="I366" t="s">
        <v>638</v>
      </c>
      <c r="J366" t="s">
        <v>55</v>
      </c>
    </row>
    <row r="367" spans="1:11" hidden="1" x14ac:dyDescent="0.25">
      <c r="E367" t="s">
        <v>1053</v>
      </c>
      <c r="K367" s="8">
        <v>46219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"/>
  <sheetViews>
    <sheetView workbookViewId="0">
      <selection activeCell="I44" sqref="I44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4" t="s">
        <v>7</v>
      </c>
      <c r="H1" t="s">
        <v>14</v>
      </c>
      <c r="I1" t="s">
        <v>15</v>
      </c>
      <c r="J1" t="s">
        <v>17</v>
      </c>
    </row>
    <row r="2" spans="1:10" hidden="1" x14ac:dyDescent="0.25">
      <c r="A2" t="s">
        <v>150</v>
      </c>
      <c r="B2">
        <v>92</v>
      </c>
      <c r="C2" t="s">
        <v>195</v>
      </c>
      <c r="D2" t="s">
        <v>190</v>
      </c>
      <c r="E2" t="s">
        <v>108</v>
      </c>
      <c r="F2" t="s">
        <v>183</v>
      </c>
      <c r="G2" s="4">
        <v>0</v>
      </c>
      <c r="I2" t="s">
        <v>154</v>
      </c>
      <c r="J2" t="s">
        <v>55</v>
      </c>
    </row>
    <row r="3" spans="1:10" hidden="1" x14ac:dyDescent="0.25">
      <c r="A3" t="s">
        <v>150</v>
      </c>
      <c r="B3">
        <v>97</v>
      </c>
      <c r="C3" t="s">
        <v>203</v>
      </c>
      <c r="D3" t="s">
        <v>200</v>
      </c>
      <c r="E3" t="s">
        <v>108</v>
      </c>
      <c r="F3" t="s">
        <v>183</v>
      </c>
      <c r="G3" s="4">
        <v>0</v>
      </c>
      <c r="I3" t="s">
        <v>154</v>
      </c>
      <c r="J3" t="s">
        <v>55</v>
      </c>
    </row>
    <row r="4" spans="1:10" hidden="1" x14ac:dyDescent="0.25">
      <c r="A4" t="s">
        <v>150</v>
      </c>
      <c r="B4">
        <v>102</v>
      </c>
      <c r="C4" t="s">
        <v>210</v>
      </c>
      <c r="D4" t="s">
        <v>207</v>
      </c>
      <c r="E4" t="s">
        <v>108</v>
      </c>
      <c r="F4" t="s">
        <v>183</v>
      </c>
      <c r="G4" s="4">
        <v>0</v>
      </c>
      <c r="I4" t="s">
        <v>154</v>
      </c>
      <c r="J4" t="s">
        <v>55</v>
      </c>
    </row>
    <row r="5" spans="1:10" hidden="1" x14ac:dyDescent="0.25">
      <c r="A5" t="s">
        <v>150</v>
      </c>
      <c r="B5">
        <v>107</v>
      </c>
      <c r="C5" t="s">
        <v>217</v>
      </c>
      <c r="D5" t="s">
        <v>214</v>
      </c>
      <c r="E5" t="s">
        <v>108</v>
      </c>
      <c r="F5" t="s">
        <v>183</v>
      </c>
      <c r="G5" s="4">
        <v>0</v>
      </c>
      <c r="I5" t="s">
        <v>154</v>
      </c>
      <c r="J5" t="s">
        <v>55</v>
      </c>
    </row>
    <row r="6" spans="1:10" hidden="1" x14ac:dyDescent="0.25">
      <c r="A6" t="s">
        <v>150</v>
      </c>
      <c r="B6">
        <v>112</v>
      </c>
      <c r="C6" t="s">
        <v>224</v>
      </c>
      <c r="D6" t="s">
        <v>221</v>
      </c>
      <c r="E6" t="s">
        <v>108</v>
      </c>
      <c r="F6" t="s">
        <v>183</v>
      </c>
      <c r="G6" s="4">
        <v>0</v>
      </c>
      <c r="I6" t="s">
        <v>154</v>
      </c>
      <c r="J6" t="s">
        <v>55</v>
      </c>
    </row>
    <row r="7" spans="1:10" hidden="1" x14ac:dyDescent="0.25">
      <c r="A7" t="s">
        <v>150</v>
      </c>
      <c r="B7">
        <v>117</v>
      </c>
      <c r="C7" t="s">
        <v>231</v>
      </c>
      <c r="D7" t="s">
        <v>228</v>
      </c>
      <c r="E7" t="s">
        <v>108</v>
      </c>
      <c r="F7" t="s">
        <v>183</v>
      </c>
      <c r="G7" s="4">
        <v>0</v>
      </c>
      <c r="I7" t="s">
        <v>154</v>
      </c>
      <c r="J7" t="s">
        <v>55</v>
      </c>
    </row>
    <row r="8" spans="1:10" hidden="1" x14ac:dyDescent="0.25">
      <c r="A8" t="s">
        <v>150</v>
      </c>
      <c r="B8">
        <v>122</v>
      </c>
      <c r="C8" t="s">
        <v>238</v>
      </c>
      <c r="D8" t="s">
        <v>235</v>
      </c>
      <c r="E8" t="s">
        <v>108</v>
      </c>
      <c r="F8" t="s">
        <v>183</v>
      </c>
      <c r="G8" s="4">
        <v>0</v>
      </c>
      <c r="I8" t="s">
        <v>154</v>
      </c>
      <c r="J8" t="s">
        <v>55</v>
      </c>
    </row>
    <row r="9" spans="1:10" hidden="1" x14ac:dyDescent="0.25">
      <c r="A9" t="s">
        <v>150</v>
      </c>
      <c r="B9">
        <v>127</v>
      </c>
      <c r="C9" t="s">
        <v>245</v>
      </c>
      <c r="D9" t="s">
        <v>242</v>
      </c>
      <c r="E9" t="s">
        <v>108</v>
      </c>
      <c r="F9" t="s">
        <v>183</v>
      </c>
      <c r="G9" s="4">
        <v>0</v>
      </c>
      <c r="I9" t="s">
        <v>154</v>
      </c>
      <c r="J9" t="s">
        <v>55</v>
      </c>
    </row>
    <row r="10" spans="1:10" hidden="1" x14ac:dyDescent="0.25">
      <c r="A10" t="s">
        <v>150</v>
      </c>
      <c r="B10">
        <v>132</v>
      </c>
      <c r="C10" t="s">
        <v>252</v>
      </c>
      <c r="D10" t="s">
        <v>249</v>
      </c>
      <c r="E10" t="s">
        <v>108</v>
      </c>
      <c r="F10" t="s">
        <v>183</v>
      </c>
      <c r="G10" s="4">
        <v>0</v>
      </c>
      <c r="I10" t="s">
        <v>154</v>
      </c>
      <c r="J10" t="s">
        <v>55</v>
      </c>
    </row>
    <row r="11" spans="1:10" hidden="1" x14ac:dyDescent="0.25">
      <c r="A11" t="s">
        <v>150</v>
      </c>
      <c r="B11">
        <v>238</v>
      </c>
      <c r="C11" t="s">
        <v>399</v>
      </c>
      <c r="D11" t="s">
        <v>394</v>
      </c>
      <c r="E11" t="s">
        <v>108</v>
      </c>
      <c r="F11" t="s">
        <v>183</v>
      </c>
      <c r="G11" s="4">
        <v>0</v>
      </c>
      <c r="I11" t="s">
        <v>379</v>
      </c>
      <c r="J11" t="s">
        <v>55</v>
      </c>
    </row>
    <row r="12" spans="1:10" hidden="1" x14ac:dyDescent="0.25">
      <c r="A12" t="s">
        <v>506</v>
      </c>
      <c r="B12">
        <v>339</v>
      </c>
      <c r="C12" t="s">
        <v>505</v>
      </c>
      <c r="D12" t="s">
        <v>502</v>
      </c>
      <c r="E12" t="s">
        <v>108</v>
      </c>
      <c r="F12" t="s">
        <v>183</v>
      </c>
      <c r="G12" s="4">
        <v>0</v>
      </c>
      <c r="I12" t="s">
        <v>484</v>
      </c>
      <c r="J12" t="s">
        <v>55</v>
      </c>
    </row>
    <row r="13" spans="1:10" hidden="1" x14ac:dyDescent="0.25">
      <c r="A13" t="s">
        <v>150</v>
      </c>
      <c r="B13">
        <v>352</v>
      </c>
      <c r="C13" t="s">
        <v>520</v>
      </c>
      <c r="D13" t="s">
        <v>519</v>
      </c>
      <c r="E13" t="s">
        <v>98</v>
      </c>
      <c r="F13" t="s">
        <v>183</v>
      </c>
      <c r="G13" s="4">
        <v>0</v>
      </c>
      <c r="I13" t="s">
        <v>484</v>
      </c>
      <c r="J13" t="s">
        <v>55</v>
      </c>
    </row>
    <row r="14" spans="1:10" x14ac:dyDescent="0.25">
      <c r="A14" t="s">
        <v>150</v>
      </c>
      <c r="B14">
        <v>353</v>
      </c>
      <c r="C14" t="s">
        <v>521</v>
      </c>
      <c r="D14" t="s">
        <v>519</v>
      </c>
      <c r="E14" t="s">
        <v>102</v>
      </c>
      <c r="F14" t="s">
        <v>183</v>
      </c>
      <c r="G14" s="4">
        <v>0</v>
      </c>
      <c r="I14" t="s">
        <v>484</v>
      </c>
      <c r="J14" t="s">
        <v>55</v>
      </c>
    </row>
    <row r="15" spans="1:10" hidden="1" x14ac:dyDescent="0.25">
      <c r="A15" t="s">
        <v>506</v>
      </c>
      <c r="B15">
        <v>354</v>
      </c>
      <c r="C15" t="s">
        <v>522</v>
      </c>
      <c r="D15" t="s">
        <v>519</v>
      </c>
      <c r="E15" t="s">
        <v>108</v>
      </c>
      <c r="F15" t="s">
        <v>183</v>
      </c>
      <c r="G15" s="4">
        <v>0</v>
      </c>
      <c r="I15" t="s">
        <v>484</v>
      </c>
      <c r="J15" t="s">
        <v>55</v>
      </c>
    </row>
    <row r="16" spans="1:10" hidden="1" x14ac:dyDescent="0.25">
      <c r="A16" t="s">
        <v>150</v>
      </c>
      <c r="B16">
        <v>357</v>
      </c>
      <c r="C16" t="s">
        <v>527</v>
      </c>
      <c r="D16" t="s">
        <v>526</v>
      </c>
      <c r="E16" t="s">
        <v>98</v>
      </c>
      <c r="F16" t="s">
        <v>183</v>
      </c>
      <c r="G16" s="4">
        <v>0</v>
      </c>
      <c r="I16" t="s">
        <v>484</v>
      </c>
      <c r="J16" t="s">
        <v>55</v>
      </c>
    </row>
    <row r="17" spans="1:10" x14ac:dyDescent="0.25">
      <c r="A17" t="s">
        <v>150</v>
      </c>
      <c r="B17">
        <v>358</v>
      </c>
      <c r="C17" t="s">
        <v>528</v>
      </c>
      <c r="D17" t="s">
        <v>526</v>
      </c>
      <c r="E17" t="s">
        <v>102</v>
      </c>
      <c r="F17" t="s">
        <v>183</v>
      </c>
      <c r="G17" s="4">
        <v>0</v>
      </c>
      <c r="I17" t="s">
        <v>484</v>
      </c>
      <c r="J17" t="s">
        <v>55</v>
      </c>
    </row>
    <row r="18" spans="1:10" hidden="1" x14ac:dyDescent="0.25">
      <c r="A18" t="s">
        <v>506</v>
      </c>
      <c r="B18">
        <v>359</v>
      </c>
      <c r="C18" t="s">
        <v>529</v>
      </c>
      <c r="D18" t="s">
        <v>526</v>
      </c>
      <c r="E18" t="s">
        <v>108</v>
      </c>
      <c r="F18" t="s">
        <v>183</v>
      </c>
      <c r="G18" s="4">
        <v>0</v>
      </c>
      <c r="I18" t="s">
        <v>484</v>
      </c>
      <c r="J18" t="s">
        <v>55</v>
      </c>
    </row>
    <row r="19" spans="1:10" hidden="1" x14ac:dyDescent="0.25">
      <c r="A19" t="s">
        <v>150</v>
      </c>
      <c r="B19">
        <v>362</v>
      </c>
      <c r="C19" t="s">
        <v>534</v>
      </c>
      <c r="D19" t="s">
        <v>533</v>
      </c>
      <c r="E19" t="s">
        <v>98</v>
      </c>
      <c r="F19" t="s">
        <v>183</v>
      </c>
      <c r="G19" s="4">
        <v>0</v>
      </c>
      <c r="I19" t="s">
        <v>484</v>
      </c>
      <c r="J19" t="s">
        <v>55</v>
      </c>
    </row>
    <row r="20" spans="1:10" x14ac:dyDescent="0.25">
      <c r="A20" t="s">
        <v>150</v>
      </c>
      <c r="B20">
        <v>363</v>
      </c>
      <c r="C20" t="s">
        <v>535</v>
      </c>
      <c r="D20" t="s">
        <v>533</v>
      </c>
      <c r="E20" t="s">
        <v>102</v>
      </c>
      <c r="F20" t="s">
        <v>183</v>
      </c>
      <c r="G20" s="4">
        <v>0</v>
      </c>
      <c r="I20" t="s">
        <v>484</v>
      </c>
      <c r="J20" t="s">
        <v>55</v>
      </c>
    </row>
    <row r="21" spans="1:10" hidden="1" x14ac:dyDescent="0.25">
      <c r="A21" t="s">
        <v>506</v>
      </c>
      <c r="B21">
        <v>364</v>
      </c>
      <c r="C21" t="s">
        <v>536</v>
      </c>
      <c r="D21" t="s">
        <v>533</v>
      </c>
      <c r="E21" t="s">
        <v>108</v>
      </c>
      <c r="F21" t="s">
        <v>183</v>
      </c>
      <c r="G21" s="4">
        <v>0</v>
      </c>
      <c r="I21" t="s">
        <v>484</v>
      </c>
      <c r="J21" t="s">
        <v>55</v>
      </c>
    </row>
    <row r="22" spans="1:10" hidden="1" x14ac:dyDescent="0.25">
      <c r="A22" t="s">
        <v>150</v>
      </c>
      <c r="B22">
        <v>367</v>
      </c>
      <c r="C22" t="s">
        <v>541</v>
      </c>
      <c r="D22" t="s">
        <v>540</v>
      </c>
      <c r="E22" t="s">
        <v>98</v>
      </c>
      <c r="F22" t="s">
        <v>183</v>
      </c>
      <c r="G22" s="4">
        <v>0</v>
      </c>
      <c r="I22" t="s">
        <v>484</v>
      </c>
      <c r="J22" t="s">
        <v>55</v>
      </c>
    </row>
    <row r="23" spans="1:10" x14ac:dyDescent="0.25">
      <c r="A23" t="s">
        <v>150</v>
      </c>
      <c r="B23">
        <v>368</v>
      </c>
      <c r="C23" t="s">
        <v>542</v>
      </c>
      <c r="D23" t="s">
        <v>540</v>
      </c>
      <c r="E23" t="s">
        <v>102</v>
      </c>
      <c r="F23" t="s">
        <v>183</v>
      </c>
      <c r="G23" s="4">
        <v>0</v>
      </c>
      <c r="I23" t="s">
        <v>484</v>
      </c>
      <c r="J23" t="s">
        <v>55</v>
      </c>
    </row>
    <row r="24" spans="1:10" hidden="1" x14ac:dyDescent="0.25">
      <c r="A24" t="s">
        <v>506</v>
      </c>
      <c r="B24">
        <v>369</v>
      </c>
      <c r="C24" t="s">
        <v>543</v>
      </c>
      <c r="D24" t="s">
        <v>540</v>
      </c>
      <c r="E24" t="s">
        <v>108</v>
      </c>
      <c r="F24" t="s">
        <v>183</v>
      </c>
      <c r="G24" s="4">
        <v>0</v>
      </c>
      <c r="I24" t="s">
        <v>484</v>
      </c>
      <c r="J24" t="s">
        <v>55</v>
      </c>
    </row>
    <row r="25" spans="1:10" hidden="1" x14ac:dyDescent="0.25">
      <c r="A25" t="s">
        <v>150</v>
      </c>
      <c r="B25">
        <v>372</v>
      </c>
      <c r="C25" t="s">
        <v>548</v>
      </c>
      <c r="D25" t="s">
        <v>547</v>
      </c>
      <c r="E25" t="s">
        <v>98</v>
      </c>
      <c r="F25" t="s">
        <v>183</v>
      </c>
      <c r="G25" s="4">
        <v>0</v>
      </c>
      <c r="I25" t="s">
        <v>484</v>
      </c>
      <c r="J25" t="s">
        <v>55</v>
      </c>
    </row>
    <row r="26" spans="1:10" x14ac:dyDescent="0.25">
      <c r="A26" t="s">
        <v>150</v>
      </c>
      <c r="B26">
        <v>373</v>
      </c>
      <c r="C26" t="s">
        <v>549</v>
      </c>
      <c r="D26" t="s">
        <v>547</v>
      </c>
      <c r="E26" t="s">
        <v>102</v>
      </c>
      <c r="F26" t="s">
        <v>183</v>
      </c>
      <c r="G26" s="4">
        <v>0</v>
      </c>
      <c r="I26" t="s">
        <v>484</v>
      </c>
      <c r="J26" t="s">
        <v>55</v>
      </c>
    </row>
    <row r="27" spans="1:10" hidden="1" x14ac:dyDescent="0.25">
      <c r="A27" t="s">
        <v>506</v>
      </c>
      <c r="B27">
        <v>374</v>
      </c>
      <c r="C27" t="s">
        <v>550</v>
      </c>
      <c r="D27" t="s">
        <v>547</v>
      </c>
      <c r="E27" t="s">
        <v>108</v>
      </c>
      <c r="F27" t="s">
        <v>183</v>
      </c>
      <c r="G27" s="4">
        <v>0</v>
      </c>
      <c r="I27" t="s">
        <v>484</v>
      </c>
      <c r="J27" t="s">
        <v>55</v>
      </c>
    </row>
    <row r="28" spans="1:10" hidden="1" x14ac:dyDescent="0.25">
      <c r="A28" t="s">
        <v>150</v>
      </c>
      <c r="B28">
        <v>377</v>
      </c>
      <c r="C28" t="s">
        <v>555</v>
      </c>
      <c r="D28" t="s">
        <v>554</v>
      </c>
      <c r="E28" t="s">
        <v>98</v>
      </c>
      <c r="F28" t="s">
        <v>183</v>
      </c>
      <c r="G28" s="4">
        <v>0</v>
      </c>
      <c r="I28" t="s">
        <v>484</v>
      </c>
      <c r="J28" t="s">
        <v>55</v>
      </c>
    </row>
    <row r="29" spans="1:10" x14ac:dyDescent="0.25">
      <c r="A29" t="s">
        <v>150</v>
      </c>
      <c r="B29">
        <v>378</v>
      </c>
      <c r="C29" t="s">
        <v>556</v>
      </c>
      <c r="D29" t="s">
        <v>554</v>
      </c>
      <c r="E29" t="s">
        <v>102</v>
      </c>
      <c r="F29" t="s">
        <v>183</v>
      </c>
      <c r="G29" s="4">
        <v>0</v>
      </c>
      <c r="I29" t="s">
        <v>484</v>
      </c>
      <c r="J29" t="s">
        <v>55</v>
      </c>
    </row>
    <row r="30" spans="1:10" hidden="1" x14ac:dyDescent="0.25">
      <c r="A30" t="s">
        <v>506</v>
      </c>
      <c r="B30">
        <v>379</v>
      </c>
      <c r="C30" t="s">
        <v>557</v>
      </c>
      <c r="D30" t="s">
        <v>554</v>
      </c>
      <c r="E30" t="s">
        <v>108</v>
      </c>
      <c r="F30" t="s">
        <v>183</v>
      </c>
      <c r="G30" s="4">
        <v>0</v>
      </c>
      <c r="I30" t="s">
        <v>484</v>
      </c>
      <c r="J30" t="s">
        <v>55</v>
      </c>
    </row>
    <row r="31" spans="1:10" hidden="1" x14ac:dyDescent="0.25">
      <c r="A31" t="s">
        <v>150</v>
      </c>
      <c r="B31">
        <v>382</v>
      </c>
      <c r="C31" t="s">
        <v>562</v>
      </c>
      <c r="D31" t="s">
        <v>561</v>
      </c>
      <c r="E31" t="s">
        <v>98</v>
      </c>
      <c r="F31" t="s">
        <v>183</v>
      </c>
      <c r="G31" s="4">
        <v>0</v>
      </c>
      <c r="I31" t="s">
        <v>484</v>
      </c>
      <c r="J31" t="s">
        <v>55</v>
      </c>
    </row>
    <row r="32" spans="1:10" x14ac:dyDescent="0.25">
      <c r="A32" t="s">
        <v>150</v>
      </c>
      <c r="B32">
        <v>383</v>
      </c>
      <c r="C32" t="s">
        <v>563</v>
      </c>
      <c r="D32" t="s">
        <v>561</v>
      </c>
      <c r="E32" t="s">
        <v>102</v>
      </c>
      <c r="F32" t="s">
        <v>183</v>
      </c>
      <c r="G32" s="4">
        <v>0</v>
      </c>
      <c r="I32" t="s">
        <v>484</v>
      </c>
      <c r="J32" t="s">
        <v>55</v>
      </c>
    </row>
    <row r="33" spans="1:10" hidden="1" x14ac:dyDescent="0.25">
      <c r="A33" t="s">
        <v>506</v>
      </c>
      <c r="B33">
        <v>384</v>
      </c>
      <c r="C33" t="s">
        <v>564</v>
      </c>
      <c r="D33" t="s">
        <v>561</v>
      </c>
      <c r="E33" t="s">
        <v>108</v>
      </c>
      <c r="F33" t="s">
        <v>183</v>
      </c>
      <c r="G33" s="4">
        <v>0</v>
      </c>
      <c r="I33" t="s">
        <v>484</v>
      </c>
      <c r="J33" t="s">
        <v>55</v>
      </c>
    </row>
    <row r="34" spans="1:10" hidden="1" x14ac:dyDescent="0.25">
      <c r="A34" t="s">
        <v>150</v>
      </c>
      <c r="B34">
        <v>387</v>
      </c>
      <c r="C34" t="s">
        <v>569</v>
      </c>
      <c r="D34" t="s">
        <v>568</v>
      </c>
      <c r="E34" t="s">
        <v>98</v>
      </c>
      <c r="F34" t="s">
        <v>183</v>
      </c>
      <c r="G34" s="4">
        <v>0</v>
      </c>
      <c r="I34" t="s">
        <v>484</v>
      </c>
      <c r="J34" t="s">
        <v>55</v>
      </c>
    </row>
    <row r="35" spans="1:10" x14ac:dyDescent="0.25">
      <c r="A35" t="s">
        <v>150</v>
      </c>
      <c r="B35">
        <v>388</v>
      </c>
      <c r="C35" t="s">
        <v>570</v>
      </c>
      <c r="D35" t="s">
        <v>568</v>
      </c>
      <c r="E35" t="s">
        <v>102</v>
      </c>
      <c r="F35" t="s">
        <v>183</v>
      </c>
      <c r="G35" s="4">
        <v>0</v>
      </c>
      <c r="I35" t="s">
        <v>484</v>
      </c>
      <c r="J35" t="s">
        <v>55</v>
      </c>
    </row>
    <row r="36" spans="1:10" hidden="1" x14ac:dyDescent="0.25">
      <c r="A36" t="s">
        <v>506</v>
      </c>
      <c r="B36">
        <v>389</v>
      </c>
      <c r="C36" t="s">
        <v>571</v>
      </c>
      <c r="D36" t="s">
        <v>568</v>
      </c>
      <c r="E36" t="s">
        <v>108</v>
      </c>
      <c r="F36" t="s">
        <v>183</v>
      </c>
      <c r="G36" s="4">
        <v>0</v>
      </c>
      <c r="I36" t="s">
        <v>484</v>
      </c>
      <c r="J36" t="s">
        <v>55</v>
      </c>
    </row>
    <row r="37" spans="1:10" hidden="1" x14ac:dyDescent="0.25">
      <c r="A37" t="s">
        <v>150</v>
      </c>
      <c r="B37">
        <v>392</v>
      </c>
      <c r="C37" t="s">
        <v>576</v>
      </c>
      <c r="D37" t="s">
        <v>575</v>
      </c>
      <c r="E37" t="s">
        <v>98</v>
      </c>
      <c r="F37" t="s">
        <v>183</v>
      </c>
      <c r="G37" s="4">
        <v>0</v>
      </c>
      <c r="I37" t="s">
        <v>484</v>
      </c>
      <c r="J37" t="s">
        <v>55</v>
      </c>
    </row>
    <row r="38" spans="1:10" x14ac:dyDescent="0.25">
      <c r="A38" t="s">
        <v>150</v>
      </c>
      <c r="B38">
        <v>393</v>
      </c>
      <c r="C38" t="s">
        <v>577</v>
      </c>
      <c r="D38" t="s">
        <v>575</v>
      </c>
      <c r="E38" t="s">
        <v>102</v>
      </c>
      <c r="F38" t="s">
        <v>183</v>
      </c>
      <c r="G38" s="4">
        <v>0</v>
      </c>
      <c r="I38" t="s">
        <v>484</v>
      </c>
      <c r="J38" t="s">
        <v>55</v>
      </c>
    </row>
    <row r="39" spans="1:10" hidden="1" x14ac:dyDescent="0.25">
      <c r="A39" t="s">
        <v>506</v>
      </c>
      <c r="B39">
        <v>394</v>
      </c>
      <c r="C39" t="s">
        <v>578</v>
      </c>
      <c r="D39" t="s">
        <v>575</v>
      </c>
      <c r="E39" t="s">
        <v>108</v>
      </c>
      <c r="F39" t="s">
        <v>183</v>
      </c>
      <c r="G39" s="4">
        <v>0</v>
      </c>
      <c r="I39" t="s">
        <v>484</v>
      </c>
      <c r="J39" t="s">
        <v>55</v>
      </c>
    </row>
    <row r="40" spans="1:10" hidden="1" x14ac:dyDescent="0.25">
      <c r="A40" t="s">
        <v>150</v>
      </c>
      <c r="B40">
        <v>397</v>
      </c>
      <c r="C40" t="s">
        <v>583</v>
      </c>
      <c r="D40" t="s">
        <v>582</v>
      </c>
      <c r="E40" t="s">
        <v>98</v>
      </c>
      <c r="F40" t="s">
        <v>183</v>
      </c>
      <c r="G40" s="4">
        <v>0</v>
      </c>
      <c r="I40" t="s">
        <v>484</v>
      </c>
      <c r="J40" t="s">
        <v>55</v>
      </c>
    </row>
    <row r="41" spans="1:10" x14ac:dyDescent="0.25">
      <c r="A41" t="s">
        <v>150</v>
      </c>
      <c r="B41">
        <v>398</v>
      </c>
      <c r="C41" t="s">
        <v>584</v>
      </c>
      <c r="D41" t="s">
        <v>582</v>
      </c>
      <c r="E41" t="s">
        <v>102</v>
      </c>
      <c r="F41" t="s">
        <v>183</v>
      </c>
      <c r="G41" s="4">
        <v>0</v>
      </c>
      <c r="I41" t="s">
        <v>484</v>
      </c>
      <c r="J41" t="s">
        <v>55</v>
      </c>
    </row>
    <row r="42" spans="1:10" hidden="1" x14ac:dyDescent="0.25">
      <c r="A42" t="s">
        <v>506</v>
      </c>
      <c r="B42">
        <v>399</v>
      </c>
      <c r="C42" t="s">
        <v>585</v>
      </c>
      <c r="D42" t="s">
        <v>582</v>
      </c>
      <c r="E42" t="s">
        <v>108</v>
      </c>
      <c r="F42" t="s">
        <v>183</v>
      </c>
      <c r="G42" s="4">
        <v>0</v>
      </c>
      <c r="I42" t="s">
        <v>484</v>
      </c>
      <c r="J42" t="s">
        <v>55</v>
      </c>
    </row>
    <row r="43" spans="1:10" hidden="1" x14ac:dyDescent="0.25">
      <c r="A43" t="s">
        <v>146</v>
      </c>
      <c r="B43">
        <v>559</v>
      </c>
      <c r="C43" t="s">
        <v>740</v>
      </c>
      <c r="D43" t="s">
        <v>737</v>
      </c>
      <c r="E43" t="s">
        <v>98</v>
      </c>
      <c r="F43" t="s">
        <v>183</v>
      </c>
      <c r="G43" s="4">
        <v>0</v>
      </c>
      <c r="I43" t="s">
        <v>638</v>
      </c>
      <c r="J43" t="s">
        <v>39</v>
      </c>
    </row>
    <row r="44" spans="1:10" x14ac:dyDescent="0.25">
      <c r="A44" t="s">
        <v>146</v>
      </c>
      <c r="B44">
        <v>560</v>
      </c>
      <c r="C44" t="s">
        <v>741</v>
      </c>
      <c r="D44" t="s">
        <v>737</v>
      </c>
      <c r="E44" t="s">
        <v>102</v>
      </c>
      <c r="F44" t="s">
        <v>183</v>
      </c>
      <c r="G44" s="4">
        <v>0</v>
      </c>
      <c r="I44" t="s">
        <v>638</v>
      </c>
      <c r="J44" t="s">
        <v>39</v>
      </c>
    </row>
    <row r="45" spans="1:10" hidden="1" x14ac:dyDescent="0.25">
      <c r="A45" t="s">
        <v>150</v>
      </c>
      <c r="B45">
        <v>561</v>
      </c>
      <c r="C45" t="s">
        <v>742</v>
      </c>
      <c r="D45" t="s">
        <v>737</v>
      </c>
      <c r="E45" t="s">
        <v>108</v>
      </c>
      <c r="F45" t="s">
        <v>183</v>
      </c>
      <c r="G45" s="4">
        <v>0</v>
      </c>
      <c r="I45" t="s">
        <v>638</v>
      </c>
      <c r="J45" t="s">
        <v>39</v>
      </c>
    </row>
    <row r="46" spans="1:10" x14ac:dyDescent="0.25">
      <c r="A46" t="s">
        <v>146</v>
      </c>
      <c r="B46">
        <v>711</v>
      </c>
      <c r="C46" t="s">
        <v>967</v>
      </c>
      <c r="D46" t="s">
        <v>964</v>
      </c>
      <c r="E46" t="s">
        <v>102</v>
      </c>
      <c r="F46" t="s">
        <v>183</v>
      </c>
      <c r="G46" s="4">
        <v>0</v>
      </c>
      <c r="I46" t="s">
        <v>958</v>
      </c>
      <c r="J46" t="s">
        <v>55</v>
      </c>
    </row>
    <row r="47" spans="1:10" hidden="1" x14ac:dyDescent="0.25">
      <c r="A47" t="s">
        <v>146</v>
      </c>
      <c r="B47">
        <v>712</v>
      </c>
      <c r="C47" t="s">
        <v>968</v>
      </c>
      <c r="D47" t="s">
        <v>964</v>
      </c>
      <c r="E47" t="s">
        <v>108</v>
      </c>
      <c r="F47" t="s">
        <v>183</v>
      </c>
      <c r="G47" s="4">
        <v>0</v>
      </c>
      <c r="I47" t="s">
        <v>958</v>
      </c>
      <c r="J47" t="s">
        <v>55</v>
      </c>
    </row>
    <row r="48" spans="1:10" hidden="1" x14ac:dyDescent="0.25">
      <c r="A48" t="s">
        <v>146</v>
      </c>
      <c r="B48">
        <v>715</v>
      </c>
      <c r="C48" t="s">
        <v>974</v>
      </c>
      <c r="D48" t="s">
        <v>973</v>
      </c>
      <c r="E48" t="s">
        <v>98</v>
      </c>
      <c r="F48" t="s">
        <v>183</v>
      </c>
      <c r="G48" s="4">
        <v>0</v>
      </c>
      <c r="I48" t="s">
        <v>958</v>
      </c>
      <c r="J48" t="s">
        <v>55</v>
      </c>
    </row>
    <row r="49" spans="1:10" x14ac:dyDescent="0.25">
      <c r="A49" t="s">
        <v>146</v>
      </c>
      <c r="B49">
        <v>716</v>
      </c>
      <c r="C49" t="s">
        <v>975</v>
      </c>
      <c r="D49" t="s">
        <v>973</v>
      </c>
      <c r="E49" t="s">
        <v>102</v>
      </c>
      <c r="F49" t="s">
        <v>183</v>
      </c>
      <c r="G49" s="4">
        <v>0</v>
      </c>
      <c r="I49" t="s">
        <v>958</v>
      </c>
      <c r="J49" t="s">
        <v>55</v>
      </c>
    </row>
    <row r="50" spans="1:10" hidden="1" x14ac:dyDescent="0.25">
      <c r="A50" t="s">
        <v>150</v>
      </c>
      <c r="B50">
        <v>717</v>
      </c>
      <c r="C50" t="s">
        <v>976</v>
      </c>
      <c r="D50" t="s">
        <v>973</v>
      </c>
      <c r="E50" t="s">
        <v>108</v>
      </c>
      <c r="F50" t="s">
        <v>183</v>
      </c>
      <c r="G50" s="4">
        <v>0</v>
      </c>
      <c r="I50" t="s">
        <v>958</v>
      </c>
      <c r="J50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DDD6AE-3C81-4DC7-9FC2-9F5FD96958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7C6C1C-85E3-499C-9F6D-05698480AD7C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6A1478BD-9404-4565-B1B1-A2B36BBAF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2026-07-16T10:52:29Z</dcterms:created>
  <dcterms:modified xsi:type="dcterms:W3CDTF">2026-07-20T11:39:33Z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2026-07-16T10:53:44Z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bee6b994-ed3d-4b8d-bedb-85f92d43d214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