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bureauveritas.sharepoint.com/teams/POP-Planejamento/Shared Documents/Automacoes/Comparativo_Cronograma/saida/F0009_305/"/>
    </mc:Choice>
  </mc:AlternateContent>
  <xr:revisionPtr revIDLastSave="57" documentId="14_{9847D35F-F864-4EB6-9E15-0C7FB252FB2E}" xr6:coauthVersionLast="47" xr6:coauthVersionMax="47" xr10:uidLastSave="{647C3C7E-7667-4599-B419-A993FED28470}"/>
  <bookViews>
    <workbookView xWindow="-120" yWindow="-120" windowWidth="29040" windowHeight="15720" activeTab="5" xr2:uid="{00000000-000D-0000-FFFF-FFFF00000000}"/>
  </bookViews>
  <sheets>
    <sheet name="Base" sheetId="1" r:id="rId1"/>
    <sheet name="Resumo" sheetId="2" r:id="rId2"/>
    <sheet name="Curva S" sheetId="3" r:id="rId3"/>
    <sheet name="Concluídas" sheetId="4" r:id="rId4"/>
    <sheet name="Atrasadas" sheetId="5" r:id="rId5"/>
    <sheet name="Sprint Atual" sheetId="6" r:id="rId6"/>
    <sheet name="Próximo Sprint" sheetId="7" r:id="rId7"/>
  </sheets>
  <externalReferences>
    <externalReference r:id="rId8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4" i="2" l="1"/>
  <c r="C34" i="2"/>
  <c r="D34" i="2"/>
  <c r="E34" i="2"/>
  <c r="B16" i="2"/>
  <c r="C16" i="2"/>
  <c r="E16" i="2"/>
  <c r="F16" i="2"/>
  <c r="G16" i="2"/>
</calcChain>
</file>

<file path=xl/sharedStrings.xml><?xml version="1.0" encoding="utf-8"?>
<sst xmlns="http://schemas.openxmlformats.org/spreadsheetml/2006/main" count="10616" uniqueCount="1095">
  <si>
    <t>Id</t>
  </si>
  <si>
    <t>EDT</t>
  </si>
  <si>
    <t>Nome do Resumo da Tarefa</t>
  </si>
  <si>
    <t>Nome da Tarefa</t>
  </si>
  <si>
    <t>Duração</t>
  </si>
  <si>
    <t>Início</t>
  </si>
  <si>
    <t>Término</t>
  </si>
  <si>
    <t>% concluída</t>
  </si>
  <si>
    <t>Término real</t>
  </si>
  <si>
    <t>Predecessoras</t>
  </si>
  <si>
    <t>Sucessoras</t>
  </si>
  <si>
    <t>Status</t>
  </si>
  <si>
    <t>Início da Linha de Base</t>
  </si>
  <si>
    <t>Término da linha de base</t>
  </si>
  <si>
    <t>Nomes dos recursos</t>
  </si>
  <si>
    <t>Disciplina</t>
  </si>
  <si>
    <t>Sprint</t>
  </si>
  <si>
    <t>Crítica</t>
  </si>
  <si>
    <t>Início_LB_R0</t>
  </si>
  <si>
    <t>Término_LB_R0</t>
  </si>
  <si>
    <t>Comparação</t>
  </si>
  <si>
    <t>pct_val</t>
  </si>
  <si>
    <t>Emissão inicial total</t>
  </si>
  <si>
    <t>Emissão inicial concluída</t>
  </si>
  <si>
    <t>Emissão Inicial Atrasada</t>
  </si>
  <si>
    <t>Aprovação total</t>
  </si>
  <si>
    <t>Avaliação do cliente concluída</t>
  </si>
  <si>
    <t>Avaliação Cliente Atrasada</t>
  </si>
  <si>
    <t>Atendimento de comentário concluído</t>
  </si>
  <si>
    <t>Atendimento Atrasado</t>
  </si>
  <si>
    <t>Aprovação concluída</t>
  </si>
  <si>
    <t>Aprovação Atrasada</t>
  </si>
  <si>
    <t>Aderência</t>
  </si>
  <si>
    <t>f0009 - programa marabá</t>
  </si>
  <si>
    <t>496 hrs</t>
  </si>
  <si>
    <t>Atrasada</t>
  </si>
  <si>
    <t>Seg 27/04/26</t>
  </si>
  <si>
    <t>GERAL</t>
  </si>
  <si>
    <t>Sprint 2</t>
  </si>
  <si>
    <t>Sim</t>
  </si>
  <si>
    <t>1.1</t>
  </si>
  <si>
    <t>F0009 - Programa Marabá</t>
  </si>
  <si>
    <t>área 0000 -documento geral</t>
  </si>
  <si>
    <t>192 hrs</t>
  </si>
  <si>
    <t>Ter 19/05/26</t>
  </si>
  <si>
    <t>Sprint 4</t>
  </si>
  <si>
    <t>1.1.1</t>
  </si>
  <si>
    <t>Área 0000 -Documento geral</t>
  </si>
  <si>
    <t>marcos</t>
  </si>
  <si>
    <t>MARCOS</t>
  </si>
  <si>
    <t>1.1.1.1</t>
  </si>
  <si>
    <t>Marcos</t>
  </si>
  <si>
    <t>critério de projeto processo</t>
  </si>
  <si>
    <t>1 dia</t>
  </si>
  <si>
    <t>54;63</t>
  </si>
  <si>
    <t>Não</t>
  </si>
  <si>
    <t>1.1.1.2</t>
  </si>
  <si>
    <t>critério de projeto mecânica</t>
  </si>
  <si>
    <t>70;184;79TI+5 dias;74</t>
  </si>
  <si>
    <t>Concluída</t>
  </si>
  <si>
    <t>1.1.1.3</t>
  </si>
  <si>
    <t>critério de projeto tubulação</t>
  </si>
  <si>
    <t>Sex 22/05/26</t>
  </si>
  <si>
    <t>1.1.1.4</t>
  </si>
  <si>
    <t>critério de projeto elétrica</t>
  </si>
  <si>
    <t>Sprint 7</t>
  </si>
  <si>
    <t>1.1.1.5</t>
  </si>
  <si>
    <t>critério de projeto automação</t>
  </si>
  <si>
    <t>1.1.1.6</t>
  </si>
  <si>
    <t>critério de projeto estrutura metálica</t>
  </si>
  <si>
    <t>1.2</t>
  </si>
  <si>
    <t>área 0305 - hot blast stoves</t>
  </si>
  <si>
    <t>1.2.1</t>
  </si>
  <si>
    <t>Área 0305 - Hot Blast Stoves</t>
  </si>
  <si>
    <t>kom - início de projeto</t>
  </si>
  <si>
    <t>0 dias</t>
  </si>
  <si>
    <t>16;32TI+23 dias;47;26TI+45 dias</t>
  </si>
  <si>
    <t>1.2.2</t>
  </si>
  <si>
    <t>pendências</t>
  </si>
  <si>
    <t>0 hrs</t>
  </si>
  <si>
    <t>Qua 29/04/26</t>
  </si>
  <si>
    <t>PENDÊNCIAS</t>
  </si>
  <si>
    <t>1.2.2.1</t>
  </si>
  <si>
    <t>Pendências</t>
  </si>
  <si>
    <t>recebimento de dados de entrada</t>
  </si>
  <si>
    <t>1.2.3</t>
  </si>
  <si>
    <t>planejamento</t>
  </si>
  <si>
    <t>203,2 hrs</t>
  </si>
  <si>
    <t>PLANEJAMENTO</t>
  </si>
  <si>
    <t>1.2.3.1</t>
  </si>
  <si>
    <t>Planejamento</t>
  </si>
  <si>
    <t>ld-f0009-0305-mb-f-00001</t>
  </si>
  <si>
    <t>1.2.3.1.1</t>
  </si>
  <si>
    <t>LD-F0009-0305-MB-F-00001</t>
  </si>
  <si>
    <t>emissão inicial</t>
  </si>
  <si>
    <t>3 dias</t>
  </si>
  <si>
    <t>17;21</t>
  </si>
  <si>
    <t>1.2.3.1.2</t>
  </si>
  <si>
    <t>análise tecnored</t>
  </si>
  <si>
    <t>18TI+3 dias</t>
  </si>
  <si>
    <t>Qui 30/04/26</t>
  </si>
  <si>
    <t>1.2.3.1.3</t>
  </si>
  <si>
    <t>atendimento de comentários</t>
  </si>
  <si>
    <t>6 dias</t>
  </si>
  <si>
    <t>17TI+3 dias</t>
  </si>
  <si>
    <t>19TI+10 dias</t>
  </si>
  <si>
    <t>Qua 06/05/26</t>
  </si>
  <si>
    <t>1.2.3.1.4</t>
  </si>
  <si>
    <t>aprovação</t>
  </si>
  <si>
    <t>18TI+10 dias</t>
  </si>
  <si>
    <t>Sprint 5</t>
  </si>
  <si>
    <t>1.2.3.2</t>
  </si>
  <si>
    <t>cr-f0009-0305-mb-f-00001</t>
  </si>
  <si>
    <t>179,2 hrs</t>
  </si>
  <si>
    <t>1.2.3.2.1</t>
  </si>
  <si>
    <t>CR-F0009-0305-MB-F-00001</t>
  </si>
  <si>
    <t>22;53TI+4 dias;69TI+3 dias;331TI+5 dias;412TI+3 dias;478TI+5 dias;205TI+3 dias</t>
  </si>
  <si>
    <t>1.2.3.2.2</t>
  </si>
  <si>
    <t>23TI+8 dias</t>
  </si>
  <si>
    <t>Ter 05/05/26</t>
  </si>
  <si>
    <t>1.2.3.2.3</t>
  </si>
  <si>
    <t>2 dias</t>
  </si>
  <si>
    <t>22TI+8 dias</t>
  </si>
  <si>
    <t>24TI+9 dias</t>
  </si>
  <si>
    <t>Qua 13/05/26</t>
  </si>
  <si>
    <t>Sprint 3</t>
  </si>
  <si>
    <t>1.2.3.2.4</t>
  </si>
  <si>
    <t>23TI+9 dias</t>
  </si>
  <si>
    <t>Seg 18/05/26</t>
  </si>
  <si>
    <t>1.2.4</t>
  </si>
  <si>
    <t>coordenação</t>
  </si>
  <si>
    <t>No Prazo</t>
  </si>
  <si>
    <t>COORDENAÇÃO</t>
  </si>
  <si>
    <t>1.2.4.1</t>
  </si>
  <si>
    <t>Coordenação</t>
  </si>
  <si>
    <t>rm-f0009-0305-mb-g-00001</t>
  </si>
  <si>
    <t>56 hrs</t>
  </si>
  <si>
    <t>Seg 25/05/26</t>
  </si>
  <si>
    <t>Sprint 8</t>
  </si>
  <si>
    <t>1.2.4.1.1</t>
  </si>
  <si>
    <t>RM-F0009-0305-MB-G-00001</t>
  </si>
  <si>
    <t>11TI+23 dias</t>
  </si>
  <si>
    <t>33;37TI+10 dias</t>
  </si>
  <si>
    <t>1.2.4.1.2</t>
  </si>
  <si>
    <t>Tarefa futura</t>
  </si>
  <si>
    <t>Qui 28/05/26</t>
  </si>
  <si>
    <t>Sprint 9</t>
  </si>
  <si>
    <t>1.2.4.1.3</t>
  </si>
  <si>
    <t>Sex 29/05/26</t>
  </si>
  <si>
    <t>1.2.4.1.4</t>
  </si>
  <si>
    <t>Ter 02/06/26</t>
  </si>
  <si>
    <t>Sprint 10</t>
  </si>
  <si>
    <t>1.2.4.3</t>
  </si>
  <si>
    <t>rl-f0009-0305-mb-g-00001</t>
  </si>
  <si>
    <t>32 hrs</t>
  </si>
  <si>
    <t>Ter 30/06/26</t>
  </si>
  <si>
    <t>1.2.4.3.1</t>
  </si>
  <si>
    <t>RL-F0009-0305-MB-G-00001</t>
  </si>
  <si>
    <t>1.2.4.3.2</t>
  </si>
  <si>
    <t>Sex 03/07/26</t>
  </si>
  <si>
    <t>1.2.4.3.3</t>
  </si>
  <si>
    <t>Seg 06/07/26</t>
  </si>
  <si>
    <t>1.2.4.3.4</t>
  </si>
  <si>
    <t>Qua 08/07/26</t>
  </si>
  <si>
    <t>1.2.4.4</t>
  </si>
  <si>
    <t>lp-f0009-0305-mb-g-00001</t>
  </si>
  <si>
    <t>1.2.4.4.1</t>
  </si>
  <si>
    <t>LP-F0009-0305-MB-G-00001</t>
  </si>
  <si>
    <t>1.2.4.4.2</t>
  </si>
  <si>
    <t>49TI+55 dias</t>
  </si>
  <si>
    <t>1.2.4.4.3</t>
  </si>
  <si>
    <t>48TI+55 dias</t>
  </si>
  <si>
    <t>Sex 12/06/26</t>
  </si>
  <si>
    <t>1.2.4.4.4</t>
  </si>
  <si>
    <t>Ter 16/06/26</t>
  </si>
  <si>
    <t>1.2.5</t>
  </si>
  <si>
    <t>processo</t>
  </si>
  <si>
    <t>128 hrs</t>
  </si>
  <si>
    <t>PROCESSOS</t>
  </si>
  <si>
    <t>1.2.5.3</t>
  </si>
  <si>
    <t>Processo</t>
  </si>
  <si>
    <t>fg-f0009-0305-mb-p-00001</t>
  </si>
  <si>
    <t>1.2.5.3.1</t>
  </si>
  <si>
    <t>FG-F0009-0305-MB-P-00001</t>
  </si>
  <si>
    <t>53TI+8 dias;4</t>
  </si>
  <si>
    <t>64;58TI+20 dias;513TI+10 dias;518TI+10 dias;523TI+10 dias;245TI+13 dias;250TI+10 dias</t>
  </si>
  <si>
    <t>1.2.5.3.2</t>
  </si>
  <si>
    <t>Qua 20/05/26</t>
  </si>
  <si>
    <t>1.2.5.3.3</t>
  </si>
  <si>
    <t>66TI+5 dias</t>
  </si>
  <si>
    <t>Qui 21/05/26</t>
  </si>
  <si>
    <t>1.2.5.3.4</t>
  </si>
  <si>
    <t>65TI+5 dias</t>
  </si>
  <si>
    <t>Sprint 11</t>
  </si>
  <si>
    <t>1.2.6</t>
  </si>
  <si>
    <t>mecânica</t>
  </si>
  <si>
    <t>350 hrs</t>
  </si>
  <si>
    <t>MECÂNICA</t>
  </si>
  <si>
    <t>1.2.6.3</t>
  </si>
  <si>
    <t>Mecânica</t>
  </si>
  <si>
    <t>le-f0009-0305-mb-m-00001</t>
  </si>
  <si>
    <t>48 hrs</t>
  </si>
  <si>
    <t>1.2.6.3.1</t>
  </si>
  <si>
    <t>LE-F0009-0305-MB-M-00001</t>
  </si>
  <si>
    <t>69;5TI+5 dias</t>
  </si>
  <si>
    <t>80;432TI-1 dia</t>
  </si>
  <si>
    <t>1.2.6.3.2</t>
  </si>
  <si>
    <t>1.2.6.3.3</t>
  </si>
  <si>
    <t>82;74</t>
  </si>
  <si>
    <t>1.2.6.3.4</t>
  </si>
  <si>
    <t>Ter 26/05/26</t>
  </si>
  <si>
    <t>Sprint 6</t>
  </si>
  <si>
    <t>1.2.6.4</t>
  </si>
  <si>
    <t>pq-f0009-0305-mb-m-00001</t>
  </si>
  <si>
    <t>1.2.6.4.1</t>
  </si>
  <si>
    <t>PQ-F0009-0305-MB-M-00001</t>
  </si>
  <si>
    <t>1.2.6.4.2</t>
  </si>
  <si>
    <t>1.2.6.4.3</t>
  </si>
  <si>
    <t>Qua 03/06/26</t>
  </si>
  <si>
    <t>1.2.6.4.4</t>
  </si>
  <si>
    <t>Sex 05/06/26</t>
  </si>
  <si>
    <t>1.2.6.5</t>
  </si>
  <si>
    <t>ag-f0009-0305-mb-l-00001</t>
  </si>
  <si>
    <t>Seg 22/06/26</t>
  </si>
  <si>
    <t>1.2.6.5.1</t>
  </si>
  <si>
    <t>AG-F0009-0305-MB-L-00001</t>
  </si>
  <si>
    <t>1.2.6.5.2</t>
  </si>
  <si>
    <t>1.2.6.5.3</t>
  </si>
  <si>
    <t>1.2.6.5.4</t>
  </si>
  <si>
    <t>1.2.6.6</t>
  </si>
  <si>
    <t>ag-f0009-0305-mb-l-00002</t>
  </si>
  <si>
    <t>1.2.6.6.1</t>
  </si>
  <si>
    <t>AG-F0009-0305-MB-L-00002</t>
  </si>
  <si>
    <t>1.2.6.6.2</t>
  </si>
  <si>
    <t>1.2.6.6.3</t>
  </si>
  <si>
    <t>1.2.6.6.4</t>
  </si>
  <si>
    <t>1.2.6.7</t>
  </si>
  <si>
    <t>ag-f0009-0305-mb-l-00003</t>
  </si>
  <si>
    <t>1.2.6.7.1</t>
  </si>
  <si>
    <t>AG-F0009-0305-MB-L-00003</t>
  </si>
  <si>
    <t>1.2.6.7.2</t>
  </si>
  <si>
    <t>1.2.6.7.3</t>
  </si>
  <si>
    <t>1.2.6.7.4</t>
  </si>
  <si>
    <t>1.2.6.8</t>
  </si>
  <si>
    <t>ag-f0009-0305-mb-l-00004</t>
  </si>
  <si>
    <t>1.2.6.8.1</t>
  </si>
  <si>
    <t>AG-F0009-0305-MB-L-00004</t>
  </si>
  <si>
    <t>1.2.6.8.2</t>
  </si>
  <si>
    <t>1.2.6.8.3</t>
  </si>
  <si>
    <t>1.2.6.8.4</t>
  </si>
  <si>
    <t>1.2.6.9</t>
  </si>
  <si>
    <t>ag-f0009-0305-mb-l-00005</t>
  </si>
  <si>
    <t>1.2.6.9.1</t>
  </si>
  <si>
    <t>AG-F0009-0305-MB-L-00005</t>
  </si>
  <si>
    <t>1.2.6.9.2</t>
  </si>
  <si>
    <t>1.2.6.9.3</t>
  </si>
  <si>
    <t>1.2.6.9.4</t>
  </si>
  <si>
    <t>1.2.6.10</t>
  </si>
  <si>
    <t>ag-f0009-0305-mb-l-00006</t>
  </si>
  <si>
    <t>1.2.6.10.1</t>
  </si>
  <si>
    <t>AG-F0009-0305-MB-L-00006</t>
  </si>
  <si>
    <t>1.2.6.10.2</t>
  </si>
  <si>
    <t>1.2.6.10.3</t>
  </si>
  <si>
    <t>1.2.6.10.4</t>
  </si>
  <si>
    <t>1.2.6.11</t>
  </si>
  <si>
    <t>ag-f0009-0305-mb-l-00007</t>
  </si>
  <si>
    <t>1.2.6.11.1</t>
  </si>
  <si>
    <t>AG-F0009-0305-MB-L-00007</t>
  </si>
  <si>
    <t>1.2.6.11.2</t>
  </si>
  <si>
    <t>1.2.6.11.3</t>
  </si>
  <si>
    <t>1.2.6.11.4</t>
  </si>
  <si>
    <t>1.2.6.12</t>
  </si>
  <si>
    <t>ag-f0009-0305-mb-l-00008</t>
  </si>
  <si>
    <t>1.2.6.12.1</t>
  </si>
  <si>
    <t>AG-F0009-0305-MB-L-00008</t>
  </si>
  <si>
    <t>1.2.6.12.2</t>
  </si>
  <si>
    <t>1.2.6.12.3</t>
  </si>
  <si>
    <t>1.2.6.12.4</t>
  </si>
  <si>
    <t>1.2.6.13</t>
  </si>
  <si>
    <t>ag-f0009-0305-mb-l-00009</t>
  </si>
  <si>
    <t>1.2.6.13.1</t>
  </si>
  <si>
    <t>AG-F0009-0305-MB-L-00009</t>
  </si>
  <si>
    <t>1.2.6.13.2</t>
  </si>
  <si>
    <t>1.2.6.13.3</t>
  </si>
  <si>
    <t>1.2.6.13.4</t>
  </si>
  <si>
    <t>1.2.6.14</t>
  </si>
  <si>
    <t>pl-f0009-0305-mb-m-00001</t>
  </si>
  <si>
    <t>96 hrs</t>
  </si>
  <si>
    <t>1.2.6.14.1</t>
  </si>
  <si>
    <t>PL-F0009-0305-MB-M-00001</t>
  </si>
  <si>
    <t>8 dias</t>
  </si>
  <si>
    <t>1.2.6.14.2</t>
  </si>
  <si>
    <t>Qua 10/06/26</t>
  </si>
  <si>
    <t>1.2.6.14.3</t>
  </si>
  <si>
    <t>Qui 11/06/26</t>
  </si>
  <si>
    <t>1.2.6.14.4</t>
  </si>
  <si>
    <t>Seg 15/06/26</t>
  </si>
  <si>
    <t>1.2.6.15</t>
  </si>
  <si>
    <t>pl-f0009-0305-mb-m-00002</t>
  </si>
  <si>
    <t>1.2.6.15.1</t>
  </si>
  <si>
    <t>PL-F0009-0305-MB-M-00002</t>
  </si>
  <si>
    <t>1.2.6.15.2</t>
  </si>
  <si>
    <t>1.2.6.15.3</t>
  </si>
  <si>
    <t>1.2.6.15.4</t>
  </si>
  <si>
    <t>1.2.6.16</t>
  </si>
  <si>
    <t>pl-f0009-0305-mb-m-00003</t>
  </si>
  <si>
    <t>1.2.6.16.1</t>
  </si>
  <si>
    <t>PL-F0009-0305-MB-M-00003</t>
  </si>
  <si>
    <t>1.2.6.16.2</t>
  </si>
  <si>
    <t>1.2.6.16.3</t>
  </si>
  <si>
    <t>1.2.6.16.4</t>
  </si>
  <si>
    <t>1.2.6.17</t>
  </si>
  <si>
    <t>pl-f0009-0305-mb-m-00004</t>
  </si>
  <si>
    <t>1.2.6.17.1</t>
  </si>
  <si>
    <t>PL-F0009-0305-MB-M-00004</t>
  </si>
  <si>
    <t>1.2.6.17.2</t>
  </si>
  <si>
    <t>1.2.6.17.3</t>
  </si>
  <si>
    <t>1.2.6.17.4</t>
  </si>
  <si>
    <t>1.2.6.18</t>
  </si>
  <si>
    <t>pl-f0009-0305-mb-m-00005</t>
  </si>
  <si>
    <t>Tarefa Incluída</t>
  </si>
  <si>
    <t>1.2.6.18.1</t>
  </si>
  <si>
    <t>PL-F0009-0305-MB-M-00005</t>
  </si>
  <si>
    <t>1.2.6.18.2</t>
  </si>
  <si>
    <t>1.2.6.18.3</t>
  </si>
  <si>
    <t>1.2.6.18.4</t>
  </si>
  <si>
    <t>1.2.6.19</t>
  </si>
  <si>
    <t>pl-f0009-0305-mb-m-00006</t>
  </si>
  <si>
    <t>1.2.6.19.1</t>
  </si>
  <si>
    <t>PL-F0009-0305-MB-M-00006</t>
  </si>
  <si>
    <t>1.2.6.19.2</t>
  </si>
  <si>
    <t>1.2.6.19.3</t>
  </si>
  <si>
    <t>1.2.6.19.4</t>
  </si>
  <si>
    <t>1.2.6.20</t>
  </si>
  <si>
    <t>mc-f0009-0305-mb-m-00001</t>
  </si>
  <si>
    <t>112 hrs</t>
  </si>
  <si>
    <t>1.2.6.20.1</t>
  </si>
  <si>
    <t>MC-F0009-0305-MB-M-00001</t>
  </si>
  <si>
    <t>10 dias</t>
  </si>
  <si>
    <t>165;189;194;199;351</t>
  </si>
  <si>
    <t>1.2.6.20.2</t>
  </si>
  <si>
    <t>1.2.6.20.3</t>
  </si>
  <si>
    <t>1.2.6.20.4</t>
  </si>
  <si>
    <t>Qua 17/06/26</t>
  </si>
  <si>
    <t>1.2.6.21</t>
  </si>
  <si>
    <t>mc-f0009-0305-mb-m-00002</t>
  </si>
  <si>
    <t>1.2.6.21.1</t>
  </si>
  <si>
    <t>MC-F0009-0305-MB-M-00002</t>
  </si>
  <si>
    <t>170;189;194;199;351</t>
  </si>
  <si>
    <t>1.2.6.21.2</t>
  </si>
  <si>
    <t>1.2.6.21.3</t>
  </si>
  <si>
    <t>1.2.6.21.4</t>
  </si>
  <si>
    <t>1.2.6.22</t>
  </si>
  <si>
    <t>mc-f0009-0305-mb-m-00003</t>
  </si>
  <si>
    <t>1.2.6.22.1</t>
  </si>
  <si>
    <t>MC-F0009-0305-MB-M-00003</t>
  </si>
  <si>
    <t>175;189;194;199;351</t>
  </si>
  <si>
    <t>1.2.6.22.2</t>
  </si>
  <si>
    <t>1.2.6.22.3</t>
  </si>
  <si>
    <t>1.2.6.22.4</t>
  </si>
  <si>
    <t>1.2.6.23</t>
  </si>
  <si>
    <t>mc-f0009-0305-mb-m-00004</t>
  </si>
  <si>
    <t>1.2.6.23.1</t>
  </si>
  <si>
    <t>MC-F0009-0305-MB-M-00004</t>
  </si>
  <si>
    <t>180;189;194;199;351</t>
  </si>
  <si>
    <t>1.2.6.23.2</t>
  </si>
  <si>
    <t>1.2.6.23.3</t>
  </si>
  <si>
    <t>1.2.6.23.4</t>
  </si>
  <si>
    <t>1.2.6.24</t>
  </si>
  <si>
    <t>ml-f0009-0305-mb-m-00001</t>
  </si>
  <si>
    <t>1.2.6.24.1</t>
  </si>
  <si>
    <t>ML-F0009-0305-MB-M-00001</t>
  </si>
  <si>
    <t>69;5</t>
  </si>
  <si>
    <t>185;215;325</t>
  </si>
  <si>
    <t>1.2.6.24.2</t>
  </si>
  <si>
    <t>186;134;139;144;149;164;169;174;179;154;159</t>
  </si>
  <si>
    <t>1.2.6.24.3</t>
  </si>
  <si>
    <t>187;270;275;280</t>
  </si>
  <si>
    <t>1.2.6.24.4</t>
  </si>
  <si>
    <t>1.2.6.25</t>
  </si>
  <si>
    <t>fd-f0009-0305-mb-m-00001</t>
  </si>
  <si>
    <t>1.2.6.25.1</t>
  </si>
  <si>
    <t>FD-F0009-0305-MB-M-00001</t>
  </si>
  <si>
    <t>164;169;174;179</t>
  </si>
  <si>
    <t>1.2.6.25.2</t>
  </si>
  <si>
    <t>1.2.6.25.3</t>
  </si>
  <si>
    <t>Qui 18/06/26</t>
  </si>
  <si>
    <t>1.2.6.25.4</t>
  </si>
  <si>
    <t>1.2.6.26</t>
  </si>
  <si>
    <t>fd-f0009-0305-mb-m-00002</t>
  </si>
  <si>
    <t>1.2.6.26.1</t>
  </si>
  <si>
    <t>FD-F0009-0305-MB-M-00002</t>
  </si>
  <si>
    <t>1.2.6.26.2</t>
  </si>
  <si>
    <t>1.2.6.26.3</t>
  </si>
  <si>
    <t>1.2.6.26.4</t>
  </si>
  <si>
    <t>1.2.6.27</t>
  </si>
  <si>
    <t>fd-f0009-0305-mb-m-00003</t>
  </si>
  <si>
    <t>1.2.6.27.1</t>
  </si>
  <si>
    <t>FD-F0009-0305-MB-M-00003</t>
  </si>
  <si>
    <t>1.2.6.27.2</t>
  </si>
  <si>
    <t>1.2.6.27.3</t>
  </si>
  <si>
    <t>1.2.6.27.4</t>
  </si>
  <si>
    <t>1.2.7</t>
  </si>
  <si>
    <t>tubulação/utilidades</t>
  </si>
  <si>
    <t>208 hrs</t>
  </si>
  <si>
    <t>TUBULAÇÃO / UTILIDADES</t>
  </si>
  <si>
    <t>1.2.7.3</t>
  </si>
  <si>
    <t>Tubulação/Utilidades</t>
  </si>
  <si>
    <t>ml-f0009-0305-mb-t-00001</t>
  </si>
  <si>
    <t>1.2.7.3.1</t>
  </si>
  <si>
    <t>ML-F0009-0305-MB-T-00001</t>
  </si>
  <si>
    <t>184;245</t>
  </si>
  <si>
    <t>1.2.7.3.2</t>
  </si>
  <si>
    <t>217;255;260;265;285;290;295;300;305;310;315</t>
  </si>
  <si>
    <t>1.2.7.3.3</t>
  </si>
  <si>
    <t>1.2.7.3.4</t>
  </si>
  <si>
    <t>1.2.7.7</t>
  </si>
  <si>
    <t>pq-f0009-0305-mb-t-00001</t>
  </si>
  <si>
    <t>Ter 23/06/26</t>
  </si>
  <si>
    <t>1.2.7.7.1</t>
  </si>
  <si>
    <t>PQ-F0009-0305-MB-T-00001</t>
  </si>
  <si>
    <t>1.2.7.7.2</t>
  </si>
  <si>
    <t>Sex 26/06/26</t>
  </si>
  <si>
    <t>1.2.7.7.3</t>
  </si>
  <si>
    <t>Seg 29/06/26</t>
  </si>
  <si>
    <t>1.2.7.7.4</t>
  </si>
  <si>
    <t>Qua 01/07/26</t>
  </si>
  <si>
    <t>1.2.7.9</t>
  </si>
  <si>
    <t>fg-f0009-0305-mb-t-00001</t>
  </si>
  <si>
    <t>1.2.7.9.1</t>
  </si>
  <si>
    <t>FG-F0009-0305-MB-T-00001</t>
  </si>
  <si>
    <t>63TI+13 dias</t>
  </si>
  <si>
    <t>246;215;225</t>
  </si>
  <si>
    <t>1.2.7.9.2</t>
  </si>
  <si>
    <t>1.2.7.9.3</t>
  </si>
  <si>
    <t>1.2.7.9.4</t>
  </si>
  <si>
    <t>Qua 27/05/26</t>
  </si>
  <si>
    <t>1.2.7.11</t>
  </si>
  <si>
    <t>ag-f0009-0305-mb-t-00001</t>
  </si>
  <si>
    <t>210TI+5 dias</t>
  </si>
  <si>
    <t>1.2.7.11.1</t>
  </si>
  <si>
    <t>AG-F0009-0305-MB-T-00001</t>
  </si>
  <si>
    <t>1.2.7.11.2</t>
  </si>
  <si>
    <t>1.2.7.11.3</t>
  </si>
  <si>
    <t>Seg 08/06/26</t>
  </si>
  <si>
    <t>1.2.7.11.4</t>
  </si>
  <si>
    <t>1.2.7.12</t>
  </si>
  <si>
    <t>ag-f0009-0305-mb-t-00002</t>
  </si>
  <si>
    <t>1.2.7.12.1</t>
  </si>
  <si>
    <t>AG-F0009-0305-MB-T-00002</t>
  </si>
  <si>
    <t>1.2.7.12.2</t>
  </si>
  <si>
    <t>1.2.7.12.3</t>
  </si>
  <si>
    <t>1.2.7.12.4</t>
  </si>
  <si>
    <t>1.2.7.13</t>
  </si>
  <si>
    <t>ag-f0009-0305-mb-t-00003</t>
  </si>
  <si>
    <t>1.2.7.13.1</t>
  </si>
  <si>
    <t>AG-F0009-0305-MB-T-00003</t>
  </si>
  <si>
    <t>1.2.7.13.2</t>
  </si>
  <si>
    <t>1.2.7.13.3</t>
  </si>
  <si>
    <t>1.2.7.13.4</t>
  </si>
  <si>
    <t>1.2.7.17</t>
  </si>
  <si>
    <t>ag-f0009-0305-mb-t-00004</t>
  </si>
  <si>
    <t>1.2.7.17.1</t>
  </si>
  <si>
    <t>AG-F0009-0305-MB-T-00004</t>
  </si>
  <si>
    <t>1.2.7.17.2</t>
  </si>
  <si>
    <t>1.2.7.17.3</t>
  </si>
  <si>
    <t>1.2.7.17.4</t>
  </si>
  <si>
    <t>1.2.7.18</t>
  </si>
  <si>
    <t>ag-f0009-0305-mb-t-00005</t>
  </si>
  <si>
    <t>1.2.7.18.1</t>
  </si>
  <si>
    <t>AG-F0009-0305-MB-T-00005</t>
  </si>
  <si>
    <t>1.2.7.18.2</t>
  </si>
  <si>
    <t>1.2.7.18.3</t>
  </si>
  <si>
    <t>1.2.7.18.4</t>
  </si>
  <si>
    <t>1.2.7.19</t>
  </si>
  <si>
    <t>ag-f0009-0305-mb-t-00006</t>
  </si>
  <si>
    <t>1.2.7.19.1</t>
  </si>
  <si>
    <t>AG-F0009-0305-MB-T-00006</t>
  </si>
  <si>
    <t>1.2.7.19.2</t>
  </si>
  <si>
    <t>1.2.7.19.3</t>
  </si>
  <si>
    <t>1.2.7.19.4</t>
  </si>
  <si>
    <t>1.2.7.20</t>
  </si>
  <si>
    <t>ag-f0009-0305-mb-t-00007</t>
  </si>
  <si>
    <t>1.2.7.20.1</t>
  </si>
  <si>
    <t>AG-F0009-0305-MB-T-00007</t>
  </si>
  <si>
    <t>1.2.7.20.2</t>
  </si>
  <si>
    <t>1.2.7.20.3</t>
  </si>
  <si>
    <t>1.2.7.20.4</t>
  </si>
  <si>
    <t>1.2.7.21</t>
  </si>
  <si>
    <t>ag-f0009-0305-mb-t-00008</t>
  </si>
  <si>
    <t>1.2.7.21.1</t>
  </si>
  <si>
    <t>AG-F0009-0305-MB-T-00008</t>
  </si>
  <si>
    <t>1.2.7.21.2</t>
  </si>
  <si>
    <t>1.2.7.21.3</t>
  </si>
  <si>
    <t>1.2.7.21.4</t>
  </si>
  <si>
    <t>1.2.7.22</t>
  </si>
  <si>
    <t>ag-f0009-0305-mb-t-00009</t>
  </si>
  <si>
    <t>1.2.7.22.1</t>
  </si>
  <si>
    <t>AG-F0009-0305-MB-T-00009</t>
  </si>
  <si>
    <t>1.2.7.22.2</t>
  </si>
  <si>
    <t>1.2.7.22.3</t>
  </si>
  <si>
    <t>1.2.7.22.4</t>
  </si>
  <si>
    <t>1.2.7.23</t>
  </si>
  <si>
    <t>ag-f0009-0305-mb-t-00010</t>
  </si>
  <si>
    <t>1.2.7.23.1</t>
  </si>
  <si>
    <t>AG-F0009-0305-MB-T-00010</t>
  </si>
  <si>
    <t>1.2.7.23.2</t>
  </si>
  <si>
    <t>1.2.7.23.3</t>
  </si>
  <si>
    <t>1.2.7.23.4</t>
  </si>
  <si>
    <t>1.2.7.24</t>
  </si>
  <si>
    <t>lk-f0009-0305-mb-t-00001</t>
  </si>
  <si>
    <t>1.2.7.24.1</t>
  </si>
  <si>
    <t>LK-F0009-0305-MB-T-00001</t>
  </si>
  <si>
    <t>1.2.7.24.2</t>
  </si>
  <si>
    <t>1.2.7.24.3</t>
  </si>
  <si>
    <t>1.2.7.24.4</t>
  </si>
  <si>
    <t>1.2.8</t>
  </si>
  <si>
    <t>estrutura metálica</t>
  </si>
  <si>
    <t>118 hrs</t>
  </si>
  <si>
    <t>ESTRUTURA METÁLICA</t>
  </si>
  <si>
    <t>1.2.8.2</t>
  </si>
  <si>
    <t>Estrutura metálica</t>
  </si>
  <si>
    <t>ml-f0009-0305-mb-s-00001</t>
  </si>
  <si>
    <t>38 hrs</t>
  </si>
  <si>
    <t>1.2.8.2.1</t>
  </si>
  <si>
    <t>ML-F0009-0305-MB-S-00001</t>
  </si>
  <si>
    <t>351TI-8 dias</t>
  </si>
  <si>
    <t>337;89;94;99;104;109;114;119;124;129;341</t>
  </si>
  <si>
    <t>1.2.8.2.2</t>
  </si>
  <si>
    <t>1.2.8.2.3</t>
  </si>
  <si>
    <t>339;356;361;366;371;376;381;386;391;396;401</t>
  </si>
  <si>
    <t>1.2.8.2.4</t>
  </si>
  <si>
    <t>Qui 25/06/26</t>
  </si>
  <si>
    <t>1.2.8.3</t>
  </si>
  <si>
    <t>pq-f0009-0305-mb-s-00001</t>
  </si>
  <si>
    <t>1.2.8.3.1</t>
  </si>
  <si>
    <t>PQ-F0009-0305-MB-S-00001</t>
  </si>
  <si>
    <t>1.2.8.3.2</t>
  </si>
  <si>
    <t>Qui 02/07/26</t>
  </si>
  <si>
    <t>1.2.8.3.3</t>
  </si>
  <si>
    <t>1.2.8.3.4</t>
  </si>
  <si>
    <t>Ter 07/07/26</t>
  </si>
  <si>
    <t>Sprint 12</t>
  </si>
  <si>
    <t>1.2.8.5</t>
  </si>
  <si>
    <t>mc-f0009-0305-mb-s-00001</t>
  </si>
  <si>
    <t>1.2.8.5.1</t>
  </si>
  <si>
    <t>MC-F0009-0305-MB-S-00001</t>
  </si>
  <si>
    <t>169;174;179;164</t>
  </si>
  <si>
    <t>352;336TI-8 dias;714;406TT</t>
  </si>
  <si>
    <t>1.2.8.5.2</t>
  </si>
  <si>
    <t>1.2.8.5.3</t>
  </si>
  <si>
    <t>1.2.8.5.4</t>
  </si>
  <si>
    <t>1.2.8.6</t>
  </si>
  <si>
    <t>ag-f0009-0305-mb-s-00001</t>
  </si>
  <si>
    <t>1.2.8.6.1</t>
  </si>
  <si>
    <t>AG-F0009-0305-MB-S-00001</t>
  </si>
  <si>
    <t>4 dias</t>
  </si>
  <si>
    <t>1.2.8.6.2</t>
  </si>
  <si>
    <t>1.2.8.6.3</t>
  </si>
  <si>
    <t>1.2.8.6.4</t>
  </si>
  <si>
    <t>1.2.8.7</t>
  </si>
  <si>
    <t>ag-f0009-0305-mb-s-00002</t>
  </si>
  <si>
    <t>1.2.8.7.1</t>
  </si>
  <si>
    <t>AG-F0009-0305-MB-S-00002</t>
  </si>
  <si>
    <t>1.2.8.7.2</t>
  </si>
  <si>
    <t>1.2.8.7.3</t>
  </si>
  <si>
    <t>1.2.8.7.4</t>
  </si>
  <si>
    <t>1.2.8.8</t>
  </si>
  <si>
    <t>ag-f0009-0305-mb-s-00003</t>
  </si>
  <si>
    <t>1.2.8.8.1</t>
  </si>
  <si>
    <t>AG-F0009-0305-MB-S-00003</t>
  </si>
  <si>
    <t>1.2.8.8.2</t>
  </si>
  <si>
    <t>1.2.8.8.3</t>
  </si>
  <si>
    <t>1.2.8.8.4</t>
  </si>
  <si>
    <t>1.2.8.9</t>
  </si>
  <si>
    <t>ag-f0009-0305-mb-s-00004</t>
  </si>
  <si>
    <t>1.2.8.9.1</t>
  </si>
  <si>
    <t>AG-F0009-0305-MB-S-00004</t>
  </si>
  <si>
    <t>1.2.8.9.2</t>
  </si>
  <si>
    <t>1.2.8.9.3</t>
  </si>
  <si>
    <t>1.2.8.9.4</t>
  </si>
  <si>
    <t>1.2.8.10</t>
  </si>
  <si>
    <t>ag-f0009-0305-mb-s-00005</t>
  </si>
  <si>
    <t>1.2.8.10.1</t>
  </si>
  <si>
    <t>AG-F0009-0305-MB-S-00005</t>
  </si>
  <si>
    <t>1.2.8.10.2</t>
  </si>
  <si>
    <t>1.2.8.10.3</t>
  </si>
  <si>
    <t>1.2.8.10.4</t>
  </si>
  <si>
    <t>1.2.8.11</t>
  </si>
  <si>
    <t>ag-f0009-0305-mb-s-00006</t>
  </si>
  <si>
    <t>1.2.8.11.1</t>
  </si>
  <si>
    <t>AG-F0009-0305-MB-S-00006</t>
  </si>
  <si>
    <t>1.2.8.11.2</t>
  </si>
  <si>
    <t>1.2.8.11.3</t>
  </si>
  <si>
    <t>1.2.8.11.4</t>
  </si>
  <si>
    <t>1.2.8.12</t>
  </si>
  <si>
    <t>ag-f0009-0305-mb-s-00007</t>
  </si>
  <si>
    <t>1.2.8.12.1</t>
  </si>
  <si>
    <t>AG-F0009-0305-MB-S-00007</t>
  </si>
  <si>
    <t>1.2.8.12.2</t>
  </si>
  <si>
    <t>1.2.8.12.3</t>
  </si>
  <si>
    <t>1.2.8.12.4</t>
  </si>
  <si>
    <t>1.2.8.13</t>
  </si>
  <si>
    <t>ag-f0009-0305-mb-s-00008</t>
  </si>
  <si>
    <t>1.2.8.13.1</t>
  </si>
  <si>
    <t>AG-F0009-0305-MB-S-00008</t>
  </si>
  <si>
    <t>1.2.8.13.2</t>
  </si>
  <si>
    <t>1.2.8.13.3</t>
  </si>
  <si>
    <t>1.2.8.13.4</t>
  </si>
  <si>
    <t>1.2.8.14</t>
  </si>
  <si>
    <t>ag-f0009-0305-mb-s-00009</t>
  </si>
  <si>
    <t>1.2.8.14.1</t>
  </si>
  <si>
    <t>AG-F0009-0305-MB-S-00009</t>
  </si>
  <si>
    <t>1.2.8.14.2</t>
  </si>
  <si>
    <t>1.2.8.14.3</t>
  </si>
  <si>
    <t>1.2.8.14.4</t>
  </si>
  <si>
    <t>1.2.8.15</t>
  </si>
  <si>
    <t>ag-f0009-0305-mb-s-00010</t>
  </si>
  <si>
    <t>1.2.8.15.1</t>
  </si>
  <si>
    <t>AG-F0009-0305-MB-S-00010</t>
  </si>
  <si>
    <t>1.2.8.15.2</t>
  </si>
  <si>
    <t>1.2.8.15.3</t>
  </si>
  <si>
    <t>1.2.8.15.4</t>
  </si>
  <si>
    <t>1.2.8.16</t>
  </si>
  <si>
    <t>pl-f0009-0305-mb-s-00001</t>
  </si>
  <si>
    <t>64 hrs</t>
  </si>
  <si>
    <t>1.2.8.16.1</t>
  </si>
  <si>
    <t>PL-F0009-0305-MB-S-00001</t>
  </si>
  <si>
    <t>5 dias</t>
  </si>
  <si>
    <t>351TT</t>
  </si>
  <si>
    <t>1.2.8.16.2</t>
  </si>
  <si>
    <t>1.2.8.16.3</t>
  </si>
  <si>
    <t>1.2.8.16.4</t>
  </si>
  <si>
    <t>1.2.9</t>
  </si>
  <si>
    <t>elétrica</t>
  </si>
  <si>
    <t>240 hrs</t>
  </si>
  <si>
    <t>ELÉTRICA</t>
  </si>
  <si>
    <t>1.2.9.3</t>
  </si>
  <si>
    <t>Elétrica</t>
  </si>
  <si>
    <t>rl-f0009-0305-mb-e-00001</t>
  </si>
  <si>
    <t>40 hrs</t>
  </si>
  <si>
    <t>1.2.9.3.1</t>
  </si>
  <si>
    <t>RL-F0009-0305-MB-E-00001</t>
  </si>
  <si>
    <t>432TI-1 dia</t>
  </si>
  <si>
    <t>423;462TI-1 dia</t>
  </si>
  <si>
    <t>1.2.9.3.2</t>
  </si>
  <si>
    <t>1.2.9.3.3</t>
  </si>
  <si>
    <t>425TT</t>
  </si>
  <si>
    <t>Seg 01/06/26</t>
  </si>
  <si>
    <t>1.2.9.3.4</t>
  </si>
  <si>
    <t>424TT</t>
  </si>
  <si>
    <t>1.2.9.5</t>
  </si>
  <si>
    <t>lr-f0009-0305-mb-e-00001</t>
  </si>
  <si>
    <t>1.2.9.5.1</t>
  </si>
  <si>
    <t>LR-F0009-0305-MB-E-00001</t>
  </si>
  <si>
    <t>79TI-1 dia</t>
  </si>
  <si>
    <t>433;422TI-1 dia</t>
  </si>
  <si>
    <t>1.2.9.5.2</t>
  </si>
  <si>
    <t>1.2.9.5.3</t>
  </si>
  <si>
    <t>435TT</t>
  </si>
  <si>
    <t>1.2.9.5.4</t>
  </si>
  <si>
    <t>434TT</t>
  </si>
  <si>
    <t>1.2.9.9</t>
  </si>
  <si>
    <t>mc-f0009-0305-mb-e-00001</t>
  </si>
  <si>
    <t>1.2.9.9.1</t>
  </si>
  <si>
    <t>MC-F0009-0305-MB-E-00001</t>
  </si>
  <si>
    <t>472TI-1 dia</t>
  </si>
  <si>
    <t>453;417TI-5 dias;427TI-1 dia</t>
  </si>
  <si>
    <t>1.2.9.9.2</t>
  </si>
  <si>
    <t>1.2.9.9.3</t>
  </si>
  <si>
    <t>455TT</t>
  </si>
  <si>
    <t>1.2.9.9.4</t>
  </si>
  <si>
    <t>454TT</t>
  </si>
  <si>
    <t>1.2.9.10</t>
  </si>
  <si>
    <t>ag-f0009-0305-mb-e-00001</t>
  </si>
  <si>
    <t>Qua 24/06/26</t>
  </si>
  <si>
    <t>Nenhum Sprint</t>
  </si>
  <si>
    <t>1.2.9.10.1</t>
  </si>
  <si>
    <t>AG-F0009-0305-MB-E-00001</t>
  </si>
  <si>
    <t>417TI-1 dia</t>
  </si>
  <si>
    <t>1.2.9.10.2</t>
  </si>
  <si>
    <t>459;437TI-1 dia</t>
  </si>
  <si>
    <t>1.2.9.10.3</t>
  </si>
  <si>
    <t>460TT</t>
  </si>
  <si>
    <t>1.2.9.10.4</t>
  </si>
  <si>
    <t>459TT</t>
  </si>
  <si>
    <t>1.2.9.12</t>
  </si>
  <si>
    <t>ag-f0009-0305-mb-e-00002</t>
  </si>
  <si>
    <t>1.2.9.12.1</t>
  </si>
  <si>
    <t>AG-F0009-0305-MB-E-00002</t>
  </si>
  <si>
    <t>417TI+1 dia</t>
  </si>
  <si>
    <t>1.2.9.12.2</t>
  </si>
  <si>
    <t>1.2.9.12.3</t>
  </si>
  <si>
    <t>470TT</t>
  </si>
  <si>
    <t>1.2.9.12.4</t>
  </si>
  <si>
    <t>469TT</t>
  </si>
  <si>
    <t>1.2.10</t>
  </si>
  <si>
    <t>automação e instrumentação</t>
  </si>
  <si>
    <t>232 hrs</t>
  </si>
  <si>
    <t>AUTOMAÇÃO E INSTRUMENTAÇÃO</t>
  </si>
  <si>
    <t>1.2.10.2</t>
  </si>
  <si>
    <t>Automação e instrumentação</t>
  </si>
  <si>
    <t>li-f0009-0305-mb-j-00001</t>
  </si>
  <si>
    <t>88 hrs</t>
  </si>
  <si>
    <t>1.2.10.2.1</t>
  </si>
  <si>
    <t>LI-F0009-0305-MB-J-00001</t>
  </si>
  <si>
    <t>484;528;533;543;538</t>
  </si>
  <si>
    <t>1.2.10.2.2</t>
  </si>
  <si>
    <t>1.2.10.2.3</t>
  </si>
  <si>
    <t>1.2.10.2.4</t>
  </si>
  <si>
    <t>1.2.10.3</t>
  </si>
  <si>
    <t>le-f0009-0305-mb-j-00001</t>
  </si>
  <si>
    <t>1.2.10.3.1</t>
  </si>
  <si>
    <t>LE-F0009-0305-MB-J-00001</t>
  </si>
  <si>
    <t>1.2.10.3.2</t>
  </si>
  <si>
    <t>1.2.10.3.3</t>
  </si>
  <si>
    <t>1.2.10.3.4</t>
  </si>
  <si>
    <t>1.2.10.4</t>
  </si>
  <si>
    <t>ll-f0009-0305-mb-j-00001</t>
  </si>
  <si>
    <t>1.2.10.4.1</t>
  </si>
  <si>
    <t>LL-F0009-0305-MB-J-00001</t>
  </si>
  <si>
    <t>494;568II</t>
  </si>
  <si>
    <t>1.2.10.4.2</t>
  </si>
  <si>
    <t>1.2.10.4.3</t>
  </si>
  <si>
    <t>Sex 19/06/26</t>
  </si>
  <si>
    <t>1.2.10.4.4</t>
  </si>
  <si>
    <t>1.2.10.7</t>
  </si>
  <si>
    <t>pq-f0009-0305-mb-j-00001</t>
  </si>
  <si>
    <t>1.2.10.7.1</t>
  </si>
  <si>
    <t>PQ-F0009-0305-MB-J-00001</t>
  </si>
  <si>
    <t>563TI-9 dias</t>
  </si>
  <si>
    <t>1.2.10.7.2</t>
  </si>
  <si>
    <t>1.2.10.7.3</t>
  </si>
  <si>
    <t>1.2.10.7.4</t>
  </si>
  <si>
    <t>1.2.10.8</t>
  </si>
  <si>
    <t>fg-f0009-0305-mb-j-00001</t>
  </si>
  <si>
    <t>1.2.10.8.1</t>
  </si>
  <si>
    <t>FG-F0009-0305-MB-J-00001</t>
  </si>
  <si>
    <t>63TI+10 dias</t>
  </si>
  <si>
    <t>1.2.10.8.2</t>
  </si>
  <si>
    <t>1.2.10.8.3</t>
  </si>
  <si>
    <t>1.2.10.8.4</t>
  </si>
  <si>
    <t>1.2.10.9</t>
  </si>
  <si>
    <t>fg-f0009-0305-mb-j-00002</t>
  </si>
  <si>
    <t>80 hrs</t>
  </si>
  <si>
    <t>1.2.10.9.1</t>
  </si>
  <si>
    <t>FG-F0009-0305-MB-J-00002</t>
  </si>
  <si>
    <t>519;483</t>
  </si>
  <si>
    <t>1.2.10.9.2</t>
  </si>
  <si>
    <t>1.2.10.9.3</t>
  </si>
  <si>
    <t>1.2.10.9.4</t>
  </si>
  <si>
    <t>1.2.10.10</t>
  </si>
  <si>
    <t>fg-f0009-0305-mb-j-00003</t>
  </si>
  <si>
    <t>1.2.10.10.1</t>
  </si>
  <si>
    <t>FG-F0009-0305-MB-J-00003</t>
  </si>
  <si>
    <t>1.2.10.10.2</t>
  </si>
  <si>
    <t>1.2.10.10.3</t>
  </si>
  <si>
    <t>1.2.10.10.4</t>
  </si>
  <si>
    <t>1.2.10.11</t>
  </si>
  <si>
    <t>ag-f0009-0305-mb-j-00001</t>
  </si>
  <si>
    <t>1.2.10.11.1</t>
  </si>
  <si>
    <t>AG-F0009-0305-MB-J-00001</t>
  </si>
  <si>
    <t>1.2.10.11.2</t>
  </si>
  <si>
    <t>1.2.10.11.3</t>
  </si>
  <si>
    <t>1.2.10.11.4</t>
  </si>
  <si>
    <t>1.2.10.12</t>
  </si>
  <si>
    <t>ag-f0009-0305-mb-j-00002</t>
  </si>
  <si>
    <t>1.2.10.12.1</t>
  </si>
  <si>
    <t>AG-F0009-0305-MB-J-00002</t>
  </si>
  <si>
    <t>1.2.10.12.2</t>
  </si>
  <si>
    <t>1.2.10.12.3</t>
  </si>
  <si>
    <t>1.2.10.12.4</t>
  </si>
  <si>
    <t>1.2.10.13</t>
  </si>
  <si>
    <t>ag-f0009-0305-mb-j-00003</t>
  </si>
  <si>
    <t>1.2.10.13.1</t>
  </si>
  <si>
    <t>AG-F0009-0305-MB-J-00003</t>
  </si>
  <si>
    <t>1.2.10.13.2</t>
  </si>
  <si>
    <t>1.2.10.13.3</t>
  </si>
  <si>
    <t>1.2.10.13.4</t>
  </si>
  <si>
    <t>1.2.10.14</t>
  </si>
  <si>
    <t>ag-f0009-0305-mb-j-00004</t>
  </si>
  <si>
    <t>1.2.10.14.1</t>
  </si>
  <si>
    <t>AG-F0009-0305-MB-J-00004</t>
  </si>
  <si>
    <t>1.2.10.14.2</t>
  </si>
  <si>
    <t>1.2.10.14.3</t>
  </si>
  <si>
    <t>1.2.10.14.4</t>
  </si>
  <si>
    <t>1.2.10.15</t>
  </si>
  <si>
    <t>di-f0009-0305-mb-j-00001</t>
  </si>
  <si>
    <t>1.2.10.15.1</t>
  </si>
  <si>
    <t>DI-F0009-0305-MB-J-00001</t>
  </si>
  <si>
    <t>549;498;493</t>
  </si>
  <si>
    <t>1.2.10.15.2</t>
  </si>
  <si>
    <t>1.2.10.15.3</t>
  </si>
  <si>
    <t>1.2.10.15.4</t>
  </si>
  <si>
    <t>1.2.10.18</t>
  </si>
  <si>
    <t>lm-f0009-0305-mb-j-00001</t>
  </si>
  <si>
    <t>1.2.10.18.1</t>
  </si>
  <si>
    <t>LM-F0009-0305-MB-J-00001</t>
  </si>
  <si>
    <t>708TI-7 dias;703TI-7 dias;482;698TI-7 dias</t>
  </si>
  <si>
    <t>564;508TI-9 dias</t>
  </si>
  <si>
    <t>1.2.10.18.2</t>
  </si>
  <si>
    <t>1.2.10.18.3</t>
  </si>
  <si>
    <t>1.2.10.18.4</t>
  </si>
  <si>
    <t>1.2.10.19</t>
  </si>
  <si>
    <t>et-f0009-0305-mb-j-00001</t>
  </si>
  <si>
    <t>1.2.10.19.1</t>
  </si>
  <si>
    <t>ET-F0009-0305-MB-J-00001</t>
  </si>
  <si>
    <t>498II;493II</t>
  </si>
  <si>
    <t>1.2.10.19.2</t>
  </si>
  <si>
    <t>1.2.10.19.3</t>
  </si>
  <si>
    <t>1.2.10.19.4</t>
  </si>
  <si>
    <t>1.2.10.20</t>
  </si>
  <si>
    <t>fd-f0009-0305-mb-j-00001</t>
  </si>
  <si>
    <t>1.2.10.20.1</t>
  </si>
  <si>
    <t>FD-F0009-0305-MB-J-00001</t>
  </si>
  <si>
    <t>7 dias</t>
  </si>
  <si>
    <t>574;578II;583II;588II;593II;598II;603II;608II;613II;618II;623II;628II;633II;638II;643II;648II;693II;668II;663II;658II;653II;673II;688II;683II;678II</t>
  </si>
  <si>
    <t>1.2.10.20.2</t>
  </si>
  <si>
    <t>1.2.10.20.3</t>
  </si>
  <si>
    <t>1.2.10.20.4</t>
  </si>
  <si>
    <t>1.2.10.21</t>
  </si>
  <si>
    <t>fd-f0009-0305-mb-j-00002</t>
  </si>
  <si>
    <t>1.2.10.21.1</t>
  </si>
  <si>
    <t>FD-F0009-0305-MB-J-00002</t>
  </si>
  <si>
    <t>573II</t>
  </si>
  <si>
    <t>1.2.10.21.2</t>
  </si>
  <si>
    <t>1.2.10.21.3</t>
  </si>
  <si>
    <t>1.2.10.21.4</t>
  </si>
  <si>
    <t>1.2.10.22</t>
  </si>
  <si>
    <t>fd-f0009-0305-mb-j-00003</t>
  </si>
  <si>
    <t>1.2.10.22.1</t>
  </si>
  <si>
    <t>FD-F0009-0305-MB-J-00003</t>
  </si>
  <si>
    <t>1.2.10.22.2</t>
  </si>
  <si>
    <t>1.2.10.22.3</t>
  </si>
  <si>
    <t>1.2.10.22.4</t>
  </si>
  <si>
    <t>1.2.10.23</t>
  </si>
  <si>
    <t>fd-f0009-0305-mb-j-00004</t>
  </si>
  <si>
    <t>1.2.10.23.1</t>
  </si>
  <si>
    <t>FD-F0009-0305-MB-J-00004</t>
  </si>
  <si>
    <t>1.2.10.23.2</t>
  </si>
  <si>
    <t>1.2.10.23.3</t>
  </si>
  <si>
    <t>1.2.10.23.4</t>
  </si>
  <si>
    <t>1.2.10.24</t>
  </si>
  <si>
    <t>fd-f0009-0305-mb-j-00005</t>
  </si>
  <si>
    <t>1.2.10.24.1</t>
  </si>
  <si>
    <t>FD-F0009-0305-MB-J-00005</t>
  </si>
  <si>
    <t>1.2.10.24.2</t>
  </si>
  <si>
    <t>1.2.10.24.3</t>
  </si>
  <si>
    <t>1.2.10.24.4</t>
  </si>
  <si>
    <t>1.2.10.25</t>
  </si>
  <si>
    <t>fd-f0009-0305-mb-j-00006</t>
  </si>
  <si>
    <t>1.2.10.25.1</t>
  </si>
  <si>
    <t>FD-F0009-0305-MB-J-00006</t>
  </si>
  <si>
    <t>1.2.10.25.2</t>
  </si>
  <si>
    <t>1.2.10.25.3</t>
  </si>
  <si>
    <t>1.2.10.25.4</t>
  </si>
  <si>
    <t>1.2.10.26</t>
  </si>
  <si>
    <t>fd-f0009-0305-mb-j-00007</t>
  </si>
  <si>
    <t>1.2.10.26.1</t>
  </si>
  <si>
    <t>FD-F0009-0305-MB-J-00007</t>
  </si>
  <si>
    <t>1.2.10.26.2</t>
  </si>
  <si>
    <t>1.2.10.26.3</t>
  </si>
  <si>
    <t>1.2.10.26.4</t>
  </si>
  <si>
    <t>1.2.10.27</t>
  </si>
  <si>
    <t>fd-f0009-0305-mb-j-00008</t>
  </si>
  <si>
    <t>1.2.10.27.1</t>
  </si>
  <si>
    <t>FD-F0009-0305-MB-J-00008</t>
  </si>
  <si>
    <t>1.2.10.27.2</t>
  </si>
  <si>
    <t>1.2.10.27.3</t>
  </si>
  <si>
    <t>1.2.10.27.4</t>
  </si>
  <si>
    <t>1.2.10.28</t>
  </si>
  <si>
    <t>fd-f0009-0305-mb-j-00009</t>
  </si>
  <si>
    <t>1.2.10.28.1</t>
  </si>
  <si>
    <t>FD-F0009-0305-MB-J-00009</t>
  </si>
  <si>
    <t>1.2.10.28.2</t>
  </si>
  <si>
    <t>1.2.10.28.3</t>
  </si>
  <si>
    <t>1.2.10.28.4</t>
  </si>
  <si>
    <t>1.2.10.29</t>
  </si>
  <si>
    <t>fd-f0009-0305-mb-j-00010</t>
  </si>
  <si>
    <t>1.2.10.29.1</t>
  </si>
  <si>
    <t>FD-F0009-0305-MB-J-00010</t>
  </si>
  <si>
    <t>1.2.10.29.2</t>
  </si>
  <si>
    <t>1.2.10.29.3</t>
  </si>
  <si>
    <t>1.2.10.29.4</t>
  </si>
  <si>
    <t>1.2.10.30</t>
  </si>
  <si>
    <t>fd-f0009-0305-mb-j-00011</t>
  </si>
  <si>
    <t>1.2.10.30.1</t>
  </si>
  <si>
    <t>FD-F0009-0305-MB-J-00011</t>
  </si>
  <si>
    <t>1.2.10.30.2</t>
  </si>
  <si>
    <t>1.2.10.30.3</t>
  </si>
  <si>
    <t>1.2.10.30.4</t>
  </si>
  <si>
    <t>1.2.10.31</t>
  </si>
  <si>
    <t>fd-f0009-0305-mb-j-00012</t>
  </si>
  <si>
    <t>1.2.10.31.1</t>
  </si>
  <si>
    <t>FD-F0009-0305-MB-J-00012</t>
  </si>
  <si>
    <t>1.2.10.31.2</t>
  </si>
  <si>
    <t>1.2.10.31.3</t>
  </si>
  <si>
    <t>1.2.10.31.4</t>
  </si>
  <si>
    <t>1.2.10.32</t>
  </si>
  <si>
    <t>fd-f0009-0305-mb-j-00013</t>
  </si>
  <si>
    <t>1.2.10.32.1</t>
  </si>
  <si>
    <t>FD-F0009-0305-MB-J-00013</t>
  </si>
  <si>
    <t>1.2.10.32.2</t>
  </si>
  <si>
    <t>1.2.10.32.3</t>
  </si>
  <si>
    <t>1.2.10.32.4</t>
  </si>
  <si>
    <t>1.2.10.33</t>
  </si>
  <si>
    <t>fd-f0009-0305-mb-j-00014</t>
  </si>
  <si>
    <t>1.2.10.33.1</t>
  </si>
  <si>
    <t>FD-F0009-0305-MB-J-00014</t>
  </si>
  <si>
    <t>1.2.10.33.2</t>
  </si>
  <si>
    <t>1.2.10.33.3</t>
  </si>
  <si>
    <t>1.2.10.33.4</t>
  </si>
  <si>
    <t>1.2.10.34</t>
  </si>
  <si>
    <t>fd-f0009-0305-mb-j-00015</t>
  </si>
  <si>
    <t>1.2.10.34.1</t>
  </si>
  <si>
    <t>FD-F0009-0305-MB-J-00015</t>
  </si>
  <si>
    <t>1.2.10.34.2</t>
  </si>
  <si>
    <t>1.2.10.34.3</t>
  </si>
  <si>
    <t>1.2.10.34.4</t>
  </si>
  <si>
    <t>1.2.10.35</t>
  </si>
  <si>
    <t>fd-f0009-0305-mb-j-00016</t>
  </si>
  <si>
    <t>1.2.10.35.1</t>
  </si>
  <si>
    <t>FD-F0009-0305-MB-J-00016</t>
  </si>
  <si>
    <t>1.2.10.35.2</t>
  </si>
  <si>
    <t>1.2.10.35.3</t>
  </si>
  <si>
    <t>1.2.10.35.4</t>
  </si>
  <si>
    <t>1.2.10.36</t>
  </si>
  <si>
    <t>fd-f0009-0305-mb-j-00017</t>
  </si>
  <si>
    <t>1.2.10.36.1</t>
  </si>
  <si>
    <t>FD-F0009-0305-MB-J-00017</t>
  </si>
  <si>
    <t>1.2.10.36.2</t>
  </si>
  <si>
    <t>1.2.10.36.3</t>
  </si>
  <si>
    <t>1.2.10.36.4</t>
  </si>
  <si>
    <t>1.2.10.37</t>
  </si>
  <si>
    <t>fd-f0009-0305-mb-j-00018</t>
  </si>
  <si>
    <t>1.2.10.37.1</t>
  </si>
  <si>
    <t>FD-F0009-0305-MB-J-00018</t>
  </si>
  <si>
    <t>1.2.10.37.2</t>
  </si>
  <si>
    <t>1.2.10.37.3</t>
  </si>
  <si>
    <t>1.2.10.37.4</t>
  </si>
  <si>
    <t>1.2.10.38</t>
  </si>
  <si>
    <t>fd-f0009-0305-mb-j-00019</t>
  </si>
  <si>
    <t>1.2.10.38.1</t>
  </si>
  <si>
    <t>FD-F0009-0305-MB-J-00019</t>
  </si>
  <si>
    <t>1.2.10.38.2</t>
  </si>
  <si>
    <t>1.2.10.38.3</t>
  </si>
  <si>
    <t>1.2.10.38.4</t>
  </si>
  <si>
    <t>1.2.10.39</t>
  </si>
  <si>
    <t>fd-f0009-0305-mb-j-00020</t>
  </si>
  <si>
    <t>1.2.10.39.1</t>
  </si>
  <si>
    <t>FD-F0009-0305-MB-J-00020</t>
  </si>
  <si>
    <t>1.2.10.39.2</t>
  </si>
  <si>
    <t>1.2.10.39.3</t>
  </si>
  <si>
    <t>1.2.10.39.4</t>
  </si>
  <si>
    <t>1.2.10.40</t>
  </si>
  <si>
    <t>fd-f0009-0305-mb-j-00021</t>
  </si>
  <si>
    <t>1.2.10.40.1</t>
  </si>
  <si>
    <t>FD-F0009-0305-MB-J-00021</t>
  </si>
  <si>
    <t>1.2.10.40.2</t>
  </si>
  <si>
    <t>1.2.10.40.3</t>
  </si>
  <si>
    <t>1.2.10.40.4</t>
  </si>
  <si>
    <t>1.2.10.41</t>
  </si>
  <si>
    <t>fd-f0009-0305-mb-j-00022</t>
  </si>
  <si>
    <t>78,8 hrs</t>
  </si>
  <si>
    <t>1.2.10.41.1</t>
  </si>
  <si>
    <t>FD-F0009-0305-MB-J-00022</t>
  </si>
  <si>
    <t>1.2.10.41.2</t>
  </si>
  <si>
    <t>1.2.10.41.3</t>
  </si>
  <si>
    <t>1.2.10.41.4</t>
  </si>
  <si>
    <t>1.2.10.42</t>
  </si>
  <si>
    <t>fd-f0009-0305-mb-j-00023</t>
  </si>
  <si>
    <t>1.2.10.42.1</t>
  </si>
  <si>
    <t>FD-F0009-0305-MB-J-00023</t>
  </si>
  <si>
    <t>1.2.10.42.2</t>
  </si>
  <si>
    <t>1.2.10.42.3</t>
  </si>
  <si>
    <t>1.2.10.42.4</t>
  </si>
  <si>
    <t>1.2.10.43</t>
  </si>
  <si>
    <t>fd-f0009-0305-mb-j-00024</t>
  </si>
  <si>
    <t>1.2.10.43.1</t>
  </si>
  <si>
    <t>FD-F0009-0305-MB-J-00024</t>
  </si>
  <si>
    <t>1.2.10.43.2</t>
  </si>
  <si>
    <t>1.2.10.43.3</t>
  </si>
  <si>
    <t>1.2.10.43.4</t>
  </si>
  <si>
    <t>1.2.10.44</t>
  </si>
  <si>
    <t>fd-f0009-0305-mb-j-00025</t>
  </si>
  <si>
    <t>1.2.10.44.1</t>
  </si>
  <si>
    <t>FD-F0009-0305-MB-J-00025</t>
  </si>
  <si>
    <t>1.2.10.44.2</t>
  </si>
  <si>
    <t>1.2.10.44.3</t>
  </si>
  <si>
    <t>1.2.10.44.4</t>
  </si>
  <si>
    <t>1.2.10.45</t>
  </si>
  <si>
    <t>lb-f0009-0305-mb-j-00001</t>
  </si>
  <si>
    <t>1.2.10.45.1</t>
  </si>
  <si>
    <t>LB-F0009-0305-MB-J-00001</t>
  </si>
  <si>
    <t>558TI-7 dias</t>
  </si>
  <si>
    <t>699;563TI-7 dias</t>
  </si>
  <si>
    <t>1.2.10.45.2</t>
  </si>
  <si>
    <t>1.2.10.45.3</t>
  </si>
  <si>
    <t>1.2.10.45.4</t>
  </si>
  <si>
    <t>1.2.10.46</t>
  </si>
  <si>
    <t>re-f0009-0305-mb-j-00001</t>
  </si>
  <si>
    <t>1.2.10.46.1</t>
  </si>
  <si>
    <t>RE-F0009-0305-MB-J-00001</t>
  </si>
  <si>
    <t>704;563TI-7 dias</t>
  </si>
  <si>
    <t>1.2.10.46.2</t>
  </si>
  <si>
    <t>1.2.10.46.3</t>
  </si>
  <si>
    <t>1.2.10.46.4</t>
  </si>
  <si>
    <t>1.2.10.47</t>
  </si>
  <si>
    <t>dt-f0009-0305-mb-j-00001</t>
  </si>
  <si>
    <t>1.2.10.47.1</t>
  </si>
  <si>
    <t>DT-F0009-0305-MB-J-00001</t>
  </si>
  <si>
    <t>709;563TI-7 dias</t>
  </si>
  <si>
    <t>1.2.10.47.2</t>
  </si>
  <si>
    <t>1.2.10.47.3</t>
  </si>
  <si>
    <t>1.2.10.47.4</t>
  </si>
  <si>
    <t>1.2.11</t>
  </si>
  <si>
    <t>civil</t>
  </si>
  <si>
    <t>140 hrs</t>
  </si>
  <si>
    <t>CIVIL</t>
  </si>
  <si>
    <t>1.2.11.1</t>
  </si>
  <si>
    <t>Civil</t>
  </si>
  <si>
    <t>mc-f0009-0305-mb-c-00001</t>
  </si>
  <si>
    <t>124 hrs</t>
  </si>
  <si>
    <t>1.2.11.1.1</t>
  </si>
  <si>
    <t>MC-F0009-0305-MB-C-00001</t>
  </si>
  <si>
    <t>715;719</t>
  </si>
  <si>
    <t>1.2.11.1.2</t>
  </si>
  <si>
    <t>1.2.11.1.3</t>
  </si>
  <si>
    <t>1.2.11.1.4</t>
  </si>
  <si>
    <t>1.2.11.2</t>
  </si>
  <si>
    <t>pq-f0009-0305-mb-c-00001</t>
  </si>
  <si>
    <t>1.2.11.2.1</t>
  </si>
  <si>
    <t>PQ-F0009-0305-MB-C-00001</t>
  </si>
  <si>
    <t>1.2.11.2.2</t>
  </si>
  <si>
    <t>1.2.11.2.3</t>
  </si>
  <si>
    <t>1.2.11.2.4</t>
  </si>
  <si>
    <t>1.2.4.2</t>
  </si>
  <si>
    <t>rm-f0009-0305mb-g-00002</t>
  </si>
  <si>
    <t>Tarefa Excluída</t>
  </si>
  <si>
    <t>1.2.7.4</t>
  </si>
  <si>
    <t>et-f0009-0305-mb-t-00001</t>
  </si>
  <si>
    <t>1.2.7.5</t>
  </si>
  <si>
    <t>fd-f0009-0305-mb-t-00001</t>
  </si>
  <si>
    <t>1.2.7.6</t>
  </si>
  <si>
    <t>fd-f0009-0305-mb-t-00002</t>
  </si>
  <si>
    <t>1.2.7.8</t>
  </si>
  <si>
    <t>mc-f0009-0305-mb-t-00001</t>
  </si>
  <si>
    <t>1.2.7.10</t>
  </si>
  <si>
    <t>fg-f0009-0305-mb-t-00002</t>
  </si>
  <si>
    <t>mc-f0009-0305-mb-t-00002</t>
  </si>
  <si>
    <t>14 dias</t>
  </si>
  <si>
    <t>1.2.8.4</t>
  </si>
  <si>
    <t>lm-f0009-0305-mb-s-00001</t>
  </si>
  <si>
    <t>1.2.9.2</t>
  </si>
  <si>
    <t>ml-f0009-0305-mb-e-00001</t>
  </si>
  <si>
    <t>11 dias</t>
  </si>
  <si>
    <t>1.2.9.4</t>
  </si>
  <si>
    <t>le-f0009-0305-mb-e-00001</t>
  </si>
  <si>
    <t>1.2.9.6</t>
  </si>
  <si>
    <t>lm-f0009-0305-mb-e-00001</t>
  </si>
  <si>
    <t>1.2.9.7</t>
  </si>
  <si>
    <t>pq-f0009-0305-mb-e-00001</t>
  </si>
  <si>
    <t>1.2.9.11</t>
  </si>
  <si>
    <t>du-f0009-0305-mb-e-00001</t>
  </si>
  <si>
    <t>1.2.9.13</t>
  </si>
  <si>
    <t>fd-f0009-0305-mb-e-00013</t>
  </si>
  <si>
    <t>lz-f0009-0305-mb-j-00001</t>
  </si>
  <si>
    <t>1.2.10.5</t>
  </si>
  <si>
    <t>le-f0009-0305-mb-j-00002</t>
  </si>
  <si>
    <t>li-f0009-0305-mb-j-00002</t>
  </si>
  <si>
    <t>1.2.10.16</t>
  </si>
  <si>
    <t>li-f0009-0305-mb-j-00003</t>
  </si>
  <si>
    <t>Número de documentos listados</t>
  </si>
  <si>
    <t>Aderência do modelo (%)</t>
  </si>
  <si>
    <t>%EI</t>
  </si>
  <si>
    <t>%AP</t>
  </si>
  <si>
    <t>Data</t>
  </si>
  <si>
    <t>Emissão prevista na LB</t>
  </si>
  <si>
    <t>Emissão prevista na LB acumulada</t>
  </si>
  <si>
    <t>Emissão realizada por dia</t>
  </si>
  <si>
    <t>Emissão realizada acumulada</t>
  </si>
  <si>
    <t>Aprovação prevista na LB</t>
  </si>
  <si>
    <t>Aprovação realizada por dia</t>
  </si>
  <si>
    <t>Aprovação prevista na LB acumulada</t>
  </si>
  <si>
    <t>Aprovação realizada acumulada</t>
  </si>
  <si>
    <t>Avanço da EI previsto na LB</t>
  </si>
  <si>
    <t>Avanço real da EI na LB</t>
  </si>
  <si>
    <t>COMP_EI</t>
  </si>
  <si>
    <t>Avanço da AP previsto na LB</t>
  </si>
  <si>
    <t>Avanço da AP real na LB</t>
  </si>
  <si>
    <t>COMP_AP</t>
  </si>
  <si>
    <t>TOTAL</t>
  </si>
  <si>
    <t>Coluna1</t>
  </si>
  <si>
    <t>APÓS 15/07</t>
  </si>
  <si>
    <t>DESATIVAR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</si>
</sst>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:ss"/>
    <numFmt numFmtId="165" formatCode="0.0%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9" fontId="0" fillId="0" borderId="0" xfId="1" applyFont="1" applyAlignment="1">
      <alignment horizontal="center"/>
    </xf>
    <xf numFmtId="9" fontId="0" fillId="0" borderId="0" xfId="1" applyFont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9" fontId="0" fillId="0" borderId="0" xfId="1" applyFont="1" applyAlignment="1">
      <alignment horizontal="center" vertical="center" wrapText="1"/>
    </xf>
    <xf numFmtId="14" fontId="0" fillId="2" borderId="0" xfId="0" applyNumberFormat="1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9" fontId="0" fillId="2" borderId="0" xfId="1" applyFont="1" applyFill="1" applyAlignment="1">
      <alignment horizontal="center" vertical="center" wrapText="1"/>
    </xf>
    <xf numFmtId="0" fontId="0" fillId="0" borderId="0" xfId="0" applyAlignment="1">
      <alignment horizontal="center" wrapText="1"/>
    </xf>
    <xf numFmtId="165" fontId="0" fillId="0" borderId="0" xfId="0" applyNumberFormat="1" applyAlignment="1">
      <alignment horizontal="center" wrapText="1"/>
    </xf>
    <xf numFmtId="16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0" xfId="0" applyFont="1" applyFill="1" applyAlignment="1">
      <alignment horizontal="center"/>
    </xf>
    <xf numFmtId="9" fontId="3" fillId="3" borderId="0" xfId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52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yyyy\-mm\-dd\ hh:mm:ss"/>
      <alignment horizontal="center" vertical="bottom" textRotation="0" wrapText="0" indent="0" justifyLastLine="0" shrinkToFit="0" readingOrder="0"/>
    </dxf>
    <dxf>
      <numFmt numFmtId="164" formatCode="yyyy\-mm\-dd\ hh:mm:ss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yyyy\-mm\-dd\ hh:mm:ss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yyyy\-mm\-dd\ hh:mm:ss"/>
      <alignment horizontal="center" vertical="center" textRotation="0" wrapText="0" indent="0" justifyLastLine="0" shrinkToFit="0" readingOrder="0"/>
    </dxf>
    <dxf>
      <numFmt numFmtId="164" formatCode="yyyy\-mm\-dd\ hh:mm:ss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yyyy\-mm\-dd\ hh:mm:ss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9" formatCode="dd/mm/yyyy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numFmt numFmtId="165" formatCode="0.0%"/>
      <alignment horizontal="center" vertical="bottom" textRotation="0" wrapText="1" indent="0" justifyLastLine="0" shrinkToFit="0" readingOrder="0"/>
    </dxf>
    <dxf>
      <numFmt numFmtId="165" formatCode="0.0%"/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numFmt numFmtId="165" formatCode="0.0%"/>
      <alignment horizontal="center" vertical="bottom" textRotation="0" wrapText="1" indent="0" justifyLastLine="0" shrinkToFit="0" readingOrder="0"/>
    </dxf>
    <dxf>
      <numFmt numFmtId="165" formatCode="0.0%"/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numFmt numFmtId="164" formatCode="yyyy\-mm\-dd\ hh:mm:ss"/>
    </dxf>
    <dxf>
      <numFmt numFmtId="164" formatCode="yyyy\-mm\-dd\ hh:mm:ss"/>
    </dxf>
    <dxf>
      <numFmt numFmtId="164" formatCode="yyyy\-mm\-dd\ hh:mm:ss"/>
    </dxf>
    <dxf>
      <numFmt numFmtId="19" formatCode="dd/mm/yyyy"/>
    </dxf>
    <dxf>
      <alignment horizontal="center" vertical="center" textRotation="0" wrapText="0" indent="0" justifyLastLine="0" shrinkToFit="0" readingOrder="0"/>
    </dxf>
    <dxf>
      <numFmt numFmtId="19" formatCode="dd/mm/yyyy"/>
    </dxf>
    <dxf>
      <numFmt numFmtId="19" formatCode="dd/mm/yyyy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Concluídas por Disciplina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Resumo!$B$3</c:f>
              <c:strCache>
                <c:ptCount val="1"/>
                <c:pt idx="0">
                  <c:v>Emissão inicial total</c:v>
                </c:pt>
              </c:strCache>
            </c:strRef>
          </c:tx>
          <c:invertIfNegative val="0"/>
          <c:cat>
            <c:strRef>
              <c:f>Resumo!$A$4:$A$15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Resumo!$B$4:$B$15</c:f>
              <c:numCache>
                <c:formatCode>General</c:formatCode>
                <c:ptCount val="12"/>
                <c:pt idx="0">
                  <c:v>42</c:v>
                </c:pt>
                <c:pt idx="1">
                  <c:v>2</c:v>
                </c:pt>
                <c:pt idx="2">
                  <c:v>3</c:v>
                </c:pt>
                <c:pt idx="3">
                  <c:v>5</c:v>
                </c:pt>
                <c:pt idx="4">
                  <c:v>14</c:v>
                </c:pt>
                <c:pt idx="5">
                  <c:v>0</c:v>
                </c:pt>
                <c:pt idx="6">
                  <c:v>0</c:v>
                </c:pt>
                <c:pt idx="7">
                  <c:v>25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2F-4A3B-9252-E74535AA280E}"/>
            </c:ext>
          </c:extLst>
        </c:ser>
        <c:ser>
          <c:idx val="1"/>
          <c:order val="1"/>
          <c:tx>
            <c:strRef>
              <c:f>Resumo!$C$3</c:f>
              <c:strCache>
                <c:ptCount val="1"/>
                <c:pt idx="0">
                  <c:v>Emissão inicial concluída</c:v>
                </c:pt>
              </c:strCache>
            </c:strRef>
          </c:tx>
          <c:invertIfNegative val="0"/>
          <c:cat>
            <c:strRef>
              <c:f>Resumo!$A$4:$A$15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Resumo!$C$4:$C$15</c:f>
              <c:numCache>
                <c:formatCode>General</c:formatCode>
                <c:ptCount val="12"/>
                <c:pt idx="0">
                  <c:v>33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15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12F-4A3B-9252-E74535AA280E}"/>
            </c:ext>
          </c:extLst>
        </c:ser>
        <c:ser>
          <c:idx val="2"/>
          <c:order val="2"/>
          <c:tx>
            <c:strRef>
              <c:f>Resumo!$D$3</c:f>
              <c:strCache>
                <c:ptCount val="1"/>
                <c:pt idx="0">
                  <c:v>%EI</c:v>
                </c:pt>
              </c:strCache>
            </c:strRef>
          </c:tx>
          <c:invertIfNegative val="0"/>
          <c:cat>
            <c:strRef>
              <c:f>Resumo!$A$4:$A$15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Resumo!$D$4:$D$15</c:f>
              <c:numCache>
                <c:formatCode>0.0%</c:formatCode>
                <c:ptCount val="12"/>
                <c:pt idx="0">
                  <c:v>0.7857142857142857</c:v>
                </c:pt>
                <c:pt idx="1">
                  <c:v>0</c:v>
                </c:pt>
                <c:pt idx="2">
                  <c:v>0.33333333333333331</c:v>
                </c:pt>
                <c:pt idx="3">
                  <c:v>0.4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0.6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7.1428571428571425E-2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12F-4A3B-9252-E74535AA280E}"/>
            </c:ext>
          </c:extLst>
        </c:ser>
        <c:ser>
          <c:idx val="3"/>
          <c:order val="3"/>
          <c:tx>
            <c:strRef>
              <c:f>Resumo!$E$3</c:f>
              <c:strCache>
                <c:ptCount val="1"/>
                <c:pt idx="0">
                  <c:v>Avaliação do cliente concluída</c:v>
                </c:pt>
              </c:strCache>
            </c:strRef>
          </c:tx>
          <c:invertIfNegative val="0"/>
          <c:cat>
            <c:strRef>
              <c:f>Resumo!$A$4:$A$15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Resumo!$E$4:$E$15</c:f>
              <c:numCache>
                <c:formatCode>General</c:formatCode>
                <c:ptCount val="12"/>
                <c:pt idx="0">
                  <c:v>3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12F-4A3B-9252-E74535AA280E}"/>
            </c:ext>
          </c:extLst>
        </c:ser>
        <c:ser>
          <c:idx val="4"/>
          <c:order val="4"/>
          <c:tx>
            <c:strRef>
              <c:f>Resumo!$F$3</c:f>
              <c:strCache>
                <c:ptCount val="1"/>
                <c:pt idx="0">
                  <c:v>Atendimento de comentário concluído</c:v>
                </c:pt>
              </c:strCache>
            </c:strRef>
          </c:tx>
          <c:invertIfNegative val="0"/>
          <c:cat>
            <c:strRef>
              <c:f>Resumo!$A$4:$A$15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Resumo!$F$4:$F$15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12F-4A3B-9252-E74535AA280E}"/>
            </c:ext>
          </c:extLst>
        </c:ser>
        <c:ser>
          <c:idx val="5"/>
          <c:order val="5"/>
          <c:tx>
            <c:strRef>
              <c:f>Resumo!$G$3</c:f>
              <c:strCache>
                <c:ptCount val="1"/>
                <c:pt idx="0">
                  <c:v>Aprovação concluída</c:v>
                </c:pt>
              </c:strCache>
            </c:strRef>
          </c:tx>
          <c:invertIfNegative val="0"/>
          <c:cat>
            <c:strRef>
              <c:f>Resumo!$A$4:$A$15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Resumo!$G$4:$G$15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12F-4A3B-9252-E74535AA280E}"/>
            </c:ext>
          </c:extLst>
        </c:ser>
        <c:ser>
          <c:idx val="6"/>
          <c:order val="6"/>
          <c:tx>
            <c:strRef>
              <c:f>Resumo!$H$3</c:f>
              <c:strCache>
                <c:ptCount val="1"/>
                <c:pt idx="0">
                  <c:v>%AP</c:v>
                </c:pt>
              </c:strCache>
            </c:strRef>
          </c:tx>
          <c:invertIfNegative val="0"/>
          <c:cat>
            <c:strRef>
              <c:f>Resumo!$A$4:$A$15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Resumo!$H$4:$H$15</c:f>
              <c:numCache>
                <c:formatCode>0.0%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0.04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12F-4A3B-9252-E74535AA28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5"/>
        <c:overlap val="10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solidFill>
          <a:schemeClr val="bg1"/>
        </a:solidFill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Atrasadas por Disciplina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Resumo!$B$21</c:f>
              <c:strCache>
                <c:ptCount val="1"/>
                <c:pt idx="0">
                  <c:v>Emissão Inicial Atrasada</c:v>
                </c:pt>
              </c:strCache>
            </c:strRef>
          </c:tx>
          <c:spPr>
            <a:solidFill>
              <a:srgbClr val="963D3B"/>
            </a:solidFill>
            <a:ln>
              <a:noFill/>
            </a:ln>
            <a:effectLst/>
          </c:spPr>
          <c:invertIfNegative val="1"/>
          <c:cat>
            <c:strRef>
              <c:f>Resumo!$A$22:$A$33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Resumo!$B$22:$B$33</c:f>
              <c:numCache>
                <c:formatCode>General</c:formatCode>
                <c:ptCount val="12"/>
                <c:pt idx="0">
                  <c:v>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0-ED35-4492-87E6-7BDA501DF970}"/>
            </c:ext>
          </c:extLst>
        </c:ser>
        <c:ser>
          <c:idx val="1"/>
          <c:order val="1"/>
          <c:tx>
            <c:strRef>
              <c:f>Resumo!$C$21</c:f>
              <c:strCache>
                <c:ptCount val="1"/>
                <c:pt idx="0">
                  <c:v>Avaliação Cliente Atrasada</c:v>
                </c:pt>
              </c:strCache>
            </c:strRef>
          </c:tx>
          <c:spPr>
            <a:solidFill>
              <a:srgbClr val="B34A47"/>
            </a:solidFill>
            <a:ln>
              <a:noFill/>
            </a:ln>
            <a:effectLst/>
          </c:spPr>
          <c:invertIfNegative val="1"/>
          <c:cat>
            <c:strRef>
              <c:f>Resumo!$A$22:$A$33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Resumo!$C$22:$C$33</c:f>
              <c:numCache>
                <c:formatCode>General</c:formatCode>
                <c:ptCount val="12"/>
                <c:pt idx="0">
                  <c:v>31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1-ED35-4492-87E6-7BDA501DF970}"/>
            </c:ext>
          </c:extLst>
        </c:ser>
        <c:ser>
          <c:idx val="2"/>
          <c:order val="2"/>
          <c:tx>
            <c:strRef>
              <c:f>Resumo!$D$21</c:f>
              <c:strCache>
                <c:ptCount val="1"/>
                <c:pt idx="0">
                  <c:v>Atendimento Atrasado</c:v>
                </c:pt>
              </c:strCache>
            </c:strRef>
          </c:tx>
          <c:spPr>
            <a:solidFill>
              <a:srgbClr val="CA7E7D"/>
            </a:solidFill>
            <a:ln>
              <a:noFill/>
            </a:ln>
            <a:effectLst/>
          </c:spPr>
          <c:invertIfNegative val="1"/>
          <c:cat>
            <c:strRef>
              <c:f>Resumo!$A$22:$A$33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Resumo!$D$22:$D$33</c:f>
              <c:numCache>
                <c:formatCode>General</c:formatCode>
                <c:ptCount val="12"/>
                <c:pt idx="0">
                  <c:v>34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9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2-ED35-4492-87E6-7BDA501DF970}"/>
            </c:ext>
          </c:extLst>
        </c:ser>
        <c:ser>
          <c:idx val="3"/>
          <c:order val="3"/>
          <c:tx>
            <c:strRef>
              <c:f>Resumo!$E$21</c:f>
              <c:strCache>
                <c:ptCount val="1"/>
                <c:pt idx="0">
                  <c:v>Aprovação Atrasada</c:v>
                </c:pt>
              </c:strCache>
            </c:strRef>
          </c:tx>
          <c:spPr>
            <a:solidFill>
              <a:srgbClr val="DDB6B5"/>
            </a:solidFill>
            <a:ln>
              <a:noFill/>
            </a:ln>
            <a:effectLst/>
          </c:spPr>
          <c:invertIfNegative val="1"/>
          <c:cat>
            <c:strRef>
              <c:f>Resumo!$A$22:$A$33</c:f>
              <c:strCache>
                <c:ptCount val="12"/>
                <c:pt idx="0">
                  <c:v>AUTOMAÇÃO E INSTRUMENTAÇÃO</c:v>
                </c:pt>
                <c:pt idx="1">
                  <c:v>CIVIL</c:v>
                </c:pt>
                <c:pt idx="2">
                  <c:v>COORDENAÇÃO</c:v>
                </c:pt>
                <c:pt idx="3">
                  <c:v>ELÉTRICA</c:v>
                </c:pt>
                <c:pt idx="4">
                  <c:v>ESTRUTURA METÁLICA</c:v>
                </c:pt>
                <c:pt idx="5">
                  <c:v>GERAL</c:v>
                </c:pt>
                <c:pt idx="6">
                  <c:v>MARCOS</c:v>
                </c:pt>
                <c:pt idx="7">
                  <c:v>MECÂNICA</c:v>
                </c:pt>
                <c:pt idx="8">
                  <c:v>PENDÊNCIAS</c:v>
                </c:pt>
                <c:pt idx="9">
                  <c:v>PLANEJAMENTO</c:v>
                </c:pt>
                <c:pt idx="10">
                  <c:v>PROCESSOS</c:v>
                </c:pt>
                <c:pt idx="11">
                  <c:v>TUBULAÇÃO / UTILIDADES</c:v>
                </c:pt>
              </c:strCache>
            </c:strRef>
          </c:cat>
          <c:val>
            <c:numRef>
              <c:f>Resumo!$E$22:$E$33</c:f>
              <c:numCache>
                <c:formatCode>General</c:formatCode>
                <c:ptCount val="12"/>
                <c:pt idx="0">
                  <c:v>33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8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3-ED35-4492-87E6-7BDA501DF9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5"/>
        <c:overlap val="10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shade val="95000"/>
                  <a:satMod val="105000"/>
                </a:schemeClr>
              </a:solidFill>
              <a:prstDash val="solid"/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tint val="75000"/>
                <a:shade val="95000"/>
                <a:satMod val="105000"/>
              </a:schemeClr>
            </a:solidFill>
            <a:prstDash val="solid"/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dTable>
      <c:spPr>
        <a:solidFill>
          <a:schemeClr val="bg1"/>
        </a:solidFill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tint val="75000"/>
          <a:shade val="95000"/>
          <a:satMod val="105000"/>
        </a:schemeClr>
      </a:solidFill>
      <a:prstDash val="solid"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Curva S - Emissão inicial - Status</a:t>
            </a:r>
            <a:r>
              <a:rPr lang="pt-BR" baseline="0"/>
              <a:t> 03/07/2026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'Curva S'!$B$1</c:f>
              <c:strCache>
                <c:ptCount val="1"/>
                <c:pt idx="0">
                  <c:v>Emissão prevista na LB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'Curva S'!$A$2:$A$112</c:f>
              <c:numCache>
                <c:formatCode>m/d/yyyy</c:formatCode>
                <c:ptCount val="111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  <c:pt idx="110">
                  <c:v>46211</c:v>
                </c:pt>
              </c:numCache>
            </c:numRef>
          </c:cat>
          <c:val>
            <c:numRef>
              <c:f>'Curva S'!$B$2:$B$112</c:f>
              <c:numCache>
                <c:formatCode>General</c:formatCode>
                <c:ptCount val="1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2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1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1</c:v>
                </c:pt>
                <c:pt idx="61">
                  <c:v>1</c:v>
                </c:pt>
                <c:pt idx="62">
                  <c:v>4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1</c:v>
                </c:pt>
                <c:pt idx="67">
                  <c:v>1</c:v>
                </c:pt>
                <c:pt idx="68">
                  <c:v>2</c:v>
                </c:pt>
                <c:pt idx="69">
                  <c:v>1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2</c:v>
                </c:pt>
                <c:pt idx="74">
                  <c:v>0</c:v>
                </c:pt>
                <c:pt idx="75">
                  <c:v>0</c:v>
                </c:pt>
                <c:pt idx="76">
                  <c:v>11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10</c:v>
                </c:pt>
                <c:pt idx="82">
                  <c:v>0</c:v>
                </c:pt>
                <c:pt idx="83">
                  <c:v>4</c:v>
                </c:pt>
                <c:pt idx="84">
                  <c:v>2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3</c:v>
                </c:pt>
                <c:pt idx="89">
                  <c:v>1</c:v>
                </c:pt>
                <c:pt idx="90">
                  <c:v>0</c:v>
                </c:pt>
                <c:pt idx="91">
                  <c:v>2</c:v>
                </c:pt>
                <c:pt idx="92">
                  <c:v>0</c:v>
                </c:pt>
                <c:pt idx="93">
                  <c:v>0</c:v>
                </c:pt>
                <c:pt idx="94">
                  <c:v>1</c:v>
                </c:pt>
                <c:pt idx="95">
                  <c:v>0</c:v>
                </c:pt>
                <c:pt idx="96">
                  <c:v>0</c:v>
                </c:pt>
                <c:pt idx="97">
                  <c:v>2</c:v>
                </c:pt>
                <c:pt idx="98">
                  <c:v>1</c:v>
                </c:pt>
                <c:pt idx="99">
                  <c:v>0</c:v>
                </c:pt>
                <c:pt idx="100">
                  <c:v>0</c:v>
                </c:pt>
                <c:pt idx="101">
                  <c:v>1</c:v>
                </c:pt>
                <c:pt idx="102">
                  <c:v>3</c:v>
                </c:pt>
                <c:pt idx="103">
                  <c:v>29</c:v>
                </c:pt>
                <c:pt idx="104">
                  <c:v>22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8F-4711-B7FB-15D84E4DD245}"/>
            </c:ext>
          </c:extLst>
        </c:ser>
        <c:ser>
          <c:idx val="2"/>
          <c:order val="2"/>
          <c:tx>
            <c:strRef>
              <c:f>'Curva S'!$D$1</c:f>
              <c:strCache>
                <c:ptCount val="1"/>
                <c:pt idx="0">
                  <c:v>Emissão realizada por dia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numRef>
              <c:f>'Curva S'!$A$2:$A$112</c:f>
              <c:numCache>
                <c:formatCode>m/d/yyyy</c:formatCode>
                <c:ptCount val="111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  <c:pt idx="110">
                  <c:v>46211</c:v>
                </c:pt>
              </c:numCache>
            </c:numRef>
          </c:cat>
          <c:val>
            <c:numRef>
              <c:f>'Curva S'!$D$2:$D$112</c:f>
              <c:numCache>
                <c:formatCode>General</c:formatCode>
                <c:ptCount val="1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2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1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1</c:v>
                </c:pt>
                <c:pt idx="68">
                  <c:v>1</c:v>
                </c:pt>
                <c:pt idx="69">
                  <c:v>0</c:v>
                </c:pt>
                <c:pt idx="70">
                  <c:v>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1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4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4</c:v>
                </c:pt>
                <c:pt idx="89">
                  <c:v>0</c:v>
                </c:pt>
                <c:pt idx="90">
                  <c:v>1</c:v>
                </c:pt>
                <c:pt idx="91">
                  <c:v>3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11</c:v>
                </c:pt>
                <c:pt idx="96">
                  <c:v>9</c:v>
                </c:pt>
                <c:pt idx="97">
                  <c:v>1</c:v>
                </c:pt>
                <c:pt idx="98">
                  <c:v>4</c:v>
                </c:pt>
                <c:pt idx="99">
                  <c:v>0</c:v>
                </c:pt>
                <c:pt idx="100">
                  <c:v>0</c:v>
                </c:pt>
                <c:pt idx="101">
                  <c:v>4</c:v>
                </c:pt>
                <c:pt idx="102">
                  <c:v>0</c:v>
                </c:pt>
                <c:pt idx="103">
                  <c:v>6</c:v>
                </c:pt>
                <c:pt idx="104">
                  <c:v>1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88F-4711-B7FB-15D84E4DD2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737439727"/>
        <c:axId val="1737437807"/>
      </c:barChart>
      <c:lineChart>
        <c:grouping val="standard"/>
        <c:varyColors val="0"/>
        <c:ser>
          <c:idx val="1"/>
          <c:order val="1"/>
          <c:tx>
            <c:strRef>
              <c:f>'Curva S'!$C$1</c:f>
              <c:strCache>
                <c:ptCount val="1"/>
                <c:pt idx="0">
                  <c:v>Emissão prevista na LB acumulada</c:v>
                </c:pt>
              </c:strCache>
            </c:strRef>
          </c:tx>
          <c:spPr>
            <a:ln w="28575" cap="rnd">
              <a:solidFill>
                <a:schemeClr val="accent3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'Curva S'!$A$2:$A$112</c:f>
              <c:numCache>
                <c:formatCode>m/d/yyyy</c:formatCode>
                <c:ptCount val="111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  <c:pt idx="110">
                  <c:v>46211</c:v>
                </c:pt>
              </c:numCache>
            </c:numRef>
          </c:cat>
          <c:val>
            <c:numRef>
              <c:f>'Curva S'!$C$2:$C$112</c:f>
              <c:numCache>
                <c:formatCode>General</c:formatCode>
                <c:ptCount val="1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4</c:v>
                </c:pt>
                <c:pt idx="61">
                  <c:v>5</c:v>
                </c:pt>
                <c:pt idx="62">
                  <c:v>9</c:v>
                </c:pt>
                <c:pt idx="63">
                  <c:v>9</c:v>
                </c:pt>
                <c:pt idx="64">
                  <c:v>9</c:v>
                </c:pt>
                <c:pt idx="65">
                  <c:v>9</c:v>
                </c:pt>
                <c:pt idx="66">
                  <c:v>10</c:v>
                </c:pt>
                <c:pt idx="67">
                  <c:v>11</c:v>
                </c:pt>
                <c:pt idx="68">
                  <c:v>13</c:v>
                </c:pt>
                <c:pt idx="69">
                  <c:v>14</c:v>
                </c:pt>
                <c:pt idx="70">
                  <c:v>14</c:v>
                </c:pt>
                <c:pt idx="71">
                  <c:v>14</c:v>
                </c:pt>
                <c:pt idx="72">
                  <c:v>14</c:v>
                </c:pt>
                <c:pt idx="73">
                  <c:v>16</c:v>
                </c:pt>
                <c:pt idx="74">
                  <c:v>16</c:v>
                </c:pt>
                <c:pt idx="75">
                  <c:v>16</c:v>
                </c:pt>
                <c:pt idx="76">
                  <c:v>27</c:v>
                </c:pt>
                <c:pt idx="77">
                  <c:v>27</c:v>
                </c:pt>
                <c:pt idx="78">
                  <c:v>27</c:v>
                </c:pt>
                <c:pt idx="79">
                  <c:v>27</c:v>
                </c:pt>
                <c:pt idx="80">
                  <c:v>27</c:v>
                </c:pt>
                <c:pt idx="81">
                  <c:v>37</c:v>
                </c:pt>
                <c:pt idx="82">
                  <c:v>37</c:v>
                </c:pt>
                <c:pt idx="83">
                  <c:v>41</c:v>
                </c:pt>
                <c:pt idx="84">
                  <c:v>43</c:v>
                </c:pt>
                <c:pt idx="85">
                  <c:v>43</c:v>
                </c:pt>
                <c:pt idx="86">
                  <c:v>43</c:v>
                </c:pt>
                <c:pt idx="87">
                  <c:v>43</c:v>
                </c:pt>
                <c:pt idx="88">
                  <c:v>46</c:v>
                </c:pt>
                <c:pt idx="89">
                  <c:v>47</c:v>
                </c:pt>
                <c:pt idx="90">
                  <c:v>47</c:v>
                </c:pt>
                <c:pt idx="91">
                  <c:v>49</c:v>
                </c:pt>
                <c:pt idx="92">
                  <c:v>49</c:v>
                </c:pt>
                <c:pt idx="93">
                  <c:v>49</c:v>
                </c:pt>
                <c:pt idx="94">
                  <c:v>50</c:v>
                </c:pt>
                <c:pt idx="95">
                  <c:v>50</c:v>
                </c:pt>
                <c:pt idx="96">
                  <c:v>50</c:v>
                </c:pt>
                <c:pt idx="97">
                  <c:v>52</c:v>
                </c:pt>
                <c:pt idx="98">
                  <c:v>53</c:v>
                </c:pt>
                <c:pt idx="99">
                  <c:v>53</c:v>
                </c:pt>
                <c:pt idx="100">
                  <c:v>53</c:v>
                </c:pt>
                <c:pt idx="101">
                  <c:v>54</c:v>
                </c:pt>
                <c:pt idx="102">
                  <c:v>57</c:v>
                </c:pt>
                <c:pt idx="103">
                  <c:v>86</c:v>
                </c:pt>
                <c:pt idx="104">
                  <c:v>108</c:v>
                </c:pt>
                <c:pt idx="105">
                  <c:v>108</c:v>
                </c:pt>
                <c:pt idx="106">
                  <c:v>108</c:v>
                </c:pt>
                <c:pt idx="107">
                  <c:v>108</c:v>
                </c:pt>
                <c:pt idx="108">
                  <c:v>108</c:v>
                </c:pt>
                <c:pt idx="109">
                  <c:v>108</c:v>
                </c:pt>
                <c:pt idx="110">
                  <c:v>108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88F-4711-B7FB-15D84E4DD245}"/>
            </c:ext>
          </c:extLst>
        </c:ser>
        <c:ser>
          <c:idx val="3"/>
          <c:order val="3"/>
          <c:tx>
            <c:strRef>
              <c:f>'Curva S'!$E$1</c:f>
              <c:strCache>
                <c:ptCount val="1"/>
                <c:pt idx="0">
                  <c:v>Emissão realizada acumulada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cat>
            <c:numRef>
              <c:f>'Curva S'!$A$2:$A$112</c:f>
              <c:numCache>
                <c:formatCode>m/d/yyyy</c:formatCode>
                <c:ptCount val="111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  <c:pt idx="110">
                  <c:v>46211</c:v>
                </c:pt>
              </c:numCache>
            </c:numRef>
          </c:cat>
          <c:val>
            <c:numRef>
              <c:f>'Curva S'!$E$2:$E$112</c:f>
              <c:numCache>
                <c:formatCode>General</c:formatCode>
                <c:ptCount val="1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4</c:v>
                </c:pt>
                <c:pt idx="68">
                  <c:v>5</c:v>
                </c:pt>
                <c:pt idx="69">
                  <c:v>5</c:v>
                </c:pt>
                <c:pt idx="70">
                  <c:v>6</c:v>
                </c:pt>
                <c:pt idx="71">
                  <c:v>6</c:v>
                </c:pt>
                <c:pt idx="72">
                  <c:v>6</c:v>
                </c:pt>
                <c:pt idx="73">
                  <c:v>6</c:v>
                </c:pt>
                <c:pt idx="74">
                  <c:v>6</c:v>
                </c:pt>
                <c:pt idx="75">
                  <c:v>7</c:v>
                </c:pt>
                <c:pt idx="76">
                  <c:v>7</c:v>
                </c:pt>
                <c:pt idx="77">
                  <c:v>7</c:v>
                </c:pt>
                <c:pt idx="78">
                  <c:v>7</c:v>
                </c:pt>
                <c:pt idx="79">
                  <c:v>7</c:v>
                </c:pt>
                <c:pt idx="80">
                  <c:v>7</c:v>
                </c:pt>
                <c:pt idx="81">
                  <c:v>7</c:v>
                </c:pt>
                <c:pt idx="82">
                  <c:v>7</c:v>
                </c:pt>
                <c:pt idx="83">
                  <c:v>7</c:v>
                </c:pt>
                <c:pt idx="84">
                  <c:v>11</c:v>
                </c:pt>
                <c:pt idx="85">
                  <c:v>11</c:v>
                </c:pt>
                <c:pt idx="86">
                  <c:v>11</c:v>
                </c:pt>
                <c:pt idx="87">
                  <c:v>11</c:v>
                </c:pt>
                <c:pt idx="88">
                  <c:v>15</c:v>
                </c:pt>
                <c:pt idx="89">
                  <c:v>15</c:v>
                </c:pt>
                <c:pt idx="90">
                  <c:v>16</c:v>
                </c:pt>
                <c:pt idx="91">
                  <c:v>19</c:v>
                </c:pt>
                <c:pt idx="92">
                  <c:v>19</c:v>
                </c:pt>
                <c:pt idx="93">
                  <c:v>19</c:v>
                </c:pt>
                <c:pt idx="94">
                  <c:v>19</c:v>
                </c:pt>
                <c:pt idx="95">
                  <c:v>30</c:v>
                </c:pt>
                <c:pt idx="96">
                  <c:v>39</c:v>
                </c:pt>
                <c:pt idx="97">
                  <c:v>40</c:v>
                </c:pt>
                <c:pt idx="98">
                  <c:v>44</c:v>
                </c:pt>
                <c:pt idx="99">
                  <c:v>44</c:v>
                </c:pt>
                <c:pt idx="100">
                  <c:v>44</c:v>
                </c:pt>
                <c:pt idx="101">
                  <c:v>48</c:v>
                </c:pt>
                <c:pt idx="102">
                  <c:v>48</c:v>
                </c:pt>
                <c:pt idx="103">
                  <c:v>54</c:v>
                </c:pt>
                <c:pt idx="104">
                  <c:v>55</c:v>
                </c:pt>
                <c:pt idx="105">
                  <c:v>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88F-4711-B7FB-15D84E4DD2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37432527"/>
        <c:axId val="1737433007"/>
      </c:lineChart>
      <c:dateAx>
        <c:axId val="173743252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37433007"/>
        <c:crosses val="autoZero"/>
        <c:auto val="1"/>
        <c:lblOffset val="100"/>
        <c:baseTimeUnit val="days"/>
      </c:dateAx>
      <c:valAx>
        <c:axId val="1737433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37432527"/>
        <c:crosses val="autoZero"/>
        <c:crossBetween val="between"/>
      </c:valAx>
      <c:valAx>
        <c:axId val="1737437807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37439727"/>
        <c:crosses val="max"/>
        <c:crossBetween val="between"/>
      </c:valAx>
      <c:dateAx>
        <c:axId val="1737439727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1737437807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006666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bg1">
              <a:lumMod val="85000"/>
            </a:schemeClr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rgbClr val="FFFF00"/>
                </a:solidFill>
                <a:latin typeface="+mn-lt"/>
                <a:ea typeface="+mn-ea"/>
                <a:cs typeface="+mn-cs"/>
              </a:defRPr>
            </a:pPr>
            <a:r>
              <a:rPr lang="pt-BR" sz="1400" b="0" i="0" u="none" strike="noStrike" kern="1200" spc="0" baseline="0">
                <a:solidFill>
                  <a:srgbClr val="FFFF00"/>
                </a:solidFill>
              </a:rPr>
              <a:t>Curva S - Emissão inicial e Aprovação - Status 03/07/2026</a:t>
            </a:r>
          </a:p>
        </c:rich>
      </c:tx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rgbClr val="FFFF00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'[1]Curva S'!$B$1</c:f>
              <c:strCache>
                <c:ptCount val="1"/>
                <c:pt idx="0">
                  <c:v>Emissão prevista na LB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'[1]Curva S'!$A$2:$A$111</c:f>
              <c:numCache>
                <c:formatCode>General</c:formatCode>
                <c:ptCount val="110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</c:numCache>
            </c:numRef>
          </c:cat>
          <c:val>
            <c:numRef>
              <c:f>'[1]Curva S'!$B$2:$B$111</c:f>
              <c:numCache>
                <c:formatCode>General</c:formatCode>
                <c:ptCount val="1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1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1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1</c:v>
                </c:pt>
                <c:pt idx="56">
                  <c:v>1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2</c:v>
                </c:pt>
                <c:pt idx="61">
                  <c:v>1</c:v>
                </c:pt>
                <c:pt idx="62">
                  <c:v>2</c:v>
                </c:pt>
                <c:pt idx="63">
                  <c:v>2</c:v>
                </c:pt>
                <c:pt idx="64">
                  <c:v>0</c:v>
                </c:pt>
                <c:pt idx="65">
                  <c:v>0</c:v>
                </c:pt>
                <c:pt idx="66">
                  <c:v>1</c:v>
                </c:pt>
                <c:pt idx="67">
                  <c:v>0</c:v>
                </c:pt>
                <c:pt idx="68">
                  <c:v>8</c:v>
                </c:pt>
                <c:pt idx="69">
                  <c:v>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4</c:v>
                </c:pt>
                <c:pt idx="74">
                  <c:v>1</c:v>
                </c:pt>
                <c:pt idx="75">
                  <c:v>0</c:v>
                </c:pt>
                <c:pt idx="76">
                  <c:v>1</c:v>
                </c:pt>
                <c:pt idx="77">
                  <c:v>3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1</c:v>
                </c:pt>
                <c:pt idx="82">
                  <c:v>2</c:v>
                </c:pt>
                <c:pt idx="83">
                  <c:v>2</c:v>
                </c:pt>
                <c:pt idx="84">
                  <c:v>1</c:v>
                </c:pt>
                <c:pt idx="85">
                  <c:v>0</c:v>
                </c:pt>
                <c:pt idx="86">
                  <c:v>0</c:v>
                </c:pt>
                <c:pt idx="87">
                  <c:v>2</c:v>
                </c:pt>
                <c:pt idx="88">
                  <c:v>4</c:v>
                </c:pt>
                <c:pt idx="89">
                  <c:v>0</c:v>
                </c:pt>
                <c:pt idx="90">
                  <c:v>2</c:v>
                </c:pt>
                <c:pt idx="91">
                  <c:v>5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2</c:v>
                </c:pt>
                <c:pt idx="96">
                  <c:v>3</c:v>
                </c:pt>
                <c:pt idx="97">
                  <c:v>1</c:v>
                </c:pt>
                <c:pt idx="98">
                  <c:v>4</c:v>
                </c:pt>
                <c:pt idx="99">
                  <c:v>0</c:v>
                </c:pt>
                <c:pt idx="100">
                  <c:v>0</c:v>
                </c:pt>
                <c:pt idx="101">
                  <c:v>23</c:v>
                </c:pt>
                <c:pt idx="102">
                  <c:v>1</c:v>
                </c:pt>
                <c:pt idx="103">
                  <c:v>2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66-43DD-911C-D13A500E1D77}"/>
            </c:ext>
          </c:extLst>
        </c:ser>
        <c:ser>
          <c:idx val="2"/>
          <c:order val="2"/>
          <c:tx>
            <c:strRef>
              <c:f>'[1]Curva S'!$D$1</c:f>
              <c:strCache>
                <c:ptCount val="1"/>
                <c:pt idx="0">
                  <c:v>Emissão realizada por dia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numRef>
              <c:f>'[1]Curva S'!$A$2:$A$111</c:f>
              <c:numCache>
                <c:formatCode>General</c:formatCode>
                <c:ptCount val="110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</c:numCache>
            </c:numRef>
          </c:cat>
          <c:val>
            <c:numRef>
              <c:f>'[1]Curva S'!$D$2:$D$111</c:f>
              <c:numCache>
                <c:formatCode>General</c:formatCode>
                <c:ptCount val="1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2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1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2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1</c:v>
                </c:pt>
                <c:pt idx="78">
                  <c:v>0</c:v>
                </c:pt>
                <c:pt idx="79">
                  <c:v>0</c:v>
                </c:pt>
                <c:pt idx="80">
                  <c:v>2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2</c:v>
                </c:pt>
                <c:pt idx="85">
                  <c:v>0</c:v>
                </c:pt>
                <c:pt idx="86">
                  <c:v>0</c:v>
                </c:pt>
                <c:pt idx="87">
                  <c:v>3</c:v>
                </c:pt>
                <c:pt idx="88">
                  <c:v>0</c:v>
                </c:pt>
                <c:pt idx="89">
                  <c:v>0</c:v>
                </c:pt>
                <c:pt idx="90">
                  <c:v>1</c:v>
                </c:pt>
                <c:pt idx="91">
                  <c:v>9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1</c:v>
                </c:pt>
                <c:pt idx="96">
                  <c:v>0</c:v>
                </c:pt>
                <c:pt idx="97">
                  <c:v>6</c:v>
                </c:pt>
                <c:pt idx="98">
                  <c:v>19</c:v>
                </c:pt>
                <c:pt idx="99">
                  <c:v>0</c:v>
                </c:pt>
                <c:pt idx="100">
                  <c:v>0</c:v>
                </c:pt>
                <c:pt idx="101">
                  <c:v>7</c:v>
                </c:pt>
                <c:pt idx="102">
                  <c:v>2</c:v>
                </c:pt>
                <c:pt idx="103">
                  <c:v>3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E66-43DD-911C-D13A500E1D77}"/>
            </c:ext>
          </c:extLst>
        </c:ser>
        <c:ser>
          <c:idx val="4"/>
          <c:order val="4"/>
          <c:tx>
            <c:strRef>
              <c:f>'[1]Curva S'!$F$1</c:f>
              <c:strCache>
                <c:ptCount val="1"/>
                <c:pt idx="0">
                  <c:v>Aprovação prevista na LB</c:v>
                </c:pt>
              </c:strCache>
            </c:strRef>
          </c:tx>
          <c:spPr>
            <a:solidFill>
              <a:schemeClr val="accent3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'[1]Curva S'!$A$2:$A$111</c:f>
              <c:numCache>
                <c:formatCode>General</c:formatCode>
                <c:ptCount val="110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</c:numCache>
            </c:numRef>
          </c:cat>
          <c:val>
            <c:numRef>
              <c:f>'[1]Curva S'!$F$2:$F$111</c:f>
              <c:numCache>
                <c:formatCode>General</c:formatCode>
                <c:ptCount val="1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1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1</c:v>
                </c:pt>
                <c:pt idx="60">
                  <c:v>0</c:v>
                </c:pt>
                <c:pt idx="61">
                  <c:v>1</c:v>
                </c:pt>
                <c:pt idx="62">
                  <c:v>1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2</c:v>
                </c:pt>
                <c:pt idx="67">
                  <c:v>1</c:v>
                </c:pt>
                <c:pt idx="68">
                  <c:v>2</c:v>
                </c:pt>
                <c:pt idx="69">
                  <c:v>2</c:v>
                </c:pt>
                <c:pt idx="70">
                  <c:v>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8</c:v>
                </c:pt>
                <c:pt idx="75">
                  <c:v>3</c:v>
                </c:pt>
                <c:pt idx="76">
                  <c:v>0</c:v>
                </c:pt>
                <c:pt idx="77">
                  <c:v>4</c:v>
                </c:pt>
                <c:pt idx="78">
                  <c:v>0</c:v>
                </c:pt>
                <c:pt idx="79">
                  <c:v>0</c:v>
                </c:pt>
                <c:pt idx="80">
                  <c:v>1</c:v>
                </c:pt>
                <c:pt idx="81">
                  <c:v>0</c:v>
                </c:pt>
                <c:pt idx="82">
                  <c:v>1</c:v>
                </c:pt>
                <c:pt idx="83">
                  <c:v>3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1</c:v>
                </c:pt>
                <c:pt idx="88">
                  <c:v>2</c:v>
                </c:pt>
                <c:pt idx="89">
                  <c:v>2</c:v>
                </c:pt>
                <c:pt idx="90">
                  <c:v>1</c:v>
                </c:pt>
                <c:pt idx="91">
                  <c:v>2</c:v>
                </c:pt>
                <c:pt idx="92">
                  <c:v>0</c:v>
                </c:pt>
                <c:pt idx="93">
                  <c:v>0</c:v>
                </c:pt>
                <c:pt idx="94">
                  <c:v>4</c:v>
                </c:pt>
                <c:pt idx="95">
                  <c:v>0</c:v>
                </c:pt>
                <c:pt idx="96">
                  <c:v>2</c:v>
                </c:pt>
                <c:pt idx="97">
                  <c:v>5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2</c:v>
                </c:pt>
                <c:pt idx="102">
                  <c:v>4</c:v>
                </c:pt>
                <c:pt idx="103">
                  <c:v>1</c:v>
                </c:pt>
                <c:pt idx="104">
                  <c:v>4</c:v>
                </c:pt>
                <c:pt idx="105">
                  <c:v>23</c:v>
                </c:pt>
                <c:pt idx="106">
                  <c:v>0</c:v>
                </c:pt>
                <c:pt idx="107">
                  <c:v>0</c:v>
                </c:pt>
                <c:pt idx="108">
                  <c:v>1</c:v>
                </c:pt>
                <c:pt idx="10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E66-43DD-911C-D13A500E1D77}"/>
            </c:ext>
          </c:extLst>
        </c:ser>
        <c:ser>
          <c:idx val="5"/>
          <c:order val="5"/>
          <c:tx>
            <c:strRef>
              <c:f>'[1]Curva S'!$G$1</c:f>
              <c:strCache>
                <c:ptCount val="1"/>
                <c:pt idx="0">
                  <c:v>Aprovação realizada por dia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'[1]Curva S'!$A$2:$A$111</c:f>
              <c:numCache>
                <c:formatCode>General</c:formatCode>
                <c:ptCount val="110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</c:numCache>
            </c:numRef>
          </c:cat>
          <c:val>
            <c:numRef>
              <c:f>'[1]Curva S'!$G$2:$G$111</c:f>
              <c:numCache>
                <c:formatCode>General</c:formatCode>
                <c:ptCount val="1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1</c:v>
                </c:pt>
                <c:pt idx="74">
                  <c:v>1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1</c:v>
                </c:pt>
                <c:pt idx="82">
                  <c:v>0</c:v>
                </c:pt>
                <c:pt idx="83">
                  <c:v>1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2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E66-43DD-911C-D13A500E1D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737411407"/>
        <c:axId val="1737410447"/>
      </c:barChart>
      <c:lineChart>
        <c:grouping val="standard"/>
        <c:varyColors val="0"/>
        <c:ser>
          <c:idx val="1"/>
          <c:order val="1"/>
          <c:tx>
            <c:strRef>
              <c:f>'[1]Curva S'!$C$1</c:f>
              <c:strCache>
                <c:ptCount val="1"/>
                <c:pt idx="0">
                  <c:v>Emissão prevista na LB acumulada</c:v>
                </c:pt>
              </c:strCache>
            </c:strRef>
          </c:tx>
          <c:spPr>
            <a:ln w="28575" cap="rnd">
              <a:solidFill>
                <a:schemeClr val="accent3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'[1]Curva S'!$A$2:$A$111</c:f>
              <c:numCache>
                <c:formatCode>General</c:formatCode>
                <c:ptCount val="110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</c:numCache>
            </c:numRef>
          </c:cat>
          <c:val>
            <c:numRef>
              <c:f>'[1]Curva S'!$C$2:$C$111</c:f>
              <c:numCache>
                <c:formatCode>General</c:formatCode>
                <c:ptCount val="1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2</c:v>
                </c:pt>
                <c:pt idx="49">
                  <c:v>2</c:v>
                </c:pt>
                <c:pt idx="50">
                  <c:v>2</c:v>
                </c:pt>
                <c:pt idx="51">
                  <c:v>2</c:v>
                </c:pt>
                <c:pt idx="52">
                  <c:v>2</c:v>
                </c:pt>
                <c:pt idx="53">
                  <c:v>2</c:v>
                </c:pt>
                <c:pt idx="54">
                  <c:v>2</c:v>
                </c:pt>
                <c:pt idx="55">
                  <c:v>3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6</c:v>
                </c:pt>
                <c:pt idx="61">
                  <c:v>7</c:v>
                </c:pt>
                <c:pt idx="62">
                  <c:v>9</c:v>
                </c:pt>
                <c:pt idx="63">
                  <c:v>11</c:v>
                </c:pt>
                <c:pt idx="64">
                  <c:v>11</c:v>
                </c:pt>
                <c:pt idx="65">
                  <c:v>11</c:v>
                </c:pt>
                <c:pt idx="66">
                  <c:v>12</c:v>
                </c:pt>
                <c:pt idx="67">
                  <c:v>12</c:v>
                </c:pt>
                <c:pt idx="68">
                  <c:v>20</c:v>
                </c:pt>
                <c:pt idx="69">
                  <c:v>23</c:v>
                </c:pt>
                <c:pt idx="70">
                  <c:v>23</c:v>
                </c:pt>
                <c:pt idx="71">
                  <c:v>23</c:v>
                </c:pt>
                <c:pt idx="72">
                  <c:v>23</c:v>
                </c:pt>
                <c:pt idx="73">
                  <c:v>27</c:v>
                </c:pt>
                <c:pt idx="74">
                  <c:v>28</c:v>
                </c:pt>
                <c:pt idx="75">
                  <c:v>28</c:v>
                </c:pt>
                <c:pt idx="76">
                  <c:v>29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33</c:v>
                </c:pt>
                <c:pt idx="82">
                  <c:v>35</c:v>
                </c:pt>
                <c:pt idx="83">
                  <c:v>37</c:v>
                </c:pt>
                <c:pt idx="84">
                  <c:v>38</c:v>
                </c:pt>
                <c:pt idx="85">
                  <c:v>38</c:v>
                </c:pt>
                <c:pt idx="86">
                  <c:v>38</c:v>
                </c:pt>
                <c:pt idx="87">
                  <c:v>40</c:v>
                </c:pt>
                <c:pt idx="88">
                  <c:v>44</c:v>
                </c:pt>
                <c:pt idx="89">
                  <c:v>44</c:v>
                </c:pt>
                <c:pt idx="90">
                  <c:v>46</c:v>
                </c:pt>
                <c:pt idx="91">
                  <c:v>51</c:v>
                </c:pt>
                <c:pt idx="92">
                  <c:v>51</c:v>
                </c:pt>
                <c:pt idx="93">
                  <c:v>51</c:v>
                </c:pt>
                <c:pt idx="94">
                  <c:v>51</c:v>
                </c:pt>
                <c:pt idx="95">
                  <c:v>53</c:v>
                </c:pt>
                <c:pt idx="96">
                  <c:v>56</c:v>
                </c:pt>
                <c:pt idx="97">
                  <c:v>57</c:v>
                </c:pt>
                <c:pt idx="98">
                  <c:v>61</c:v>
                </c:pt>
                <c:pt idx="99">
                  <c:v>61</c:v>
                </c:pt>
                <c:pt idx="100">
                  <c:v>61</c:v>
                </c:pt>
                <c:pt idx="101">
                  <c:v>84</c:v>
                </c:pt>
                <c:pt idx="102">
                  <c:v>85</c:v>
                </c:pt>
                <c:pt idx="103">
                  <c:v>87</c:v>
                </c:pt>
                <c:pt idx="104">
                  <c:v>87</c:v>
                </c:pt>
                <c:pt idx="105">
                  <c:v>87</c:v>
                </c:pt>
                <c:pt idx="106">
                  <c:v>87</c:v>
                </c:pt>
                <c:pt idx="107">
                  <c:v>87</c:v>
                </c:pt>
                <c:pt idx="108">
                  <c:v>87</c:v>
                </c:pt>
                <c:pt idx="109">
                  <c:v>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E66-43DD-911C-D13A500E1D77}"/>
            </c:ext>
          </c:extLst>
        </c:ser>
        <c:ser>
          <c:idx val="3"/>
          <c:order val="3"/>
          <c:tx>
            <c:strRef>
              <c:f>'[1]Curva S'!$E$1</c:f>
              <c:strCache>
                <c:ptCount val="1"/>
                <c:pt idx="0">
                  <c:v>Emissão realizada acumulada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chemeClr val="accent4"/>
              </a:solidFill>
              <a:ln w="9525">
                <a:solidFill>
                  <a:srgbClr val="FF0000"/>
                </a:solidFill>
              </a:ln>
              <a:effectLst/>
            </c:spPr>
          </c:marker>
          <c:cat>
            <c:numRef>
              <c:f>'[1]Curva S'!$A$2:$A$111</c:f>
              <c:numCache>
                <c:formatCode>General</c:formatCode>
                <c:ptCount val="110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</c:numCache>
            </c:numRef>
          </c:cat>
          <c:val>
            <c:numRef>
              <c:f>'[1]Curva S'!$E$2:$E$111</c:f>
              <c:numCache>
                <c:formatCode>General</c:formatCode>
                <c:ptCount val="1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3</c:v>
                </c:pt>
                <c:pt idx="73">
                  <c:v>5</c:v>
                </c:pt>
                <c:pt idx="74">
                  <c:v>5</c:v>
                </c:pt>
                <c:pt idx="75">
                  <c:v>5</c:v>
                </c:pt>
                <c:pt idx="76">
                  <c:v>5</c:v>
                </c:pt>
                <c:pt idx="77">
                  <c:v>6</c:v>
                </c:pt>
                <c:pt idx="78">
                  <c:v>6</c:v>
                </c:pt>
                <c:pt idx="79">
                  <c:v>6</c:v>
                </c:pt>
                <c:pt idx="80">
                  <c:v>8</c:v>
                </c:pt>
                <c:pt idx="81">
                  <c:v>8</c:v>
                </c:pt>
                <c:pt idx="82">
                  <c:v>8</c:v>
                </c:pt>
                <c:pt idx="83">
                  <c:v>8</c:v>
                </c:pt>
                <c:pt idx="84">
                  <c:v>10</c:v>
                </c:pt>
                <c:pt idx="85">
                  <c:v>10</c:v>
                </c:pt>
                <c:pt idx="86">
                  <c:v>10</c:v>
                </c:pt>
                <c:pt idx="87">
                  <c:v>13</c:v>
                </c:pt>
                <c:pt idx="88">
                  <c:v>13</c:v>
                </c:pt>
                <c:pt idx="89">
                  <c:v>13</c:v>
                </c:pt>
                <c:pt idx="90">
                  <c:v>14</c:v>
                </c:pt>
                <c:pt idx="91">
                  <c:v>23</c:v>
                </c:pt>
                <c:pt idx="92">
                  <c:v>23</c:v>
                </c:pt>
                <c:pt idx="93">
                  <c:v>23</c:v>
                </c:pt>
                <c:pt idx="94">
                  <c:v>23</c:v>
                </c:pt>
                <c:pt idx="95">
                  <c:v>24</c:v>
                </c:pt>
                <c:pt idx="96">
                  <c:v>24</c:v>
                </c:pt>
                <c:pt idx="97">
                  <c:v>30</c:v>
                </c:pt>
                <c:pt idx="98">
                  <c:v>49</c:v>
                </c:pt>
                <c:pt idx="99">
                  <c:v>49</c:v>
                </c:pt>
                <c:pt idx="100">
                  <c:v>49</c:v>
                </c:pt>
                <c:pt idx="101">
                  <c:v>56</c:v>
                </c:pt>
                <c:pt idx="102">
                  <c:v>58</c:v>
                </c:pt>
                <c:pt idx="103">
                  <c:v>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E66-43DD-911C-D13A500E1D77}"/>
            </c:ext>
          </c:extLst>
        </c:ser>
        <c:ser>
          <c:idx val="6"/>
          <c:order val="6"/>
          <c:tx>
            <c:strRef>
              <c:f>'[1]Curva S'!$H$1</c:f>
              <c:strCache>
                <c:ptCount val="1"/>
                <c:pt idx="0">
                  <c:v>Aprovação prevista na LB acumulada</c:v>
                </c:pt>
              </c:strCache>
            </c:strRef>
          </c:tx>
          <c:spPr>
            <a:ln w="28575" cap="rnd">
              <a:solidFill>
                <a:srgbClr val="FFFF00"/>
              </a:solidFill>
              <a:round/>
            </a:ln>
            <a:effectLst/>
          </c:spPr>
          <c:marker>
            <c:symbol val="none"/>
          </c:marker>
          <c:cat>
            <c:numRef>
              <c:f>'[1]Curva S'!$A$2:$A$111</c:f>
              <c:numCache>
                <c:formatCode>General</c:formatCode>
                <c:ptCount val="110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</c:numCache>
            </c:numRef>
          </c:cat>
          <c:val>
            <c:numRef>
              <c:f>'[1]Curva S'!$H$2:$H$111</c:f>
              <c:numCache>
                <c:formatCode>General</c:formatCode>
                <c:ptCount val="1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2</c:v>
                </c:pt>
                <c:pt idx="60">
                  <c:v>2</c:v>
                </c:pt>
                <c:pt idx="61">
                  <c:v>3</c:v>
                </c:pt>
                <c:pt idx="62">
                  <c:v>4</c:v>
                </c:pt>
                <c:pt idx="63">
                  <c:v>4</c:v>
                </c:pt>
                <c:pt idx="64">
                  <c:v>4</c:v>
                </c:pt>
                <c:pt idx="65">
                  <c:v>4</c:v>
                </c:pt>
                <c:pt idx="66">
                  <c:v>6</c:v>
                </c:pt>
                <c:pt idx="67">
                  <c:v>7</c:v>
                </c:pt>
                <c:pt idx="68">
                  <c:v>9</c:v>
                </c:pt>
                <c:pt idx="69">
                  <c:v>11</c:v>
                </c:pt>
                <c:pt idx="70">
                  <c:v>12</c:v>
                </c:pt>
                <c:pt idx="71">
                  <c:v>12</c:v>
                </c:pt>
                <c:pt idx="72">
                  <c:v>12</c:v>
                </c:pt>
                <c:pt idx="73">
                  <c:v>12</c:v>
                </c:pt>
                <c:pt idx="74">
                  <c:v>20</c:v>
                </c:pt>
                <c:pt idx="75">
                  <c:v>23</c:v>
                </c:pt>
                <c:pt idx="76">
                  <c:v>23</c:v>
                </c:pt>
                <c:pt idx="77">
                  <c:v>27</c:v>
                </c:pt>
                <c:pt idx="78">
                  <c:v>27</c:v>
                </c:pt>
                <c:pt idx="79">
                  <c:v>27</c:v>
                </c:pt>
                <c:pt idx="80">
                  <c:v>28</c:v>
                </c:pt>
                <c:pt idx="81">
                  <c:v>28</c:v>
                </c:pt>
                <c:pt idx="82">
                  <c:v>29</c:v>
                </c:pt>
                <c:pt idx="83">
                  <c:v>32</c:v>
                </c:pt>
                <c:pt idx="84">
                  <c:v>32</c:v>
                </c:pt>
                <c:pt idx="85">
                  <c:v>32</c:v>
                </c:pt>
                <c:pt idx="86">
                  <c:v>32</c:v>
                </c:pt>
                <c:pt idx="87">
                  <c:v>33</c:v>
                </c:pt>
                <c:pt idx="88">
                  <c:v>35</c:v>
                </c:pt>
                <c:pt idx="89">
                  <c:v>37</c:v>
                </c:pt>
                <c:pt idx="90">
                  <c:v>38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44</c:v>
                </c:pt>
                <c:pt idx="95">
                  <c:v>44</c:v>
                </c:pt>
                <c:pt idx="96">
                  <c:v>46</c:v>
                </c:pt>
                <c:pt idx="97">
                  <c:v>51</c:v>
                </c:pt>
                <c:pt idx="98">
                  <c:v>51</c:v>
                </c:pt>
                <c:pt idx="99">
                  <c:v>51</c:v>
                </c:pt>
                <c:pt idx="100">
                  <c:v>51</c:v>
                </c:pt>
                <c:pt idx="101">
                  <c:v>53</c:v>
                </c:pt>
                <c:pt idx="102">
                  <c:v>57</c:v>
                </c:pt>
                <c:pt idx="103">
                  <c:v>58</c:v>
                </c:pt>
                <c:pt idx="104">
                  <c:v>62</c:v>
                </c:pt>
                <c:pt idx="105">
                  <c:v>85</c:v>
                </c:pt>
                <c:pt idx="106">
                  <c:v>85</c:v>
                </c:pt>
                <c:pt idx="107">
                  <c:v>85</c:v>
                </c:pt>
                <c:pt idx="108">
                  <c:v>86</c:v>
                </c:pt>
                <c:pt idx="109">
                  <c:v>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E66-43DD-911C-D13A500E1D77}"/>
            </c:ext>
          </c:extLst>
        </c:ser>
        <c:ser>
          <c:idx val="7"/>
          <c:order val="7"/>
          <c:tx>
            <c:strRef>
              <c:f>'[1]Curva S'!$I$1</c:f>
              <c:strCache>
                <c:ptCount val="1"/>
                <c:pt idx="0">
                  <c:v>Aprovação realizada acumulada</c:v>
                </c:pt>
              </c:strCache>
            </c:strRef>
          </c:tx>
          <c:spPr>
            <a:ln w="28575" cap="rnd">
              <a:solidFill>
                <a:srgbClr val="FF993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9933"/>
              </a:solidFill>
              <a:ln w="9525">
                <a:solidFill>
                  <a:srgbClr val="FF9933"/>
                </a:solidFill>
              </a:ln>
              <a:effectLst/>
            </c:spPr>
          </c:marker>
          <c:cat>
            <c:numRef>
              <c:f>'[1]Curva S'!$A$2:$A$111</c:f>
              <c:numCache>
                <c:formatCode>General</c:formatCode>
                <c:ptCount val="110"/>
                <c:pt idx="0">
                  <c:v>46101</c:v>
                </c:pt>
                <c:pt idx="1">
                  <c:v>46102</c:v>
                </c:pt>
                <c:pt idx="2">
                  <c:v>46103</c:v>
                </c:pt>
                <c:pt idx="3">
                  <c:v>46104</c:v>
                </c:pt>
                <c:pt idx="4">
                  <c:v>46105</c:v>
                </c:pt>
                <c:pt idx="5">
                  <c:v>46106</c:v>
                </c:pt>
                <c:pt idx="6">
                  <c:v>46107</c:v>
                </c:pt>
                <c:pt idx="7">
                  <c:v>46108</c:v>
                </c:pt>
                <c:pt idx="8">
                  <c:v>46109</c:v>
                </c:pt>
                <c:pt idx="9">
                  <c:v>46110</c:v>
                </c:pt>
                <c:pt idx="10">
                  <c:v>46111</c:v>
                </c:pt>
                <c:pt idx="11">
                  <c:v>46112</c:v>
                </c:pt>
                <c:pt idx="12">
                  <c:v>46113</c:v>
                </c:pt>
                <c:pt idx="13">
                  <c:v>46114</c:v>
                </c:pt>
                <c:pt idx="14">
                  <c:v>46115</c:v>
                </c:pt>
                <c:pt idx="15">
                  <c:v>46116</c:v>
                </c:pt>
                <c:pt idx="16">
                  <c:v>46117</c:v>
                </c:pt>
                <c:pt idx="17">
                  <c:v>46118</c:v>
                </c:pt>
                <c:pt idx="18">
                  <c:v>46119</c:v>
                </c:pt>
                <c:pt idx="19">
                  <c:v>46120</c:v>
                </c:pt>
                <c:pt idx="20">
                  <c:v>46121</c:v>
                </c:pt>
                <c:pt idx="21">
                  <c:v>46122</c:v>
                </c:pt>
                <c:pt idx="22">
                  <c:v>46123</c:v>
                </c:pt>
                <c:pt idx="23">
                  <c:v>46124</c:v>
                </c:pt>
                <c:pt idx="24">
                  <c:v>46125</c:v>
                </c:pt>
                <c:pt idx="25">
                  <c:v>46126</c:v>
                </c:pt>
                <c:pt idx="26">
                  <c:v>46127</c:v>
                </c:pt>
                <c:pt idx="27">
                  <c:v>46128</c:v>
                </c:pt>
                <c:pt idx="28">
                  <c:v>46129</c:v>
                </c:pt>
                <c:pt idx="29">
                  <c:v>46130</c:v>
                </c:pt>
                <c:pt idx="30">
                  <c:v>46131</c:v>
                </c:pt>
                <c:pt idx="31">
                  <c:v>46132</c:v>
                </c:pt>
                <c:pt idx="32">
                  <c:v>46133</c:v>
                </c:pt>
                <c:pt idx="33">
                  <c:v>46134</c:v>
                </c:pt>
                <c:pt idx="34">
                  <c:v>46135</c:v>
                </c:pt>
                <c:pt idx="35">
                  <c:v>46136</c:v>
                </c:pt>
                <c:pt idx="36">
                  <c:v>46137</c:v>
                </c:pt>
                <c:pt idx="37">
                  <c:v>46138</c:v>
                </c:pt>
                <c:pt idx="38">
                  <c:v>46139</c:v>
                </c:pt>
                <c:pt idx="39">
                  <c:v>46140</c:v>
                </c:pt>
                <c:pt idx="40">
                  <c:v>46141</c:v>
                </c:pt>
                <c:pt idx="41">
                  <c:v>46142</c:v>
                </c:pt>
                <c:pt idx="42">
                  <c:v>46143</c:v>
                </c:pt>
                <c:pt idx="43">
                  <c:v>46144</c:v>
                </c:pt>
                <c:pt idx="44">
                  <c:v>46145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46151</c:v>
                </c:pt>
                <c:pt idx="51">
                  <c:v>46152</c:v>
                </c:pt>
                <c:pt idx="52">
                  <c:v>46153</c:v>
                </c:pt>
                <c:pt idx="53">
                  <c:v>46154</c:v>
                </c:pt>
                <c:pt idx="54">
                  <c:v>46155</c:v>
                </c:pt>
                <c:pt idx="55">
                  <c:v>46156</c:v>
                </c:pt>
                <c:pt idx="56">
                  <c:v>46157</c:v>
                </c:pt>
                <c:pt idx="57">
                  <c:v>46158</c:v>
                </c:pt>
                <c:pt idx="58">
                  <c:v>46159</c:v>
                </c:pt>
                <c:pt idx="59">
                  <c:v>46160</c:v>
                </c:pt>
                <c:pt idx="60">
                  <c:v>46161</c:v>
                </c:pt>
                <c:pt idx="61">
                  <c:v>46162</c:v>
                </c:pt>
                <c:pt idx="62">
                  <c:v>46163</c:v>
                </c:pt>
                <c:pt idx="63">
                  <c:v>46164</c:v>
                </c:pt>
                <c:pt idx="64">
                  <c:v>46165</c:v>
                </c:pt>
                <c:pt idx="65">
                  <c:v>46166</c:v>
                </c:pt>
                <c:pt idx="66">
                  <c:v>46167</c:v>
                </c:pt>
                <c:pt idx="67">
                  <c:v>46168</c:v>
                </c:pt>
                <c:pt idx="68">
                  <c:v>46169</c:v>
                </c:pt>
                <c:pt idx="69">
                  <c:v>46170</c:v>
                </c:pt>
                <c:pt idx="70">
                  <c:v>46171</c:v>
                </c:pt>
                <c:pt idx="71">
                  <c:v>46172</c:v>
                </c:pt>
                <c:pt idx="72">
                  <c:v>46173</c:v>
                </c:pt>
                <c:pt idx="73">
                  <c:v>46174</c:v>
                </c:pt>
                <c:pt idx="74">
                  <c:v>46175</c:v>
                </c:pt>
                <c:pt idx="75">
                  <c:v>46176</c:v>
                </c:pt>
                <c:pt idx="76">
                  <c:v>46177</c:v>
                </c:pt>
                <c:pt idx="77">
                  <c:v>46178</c:v>
                </c:pt>
                <c:pt idx="78">
                  <c:v>46179</c:v>
                </c:pt>
                <c:pt idx="79">
                  <c:v>46180</c:v>
                </c:pt>
                <c:pt idx="80">
                  <c:v>46181</c:v>
                </c:pt>
                <c:pt idx="81">
                  <c:v>46182</c:v>
                </c:pt>
                <c:pt idx="82">
                  <c:v>46183</c:v>
                </c:pt>
                <c:pt idx="83">
                  <c:v>46184</c:v>
                </c:pt>
                <c:pt idx="84">
                  <c:v>46185</c:v>
                </c:pt>
                <c:pt idx="85">
                  <c:v>46186</c:v>
                </c:pt>
                <c:pt idx="86">
                  <c:v>46187</c:v>
                </c:pt>
                <c:pt idx="87">
                  <c:v>46188</c:v>
                </c:pt>
                <c:pt idx="88">
                  <c:v>46189</c:v>
                </c:pt>
                <c:pt idx="89">
                  <c:v>46190</c:v>
                </c:pt>
                <c:pt idx="90">
                  <c:v>46191</c:v>
                </c:pt>
                <c:pt idx="91">
                  <c:v>46192</c:v>
                </c:pt>
                <c:pt idx="92">
                  <c:v>46193</c:v>
                </c:pt>
                <c:pt idx="93">
                  <c:v>46194</c:v>
                </c:pt>
                <c:pt idx="94">
                  <c:v>46195</c:v>
                </c:pt>
                <c:pt idx="95">
                  <c:v>46196</c:v>
                </c:pt>
                <c:pt idx="96">
                  <c:v>46197</c:v>
                </c:pt>
                <c:pt idx="97">
                  <c:v>46198</c:v>
                </c:pt>
                <c:pt idx="98">
                  <c:v>46199</c:v>
                </c:pt>
                <c:pt idx="99">
                  <c:v>46200</c:v>
                </c:pt>
                <c:pt idx="100">
                  <c:v>46201</c:v>
                </c:pt>
                <c:pt idx="101">
                  <c:v>46202</c:v>
                </c:pt>
                <c:pt idx="102">
                  <c:v>46203</c:v>
                </c:pt>
                <c:pt idx="103">
                  <c:v>46204</c:v>
                </c:pt>
                <c:pt idx="104">
                  <c:v>46205</c:v>
                </c:pt>
                <c:pt idx="105">
                  <c:v>46206</c:v>
                </c:pt>
                <c:pt idx="106">
                  <c:v>46207</c:v>
                </c:pt>
                <c:pt idx="107">
                  <c:v>46208</c:v>
                </c:pt>
                <c:pt idx="108">
                  <c:v>46209</c:v>
                </c:pt>
                <c:pt idx="109">
                  <c:v>46210</c:v>
                </c:pt>
              </c:numCache>
            </c:numRef>
          </c:cat>
          <c:val>
            <c:numRef>
              <c:f>'[1]Curva S'!$I$2:$I$111</c:f>
              <c:numCache>
                <c:formatCode>General</c:formatCode>
                <c:ptCount val="1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1</c:v>
                </c:pt>
                <c:pt idx="74">
                  <c:v>2</c:v>
                </c:pt>
                <c:pt idx="75">
                  <c:v>2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3</c:v>
                </c:pt>
                <c:pt idx="82">
                  <c:v>3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6</c:v>
                </c:pt>
                <c:pt idx="91">
                  <c:v>6</c:v>
                </c:pt>
                <c:pt idx="92">
                  <c:v>6</c:v>
                </c:pt>
                <c:pt idx="93">
                  <c:v>6</c:v>
                </c:pt>
                <c:pt idx="94">
                  <c:v>6</c:v>
                </c:pt>
                <c:pt idx="95">
                  <c:v>6</c:v>
                </c:pt>
                <c:pt idx="96">
                  <c:v>6</c:v>
                </c:pt>
                <c:pt idx="97">
                  <c:v>6</c:v>
                </c:pt>
                <c:pt idx="98">
                  <c:v>6</c:v>
                </c:pt>
                <c:pt idx="99">
                  <c:v>6</c:v>
                </c:pt>
                <c:pt idx="100">
                  <c:v>6</c:v>
                </c:pt>
                <c:pt idx="101">
                  <c:v>6</c:v>
                </c:pt>
                <c:pt idx="102">
                  <c:v>6</c:v>
                </c:pt>
                <c:pt idx="103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E66-43DD-911C-D13A500E1D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37386447"/>
        <c:axId val="1737387407"/>
      </c:lineChart>
      <c:catAx>
        <c:axId val="173738644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37387407"/>
        <c:crosses val="autoZero"/>
        <c:auto val="1"/>
        <c:lblAlgn val="ctr"/>
        <c:lblOffset val="100"/>
        <c:noMultiLvlLbl val="1"/>
      </c:catAx>
      <c:valAx>
        <c:axId val="1737387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37386447"/>
        <c:crosses val="autoZero"/>
        <c:crossBetween val="between"/>
      </c:valAx>
      <c:valAx>
        <c:axId val="1737410447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37411407"/>
        <c:crosses val="max"/>
        <c:crossBetween val="between"/>
      </c:valAx>
      <c:catAx>
        <c:axId val="173741140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737410447"/>
        <c:crosses val="autoZero"/>
        <c:auto val="1"/>
        <c:lblAlgn val="ctr"/>
        <c:lblOffset val="100"/>
        <c:noMultiLvlLbl val="1"/>
      </c:catAx>
      <c:spPr>
        <a:noFill/>
        <a:ln>
          <a:noFill/>
        </a:ln>
        <a:effectLst/>
      </c:spPr>
    </c:plotArea>
    <c:legend>
      <c:legendPos val="b"/>
      <c:overlay val="0"/>
      <c:spPr>
        <a:solidFill>
          <a:srgbClr val="006666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006666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bg1">
              <a:lumMod val="85000"/>
            </a:schemeClr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0</xdr:colOff>
      <xdr:row>2</xdr:row>
      <xdr:rowOff>0</xdr:rowOff>
    </xdr:from>
    <xdr:ext cx="9205607" cy="5123006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06C215-0FE2-4C58-BA03-96FB0F70AA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9</xdr:col>
      <xdr:colOff>0</xdr:colOff>
      <xdr:row>28</xdr:row>
      <xdr:rowOff>0</xdr:rowOff>
    </xdr:from>
    <xdr:ext cx="9174390" cy="54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0F27D3F-788D-46A4-A965-A074DA982D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809625</xdr:colOff>
      <xdr:row>0</xdr:row>
      <xdr:rowOff>581025</xdr:rowOff>
    </xdr:from>
    <xdr:to>
      <xdr:col>29</xdr:col>
      <xdr:colOff>176749</xdr:colOff>
      <xdr:row>29</xdr:row>
      <xdr:rowOff>180908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561A4F3-7F85-42ED-A427-6D383CD599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0</xdr:colOff>
      <xdr:row>32</xdr:row>
      <xdr:rowOff>0</xdr:rowOff>
    </xdr:from>
    <xdr:to>
      <xdr:col>29</xdr:col>
      <xdr:colOff>72552</xdr:colOff>
      <xdr:row>61</xdr:row>
      <xdr:rowOff>168870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F1EA61AB-E9F1-415F-8C09-7534EC6571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F0009_306/Comparativo%20Cronograma%2001-07-2026.xlsx" TargetMode="External"/><Relationship Id="rId2" Type="http://schemas.openxmlformats.org/officeDocument/2006/relationships/externalLinkPath" Target="https://bureauveritas.sharepoint.com/teams/POP-Planejamento/Shared%20Documents/Automacoes/Comparativo_Cronograma/saida/F0009_306/Comparativo%20Cronograma%2001-07-2026.xlsx" TargetMode="External"/><Relationship Id="rId1" Type="http://schemas.openxmlformats.org/officeDocument/2006/relationships/externalLinkPath" Target="/teams/POP-Planejamento/Shared%20Documents/Automacoes/Comparativo_Cronograma/saida/F0009_306/Comparativo%20Cronograma%2001-07-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ase"/>
      <sheetName val="Resumo"/>
      <sheetName val="Curva S"/>
      <sheetName val="Concluídas"/>
      <sheetName val="Atrasadas"/>
      <sheetName val="Sprint Atual"/>
      <sheetName val="Próximo Sprint"/>
    </sheetNames>
    <sheetDataSet>
      <sheetData sheetId="0"/>
      <sheetData sheetId="1"/>
      <sheetData sheetId="2">
        <row r="1">
          <cell r="B1" t="str">
            <v>Emissão prevista na LB</v>
          </cell>
          <cell r="C1" t="str">
            <v>Emissão prevista na LB acumulada</v>
          </cell>
          <cell r="D1" t="str">
            <v>Emissão realizada por dia</v>
          </cell>
          <cell r="E1" t="str">
            <v>Emissão realizada acumulada</v>
          </cell>
          <cell r="F1" t="str">
            <v>Aprovação prevista na LB</v>
          </cell>
          <cell r="G1" t="str">
            <v>Aprovação realizada por dia</v>
          </cell>
          <cell r="H1" t="str">
            <v>Aprovação prevista na LB acumulada</v>
          </cell>
          <cell r="I1" t="str">
            <v>Aprovação realizada acumulada</v>
          </cell>
        </row>
        <row r="2">
          <cell r="A2">
            <v>46101</v>
          </cell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</row>
        <row r="3">
          <cell r="A3">
            <v>46102</v>
          </cell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0</v>
          </cell>
        </row>
        <row r="4">
          <cell r="A4">
            <v>46103</v>
          </cell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</row>
        <row r="5">
          <cell r="A5">
            <v>46104</v>
          </cell>
          <cell r="B5">
            <v>0</v>
          </cell>
          <cell r="C5">
            <v>0</v>
          </cell>
          <cell r="D5">
            <v>0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  <cell r="I5">
            <v>0</v>
          </cell>
        </row>
        <row r="6">
          <cell r="A6">
            <v>46105</v>
          </cell>
          <cell r="B6">
            <v>0</v>
          </cell>
          <cell r="C6">
            <v>0</v>
          </cell>
          <cell r="D6">
            <v>0</v>
          </cell>
          <cell r="E6">
            <v>0</v>
          </cell>
          <cell r="F6">
            <v>0</v>
          </cell>
          <cell r="G6">
            <v>0</v>
          </cell>
          <cell r="H6">
            <v>0</v>
          </cell>
          <cell r="I6">
            <v>0</v>
          </cell>
        </row>
        <row r="7">
          <cell r="A7">
            <v>46106</v>
          </cell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</row>
        <row r="8">
          <cell r="A8">
            <v>46107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</row>
        <row r="9">
          <cell r="A9">
            <v>46108</v>
          </cell>
          <cell r="B9">
            <v>0</v>
          </cell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</row>
        <row r="10">
          <cell r="A10">
            <v>46109</v>
          </cell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</row>
        <row r="11">
          <cell r="A11">
            <v>46110</v>
          </cell>
          <cell r="B11">
            <v>0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</row>
        <row r="12">
          <cell r="A12">
            <v>46111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</row>
        <row r="13">
          <cell r="A13">
            <v>46112</v>
          </cell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</row>
        <row r="14">
          <cell r="A14">
            <v>46113</v>
          </cell>
          <cell r="B14">
            <v>0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</row>
        <row r="15">
          <cell r="A15">
            <v>46114</v>
          </cell>
          <cell r="B15">
            <v>0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</row>
        <row r="16">
          <cell r="A16">
            <v>46115</v>
          </cell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</row>
        <row r="17">
          <cell r="A17">
            <v>46116</v>
          </cell>
          <cell r="B17">
            <v>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</row>
        <row r="18">
          <cell r="A18">
            <v>46117</v>
          </cell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</row>
        <row r="19">
          <cell r="A19">
            <v>46118</v>
          </cell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</row>
        <row r="20">
          <cell r="A20">
            <v>46119</v>
          </cell>
          <cell r="B20">
            <v>0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</row>
        <row r="21">
          <cell r="A21">
            <v>46120</v>
          </cell>
          <cell r="B21">
            <v>0</v>
          </cell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</row>
        <row r="22">
          <cell r="A22">
            <v>46121</v>
          </cell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</row>
        <row r="23">
          <cell r="A23">
            <v>46122</v>
          </cell>
          <cell r="B23">
            <v>0</v>
          </cell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</row>
        <row r="24">
          <cell r="A24">
            <v>46123</v>
          </cell>
          <cell r="B24">
            <v>0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</row>
        <row r="25">
          <cell r="A25">
            <v>46124</v>
          </cell>
          <cell r="B25">
            <v>0</v>
          </cell>
          <cell r="C25">
            <v>0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</row>
        <row r="26">
          <cell r="A26">
            <v>46125</v>
          </cell>
          <cell r="B26">
            <v>0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</row>
        <row r="27">
          <cell r="A27">
            <v>46126</v>
          </cell>
          <cell r="B27">
            <v>0</v>
          </cell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</row>
        <row r="28">
          <cell r="A28">
            <v>46127</v>
          </cell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</row>
        <row r="29">
          <cell r="A29">
            <v>46128</v>
          </cell>
          <cell r="B29">
            <v>0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</row>
        <row r="30">
          <cell r="A30">
            <v>46129</v>
          </cell>
          <cell r="B30">
            <v>0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</row>
        <row r="31">
          <cell r="A31">
            <v>46130</v>
          </cell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</row>
        <row r="32">
          <cell r="A32">
            <v>46131</v>
          </cell>
          <cell r="B32">
            <v>0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</row>
        <row r="33">
          <cell r="A33">
            <v>46132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</row>
        <row r="34">
          <cell r="A34">
            <v>46133</v>
          </cell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</row>
        <row r="35">
          <cell r="A35">
            <v>46134</v>
          </cell>
          <cell r="B35">
            <v>0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</row>
        <row r="36">
          <cell r="A36">
            <v>46135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</row>
        <row r="37">
          <cell r="A37">
            <v>46136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</row>
        <row r="38">
          <cell r="A38">
            <v>46137</v>
          </cell>
          <cell r="B38">
            <v>0</v>
          </cell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</row>
        <row r="39">
          <cell r="A39">
            <v>46138</v>
          </cell>
          <cell r="B39">
            <v>0</v>
          </cell>
          <cell r="C39">
            <v>0</v>
          </cell>
          <cell r="D39">
            <v>0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</row>
        <row r="40">
          <cell r="A40">
            <v>46139</v>
          </cell>
          <cell r="B40">
            <v>0</v>
          </cell>
          <cell r="C40">
            <v>0</v>
          </cell>
          <cell r="D40">
            <v>0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>
            <v>46140</v>
          </cell>
          <cell r="B41">
            <v>0</v>
          </cell>
          <cell r="C41">
            <v>0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</row>
        <row r="42">
          <cell r="A42">
            <v>46141</v>
          </cell>
          <cell r="B42">
            <v>1</v>
          </cell>
          <cell r="C42">
            <v>1</v>
          </cell>
          <cell r="D42">
            <v>2</v>
          </cell>
          <cell r="E42">
            <v>2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</row>
        <row r="43">
          <cell r="A43">
            <v>46142</v>
          </cell>
          <cell r="B43">
            <v>0</v>
          </cell>
          <cell r="C43">
            <v>1</v>
          </cell>
          <cell r="D43">
            <v>0</v>
          </cell>
          <cell r="E43">
            <v>2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</row>
        <row r="44">
          <cell r="A44">
            <v>46143</v>
          </cell>
          <cell r="B44">
            <v>0</v>
          </cell>
          <cell r="C44">
            <v>1</v>
          </cell>
          <cell r="D44">
            <v>0</v>
          </cell>
          <cell r="E44">
            <v>2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</row>
        <row r="45">
          <cell r="A45">
            <v>46144</v>
          </cell>
          <cell r="B45">
            <v>0</v>
          </cell>
          <cell r="C45">
            <v>1</v>
          </cell>
          <cell r="D45">
            <v>0</v>
          </cell>
          <cell r="E45">
            <v>2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</row>
        <row r="46">
          <cell r="A46">
            <v>46145</v>
          </cell>
          <cell r="B46">
            <v>0</v>
          </cell>
          <cell r="C46">
            <v>1</v>
          </cell>
          <cell r="D46">
            <v>0</v>
          </cell>
          <cell r="E46">
            <v>2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</row>
        <row r="47">
          <cell r="A47">
            <v>46146</v>
          </cell>
          <cell r="B47">
            <v>1</v>
          </cell>
          <cell r="C47">
            <v>2</v>
          </cell>
          <cell r="D47">
            <v>1</v>
          </cell>
          <cell r="E47">
            <v>3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</row>
        <row r="48">
          <cell r="A48">
            <v>46147</v>
          </cell>
          <cell r="B48">
            <v>0</v>
          </cell>
          <cell r="C48">
            <v>2</v>
          </cell>
          <cell r="D48">
            <v>0</v>
          </cell>
          <cell r="E48">
            <v>3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</row>
        <row r="49">
          <cell r="A49">
            <v>46148</v>
          </cell>
          <cell r="B49">
            <v>0</v>
          </cell>
          <cell r="C49">
            <v>2</v>
          </cell>
          <cell r="D49">
            <v>0</v>
          </cell>
          <cell r="E49">
            <v>3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</row>
        <row r="50">
          <cell r="A50">
            <v>46149</v>
          </cell>
          <cell r="B50">
            <v>0</v>
          </cell>
          <cell r="C50">
            <v>2</v>
          </cell>
          <cell r="D50">
            <v>0</v>
          </cell>
          <cell r="E50">
            <v>3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</row>
        <row r="51">
          <cell r="A51">
            <v>46150</v>
          </cell>
          <cell r="B51">
            <v>0</v>
          </cell>
          <cell r="C51">
            <v>2</v>
          </cell>
          <cell r="D51">
            <v>0</v>
          </cell>
          <cell r="E51">
            <v>3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</row>
        <row r="52">
          <cell r="A52">
            <v>46151</v>
          </cell>
          <cell r="B52">
            <v>0</v>
          </cell>
          <cell r="C52">
            <v>2</v>
          </cell>
          <cell r="D52">
            <v>0</v>
          </cell>
          <cell r="E52">
            <v>3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</row>
        <row r="53">
          <cell r="A53">
            <v>46152</v>
          </cell>
          <cell r="B53">
            <v>0</v>
          </cell>
          <cell r="C53">
            <v>2</v>
          </cell>
          <cell r="D53">
            <v>0</v>
          </cell>
          <cell r="E53">
            <v>3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</row>
        <row r="54">
          <cell r="A54">
            <v>46153</v>
          </cell>
          <cell r="B54">
            <v>0</v>
          </cell>
          <cell r="C54">
            <v>2</v>
          </cell>
          <cell r="D54">
            <v>0</v>
          </cell>
          <cell r="E54">
            <v>3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</row>
        <row r="55">
          <cell r="A55">
            <v>46154</v>
          </cell>
          <cell r="B55">
            <v>0</v>
          </cell>
          <cell r="C55">
            <v>2</v>
          </cell>
          <cell r="D55">
            <v>0</v>
          </cell>
          <cell r="E55">
            <v>3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</row>
        <row r="56">
          <cell r="A56">
            <v>46155</v>
          </cell>
          <cell r="B56">
            <v>0</v>
          </cell>
          <cell r="C56">
            <v>2</v>
          </cell>
          <cell r="D56">
            <v>0</v>
          </cell>
          <cell r="E56">
            <v>3</v>
          </cell>
          <cell r="F56">
            <v>1</v>
          </cell>
          <cell r="G56">
            <v>0</v>
          </cell>
          <cell r="H56">
            <v>1</v>
          </cell>
          <cell r="I56">
            <v>0</v>
          </cell>
        </row>
        <row r="57">
          <cell r="A57">
            <v>46156</v>
          </cell>
          <cell r="B57">
            <v>1</v>
          </cell>
          <cell r="C57">
            <v>3</v>
          </cell>
          <cell r="D57">
            <v>0</v>
          </cell>
          <cell r="E57">
            <v>3</v>
          </cell>
          <cell r="F57">
            <v>0</v>
          </cell>
          <cell r="G57">
            <v>0</v>
          </cell>
          <cell r="H57">
            <v>1</v>
          </cell>
          <cell r="I57">
            <v>0</v>
          </cell>
        </row>
        <row r="58">
          <cell r="A58">
            <v>46157</v>
          </cell>
          <cell r="B58">
            <v>1</v>
          </cell>
          <cell r="C58">
            <v>4</v>
          </cell>
          <cell r="D58">
            <v>0</v>
          </cell>
          <cell r="E58">
            <v>3</v>
          </cell>
          <cell r="F58">
            <v>0</v>
          </cell>
          <cell r="G58">
            <v>0</v>
          </cell>
          <cell r="H58">
            <v>1</v>
          </cell>
          <cell r="I58">
            <v>0</v>
          </cell>
        </row>
        <row r="59">
          <cell r="A59">
            <v>46158</v>
          </cell>
          <cell r="B59">
            <v>0</v>
          </cell>
          <cell r="C59">
            <v>4</v>
          </cell>
          <cell r="D59">
            <v>0</v>
          </cell>
          <cell r="E59">
            <v>3</v>
          </cell>
          <cell r="F59">
            <v>0</v>
          </cell>
          <cell r="G59">
            <v>0</v>
          </cell>
          <cell r="H59">
            <v>1</v>
          </cell>
          <cell r="I59">
            <v>0</v>
          </cell>
        </row>
        <row r="60">
          <cell r="A60">
            <v>46159</v>
          </cell>
          <cell r="B60">
            <v>0</v>
          </cell>
          <cell r="C60">
            <v>4</v>
          </cell>
          <cell r="D60">
            <v>0</v>
          </cell>
          <cell r="E60">
            <v>3</v>
          </cell>
          <cell r="F60">
            <v>0</v>
          </cell>
          <cell r="G60">
            <v>0</v>
          </cell>
          <cell r="H60">
            <v>1</v>
          </cell>
          <cell r="I60">
            <v>0</v>
          </cell>
        </row>
        <row r="61">
          <cell r="A61">
            <v>46160</v>
          </cell>
          <cell r="B61">
            <v>0</v>
          </cell>
          <cell r="C61">
            <v>4</v>
          </cell>
          <cell r="D61">
            <v>0</v>
          </cell>
          <cell r="E61">
            <v>3</v>
          </cell>
          <cell r="F61">
            <v>1</v>
          </cell>
          <cell r="G61">
            <v>0</v>
          </cell>
          <cell r="H61">
            <v>2</v>
          </cell>
          <cell r="I61">
            <v>0</v>
          </cell>
        </row>
        <row r="62">
          <cell r="A62">
            <v>46161</v>
          </cell>
          <cell r="B62">
            <v>2</v>
          </cell>
          <cell r="C62">
            <v>6</v>
          </cell>
          <cell r="D62">
            <v>0</v>
          </cell>
          <cell r="E62">
            <v>3</v>
          </cell>
          <cell r="F62">
            <v>0</v>
          </cell>
          <cell r="G62">
            <v>0</v>
          </cell>
          <cell r="H62">
            <v>2</v>
          </cell>
          <cell r="I62">
            <v>0</v>
          </cell>
        </row>
        <row r="63">
          <cell r="A63">
            <v>46162</v>
          </cell>
          <cell r="B63">
            <v>1</v>
          </cell>
          <cell r="C63">
            <v>7</v>
          </cell>
          <cell r="D63">
            <v>0</v>
          </cell>
          <cell r="E63">
            <v>3</v>
          </cell>
          <cell r="F63">
            <v>1</v>
          </cell>
          <cell r="G63">
            <v>0</v>
          </cell>
          <cell r="H63">
            <v>3</v>
          </cell>
          <cell r="I63">
            <v>0</v>
          </cell>
        </row>
        <row r="64">
          <cell r="A64">
            <v>46163</v>
          </cell>
          <cell r="B64">
            <v>2</v>
          </cell>
          <cell r="C64">
            <v>9</v>
          </cell>
          <cell r="D64">
            <v>0</v>
          </cell>
          <cell r="E64">
            <v>3</v>
          </cell>
          <cell r="F64">
            <v>1</v>
          </cell>
          <cell r="G64">
            <v>0</v>
          </cell>
          <cell r="H64">
            <v>4</v>
          </cell>
          <cell r="I64">
            <v>0</v>
          </cell>
        </row>
        <row r="65">
          <cell r="A65">
            <v>46164</v>
          </cell>
          <cell r="B65">
            <v>2</v>
          </cell>
          <cell r="C65">
            <v>11</v>
          </cell>
          <cell r="D65">
            <v>0</v>
          </cell>
          <cell r="E65">
            <v>3</v>
          </cell>
          <cell r="F65">
            <v>0</v>
          </cell>
          <cell r="G65">
            <v>0</v>
          </cell>
          <cell r="H65">
            <v>4</v>
          </cell>
          <cell r="I65">
            <v>0</v>
          </cell>
        </row>
        <row r="66">
          <cell r="A66">
            <v>46165</v>
          </cell>
          <cell r="B66">
            <v>0</v>
          </cell>
          <cell r="C66">
            <v>11</v>
          </cell>
          <cell r="D66">
            <v>0</v>
          </cell>
          <cell r="E66">
            <v>3</v>
          </cell>
          <cell r="F66">
            <v>0</v>
          </cell>
          <cell r="G66">
            <v>0</v>
          </cell>
          <cell r="H66">
            <v>4</v>
          </cell>
          <cell r="I66">
            <v>0</v>
          </cell>
        </row>
        <row r="67">
          <cell r="A67">
            <v>46166</v>
          </cell>
          <cell r="B67">
            <v>0</v>
          </cell>
          <cell r="C67">
            <v>11</v>
          </cell>
          <cell r="D67">
            <v>0</v>
          </cell>
          <cell r="E67">
            <v>3</v>
          </cell>
          <cell r="F67">
            <v>0</v>
          </cell>
          <cell r="G67">
            <v>0</v>
          </cell>
          <cell r="H67">
            <v>4</v>
          </cell>
          <cell r="I67">
            <v>0</v>
          </cell>
        </row>
        <row r="68">
          <cell r="A68">
            <v>46167</v>
          </cell>
          <cell r="B68">
            <v>1</v>
          </cell>
          <cell r="C68">
            <v>12</v>
          </cell>
          <cell r="D68">
            <v>0</v>
          </cell>
          <cell r="E68">
            <v>3</v>
          </cell>
          <cell r="F68">
            <v>2</v>
          </cell>
          <cell r="G68">
            <v>0</v>
          </cell>
          <cell r="H68">
            <v>6</v>
          </cell>
          <cell r="I68">
            <v>0</v>
          </cell>
        </row>
        <row r="69">
          <cell r="A69">
            <v>46168</v>
          </cell>
          <cell r="B69">
            <v>0</v>
          </cell>
          <cell r="C69">
            <v>12</v>
          </cell>
          <cell r="D69">
            <v>0</v>
          </cell>
          <cell r="E69">
            <v>3</v>
          </cell>
          <cell r="F69">
            <v>1</v>
          </cell>
          <cell r="G69">
            <v>0</v>
          </cell>
          <cell r="H69">
            <v>7</v>
          </cell>
          <cell r="I69">
            <v>0</v>
          </cell>
        </row>
        <row r="70">
          <cell r="A70">
            <v>46169</v>
          </cell>
          <cell r="B70">
            <v>8</v>
          </cell>
          <cell r="C70">
            <v>20</v>
          </cell>
          <cell r="D70">
            <v>0</v>
          </cell>
          <cell r="E70">
            <v>3</v>
          </cell>
          <cell r="F70">
            <v>2</v>
          </cell>
          <cell r="G70">
            <v>0</v>
          </cell>
          <cell r="H70">
            <v>9</v>
          </cell>
          <cell r="I70">
            <v>0</v>
          </cell>
        </row>
        <row r="71">
          <cell r="A71">
            <v>46170</v>
          </cell>
          <cell r="B71">
            <v>3</v>
          </cell>
          <cell r="C71">
            <v>23</v>
          </cell>
          <cell r="D71">
            <v>0</v>
          </cell>
          <cell r="E71">
            <v>3</v>
          </cell>
          <cell r="F71">
            <v>2</v>
          </cell>
          <cell r="G71">
            <v>0</v>
          </cell>
          <cell r="H71">
            <v>11</v>
          </cell>
          <cell r="I71">
            <v>0</v>
          </cell>
        </row>
        <row r="72">
          <cell r="A72">
            <v>46171</v>
          </cell>
          <cell r="B72">
            <v>0</v>
          </cell>
          <cell r="C72">
            <v>23</v>
          </cell>
          <cell r="D72">
            <v>0</v>
          </cell>
          <cell r="E72">
            <v>3</v>
          </cell>
          <cell r="F72">
            <v>1</v>
          </cell>
          <cell r="G72">
            <v>0</v>
          </cell>
          <cell r="H72">
            <v>12</v>
          </cell>
          <cell r="I72">
            <v>0</v>
          </cell>
        </row>
        <row r="73">
          <cell r="A73">
            <v>46172</v>
          </cell>
          <cell r="B73">
            <v>0</v>
          </cell>
          <cell r="C73">
            <v>23</v>
          </cell>
          <cell r="D73">
            <v>0</v>
          </cell>
          <cell r="E73">
            <v>3</v>
          </cell>
          <cell r="F73">
            <v>0</v>
          </cell>
          <cell r="G73">
            <v>0</v>
          </cell>
          <cell r="H73">
            <v>12</v>
          </cell>
          <cell r="I73">
            <v>0</v>
          </cell>
        </row>
        <row r="74">
          <cell r="A74">
            <v>46173</v>
          </cell>
          <cell r="B74">
            <v>0</v>
          </cell>
          <cell r="C74">
            <v>23</v>
          </cell>
          <cell r="D74">
            <v>0</v>
          </cell>
          <cell r="E74">
            <v>3</v>
          </cell>
          <cell r="F74">
            <v>0</v>
          </cell>
          <cell r="G74">
            <v>0</v>
          </cell>
          <cell r="H74">
            <v>12</v>
          </cell>
          <cell r="I74">
            <v>0</v>
          </cell>
        </row>
        <row r="75">
          <cell r="A75">
            <v>46174</v>
          </cell>
          <cell r="B75">
            <v>4</v>
          </cell>
          <cell r="C75">
            <v>27</v>
          </cell>
          <cell r="D75">
            <v>2</v>
          </cell>
          <cell r="E75">
            <v>5</v>
          </cell>
          <cell r="F75">
            <v>0</v>
          </cell>
          <cell r="G75">
            <v>1</v>
          </cell>
          <cell r="H75">
            <v>12</v>
          </cell>
          <cell r="I75">
            <v>1</v>
          </cell>
        </row>
        <row r="76">
          <cell r="A76">
            <v>46175</v>
          </cell>
          <cell r="B76">
            <v>1</v>
          </cell>
          <cell r="C76">
            <v>28</v>
          </cell>
          <cell r="D76">
            <v>0</v>
          </cell>
          <cell r="E76">
            <v>5</v>
          </cell>
          <cell r="F76">
            <v>8</v>
          </cell>
          <cell r="G76">
            <v>1</v>
          </cell>
          <cell r="H76">
            <v>20</v>
          </cell>
          <cell r="I76">
            <v>2</v>
          </cell>
        </row>
        <row r="77">
          <cell r="A77">
            <v>46176</v>
          </cell>
          <cell r="B77">
            <v>0</v>
          </cell>
          <cell r="C77">
            <v>28</v>
          </cell>
          <cell r="D77">
            <v>0</v>
          </cell>
          <cell r="E77">
            <v>5</v>
          </cell>
          <cell r="F77">
            <v>3</v>
          </cell>
          <cell r="G77">
            <v>0</v>
          </cell>
          <cell r="H77">
            <v>23</v>
          </cell>
          <cell r="I77">
            <v>2</v>
          </cell>
        </row>
        <row r="78">
          <cell r="A78">
            <v>46177</v>
          </cell>
          <cell r="B78">
            <v>1</v>
          </cell>
          <cell r="C78">
            <v>29</v>
          </cell>
          <cell r="D78">
            <v>0</v>
          </cell>
          <cell r="E78">
            <v>5</v>
          </cell>
          <cell r="F78">
            <v>0</v>
          </cell>
          <cell r="G78">
            <v>0</v>
          </cell>
          <cell r="H78">
            <v>23</v>
          </cell>
          <cell r="I78">
            <v>2</v>
          </cell>
        </row>
        <row r="79">
          <cell r="A79">
            <v>46178</v>
          </cell>
          <cell r="B79">
            <v>3</v>
          </cell>
          <cell r="C79">
            <v>32</v>
          </cell>
          <cell r="D79">
            <v>1</v>
          </cell>
          <cell r="E79">
            <v>6</v>
          </cell>
          <cell r="F79">
            <v>4</v>
          </cell>
          <cell r="G79">
            <v>0</v>
          </cell>
          <cell r="H79">
            <v>27</v>
          </cell>
          <cell r="I79">
            <v>2</v>
          </cell>
        </row>
        <row r="80">
          <cell r="A80">
            <v>46179</v>
          </cell>
          <cell r="B80">
            <v>0</v>
          </cell>
          <cell r="C80">
            <v>32</v>
          </cell>
          <cell r="D80">
            <v>0</v>
          </cell>
          <cell r="E80">
            <v>6</v>
          </cell>
          <cell r="F80">
            <v>0</v>
          </cell>
          <cell r="G80">
            <v>0</v>
          </cell>
          <cell r="H80">
            <v>27</v>
          </cell>
          <cell r="I80">
            <v>2</v>
          </cell>
        </row>
        <row r="81">
          <cell r="A81">
            <v>46180</v>
          </cell>
          <cell r="B81">
            <v>0</v>
          </cell>
          <cell r="C81">
            <v>32</v>
          </cell>
          <cell r="D81">
            <v>0</v>
          </cell>
          <cell r="E81">
            <v>6</v>
          </cell>
          <cell r="F81">
            <v>0</v>
          </cell>
          <cell r="G81">
            <v>0</v>
          </cell>
          <cell r="H81">
            <v>27</v>
          </cell>
          <cell r="I81">
            <v>2</v>
          </cell>
        </row>
        <row r="82">
          <cell r="A82">
            <v>46181</v>
          </cell>
          <cell r="B82">
            <v>0</v>
          </cell>
          <cell r="C82">
            <v>32</v>
          </cell>
          <cell r="D82">
            <v>2</v>
          </cell>
          <cell r="E82">
            <v>8</v>
          </cell>
          <cell r="F82">
            <v>1</v>
          </cell>
          <cell r="G82">
            <v>0</v>
          </cell>
          <cell r="H82">
            <v>28</v>
          </cell>
          <cell r="I82">
            <v>2</v>
          </cell>
        </row>
        <row r="83">
          <cell r="A83">
            <v>46182</v>
          </cell>
          <cell r="B83">
            <v>1</v>
          </cell>
          <cell r="C83">
            <v>33</v>
          </cell>
          <cell r="D83">
            <v>0</v>
          </cell>
          <cell r="E83">
            <v>8</v>
          </cell>
          <cell r="F83">
            <v>0</v>
          </cell>
          <cell r="G83">
            <v>1</v>
          </cell>
          <cell r="H83">
            <v>28</v>
          </cell>
          <cell r="I83">
            <v>3</v>
          </cell>
        </row>
        <row r="84">
          <cell r="A84">
            <v>46183</v>
          </cell>
          <cell r="B84">
            <v>2</v>
          </cell>
          <cell r="C84">
            <v>35</v>
          </cell>
          <cell r="D84">
            <v>0</v>
          </cell>
          <cell r="E84">
            <v>8</v>
          </cell>
          <cell r="F84">
            <v>1</v>
          </cell>
          <cell r="G84">
            <v>0</v>
          </cell>
          <cell r="H84">
            <v>29</v>
          </cell>
          <cell r="I84">
            <v>3</v>
          </cell>
        </row>
        <row r="85">
          <cell r="A85">
            <v>46184</v>
          </cell>
          <cell r="B85">
            <v>2</v>
          </cell>
          <cell r="C85">
            <v>37</v>
          </cell>
          <cell r="D85">
            <v>0</v>
          </cell>
          <cell r="E85">
            <v>8</v>
          </cell>
          <cell r="F85">
            <v>3</v>
          </cell>
          <cell r="G85">
            <v>1</v>
          </cell>
          <cell r="H85">
            <v>32</v>
          </cell>
          <cell r="I85">
            <v>4</v>
          </cell>
        </row>
        <row r="86">
          <cell r="A86">
            <v>46185</v>
          </cell>
          <cell r="B86">
            <v>1</v>
          </cell>
          <cell r="C86">
            <v>38</v>
          </cell>
          <cell r="D86">
            <v>2</v>
          </cell>
          <cell r="E86">
            <v>10</v>
          </cell>
          <cell r="F86">
            <v>0</v>
          </cell>
          <cell r="G86">
            <v>0</v>
          </cell>
          <cell r="H86">
            <v>32</v>
          </cell>
          <cell r="I86">
            <v>4</v>
          </cell>
        </row>
        <row r="87">
          <cell r="A87">
            <v>46186</v>
          </cell>
          <cell r="B87">
            <v>0</v>
          </cell>
          <cell r="C87">
            <v>38</v>
          </cell>
          <cell r="D87">
            <v>0</v>
          </cell>
          <cell r="E87">
            <v>10</v>
          </cell>
          <cell r="F87">
            <v>0</v>
          </cell>
          <cell r="G87">
            <v>0</v>
          </cell>
          <cell r="H87">
            <v>32</v>
          </cell>
          <cell r="I87">
            <v>4</v>
          </cell>
        </row>
        <row r="88">
          <cell r="A88">
            <v>46187</v>
          </cell>
          <cell r="B88">
            <v>0</v>
          </cell>
          <cell r="C88">
            <v>38</v>
          </cell>
          <cell r="D88">
            <v>0</v>
          </cell>
          <cell r="E88">
            <v>10</v>
          </cell>
          <cell r="F88">
            <v>0</v>
          </cell>
          <cell r="G88">
            <v>0</v>
          </cell>
          <cell r="H88">
            <v>32</v>
          </cell>
          <cell r="I88">
            <v>4</v>
          </cell>
        </row>
        <row r="89">
          <cell r="A89">
            <v>46188</v>
          </cell>
          <cell r="B89">
            <v>2</v>
          </cell>
          <cell r="C89">
            <v>40</v>
          </cell>
          <cell r="D89">
            <v>3</v>
          </cell>
          <cell r="E89">
            <v>13</v>
          </cell>
          <cell r="F89">
            <v>1</v>
          </cell>
          <cell r="G89">
            <v>0</v>
          </cell>
          <cell r="H89">
            <v>33</v>
          </cell>
          <cell r="I89">
            <v>4</v>
          </cell>
        </row>
        <row r="90">
          <cell r="A90">
            <v>46189</v>
          </cell>
          <cell r="B90">
            <v>4</v>
          </cell>
          <cell r="C90">
            <v>44</v>
          </cell>
          <cell r="D90">
            <v>0</v>
          </cell>
          <cell r="E90">
            <v>13</v>
          </cell>
          <cell r="F90">
            <v>2</v>
          </cell>
          <cell r="G90">
            <v>0</v>
          </cell>
          <cell r="H90">
            <v>35</v>
          </cell>
          <cell r="I90">
            <v>4</v>
          </cell>
        </row>
        <row r="91">
          <cell r="A91">
            <v>46190</v>
          </cell>
          <cell r="B91">
            <v>0</v>
          </cell>
          <cell r="C91">
            <v>44</v>
          </cell>
          <cell r="D91">
            <v>0</v>
          </cell>
          <cell r="E91">
            <v>13</v>
          </cell>
          <cell r="F91">
            <v>2</v>
          </cell>
          <cell r="G91">
            <v>0</v>
          </cell>
          <cell r="H91">
            <v>37</v>
          </cell>
          <cell r="I91">
            <v>4</v>
          </cell>
        </row>
        <row r="92">
          <cell r="A92">
            <v>46191</v>
          </cell>
          <cell r="B92">
            <v>2</v>
          </cell>
          <cell r="C92">
            <v>46</v>
          </cell>
          <cell r="D92">
            <v>1</v>
          </cell>
          <cell r="E92">
            <v>14</v>
          </cell>
          <cell r="F92">
            <v>1</v>
          </cell>
          <cell r="G92">
            <v>2</v>
          </cell>
          <cell r="H92">
            <v>38</v>
          </cell>
          <cell r="I92">
            <v>6</v>
          </cell>
        </row>
        <row r="93">
          <cell r="A93">
            <v>46192</v>
          </cell>
          <cell r="B93">
            <v>5</v>
          </cell>
          <cell r="C93">
            <v>51</v>
          </cell>
          <cell r="D93">
            <v>9</v>
          </cell>
          <cell r="E93">
            <v>23</v>
          </cell>
          <cell r="F93">
            <v>2</v>
          </cell>
          <cell r="G93">
            <v>0</v>
          </cell>
          <cell r="H93">
            <v>40</v>
          </cell>
          <cell r="I93">
            <v>6</v>
          </cell>
        </row>
        <row r="94">
          <cell r="A94">
            <v>46193</v>
          </cell>
          <cell r="B94">
            <v>0</v>
          </cell>
          <cell r="C94">
            <v>51</v>
          </cell>
          <cell r="D94">
            <v>0</v>
          </cell>
          <cell r="E94">
            <v>23</v>
          </cell>
          <cell r="F94">
            <v>0</v>
          </cell>
          <cell r="G94">
            <v>0</v>
          </cell>
          <cell r="H94">
            <v>40</v>
          </cell>
          <cell r="I94">
            <v>6</v>
          </cell>
        </row>
        <row r="95">
          <cell r="A95">
            <v>46194</v>
          </cell>
          <cell r="B95">
            <v>0</v>
          </cell>
          <cell r="C95">
            <v>51</v>
          </cell>
          <cell r="D95">
            <v>0</v>
          </cell>
          <cell r="E95">
            <v>23</v>
          </cell>
          <cell r="F95">
            <v>0</v>
          </cell>
          <cell r="G95">
            <v>0</v>
          </cell>
          <cell r="H95">
            <v>40</v>
          </cell>
          <cell r="I95">
            <v>6</v>
          </cell>
        </row>
        <row r="96">
          <cell r="A96">
            <v>46195</v>
          </cell>
          <cell r="B96">
            <v>0</v>
          </cell>
          <cell r="C96">
            <v>51</v>
          </cell>
          <cell r="D96">
            <v>0</v>
          </cell>
          <cell r="E96">
            <v>23</v>
          </cell>
          <cell r="F96">
            <v>4</v>
          </cell>
          <cell r="G96">
            <v>0</v>
          </cell>
          <cell r="H96">
            <v>44</v>
          </cell>
          <cell r="I96">
            <v>6</v>
          </cell>
        </row>
        <row r="97">
          <cell r="A97">
            <v>46196</v>
          </cell>
          <cell r="B97">
            <v>2</v>
          </cell>
          <cell r="C97">
            <v>53</v>
          </cell>
          <cell r="D97">
            <v>1</v>
          </cell>
          <cell r="E97">
            <v>24</v>
          </cell>
          <cell r="F97">
            <v>0</v>
          </cell>
          <cell r="G97">
            <v>0</v>
          </cell>
          <cell r="H97">
            <v>44</v>
          </cell>
          <cell r="I97">
            <v>6</v>
          </cell>
        </row>
        <row r="98">
          <cell r="A98">
            <v>46197</v>
          </cell>
          <cell r="B98">
            <v>3</v>
          </cell>
          <cell r="C98">
            <v>56</v>
          </cell>
          <cell r="D98">
            <v>0</v>
          </cell>
          <cell r="E98">
            <v>24</v>
          </cell>
          <cell r="F98">
            <v>2</v>
          </cell>
          <cell r="G98">
            <v>0</v>
          </cell>
          <cell r="H98">
            <v>46</v>
          </cell>
          <cell r="I98">
            <v>6</v>
          </cell>
        </row>
        <row r="99">
          <cell r="A99">
            <v>46198</v>
          </cell>
          <cell r="B99">
            <v>1</v>
          </cell>
          <cell r="C99">
            <v>57</v>
          </cell>
          <cell r="D99">
            <v>6</v>
          </cell>
          <cell r="E99">
            <v>30</v>
          </cell>
          <cell r="F99">
            <v>5</v>
          </cell>
          <cell r="G99">
            <v>0</v>
          </cell>
          <cell r="H99">
            <v>51</v>
          </cell>
          <cell r="I99">
            <v>6</v>
          </cell>
        </row>
        <row r="100">
          <cell r="A100">
            <v>46199</v>
          </cell>
          <cell r="B100">
            <v>4</v>
          </cell>
          <cell r="C100">
            <v>61</v>
          </cell>
          <cell r="D100">
            <v>19</v>
          </cell>
          <cell r="E100">
            <v>49</v>
          </cell>
          <cell r="F100">
            <v>0</v>
          </cell>
          <cell r="G100">
            <v>0</v>
          </cell>
          <cell r="H100">
            <v>51</v>
          </cell>
          <cell r="I100">
            <v>6</v>
          </cell>
        </row>
        <row r="101">
          <cell r="A101">
            <v>46200</v>
          </cell>
          <cell r="B101">
            <v>0</v>
          </cell>
          <cell r="C101">
            <v>61</v>
          </cell>
          <cell r="D101">
            <v>0</v>
          </cell>
          <cell r="E101">
            <v>49</v>
          </cell>
          <cell r="F101">
            <v>0</v>
          </cell>
          <cell r="G101">
            <v>0</v>
          </cell>
          <cell r="H101">
            <v>51</v>
          </cell>
          <cell r="I101">
            <v>6</v>
          </cell>
        </row>
        <row r="102">
          <cell r="A102">
            <v>46201</v>
          </cell>
          <cell r="B102">
            <v>0</v>
          </cell>
          <cell r="C102">
            <v>61</v>
          </cell>
          <cell r="D102">
            <v>0</v>
          </cell>
          <cell r="E102">
            <v>49</v>
          </cell>
          <cell r="F102">
            <v>0</v>
          </cell>
          <cell r="G102">
            <v>0</v>
          </cell>
          <cell r="H102">
            <v>51</v>
          </cell>
          <cell r="I102">
            <v>6</v>
          </cell>
        </row>
        <row r="103">
          <cell r="A103">
            <v>46202</v>
          </cell>
          <cell r="B103">
            <v>23</v>
          </cell>
          <cell r="C103">
            <v>84</v>
          </cell>
          <cell r="D103">
            <v>7</v>
          </cell>
          <cell r="E103">
            <v>56</v>
          </cell>
          <cell r="F103">
            <v>2</v>
          </cell>
          <cell r="G103">
            <v>0</v>
          </cell>
          <cell r="H103">
            <v>53</v>
          </cell>
          <cell r="I103">
            <v>6</v>
          </cell>
        </row>
        <row r="104">
          <cell r="A104">
            <v>46203</v>
          </cell>
          <cell r="B104">
            <v>1</v>
          </cell>
          <cell r="C104">
            <v>85</v>
          </cell>
          <cell r="D104">
            <v>2</v>
          </cell>
          <cell r="E104">
            <v>58</v>
          </cell>
          <cell r="F104">
            <v>4</v>
          </cell>
          <cell r="G104">
            <v>0</v>
          </cell>
          <cell r="H104">
            <v>57</v>
          </cell>
          <cell r="I104">
            <v>6</v>
          </cell>
        </row>
        <row r="105">
          <cell r="A105">
            <v>46204</v>
          </cell>
          <cell r="B105">
            <v>2</v>
          </cell>
          <cell r="C105">
            <v>87</v>
          </cell>
          <cell r="D105">
            <v>3</v>
          </cell>
          <cell r="E105">
            <v>61</v>
          </cell>
          <cell r="F105">
            <v>1</v>
          </cell>
          <cell r="G105">
            <v>0</v>
          </cell>
          <cell r="H105">
            <v>58</v>
          </cell>
          <cell r="I105">
            <v>6</v>
          </cell>
        </row>
        <row r="106">
          <cell r="A106">
            <v>46205</v>
          </cell>
          <cell r="B106">
            <v>0</v>
          </cell>
          <cell r="C106">
            <v>87</v>
          </cell>
          <cell r="D106">
            <v>0</v>
          </cell>
          <cell r="F106">
            <v>4</v>
          </cell>
          <cell r="G106">
            <v>0</v>
          </cell>
          <cell r="H106">
            <v>62</v>
          </cell>
        </row>
        <row r="107">
          <cell r="A107">
            <v>46206</v>
          </cell>
          <cell r="B107">
            <v>0</v>
          </cell>
          <cell r="C107">
            <v>87</v>
          </cell>
          <cell r="D107">
            <v>0</v>
          </cell>
          <cell r="F107">
            <v>23</v>
          </cell>
          <cell r="G107">
            <v>0</v>
          </cell>
          <cell r="H107">
            <v>85</v>
          </cell>
        </row>
        <row r="108">
          <cell r="A108">
            <v>46207</v>
          </cell>
          <cell r="B108">
            <v>0</v>
          </cell>
          <cell r="C108">
            <v>87</v>
          </cell>
          <cell r="D108">
            <v>0</v>
          </cell>
          <cell r="F108">
            <v>0</v>
          </cell>
          <cell r="G108">
            <v>0</v>
          </cell>
          <cell r="H108">
            <v>85</v>
          </cell>
        </row>
        <row r="109">
          <cell r="A109">
            <v>46208</v>
          </cell>
          <cell r="B109">
            <v>0</v>
          </cell>
          <cell r="C109">
            <v>87</v>
          </cell>
          <cell r="D109">
            <v>0</v>
          </cell>
          <cell r="F109">
            <v>0</v>
          </cell>
          <cell r="G109">
            <v>0</v>
          </cell>
          <cell r="H109">
            <v>85</v>
          </cell>
        </row>
        <row r="110">
          <cell r="A110">
            <v>46209</v>
          </cell>
          <cell r="B110">
            <v>0</v>
          </cell>
          <cell r="C110">
            <v>87</v>
          </cell>
          <cell r="D110">
            <v>0</v>
          </cell>
          <cell r="F110">
            <v>1</v>
          </cell>
          <cell r="G110">
            <v>0</v>
          </cell>
          <cell r="H110">
            <v>86</v>
          </cell>
        </row>
        <row r="111">
          <cell r="A111">
            <v>46210</v>
          </cell>
          <cell r="B111">
            <v>0</v>
          </cell>
          <cell r="C111">
            <v>87</v>
          </cell>
          <cell r="D111">
            <v>0</v>
          </cell>
          <cell r="F111">
            <v>2</v>
          </cell>
          <cell r="G111">
            <v>0</v>
          </cell>
          <cell r="H111">
            <v>88</v>
          </cell>
        </row>
      </sheetData>
      <sheetData sheetId="3"/>
      <sheetData sheetId="4"/>
      <sheetData sheetId="5"/>
      <sheetData sheetId="6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FDF87C-4A37-4F71-82DB-F9A27642759A}" name="Tabela1" displayName="Tabela1" ref="A1:AG581" totalsRowShown="0">
  <autoFilter ref="A1:AG581" xr:uid="{79FDF87C-4A37-4F71-82DB-F9A27642759A}"/>
  <tableColumns count="33">
    <tableColumn id="1" xr3:uid="{3277A717-C3FA-4820-B7C4-C458D554BBC9}" name="Id"/>
    <tableColumn id="2" xr3:uid="{21190DC2-ADC3-444E-9EE4-0123EA347F1C}" name="EDT"/>
    <tableColumn id="3" xr3:uid="{55B2F7BB-71A4-4A22-9E30-9AE272890275}" name="Nome do Resumo da Tarefa"/>
    <tableColumn id="4" xr3:uid="{9781734F-3A43-409A-B298-C67167A2C7F4}" name="Nome da Tarefa"/>
    <tableColumn id="5" xr3:uid="{6F2EBF3B-940D-4E8E-9034-D202447D364C}" name="Duração"/>
    <tableColumn id="6" xr3:uid="{BC54BF5A-F1C8-4942-8B55-C1741A4519A0}" name="Início" dataDxfId="138"/>
    <tableColumn id="7" xr3:uid="{198AEBD9-8927-4FA7-AC01-69D646BEE666}" name="Término" dataDxfId="137"/>
    <tableColumn id="8" xr3:uid="{F5B1EEE7-D2E4-421D-BE4F-24DA8D84BC08}" name="% concluída" dataDxfId="136" dataCellStyle="Porcentagem"/>
    <tableColumn id="9" xr3:uid="{84503523-CD31-4412-BF0A-30416439ED26}" name="Término real" dataDxfId="135"/>
    <tableColumn id="10" xr3:uid="{6E054EF3-2840-44E0-8EC8-B3A2054CA62D}" name="Predecessoras"/>
    <tableColumn id="11" xr3:uid="{F2CDF2C3-80B9-41A3-AA98-82FE6D62B78D}" name="Sucessoras"/>
    <tableColumn id="12" xr3:uid="{20065B61-442C-4196-9921-BC16EA9C4776}" name="Status"/>
    <tableColumn id="13" xr3:uid="{C9866A3A-AFA6-4760-A076-A3AD4540B1B0}" name="Início da Linha de Base"/>
    <tableColumn id="14" xr3:uid="{AC13506E-E03C-4E8C-BD36-C066F62B66E4}" name="Término da linha de base" dataDxfId="134"/>
    <tableColumn id="15" xr3:uid="{55076812-60AA-40DB-9875-1E06D736D769}" name="Nomes dos recursos"/>
    <tableColumn id="16" xr3:uid="{4B04AA2C-D99F-427F-BF54-E8E43F86EA5F}" name="Disciplina"/>
    <tableColumn id="17" xr3:uid="{9B726D67-EDFC-443E-B156-A24E440F272F}" name="Sprint"/>
    <tableColumn id="18" xr3:uid="{F9C92525-D834-4F94-8784-32BCA7FD12CC}" name="Crítica"/>
    <tableColumn id="19" xr3:uid="{067E5CA8-EA00-4C58-AFDB-A56F02AC36C3}" name="Início_LB_R0" dataDxfId="133"/>
    <tableColumn id="20" xr3:uid="{895F16FC-E424-43A5-A52F-0F4E4C3944B8}" name="Término_LB_R0" dataDxfId="132"/>
    <tableColumn id="21" xr3:uid="{1F69F2D6-D629-459B-872E-DA5C8F4005B5}" name="Comparação"/>
    <tableColumn id="22" xr3:uid="{8891C0A1-DBC1-4D7B-A63A-A3F821B2A221}" name="pct_val"/>
    <tableColumn id="23" xr3:uid="{6D5628F6-CF70-4DD9-B15D-5C236594AA67}" name="Emissão inicial total"/>
    <tableColumn id="24" xr3:uid="{797786C8-D91D-4FCE-92FA-5B562AFCE0BC}" name="Emissão inicial concluída"/>
    <tableColumn id="25" xr3:uid="{61142E6E-5651-4B53-8D50-4BA2AF23F28C}" name="Emissão Inicial Atrasada"/>
    <tableColumn id="26" xr3:uid="{381FD623-0D3E-4ABE-8114-FDC1857FD7DB}" name="Aprovação total"/>
    <tableColumn id="27" xr3:uid="{D34D1255-FD99-4DC6-BB99-96C1B3D17FF8}" name="Avaliação do cliente concluída"/>
    <tableColumn id="28" xr3:uid="{DFB6C1E8-5AFD-4537-8394-46061CA165B7}" name="Avaliação Cliente Atrasada"/>
    <tableColumn id="29" xr3:uid="{795D6C0B-AE13-4A7F-8D66-807A311E4318}" name="Atendimento de comentário concluído"/>
    <tableColumn id="30" xr3:uid="{418E89BC-9B4F-4BF9-9E84-E081D6C183A8}" name="Atendimento Atrasado"/>
    <tableColumn id="31" xr3:uid="{D863DC6A-405E-48AD-8E3B-00EF02B6F646}" name="Aprovação concluída"/>
    <tableColumn id="32" xr3:uid="{70172C42-B208-4407-B1D9-E36D873B453E}" name="Aprovação Atrasada"/>
    <tableColumn id="33" xr3:uid="{203F23CC-652B-4F5F-A99A-F3691F43B371}" name="Aderênci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6A82AE6-EDA3-487B-BBA3-97262143EDB4}" name="Tabela7" displayName="Tabela7" ref="A3:H16" totalsRowCount="1" headerRowDxfId="131" dataDxfId="130" totalsRowDxfId="129">
  <autoFilter ref="A3:H15" xr:uid="{A6A82AE6-EDA3-487B-BBA3-97262143EDB4}"/>
  <tableColumns count="8">
    <tableColumn id="1" xr3:uid="{E0D6C737-3225-4B71-9DA2-BD4756D71A04}" name="Disciplina" totalsRowLabel="TOTAL" dataDxfId="128" totalsRowDxfId="127"/>
    <tableColumn id="2" xr3:uid="{BE033C64-0A86-4841-AB22-DB0B31BE5F8C}" name="Emissão inicial total" totalsRowFunction="sum" dataDxfId="126" totalsRowDxfId="125"/>
    <tableColumn id="3" xr3:uid="{9A44636B-3726-48B0-B163-34EFDB3BDD9C}" name="Emissão inicial concluída" totalsRowFunction="sum" dataDxfId="124" totalsRowDxfId="123"/>
    <tableColumn id="4" xr3:uid="{55D64E31-C0F1-4463-A250-CE093CA73F02}" name="%EI" dataDxfId="122" totalsRowDxfId="121"/>
    <tableColumn id="5" xr3:uid="{844D8200-533F-42B0-9C62-B0B5AC0A8D0E}" name="Avaliação do cliente concluída" totalsRowFunction="sum" dataDxfId="120" totalsRowDxfId="119"/>
    <tableColumn id="6" xr3:uid="{3BC41ABC-C551-4A94-92C9-C7E0D0257593}" name="Atendimento de comentário concluído" totalsRowFunction="sum" dataDxfId="118" totalsRowDxfId="117"/>
    <tableColumn id="7" xr3:uid="{F73C9968-8C83-4896-9063-618D8F95CEC8}" name="Aprovação concluída" totalsRowFunction="sum" dataDxfId="116" totalsRowDxfId="115"/>
    <tableColumn id="8" xr3:uid="{365A3856-7CD0-4C1D-B214-A086C7350968}" name="%AP" dataDxfId="114" totalsRowDxfId="1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897448B-F1D0-487E-96EB-E455991F1096}" name="Tabela8" displayName="Tabela8" ref="A21:E34" totalsRowCount="1" headerRowDxfId="112" dataDxfId="111" totalsRowDxfId="110">
  <autoFilter ref="A21:E33" xr:uid="{C897448B-F1D0-487E-96EB-E455991F1096}"/>
  <tableColumns count="5">
    <tableColumn id="1" xr3:uid="{A32A1DCE-58D8-4454-A234-CD55EE2B2DBE}" name="Disciplina" totalsRowLabel="TOTAL" dataDxfId="109" totalsRowDxfId="108"/>
    <tableColumn id="2" xr3:uid="{34205EE3-B1B0-4A02-B65D-6EAF90BAB0BE}" name="Emissão Inicial Atrasada" totalsRowFunction="sum" dataDxfId="107" totalsRowDxfId="106"/>
    <tableColumn id="3" xr3:uid="{CC3BEC73-BF20-483E-9FAA-C9F4E4054C81}" name="Avaliação Cliente Atrasada" totalsRowFunction="sum" dataDxfId="105" totalsRowDxfId="104"/>
    <tableColumn id="4" xr3:uid="{852A4E0A-6D83-47A9-B15F-C5C33457EEAA}" name="Atendimento Atrasado" totalsRowFunction="sum" dataDxfId="103" totalsRowDxfId="102"/>
    <tableColumn id="5" xr3:uid="{28E85FDC-3E64-4807-B160-F0E0A636CAAB}" name="Aprovação Atrasada" totalsRowFunction="sum" dataDxfId="101" totalsRowDxfId="10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FD507ED-FAB4-430C-8C2C-94F4D0765B7A}" name="Tabela6" displayName="Tabela6" ref="A1:O112" totalsRowShown="0" headerRowDxfId="99" dataDxfId="98">
  <autoFilter ref="A1:O112" xr:uid="{FFD507ED-FAB4-430C-8C2C-94F4D0765B7A}"/>
  <tableColumns count="15">
    <tableColumn id="1" xr3:uid="{2BA788C9-46C2-4D91-867B-08F6777F58BA}" name="Data" dataDxfId="97"/>
    <tableColumn id="2" xr3:uid="{7A8B33DE-2263-4E1F-AA4D-9ECF806063D4}" name="Emissão prevista na LB" dataDxfId="96"/>
    <tableColumn id="3" xr3:uid="{1E977F23-4346-4210-BB2A-E81272D9C38A}" name="Emissão prevista na LB acumulada" dataDxfId="95"/>
    <tableColumn id="4" xr3:uid="{43DFA97B-B3FA-4681-9DCA-6F313407447B}" name="Emissão realizada por dia" dataDxfId="94"/>
    <tableColumn id="5" xr3:uid="{E9227663-BDFC-40BB-85EA-9D647A0A1DCC}" name="Emissão realizada acumulada" dataDxfId="93"/>
    <tableColumn id="6" xr3:uid="{12FAFB75-F1F1-490E-B1A8-300717A84DFE}" name="Aprovação prevista na LB" dataDxfId="92"/>
    <tableColumn id="7" xr3:uid="{6DA59252-A1D7-44F1-8D7A-D066B61C6491}" name="Aprovação realizada por dia" dataDxfId="91"/>
    <tableColumn id="8" xr3:uid="{3F5627F3-C4AC-4B6D-8A26-A90B7297BD8C}" name="Aprovação prevista na LB acumulada" dataDxfId="90"/>
    <tableColumn id="9" xr3:uid="{10B44664-84AD-4A8C-8FC5-FEF80865B577}" name="Aprovação realizada acumulada" dataDxfId="89"/>
    <tableColumn id="10" xr3:uid="{E13EFC65-234F-44F5-AB4D-0EDB6393AAB2}" name="Avanço da EI previsto na LB" dataDxfId="88" dataCellStyle="Porcentagem"/>
    <tableColumn id="11" xr3:uid="{B075631A-76E4-43B5-A529-26FCD877A02B}" name="Avanço real da EI na LB" dataDxfId="87" dataCellStyle="Porcentagem"/>
    <tableColumn id="12" xr3:uid="{3FA1B610-4066-4506-AF9E-64FF1B260684}" name="COMP_EI" dataDxfId="86"/>
    <tableColumn id="13" xr3:uid="{63B0F676-EF97-4640-ADF6-BE22974D1EBC}" name="Avanço da AP previsto na LB" dataDxfId="85" dataCellStyle="Porcentagem"/>
    <tableColumn id="14" xr3:uid="{11544D90-F39D-4B0E-A5C8-31E6C8C03F58}" name="Avanço da AP real na LB" dataDxfId="84" dataCellStyle="Porcentagem"/>
    <tableColumn id="15" xr3:uid="{5D467BB8-E94D-44F1-A4DD-BB2CCE789CC8}" name="COMP_AP" dataDxfId="8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66E279E-5FC9-4662-AF28-001DE455CAF3}" name="Tabela5" displayName="Tabela5" ref="A1:AG86" totalsRowShown="0" headerRowDxfId="82" dataDxfId="81">
  <autoFilter ref="A1:AG86" xr:uid="{666E279E-5FC9-4662-AF28-001DE455CAF3}"/>
  <tableColumns count="33">
    <tableColumn id="1" xr3:uid="{08FB7300-E3CD-416A-81D9-AACFCC44E2C9}" name="Id" dataDxfId="80"/>
    <tableColumn id="2" xr3:uid="{115DDBA6-3140-4FD4-AC6F-11F0605AE842}" name="EDT" dataDxfId="79"/>
    <tableColumn id="3" xr3:uid="{22E2138E-2632-49FF-9A3B-06D925DCC5B9}" name="Nome do Resumo da Tarefa" dataDxfId="78"/>
    <tableColumn id="4" xr3:uid="{00ED908B-2B4B-4847-9511-18DF9944DA2F}" name="Nome da Tarefa" dataDxfId="77"/>
    <tableColumn id="5" xr3:uid="{C796D851-CF08-462E-9B0D-78BC8AD034FE}" name="Duração" dataDxfId="76"/>
    <tableColumn id="6" xr3:uid="{EEAD58CD-1250-4F04-A911-F0D7FD0B2866}" name="Início" dataDxfId="75"/>
    <tableColumn id="7" xr3:uid="{C667A2C5-1962-438E-B850-5E4B678C3EA7}" name="Término" dataDxfId="74"/>
    <tableColumn id="8" xr3:uid="{9C47BA2B-E79A-4ACD-8E9F-E589033C0DC8}" name="% concluída" dataDxfId="73" dataCellStyle="Porcentagem"/>
    <tableColumn id="9" xr3:uid="{A3541620-53D8-4C11-B04C-17A3F87B20BB}" name="Término real" dataDxfId="72"/>
    <tableColumn id="10" xr3:uid="{F6FE7333-E917-42A7-AD44-CD806915B59B}" name="Predecessoras" dataDxfId="71"/>
    <tableColumn id="11" xr3:uid="{E76A48CC-D698-4D92-9427-89360578479F}" name="Sucessoras" dataDxfId="70"/>
    <tableColumn id="12" xr3:uid="{8DF642C1-63ED-433F-BD3B-A88A9736C384}" name="Status" dataDxfId="69"/>
    <tableColumn id="13" xr3:uid="{84CCE551-39CA-4E9B-9EED-E22A36C440F5}" name="Início da Linha de Base" dataDxfId="68"/>
    <tableColumn id="14" xr3:uid="{1ADA8689-6426-4184-B7B2-6B32053C77B4}" name="Término da linha de base" dataDxfId="67"/>
    <tableColumn id="15" xr3:uid="{717BA1D7-656E-4F8F-B244-E3D2A4B68525}" name="Nomes dos recursos" dataDxfId="66"/>
    <tableColumn id="16" xr3:uid="{1E1F5F2C-C958-4775-BC25-B2F23E4043A6}" name="Disciplina" dataDxfId="65"/>
    <tableColumn id="17" xr3:uid="{8F5717F9-CF0F-4727-B81B-6EF6C0FB20D1}" name="Sprint" dataDxfId="64"/>
    <tableColumn id="18" xr3:uid="{8675E234-9A7A-4901-8810-F19E08AE0C52}" name="Crítica" dataDxfId="63"/>
    <tableColumn id="19" xr3:uid="{DA8DAFF1-EE2A-4653-91C1-1010148F5D80}" name="Início_LB_R0" dataDxfId="62"/>
    <tableColumn id="20" xr3:uid="{1C84E41D-8F06-40D4-B874-A97C1157A442}" name="Término_LB_R0" dataDxfId="61"/>
    <tableColumn id="21" xr3:uid="{F9618B8A-6782-4E00-ADEF-1960F8F5E16A}" name="Comparação" dataDxfId="60"/>
    <tableColumn id="22" xr3:uid="{11F9EA02-9F4C-4515-AB11-3521BD0758BF}" name="pct_val" dataDxfId="59"/>
    <tableColumn id="23" xr3:uid="{1BBCAD22-C042-413B-ACC1-BCE3D7989BF6}" name="Emissão inicial total" dataDxfId="58"/>
    <tableColumn id="24" xr3:uid="{BBE790F1-2D9E-4068-9E31-0DA2D9950FF2}" name="Emissão inicial concluída" dataDxfId="57"/>
    <tableColumn id="25" xr3:uid="{C72D8D1D-AF02-4CFF-AD1C-6FF36AF959D4}" name="Emissão Inicial Atrasada" dataDxfId="56"/>
    <tableColumn id="26" xr3:uid="{1E653FF8-06F9-43FD-BB56-7A90F9545361}" name="Aprovação total" dataDxfId="55"/>
    <tableColumn id="27" xr3:uid="{76C7E137-3A26-4DFF-BED9-5D57D2B6C46E}" name="Avaliação do cliente concluída" dataDxfId="54"/>
    <tableColumn id="28" xr3:uid="{9F29DBD0-D0EE-430D-9C23-7133F6418100}" name="Avaliação Cliente Atrasada" dataDxfId="53"/>
    <tableColumn id="29" xr3:uid="{A3469DD0-7851-438C-B8BF-8783CC187349}" name="Atendimento de comentário concluído" dataDxfId="52"/>
    <tableColumn id="30" xr3:uid="{6D648FE6-CC5D-44F6-8E22-EB736F7FE0A7}" name="Atendimento Atrasado" dataDxfId="51"/>
    <tableColumn id="31" xr3:uid="{81445B97-41A1-4B2A-96F0-33FEA4A3A122}" name="Aprovação concluída" dataDxfId="50"/>
    <tableColumn id="32" xr3:uid="{FE629583-AEAA-4533-80BE-EAAD110938AA}" name="Aprovação Atrasada" dataDxfId="49"/>
    <tableColumn id="33" xr3:uid="{DB0D4262-4C78-4A20-9FD1-E9D5D901BE6C}" name="Aderência" dataDxfId="48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4C9B0B9-4EDA-4CAD-BFA7-B6F8C91FF50C}" name="Tabela4" displayName="Tabela4" ref="A1:AG215" totalsRowShown="0" headerRowDxfId="47" dataDxfId="46">
  <autoFilter ref="A1:AG215" xr:uid="{A4C9B0B9-4EDA-4CAD-BFA7-B6F8C91FF50C}">
    <filterColumn colId="3">
      <filters>
        <filter val="emissão inicial"/>
      </filters>
    </filterColumn>
  </autoFilter>
  <tableColumns count="33">
    <tableColumn id="1" xr3:uid="{554FDD1D-46A2-4715-ACB7-D752D40F3D6C}" name="Id" dataDxfId="45"/>
    <tableColumn id="2" xr3:uid="{9B983304-520D-4FA8-A36C-7490EF883428}" name="EDT" dataDxfId="44"/>
    <tableColumn id="3" xr3:uid="{CFC74882-2513-4AAB-A77E-3DD3B29FA50F}" name="Nome do Resumo da Tarefa" dataDxfId="43"/>
    <tableColumn id="4" xr3:uid="{E485374B-4763-45C1-AAFA-D369A2626245}" name="Nome da Tarefa" dataDxfId="42"/>
    <tableColumn id="5" xr3:uid="{CFD2BA84-C08F-4A9F-80A8-4E4AD5A39E82}" name="Duração" dataDxfId="41"/>
    <tableColumn id="6" xr3:uid="{06520EF7-91AD-47B3-ACD3-03FF3CB74B84}" name="Início" dataDxfId="40"/>
    <tableColumn id="7" xr3:uid="{10EA7E48-0FD5-45D4-BE03-9C2FFD3B288A}" name="Término" dataDxfId="39"/>
    <tableColumn id="8" xr3:uid="{850C7034-3523-4521-969F-AB07C450F956}" name="% concluída" dataDxfId="38" dataCellStyle="Porcentagem"/>
    <tableColumn id="9" xr3:uid="{5C8BE93F-1B8C-45DF-B5D7-1A076B03391A}" name="Término real" dataDxfId="37"/>
    <tableColumn id="10" xr3:uid="{50A9B87B-39F5-4235-9F59-8F5E038D75D1}" name="Predecessoras" dataDxfId="36"/>
    <tableColumn id="11" xr3:uid="{2497D8DF-1949-40BC-BDAF-E0837B2D02C3}" name="Sucessoras" dataDxfId="35"/>
    <tableColumn id="12" xr3:uid="{E0A3E6C2-248A-4330-BADC-8DFE9526FEB4}" name="Status" dataDxfId="34"/>
    <tableColumn id="13" xr3:uid="{3CF085AE-3BDA-452E-BF88-A81E9FED874F}" name="Início da Linha de Base" dataDxfId="33"/>
    <tableColumn id="14" xr3:uid="{FF9B1C6C-3A31-4906-A24E-6BE30782DE79}" name="Término da linha de base" dataDxfId="32"/>
    <tableColumn id="15" xr3:uid="{3874F0AE-7AA2-4D45-A756-0FA05646DEC1}" name="Nomes dos recursos" dataDxfId="31"/>
    <tableColumn id="16" xr3:uid="{4FD69285-3DE4-420F-BD64-9FD48585FD21}" name="Disciplina" dataDxfId="30"/>
    <tableColumn id="17" xr3:uid="{58A7A510-53D4-43F3-881B-AFAA19E34ED8}" name="Sprint" dataDxfId="29"/>
    <tableColumn id="18" xr3:uid="{62C0672A-A798-403D-831F-56B79819E3E8}" name="Crítica" dataDxfId="28"/>
    <tableColumn id="19" xr3:uid="{3D6C6811-BE4B-4B98-A5B3-56C10C193F1D}" name="Início_LB_R0" dataDxfId="27"/>
    <tableColumn id="20" xr3:uid="{FDCDD6CA-CE4B-4344-806F-8A5090DAD5A5}" name="Término_LB_R0" dataDxfId="26"/>
    <tableColumn id="21" xr3:uid="{CBA042F5-F0DA-4949-BBE2-E5D31BED36C9}" name="Comparação" dataDxfId="25"/>
    <tableColumn id="22" xr3:uid="{F6E44398-2910-46E7-AF80-15AE4C9BCE50}" name="pct_val" dataDxfId="24"/>
    <tableColumn id="23" xr3:uid="{CC04406B-60C8-44D7-B387-700ED42846F1}" name="Emissão inicial total" dataDxfId="23"/>
    <tableColumn id="24" xr3:uid="{31FAC429-0060-45DB-9EBC-57B34DCBEC11}" name="Emissão inicial concluída" dataDxfId="22"/>
    <tableColumn id="25" xr3:uid="{2A7EBE08-8C87-4DD5-9437-D75A0E9F164D}" name="Emissão Inicial Atrasada" dataDxfId="21"/>
    <tableColumn id="26" xr3:uid="{E18DB4B6-9F3F-4F76-B5D9-529957808390}" name="Aprovação total" dataDxfId="20"/>
    <tableColumn id="27" xr3:uid="{D5A714EF-A3F3-4CB4-92A0-C43F5DECEE58}" name="Avaliação do cliente concluída" dataDxfId="19"/>
    <tableColumn id="28" xr3:uid="{9DDC8459-91B2-4751-A381-48A2AF140EE5}" name="Avaliação Cliente Atrasada" dataDxfId="18"/>
    <tableColumn id="29" xr3:uid="{28EFAFB7-ACF6-4F62-ADA5-3C374DFE0C91}" name="Atendimento de comentário concluído" dataDxfId="17"/>
    <tableColumn id="30" xr3:uid="{4D0E0326-E962-4F6B-BA4B-8905D15540B3}" name="Atendimento Atrasado" dataDxfId="16"/>
    <tableColumn id="31" xr3:uid="{55880FC5-07D2-480D-BF77-4905665E5FB9}" name="Aprovação concluída" dataDxfId="15"/>
    <tableColumn id="32" xr3:uid="{927AD614-9434-4E54-B3DF-9535C9AFCCBC}" name="Aprovação Atrasada" dataDxfId="14"/>
    <tableColumn id="33" xr3:uid="{DA5D5B26-0320-4D3F-A731-536CEFC38048}" name="Aderência" dataDxfId="1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6957F0E-B987-45F6-B007-947AA144CCBC}" name="Tabela2" displayName="Tabela2" ref="A1:K264" totalsRowShown="0" headerRowDxfId="151" dataDxfId="150">
  <autoFilter ref="A1:K264" xr:uid="{36957F0E-B987-45F6-B007-947AA144CCBC}"/>
  <tableColumns count="11">
    <tableColumn id="1" xr3:uid="{B59E174D-2649-40EA-8743-EC12BD801DDF}" name="Sprint" dataDxfId="149"/>
    <tableColumn id="2" xr3:uid="{5481F32D-8CDC-4C0D-B2CB-2A10F7D22E05}" name="Id" dataDxfId="148"/>
    <tableColumn id="3" xr3:uid="{4FB28A64-9744-425C-8DC7-FBC556700F2A}" name="EDT" dataDxfId="147"/>
    <tableColumn id="4" xr3:uid="{03B3F43C-3370-43B6-AB89-39C8810C67FF}" name="Nome do Resumo da Tarefa" dataDxfId="146"/>
    <tableColumn id="5" xr3:uid="{19DD0545-D3AD-43BB-93F7-B7EC57A802C5}" name="Nome da Tarefa" dataDxfId="145"/>
    <tableColumn id="6" xr3:uid="{14347972-0451-4164-B313-6EFD17D104D8}" name="Status" dataDxfId="144"/>
    <tableColumn id="7" xr3:uid="{C28BD3F8-8B14-4E82-AD03-F2665C4DB295}" name="% concluída" dataDxfId="143" dataCellStyle="Porcentagem"/>
    <tableColumn id="8" xr3:uid="{14D41470-FD21-42AB-9882-43C743EAB369}" name="Nomes dos recursos" dataDxfId="142"/>
    <tableColumn id="9" xr3:uid="{9D9FCD44-AD60-40D6-A6E5-D55AE52E4947}" name="Disciplina" dataDxfId="141"/>
    <tableColumn id="10" xr3:uid="{B1842BE0-4C79-4AC5-8292-EFA48C49A080}" name="Crítica" dataDxfId="140"/>
    <tableColumn id="11" xr3:uid="{CD023E48-EA20-4CFE-A00F-22DEFBE63EBC}" name="Coluna1" dataDxfId="139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DFF5FE9-CD4F-43DB-880E-34E81F55069C}" name="Tabela3" displayName="Tabela3" ref="A1:K62" totalsRowShown="0" headerRowDxfId="12" dataDxfId="11">
  <autoFilter ref="A1:K62" xr:uid="{EDFF5FE9-CD4F-43DB-880E-34E81F55069C}">
    <filterColumn colId="4">
      <filters>
        <filter val="emissão inicial"/>
      </filters>
    </filterColumn>
  </autoFilter>
  <tableColumns count="11">
    <tableColumn id="1" xr3:uid="{6967C580-415B-469A-A3AE-7C17EEDF2CFC}" name="Sprint" dataDxfId="10"/>
    <tableColumn id="2" xr3:uid="{AF1DFEEF-F243-41CC-85EE-6B8E47F38904}" name="Id" dataDxfId="9"/>
    <tableColumn id="3" xr3:uid="{1701D73A-E6C9-4761-9320-7544932103B5}" name="EDT" dataDxfId="8"/>
    <tableColumn id="4" xr3:uid="{CD7F919B-59F4-4C94-9AED-C562B1714A74}" name="Nome do Resumo da Tarefa" dataDxfId="7"/>
    <tableColumn id="5" xr3:uid="{60741F7F-E3D6-48EF-A348-B86FC8AFA7E5}" name="Nome da Tarefa" dataDxfId="6"/>
    <tableColumn id="6" xr3:uid="{8BE829F8-C705-4ADC-BA33-90D38DC11BCC}" name="Status" dataDxfId="5"/>
    <tableColumn id="7" xr3:uid="{7C1F5DC9-D47C-48F9-90B6-12DCFEC9A51D}" name="% concluída" dataDxfId="4"/>
    <tableColumn id="8" xr3:uid="{44FEBA6B-5438-404D-AA6E-0B48A080315F}" name="Nomes dos recursos" dataDxfId="3"/>
    <tableColumn id="9" xr3:uid="{4BACAE93-234A-4E07-AEDD-0BD0C1D09D41}" name="Disciplina" dataDxfId="2"/>
    <tableColumn id="10" xr3:uid="{0F7EE2AD-CF39-4B25-834D-E5C6F47A6E22}" name="Crítica" dataDxfId="1"/>
    <tableColumn id="11" xr3:uid="{60040FD7-DDE3-492B-B803-1A0CF5E5CBD2}" name="Coluna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581"/>
  <sheetViews>
    <sheetView workbookViewId="0">
      <selection activeCell="F8" sqref="F8"/>
    </sheetView>
  </sheetViews>
  <sheetFormatPr defaultRowHeight="15" x14ac:dyDescent="0.25"/>
  <cols>
    <col min="1" max="1" width="4.85546875" customWidth="1"/>
    <col min="2" max="2" width="10.28515625" bestFit="1" customWidth="1"/>
    <col min="3" max="3" width="27.42578125" bestFit="1" customWidth="1"/>
    <col min="4" max="4" width="34.5703125" bestFit="1" customWidth="1"/>
    <col min="5" max="5" width="10.28515625" customWidth="1"/>
    <col min="6" max="7" width="18.28515625" style="2" bestFit="1" customWidth="1"/>
    <col min="8" max="8" width="13.42578125" style="4" customWidth="1"/>
    <col min="9" max="9" width="18.28515625" style="2" bestFit="1" customWidth="1"/>
    <col min="10" max="10" width="37.42578125" bestFit="1" customWidth="1"/>
    <col min="11" max="11" width="121" bestFit="1" customWidth="1"/>
    <col min="12" max="12" width="12.42578125" bestFit="1" customWidth="1"/>
    <col min="13" max="13" width="22.85546875" customWidth="1"/>
    <col min="14" max="14" width="25.28515625" customWidth="1"/>
    <col min="15" max="15" width="20.85546875" customWidth="1"/>
    <col min="16" max="16" width="32.140625" bestFit="1" customWidth="1"/>
    <col min="17" max="17" width="14.5703125" bestFit="1" customWidth="1"/>
    <col min="18" max="18" width="8.5703125" customWidth="1"/>
    <col min="19" max="20" width="18.28515625" bestFit="1" customWidth="1"/>
    <col min="21" max="21" width="14.28515625" bestFit="1" customWidth="1"/>
    <col min="22" max="22" width="9.42578125" customWidth="1"/>
    <col min="23" max="23" width="20.5703125" customWidth="1"/>
    <col min="24" max="24" width="24.7109375" customWidth="1"/>
    <col min="25" max="25" width="24.140625" customWidth="1"/>
    <col min="26" max="26" width="17" customWidth="1"/>
    <col min="27" max="27" width="29.5703125" customWidth="1"/>
    <col min="28" max="28" width="26.5703125" customWidth="1"/>
    <col min="29" max="29" width="37.140625" customWidth="1"/>
    <col min="30" max="30" width="23.28515625" customWidth="1"/>
    <col min="31" max="31" width="21.140625" customWidth="1"/>
    <col min="32" max="32" width="20.5703125" customWidth="1"/>
    <col min="33" max="33" width="12.140625" customWidth="1"/>
  </cols>
  <sheetData>
    <row r="1" spans="1:3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s="2" t="s">
        <v>5</v>
      </c>
      <c r="G1" s="2" t="s">
        <v>6</v>
      </c>
      <c r="H1" s="4" t="s">
        <v>7</v>
      </c>
      <c r="I1" s="2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</row>
    <row r="2" spans="1:33" x14ac:dyDescent="0.25">
      <c r="A2">
        <v>1</v>
      </c>
      <c r="B2">
        <v>1</v>
      </c>
      <c r="D2" t="s">
        <v>33</v>
      </c>
      <c r="E2" t="s">
        <v>34</v>
      </c>
      <c r="F2" s="2">
        <v>46139</v>
      </c>
      <c r="G2" s="2">
        <v>46230</v>
      </c>
      <c r="H2" s="4">
        <v>0.45</v>
      </c>
      <c r="L2" t="s">
        <v>35</v>
      </c>
      <c r="M2" t="s">
        <v>36</v>
      </c>
      <c r="N2" s="1">
        <v>46211</v>
      </c>
      <c r="P2" t="s">
        <v>37</v>
      </c>
      <c r="Q2" t="s">
        <v>38</v>
      </c>
      <c r="R2" t="s">
        <v>39</v>
      </c>
      <c r="S2" s="1">
        <v>46139</v>
      </c>
      <c r="T2" s="1">
        <v>46211</v>
      </c>
      <c r="V2">
        <v>0.45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</row>
    <row r="3" spans="1:33" x14ac:dyDescent="0.25">
      <c r="A3">
        <v>2</v>
      </c>
      <c r="B3" t="s">
        <v>40</v>
      </c>
      <c r="C3" t="s">
        <v>41</v>
      </c>
      <c r="D3" t="s">
        <v>42</v>
      </c>
      <c r="E3" t="s">
        <v>43</v>
      </c>
      <c r="F3" s="2">
        <v>46161</v>
      </c>
      <c r="G3" s="2">
        <v>46196</v>
      </c>
      <c r="H3" s="4">
        <v>0.5</v>
      </c>
      <c r="L3" t="s">
        <v>35</v>
      </c>
      <c r="M3" t="s">
        <v>44</v>
      </c>
      <c r="N3" s="1">
        <v>46164</v>
      </c>
      <c r="P3" t="s">
        <v>37</v>
      </c>
      <c r="Q3" t="s">
        <v>45</v>
      </c>
      <c r="R3" t="s">
        <v>39</v>
      </c>
      <c r="S3" s="1">
        <v>46161</v>
      </c>
      <c r="T3" s="1">
        <v>46164</v>
      </c>
      <c r="V3">
        <v>0.5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</row>
    <row r="4" spans="1:33" x14ac:dyDescent="0.25">
      <c r="A4">
        <v>3</v>
      </c>
      <c r="B4" t="s">
        <v>46</v>
      </c>
      <c r="C4" t="s">
        <v>47</v>
      </c>
      <c r="D4" t="s">
        <v>48</v>
      </c>
      <c r="E4" t="s">
        <v>43</v>
      </c>
      <c r="F4" s="2">
        <v>46161</v>
      </c>
      <c r="G4" s="2">
        <v>46196</v>
      </c>
      <c r="H4" s="4">
        <v>0.5</v>
      </c>
      <c r="L4" t="s">
        <v>35</v>
      </c>
      <c r="M4" t="s">
        <v>44</v>
      </c>
      <c r="N4" s="1">
        <v>46164</v>
      </c>
      <c r="P4" t="s">
        <v>49</v>
      </c>
      <c r="Q4" t="s">
        <v>45</v>
      </c>
      <c r="R4" t="s">
        <v>39</v>
      </c>
      <c r="S4" s="1">
        <v>46161</v>
      </c>
      <c r="T4" s="1">
        <v>46164</v>
      </c>
      <c r="V4">
        <v>0.5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</row>
    <row r="5" spans="1:33" x14ac:dyDescent="0.25">
      <c r="A5">
        <v>4</v>
      </c>
      <c r="B5" t="s">
        <v>50</v>
      </c>
      <c r="C5" t="s">
        <v>51</v>
      </c>
      <c r="D5" t="s">
        <v>52</v>
      </c>
      <c r="E5" t="s">
        <v>53</v>
      </c>
      <c r="F5" s="2">
        <v>46178</v>
      </c>
      <c r="G5" s="2">
        <v>46178</v>
      </c>
      <c r="H5" s="4">
        <v>0</v>
      </c>
      <c r="K5" t="s">
        <v>54</v>
      </c>
      <c r="L5" t="s">
        <v>35</v>
      </c>
      <c r="M5" t="s">
        <v>44</v>
      </c>
      <c r="N5" s="1">
        <v>46161</v>
      </c>
      <c r="P5" t="s">
        <v>49</v>
      </c>
      <c r="Q5" t="s">
        <v>38</v>
      </c>
      <c r="R5" t="s">
        <v>55</v>
      </c>
      <c r="S5" s="1">
        <v>46161</v>
      </c>
      <c r="T5" s="1">
        <v>46161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</row>
    <row r="6" spans="1:33" x14ac:dyDescent="0.25">
      <c r="A6">
        <v>5</v>
      </c>
      <c r="B6" t="s">
        <v>56</v>
      </c>
      <c r="C6" t="s">
        <v>51</v>
      </c>
      <c r="D6" t="s">
        <v>57</v>
      </c>
      <c r="E6" t="s">
        <v>53</v>
      </c>
      <c r="F6" s="2">
        <v>46161</v>
      </c>
      <c r="G6" s="2">
        <v>46161</v>
      </c>
      <c r="H6" s="4">
        <v>1</v>
      </c>
      <c r="I6" s="2">
        <v>46161</v>
      </c>
      <c r="K6" t="s">
        <v>58</v>
      </c>
      <c r="L6" t="s">
        <v>59</v>
      </c>
      <c r="M6" t="s">
        <v>44</v>
      </c>
      <c r="N6" s="1">
        <v>46161</v>
      </c>
      <c r="P6" t="s">
        <v>49</v>
      </c>
      <c r="Q6" t="s">
        <v>45</v>
      </c>
      <c r="R6" t="s">
        <v>55</v>
      </c>
      <c r="S6" s="1">
        <v>46161</v>
      </c>
      <c r="T6" s="1">
        <v>46161</v>
      </c>
      <c r="V6">
        <v>1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</row>
    <row r="7" spans="1:33" x14ac:dyDescent="0.25">
      <c r="A7">
        <v>6</v>
      </c>
      <c r="B7" t="s">
        <v>60</v>
      </c>
      <c r="C7" t="s">
        <v>51</v>
      </c>
      <c r="D7" t="s">
        <v>61</v>
      </c>
      <c r="E7" t="s">
        <v>53</v>
      </c>
      <c r="F7" s="2">
        <v>46164</v>
      </c>
      <c r="G7" s="2">
        <v>46164</v>
      </c>
      <c r="H7" s="4">
        <v>1</v>
      </c>
      <c r="I7" s="2">
        <v>46164</v>
      </c>
      <c r="K7">
        <v>206</v>
      </c>
      <c r="L7" t="s">
        <v>59</v>
      </c>
      <c r="M7" t="s">
        <v>62</v>
      </c>
      <c r="N7" s="1">
        <v>46164</v>
      </c>
      <c r="P7" t="s">
        <v>49</v>
      </c>
      <c r="Q7" t="s">
        <v>45</v>
      </c>
      <c r="R7" t="s">
        <v>55</v>
      </c>
      <c r="S7" s="1">
        <v>46164</v>
      </c>
      <c r="T7" s="1">
        <v>46164</v>
      </c>
      <c r="V7">
        <v>1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</row>
    <row r="8" spans="1:33" x14ac:dyDescent="0.25">
      <c r="A8">
        <v>7</v>
      </c>
      <c r="B8" t="s">
        <v>63</v>
      </c>
      <c r="C8" t="s">
        <v>51</v>
      </c>
      <c r="D8" t="s">
        <v>64</v>
      </c>
      <c r="E8" t="s">
        <v>53</v>
      </c>
      <c r="F8" s="2">
        <v>46178</v>
      </c>
      <c r="G8" s="2">
        <v>46178</v>
      </c>
      <c r="H8" s="4">
        <v>1</v>
      </c>
      <c r="I8" s="2">
        <v>46178</v>
      </c>
      <c r="K8">
        <v>413</v>
      </c>
      <c r="L8" t="s">
        <v>59</v>
      </c>
      <c r="M8" t="s">
        <v>62</v>
      </c>
      <c r="N8" s="1">
        <v>46164</v>
      </c>
      <c r="P8" t="s">
        <v>49</v>
      </c>
      <c r="Q8" t="s">
        <v>65</v>
      </c>
      <c r="R8" t="s">
        <v>55</v>
      </c>
      <c r="S8" s="1">
        <v>46164</v>
      </c>
      <c r="T8" s="1">
        <v>46164</v>
      </c>
      <c r="V8">
        <v>1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</row>
    <row r="9" spans="1:33" x14ac:dyDescent="0.25">
      <c r="A9">
        <v>8</v>
      </c>
      <c r="B9" t="s">
        <v>66</v>
      </c>
      <c r="C9" t="s">
        <v>51</v>
      </c>
      <c r="D9" t="s">
        <v>67</v>
      </c>
      <c r="E9" t="s">
        <v>53</v>
      </c>
      <c r="F9" s="2">
        <v>46178</v>
      </c>
      <c r="G9" s="2">
        <v>46178</v>
      </c>
      <c r="H9" s="4">
        <v>0</v>
      </c>
      <c r="K9">
        <v>478</v>
      </c>
      <c r="L9" t="s">
        <v>35</v>
      </c>
      <c r="M9" t="s">
        <v>62</v>
      </c>
      <c r="N9" s="1">
        <v>46164</v>
      </c>
      <c r="P9" t="s">
        <v>49</v>
      </c>
      <c r="Q9" t="s">
        <v>65</v>
      </c>
      <c r="R9" t="s">
        <v>55</v>
      </c>
      <c r="S9" s="1">
        <v>46164</v>
      </c>
      <c r="T9" s="1">
        <v>46164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</row>
    <row r="10" spans="1:33" x14ac:dyDescent="0.25">
      <c r="A10">
        <v>9</v>
      </c>
      <c r="B10" t="s">
        <v>68</v>
      </c>
      <c r="C10" t="s">
        <v>51</v>
      </c>
      <c r="D10" t="s">
        <v>69</v>
      </c>
      <c r="E10" t="s">
        <v>53</v>
      </c>
      <c r="F10" s="2">
        <v>46196</v>
      </c>
      <c r="G10" s="2">
        <v>46196</v>
      </c>
      <c r="H10" s="4">
        <v>0</v>
      </c>
      <c r="K10">
        <v>332</v>
      </c>
      <c r="L10" t="s">
        <v>35</v>
      </c>
      <c r="M10" t="s">
        <v>62</v>
      </c>
      <c r="N10" s="1">
        <v>46164</v>
      </c>
      <c r="P10" t="s">
        <v>49</v>
      </c>
      <c r="Q10" t="s">
        <v>38</v>
      </c>
      <c r="R10" t="s">
        <v>55</v>
      </c>
      <c r="S10" s="1">
        <v>46164</v>
      </c>
      <c r="T10" s="1">
        <v>46164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</row>
    <row r="11" spans="1:33" x14ac:dyDescent="0.25">
      <c r="A11">
        <v>10</v>
      </c>
      <c r="B11" t="s">
        <v>70</v>
      </c>
      <c r="C11" t="s">
        <v>41</v>
      </c>
      <c r="D11" t="s">
        <v>71</v>
      </c>
      <c r="E11" t="s">
        <v>34</v>
      </c>
      <c r="F11" s="2">
        <v>46139</v>
      </c>
      <c r="G11" s="2">
        <v>46230</v>
      </c>
      <c r="H11" s="4">
        <v>0.45</v>
      </c>
      <c r="L11" t="s">
        <v>35</v>
      </c>
      <c r="M11" t="s">
        <v>36</v>
      </c>
      <c r="N11" s="1">
        <v>46211</v>
      </c>
      <c r="P11" t="s">
        <v>37</v>
      </c>
      <c r="Q11" t="s">
        <v>38</v>
      </c>
      <c r="R11" t="s">
        <v>39</v>
      </c>
      <c r="S11" s="1">
        <v>46139</v>
      </c>
      <c r="T11" s="1">
        <v>46211</v>
      </c>
      <c r="V11">
        <v>0.45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</row>
    <row r="12" spans="1:33" x14ac:dyDescent="0.25">
      <c r="A12">
        <v>11</v>
      </c>
      <c r="B12" t="s">
        <v>72</v>
      </c>
      <c r="C12" t="s">
        <v>73</v>
      </c>
      <c r="D12" t="s">
        <v>74</v>
      </c>
      <c r="E12" t="s">
        <v>75</v>
      </c>
      <c r="F12" s="2">
        <v>46139</v>
      </c>
      <c r="G12" s="2">
        <v>46139</v>
      </c>
      <c r="H12" s="4">
        <v>1</v>
      </c>
      <c r="I12" s="2">
        <v>46139</v>
      </c>
      <c r="K12" t="s">
        <v>76</v>
      </c>
      <c r="L12" t="s">
        <v>59</v>
      </c>
      <c r="M12" t="s">
        <v>36</v>
      </c>
      <c r="N12" s="1">
        <v>46139</v>
      </c>
      <c r="P12" t="s">
        <v>37</v>
      </c>
      <c r="Q12" t="s">
        <v>38</v>
      </c>
      <c r="R12" t="s">
        <v>55</v>
      </c>
      <c r="S12" s="1">
        <v>46139</v>
      </c>
      <c r="T12" s="1">
        <v>46139</v>
      </c>
      <c r="V12">
        <v>1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</row>
    <row r="13" spans="1:33" x14ac:dyDescent="0.25">
      <c r="A13">
        <v>12</v>
      </c>
      <c r="B13" t="s">
        <v>77</v>
      </c>
      <c r="C13" t="s">
        <v>73</v>
      </c>
      <c r="D13" t="s">
        <v>78</v>
      </c>
      <c r="E13" t="s">
        <v>79</v>
      </c>
      <c r="F13" s="2">
        <v>46141</v>
      </c>
      <c r="G13" s="2">
        <v>46141</v>
      </c>
      <c r="H13" s="4">
        <v>1</v>
      </c>
      <c r="I13" s="2">
        <v>46141</v>
      </c>
      <c r="L13" t="s">
        <v>59</v>
      </c>
      <c r="M13" t="s">
        <v>80</v>
      </c>
      <c r="N13" s="1">
        <v>46141</v>
      </c>
      <c r="P13" t="s">
        <v>81</v>
      </c>
      <c r="Q13" t="s">
        <v>38</v>
      </c>
      <c r="R13" t="s">
        <v>55</v>
      </c>
      <c r="S13" s="1">
        <v>46141</v>
      </c>
      <c r="T13" s="1">
        <v>46141</v>
      </c>
      <c r="V13">
        <v>1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</row>
    <row r="14" spans="1:33" x14ac:dyDescent="0.25">
      <c r="A14">
        <v>13</v>
      </c>
      <c r="B14" t="s">
        <v>82</v>
      </c>
      <c r="C14" t="s">
        <v>83</v>
      </c>
      <c r="D14" t="s">
        <v>84</v>
      </c>
      <c r="E14" t="s">
        <v>75</v>
      </c>
      <c r="F14" s="2">
        <v>46141</v>
      </c>
      <c r="G14" s="2">
        <v>46141</v>
      </c>
      <c r="H14" s="4">
        <v>1</v>
      </c>
      <c r="I14" s="2">
        <v>46141</v>
      </c>
      <c r="L14" t="s">
        <v>59</v>
      </c>
      <c r="M14" t="s">
        <v>80</v>
      </c>
      <c r="N14" s="1">
        <v>46141</v>
      </c>
      <c r="P14" t="s">
        <v>81</v>
      </c>
      <c r="Q14" t="s">
        <v>38</v>
      </c>
      <c r="R14" t="s">
        <v>55</v>
      </c>
      <c r="S14" s="1">
        <v>46141</v>
      </c>
      <c r="T14" s="1">
        <v>46141</v>
      </c>
      <c r="V14">
        <v>1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</row>
    <row r="15" spans="1:33" x14ac:dyDescent="0.25">
      <c r="A15">
        <v>14</v>
      </c>
      <c r="B15" t="s">
        <v>85</v>
      </c>
      <c r="C15" t="s">
        <v>73</v>
      </c>
      <c r="D15" t="s">
        <v>86</v>
      </c>
      <c r="E15" t="s">
        <v>87</v>
      </c>
      <c r="F15" s="2">
        <v>46139</v>
      </c>
      <c r="G15" s="2">
        <v>46174</v>
      </c>
      <c r="H15" s="4">
        <v>1</v>
      </c>
      <c r="I15" s="2">
        <v>46174</v>
      </c>
      <c r="L15" t="s">
        <v>59</v>
      </c>
      <c r="M15" t="s">
        <v>36</v>
      </c>
      <c r="N15" s="1">
        <v>46161</v>
      </c>
      <c r="P15" t="s">
        <v>88</v>
      </c>
      <c r="Q15" t="s">
        <v>38</v>
      </c>
      <c r="R15" t="s">
        <v>55</v>
      </c>
      <c r="S15" s="1">
        <v>46139</v>
      </c>
      <c r="T15" s="1">
        <v>46161</v>
      </c>
      <c r="V15">
        <v>1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</row>
    <row r="16" spans="1:33" x14ac:dyDescent="0.25">
      <c r="A16">
        <v>15</v>
      </c>
      <c r="B16" t="s">
        <v>89</v>
      </c>
      <c r="C16" t="s">
        <v>90</v>
      </c>
      <c r="D16" t="s">
        <v>91</v>
      </c>
      <c r="E16" t="s">
        <v>43</v>
      </c>
      <c r="F16" s="2">
        <v>46139</v>
      </c>
      <c r="G16" s="2">
        <v>46170</v>
      </c>
      <c r="H16" s="4">
        <v>1</v>
      </c>
      <c r="I16" s="2">
        <v>46170</v>
      </c>
      <c r="L16" t="s">
        <v>59</v>
      </c>
      <c r="M16" t="s">
        <v>36</v>
      </c>
      <c r="N16" s="1">
        <v>46161</v>
      </c>
      <c r="P16" t="s">
        <v>88</v>
      </c>
      <c r="Q16" t="s">
        <v>38</v>
      </c>
      <c r="R16" t="s">
        <v>55</v>
      </c>
      <c r="S16" s="1">
        <v>46139</v>
      </c>
      <c r="T16" s="1">
        <v>46161</v>
      </c>
      <c r="V16">
        <v>1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</row>
    <row r="17" spans="1:33" x14ac:dyDescent="0.25">
      <c r="A17">
        <v>16</v>
      </c>
      <c r="B17" t="s">
        <v>92</v>
      </c>
      <c r="C17" t="s">
        <v>93</v>
      </c>
      <c r="D17" t="s">
        <v>94</v>
      </c>
      <c r="E17" t="s">
        <v>95</v>
      </c>
      <c r="F17" s="2">
        <v>46139</v>
      </c>
      <c r="G17" s="2">
        <v>46141</v>
      </c>
      <c r="H17" s="4">
        <v>1</v>
      </c>
      <c r="I17" s="2">
        <v>46141</v>
      </c>
      <c r="J17">
        <v>11</v>
      </c>
      <c r="K17" t="s">
        <v>96</v>
      </c>
      <c r="L17" t="s">
        <v>59</v>
      </c>
      <c r="M17" t="s">
        <v>36</v>
      </c>
      <c r="N17" s="1">
        <v>46141</v>
      </c>
      <c r="P17" t="s">
        <v>88</v>
      </c>
      <c r="Q17" t="s">
        <v>38</v>
      </c>
      <c r="R17" t="s">
        <v>55</v>
      </c>
      <c r="S17" s="1">
        <v>46139</v>
      </c>
      <c r="T17" s="1">
        <v>46141</v>
      </c>
      <c r="V17">
        <v>1</v>
      </c>
      <c r="W17">
        <v>1</v>
      </c>
      <c r="X17">
        <v>1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1</v>
      </c>
    </row>
    <row r="18" spans="1:33" x14ac:dyDescent="0.25">
      <c r="A18">
        <v>17</v>
      </c>
      <c r="B18" t="s">
        <v>97</v>
      </c>
      <c r="C18" t="s">
        <v>93</v>
      </c>
      <c r="D18" t="s">
        <v>98</v>
      </c>
      <c r="E18" t="s">
        <v>53</v>
      </c>
      <c r="F18" s="2">
        <v>46142</v>
      </c>
      <c r="G18" s="2">
        <v>46142</v>
      </c>
      <c r="H18" s="4">
        <v>1</v>
      </c>
      <c r="I18" s="2">
        <v>46142</v>
      </c>
      <c r="J18">
        <v>16</v>
      </c>
      <c r="K18" t="s">
        <v>99</v>
      </c>
      <c r="L18" t="s">
        <v>59</v>
      </c>
      <c r="M18" t="s">
        <v>100</v>
      </c>
      <c r="N18" s="1">
        <v>46142</v>
      </c>
      <c r="P18" t="s">
        <v>88</v>
      </c>
      <c r="Q18" t="s">
        <v>38</v>
      </c>
      <c r="R18" t="s">
        <v>55</v>
      </c>
      <c r="S18" s="1">
        <v>46142</v>
      </c>
      <c r="T18" s="1">
        <v>46142</v>
      </c>
      <c r="V18">
        <v>1</v>
      </c>
      <c r="W18">
        <v>0</v>
      </c>
      <c r="X18">
        <v>0</v>
      </c>
      <c r="Y18">
        <v>0</v>
      </c>
      <c r="Z18">
        <v>0</v>
      </c>
      <c r="AA18">
        <v>1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</row>
    <row r="19" spans="1:33" x14ac:dyDescent="0.25">
      <c r="A19">
        <v>18</v>
      </c>
      <c r="B19" t="s">
        <v>101</v>
      </c>
      <c r="C19" t="s">
        <v>93</v>
      </c>
      <c r="D19" t="s">
        <v>102</v>
      </c>
      <c r="E19" t="s">
        <v>103</v>
      </c>
      <c r="F19" s="2">
        <v>46148</v>
      </c>
      <c r="G19" s="2">
        <v>46155</v>
      </c>
      <c r="H19" s="4">
        <v>1</v>
      </c>
      <c r="I19" s="2">
        <v>46155</v>
      </c>
      <c r="J19" t="s">
        <v>104</v>
      </c>
      <c r="K19" t="s">
        <v>105</v>
      </c>
      <c r="L19" t="s">
        <v>59</v>
      </c>
      <c r="M19" t="s">
        <v>106</v>
      </c>
      <c r="N19" s="1">
        <v>46155</v>
      </c>
      <c r="P19" t="s">
        <v>88</v>
      </c>
      <c r="Q19" t="s">
        <v>38</v>
      </c>
      <c r="R19" t="s">
        <v>55</v>
      </c>
      <c r="S19" s="1">
        <v>46148</v>
      </c>
      <c r="T19" s="1">
        <v>46155</v>
      </c>
      <c r="V19">
        <v>1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1</v>
      </c>
      <c r="AD19">
        <v>0</v>
      </c>
      <c r="AE19">
        <v>0</v>
      </c>
      <c r="AF19">
        <v>0</v>
      </c>
      <c r="AG19">
        <v>0</v>
      </c>
    </row>
    <row r="20" spans="1:33" x14ac:dyDescent="0.25">
      <c r="A20">
        <v>19</v>
      </c>
      <c r="B20" t="s">
        <v>107</v>
      </c>
      <c r="C20" t="s">
        <v>93</v>
      </c>
      <c r="D20" t="s">
        <v>108</v>
      </c>
      <c r="E20" t="s">
        <v>53</v>
      </c>
      <c r="F20" s="2">
        <v>46170</v>
      </c>
      <c r="G20" s="2">
        <v>46170</v>
      </c>
      <c r="H20" s="4">
        <v>1</v>
      </c>
      <c r="I20" s="2">
        <v>46170</v>
      </c>
      <c r="J20" t="s">
        <v>109</v>
      </c>
      <c r="L20" t="s">
        <v>59</v>
      </c>
      <c r="M20" t="s">
        <v>44</v>
      </c>
      <c r="N20" s="1">
        <v>46161</v>
      </c>
      <c r="P20" t="s">
        <v>88</v>
      </c>
      <c r="Q20" t="s">
        <v>110</v>
      </c>
      <c r="R20" t="s">
        <v>55</v>
      </c>
      <c r="S20" s="1">
        <v>46161</v>
      </c>
      <c r="T20" s="1">
        <v>46161</v>
      </c>
      <c r="V20">
        <v>1</v>
      </c>
      <c r="W20">
        <v>0</v>
      </c>
      <c r="X20">
        <v>0</v>
      </c>
      <c r="Y20">
        <v>0</v>
      </c>
      <c r="Z20">
        <v>1</v>
      </c>
      <c r="AA20">
        <v>0</v>
      </c>
      <c r="AB20">
        <v>0</v>
      </c>
      <c r="AC20">
        <v>0</v>
      </c>
      <c r="AD20">
        <v>0</v>
      </c>
      <c r="AE20">
        <v>1</v>
      </c>
      <c r="AF20">
        <v>0</v>
      </c>
      <c r="AG20">
        <v>0</v>
      </c>
    </row>
    <row r="21" spans="1:33" x14ac:dyDescent="0.25">
      <c r="A21">
        <v>20</v>
      </c>
      <c r="B21" t="s">
        <v>111</v>
      </c>
      <c r="C21" t="s">
        <v>90</v>
      </c>
      <c r="D21" t="s">
        <v>112</v>
      </c>
      <c r="E21" t="s">
        <v>113</v>
      </c>
      <c r="F21" s="2">
        <v>46142</v>
      </c>
      <c r="G21" s="2">
        <v>46174</v>
      </c>
      <c r="H21" s="4">
        <v>1</v>
      </c>
      <c r="I21" s="2">
        <v>46174</v>
      </c>
      <c r="L21" t="s">
        <v>59</v>
      </c>
      <c r="M21" t="s">
        <v>100</v>
      </c>
      <c r="N21" s="1">
        <v>46161</v>
      </c>
      <c r="P21" t="s">
        <v>88</v>
      </c>
      <c r="Q21" t="s">
        <v>38</v>
      </c>
      <c r="R21" t="s">
        <v>55</v>
      </c>
      <c r="S21" s="1">
        <v>46142</v>
      </c>
      <c r="T21" s="1">
        <v>46161</v>
      </c>
      <c r="V21">
        <v>1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</row>
    <row r="22" spans="1:33" x14ac:dyDescent="0.25">
      <c r="A22">
        <v>21</v>
      </c>
      <c r="B22" t="s">
        <v>114</v>
      </c>
      <c r="C22" t="s">
        <v>115</v>
      </c>
      <c r="D22" t="s">
        <v>94</v>
      </c>
      <c r="E22" t="s">
        <v>95</v>
      </c>
      <c r="F22" s="2">
        <v>46142</v>
      </c>
      <c r="G22" s="2">
        <v>46146</v>
      </c>
      <c r="H22" s="4">
        <v>1</v>
      </c>
      <c r="I22" s="2">
        <v>46146</v>
      </c>
      <c r="J22">
        <v>16</v>
      </c>
      <c r="K22" t="s">
        <v>116</v>
      </c>
      <c r="L22" t="s">
        <v>59</v>
      </c>
      <c r="M22" t="s">
        <v>100</v>
      </c>
      <c r="N22" s="1">
        <v>46146</v>
      </c>
      <c r="P22" t="s">
        <v>88</v>
      </c>
      <c r="Q22" t="s">
        <v>38</v>
      </c>
      <c r="R22" t="s">
        <v>55</v>
      </c>
      <c r="S22" s="1">
        <v>46142</v>
      </c>
      <c r="T22" s="1">
        <v>46146</v>
      </c>
      <c r="V22">
        <v>1</v>
      </c>
      <c r="W22">
        <v>1</v>
      </c>
      <c r="X22">
        <v>1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1</v>
      </c>
    </row>
    <row r="23" spans="1:33" x14ac:dyDescent="0.25">
      <c r="A23">
        <v>22</v>
      </c>
      <c r="B23" t="s">
        <v>117</v>
      </c>
      <c r="C23" t="s">
        <v>115</v>
      </c>
      <c r="D23" t="s">
        <v>98</v>
      </c>
      <c r="E23" t="s">
        <v>53</v>
      </c>
      <c r="F23" s="2">
        <v>46147</v>
      </c>
      <c r="G23" s="2">
        <v>46147</v>
      </c>
      <c r="H23" s="4">
        <v>1</v>
      </c>
      <c r="I23" s="2">
        <v>46147</v>
      </c>
      <c r="J23">
        <v>21</v>
      </c>
      <c r="K23" t="s">
        <v>118</v>
      </c>
      <c r="L23" t="s">
        <v>59</v>
      </c>
      <c r="M23" t="s">
        <v>119</v>
      </c>
      <c r="N23" s="1">
        <v>46147</v>
      </c>
      <c r="P23" t="s">
        <v>88</v>
      </c>
      <c r="Q23" t="s">
        <v>38</v>
      </c>
      <c r="R23" t="s">
        <v>55</v>
      </c>
      <c r="S23" s="1">
        <v>46147</v>
      </c>
      <c r="T23" s="1">
        <v>46147</v>
      </c>
      <c r="V23">
        <v>1</v>
      </c>
      <c r="W23">
        <v>0</v>
      </c>
      <c r="X23">
        <v>0</v>
      </c>
      <c r="Y23">
        <v>0</v>
      </c>
      <c r="Z23">
        <v>0</v>
      </c>
      <c r="AA23">
        <v>1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</row>
    <row r="24" spans="1:33" x14ac:dyDescent="0.25">
      <c r="A24">
        <v>23</v>
      </c>
      <c r="B24" t="s">
        <v>120</v>
      </c>
      <c r="C24" t="s">
        <v>115</v>
      </c>
      <c r="D24" t="s">
        <v>102</v>
      </c>
      <c r="E24" t="s">
        <v>121</v>
      </c>
      <c r="F24" s="2">
        <v>46155</v>
      </c>
      <c r="G24" s="2">
        <v>46160</v>
      </c>
      <c r="H24" s="4">
        <v>1</v>
      </c>
      <c r="I24" s="2">
        <v>46160</v>
      </c>
      <c r="J24" t="s">
        <v>122</v>
      </c>
      <c r="K24" t="s">
        <v>123</v>
      </c>
      <c r="L24" t="s">
        <v>59</v>
      </c>
      <c r="M24" t="s">
        <v>124</v>
      </c>
      <c r="N24" s="1">
        <v>46160</v>
      </c>
      <c r="P24" t="s">
        <v>88</v>
      </c>
      <c r="Q24" t="s">
        <v>125</v>
      </c>
      <c r="R24" t="s">
        <v>55</v>
      </c>
      <c r="S24" s="1">
        <v>46155</v>
      </c>
      <c r="T24" s="1">
        <v>46160</v>
      </c>
      <c r="V24">
        <v>1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0</v>
      </c>
      <c r="AF24">
        <v>0</v>
      </c>
      <c r="AG24">
        <v>0</v>
      </c>
    </row>
    <row r="25" spans="1:33" x14ac:dyDescent="0.25">
      <c r="A25">
        <v>24</v>
      </c>
      <c r="B25" t="s">
        <v>126</v>
      </c>
      <c r="C25" t="s">
        <v>115</v>
      </c>
      <c r="D25" t="s">
        <v>108</v>
      </c>
      <c r="E25" t="s">
        <v>53</v>
      </c>
      <c r="F25" s="2">
        <v>46171</v>
      </c>
      <c r="G25" s="2">
        <v>46174</v>
      </c>
      <c r="H25" s="4">
        <v>1</v>
      </c>
      <c r="I25" s="2">
        <v>46174</v>
      </c>
      <c r="J25" t="s">
        <v>127</v>
      </c>
      <c r="L25" t="s">
        <v>59</v>
      </c>
      <c r="M25" t="s">
        <v>128</v>
      </c>
      <c r="N25" s="1">
        <v>46161</v>
      </c>
      <c r="P25" t="s">
        <v>88</v>
      </c>
      <c r="Q25" t="s">
        <v>110</v>
      </c>
      <c r="R25" t="s">
        <v>55</v>
      </c>
      <c r="S25" s="1">
        <v>46160</v>
      </c>
      <c r="T25" s="1">
        <v>46161</v>
      </c>
      <c r="V25">
        <v>1</v>
      </c>
      <c r="W25">
        <v>0</v>
      </c>
      <c r="X25">
        <v>0</v>
      </c>
      <c r="Y25">
        <v>0</v>
      </c>
      <c r="Z25">
        <v>1</v>
      </c>
      <c r="AA25">
        <v>0</v>
      </c>
      <c r="AB25">
        <v>0</v>
      </c>
      <c r="AC25">
        <v>0</v>
      </c>
      <c r="AD25">
        <v>0</v>
      </c>
      <c r="AE25">
        <v>1</v>
      </c>
      <c r="AF25">
        <v>0</v>
      </c>
      <c r="AG25">
        <v>0</v>
      </c>
    </row>
    <row r="26" spans="1:33" x14ac:dyDescent="0.25">
      <c r="A26">
        <v>30</v>
      </c>
      <c r="B26" t="s">
        <v>129</v>
      </c>
      <c r="C26" t="s">
        <v>73</v>
      </c>
      <c r="D26" t="s">
        <v>130</v>
      </c>
      <c r="E26" t="s">
        <v>34</v>
      </c>
      <c r="F26" s="2">
        <v>46139</v>
      </c>
      <c r="G26" s="2">
        <v>46230</v>
      </c>
      <c r="H26" s="4">
        <v>0.4</v>
      </c>
      <c r="L26" t="s">
        <v>131</v>
      </c>
      <c r="M26" t="s">
        <v>36</v>
      </c>
      <c r="N26" s="1">
        <v>46211</v>
      </c>
      <c r="P26" t="s">
        <v>132</v>
      </c>
      <c r="Q26" t="s">
        <v>38</v>
      </c>
      <c r="R26" t="s">
        <v>39</v>
      </c>
      <c r="S26" s="1">
        <v>46139</v>
      </c>
      <c r="T26" s="1">
        <v>46211</v>
      </c>
      <c r="V26">
        <v>0.4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</row>
    <row r="27" spans="1:33" x14ac:dyDescent="0.25">
      <c r="A27">
        <v>31</v>
      </c>
      <c r="B27" t="s">
        <v>133</v>
      </c>
      <c r="C27" t="s">
        <v>134</v>
      </c>
      <c r="D27" t="s">
        <v>135</v>
      </c>
      <c r="E27" t="s">
        <v>136</v>
      </c>
      <c r="F27" s="2">
        <v>46204</v>
      </c>
      <c r="G27" s="2">
        <v>46216</v>
      </c>
      <c r="H27" s="4">
        <v>0.34</v>
      </c>
      <c r="L27" t="s">
        <v>131</v>
      </c>
      <c r="M27" t="s">
        <v>137</v>
      </c>
      <c r="N27" s="1">
        <v>46175</v>
      </c>
      <c r="P27" t="s">
        <v>132</v>
      </c>
      <c r="Q27" t="s">
        <v>138</v>
      </c>
      <c r="R27" t="s">
        <v>55</v>
      </c>
      <c r="S27" s="1">
        <v>46167</v>
      </c>
      <c r="T27" s="1">
        <v>46175</v>
      </c>
      <c r="V27">
        <v>0.34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</row>
    <row r="28" spans="1:33" x14ac:dyDescent="0.25">
      <c r="A28">
        <v>32</v>
      </c>
      <c r="B28" t="s">
        <v>139</v>
      </c>
      <c r="C28" t="s">
        <v>140</v>
      </c>
      <c r="D28" t="s">
        <v>94</v>
      </c>
      <c r="E28" t="s">
        <v>95</v>
      </c>
      <c r="F28" s="2">
        <v>46204</v>
      </c>
      <c r="G28" s="2">
        <v>46206</v>
      </c>
      <c r="H28" s="4">
        <v>0.8</v>
      </c>
      <c r="J28" t="s">
        <v>141</v>
      </c>
      <c r="K28" t="s">
        <v>142</v>
      </c>
      <c r="L28" t="s">
        <v>131</v>
      </c>
      <c r="M28" t="s">
        <v>137</v>
      </c>
      <c r="N28" s="1">
        <v>46169</v>
      </c>
      <c r="P28" t="s">
        <v>132</v>
      </c>
      <c r="Q28" t="s">
        <v>138</v>
      </c>
      <c r="R28" t="s">
        <v>55</v>
      </c>
      <c r="S28" s="1">
        <v>46167</v>
      </c>
      <c r="T28" s="1">
        <v>46169</v>
      </c>
      <c r="V28">
        <v>0.8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</row>
    <row r="29" spans="1:33" x14ac:dyDescent="0.25">
      <c r="A29">
        <v>33</v>
      </c>
      <c r="B29" t="s">
        <v>143</v>
      </c>
      <c r="C29" t="s">
        <v>140</v>
      </c>
      <c r="D29" t="s">
        <v>98</v>
      </c>
      <c r="E29" t="s">
        <v>53</v>
      </c>
      <c r="F29" s="2">
        <v>46209</v>
      </c>
      <c r="G29" s="2">
        <v>46209</v>
      </c>
      <c r="H29" s="4">
        <v>0</v>
      </c>
      <c r="J29">
        <v>32</v>
      </c>
      <c r="K29">
        <v>34</v>
      </c>
      <c r="L29" t="s">
        <v>144</v>
      </c>
      <c r="M29" t="s">
        <v>145</v>
      </c>
      <c r="N29" s="1">
        <v>46170</v>
      </c>
      <c r="P29" t="s">
        <v>132</v>
      </c>
      <c r="Q29" t="s">
        <v>146</v>
      </c>
      <c r="R29" t="s">
        <v>55</v>
      </c>
      <c r="S29" s="1">
        <v>46170</v>
      </c>
      <c r="T29" s="1">
        <v>46170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</row>
    <row r="30" spans="1:33" x14ac:dyDescent="0.25">
      <c r="A30">
        <v>34</v>
      </c>
      <c r="B30" t="s">
        <v>147</v>
      </c>
      <c r="C30" t="s">
        <v>140</v>
      </c>
      <c r="D30" t="s">
        <v>102</v>
      </c>
      <c r="E30" t="s">
        <v>121</v>
      </c>
      <c r="F30" s="2">
        <v>46210</v>
      </c>
      <c r="G30" s="2">
        <v>46211</v>
      </c>
      <c r="H30" s="4">
        <v>0</v>
      </c>
      <c r="J30">
        <v>33</v>
      </c>
      <c r="K30">
        <v>35</v>
      </c>
      <c r="L30" t="s">
        <v>144</v>
      </c>
      <c r="M30" t="s">
        <v>148</v>
      </c>
      <c r="N30" s="1">
        <v>46174</v>
      </c>
      <c r="P30" t="s">
        <v>132</v>
      </c>
      <c r="Q30" t="s">
        <v>146</v>
      </c>
      <c r="R30" t="s">
        <v>55</v>
      </c>
      <c r="S30" s="1">
        <v>46171</v>
      </c>
      <c r="T30" s="1">
        <v>46174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</row>
    <row r="31" spans="1:33" x14ac:dyDescent="0.25">
      <c r="A31">
        <v>35</v>
      </c>
      <c r="B31" t="s">
        <v>149</v>
      </c>
      <c r="C31" t="s">
        <v>140</v>
      </c>
      <c r="D31" t="s">
        <v>108</v>
      </c>
      <c r="E31" t="s">
        <v>53</v>
      </c>
      <c r="F31" s="2">
        <v>46216</v>
      </c>
      <c r="G31" s="2">
        <v>46216</v>
      </c>
      <c r="H31" s="4">
        <v>0</v>
      </c>
      <c r="J31">
        <v>34</v>
      </c>
      <c r="L31" t="s">
        <v>144</v>
      </c>
      <c r="M31" t="s">
        <v>150</v>
      </c>
      <c r="N31" s="1">
        <v>46175</v>
      </c>
      <c r="P31" t="s">
        <v>132</v>
      </c>
      <c r="Q31" t="s">
        <v>151</v>
      </c>
      <c r="R31" t="s">
        <v>55</v>
      </c>
      <c r="S31" s="1">
        <v>46175</v>
      </c>
      <c r="T31" s="1">
        <v>46175</v>
      </c>
      <c r="V31">
        <v>0</v>
      </c>
      <c r="W31">
        <v>0</v>
      </c>
      <c r="X31">
        <v>0</v>
      </c>
      <c r="Y31">
        <v>0</v>
      </c>
      <c r="Z31">
        <v>1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</row>
    <row r="32" spans="1:33" x14ac:dyDescent="0.25">
      <c r="A32">
        <v>41</v>
      </c>
      <c r="B32" t="s">
        <v>152</v>
      </c>
      <c r="C32" t="s">
        <v>134</v>
      </c>
      <c r="D32" t="s">
        <v>153</v>
      </c>
      <c r="E32" t="s">
        <v>154</v>
      </c>
      <c r="F32" s="2">
        <v>46218</v>
      </c>
      <c r="G32" s="2">
        <v>46223</v>
      </c>
      <c r="H32" s="4">
        <v>0.19</v>
      </c>
      <c r="L32" t="s">
        <v>144</v>
      </c>
      <c r="M32" t="s">
        <v>155</v>
      </c>
      <c r="N32" s="1">
        <v>46211</v>
      </c>
      <c r="P32" t="s">
        <v>132</v>
      </c>
      <c r="Q32" t="s">
        <v>146</v>
      </c>
      <c r="R32" t="s">
        <v>55</v>
      </c>
      <c r="S32" s="1">
        <v>46203</v>
      </c>
      <c r="T32" s="1">
        <v>46211</v>
      </c>
      <c r="V32">
        <v>0.19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</row>
    <row r="33" spans="1:33" x14ac:dyDescent="0.25">
      <c r="A33">
        <v>42</v>
      </c>
      <c r="B33" t="s">
        <v>156</v>
      </c>
      <c r="C33" t="s">
        <v>157</v>
      </c>
      <c r="D33" t="s">
        <v>94</v>
      </c>
      <c r="E33" t="s">
        <v>53</v>
      </c>
      <c r="F33" s="2">
        <v>46218</v>
      </c>
      <c r="G33" s="2">
        <v>46218</v>
      </c>
      <c r="H33" s="4">
        <v>0.75</v>
      </c>
      <c r="K33">
        <v>43</v>
      </c>
      <c r="L33" t="s">
        <v>144</v>
      </c>
      <c r="M33" t="s">
        <v>155</v>
      </c>
      <c r="N33" s="1">
        <v>46205</v>
      </c>
      <c r="P33" t="s">
        <v>132</v>
      </c>
      <c r="Q33" t="s">
        <v>146</v>
      </c>
      <c r="R33" t="s">
        <v>55</v>
      </c>
      <c r="S33" s="1">
        <v>46203</v>
      </c>
      <c r="T33" s="1">
        <v>46205</v>
      </c>
      <c r="V33">
        <v>0.75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</row>
    <row r="34" spans="1:33" x14ac:dyDescent="0.25">
      <c r="A34">
        <v>43</v>
      </c>
      <c r="B34" t="s">
        <v>158</v>
      </c>
      <c r="C34" t="s">
        <v>157</v>
      </c>
      <c r="D34" t="s">
        <v>98</v>
      </c>
      <c r="E34" t="s">
        <v>53</v>
      </c>
      <c r="F34" s="2">
        <v>46219</v>
      </c>
      <c r="G34" s="2">
        <v>46219</v>
      </c>
      <c r="H34" s="4">
        <v>0</v>
      </c>
      <c r="J34">
        <v>42</v>
      </c>
      <c r="K34">
        <v>44</v>
      </c>
      <c r="L34" t="s">
        <v>144</v>
      </c>
      <c r="M34" t="s">
        <v>159</v>
      </c>
      <c r="N34" s="1">
        <v>46206</v>
      </c>
      <c r="P34" t="s">
        <v>132</v>
      </c>
      <c r="Q34" t="s">
        <v>146</v>
      </c>
      <c r="R34" t="s">
        <v>55</v>
      </c>
      <c r="S34" s="1">
        <v>46206</v>
      </c>
      <c r="T34" s="1">
        <v>46206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</row>
    <row r="35" spans="1:33" x14ac:dyDescent="0.25">
      <c r="A35">
        <v>44</v>
      </c>
      <c r="B35" t="s">
        <v>160</v>
      </c>
      <c r="C35" t="s">
        <v>157</v>
      </c>
      <c r="D35" t="s">
        <v>102</v>
      </c>
      <c r="E35" t="s">
        <v>53</v>
      </c>
      <c r="F35" s="2">
        <v>46220</v>
      </c>
      <c r="G35" s="2">
        <v>46220</v>
      </c>
      <c r="H35" s="4">
        <v>0</v>
      </c>
      <c r="J35">
        <v>43</v>
      </c>
      <c r="K35">
        <v>45</v>
      </c>
      <c r="L35" t="s">
        <v>144</v>
      </c>
      <c r="M35" t="s">
        <v>161</v>
      </c>
      <c r="N35" s="1">
        <v>46210</v>
      </c>
      <c r="P35" t="s">
        <v>132</v>
      </c>
      <c r="Q35" t="s">
        <v>151</v>
      </c>
      <c r="R35" t="s">
        <v>55</v>
      </c>
      <c r="S35" s="1">
        <v>46209</v>
      </c>
      <c r="T35" s="1">
        <v>46210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</row>
    <row r="36" spans="1:33" x14ac:dyDescent="0.25">
      <c r="A36">
        <v>45</v>
      </c>
      <c r="B36" t="s">
        <v>162</v>
      </c>
      <c r="C36" t="s">
        <v>157</v>
      </c>
      <c r="D36" t="s">
        <v>108</v>
      </c>
      <c r="E36" t="s">
        <v>53</v>
      </c>
      <c r="F36" s="2">
        <v>46223</v>
      </c>
      <c r="G36" s="2">
        <v>46223</v>
      </c>
      <c r="H36" s="4">
        <v>0</v>
      </c>
      <c r="J36">
        <v>44</v>
      </c>
      <c r="L36" t="s">
        <v>144</v>
      </c>
      <c r="M36" t="s">
        <v>163</v>
      </c>
      <c r="N36" s="1">
        <v>46211</v>
      </c>
      <c r="P36" t="s">
        <v>132</v>
      </c>
      <c r="Q36" t="s">
        <v>151</v>
      </c>
      <c r="R36" t="s">
        <v>55</v>
      </c>
      <c r="S36" s="1">
        <v>46211</v>
      </c>
      <c r="T36" s="1">
        <v>46211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</row>
    <row r="37" spans="1:33" x14ac:dyDescent="0.25">
      <c r="A37">
        <v>46</v>
      </c>
      <c r="B37" t="s">
        <v>164</v>
      </c>
      <c r="C37" t="s">
        <v>134</v>
      </c>
      <c r="D37" t="s">
        <v>165</v>
      </c>
      <c r="E37" t="s">
        <v>34</v>
      </c>
      <c r="F37" s="2">
        <v>46139</v>
      </c>
      <c r="G37" s="2">
        <v>46230</v>
      </c>
      <c r="H37" s="4">
        <v>0.56999999999999995</v>
      </c>
      <c r="L37" t="s">
        <v>131</v>
      </c>
      <c r="M37" t="s">
        <v>36</v>
      </c>
      <c r="N37" s="1">
        <v>46189</v>
      </c>
      <c r="P37" t="s">
        <v>132</v>
      </c>
      <c r="Q37" t="s">
        <v>38</v>
      </c>
      <c r="R37" t="s">
        <v>39</v>
      </c>
      <c r="S37" s="1">
        <v>46139</v>
      </c>
      <c r="T37" s="1">
        <v>46189</v>
      </c>
      <c r="V37">
        <v>0.56999999999999995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</row>
    <row r="38" spans="1:33" x14ac:dyDescent="0.25">
      <c r="A38">
        <v>47</v>
      </c>
      <c r="B38" t="s">
        <v>166</v>
      </c>
      <c r="C38" t="s">
        <v>167</v>
      </c>
      <c r="D38" t="s">
        <v>94</v>
      </c>
      <c r="E38" t="s">
        <v>95</v>
      </c>
      <c r="F38" s="2">
        <v>46139</v>
      </c>
      <c r="G38" s="2">
        <v>46141</v>
      </c>
      <c r="H38" s="4">
        <v>1</v>
      </c>
      <c r="I38" s="2">
        <v>46141</v>
      </c>
      <c r="J38">
        <v>11</v>
      </c>
      <c r="K38">
        <v>48</v>
      </c>
      <c r="L38" t="s">
        <v>59</v>
      </c>
      <c r="M38" t="s">
        <v>36</v>
      </c>
      <c r="N38" s="1">
        <v>46141</v>
      </c>
      <c r="P38" t="s">
        <v>132</v>
      </c>
      <c r="Q38" t="s">
        <v>38</v>
      </c>
      <c r="R38" t="s">
        <v>55</v>
      </c>
      <c r="S38" s="1">
        <v>46139</v>
      </c>
      <c r="T38" s="1">
        <v>46141</v>
      </c>
      <c r="V38">
        <v>1</v>
      </c>
      <c r="W38">
        <v>1</v>
      </c>
      <c r="X38">
        <v>1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1</v>
      </c>
    </row>
    <row r="39" spans="1:33" x14ac:dyDescent="0.25">
      <c r="A39">
        <v>48</v>
      </c>
      <c r="B39" t="s">
        <v>168</v>
      </c>
      <c r="C39" t="s">
        <v>167</v>
      </c>
      <c r="D39" t="s">
        <v>98</v>
      </c>
      <c r="E39" t="s">
        <v>53</v>
      </c>
      <c r="F39" s="2">
        <v>46142</v>
      </c>
      <c r="G39" s="2">
        <v>46142</v>
      </c>
      <c r="H39" s="4">
        <v>1</v>
      </c>
      <c r="I39" s="2">
        <v>46142</v>
      </c>
      <c r="J39">
        <v>47</v>
      </c>
      <c r="K39" t="s">
        <v>169</v>
      </c>
      <c r="L39" t="s">
        <v>59</v>
      </c>
      <c r="M39" t="s">
        <v>100</v>
      </c>
      <c r="N39" s="1">
        <v>46142</v>
      </c>
      <c r="P39" t="s">
        <v>132</v>
      </c>
      <c r="Q39" t="s">
        <v>38</v>
      </c>
      <c r="R39" t="s">
        <v>55</v>
      </c>
      <c r="S39" s="1">
        <v>46142</v>
      </c>
      <c r="T39" s="1">
        <v>46142</v>
      </c>
      <c r="V39">
        <v>1</v>
      </c>
      <c r="W39">
        <v>0</v>
      </c>
      <c r="X39">
        <v>0</v>
      </c>
      <c r="Y39">
        <v>0</v>
      </c>
      <c r="Z39">
        <v>0</v>
      </c>
      <c r="AA39">
        <v>1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</row>
    <row r="40" spans="1:33" x14ac:dyDescent="0.25">
      <c r="A40">
        <v>49</v>
      </c>
      <c r="B40" t="s">
        <v>170</v>
      </c>
      <c r="C40" t="s">
        <v>167</v>
      </c>
      <c r="D40" t="s">
        <v>102</v>
      </c>
      <c r="E40" t="s">
        <v>121</v>
      </c>
      <c r="F40" s="2">
        <v>46226</v>
      </c>
      <c r="G40" s="2">
        <v>46227</v>
      </c>
      <c r="H40" s="4">
        <v>0</v>
      </c>
      <c r="J40" t="s">
        <v>171</v>
      </c>
      <c r="K40">
        <v>50</v>
      </c>
      <c r="L40" t="s">
        <v>144</v>
      </c>
      <c r="M40" t="s">
        <v>172</v>
      </c>
      <c r="N40" s="1">
        <v>46188</v>
      </c>
      <c r="P40" t="s">
        <v>132</v>
      </c>
      <c r="Q40" t="s">
        <v>146</v>
      </c>
      <c r="R40" t="s">
        <v>39</v>
      </c>
      <c r="S40" s="1">
        <v>46185</v>
      </c>
      <c r="T40" s="1">
        <v>46188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</row>
    <row r="41" spans="1:33" x14ac:dyDescent="0.25">
      <c r="A41">
        <v>50</v>
      </c>
      <c r="B41" t="s">
        <v>173</v>
      </c>
      <c r="C41" t="s">
        <v>167</v>
      </c>
      <c r="D41" t="s">
        <v>108</v>
      </c>
      <c r="E41" t="s">
        <v>53</v>
      </c>
      <c r="F41" s="2">
        <v>46230</v>
      </c>
      <c r="G41" s="2">
        <v>46230</v>
      </c>
      <c r="H41" s="4">
        <v>0</v>
      </c>
      <c r="J41">
        <v>49</v>
      </c>
      <c r="L41" t="s">
        <v>144</v>
      </c>
      <c r="M41" t="s">
        <v>174</v>
      </c>
      <c r="N41" s="1">
        <v>46189</v>
      </c>
      <c r="P41" t="s">
        <v>132</v>
      </c>
      <c r="Q41" t="s">
        <v>151</v>
      </c>
      <c r="R41" t="s">
        <v>39</v>
      </c>
      <c r="S41" s="1">
        <v>46189</v>
      </c>
      <c r="T41" s="1">
        <v>46189</v>
      </c>
      <c r="V41">
        <v>0</v>
      </c>
      <c r="W41">
        <v>0</v>
      </c>
      <c r="X41">
        <v>0</v>
      </c>
      <c r="Y41">
        <v>0</v>
      </c>
      <c r="Z41">
        <v>1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</row>
    <row r="42" spans="1:33" x14ac:dyDescent="0.25">
      <c r="A42">
        <v>51</v>
      </c>
      <c r="B42" t="s">
        <v>175</v>
      </c>
      <c r="C42" t="s">
        <v>73</v>
      </c>
      <c r="D42" t="s">
        <v>176</v>
      </c>
      <c r="E42" t="s">
        <v>177</v>
      </c>
      <c r="F42" s="2">
        <v>46191</v>
      </c>
      <c r="G42" s="2">
        <v>46216</v>
      </c>
      <c r="H42" s="4">
        <v>0.6</v>
      </c>
      <c r="L42" t="s">
        <v>35</v>
      </c>
      <c r="M42" t="s">
        <v>44</v>
      </c>
      <c r="N42" s="1">
        <v>46198</v>
      </c>
      <c r="P42" t="s">
        <v>178</v>
      </c>
      <c r="Q42" t="s">
        <v>138</v>
      </c>
      <c r="R42" t="s">
        <v>55</v>
      </c>
      <c r="S42" s="1">
        <v>46161</v>
      </c>
      <c r="T42" s="1">
        <v>46198</v>
      </c>
      <c r="V42">
        <v>0.6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</row>
    <row r="43" spans="1:33" x14ac:dyDescent="0.25">
      <c r="A43">
        <v>62</v>
      </c>
      <c r="B43" t="s">
        <v>179</v>
      </c>
      <c r="C43" t="s">
        <v>180</v>
      </c>
      <c r="D43" t="s">
        <v>181</v>
      </c>
      <c r="E43" t="s">
        <v>177</v>
      </c>
      <c r="F43" s="2">
        <v>46191</v>
      </c>
      <c r="G43" s="2">
        <v>46216</v>
      </c>
      <c r="H43" s="4">
        <v>0.6</v>
      </c>
      <c r="L43" t="s">
        <v>35</v>
      </c>
      <c r="M43" t="s">
        <v>44</v>
      </c>
      <c r="N43" s="1">
        <v>46167</v>
      </c>
      <c r="P43" t="s">
        <v>178</v>
      </c>
      <c r="Q43" t="s">
        <v>138</v>
      </c>
      <c r="R43" t="s">
        <v>55</v>
      </c>
      <c r="S43" s="1">
        <v>46161</v>
      </c>
      <c r="T43" s="1">
        <v>46167</v>
      </c>
      <c r="V43">
        <v>0.6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</row>
    <row r="44" spans="1:33" x14ac:dyDescent="0.25">
      <c r="A44">
        <v>63</v>
      </c>
      <c r="B44" t="s">
        <v>182</v>
      </c>
      <c r="C44" t="s">
        <v>183</v>
      </c>
      <c r="D44" t="s">
        <v>94</v>
      </c>
      <c r="E44" t="s">
        <v>53</v>
      </c>
      <c r="F44" s="2">
        <v>46191</v>
      </c>
      <c r="G44" s="2">
        <v>46191</v>
      </c>
      <c r="H44" s="4">
        <v>1</v>
      </c>
      <c r="I44" s="2">
        <v>46191</v>
      </c>
      <c r="J44" t="s">
        <v>184</v>
      </c>
      <c r="K44" t="s">
        <v>185</v>
      </c>
      <c r="L44" t="s">
        <v>59</v>
      </c>
      <c r="M44" t="s">
        <v>44</v>
      </c>
      <c r="N44" s="1">
        <v>46161</v>
      </c>
      <c r="P44" t="s">
        <v>178</v>
      </c>
      <c r="Q44" t="s">
        <v>138</v>
      </c>
      <c r="R44" t="s">
        <v>55</v>
      </c>
      <c r="S44" s="1">
        <v>46161</v>
      </c>
      <c r="T44" s="1">
        <v>46161</v>
      </c>
      <c r="V44">
        <v>1</v>
      </c>
      <c r="W44">
        <v>1</v>
      </c>
      <c r="X44">
        <v>1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1</v>
      </c>
    </row>
    <row r="45" spans="1:33" x14ac:dyDescent="0.25">
      <c r="A45">
        <v>64</v>
      </c>
      <c r="B45" t="s">
        <v>186</v>
      </c>
      <c r="C45" t="s">
        <v>183</v>
      </c>
      <c r="D45" t="s">
        <v>98</v>
      </c>
      <c r="E45" t="s">
        <v>53</v>
      </c>
      <c r="F45" s="2">
        <v>46192</v>
      </c>
      <c r="G45" s="2">
        <v>46192</v>
      </c>
      <c r="H45" s="4">
        <v>1</v>
      </c>
      <c r="I45" s="2">
        <v>46192</v>
      </c>
      <c r="J45">
        <v>63</v>
      </c>
      <c r="K45">
        <v>65</v>
      </c>
      <c r="L45" t="s">
        <v>59</v>
      </c>
      <c r="M45" t="s">
        <v>187</v>
      </c>
      <c r="N45" s="1">
        <v>46162</v>
      </c>
      <c r="P45" t="s">
        <v>178</v>
      </c>
      <c r="Q45" t="s">
        <v>138</v>
      </c>
      <c r="R45" t="s">
        <v>55</v>
      </c>
      <c r="S45" s="1">
        <v>46162</v>
      </c>
      <c r="T45" s="1">
        <v>46162</v>
      </c>
      <c r="V45">
        <v>1</v>
      </c>
      <c r="W45">
        <v>0</v>
      </c>
      <c r="X45">
        <v>0</v>
      </c>
      <c r="Y45">
        <v>0</v>
      </c>
      <c r="Z45">
        <v>0</v>
      </c>
      <c r="AA45">
        <v>1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</row>
    <row r="46" spans="1:33" x14ac:dyDescent="0.25">
      <c r="A46">
        <v>65</v>
      </c>
      <c r="B46" t="s">
        <v>188</v>
      </c>
      <c r="C46" t="s">
        <v>183</v>
      </c>
      <c r="D46" t="s">
        <v>102</v>
      </c>
      <c r="E46" t="s">
        <v>121</v>
      </c>
      <c r="F46" s="2">
        <v>46203</v>
      </c>
      <c r="G46" s="2">
        <v>46204</v>
      </c>
      <c r="H46" s="4">
        <v>0.5</v>
      </c>
      <c r="J46">
        <v>64</v>
      </c>
      <c r="K46" t="s">
        <v>189</v>
      </c>
      <c r="L46" t="s">
        <v>35</v>
      </c>
      <c r="M46" t="s">
        <v>190</v>
      </c>
      <c r="N46" s="1">
        <v>46164</v>
      </c>
      <c r="P46" t="s">
        <v>178</v>
      </c>
      <c r="Q46" t="s">
        <v>151</v>
      </c>
      <c r="R46" t="s">
        <v>55</v>
      </c>
      <c r="S46" s="1">
        <v>46163</v>
      </c>
      <c r="T46" s="1">
        <v>46164</v>
      </c>
      <c r="V46">
        <v>0.5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>
        <v>0</v>
      </c>
    </row>
    <row r="47" spans="1:33" x14ac:dyDescent="0.25">
      <c r="A47">
        <v>66</v>
      </c>
      <c r="B47" t="s">
        <v>191</v>
      </c>
      <c r="C47" t="s">
        <v>183</v>
      </c>
      <c r="D47" t="s">
        <v>108</v>
      </c>
      <c r="E47" t="s">
        <v>53</v>
      </c>
      <c r="F47" s="2">
        <v>46216</v>
      </c>
      <c r="G47" s="2">
        <v>46216</v>
      </c>
      <c r="H47" s="4">
        <v>0</v>
      </c>
      <c r="J47" t="s">
        <v>192</v>
      </c>
      <c r="L47" t="s">
        <v>144</v>
      </c>
      <c r="M47" t="s">
        <v>137</v>
      </c>
      <c r="N47" s="1">
        <v>46167</v>
      </c>
      <c r="P47" t="s">
        <v>178</v>
      </c>
      <c r="Q47" t="s">
        <v>193</v>
      </c>
      <c r="R47" t="s">
        <v>55</v>
      </c>
      <c r="S47" s="1">
        <v>46167</v>
      </c>
      <c r="T47" s="1">
        <v>46167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</row>
    <row r="48" spans="1:33" x14ac:dyDescent="0.25">
      <c r="A48">
        <v>67</v>
      </c>
      <c r="B48" t="s">
        <v>194</v>
      </c>
      <c r="C48" t="s">
        <v>73</v>
      </c>
      <c r="D48" t="s">
        <v>195</v>
      </c>
      <c r="E48" t="s">
        <v>196</v>
      </c>
      <c r="F48" s="2">
        <v>46157</v>
      </c>
      <c r="G48" s="2">
        <v>46224</v>
      </c>
      <c r="H48" s="4">
        <v>0.52</v>
      </c>
      <c r="L48" t="s">
        <v>35</v>
      </c>
      <c r="M48" t="s">
        <v>44</v>
      </c>
      <c r="N48" s="1">
        <v>46211</v>
      </c>
      <c r="P48" t="s">
        <v>197</v>
      </c>
      <c r="Q48" t="s">
        <v>125</v>
      </c>
      <c r="R48" t="s">
        <v>55</v>
      </c>
      <c r="S48" s="1">
        <v>46161</v>
      </c>
      <c r="T48" s="1">
        <v>46211</v>
      </c>
      <c r="V48">
        <v>0.52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</row>
    <row r="49" spans="1:33" x14ac:dyDescent="0.25">
      <c r="A49">
        <v>78</v>
      </c>
      <c r="B49" t="s">
        <v>198</v>
      </c>
      <c r="C49" t="s">
        <v>199</v>
      </c>
      <c r="D49" t="s">
        <v>200</v>
      </c>
      <c r="E49" t="s">
        <v>201</v>
      </c>
      <c r="F49" s="2">
        <v>46168</v>
      </c>
      <c r="G49" s="2">
        <v>46175</v>
      </c>
      <c r="H49" s="4">
        <v>1</v>
      </c>
      <c r="I49" s="2">
        <v>46175</v>
      </c>
      <c r="L49" t="s">
        <v>59</v>
      </c>
      <c r="M49" t="s">
        <v>44</v>
      </c>
      <c r="N49" s="1">
        <v>46168</v>
      </c>
      <c r="P49" t="s">
        <v>197</v>
      </c>
      <c r="Q49" t="s">
        <v>110</v>
      </c>
      <c r="R49" t="s">
        <v>55</v>
      </c>
      <c r="S49" s="1">
        <v>46161</v>
      </c>
      <c r="T49" s="1">
        <v>46168</v>
      </c>
      <c r="V49">
        <v>1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</row>
    <row r="50" spans="1:33" x14ac:dyDescent="0.25">
      <c r="A50">
        <v>79</v>
      </c>
      <c r="B50" t="s">
        <v>202</v>
      </c>
      <c r="C50" t="s">
        <v>203</v>
      </c>
      <c r="D50" t="s">
        <v>94</v>
      </c>
      <c r="E50" t="s">
        <v>121</v>
      </c>
      <c r="F50" s="2">
        <v>46168</v>
      </c>
      <c r="G50" s="2">
        <v>46169</v>
      </c>
      <c r="H50" s="4">
        <v>1</v>
      </c>
      <c r="I50" s="2">
        <v>46169</v>
      </c>
      <c r="J50" t="s">
        <v>204</v>
      </c>
      <c r="K50" t="s">
        <v>205</v>
      </c>
      <c r="L50" t="s">
        <v>59</v>
      </c>
      <c r="M50" t="s">
        <v>44</v>
      </c>
      <c r="N50" s="1">
        <v>46162</v>
      </c>
      <c r="P50" t="s">
        <v>197</v>
      </c>
      <c r="Q50" t="s">
        <v>110</v>
      </c>
      <c r="R50" t="s">
        <v>55</v>
      </c>
      <c r="S50" s="1">
        <v>46161</v>
      </c>
      <c r="T50" s="1">
        <v>46162</v>
      </c>
      <c r="V50">
        <v>1</v>
      </c>
      <c r="W50">
        <v>1</v>
      </c>
      <c r="X50">
        <v>1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1</v>
      </c>
    </row>
    <row r="51" spans="1:33" x14ac:dyDescent="0.25">
      <c r="A51">
        <v>80</v>
      </c>
      <c r="B51" t="s">
        <v>206</v>
      </c>
      <c r="C51" t="s">
        <v>203</v>
      </c>
      <c r="D51" t="s">
        <v>98</v>
      </c>
      <c r="E51" t="s">
        <v>53</v>
      </c>
      <c r="F51" s="2">
        <v>46170</v>
      </c>
      <c r="G51" s="2">
        <v>46170</v>
      </c>
      <c r="H51" s="4">
        <v>1</v>
      </c>
      <c r="I51" s="2">
        <v>46170</v>
      </c>
      <c r="J51">
        <v>79</v>
      </c>
      <c r="K51">
        <v>81</v>
      </c>
      <c r="L51" t="s">
        <v>59</v>
      </c>
      <c r="M51" t="s">
        <v>190</v>
      </c>
      <c r="N51" s="1">
        <v>46163</v>
      </c>
      <c r="P51" t="s">
        <v>197</v>
      </c>
      <c r="Q51" t="s">
        <v>110</v>
      </c>
      <c r="R51" t="s">
        <v>55</v>
      </c>
      <c r="S51" s="1">
        <v>46163</v>
      </c>
      <c r="T51" s="1">
        <v>46163</v>
      </c>
      <c r="V51">
        <v>1</v>
      </c>
      <c r="W51">
        <v>0</v>
      </c>
      <c r="X51">
        <v>0</v>
      </c>
      <c r="Y51">
        <v>0</v>
      </c>
      <c r="Z51">
        <v>0</v>
      </c>
      <c r="AA51">
        <v>1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</row>
    <row r="52" spans="1:33" x14ac:dyDescent="0.25">
      <c r="A52">
        <v>81</v>
      </c>
      <c r="B52" t="s">
        <v>207</v>
      </c>
      <c r="C52" t="s">
        <v>203</v>
      </c>
      <c r="D52" t="s">
        <v>102</v>
      </c>
      <c r="E52" t="s">
        <v>121</v>
      </c>
      <c r="F52" s="2">
        <v>46171</v>
      </c>
      <c r="G52" s="2">
        <v>46174</v>
      </c>
      <c r="H52" s="4">
        <v>1</v>
      </c>
      <c r="I52" s="2">
        <v>46174</v>
      </c>
      <c r="J52">
        <v>80</v>
      </c>
      <c r="K52" t="s">
        <v>208</v>
      </c>
      <c r="L52" t="s">
        <v>59</v>
      </c>
      <c r="M52" t="s">
        <v>62</v>
      </c>
      <c r="N52" s="1">
        <v>46167</v>
      </c>
      <c r="P52" t="s">
        <v>197</v>
      </c>
      <c r="Q52" t="s">
        <v>110</v>
      </c>
      <c r="R52" t="s">
        <v>55</v>
      </c>
      <c r="S52" s="1">
        <v>46164</v>
      </c>
      <c r="T52" s="1">
        <v>46167</v>
      </c>
      <c r="V52">
        <v>1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1</v>
      </c>
      <c r="AD52">
        <v>0</v>
      </c>
      <c r="AE52">
        <v>0</v>
      </c>
      <c r="AF52">
        <v>0</v>
      </c>
      <c r="AG52">
        <v>0</v>
      </c>
    </row>
    <row r="53" spans="1:33" x14ac:dyDescent="0.25">
      <c r="A53">
        <v>82</v>
      </c>
      <c r="B53" t="s">
        <v>209</v>
      </c>
      <c r="C53" t="s">
        <v>203</v>
      </c>
      <c r="D53" t="s">
        <v>108</v>
      </c>
      <c r="E53" t="s">
        <v>53</v>
      </c>
      <c r="F53" s="2">
        <v>46175</v>
      </c>
      <c r="G53" s="2">
        <v>46175</v>
      </c>
      <c r="H53" s="4">
        <v>1</v>
      </c>
      <c r="I53" s="2">
        <v>46175</v>
      </c>
      <c r="J53">
        <v>81</v>
      </c>
      <c r="L53" t="s">
        <v>59</v>
      </c>
      <c r="M53" t="s">
        <v>210</v>
      </c>
      <c r="N53" s="1">
        <v>46168</v>
      </c>
      <c r="P53" t="s">
        <v>197</v>
      </c>
      <c r="Q53" t="s">
        <v>211</v>
      </c>
      <c r="R53" t="s">
        <v>55</v>
      </c>
      <c r="S53" s="1">
        <v>46168</v>
      </c>
      <c r="T53" s="1">
        <v>46168</v>
      </c>
      <c r="V53">
        <v>1</v>
      </c>
      <c r="W53">
        <v>0</v>
      </c>
      <c r="X53">
        <v>0</v>
      </c>
      <c r="Y53">
        <v>0</v>
      </c>
      <c r="Z53">
        <v>1</v>
      </c>
      <c r="AA53">
        <v>0</v>
      </c>
      <c r="AB53">
        <v>0</v>
      </c>
      <c r="AC53">
        <v>0</v>
      </c>
      <c r="AD53">
        <v>0</v>
      </c>
      <c r="AE53">
        <v>1</v>
      </c>
      <c r="AF53">
        <v>0</v>
      </c>
      <c r="AG53">
        <v>0</v>
      </c>
    </row>
    <row r="54" spans="1:33" x14ac:dyDescent="0.25">
      <c r="A54">
        <v>83</v>
      </c>
      <c r="B54" t="s">
        <v>212</v>
      </c>
      <c r="C54" t="s">
        <v>199</v>
      </c>
      <c r="D54" t="s">
        <v>213</v>
      </c>
      <c r="E54" t="s">
        <v>136</v>
      </c>
      <c r="F54" s="2">
        <v>46198</v>
      </c>
      <c r="G54" s="2">
        <v>46206</v>
      </c>
      <c r="H54" s="4">
        <v>0</v>
      </c>
      <c r="L54" t="s">
        <v>35</v>
      </c>
      <c r="M54" t="s">
        <v>145</v>
      </c>
      <c r="N54" s="1">
        <v>46178</v>
      </c>
      <c r="P54" t="s">
        <v>197</v>
      </c>
      <c r="Q54" t="s">
        <v>138</v>
      </c>
      <c r="R54" t="s">
        <v>55</v>
      </c>
      <c r="S54" s="1">
        <v>46170</v>
      </c>
      <c r="T54" s="1">
        <v>46178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</row>
    <row r="55" spans="1:33" x14ac:dyDescent="0.25">
      <c r="A55">
        <v>84</v>
      </c>
      <c r="B55" t="s">
        <v>214</v>
      </c>
      <c r="C55" t="s">
        <v>215</v>
      </c>
      <c r="D55" t="s">
        <v>94</v>
      </c>
      <c r="E55" t="s">
        <v>95</v>
      </c>
      <c r="F55" s="2">
        <v>46198</v>
      </c>
      <c r="G55" s="2">
        <v>46202</v>
      </c>
      <c r="H55" s="4">
        <v>0</v>
      </c>
      <c r="J55">
        <v>74</v>
      </c>
      <c r="K55">
        <v>85</v>
      </c>
      <c r="L55" t="s">
        <v>35</v>
      </c>
      <c r="M55" t="s">
        <v>145</v>
      </c>
      <c r="N55" s="1">
        <v>46174</v>
      </c>
      <c r="P55" t="s">
        <v>197</v>
      </c>
      <c r="Q55" t="s">
        <v>138</v>
      </c>
      <c r="R55" t="s">
        <v>55</v>
      </c>
      <c r="S55" s="1">
        <v>46170</v>
      </c>
      <c r="T55" s="1">
        <v>46174</v>
      </c>
      <c r="V55">
        <v>0</v>
      </c>
      <c r="W55">
        <v>1</v>
      </c>
      <c r="X55">
        <v>0</v>
      </c>
      <c r="Y55">
        <v>1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</row>
    <row r="56" spans="1:33" x14ac:dyDescent="0.25">
      <c r="A56">
        <v>85</v>
      </c>
      <c r="B56" t="s">
        <v>216</v>
      </c>
      <c r="C56" t="s">
        <v>215</v>
      </c>
      <c r="D56" t="s">
        <v>98</v>
      </c>
      <c r="E56" t="s">
        <v>53</v>
      </c>
      <c r="F56" s="2">
        <v>46203</v>
      </c>
      <c r="G56" s="2">
        <v>46203</v>
      </c>
      <c r="H56" s="4">
        <v>0</v>
      </c>
      <c r="J56">
        <v>84</v>
      </c>
      <c r="K56">
        <v>86</v>
      </c>
      <c r="L56" t="s">
        <v>35</v>
      </c>
      <c r="M56" t="s">
        <v>150</v>
      </c>
      <c r="N56" s="1">
        <v>46175</v>
      </c>
      <c r="P56" t="s">
        <v>197</v>
      </c>
      <c r="Q56" t="s">
        <v>146</v>
      </c>
      <c r="R56" t="s">
        <v>55</v>
      </c>
      <c r="S56" s="1">
        <v>46175</v>
      </c>
      <c r="T56" s="1">
        <v>46175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1</v>
      </c>
      <c r="AC56">
        <v>0</v>
      </c>
      <c r="AD56">
        <v>0</v>
      </c>
      <c r="AE56">
        <v>0</v>
      </c>
      <c r="AF56">
        <v>0</v>
      </c>
      <c r="AG56">
        <v>0</v>
      </c>
    </row>
    <row r="57" spans="1:33" x14ac:dyDescent="0.25">
      <c r="A57">
        <v>86</v>
      </c>
      <c r="B57" t="s">
        <v>217</v>
      </c>
      <c r="C57" t="s">
        <v>215</v>
      </c>
      <c r="D57" t="s">
        <v>102</v>
      </c>
      <c r="E57" t="s">
        <v>121</v>
      </c>
      <c r="F57" s="2">
        <v>46204</v>
      </c>
      <c r="G57" s="2">
        <v>46205</v>
      </c>
      <c r="H57" s="4">
        <v>0</v>
      </c>
      <c r="J57">
        <v>85</v>
      </c>
      <c r="K57">
        <v>87</v>
      </c>
      <c r="L57" t="s">
        <v>35</v>
      </c>
      <c r="M57" t="s">
        <v>218</v>
      </c>
      <c r="N57" s="1">
        <v>46177</v>
      </c>
      <c r="P57" t="s">
        <v>197</v>
      </c>
      <c r="Q57" t="s">
        <v>146</v>
      </c>
      <c r="R57" t="s">
        <v>55</v>
      </c>
      <c r="S57" s="1">
        <v>46176</v>
      </c>
      <c r="T57" s="1">
        <v>46177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1</v>
      </c>
      <c r="AE57">
        <v>0</v>
      </c>
      <c r="AF57">
        <v>0</v>
      </c>
      <c r="AG57">
        <v>0</v>
      </c>
    </row>
    <row r="58" spans="1:33" x14ac:dyDescent="0.25">
      <c r="A58">
        <v>87</v>
      </c>
      <c r="B58" t="s">
        <v>219</v>
      </c>
      <c r="C58" t="s">
        <v>215</v>
      </c>
      <c r="D58" t="s">
        <v>108</v>
      </c>
      <c r="E58" t="s">
        <v>53</v>
      </c>
      <c r="F58" s="2">
        <v>46206</v>
      </c>
      <c r="G58" s="2">
        <v>46206</v>
      </c>
      <c r="H58" s="4">
        <v>0</v>
      </c>
      <c r="J58">
        <v>86</v>
      </c>
      <c r="L58" t="s">
        <v>131</v>
      </c>
      <c r="M58" t="s">
        <v>220</v>
      </c>
      <c r="N58" s="1">
        <v>46178</v>
      </c>
      <c r="P58" t="s">
        <v>197</v>
      </c>
      <c r="Q58" t="s">
        <v>146</v>
      </c>
      <c r="R58" t="s">
        <v>55</v>
      </c>
      <c r="S58" s="1">
        <v>46178</v>
      </c>
      <c r="T58" s="1">
        <v>46178</v>
      </c>
      <c r="V58">
        <v>0</v>
      </c>
      <c r="W58">
        <v>0</v>
      </c>
      <c r="X58">
        <v>0</v>
      </c>
      <c r="Y58">
        <v>0</v>
      </c>
      <c r="Z58">
        <v>1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</row>
    <row r="59" spans="1:33" x14ac:dyDescent="0.25">
      <c r="A59">
        <v>88</v>
      </c>
      <c r="B59" t="s">
        <v>221</v>
      </c>
      <c r="C59" t="s">
        <v>199</v>
      </c>
      <c r="D59" t="s">
        <v>222</v>
      </c>
      <c r="E59" t="s">
        <v>201</v>
      </c>
      <c r="F59" s="2">
        <v>46216</v>
      </c>
      <c r="G59" s="2">
        <v>46224</v>
      </c>
      <c r="H59" s="4">
        <v>0</v>
      </c>
      <c r="L59" t="s">
        <v>144</v>
      </c>
      <c r="M59" t="s">
        <v>223</v>
      </c>
      <c r="N59" s="1">
        <v>46211</v>
      </c>
      <c r="P59" t="s">
        <v>197</v>
      </c>
      <c r="Q59" t="s">
        <v>151</v>
      </c>
      <c r="R59" t="s">
        <v>55</v>
      </c>
      <c r="S59" s="1">
        <v>46195</v>
      </c>
      <c r="T59" s="1">
        <v>46211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</row>
    <row r="60" spans="1:33" x14ac:dyDescent="0.25">
      <c r="A60">
        <v>89</v>
      </c>
      <c r="B60" t="s">
        <v>224</v>
      </c>
      <c r="C60" t="s">
        <v>225</v>
      </c>
      <c r="D60" t="s">
        <v>94</v>
      </c>
      <c r="E60" t="s">
        <v>95</v>
      </c>
      <c r="F60" s="2">
        <v>46216</v>
      </c>
      <c r="G60" s="2">
        <v>46219</v>
      </c>
      <c r="H60" s="4">
        <v>0</v>
      </c>
      <c r="J60">
        <v>336</v>
      </c>
      <c r="K60">
        <v>90</v>
      </c>
      <c r="L60" t="s">
        <v>144</v>
      </c>
      <c r="M60" t="s">
        <v>223</v>
      </c>
      <c r="N60" s="1">
        <v>46205</v>
      </c>
      <c r="P60" t="s">
        <v>197</v>
      </c>
      <c r="Q60" t="s">
        <v>151</v>
      </c>
      <c r="R60" t="s">
        <v>55</v>
      </c>
      <c r="S60" s="1">
        <v>46195</v>
      </c>
      <c r="T60" s="1">
        <v>46205</v>
      </c>
      <c r="V60">
        <v>0</v>
      </c>
      <c r="W60">
        <v>1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</row>
    <row r="61" spans="1:33" x14ac:dyDescent="0.25">
      <c r="A61">
        <v>90</v>
      </c>
      <c r="B61" t="s">
        <v>226</v>
      </c>
      <c r="C61" t="s">
        <v>225</v>
      </c>
      <c r="D61" t="s">
        <v>98</v>
      </c>
      <c r="E61" t="s">
        <v>53</v>
      </c>
      <c r="F61" s="2">
        <v>46219</v>
      </c>
      <c r="G61" s="2">
        <v>46220</v>
      </c>
      <c r="H61" s="4">
        <v>0</v>
      </c>
      <c r="J61">
        <v>89</v>
      </c>
      <c r="K61">
        <v>91</v>
      </c>
      <c r="L61" t="s">
        <v>144</v>
      </c>
      <c r="M61" t="s">
        <v>159</v>
      </c>
      <c r="N61" s="1">
        <v>46206</v>
      </c>
      <c r="P61" t="s">
        <v>197</v>
      </c>
      <c r="Q61" t="s">
        <v>151</v>
      </c>
      <c r="R61" t="s">
        <v>55</v>
      </c>
      <c r="S61" s="1">
        <v>46206</v>
      </c>
      <c r="T61" s="1">
        <v>46206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</row>
    <row r="62" spans="1:33" x14ac:dyDescent="0.25">
      <c r="A62">
        <v>91</v>
      </c>
      <c r="B62" t="s">
        <v>227</v>
      </c>
      <c r="C62" t="s">
        <v>225</v>
      </c>
      <c r="D62" t="s">
        <v>102</v>
      </c>
      <c r="E62" t="s">
        <v>53</v>
      </c>
      <c r="F62" s="2">
        <v>46220</v>
      </c>
      <c r="G62" s="2">
        <v>46223</v>
      </c>
      <c r="H62" s="4">
        <v>0</v>
      </c>
      <c r="J62">
        <v>90</v>
      </c>
      <c r="K62">
        <v>92</v>
      </c>
      <c r="L62" t="s">
        <v>144</v>
      </c>
      <c r="M62" t="s">
        <v>161</v>
      </c>
      <c r="N62" s="1">
        <v>46210</v>
      </c>
      <c r="P62" t="s">
        <v>197</v>
      </c>
      <c r="Q62" t="s">
        <v>151</v>
      </c>
      <c r="R62" t="s">
        <v>55</v>
      </c>
      <c r="S62" s="1">
        <v>46209</v>
      </c>
      <c r="T62" s="1">
        <v>46210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</row>
    <row r="63" spans="1:33" x14ac:dyDescent="0.25">
      <c r="A63">
        <v>92</v>
      </c>
      <c r="B63" t="s">
        <v>228</v>
      </c>
      <c r="C63" t="s">
        <v>225</v>
      </c>
      <c r="D63" t="s">
        <v>108</v>
      </c>
      <c r="E63" t="s">
        <v>53</v>
      </c>
      <c r="F63" s="2">
        <v>46223</v>
      </c>
      <c r="G63" s="2">
        <v>46224</v>
      </c>
      <c r="H63" s="4">
        <v>0</v>
      </c>
      <c r="J63">
        <v>91</v>
      </c>
      <c r="L63" t="s">
        <v>144</v>
      </c>
      <c r="M63" t="s">
        <v>163</v>
      </c>
      <c r="N63" s="1">
        <v>46211</v>
      </c>
      <c r="P63" t="s">
        <v>197</v>
      </c>
      <c r="Q63" t="s">
        <v>193</v>
      </c>
      <c r="R63" t="s">
        <v>55</v>
      </c>
      <c r="S63" s="1">
        <v>46211</v>
      </c>
      <c r="T63" s="1">
        <v>46211</v>
      </c>
      <c r="V63">
        <v>0</v>
      </c>
      <c r="W63">
        <v>0</v>
      </c>
      <c r="X63">
        <v>0</v>
      </c>
      <c r="Y63">
        <v>0</v>
      </c>
      <c r="Z63">
        <v>1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</row>
    <row r="64" spans="1:33" x14ac:dyDescent="0.25">
      <c r="A64">
        <v>93</v>
      </c>
      <c r="B64" t="s">
        <v>229</v>
      </c>
      <c r="C64" t="s">
        <v>199</v>
      </c>
      <c r="D64" t="s">
        <v>230</v>
      </c>
      <c r="E64" t="s">
        <v>201</v>
      </c>
      <c r="F64" s="2">
        <v>46216</v>
      </c>
      <c r="G64" s="2">
        <v>46224</v>
      </c>
      <c r="H64" s="4">
        <v>0</v>
      </c>
      <c r="L64" t="s">
        <v>144</v>
      </c>
      <c r="M64" t="s">
        <v>223</v>
      </c>
      <c r="N64" s="1">
        <v>46211</v>
      </c>
      <c r="P64" t="s">
        <v>197</v>
      </c>
      <c r="Q64" t="s">
        <v>151</v>
      </c>
      <c r="R64" t="s">
        <v>55</v>
      </c>
      <c r="S64" s="1">
        <v>46195</v>
      </c>
      <c r="T64" s="1">
        <v>46211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</row>
    <row r="65" spans="1:33" x14ac:dyDescent="0.25">
      <c r="A65">
        <v>94</v>
      </c>
      <c r="B65" t="s">
        <v>231</v>
      </c>
      <c r="C65" t="s">
        <v>232</v>
      </c>
      <c r="D65" t="s">
        <v>94</v>
      </c>
      <c r="E65" t="s">
        <v>95</v>
      </c>
      <c r="F65" s="2">
        <v>46216</v>
      </c>
      <c r="G65" s="2">
        <v>46219</v>
      </c>
      <c r="H65" s="4">
        <v>0</v>
      </c>
      <c r="J65">
        <v>336</v>
      </c>
      <c r="K65">
        <v>95</v>
      </c>
      <c r="L65" t="s">
        <v>144</v>
      </c>
      <c r="M65" t="s">
        <v>223</v>
      </c>
      <c r="N65" s="1">
        <v>46205</v>
      </c>
      <c r="P65" t="s">
        <v>197</v>
      </c>
      <c r="Q65" t="s">
        <v>151</v>
      </c>
      <c r="R65" t="s">
        <v>55</v>
      </c>
      <c r="S65" s="1">
        <v>46195</v>
      </c>
      <c r="T65" s="1">
        <v>46205</v>
      </c>
      <c r="V65">
        <v>0</v>
      </c>
      <c r="W65">
        <v>1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</row>
    <row r="66" spans="1:33" x14ac:dyDescent="0.25">
      <c r="A66">
        <v>95</v>
      </c>
      <c r="B66" t="s">
        <v>233</v>
      </c>
      <c r="C66" t="s">
        <v>232</v>
      </c>
      <c r="D66" t="s">
        <v>98</v>
      </c>
      <c r="E66" t="s">
        <v>53</v>
      </c>
      <c r="F66" s="2">
        <v>46219</v>
      </c>
      <c r="G66" s="2">
        <v>46220</v>
      </c>
      <c r="H66" s="4">
        <v>0</v>
      </c>
      <c r="J66">
        <v>94</v>
      </c>
      <c r="K66">
        <v>96</v>
      </c>
      <c r="L66" t="s">
        <v>144</v>
      </c>
      <c r="M66" t="s">
        <v>159</v>
      </c>
      <c r="N66" s="1">
        <v>46206</v>
      </c>
      <c r="P66" t="s">
        <v>197</v>
      </c>
      <c r="Q66" t="s">
        <v>151</v>
      </c>
      <c r="R66" t="s">
        <v>55</v>
      </c>
      <c r="S66" s="1">
        <v>46206</v>
      </c>
      <c r="T66" s="1">
        <v>46206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</row>
    <row r="67" spans="1:33" x14ac:dyDescent="0.25">
      <c r="A67">
        <v>96</v>
      </c>
      <c r="B67" t="s">
        <v>234</v>
      </c>
      <c r="C67" t="s">
        <v>232</v>
      </c>
      <c r="D67" t="s">
        <v>102</v>
      </c>
      <c r="E67" t="s">
        <v>53</v>
      </c>
      <c r="F67" s="2">
        <v>46220</v>
      </c>
      <c r="G67" s="2">
        <v>46223</v>
      </c>
      <c r="H67" s="4">
        <v>0</v>
      </c>
      <c r="J67">
        <v>95</v>
      </c>
      <c r="K67">
        <v>97</v>
      </c>
      <c r="L67" t="s">
        <v>144</v>
      </c>
      <c r="M67" t="s">
        <v>161</v>
      </c>
      <c r="N67" s="1">
        <v>46210</v>
      </c>
      <c r="P67" t="s">
        <v>197</v>
      </c>
      <c r="Q67" t="s">
        <v>151</v>
      </c>
      <c r="R67" t="s">
        <v>55</v>
      </c>
      <c r="S67" s="1">
        <v>46209</v>
      </c>
      <c r="T67" s="1">
        <v>46210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</row>
    <row r="68" spans="1:33" x14ac:dyDescent="0.25">
      <c r="A68">
        <v>97</v>
      </c>
      <c r="B68" t="s">
        <v>235</v>
      </c>
      <c r="C68" t="s">
        <v>232</v>
      </c>
      <c r="D68" t="s">
        <v>108</v>
      </c>
      <c r="E68" t="s">
        <v>53</v>
      </c>
      <c r="F68" s="2">
        <v>46223</v>
      </c>
      <c r="G68" s="2">
        <v>46224</v>
      </c>
      <c r="H68" s="4">
        <v>0</v>
      </c>
      <c r="J68">
        <v>96</v>
      </c>
      <c r="L68" t="s">
        <v>144</v>
      </c>
      <c r="M68" t="s">
        <v>163</v>
      </c>
      <c r="N68" s="1">
        <v>46211</v>
      </c>
      <c r="P68" t="s">
        <v>197</v>
      </c>
      <c r="Q68" t="s">
        <v>193</v>
      </c>
      <c r="R68" t="s">
        <v>55</v>
      </c>
      <c r="S68" s="1">
        <v>46211</v>
      </c>
      <c r="T68" s="1">
        <v>46211</v>
      </c>
      <c r="V68">
        <v>0</v>
      </c>
      <c r="W68">
        <v>0</v>
      </c>
      <c r="X68">
        <v>0</v>
      </c>
      <c r="Y68">
        <v>0</v>
      </c>
      <c r="Z68">
        <v>1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</row>
    <row r="69" spans="1:33" x14ac:dyDescent="0.25">
      <c r="A69">
        <v>98</v>
      </c>
      <c r="B69" t="s">
        <v>236</v>
      </c>
      <c r="C69" t="s">
        <v>199</v>
      </c>
      <c r="D69" t="s">
        <v>237</v>
      </c>
      <c r="E69" t="s">
        <v>201</v>
      </c>
      <c r="F69" s="2">
        <v>46216</v>
      </c>
      <c r="G69" s="2">
        <v>46224</v>
      </c>
      <c r="H69" s="4">
        <v>0</v>
      </c>
      <c r="L69" t="s">
        <v>144</v>
      </c>
      <c r="M69" t="s">
        <v>223</v>
      </c>
      <c r="N69" s="1">
        <v>46211</v>
      </c>
      <c r="P69" t="s">
        <v>197</v>
      </c>
      <c r="Q69" t="s">
        <v>151</v>
      </c>
      <c r="R69" t="s">
        <v>55</v>
      </c>
      <c r="S69" s="1">
        <v>46195</v>
      </c>
      <c r="T69" s="1">
        <v>46211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</row>
    <row r="70" spans="1:33" x14ac:dyDescent="0.25">
      <c r="A70">
        <v>99</v>
      </c>
      <c r="B70" t="s">
        <v>238</v>
      </c>
      <c r="C70" t="s">
        <v>239</v>
      </c>
      <c r="D70" t="s">
        <v>94</v>
      </c>
      <c r="E70" t="s">
        <v>95</v>
      </c>
      <c r="F70" s="2">
        <v>46216</v>
      </c>
      <c r="G70" s="2">
        <v>46219</v>
      </c>
      <c r="H70" s="4">
        <v>0</v>
      </c>
      <c r="J70">
        <v>336</v>
      </c>
      <c r="K70">
        <v>100</v>
      </c>
      <c r="L70" t="s">
        <v>144</v>
      </c>
      <c r="M70" t="s">
        <v>223</v>
      </c>
      <c r="N70" s="1">
        <v>46205</v>
      </c>
      <c r="P70" t="s">
        <v>197</v>
      </c>
      <c r="Q70" t="s">
        <v>151</v>
      </c>
      <c r="R70" t="s">
        <v>55</v>
      </c>
      <c r="S70" s="1">
        <v>46195</v>
      </c>
      <c r="T70" s="1">
        <v>46205</v>
      </c>
      <c r="V70">
        <v>0</v>
      </c>
      <c r="W70">
        <v>1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</row>
    <row r="71" spans="1:33" x14ac:dyDescent="0.25">
      <c r="A71">
        <v>100</v>
      </c>
      <c r="B71" t="s">
        <v>240</v>
      </c>
      <c r="C71" t="s">
        <v>239</v>
      </c>
      <c r="D71" t="s">
        <v>98</v>
      </c>
      <c r="E71" t="s">
        <v>53</v>
      </c>
      <c r="F71" s="2">
        <v>46219</v>
      </c>
      <c r="G71" s="2">
        <v>46220</v>
      </c>
      <c r="H71" s="4">
        <v>0</v>
      </c>
      <c r="J71">
        <v>99</v>
      </c>
      <c r="K71">
        <v>101</v>
      </c>
      <c r="L71" t="s">
        <v>144</v>
      </c>
      <c r="M71" t="s">
        <v>159</v>
      </c>
      <c r="N71" s="1">
        <v>46206</v>
      </c>
      <c r="P71" t="s">
        <v>197</v>
      </c>
      <c r="Q71" t="s">
        <v>151</v>
      </c>
      <c r="R71" t="s">
        <v>55</v>
      </c>
      <c r="S71" s="1">
        <v>46206</v>
      </c>
      <c r="T71" s="1">
        <v>46206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</row>
    <row r="72" spans="1:33" x14ac:dyDescent="0.25">
      <c r="A72">
        <v>101</v>
      </c>
      <c r="B72" t="s">
        <v>241</v>
      </c>
      <c r="C72" t="s">
        <v>239</v>
      </c>
      <c r="D72" t="s">
        <v>102</v>
      </c>
      <c r="E72" t="s">
        <v>53</v>
      </c>
      <c r="F72" s="2">
        <v>46220</v>
      </c>
      <c r="G72" s="2">
        <v>46223</v>
      </c>
      <c r="H72" s="4">
        <v>0</v>
      </c>
      <c r="J72">
        <v>100</v>
      </c>
      <c r="K72">
        <v>102</v>
      </c>
      <c r="L72" t="s">
        <v>144</v>
      </c>
      <c r="M72" t="s">
        <v>161</v>
      </c>
      <c r="N72" s="1">
        <v>46210</v>
      </c>
      <c r="P72" t="s">
        <v>197</v>
      </c>
      <c r="Q72" t="s">
        <v>151</v>
      </c>
      <c r="R72" t="s">
        <v>55</v>
      </c>
      <c r="S72" s="1">
        <v>46209</v>
      </c>
      <c r="T72" s="1">
        <v>46210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</row>
    <row r="73" spans="1:33" x14ac:dyDescent="0.25">
      <c r="A73">
        <v>102</v>
      </c>
      <c r="B73" t="s">
        <v>242</v>
      </c>
      <c r="C73" t="s">
        <v>239</v>
      </c>
      <c r="D73" t="s">
        <v>108</v>
      </c>
      <c r="E73" t="s">
        <v>53</v>
      </c>
      <c r="F73" s="2">
        <v>46223</v>
      </c>
      <c r="G73" s="2">
        <v>46224</v>
      </c>
      <c r="H73" s="4">
        <v>0</v>
      </c>
      <c r="J73">
        <v>101</v>
      </c>
      <c r="L73" t="s">
        <v>144</v>
      </c>
      <c r="M73" t="s">
        <v>163</v>
      </c>
      <c r="N73" s="1">
        <v>46211</v>
      </c>
      <c r="P73" t="s">
        <v>197</v>
      </c>
      <c r="Q73" t="s">
        <v>193</v>
      </c>
      <c r="R73" t="s">
        <v>55</v>
      </c>
      <c r="S73" s="1">
        <v>46211</v>
      </c>
      <c r="T73" s="1">
        <v>46211</v>
      </c>
      <c r="V73">
        <v>0</v>
      </c>
      <c r="W73">
        <v>0</v>
      </c>
      <c r="X73">
        <v>0</v>
      </c>
      <c r="Y73">
        <v>0</v>
      </c>
      <c r="Z73">
        <v>1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</row>
    <row r="74" spans="1:33" x14ac:dyDescent="0.25">
      <c r="A74">
        <v>103</v>
      </c>
      <c r="B74" t="s">
        <v>243</v>
      </c>
      <c r="C74" t="s">
        <v>199</v>
      </c>
      <c r="D74" t="s">
        <v>244</v>
      </c>
      <c r="E74" t="s">
        <v>201</v>
      </c>
      <c r="F74" s="2">
        <v>46216</v>
      </c>
      <c r="G74" s="2">
        <v>46224</v>
      </c>
      <c r="H74" s="4">
        <v>0</v>
      </c>
      <c r="L74" t="s">
        <v>144</v>
      </c>
      <c r="M74" t="s">
        <v>223</v>
      </c>
      <c r="N74" s="1">
        <v>46211</v>
      </c>
      <c r="P74" t="s">
        <v>197</v>
      </c>
      <c r="Q74" t="s">
        <v>151</v>
      </c>
      <c r="R74" t="s">
        <v>55</v>
      </c>
      <c r="S74" s="1">
        <v>46195</v>
      </c>
      <c r="T74" s="1">
        <v>46211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</row>
    <row r="75" spans="1:33" x14ac:dyDescent="0.25">
      <c r="A75">
        <v>104</v>
      </c>
      <c r="B75" t="s">
        <v>245</v>
      </c>
      <c r="C75" t="s">
        <v>246</v>
      </c>
      <c r="D75" t="s">
        <v>94</v>
      </c>
      <c r="E75" t="s">
        <v>95</v>
      </c>
      <c r="F75" s="2">
        <v>46216</v>
      </c>
      <c r="G75" s="2">
        <v>46219</v>
      </c>
      <c r="H75" s="4">
        <v>0</v>
      </c>
      <c r="J75">
        <v>336</v>
      </c>
      <c r="K75">
        <v>105</v>
      </c>
      <c r="L75" t="s">
        <v>144</v>
      </c>
      <c r="M75" t="s">
        <v>223</v>
      </c>
      <c r="N75" s="1">
        <v>46205</v>
      </c>
      <c r="P75" t="s">
        <v>197</v>
      </c>
      <c r="Q75" t="s">
        <v>151</v>
      </c>
      <c r="R75" t="s">
        <v>55</v>
      </c>
      <c r="S75" s="1">
        <v>46195</v>
      </c>
      <c r="T75" s="1">
        <v>46205</v>
      </c>
      <c r="V75">
        <v>0</v>
      </c>
      <c r="W75">
        <v>1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</row>
    <row r="76" spans="1:33" x14ac:dyDescent="0.25">
      <c r="A76">
        <v>105</v>
      </c>
      <c r="B76" t="s">
        <v>247</v>
      </c>
      <c r="C76" t="s">
        <v>246</v>
      </c>
      <c r="D76" t="s">
        <v>98</v>
      </c>
      <c r="E76" t="s">
        <v>53</v>
      </c>
      <c r="F76" s="2">
        <v>46219</v>
      </c>
      <c r="G76" s="2">
        <v>46220</v>
      </c>
      <c r="H76" s="4">
        <v>0</v>
      </c>
      <c r="J76">
        <v>104</v>
      </c>
      <c r="K76">
        <v>106</v>
      </c>
      <c r="L76" t="s">
        <v>144</v>
      </c>
      <c r="M76" t="s">
        <v>159</v>
      </c>
      <c r="N76" s="1">
        <v>46206</v>
      </c>
      <c r="P76" t="s">
        <v>197</v>
      </c>
      <c r="Q76" t="s">
        <v>151</v>
      </c>
      <c r="R76" t="s">
        <v>55</v>
      </c>
      <c r="S76" s="1">
        <v>46206</v>
      </c>
      <c r="T76" s="1">
        <v>46206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</row>
    <row r="77" spans="1:33" x14ac:dyDescent="0.25">
      <c r="A77">
        <v>106</v>
      </c>
      <c r="B77" t="s">
        <v>248</v>
      </c>
      <c r="C77" t="s">
        <v>246</v>
      </c>
      <c r="D77" t="s">
        <v>102</v>
      </c>
      <c r="E77" t="s">
        <v>53</v>
      </c>
      <c r="F77" s="2">
        <v>46220</v>
      </c>
      <c r="G77" s="2">
        <v>46223</v>
      </c>
      <c r="H77" s="4">
        <v>0</v>
      </c>
      <c r="J77">
        <v>105</v>
      </c>
      <c r="K77">
        <v>107</v>
      </c>
      <c r="L77" t="s">
        <v>144</v>
      </c>
      <c r="M77" t="s">
        <v>161</v>
      </c>
      <c r="N77" s="1">
        <v>46210</v>
      </c>
      <c r="P77" t="s">
        <v>197</v>
      </c>
      <c r="Q77" t="s">
        <v>151</v>
      </c>
      <c r="R77" t="s">
        <v>55</v>
      </c>
      <c r="S77" s="1">
        <v>46209</v>
      </c>
      <c r="T77" s="1">
        <v>46210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</row>
    <row r="78" spans="1:33" x14ac:dyDescent="0.25">
      <c r="A78">
        <v>107</v>
      </c>
      <c r="B78" t="s">
        <v>249</v>
      </c>
      <c r="C78" t="s">
        <v>246</v>
      </c>
      <c r="D78" t="s">
        <v>108</v>
      </c>
      <c r="E78" t="s">
        <v>53</v>
      </c>
      <c r="F78" s="2">
        <v>46223</v>
      </c>
      <c r="G78" s="2">
        <v>46224</v>
      </c>
      <c r="H78" s="4">
        <v>0</v>
      </c>
      <c r="J78">
        <v>106</v>
      </c>
      <c r="L78" t="s">
        <v>144</v>
      </c>
      <c r="M78" t="s">
        <v>163</v>
      </c>
      <c r="N78" s="1">
        <v>46211</v>
      </c>
      <c r="P78" t="s">
        <v>197</v>
      </c>
      <c r="Q78" t="s">
        <v>193</v>
      </c>
      <c r="R78" t="s">
        <v>55</v>
      </c>
      <c r="S78" s="1">
        <v>46211</v>
      </c>
      <c r="T78" s="1">
        <v>46211</v>
      </c>
      <c r="V78">
        <v>0</v>
      </c>
      <c r="W78">
        <v>0</v>
      </c>
      <c r="X78">
        <v>0</v>
      </c>
      <c r="Y78">
        <v>0</v>
      </c>
      <c r="Z78">
        <v>1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</row>
    <row r="79" spans="1:33" x14ac:dyDescent="0.25">
      <c r="A79">
        <v>108</v>
      </c>
      <c r="B79" t="s">
        <v>250</v>
      </c>
      <c r="C79" t="s">
        <v>199</v>
      </c>
      <c r="D79" t="s">
        <v>251</v>
      </c>
      <c r="E79" t="s">
        <v>201</v>
      </c>
      <c r="F79" s="2">
        <v>46216</v>
      </c>
      <c r="G79" s="2">
        <v>46224</v>
      </c>
      <c r="H79" s="4">
        <v>0</v>
      </c>
      <c r="L79" t="s">
        <v>144</v>
      </c>
      <c r="M79" t="s">
        <v>223</v>
      </c>
      <c r="N79" s="1">
        <v>46211</v>
      </c>
      <c r="P79" t="s">
        <v>197</v>
      </c>
      <c r="Q79" t="s">
        <v>151</v>
      </c>
      <c r="R79" t="s">
        <v>55</v>
      </c>
      <c r="S79" s="1">
        <v>46195</v>
      </c>
      <c r="T79" s="1">
        <v>46211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</row>
    <row r="80" spans="1:33" x14ac:dyDescent="0.25">
      <c r="A80">
        <v>109</v>
      </c>
      <c r="B80" t="s">
        <v>252</v>
      </c>
      <c r="C80" t="s">
        <v>253</v>
      </c>
      <c r="D80" t="s">
        <v>94</v>
      </c>
      <c r="E80" t="s">
        <v>95</v>
      </c>
      <c r="F80" s="2">
        <v>46216</v>
      </c>
      <c r="G80" s="2">
        <v>46219</v>
      </c>
      <c r="H80" s="4">
        <v>0</v>
      </c>
      <c r="J80">
        <v>336</v>
      </c>
      <c r="K80">
        <v>110</v>
      </c>
      <c r="L80" t="s">
        <v>144</v>
      </c>
      <c r="M80" t="s">
        <v>223</v>
      </c>
      <c r="N80" s="1">
        <v>46205</v>
      </c>
      <c r="P80" t="s">
        <v>197</v>
      </c>
      <c r="Q80" t="s">
        <v>151</v>
      </c>
      <c r="R80" t="s">
        <v>55</v>
      </c>
      <c r="S80" s="1">
        <v>46195</v>
      </c>
      <c r="T80" s="1">
        <v>46205</v>
      </c>
      <c r="V80">
        <v>0</v>
      </c>
      <c r="W80">
        <v>1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</row>
    <row r="81" spans="1:33" x14ac:dyDescent="0.25">
      <c r="A81">
        <v>110</v>
      </c>
      <c r="B81" t="s">
        <v>254</v>
      </c>
      <c r="C81" t="s">
        <v>253</v>
      </c>
      <c r="D81" t="s">
        <v>98</v>
      </c>
      <c r="E81" t="s">
        <v>53</v>
      </c>
      <c r="F81" s="2">
        <v>46219</v>
      </c>
      <c r="G81" s="2">
        <v>46220</v>
      </c>
      <c r="H81" s="4">
        <v>0</v>
      </c>
      <c r="J81">
        <v>109</v>
      </c>
      <c r="K81">
        <v>111</v>
      </c>
      <c r="L81" t="s">
        <v>144</v>
      </c>
      <c r="M81" t="s">
        <v>159</v>
      </c>
      <c r="N81" s="1">
        <v>46206</v>
      </c>
      <c r="P81" t="s">
        <v>197</v>
      </c>
      <c r="Q81" t="s">
        <v>151</v>
      </c>
      <c r="R81" t="s">
        <v>55</v>
      </c>
      <c r="S81" s="1">
        <v>46206</v>
      </c>
      <c r="T81" s="1">
        <v>46206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</row>
    <row r="82" spans="1:33" x14ac:dyDescent="0.25">
      <c r="A82">
        <v>111</v>
      </c>
      <c r="B82" t="s">
        <v>255</v>
      </c>
      <c r="C82" t="s">
        <v>253</v>
      </c>
      <c r="D82" t="s">
        <v>102</v>
      </c>
      <c r="E82" t="s">
        <v>53</v>
      </c>
      <c r="F82" s="2">
        <v>46220</v>
      </c>
      <c r="G82" s="2">
        <v>46223</v>
      </c>
      <c r="H82" s="4">
        <v>0</v>
      </c>
      <c r="J82">
        <v>110</v>
      </c>
      <c r="K82">
        <v>112</v>
      </c>
      <c r="L82" t="s">
        <v>144</v>
      </c>
      <c r="M82" t="s">
        <v>161</v>
      </c>
      <c r="N82" s="1">
        <v>46210</v>
      </c>
      <c r="P82" t="s">
        <v>197</v>
      </c>
      <c r="Q82" t="s">
        <v>151</v>
      </c>
      <c r="R82" t="s">
        <v>55</v>
      </c>
      <c r="S82" s="1">
        <v>46209</v>
      </c>
      <c r="T82" s="1">
        <v>46210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</row>
    <row r="83" spans="1:33" x14ac:dyDescent="0.25">
      <c r="A83">
        <v>112</v>
      </c>
      <c r="B83" t="s">
        <v>256</v>
      </c>
      <c r="C83" t="s">
        <v>253</v>
      </c>
      <c r="D83" t="s">
        <v>108</v>
      </c>
      <c r="E83" t="s">
        <v>53</v>
      </c>
      <c r="F83" s="2">
        <v>46223</v>
      </c>
      <c r="G83" s="2">
        <v>46224</v>
      </c>
      <c r="H83" s="4">
        <v>0</v>
      </c>
      <c r="J83">
        <v>111</v>
      </c>
      <c r="L83" t="s">
        <v>144</v>
      </c>
      <c r="M83" t="s">
        <v>163</v>
      </c>
      <c r="N83" s="1">
        <v>46211</v>
      </c>
      <c r="P83" t="s">
        <v>197</v>
      </c>
      <c r="Q83" t="s">
        <v>193</v>
      </c>
      <c r="R83" t="s">
        <v>55</v>
      </c>
      <c r="S83" s="1">
        <v>46211</v>
      </c>
      <c r="T83" s="1">
        <v>46211</v>
      </c>
      <c r="V83">
        <v>0</v>
      </c>
      <c r="W83">
        <v>0</v>
      </c>
      <c r="X83">
        <v>0</v>
      </c>
      <c r="Y83">
        <v>0</v>
      </c>
      <c r="Z83">
        <v>1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</row>
    <row r="84" spans="1:33" x14ac:dyDescent="0.25">
      <c r="A84">
        <v>113</v>
      </c>
      <c r="B84" t="s">
        <v>257</v>
      </c>
      <c r="C84" t="s">
        <v>199</v>
      </c>
      <c r="D84" t="s">
        <v>258</v>
      </c>
      <c r="E84" t="s">
        <v>201</v>
      </c>
      <c r="F84" s="2">
        <v>46216</v>
      </c>
      <c r="G84" s="2">
        <v>46224</v>
      </c>
      <c r="H84" s="4">
        <v>0</v>
      </c>
      <c r="L84" t="s">
        <v>144</v>
      </c>
      <c r="M84" t="s">
        <v>223</v>
      </c>
      <c r="N84" s="1">
        <v>46211</v>
      </c>
      <c r="P84" t="s">
        <v>197</v>
      </c>
      <c r="Q84" t="s">
        <v>151</v>
      </c>
      <c r="R84" t="s">
        <v>55</v>
      </c>
      <c r="S84" s="1">
        <v>46195</v>
      </c>
      <c r="T84" s="1">
        <v>46211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</row>
    <row r="85" spans="1:33" x14ac:dyDescent="0.25">
      <c r="A85">
        <v>114</v>
      </c>
      <c r="B85" t="s">
        <v>259</v>
      </c>
      <c r="C85" t="s">
        <v>260</v>
      </c>
      <c r="D85" t="s">
        <v>94</v>
      </c>
      <c r="E85" t="s">
        <v>95</v>
      </c>
      <c r="F85" s="2">
        <v>46216</v>
      </c>
      <c r="G85" s="2">
        <v>46219</v>
      </c>
      <c r="H85" s="4">
        <v>0</v>
      </c>
      <c r="J85">
        <v>336</v>
      </c>
      <c r="K85">
        <v>115</v>
      </c>
      <c r="L85" t="s">
        <v>144</v>
      </c>
      <c r="M85" t="s">
        <v>223</v>
      </c>
      <c r="N85" s="1">
        <v>46205</v>
      </c>
      <c r="P85" t="s">
        <v>197</v>
      </c>
      <c r="Q85" t="s">
        <v>151</v>
      </c>
      <c r="R85" t="s">
        <v>55</v>
      </c>
      <c r="S85" s="1">
        <v>46195</v>
      </c>
      <c r="T85" s="1">
        <v>46205</v>
      </c>
      <c r="V85">
        <v>0</v>
      </c>
      <c r="W85">
        <v>1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</row>
    <row r="86" spans="1:33" x14ac:dyDescent="0.25">
      <c r="A86">
        <v>115</v>
      </c>
      <c r="B86" t="s">
        <v>261</v>
      </c>
      <c r="C86" t="s">
        <v>260</v>
      </c>
      <c r="D86" t="s">
        <v>98</v>
      </c>
      <c r="E86" t="s">
        <v>53</v>
      </c>
      <c r="F86" s="2">
        <v>46219</v>
      </c>
      <c r="G86" s="2">
        <v>46220</v>
      </c>
      <c r="H86" s="4">
        <v>0</v>
      </c>
      <c r="J86">
        <v>114</v>
      </c>
      <c r="K86">
        <v>116</v>
      </c>
      <c r="L86" t="s">
        <v>144</v>
      </c>
      <c r="M86" t="s">
        <v>159</v>
      </c>
      <c r="N86" s="1">
        <v>46206</v>
      </c>
      <c r="P86" t="s">
        <v>197</v>
      </c>
      <c r="Q86" t="s">
        <v>151</v>
      </c>
      <c r="R86" t="s">
        <v>55</v>
      </c>
      <c r="S86" s="1">
        <v>46206</v>
      </c>
      <c r="T86" s="1">
        <v>46206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</row>
    <row r="87" spans="1:33" x14ac:dyDescent="0.25">
      <c r="A87">
        <v>116</v>
      </c>
      <c r="B87" t="s">
        <v>262</v>
      </c>
      <c r="C87" t="s">
        <v>260</v>
      </c>
      <c r="D87" t="s">
        <v>102</v>
      </c>
      <c r="E87" t="s">
        <v>53</v>
      </c>
      <c r="F87" s="2">
        <v>46220</v>
      </c>
      <c r="G87" s="2">
        <v>46223</v>
      </c>
      <c r="H87" s="4">
        <v>0</v>
      </c>
      <c r="J87">
        <v>115</v>
      </c>
      <c r="K87">
        <v>117</v>
      </c>
      <c r="L87" t="s">
        <v>144</v>
      </c>
      <c r="M87" t="s">
        <v>161</v>
      </c>
      <c r="N87" s="1">
        <v>46210</v>
      </c>
      <c r="P87" t="s">
        <v>197</v>
      </c>
      <c r="Q87" t="s">
        <v>151</v>
      </c>
      <c r="R87" t="s">
        <v>55</v>
      </c>
      <c r="S87" s="1">
        <v>46209</v>
      </c>
      <c r="T87" s="1">
        <v>46210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</row>
    <row r="88" spans="1:33" x14ac:dyDescent="0.25">
      <c r="A88">
        <v>117</v>
      </c>
      <c r="B88" t="s">
        <v>263</v>
      </c>
      <c r="C88" t="s">
        <v>260</v>
      </c>
      <c r="D88" t="s">
        <v>108</v>
      </c>
      <c r="E88" t="s">
        <v>53</v>
      </c>
      <c r="F88" s="2">
        <v>46223</v>
      </c>
      <c r="G88" s="2">
        <v>46224</v>
      </c>
      <c r="H88" s="4">
        <v>0</v>
      </c>
      <c r="J88">
        <v>116</v>
      </c>
      <c r="L88" t="s">
        <v>144</v>
      </c>
      <c r="M88" t="s">
        <v>163</v>
      </c>
      <c r="N88" s="1">
        <v>46211</v>
      </c>
      <c r="P88" t="s">
        <v>197</v>
      </c>
      <c r="Q88" t="s">
        <v>193</v>
      </c>
      <c r="R88" t="s">
        <v>55</v>
      </c>
      <c r="S88" s="1">
        <v>46211</v>
      </c>
      <c r="T88" s="1">
        <v>46211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</row>
    <row r="89" spans="1:33" x14ac:dyDescent="0.25">
      <c r="A89">
        <v>118</v>
      </c>
      <c r="B89" t="s">
        <v>264</v>
      </c>
      <c r="C89" t="s">
        <v>199</v>
      </c>
      <c r="D89" t="s">
        <v>265</v>
      </c>
      <c r="E89" t="s">
        <v>201</v>
      </c>
      <c r="F89" s="2">
        <v>46216</v>
      </c>
      <c r="G89" s="2">
        <v>46224</v>
      </c>
      <c r="H89" s="4">
        <v>0</v>
      </c>
      <c r="L89" t="s">
        <v>144</v>
      </c>
      <c r="M89" t="s">
        <v>223</v>
      </c>
      <c r="N89" s="1">
        <v>46211</v>
      </c>
      <c r="P89" t="s">
        <v>197</v>
      </c>
      <c r="Q89" t="s">
        <v>151</v>
      </c>
      <c r="R89" t="s">
        <v>55</v>
      </c>
      <c r="S89" s="1">
        <v>46195</v>
      </c>
      <c r="T89" s="1">
        <v>46211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</row>
    <row r="90" spans="1:33" x14ac:dyDescent="0.25">
      <c r="A90">
        <v>119</v>
      </c>
      <c r="B90" t="s">
        <v>266</v>
      </c>
      <c r="C90" t="s">
        <v>267</v>
      </c>
      <c r="D90" t="s">
        <v>94</v>
      </c>
      <c r="E90" t="s">
        <v>95</v>
      </c>
      <c r="F90" s="2">
        <v>46216</v>
      </c>
      <c r="G90" s="2">
        <v>46219</v>
      </c>
      <c r="H90" s="4">
        <v>0</v>
      </c>
      <c r="J90">
        <v>336</v>
      </c>
      <c r="K90">
        <v>120</v>
      </c>
      <c r="L90" t="s">
        <v>144</v>
      </c>
      <c r="M90" t="s">
        <v>223</v>
      </c>
      <c r="N90" s="1">
        <v>46205</v>
      </c>
      <c r="P90" t="s">
        <v>197</v>
      </c>
      <c r="Q90" t="s">
        <v>151</v>
      </c>
      <c r="R90" t="s">
        <v>55</v>
      </c>
      <c r="S90" s="1">
        <v>46195</v>
      </c>
      <c r="T90" s="1">
        <v>46205</v>
      </c>
      <c r="V90">
        <v>0</v>
      </c>
      <c r="W90">
        <v>1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</row>
    <row r="91" spans="1:33" x14ac:dyDescent="0.25">
      <c r="A91">
        <v>120</v>
      </c>
      <c r="B91" t="s">
        <v>268</v>
      </c>
      <c r="C91" t="s">
        <v>267</v>
      </c>
      <c r="D91" t="s">
        <v>98</v>
      </c>
      <c r="E91" t="s">
        <v>53</v>
      </c>
      <c r="F91" s="2">
        <v>46219</v>
      </c>
      <c r="G91" s="2">
        <v>46220</v>
      </c>
      <c r="H91" s="4">
        <v>0</v>
      </c>
      <c r="J91">
        <v>119</v>
      </c>
      <c r="K91">
        <v>121</v>
      </c>
      <c r="L91" t="s">
        <v>144</v>
      </c>
      <c r="M91" t="s">
        <v>159</v>
      </c>
      <c r="N91" s="1">
        <v>46206</v>
      </c>
      <c r="P91" t="s">
        <v>197</v>
      </c>
      <c r="Q91" t="s">
        <v>151</v>
      </c>
      <c r="R91" t="s">
        <v>55</v>
      </c>
      <c r="S91" s="1">
        <v>46206</v>
      </c>
      <c r="T91" s="1">
        <v>46206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</row>
    <row r="92" spans="1:33" x14ac:dyDescent="0.25">
      <c r="A92">
        <v>121</v>
      </c>
      <c r="B92" t="s">
        <v>269</v>
      </c>
      <c r="C92" t="s">
        <v>267</v>
      </c>
      <c r="D92" t="s">
        <v>102</v>
      </c>
      <c r="E92" t="s">
        <v>53</v>
      </c>
      <c r="F92" s="2">
        <v>46220</v>
      </c>
      <c r="G92" s="2">
        <v>46223</v>
      </c>
      <c r="H92" s="4">
        <v>0</v>
      </c>
      <c r="J92">
        <v>120</v>
      </c>
      <c r="K92">
        <v>122</v>
      </c>
      <c r="L92" t="s">
        <v>144</v>
      </c>
      <c r="M92" t="s">
        <v>161</v>
      </c>
      <c r="N92" s="1">
        <v>46210</v>
      </c>
      <c r="P92" t="s">
        <v>197</v>
      </c>
      <c r="Q92" t="s">
        <v>151</v>
      </c>
      <c r="R92" t="s">
        <v>55</v>
      </c>
      <c r="S92" s="1">
        <v>46209</v>
      </c>
      <c r="T92" s="1">
        <v>46210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</row>
    <row r="93" spans="1:33" x14ac:dyDescent="0.25">
      <c r="A93">
        <v>122</v>
      </c>
      <c r="B93" t="s">
        <v>270</v>
      </c>
      <c r="C93" t="s">
        <v>267</v>
      </c>
      <c r="D93" t="s">
        <v>108</v>
      </c>
      <c r="E93" t="s">
        <v>53</v>
      </c>
      <c r="F93" s="2">
        <v>46223</v>
      </c>
      <c r="G93" s="2">
        <v>46224</v>
      </c>
      <c r="H93" s="4">
        <v>0</v>
      </c>
      <c r="J93">
        <v>121</v>
      </c>
      <c r="L93" t="s">
        <v>144</v>
      </c>
      <c r="M93" t="s">
        <v>163</v>
      </c>
      <c r="N93" s="1">
        <v>46211</v>
      </c>
      <c r="P93" t="s">
        <v>197</v>
      </c>
      <c r="Q93" t="s">
        <v>193</v>
      </c>
      <c r="R93" t="s">
        <v>55</v>
      </c>
      <c r="S93" s="1">
        <v>46211</v>
      </c>
      <c r="T93" s="1">
        <v>46211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</row>
    <row r="94" spans="1:33" x14ac:dyDescent="0.25">
      <c r="A94">
        <v>123</v>
      </c>
      <c r="B94" t="s">
        <v>271</v>
      </c>
      <c r="C94" t="s">
        <v>199</v>
      </c>
      <c r="D94" t="s">
        <v>272</v>
      </c>
      <c r="E94" t="s">
        <v>201</v>
      </c>
      <c r="F94" s="2">
        <v>46216</v>
      </c>
      <c r="G94" s="2">
        <v>46224</v>
      </c>
      <c r="H94" s="4">
        <v>0</v>
      </c>
      <c r="L94" t="s">
        <v>144</v>
      </c>
      <c r="M94" t="s">
        <v>223</v>
      </c>
      <c r="N94" s="1">
        <v>46211</v>
      </c>
      <c r="P94" t="s">
        <v>197</v>
      </c>
      <c r="Q94" t="s">
        <v>151</v>
      </c>
      <c r="R94" t="s">
        <v>55</v>
      </c>
      <c r="S94" s="1">
        <v>46195</v>
      </c>
      <c r="T94" s="1">
        <v>46211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</row>
    <row r="95" spans="1:33" x14ac:dyDescent="0.25">
      <c r="A95">
        <v>124</v>
      </c>
      <c r="B95" t="s">
        <v>273</v>
      </c>
      <c r="C95" t="s">
        <v>274</v>
      </c>
      <c r="D95" t="s">
        <v>94</v>
      </c>
      <c r="E95" t="s">
        <v>95</v>
      </c>
      <c r="F95" s="2">
        <v>46216</v>
      </c>
      <c r="G95" s="2">
        <v>46219</v>
      </c>
      <c r="H95" s="4">
        <v>0</v>
      </c>
      <c r="J95">
        <v>336</v>
      </c>
      <c r="K95">
        <v>125</v>
      </c>
      <c r="L95" t="s">
        <v>144</v>
      </c>
      <c r="M95" t="s">
        <v>223</v>
      </c>
      <c r="N95" s="1">
        <v>46205</v>
      </c>
      <c r="P95" t="s">
        <v>197</v>
      </c>
      <c r="Q95" t="s">
        <v>151</v>
      </c>
      <c r="R95" t="s">
        <v>55</v>
      </c>
      <c r="S95" s="1">
        <v>46195</v>
      </c>
      <c r="T95" s="1">
        <v>46205</v>
      </c>
      <c r="V95">
        <v>0</v>
      </c>
      <c r="W95">
        <v>1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</row>
    <row r="96" spans="1:33" x14ac:dyDescent="0.25">
      <c r="A96">
        <v>125</v>
      </c>
      <c r="B96" t="s">
        <v>275</v>
      </c>
      <c r="C96" t="s">
        <v>274</v>
      </c>
      <c r="D96" t="s">
        <v>98</v>
      </c>
      <c r="E96" t="s">
        <v>53</v>
      </c>
      <c r="F96" s="2">
        <v>46219</v>
      </c>
      <c r="G96" s="2">
        <v>46220</v>
      </c>
      <c r="H96" s="4">
        <v>0</v>
      </c>
      <c r="J96">
        <v>124</v>
      </c>
      <c r="K96">
        <v>126</v>
      </c>
      <c r="L96" t="s">
        <v>144</v>
      </c>
      <c r="M96" t="s">
        <v>159</v>
      </c>
      <c r="N96" s="1">
        <v>46206</v>
      </c>
      <c r="P96" t="s">
        <v>197</v>
      </c>
      <c r="Q96" t="s">
        <v>151</v>
      </c>
      <c r="R96" t="s">
        <v>55</v>
      </c>
      <c r="S96" s="1">
        <v>46206</v>
      </c>
      <c r="T96" s="1">
        <v>46206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</row>
    <row r="97" spans="1:33" x14ac:dyDescent="0.25">
      <c r="A97">
        <v>126</v>
      </c>
      <c r="B97" t="s">
        <v>276</v>
      </c>
      <c r="C97" t="s">
        <v>274</v>
      </c>
      <c r="D97" t="s">
        <v>102</v>
      </c>
      <c r="E97" t="s">
        <v>53</v>
      </c>
      <c r="F97" s="2">
        <v>46220</v>
      </c>
      <c r="G97" s="2">
        <v>46223</v>
      </c>
      <c r="H97" s="4">
        <v>0</v>
      </c>
      <c r="J97">
        <v>125</v>
      </c>
      <c r="K97">
        <v>127</v>
      </c>
      <c r="L97" t="s">
        <v>144</v>
      </c>
      <c r="M97" t="s">
        <v>161</v>
      </c>
      <c r="N97" s="1">
        <v>46210</v>
      </c>
      <c r="P97" t="s">
        <v>197</v>
      </c>
      <c r="Q97" t="s">
        <v>151</v>
      </c>
      <c r="R97" t="s">
        <v>55</v>
      </c>
      <c r="S97" s="1">
        <v>46209</v>
      </c>
      <c r="T97" s="1">
        <v>46210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</row>
    <row r="98" spans="1:33" x14ac:dyDescent="0.25">
      <c r="A98">
        <v>127</v>
      </c>
      <c r="B98" t="s">
        <v>277</v>
      </c>
      <c r="C98" t="s">
        <v>274</v>
      </c>
      <c r="D98" t="s">
        <v>108</v>
      </c>
      <c r="E98" t="s">
        <v>53</v>
      </c>
      <c r="F98" s="2">
        <v>46223</v>
      </c>
      <c r="G98" s="2">
        <v>46224</v>
      </c>
      <c r="H98" s="4">
        <v>0</v>
      </c>
      <c r="J98">
        <v>126</v>
      </c>
      <c r="L98" t="s">
        <v>144</v>
      </c>
      <c r="M98" t="s">
        <v>163</v>
      </c>
      <c r="N98" s="1">
        <v>46211</v>
      </c>
      <c r="P98" t="s">
        <v>197</v>
      </c>
      <c r="Q98" t="s">
        <v>193</v>
      </c>
      <c r="R98" t="s">
        <v>55</v>
      </c>
      <c r="S98" s="1">
        <v>46211</v>
      </c>
      <c r="T98" s="1">
        <v>46211</v>
      </c>
      <c r="V98">
        <v>0</v>
      </c>
      <c r="W98">
        <v>0</v>
      </c>
      <c r="X98">
        <v>0</v>
      </c>
      <c r="Y98">
        <v>0</v>
      </c>
      <c r="Z98">
        <v>1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</row>
    <row r="99" spans="1:33" x14ac:dyDescent="0.25">
      <c r="A99">
        <v>128</v>
      </c>
      <c r="B99" t="s">
        <v>278</v>
      </c>
      <c r="C99" t="s">
        <v>199</v>
      </c>
      <c r="D99" t="s">
        <v>279</v>
      </c>
      <c r="E99" t="s">
        <v>201</v>
      </c>
      <c r="F99" s="2">
        <v>46216</v>
      </c>
      <c r="G99" s="2">
        <v>46224</v>
      </c>
      <c r="H99" s="4">
        <v>0</v>
      </c>
      <c r="L99" t="s">
        <v>144</v>
      </c>
      <c r="M99" t="s">
        <v>223</v>
      </c>
      <c r="N99" s="1">
        <v>46211</v>
      </c>
      <c r="P99" t="s">
        <v>197</v>
      </c>
      <c r="Q99" t="s">
        <v>151</v>
      </c>
      <c r="R99" t="s">
        <v>55</v>
      </c>
      <c r="S99" s="1">
        <v>46195</v>
      </c>
      <c r="T99" s="1">
        <v>46211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</row>
    <row r="100" spans="1:33" x14ac:dyDescent="0.25">
      <c r="A100">
        <v>129</v>
      </c>
      <c r="B100" t="s">
        <v>280</v>
      </c>
      <c r="C100" t="s">
        <v>281</v>
      </c>
      <c r="D100" t="s">
        <v>94</v>
      </c>
      <c r="E100" t="s">
        <v>95</v>
      </c>
      <c r="F100" s="2">
        <v>46216</v>
      </c>
      <c r="G100" s="2">
        <v>46219</v>
      </c>
      <c r="H100" s="4">
        <v>0</v>
      </c>
      <c r="J100">
        <v>336</v>
      </c>
      <c r="K100">
        <v>130</v>
      </c>
      <c r="L100" t="s">
        <v>144</v>
      </c>
      <c r="M100" t="s">
        <v>223</v>
      </c>
      <c r="N100" s="1">
        <v>46205</v>
      </c>
      <c r="P100" t="s">
        <v>197</v>
      </c>
      <c r="Q100" t="s">
        <v>151</v>
      </c>
      <c r="R100" t="s">
        <v>55</v>
      </c>
      <c r="S100" s="1">
        <v>46195</v>
      </c>
      <c r="T100" s="1">
        <v>46205</v>
      </c>
      <c r="V100">
        <v>0</v>
      </c>
      <c r="W100">
        <v>1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</row>
    <row r="101" spans="1:33" x14ac:dyDescent="0.25">
      <c r="A101">
        <v>130</v>
      </c>
      <c r="B101" t="s">
        <v>282</v>
      </c>
      <c r="C101" t="s">
        <v>281</v>
      </c>
      <c r="D101" t="s">
        <v>98</v>
      </c>
      <c r="E101" t="s">
        <v>53</v>
      </c>
      <c r="F101" s="2">
        <v>46219</v>
      </c>
      <c r="G101" s="2">
        <v>46220</v>
      </c>
      <c r="H101" s="4">
        <v>0</v>
      </c>
      <c r="J101">
        <v>129</v>
      </c>
      <c r="K101">
        <v>131</v>
      </c>
      <c r="L101" t="s">
        <v>144</v>
      </c>
      <c r="M101" t="s">
        <v>159</v>
      </c>
      <c r="N101" s="1">
        <v>46206</v>
      </c>
      <c r="P101" t="s">
        <v>197</v>
      </c>
      <c r="Q101" t="s">
        <v>151</v>
      </c>
      <c r="R101" t="s">
        <v>55</v>
      </c>
      <c r="S101" s="1">
        <v>46206</v>
      </c>
      <c r="T101" s="1">
        <v>46206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</row>
    <row r="102" spans="1:33" x14ac:dyDescent="0.25">
      <c r="A102">
        <v>131</v>
      </c>
      <c r="B102" t="s">
        <v>283</v>
      </c>
      <c r="C102" t="s">
        <v>281</v>
      </c>
      <c r="D102" t="s">
        <v>102</v>
      </c>
      <c r="E102" t="s">
        <v>53</v>
      </c>
      <c r="F102" s="2">
        <v>46220</v>
      </c>
      <c r="G102" s="2">
        <v>46223</v>
      </c>
      <c r="H102" s="4">
        <v>0</v>
      </c>
      <c r="J102">
        <v>130</v>
      </c>
      <c r="K102">
        <v>132</v>
      </c>
      <c r="L102" t="s">
        <v>144</v>
      </c>
      <c r="M102" t="s">
        <v>161</v>
      </c>
      <c r="N102" s="1">
        <v>46210</v>
      </c>
      <c r="P102" t="s">
        <v>197</v>
      </c>
      <c r="Q102" t="s">
        <v>151</v>
      </c>
      <c r="R102" t="s">
        <v>55</v>
      </c>
      <c r="S102" s="1">
        <v>46209</v>
      </c>
      <c r="T102" s="1">
        <v>46210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</row>
    <row r="103" spans="1:33" x14ac:dyDescent="0.25">
      <c r="A103">
        <v>132</v>
      </c>
      <c r="B103" t="s">
        <v>284</v>
      </c>
      <c r="C103" t="s">
        <v>281</v>
      </c>
      <c r="D103" t="s">
        <v>108</v>
      </c>
      <c r="E103" t="s">
        <v>53</v>
      </c>
      <c r="F103" s="2">
        <v>46223</v>
      </c>
      <c r="G103" s="2">
        <v>46224</v>
      </c>
      <c r="H103" s="4">
        <v>0</v>
      </c>
      <c r="J103">
        <v>131</v>
      </c>
      <c r="L103" t="s">
        <v>144</v>
      </c>
      <c r="M103" t="s">
        <v>163</v>
      </c>
      <c r="N103" s="1">
        <v>46211</v>
      </c>
      <c r="P103" t="s">
        <v>197</v>
      </c>
      <c r="Q103" t="s">
        <v>193</v>
      </c>
      <c r="R103" t="s">
        <v>55</v>
      </c>
      <c r="S103" s="1">
        <v>46211</v>
      </c>
      <c r="T103" s="1">
        <v>46211</v>
      </c>
      <c r="V103">
        <v>0</v>
      </c>
      <c r="W103">
        <v>0</v>
      </c>
      <c r="X103">
        <v>0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</row>
    <row r="104" spans="1:33" x14ac:dyDescent="0.25">
      <c r="A104">
        <v>133</v>
      </c>
      <c r="B104" t="s">
        <v>285</v>
      </c>
      <c r="C104" t="s">
        <v>199</v>
      </c>
      <c r="D104" t="s">
        <v>286</v>
      </c>
      <c r="E104" t="s">
        <v>287</v>
      </c>
      <c r="F104" s="2">
        <v>46195</v>
      </c>
      <c r="G104" s="2">
        <v>46210</v>
      </c>
      <c r="H104" s="4">
        <v>0.67</v>
      </c>
      <c r="L104" t="s">
        <v>35</v>
      </c>
      <c r="M104" t="s">
        <v>148</v>
      </c>
      <c r="N104" s="1">
        <v>46188</v>
      </c>
      <c r="P104" t="s">
        <v>197</v>
      </c>
      <c r="Q104" t="s">
        <v>138</v>
      </c>
      <c r="R104" t="s">
        <v>55</v>
      </c>
      <c r="S104" s="1">
        <v>46171</v>
      </c>
      <c r="T104" s="1">
        <v>46188</v>
      </c>
      <c r="V104">
        <v>0.67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</row>
    <row r="105" spans="1:33" x14ac:dyDescent="0.25">
      <c r="A105">
        <v>134</v>
      </c>
      <c r="B105" t="s">
        <v>288</v>
      </c>
      <c r="C105" t="s">
        <v>289</v>
      </c>
      <c r="D105" t="s">
        <v>94</v>
      </c>
      <c r="E105" t="s">
        <v>290</v>
      </c>
      <c r="F105" s="2">
        <v>46195</v>
      </c>
      <c r="G105" s="2">
        <v>46204</v>
      </c>
      <c r="H105" s="4">
        <v>1</v>
      </c>
      <c r="I105" s="2">
        <v>46204</v>
      </c>
      <c r="J105">
        <v>185</v>
      </c>
      <c r="K105">
        <v>135</v>
      </c>
      <c r="L105" t="s">
        <v>59</v>
      </c>
      <c r="M105" t="s">
        <v>148</v>
      </c>
      <c r="N105" s="1">
        <v>46182</v>
      </c>
      <c r="P105" t="s">
        <v>197</v>
      </c>
      <c r="Q105" t="s">
        <v>138</v>
      </c>
      <c r="R105" t="s">
        <v>55</v>
      </c>
      <c r="S105" s="1">
        <v>46171</v>
      </c>
      <c r="T105" s="1">
        <v>46182</v>
      </c>
      <c r="V105">
        <v>1</v>
      </c>
      <c r="W105">
        <v>1</v>
      </c>
      <c r="X105">
        <v>1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1</v>
      </c>
    </row>
    <row r="106" spans="1:33" x14ac:dyDescent="0.25">
      <c r="A106">
        <v>135</v>
      </c>
      <c r="B106" t="s">
        <v>291</v>
      </c>
      <c r="C106" t="s">
        <v>289</v>
      </c>
      <c r="D106" t="s">
        <v>98</v>
      </c>
      <c r="E106" t="s">
        <v>53</v>
      </c>
      <c r="F106" s="2">
        <v>46205</v>
      </c>
      <c r="G106" s="2">
        <v>46205</v>
      </c>
      <c r="H106" s="4">
        <v>0</v>
      </c>
      <c r="J106">
        <v>134</v>
      </c>
      <c r="K106">
        <v>136</v>
      </c>
      <c r="L106" t="s">
        <v>35</v>
      </c>
      <c r="M106" t="s">
        <v>292</v>
      </c>
      <c r="N106" s="1">
        <v>46183</v>
      </c>
      <c r="P106" t="s">
        <v>197</v>
      </c>
      <c r="Q106" t="s">
        <v>146</v>
      </c>
      <c r="R106" t="s">
        <v>55</v>
      </c>
      <c r="S106" s="1">
        <v>46183</v>
      </c>
      <c r="T106" s="1">
        <v>46183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1</v>
      </c>
      <c r="AC106">
        <v>0</v>
      </c>
      <c r="AD106">
        <v>0</v>
      </c>
      <c r="AE106">
        <v>0</v>
      </c>
      <c r="AF106">
        <v>0</v>
      </c>
      <c r="AG106">
        <v>0</v>
      </c>
    </row>
    <row r="107" spans="1:33" x14ac:dyDescent="0.25">
      <c r="A107">
        <v>136</v>
      </c>
      <c r="B107" t="s">
        <v>293</v>
      </c>
      <c r="C107" t="s">
        <v>289</v>
      </c>
      <c r="D107" t="s">
        <v>102</v>
      </c>
      <c r="E107" t="s">
        <v>121</v>
      </c>
      <c r="F107" s="2">
        <v>46206</v>
      </c>
      <c r="G107" s="2">
        <v>46209</v>
      </c>
      <c r="H107" s="4">
        <v>0</v>
      </c>
      <c r="J107">
        <v>135</v>
      </c>
      <c r="K107">
        <v>137</v>
      </c>
      <c r="L107" t="s">
        <v>131</v>
      </c>
      <c r="M107" t="s">
        <v>294</v>
      </c>
      <c r="N107" s="1">
        <v>46185</v>
      </c>
      <c r="P107" t="s">
        <v>197</v>
      </c>
      <c r="Q107" t="s">
        <v>146</v>
      </c>
      <c r="R107" t="s">
        <v>55</v>
      </c>
      <c r="S107" s="1">
        <v>46184</v>
      </c>
      <c r="T107" s="1">
        <v>46185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</row>
    <row r="108" spans="1:33" x14ac:dyDescent="0.25">
      <c r="A108">
        <v>137</v>
      </c>
      <c r="B108" t="s">
        <v>295</v>
      </c>
      <c r="C108" t="s">
        <v>289</v>
      </c>
      <c r="D108" t="s">
        <v>108</v>
      </c>
      <c r="E108" t="s">
        <v>53</v>
      </c>
      <c r="F108" s="2">
        <v>46210</v>
      </c>
      <c r="G108" s="2">
        <v>46210</v>
      </c>
      <c r="H108" s="4">
        <v>0</v>
      </c>
      <c r="J108">
        <v>136</v>
      </c>
      <c r="L108" t="s">
        <v>144</v>
      </c>
      <c r="M108" t="s">
        <v>296</v>
      </c>
      <c r="N108" s="1">
        <v>46188</v>
      </c>
      <c r="P108" t="s">
        <v>197</v>
      </c>
      <c r="Q108" t="s">
        <v>151</v>
      </c>
      <c r="R108" t="s">
        <v>55</v>
      </c>
      <c r="S108" s="1">
        <v>46188</v>
      </c>
      <c r="T108" s="1">
        <v>46188</v>
      </c>
      <c r="V108">
        <v>0</v>
      </c>
      <c r="W108">
        <v>0</v>
      </c>
      <c r="X108">
        <v>0</v>
      </c>
      <c r="Y108">
        <v>0</v>
      </c>
      <c r="Z108">
        <v>1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</row>
    <row r="109" spans="1:33" x14ac:dyDescent="0.25">
      <c r="A109">
        <v>138</v>
      </c>
      <c r="B109" t="s">
        <v>297</v>
      </c>
      <c r="C109" t="s">
        <v>199</v>
      </c>
      <c r="D109" t="s">
        <v>298</v>
      </c>
      <c r="E109" t="s">
        <v>287</v>
      </c>
      <c r="F109" s="2">
        <v>46195</v>
      </c>
      <c r="G109" s="2">
        <v>46210</v>
      </c>
      <c r="H109" s="4">
        <v>0.67</v>
      </c>
      <c r="L109" t="s">
        <v>35</v>
      </c>
      <c r="M109" t="s">
        <v>148</v>
      </c>
      <c r="N109" s="1">
        <v>46188</v>
      </c>
      <c r="P109" t="s">
        <v>197</v>
      </c>
      <c r="Q109" t="s">
        <v>138</v>
      </c>
      <c r="R109" t="s">
        <v>55</v>
      </c>
      <c r="S109" s="1">
        <v>46171</v>
      </c>
      <c r="T109" s="1">
        <v>46188</v>
      </c>
      <c r="V109">
        <v>0.67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</row>
    <row r="110" spans="1:33" x14ac:dyDescent="0.25">
      <c r="A110">
        <v>139</v>
      </c>
      <c r="B110" t="s">
        <v>299</v>
      </c>
      <c r="C110" t="s">
        <v>300</v>
      </c>
      <c r="D110" t="s">
        <v>94</v>
      </c>
      <c r="E110" t="s">
        <v>290</v>
      </c>
      <c r="F110" s="2">
        <v>46195</v>
      </c>
      <c r="G110" s="2">
        <v>46204</v>
      </c>
      <c r="H110" s="4">
        <v>1</v>
      </c>
      <c r="I110" s="2">
        <v>46204</v>
      </c>
      <c r="J110">
        <v>185</v>
      </c>
      <c r="K110">
        <v>140</v>
      </c>
      <c r="L110" t="s">
        <v>59</v>
      </c>
      <c r="M110" t="s">
        <v>148</v>
      </c>
      <c r="N110" s="1">
        <v>46182</v>
      </c>
      <c r="P110" t="s">
        <v>197</v>
      </c>
      <c r="Q110" t="s">
        <v>138</v>
      </c>
      <c r="R110" t="s">
        <v>55</v>
      </c>
      <c r="S110" s="1">
        <v>46171</v>
      </c>
      <c r="T110" s="1">
        <v>46182</v>
      </c>
      <c r="V110">
        <v>1</v>
      </c>
      <c r="W110">
        <v>1</v>
      </c>
      <c r="X110">
        <v>1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1</v>
      </c>
    </row>
    <row r="111" spans="1:33" x14ac:dyDescent="0.25">
      <c r="A111">
        <v>140</v>
      </c>
      <c r="B111" t="s">
        <v>301</v>
      </c>
      <c r="C111" t="s">
        <v>300</v>
      </c>
      <c r="D111" t="s">
        <v>98</v>
      </c>
      <c r="E111" t="s">
        <v>53</v>
      </c>
      <c r="F111" s="2">
        <v>46205</v>
      </c>
      <c r="G111" s="2">
        <v>46205</v>
      </c>
      <c r="H111" s="4">
        <v>0</v>
      </c>
      <c r="J111">
        <v>139</v>
      </c>
      <c r="K111">
        <v>141</v>
      </c>
      <c r="L111" t="s">
        <v>35</v>
      </c>
      <c r="M111" t="s">
        <v>292</v>
      </c>
      <c r="N111" s="1">
        <v>46183</v>
      </c>
      <c r="P111" t="s">
        <v>197</v>
      </c>
      <c r="Q111" t="s">
        <v>146</v>
      </c>
      <c r="R111" t="s">
        <v>55</v>
      </c>
      <c r="S111" s="1">
        <v>46183</v>
      </c>
      <c r="T111" s="1">
        <v>46183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1</v>
      </c>
      <c r="AC111">
        <v>0</v>
      </c>
      <c r="AD111">
        <v>0</v>
      </c>
      <c r="AE111">
        <v>0</v>
      </c>
      <c r="AF111">
        <v>0</v>
      </c>
      <c r="AG111">
        <v>0</v>
      </c>
    </row>
    <row r="112" spans="1:33" x14ac:dyDescent="0.25">
      <c r="A112">
        <v>141</v>
      </c>
      <c r="B112" t="s">
        <v>302</v>
      </c>
      <c r="C112" t="s">
        <v>300</v>
      </c>
      <c r="D112" t="s">
        <v>102</v>
      </c>
      <c r="E112" t="s">
        <v>121</v>
      </c>
      <c r="F112" s="2">
        <v>46206</v>
      </c>
      <c r="G112" s="2">
        <v>46209</v>
      </c>
      <c r="H112" s="4">
        <v>0</v>
      </c>
      <c r="J112">
        <v>140</v>
      </c>
      <c r="K112">
        <v>142</v>
      </c>
      <c r="L112" t="s">
        <v>131</v>
      </c>
      <c r="M112" t="s">
        <v>294</v>
      </c>
      <c r="N112" s="1">
        <v>46185</v>
      </c>
      <c r="P112" t="s">
        <v>197</v>
      </c>
      <c r="Q112" t="s">
        <v>146</v>
      </c>
      <c r="R112" t="s">
        <v>55</v>
      </c>
      <c r="S112" s="1">
        <v>46184</v>
      </c>
      <c r="T112" s="1">
        <v>46185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</row>
    <row r="113" spans="1:33" x14ac:dyDescent="0.25">
      <c r="A113">
        <v>142</v>
      </c>
      <c r="B113" t="s">
        <v>303</v>
      </c>
      <c r="C113" t="s">
        <v>300</v>
      </c>
      <c r="D113" t="s">
        <v>108</v>
      </c>
      <c r="E113" t="s">
        <v>53</v>
      </c>
      <c r="F113" s="2">
        <v>46210</v>
      </c>
      <c r="G113" s="2">
        <v>46210</v>
      </c>
      <c r="H113" s="4">
        <v>0</v>
      </c>
      <c r="J113">
        <v>141</v>
      </c>
      <c r="L113" t="s">
        <v>144</v>
      </c>
      <c r="M113" t="s">
        <v>296</v>
      </c>
      <c r="N113" s="1">
        <v>46188</v>
      </c>
      <c r="P113" t="s">
        <v>197</v>
      </c>
      <c r="Q113" t="s">
        <v>151</v>
      </c>
      <c r="R113" t="s">
        <v>55</v>
      </c>
      <c r="S113" s="1">
        <v>46188</v>
      </c>
      <c r="T113" s="1">
        <v>46188</v>
      </c>
      <c r="V113">
        <v>0</v>
      </c>
      <c r="W113">
        <v>0</v>
      </c>
      <c r="X113">
        <v>0</v>
      </c>
      <c r="Y113">
        <v>0</v>
      </c>
      <c r="Z113">
        <v>1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</row>
    <row r="114" spans="1:33" x14ac:dyDescent="0.25">
      <c r="A114">
        <v>143</v>
      </c>
      <c r="B114" t="s">
        <v>304</v>
      </c>
      <c r="C114" t="s">
        <v>199</v>
      </c>
      <c r="D114" t="s">
        <v>305</v>
      </c>
      <c r="E114" t="s">
        <v>287</v>
      </c>
      <c r="F114" s="2">
        <v>46195</v>
      </c>
      <c r="G114" s="2">
        <v>46210</v>
      </c>
      <c r="H114" s="4">
        <v>0.67</v>
      </c>
      <c r="L114" t="s">
        <v>35</v>
      </c>
      <c r="M114" t="s">
        <v>148</v>
      </c>
      <c r="N114" s="1">
        <v>46188</v>
      </c>
      <c r="P114" t="s">
        <v>197</v>
      </c>
      <c r="Q114" t="s">
        <v>138</v>
      </c>
      <c r="R114" t="s">
        <v>55</v>
      </c>
      <c r="S114" s="1">
        <v>46171</v>
      </c>
      <c r="T114" s="1">
        <v>46188</v>
      </c>
      <c r="V114">
        <v>0.67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</row>
    <row r="115" spans="1:33" x14ac:dyDescent="0.25">
      <c r="A115">
        <v>144</v>
      </c>
      <c r="B115" t="s">
        <v>306</v>
      </c>
      <c r="C115" t="s">
        <v>307</v>
      </c>
      <c r="D115" t="s">
        <v>94</v>
      </c>
      <c r="E115" t="s">
        <v>290</v>
      </c>
      <c r="F115" s="2">
        <v>46195</v>
      </c>
      <c r="G115" s="2">
        <v>46204</v>
      </c>
      <c r="H115" s="4">
        <v>1</v>
      </c>
      <c r="I115" s="2">
        <v>46204</v>
      </c>
      <c r="J115">
        <v>185</v>
      </c>
      <c r="K115">
        <v>145</v>
      </c>
      <c r="L115" t="s">
        <v>59</v>
      </c>
      <c r="M115" t="s">
        <v>148</v>
      </c>
      <c r="N115" s="1">
        <v>46182</v>
      </c>
      <c r="P115" t="s">
        <v>197</v>
      </c>
      <c r="Q115" t="s">
        <v>138</v>
      </c>
      <c r="R115" t="s">
        <v>55</v>
      </c>
      <c r="S115" s="1">
        <v>46171</v>
      </c>
      <c r="T115" s="1">
        <v>46182</v>
      </c>
      <c r="V115">
        <v>1</v>
      </c>
      <c r="W115">
        <v>1</v>
      </c>
      <c r="X115">
        <v>1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1</v>
      </c>
    </row>
    <row r="116" spans="1:33" x14ac:dyDescent="0.25">
      <c r="A116">
        <v>145</v>
      </c>
      <c r="B116" t="s">
        <v>308</v>
      </c>
      <c r="C116" t="s">
        <v>307</v>
      </c>
      <c r="D116" t="s">
        <v>98</v>
      </c>
      <c r="E116" t="s">
        <v>53</v>
      </c>
      <c r="F116" s="2">
        <v>46205</v>
      </c>
      <c r="G116" s="2">
        <v>46205</v>
      </c>
      <c r="H116" s="4">
        <v>0</v>
      </c>
      <c r="J116">
        <v>144</v>
      </c>
      <c r="K116">
        <v>146</v>
      </c>
      <c r="L116" t="s">
        <v>35</v>
      </c>
      <c r="M116" t="s">
        <v>292</v>
      </c>
      <c r="N116" s="1">
        <v>46183</v>
      </c>
      <c r="P116" t="s">
        <v>197</v>
      </c>
      <c r="Q116" t="s">
        <v>146</v>
      </c>
      <c r="R116" t="s">
        <v>55</v>
      </c>
      <c r="S116" s="1">
        <v>46183</v>
      </c>
      <c r="T116" s="1">
        <v>46183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1</v>
      </c>
      <c r="AC116">
        <v>0</v>
      </c>
      <c r="AD116">
        <v>0</v>
      </c>
      <c r="AE116">
        <v>0</v>
      </c>
      <c r="AF116">
        <v>0</v>
      </c>
      <c r="AG116">
        <v>0</v>
      </c>
    </row>
    <row r="117" spans="1:33" x14ac:dyDescent="0.25">
      <c r="A117">
        <v>146</v>
      </c>
      <c r="B117" t="s">
        <v>309</v>
      </c>
      <c r="C117" t="s">
        <v>307</v>
      </c>
      <c r="D117" t="s">
        <v>102</v>
      </c>
      <c r="E117" t="s">
        <v>121</v>
      </c>
      <c r="F117" s="2">
        <v>46206</v>
      </c>
      <c r="G117" s="2">
        <v>46209</v>
      </c>
      <c r="H117" s="4">
        <v>0</v>
      </c>
      <c r="J117">
        <v>145</v>
      </c>
      <c r="K117">
        <v>147</v>
      </c>
      <c r="L117" t="s">
        <v>131</v>
      </c>
      <c r="M117" t="s">
        <v>294</v>
      </c>
      <c r="N117" s="1">
        <v>46185</v>
      </c>
      <c r="P117" t="s">
        <v>197</v>
      </c>
      <c r="Q117" t="s">
        <v>146</v>
      </c>
      <c r="R117" t="s">
        <v>55</v>
      </c>
      <c r="S117" s="1">
        <v>46184</v>
      </c>
      <c r="T117" s="1">
        <v>46185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</row>
    <row r="118" spans="1:33" x14ac:dyDescent="0.25">
      <c r="A118">
        <v>147</v>
      </c>
      <c r="B118" t="s">
        <v>310</v>
      </c>
      <c r="C118" t="s">
        <v>307</v>
      </c>
      <c r="D118" t="s">
        <v>108</v>
      </c>
      <c r="E118" t="s">
        <v>53</v>
      </c>
      <c r="F118" s="2">
        <v>46210</v>
      </c>
      <c r="G118" s="2">
        <v>46210</v>
      </c>
      <c r="H118" s="4">
        <v>0</v>
      </c>
      <c r="J118">
        <v>146</v>
      </c>
      <c r="L118" t="s">
        <v>144</v>
      </c>
      <c r="M118" t="s">
        <v>296</v>
      </c>
      <c r="N118" s="1">
        <v>46188</v>
      </c>
      <c r="P118" t="s">
        <v>197</v>
      </c>
      <c r="Q118" t="s">
        <v>151</v>
      </c>
      <c r="R118" t="s">
        <v>55</v>
      </c>
      <c r="S118" s="1">
        <v>46188</v>
      </c>
      <c r="T118" s="1">
        <v>46188</v>
      </c>
      <c r="V118">
        <v>0</v>
      </c>
      <c r="W118">
        <v>0</v>
      </c>
      <c r="X118">
        <v>0</v>
      </c>
      <c r="Y118">
        <v>0</v>
      </c>
      <c r="Z118">
        <v>1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</row>
    <row r="119" spans="1:33" x14ac:dyDescent="0.25">
      <c r="A119">
        <v>148</v>
      </c>
      <c r="B119" t="s">
        <v>311</v>
      </c>
      <c r="C119" t="s">
        <v>199</v>
      </c>
      <c r="D119" t="s">
        <v>312</v>
      </c>
      <c r="E119" t="s">
        <v>287</v>
      </c>
      <c r="F119" s="2">
        <v>46195</v>
      </c>
      <c r="G119" s="2">
        <v>46210</v>
      </c>
      <c r="H119" s="4">
        <v>0.67</v>
      </c>
      <c r="L119" t="s">
        <v>35</v>
      </c>
      <c r="M119" t="s">
        <v>148</v>
      </c>
      <c r="N119" s="1">
        <v>46188</v>
      </c>
      <c r="P119" t="s">
        <v>197</v>
      </c>
      <c r="Q119" t="s">
        <v>138</v>
      </c>
      <c r="R119" t="s">
        <v>55</v>
      </c>
      <c r="S119" s="1">
        <v>46171</v>
      </c>
      <c r="T119" s="1">
        <v>46188</v>
      </c>
      <c r="V119">
        <v>0.67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</row>
    <row r="120" spans="1:33" x14ac:dyDescent="0.25">
      <c r="A120">
        <v>149</v>
      </c>
      <c r="B120" t="s">
        <v>313</v>
      </c>
      <c r="C120" t="s">
        <v>314</v>
      </c>
      <c r="D120" t="s">
        <v>94</v>
      </c>
      <c r="E120" t="s">
        <v>290</v>
      </c>
      <c r="F120" s="2">
        <v>46195</v>
      </c>
      <c r="G120" s="2">
        <v>46204</v>
      </c>
      <c r="H120" s="4">
        <v>1</v>
      </c>
      <c r="I120" s="2">
        <v>46204</v>
      </c>
      <c r="J120">
        <v>185</v>
      </c>
      <c r="K120">
        <v>150</v>
      </c>
      <c r="L120" t="s">
        <v>59</v>
      </c>
      <c r="M120" t="s">
        <v>148</v>
      </c>
      <c r="N120" s="1">
        <v>46182</v>
      </c>
      <c r="P120" t="s">
        <v>197</v>
      </c>
      <c r="Q120" t="s">
        <v>138</v>
      </c>
      <c r="R120" t="s">
        <v>55</v>
      </c>
      <c r="S120" s="1">
        <v>46171</v>
      </c>
      <c r="T120" s="1">
        <v>46182</v>
      </c>
      <c r="V120">
        <v>1</v>
      </c>
      <c r="W120">
        <v>1</v>
      </c>
      <c r="X120">
        <v>1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1</v>
      </c>
    </row>
    <row r="121" spans="1:33" x14ac:dyDescent="0.25">
      <c r="A121">
        <v>150</v>
      </c>
      <c r="B121" t="s">
        <v>315</v>
      </c>
      <c r="C121" t="s">
        <v>314</v>
      </c>
      <c r="D121" t="s">
        <v>98</v>
      </c>
      <c r="E121" t="s">
        <v>53</v>
      </c>
      <c r="F121" s="2">
        <v>46205</v>
      </c>
      <c r="G121" s="2">
        <v>46205</v>
      </c>
      <c r="H121" s="4">
        <v>0</v>
      </c>
      <c r="J121">
        <v>149</v>
      </c>
      <c r="K121">
        <v>151</v>
      </c>
      <c r="L121" t="s">
        <v>35</v>
      </c>
      <c r="M121" t="s">
        <v>292</v>
      </c>
      <c r="N121" s="1">
        <v>46183</v>
      </c>
      <c r="P121" t="s">
        <v>197</v>
      </c>
      <c r="Q121" t="s">
        <v>146</v>
      </c>
      <c r="R121" t="s">
        <v>55</v>
      </c>
      <c r="S121" s="1">
        <v>46183</v>
      </c>
      <c r="T121" s="1">
        <v>46183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1</v>
      </c>
      <c r="AC121">
        <v>0</v>
      </c>
      <c r="AD121">
        <v>0</v>
      </c>
      <c r="AE121">
        <v>0</v>
      </c>
      <c r="AF121">
        <v>0</v>
      </c>
      <c r="AG121">
        <v>0</v>
      </c>
    </row>
    <row r="122" spans="1:33" x14ac:dyDescent="0.25">
      <c r="A122">
        <v>151</v>
      </c>
      <c r="B122" t="s">
        <v>316</v>
      </c>
      <c r="C122" t="s">
        <v>314</v>
      </c>
      <c r="D122" t="s">
        <v>102</v>
      </c>
      <c r="E122" t="s">
        <v>121</v>
      </c>
      <c r="F122" s="2">
        <v>46206</v>
      </c>
      <c r="G122" s="2">
        <v>46209</v>
      </c>
      <c r="H122" s="4">
        <v>0</v>
      </c>
      <c r="J122">
        <v>150</v>
      </c>
      <c r="K122">
        <v>152</v>
      </c>
      <c r="L122" t="s">
        <v>131</v>
      </c>
      <c r="M122" t="s">
        <v>294</v>
      </c>
      <c r="N122" s="1">
        <v>46185</v>
      </c>
      <c r="P122" t="s">
        <v>197</v>
      </c>
      <c r="Q122" t="s">
        <v>146</v>
      </c>
      <c r="R122" t="s">
        <v>55</v>
      </c>
      <c r="S122" s="1">
        <v>46184</v>
      </c>
      <c r="T122" s="1">
        <v>46185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</row>
    <row r="123" spans="1:33" x14ac:dyDescent="0.25">
      <c r="A123">
        <v>152</v>
      </c>
      <c r="B123" t="s">
        <v>317</v>
      </c>
      <c r="C123" t="s">
        <v>314</v>
      </c>
      <c r="D123" t="s">
        <v>108</v>
      </c>
      <c r="E123" t="s">
        <v>53</v>
      </c>
      <c r="F123" s="2">
        <v>46210</v>
      </c>
      <c r="G123" s="2">
        <v>46210</v>
      </c>
      <c r="H123" s="4">
        <v>0</v>
      </c>
      <c r="J123">
        <v>151</v>
      </c>
      <c r="L123" t="s">
        <v>144</v>
      </c>
      <c r="M123" t="s">
        <v>296</v>
      </c>
      <c r="N123" s="1">
        <v>46188</v>
      </c>
      <c r="P123" t="s">
        <v>197</v>
      </c>
      <c r="Q123" t="s">
        <v>151</v>
      </c>
      <c r="R123" t="s">
        <v>55</v>
      </c>
      <c r="S123" s="1">
        <v>46188</v>
      </c>
      <c r="T123" s="1">
        <v>46188</v>
      </c>
      <c r="V123">
        <v>0</v>
      </c>
      <c r="W123">
        <v>0</v>
      </c>
      <c r="X123">
        <v>0</v>
      </c>
      <c r="Y123">
        <v>0</v>
      </c>
      <c r="Z123">
        <v>1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</row>
    <row r="124" spans="1:33" x14ac:dyDescent="0.25">
      <c r="A124">
        <v>153</v>
      </c>
      <c r="B124" t="s">
        <v>318</v>
      </c>
      <c r="C124" t="s">
        <v>199</v>
      </c>
      <c r="D124" t="s">
        <v>319</v>
      </c>
      <c r="E124" t="s">
        <v>287</v>
      </c>
      <c r="F124" s="2">
        <v>46195</v>
      </c>
      <c r="G124" s="2">
        <v>46210</v>
      </c>
      <c r="H124" s="4">
        <v>0.67</v>
      </c>
      <c r="L124" t="s">
        <v>35</v>
      </c>
      <c r="M124" t="s">
        <v>148</v>
      </c>
      <c r="N124" s="1">
        <v>46188</v>
      </c>
      <c r="P124" t="s">
        <v>197</v>
      </c>
      <c r="Q124" t="s">
        <v>138</v>
      </c>
      <c r="R124" t="s">
        <v>55</v>
      </c>
      <c r="S124" s="1">
        <v>46171</v>
      </c>
      <c r="T124" s="1">
        <v>46188</v>
      </c>
      <c r="U124" t="s">
        <v>320</v>
      </c>
      <c r="V124">
        <v>0.67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</row>
    <row r="125" spans="1:33" x14ac:dyDescent="0.25">
      <c r="A125">
        <v>154</v>
      </c>
      <c r="B125" t="s">
        <v>321</v>
      </c>
      <c r="C125" t="s">
        <v>322</v>
      </c>
      <c r="D125" t="s">
        <v>94</v>
      </c>
      <c r="E125" t="s">
        <v>290</v>
      </c>
      <c r="F125" s="2">
        <v>46195</v>
      </c>
      <c r="G125" s="2">
        <v>46204</v>
      </c>
      <c r="H125" s="4">
        <v>1</v>
      </c>
      <c r="I125" s="2">
        <v>46204</v>
      </c>
      <c r="J125">
        <v>185</v>
      </c>
      <c r="K125">
        <v>155</v>
      </c>
      <c r="L125" t="s">
        <v>59</v>
      </c>
      <c r="M125" t="s">
        <v>148</v>
      </c>
      <c r="N125" s="1">
        <v>46182</v>
      </c>
      <c r="P125" t="s">
        <v>197</v>
      </c>
      <c r="Q125" t="s">
        <v>138</v>
      </c>
      <c r="R125" t="s">
        <v>55</v>
      </c>
      <c r="S125" s="1">
        <v>46171</v>
      </c>
      <c r="T125" s="1">
        <v>46182</v>
      </c>
      <c r="V125">
        <v>1</v>
      </c>
      <c r="W125">
        <v>1</v>
      </c>
      <c r="X125">
        <v>1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1</v>
      </c>
    </row>
    <row r="126" spans="1:33" x14ac:dyDescent="0.25">
      <c r="A126">
        <v>155</v>
      </c>
      <c r="B126" t="s">
        <v>323</v>
      </c>
      <c r="C126" t="s">
        <v>322</v>
      </c>
      <c r="D126" t="s">
        <v>98</v>
      </c>
      <c r="E126" t="s">
        <v>53</v>
      </c>
      <c r="F126" s="2">
        <v>46205</v>
      </c>
      <c r="G126" s="2">
        <v>46205</v>
      </c>
      <c r="H126" s="4">
        <v>0</v>
      </c>
      <c r="J126">
        <v>154</v>
      </c>
      <c r="K126">
        <v>156</v>
      </c>
      <c r="L126" t="s">
        <v>35</v>
      </c>
      <c r="M126" t="s">
        <v>292</v>
      </c>
      <c r="N126" s="1">
        <v>46183</v>
      </c>
      <c r="P126" t="s">
        <v>197</v>
      </c>
      <c r="Q126" t="s">
        <v>146</v>
      </c>
      <c r="R126" t="s">
        <v>55</v>
      </c>
      <c r="S126" s="1">
        <v>46183</v>
      </c>
      <c r="T126" s="1">
        <v>46183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1</v>
      </c>
      <c r="AC126">
        <v>0</v>
      </c>
      <c r="AD126">
        <v>0</v>
      </c>
      <c r="AE126">
        <v>0</v>
      </c>
      <c r="AF126">
        <v>0</v>
      </c>
      <c r="AG126">
        <v>0</v>
      </c>
    </row>
    <row r="127" spans="1:33" x14ac:dyDescent="0.25">
      <c r="A127">
        <v>156</v>
      </c>
      <c r="B127" t="s">
        <v>324</v>
      </c>
      <c r="C127" t="s">
        <v>322</v>
      </c>
      <c r="D127" t="s">
        <v>102</v>
      </c>
      <c r="E127" t="s">
        <v>121</v>
      </c>
      <c r="F127" s="2">
        <v>46206</v>
      </c>
      <c r="G127" s="2">
        <v>46209</v>
      </c>
      <c r="H127" s="4">
        <v>0</v>
      </c>
      <c r="J127">
        <v>155</v>
      </c>
      <c r="K127">
        <v>157</v>
      </c>
      <c r="L127" t="s">
        <v>131</v>
      </c>
      <c r="M127" t="s">
        <v>294</v>
      </c>
      <c r="N127" s="1">
        <v>46185</v>
      </c>
      <c r="P127" t="s">
        <v>197</v>
      </c>
      <c r="Q127" t="s">
        <v>146</v>
      </c>
      <c r="R127" t="s">
        <v>55</v>
      </c>
      <c r="S127" s="1">
        <v>46184</v>
      </c>
      <c r="T127" s="1">
        <v>46185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</row>
    <row r="128" spans="1:33" x14ac:dyDescent="0.25">
      <c r="A128">
        <v>157</v>
      </c>
      <c r="B128" t="s">
        <v>325</v>
      </c>
      <c r="C128" t="s">
        <v>322</v>
      </c>
      <c r="D128" t="s">
        <v>108</v>
      </c>
      <c r="E128" t="s">
        <v>53</v>
      </c>
      <c r="F128" s="2">
        <v>46210</v>
      </c>
      <c r="G128" s="2">
        <v>46210</v>
      </c>
      <c r="H128" s="4">
        <v>0</v>
      </c>
      <c r="J128">
        <v>156</v>
      </c>
      <c r="L128" t="s">
        <v>144</v>
      </c>
      <c r="M128" t="s">
        <v>296</v>
      </c>
      <c r="N128" s="1">
        <v>46188</v>
      </c>
      <c r="P128" t="s">
        <v>197</v>
      </c>
      <c r="Q128" t="s">
        <v>151</v>
      </c>
      <c r="R128" t="s">
        <v>55</v>
      </c>
      <c r="S128" s="1">
        <v>46188</v>
      </c>
      <c r="T128" s="1">
        <v>46188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</row>
    <row r="129" spans="1:33" x14ac:dyDescent="0.25">
      <c r="A129">
        <v>158</v>
      </c>
      <c r="B129" t="s">
        <v>326</v>
      </c>
      <c r="C129" t="s">
        <v>199</v>
      </c>
      <c r="D129" t="s">
        <v>327</v>
      </c>
      <c r="E129" t="s">
        <v>287</v>
      </c>
      <c r="F129" s="2">
        <v>46195</v>
      </c>
      <c r="G129" s="2">
        <v>46210</v>
      </c>
      <c r="H129" s="4">
        <v>0.67</v>
      </c>
      <c r="L129" t="s">
        <v>35</v>
      </c>
      <c r="M129" t="s">
        <v>148</v>
      </c>
      <c r="N129" s="1">
        <v>46188</v>
      </c>
      <c r="P129" t="s">
        <v>197</v>
      </c>
      <c r="Q129" t="s">
        <v>138</v>
      </c>
      <c r="R129" t="s">
        <v>55</v>
      </c>
      <c r="S129" s="1">
        <v>46171</v>
      </c>
      <c r="T129" s="1">
        <v>46188</v>
      </c>
      <c r="U129" t="s">
        <v>320</v>
      </c>
      <c r="V129">
        <v>0.67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</row>
    <row r="130" spans="1:33" x14ac:dyDescent="0.25">
      <c r="A130">
        <v>159</v>
      </c>
      <c r="B130" t="s">
        <v>328</v>
      </c>
      <c r="C130" t="s">
        <v>329</v>
      </c>
      <c r="D130" t="s">
        <v>94</v>
      </c>
      <c r="E130" t="s">
        <v>290</v>
      </c>
      <c r="F130" s="2">
        <v>46195</v>
      </c>
      <c r="G130" s="2">
        <v>46204</v>
      </c>
      <c r="H130" s="4">
        <v>1</v>
      </c>
      <c r="I130" s="2">
        <v>46204</v>
      </c>
      <c r="J130">
        <v>185</v>
      </c>
      <c r="K130">
        <v>160</v>
      </c>
      <c r="L130" t="s">
        <v>59</v>
      </c>
      <c r="M130" t="s">
        <v>148</v>
      </c>
      <c r="N130" s="1">
        <v>46182</v>
      </c>
      <c r="P130" t="s">
        <v>197</v>
      </c>
      <c r="Q130" t="s">
        <v>138</v>
      </c>
      <c r="R130" t="s">
        <v>55</v>
      </c>
      <c r="S130" s="1">
        <v>46171</v>
      </c>
      <c r="T130" s="1">
        <v>46182</v>
      </c>
      <c r="V130">
        <v>1</v>
      </c>
      <c r="W130">
        <v>1</v>
      </c>
      <c r="X130">
        <v>1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1</v>
      </c>
    </row>
    <row r="131" spans="1:33" x14ac:dyDescent="0.25">
      <c r="A131">
        <v>160</v>
      </c>
      <c r="B131" t="s">
        <v>330</v>
      </c>
      <c r="C131" t="s">
        <v>329</v>
      </c>
      <c r="D131" t="s">
        <v>98</v>
      </c>
      <c r="E131" t="s">
        <v>53</v>
      </c>
      <c r="F131" s="2">
        <v>46205</v>
      </c>
      <c r="G131" s="2">
        <v>46205</v>
      </c>
      <c r="H131" s="4">
        <v>0</v>
      </c>
      <c r="J131">
        <v>159</v>
      </c>
      <c r="K131">
        <v>161</v>
      </c>
      <c r="L131" t="s">
        <v>35</v>
      </c>
      <c r="M131" t="s">
        <v>292</v>
      </c>
      <c r="N131" s="1">
        <v>46183</v>
      </c>
      <c r="P131" t="s">
        <v>197</v>
      </c>
      <c r="Q131" t="s">
        <v>146</v>
      </c>
      <c r="R131" t="s">
        <v>55</v>
      </c>
      <c r="S131" s="1">
        <v>46183</v>
      </c>
      <c r="T131" s="1">
        <v>46183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1</v>
      </c>
      <c r="AC131">
        <v>0</v>
      </c>
      <c r="AD131">
        <v>0</v>
      </c>
      <c r="AE131">
        <v>0</v>
      </c>
      <c r="AF131">
        <v>0</v>
      </c>
      <c r="AG131">
        <v>0</v>
      </c>
    </row>
    <row r="132" spans="1:33" x14ac:dyDescent="0.25">
      <c r="A132">
        <v>161</v>
      </c>
      <c r="B132" t="s">
        <v>331</v>
      </c>
      <c r="C132" t="s">
        <v>329</v>
      </c>
      <c r="D132" t="s">
        <v>102</v>
      </c>
      <c r="E132" t="s">
        <v>121</v>
      </c>
      <c r="F132" s="2">
        <v>46206</v>
      </c>
      <c r="G132" s="2">
        <v>46209</v>
      </c>
      <c r="H132" s="4">
        <v>0</v>
      </c>
      <c r="J132">
        <v>160</v>
      </c>
      <c r="K132">
        <v>162</v>
      </c>
      <c r="L132" t="s">
        <v>131</v>
      </c>
      <c r="M132" t="s">
        <v>294</v>
      </c>
      <c r="N132" s="1">
        <v>46185</v>
      </c>
      <c r="P132" t="s">
        <v>197</v>
      </c>
      <c r="Q132" t="s">
        <v>146</v>
      </c>
      <c r="R132" t="s">
        <v>55</v>
      </c>
      <c r="S132" s="1">
        <v>46184</v>
      </c>
      <c r="T132" s="1">
        <v>46185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</row>
    <row r="133" spans="1:33" x14ac:dyDescent="0.25">
      <c r="A133">
        <v>162</v>
      </c>
      <c r="B133" t="s">
        <v>332</v>
      </c>
      <c r="C133" t="s">
        <v>329</v>
      </c>
      <c r="D133" t="s">
        <v>108</v>
      </c>
      <c r="E133" t="s">
        <v>53</v>
      </c>
      <c r="F133" s="2">
        <v>46210</v>
      </c>
      <c r="G133" s="2">
        <v>46210</v>
      </c>
      <c r="H133" s="4">
        <v>0</v>
      </c>
      <c r="J133">
        <v>161</v>
      </c>
      <c r="L133" t="s">
        <v>144</v>
      </c>
      <c r="M133" t="s">
        <v>296</v>
      </c>
      <c r="N133" s="1">
        <v>46188</v>
      </c>
      <c r="P133" t="s">
        <v>197</v>
      </c>
      <c r="Q133" t="s">
        <v>151</v>
      </c>
      <c r="R133" t="s">
        <v>55</v>
      </c>
      <c r="S133" s="1">
        <v>46188</v>
      </c>
      <c r="T133" s="1">
        <v>46188</v>
      </c>
      <c r="V133">
        <v>0</v>
      </c>
      <c r="W133">
        <v>0</v>
      </c>
      <c r="X133">
        <v>0</v>
      </c>
      <c r="Y133">
        <v>0</v>
      </c>
      <c r="Z133">
        <v>1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</row>
    <row r="134" spans="1:33" x14ac:dyDescent="0.25">
      <c r="A134">
        <v>163</v>
      </c>
      <c r="B134" t="s">
        <v>333</v>
      </c>
      <c r="C134" t="s">
        <v>199</v>
      </c>
      <c r="D134" t="s">
        <v>334</v>
      </c>
      <c r="E134" t="s">
        <v>335</v>
      </c>
      <c r="F134" s="2">
        <v>46174</v>
      </c>
      <c r="G134" s="2">
        <v>46195</v>
      </c>
      <c r="H134" s="4">
        <v>0.86</v>
      </c>
      <c r="L134" t="s">
        <v>35</v>
      </c>
      <c r="M134" t="s">
        <v>148</v>
      </c>
      <c r="N134" s="1">
        <v>46190</v>
      </c>
      <c r="P134" t="s">
        <v>197</v>
      </c>
      <c r="Q134" t="s">
        <v>211</v>
      </c>
      <c r="R134" t="s">
        <v>55</v>
      </c>
      <c r="S134" s="1">
        <v>46171</v>
      </c>
      <c r="T134" s="1">
        <v>46190</v>
      </c>
      <c r="V134">
        <v>0.86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</row>
    <row r="135" spans="1:33" x14ac:dyDescent="0.25">
      <c r="A135">
        <v>164</v>
      </c>
      <c r="B135" t="s">
        <v>336</v>
      </c>
      <c r="C135" t="s">
        <v>337</v>
      </c>
      <c r="D135" t="s">
        <v>94</v>
      </c>
      <c r="E135" t="s">
        <v>338</v>
      </c>
      <c r="F135" s="2">
        <v>46174</v>
      </c>
      <c r="G135" s="2">
        <v>46189</v>
      </c>
      <c r="H135" s="4">
        <v>1</v>
      </c>
      <c r="I135" s="2">
        <v>46189</v>
      </c>
      <c r="J135">
        <v>185</v>
      </c>
      <c r="K135" t="s">
        <v>339</v>
      </c>
      <c r="L135" t="s">
        <v>59</v>
      </c>
      <c r="M135" t="s">
        <v>148</v>
      </c>
      <c r="N135" s="1">
        <v>46184</v>
      </c>
      <c r="P135" t="s">
        <v>197</v>
      </c>
      <c r="Q135" t="s">
        <v>211</v>
      </c>
      <c r="R135" t="s">
        <v>55</v>
      </c>
      <c r="S135" s="1">
        <v>46171</v>
      </c>
      <c r="T135" s="1">
        <v>46184</v>
      </c>
      <c r="V135">
        <v>1</v>
      </c>
      <c r="W135">
        <v>1</v>
      </c>
      <c r="X135">
        <v>1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1</v>
      </c>
    </row>
    <row r="136" spans="1:33" x14ac:dyDescent="0.25">
      <c r="A136">
        <v>165</v>
      </c>
      <c r="B136" t="s">
        <v>340</v>
      </c>
      <c r="C136" t="s">
        <v>337</v>
      </c>
      <c r="D136" t="s">
        <v>98</v>
      </c>
      <c r="E136" t="s">
        <v>53</v>
      </c>
      <c r="F136" s="2">
        <v>46190</v>
      </c>
      <c r="G136" s="2">
        <v>46190</v>
      </c>
      <c r="H136" s="4">
        <v>1</v>
      </c>
      <c r="I136" s="2">
        <v>46190</v>
      </c>
      <c r="J136">
        <v>164</v>
      </c>
      <c r="K136">
        <v>166</v>
      </c>
      <c r="L136" t="s">
        <v>59</v>
      </c>
      <c r="M136" t="s">
        <v>172</v>
      </c>
      <c r="N136" s="1">
        <v>46185</v>
      </c>
      <c r="P136" t="s">
        <v>197</v>
      </c>
      <c r="Q136" t="s">
        <v>138</v>
      </c>
      <c r="R136" t="s">
        <v>55</v>
      </c>
      <c r="S136" s="1">
        <v>46185</v>
      </c>
      <c r="T136" s="1">
        <v>46185</v>
      </c>
      <c r="V136">
        <v>1</v>
      </c>
      <c r="W136">
        <v>0</v>
      </c>
      <c r="X136">
        <v>0</v>
      </c>
      <c r="Y136">
        <v>0</v>
      </c>
      <c r="Z136">
        <v>0</v>
      </c>
      <c r="AA136">
        <v>1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</row>
    <row r="137" spans="1:33" x14ac:dyDescent="0.25">
      <c r="A137">
        <v>166</v>
      </c>
      <c r="B137" t="s">
        <v>341</v>
      </c>
      <c r="C137" t="s">
        <v>337</v>
      </c>
      <c r="D137" t="s">
        <v>102</v>
      </c>
      <c r="E137" t="s">
        <v>121</v>
      </c>
      <c r="F137" s="2">
        <v>46191</v>
      </c>
      <c r="G137" s="2">
        <v>46192</v>
      </c>
      <c r="H137" s="4">
        <v>0.5</v>
      </c>
      <c r="J137">
        <v>165</v>
      </c>
      <c r="K137">
        <v>167</v>
      </c>
      <c r="L137" t="s">
        <v>35</v>
      </c>
      <c r="M137" t="s">
        <v>296</v>
      </c>
      <c r="N137" s="1">
        <v>46189</v>
      </c>
      <c r="P137" t="s">
        <v>197</v>
      </c>
      <c r="Q137" t="s">
        <v>138</v>
      </c>
      <c r="R137" t="s">
        <v>55</v>
      </c>
      <c r="S137" s="1">
        <v>46188</v>
      </c>
      <c r="T137" s="1">
        <v>46189</v>
      </c>
      <c r="V137">
        <v>0.5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1</v>
      </c>
      <c r="AE137">
        <v>0</v>
      </c>
      <c r="AF137">
        <v>0</v>
      </c>
      <c r="AG137">
        <v>0</v>
      </c>
    </row>
    <row r="138" spans="1:33" x14ac:dyDescent="0.25">
      <c r="A138">
        <v>167</v>
      </c>
      <c r="B138" t="s">
        <v>342</v>
      </c>
      <c r="C138" t="s">
        <v>337</v>
      </c>
      <c r="D138" t="s">
        <v>108</v>
      </c>
      <c r="E138" t="s">
        <v>53</v>
      </c>
      <c r="F138" s="2">
        <v>46195</v>
      </c>
      <c r="G138" s="2">
        <v>46195</v>
      </c>
      <c r="H138" s="4">
        <v>0</v>
      </c>
      <c r="J138">
        <v>166</v>
      </c>
      <c r="L138" t="s">
        <v>35</v>
      </c>
      <c r="M138" t="s">
        <v>343</v>
      </c>
      <c r="N138" s="1">
        <v>46190</v>
      </c>
      <c r="P138" t="s">
        <v>197</v>
      </c>
      <c r="Q138" t="s">
        <v>146</v>
      </c>
      <c r="R138" t="s">
        <v>55</v>
      </c>
      <c r="S138" s="1">
        <v>46190</v>
      </c>
      <c r="T138" s="1">
        <v>46190</v>
      </c>
      <c r="V138">
        <v>0</v>
      </c>
      <c r="W138">
        <v>0</v>
      </c>
      <c r="X138">
        <v>0</v>
      </c>
      <c r="Y138">
        <v>0</v>
      </c>
      <c r="Z138">
        <v>1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1</v>
      </c>
      <c r="AG138">
        <v>0</v>
      </c>
    </row>
    <row r="139" spans="1:33" x14ac:dyDescent="0.25">
      <c r="A139">
        <v>168</v>
      </c>
      <c r="B139" t="s">
        <v>344</v>
      </c>
      <c r="C139" t="s">
        <v>199</v>
      </c>
      <c r="D139" t="s">
        <v>345</v>
      </c>
      <c r="E139" t="s">
        <v>335</v>
      </c>
      <c r="F139" s="2">
        <v>46174</v>
      </c>
      <c r="G139" s="2">
        <v>46195</v>
      </c>
      <c r="H139" s="4">
        <v>0.75</v>
      </c>
      <c r="L139" t="s">
        <v>35</v>
      </c>
      <c r="M139" t="s">
        <v>148</v>
      </c>
      <c r="N139" s="1">
        <v>46190</v>
      </c>
      <c r="P139" t="s">
        <v>197</v>
      </c>
      <c r="Q139" t="s">
        <v>211</v>
      </c>
      <c r="R139" t="s">
        <v>55</v>
      </c>
      <c r="S139" s="1">
        <v>46171</v>
      </c>
      <c r="T139" s="1">
        <v>46190</v>
      </c>
      <c r="U139" t="s">
        <v>320</v>
      </c>
      <c r="V139">
        <v>0.75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</row>
    <row r="140" spans="1:33" x14ac:dyDescent="0.25">
      <c r="A140">
        <v>169</v>
      </c>
      <c r="B140" t="s">
        <v>346</v>
      </c>
      <c r="C140" t="s">
        <v>347</v>
      </c>
      <c r="D140" t="s">
        <v>94</v>
      </c>
      <c r="E140" t="s">
        <v>338</v>
      </c>
      <c r="F140" s="2">
        <v>46174</v>
      </c>
      <c r="G140" s="2">
        <v>46189</v>
      </c>
      <c r="H140" s="4">
        <v>1</v>
      </c>
      <c r="I140" s="2">
        <v>46189</v>
      </c>
      <c r="J140">
        <v>185</v>
      </c>
      <c r="K140" t="s">
        <v>348</v>
      </c>
      <c r="L140" t="s">
        <v>59</v>
      </c>
      <c r="M140" t="s">
        <v>148</v>
      </c>
      <c r="N140" s="1">
        <v>46184</v>
      </c>
      <c r="P140" t="s">
        <v>197</v>
      </c>
      <c r="Q140" t="s">
        <v>211</v>
      </c>
      <c r="R140" t="s">
        <v>55</v>
      </c>
      <c r="S140" s="1">
        <v>46171</v>
      </c>
      <c r="T140" s="1">
        <v>46184</v>
      </c>
      <c r="V140">
        <v>1</v>
      </c>
      <c r="W140">
        <v>1</v>
      </c>
      <c r="X140">
        <v>1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1</v>
      </c>
    </row>
    <row r="141" spans="1:33" x14ac:dyDescent="0.25">
      <c r="A141">
        <v>170</v>
      </c>
      <c r="B141" t="s">
        <v>349</v>
      </c>
      <c r="C141" t="s">
        <v>347</v>
      </c>
      <c r="D141" t="s">
        <v>98</v>
      </c>
      <c r="E141" t="s">
        <v>53</v>
      </c>
      <c r="F141" s="2">
        <v>46190</v>
      </c>
      <c r="G141" s="2">
        <v>46190</v>
      </c>
      <c r="H141" s="4">
        <v>0.5</v>
      </c>
      <c r="J141">
        <v>169</v>
      </c>
      <c r="K141">
        <v>171</v>
      </c>
      <c r="L141" t="s">
        <v>35</v>
      </c>
      <c r="M141" t="s">
        <v>172</v>
      </c>
      <c r="N141" s="1">
        <v>46185</v>
      </c>
      <c r="P141" t="s">
        <v>197</v>
      </c>
      <c r="Q141" t="s">
        <v>138</v>
      </c>
      <c r="R141" t="s">
        <v>55</v>
      </c>
      <c r="S141" s="1">
        <v>46185</v>
      </c>
      <c r="T141" s="1">
        <v>46185</v>
      </c>
      <c r="V141">
        <v>0.5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1</v>
      </c>
      <c r="AC141">
        <v>0</v>
      </c>
      <c r="AD141">
        <v>0</v>
      </c>
      <c r="AE141">
        <v>0</v>
      </c>
      <c r="AF141">
        <v>0</v>
      </c>
      <c r="AG141">
        <v>0</v>
      </c>
    </row>
    <row r="142" spans="1:33" x14ac:dyDescent="0.25">
      <c r="A142">
        <v>171</v>
      </c>
      <c r="B142" t="s">
        <v>350</v>
      </c>
      <c r="C142" t="s">
        <v>347</v>
      </c>
      <c r="D142" t="s">
        <v>102</v>
      </c>
      <c r="E142" t="s">
        <v>121</v>
      </c>
      <c r="F142" s="2">
        <v>46191</v>
      </c>
      <c r="G142" s="2">
        <v>46192</v>
      </c>
      <c r="H142" s="4">
        <v>0</v>
      </c>
      <c r="J142">
        <v>170</v>
      </c>
      <c r="K142">
        <v>172</v>
      </c>
      <c r="L142" t="s">
        <v>35</v>
      </c>
      <c r="M142" t="s">
        <v>296</v>
      </c>
      <c r="N142" s="1">
        <v>46189</v>
      </c>
      <c r="P142" t="s">
        <v>197</v>
      </c>
      <c r="Q142" t="s">
        <v>138</v>
      </c>
      <c r="R142" t="s">
        <v>55</v>
      </c>
      <c r="S142" s="1">
        <v>46188</v>
      </c>
      <c r="T142" s="1">
        <v>46189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1</v>
      </c>
      <c r="AE142">
        <v>0</v>
      </c>
      <c r="AF142">
        <v>0</v>
      </c>
      <c r="AG142">
        <v>0</v>
      </c>
    </row>
    <row r="143" spans="1:33" x14ac:dyDescent="0.25">
      <c r="A143">
        <v>172</v>
      </c>
      <c r="B143" t="s">
        <v>351</v>
      </c>
      <c r="C143" t="s">
        <v>347</v>
      </c>
      <c r="D143" t="s">
        <v>108</v>
      </c>
      <c r="E143" t="s">
        <v>53</v>
      </c>
      <c r="F143" s="2">
        <v>46195</v>
      </c>
      <c r="G143" s="2">
        <v>46195</v>
      </c>
      <c r="H143" s="4">
        <v>0</v>
      </c>
      <c r="J143">
        <v>171</v>
      </c>
      <c r="L143" t="s">
        <v>35</v>
      </c>
      <c r="M143" t="s">
        <v>343</v>
      </c>
      <c r="N143" s="1">
        <v>46190</v>
      </c>
      <c r="P143" t="s">
        <v>197</v>
      </c>
      <c r="Q143" t="s">
        <v>146</v>
      </c>
      <c r="R143" t="s">
        <v>55</v>
      </c>
      <c r="S143" s="1">
        <v>46190</v>
      </c>
      <c r="T143" s="1">
        <v>46190</v>
      </c>
      <c r="V143">
        <v>0</v>
      </c>
      <c r="W143">
        <v>0</v>
      </c>
      <c r="X143">
        <v>0</v>
      </c>
      <c r="Y143">
        <v>0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1</v>
      </c>
      <c r="AG143">
        <v>0</v>
      </c>
    </row>
    <row r="144" spans="1:33" x14ac:dyDescent="0.25">
      <c r="A144">
        <v>173</v>
      </c>
      <c r="B144" t="s">
        <v>352</v>
      </c>
      <c r="C144" t="s">
        <v>199</v>
      </c>
      <c r="D144" t="s">
        <v>353</v>
      </c>
      <c r="E144" t="s">
        <v>335</v>
      </c>
      <c r="F144" s="2">
        <v>46174</v>
      </c>
      <c r="G144" s="2">
        <v>46195</v>
      </c>
      <c r="H144" s="4">
        <v>0.86</v>
      </c>
      <c r="L144" t="s">
        <v>35</v>
      </c>
      <c r="M144" t="s">
        <v>148</v>
      </c>
      <c r="N144" s="1">
        <v>46190</v>
      </c>
      <c r="P144" t="s">
        <v>197</v>
      </c>
      <c r="Q144" t="s">
        <v>211</v>
      </c>
      <c r="R144" t="s">
        <v>55</v>
      </c>
      <c r="S144" s="1">
        <v>46171</v>
      </c>
      <c r="T144" s="1">
        <v>46190</v>
      </c>
      <c r="U144" t="s">
        <v>320</v>
      </c>
      <c r="V144">
        <v>0.86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</row>
    <row r="145" spans="1:33" x14ac:dyDescent="0.25">
      <c r="A145">
        <v>174</v>
      </c>
      <c r="B145" t="s">
        <v>354</v>
      </c>
      <c r="C145" t="s">
        <v>355</v>
      </c>
      <c r="D145" t="s">
        <v>94</v>
      </c>
      <c r="E145" t="s">
        <v>338</v>
      </c>
      <c r="F145" s="2">
        <v>46174</v>
      </c>
      <c r="G145" s="2">
        <v>46189</v>
      </c>
      <c r="H145" s="4">
        <v>1</v>
      </c>
      <c r="I145" s="2">
        <v>46189</v>
      </c>
      <c r="J145">
        <v>185</v>
      </c>
      <c r="K145" t="s">
        <v>356</v>
      </c>
      <c r="L145" t="s">
        <v>59</v>
      </c>
      <c r="M145" t="s">
        <v>148</v>
      </c>
      <c r="N145" s="1">
        <v>46184</v>
      </c>
      <c r="P145" t="s">
        <v>197</v>
      </c>
      <c r="Q145" t="s">
        <v>211</v>
      </c>
      <c r="R145" t="s">
        <v>55</v>
      </c>
      <c r="S145" s="1">
        <v>46171</v>
      </c>
      <c r="T145" s="1">
        <v>46184</v>
      </c>
      <c r="V145">
        <v>1</v>
      </c>
      <c r="W145">
        <v>1</v>
      </c>
      <c r="X145">
        <v>1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1</v>
      </c>
    </row>
    <row r="146" spans="1:33" x14ac:dyDescent="0.25">
      <c r="A146">
        <v>175</v>
      </c>
      <c r="B146" t="s">
        <v>357</v>
      </c>
      <c r="C146" t="s">
        <v>355</v>
      </c>
      <c r="D146" t="s">
        <v>98</v>
      </c>
      <c r="E146" t="s">
        <v>53</v>
      </c>
      <c r="F146" s="2">
        <v>46190</v>
      </c>
      <c r="G146" s="2">
        <v>46190</v>
      </c>
      <c r="H146" s="4">
        <v>1</v>
      </c>
      <c r="I146" s="2">
        <v>46190</v>
      </c>
      <c r="J146">
        <v>174</v>
      </c>
      <c r="K146">
        <v>176</v>
      </c>
      <c r="L146" t="s">
        <v>59</v>
      </c>
      <c r="M146" t="s">
        <v>172</v>
      </c>
      <c r="N146" s="1">
        <v>46185</v>
      </c>
      <c r="P146" t="s">
        <v>197</v>
      </c>
      <c r="Q146" t="s">
        <v>138</v>
      </c>
      <c r="R146" t="s">
        <v>55</v>
      </c>
      <c r="S146" s="1">
        <v>46185</v>
      </c>
      <c r="T146" s="1">
        <v>46185</v>
      </c>
      <c r="V146">
        <v>1</v>
      </c>
      <c r="W146">
        <v>0</v>
      </c>
      <c r="X146">
        <v>0</v>
      </c>
      <c r="Y146">
        <v>0</v>
      </c>
      <c r="Z146">
        <v>0</v>
      </c>
      <c r="AA146">
        <v>1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</row>
    <row r="147" spans="1:33" x14ac:dyDescent="0.25">
      <c r="A147">
        <v>176</v>
      </c>
      <c r="B147" t="s">
        <v>358</v>
      </c>
      <c r="C147" t="s">
        <v>355</v>
      </c>
      <c r="D147" t="s">
        <v>102</v>
      </c>
      <c r="E147" t="s">
        <v>121</v>
      </c>
      <c r="F147" s="2">
        <v>46191</v>
      </c>
      <c r="G147" s="2">
        <v>46192</v>
      </c>
      <c r="H147" s="4">
        <v>0.5</v>
      </c>
      <c r="J147">
        <v>175</v>
      </c>
      <c r="K147">
        <v>177</v>
      </c>
      <c r="L147" t="s">
        <v>35</v>
      </c>
      <c r="M147" t="s">
        <v>296</v>
      </c>
      <c r="N147" s="1">
        <v>46189</v>
      </c>
      <c r="P147" t="s">
        <v>197</v>
      </c>
      <c r="Q147" t="s">
        <v>138</v>
      </c>
      <c r="R147" t="s">
        <v>55</v>
      </c>
      <c r="S147" s="1">
        <v>46188</v>
      </c>
      <c r="T147" s="1">
        <v>46189</v>
      </c>
      <c r="V147">
        <v>0.5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1</v>
      </c>
      <c r="AE147">
        <v>0</v>
      </c>
      <c r="AF147">
        <v>0</v>
      </c>
      <c r="AG147">
        <v>0</v>
      </c>
    </row>
    <row r="148" spans="1:33" x14ac:dyDescent="0.25">
      <c r="A148">
        <v>177</v>
      </c>
      <c r="B148" t="s">
        <v>359</v>
      </c>
      <c r="C148" t="s">
        <v>355</v>
      </c>
      <c r="D148" t="s">
        <v>108</v>
      </c>
      <c r="E148" t="s">
        <v>53</v>
      </c>
      <c r="F148" s="2">
        <v>46195</v>
      </c>
      <c r="G148" s="2">
        <v>46195</v>
      </c>
      <c r="H148" s="4">
        <v>0</v>
      </c>
      <c r="J148">
        <v>176</v>
      </c>
      <c r="L148" t="s">
        <v>35</v>
      </c>
      <c r="M148" t="s">
        <v>343</v>
      </c>
      <c r="N148" s="1">
        <v>46190</v>
      </c>
      <c r="P148" t="s">
        <v>197</v>
      </c>
      <c r="Q148" t="s">
        <v>146</v>
      </c>
      <c r="R148" t="s">
        <v>55</v>
      </c>
      <c r="S148" s="1">
        <v>46190</v>
      </c>
      <c r="T148" s="1">
        <v>46190</v>
      </c>
      <c r="V148">
        <v>0</v>
      </c>
      <c r="W148">
        <v>0</v>
      </c>
      <c r="X148">
        <v>0</v>
      </c>
      <c r="Y148">
        <v>0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1</v>
      </c>
      <c r="AG148">
        <v>0</v>
      </c>
    </row>
    <row r="149" spans="1:33" x14ac:dyDescent="0.25">
      <c r="A149">
        <v>178</v>
      </c>
      <c r="B149" t="s">
        <v>360</v>
      </c>
      <c r="C149" t="s">
        <v>199</v>
      </c>
      <c r="D149" t="s">
        <v>361</v>
      </c>
      <c r="E149" t="s">
        <v>335</v>
      </c>
      <c r="F149" s="2">
        <v>46174</v>
      </c>
      <c r="G149" s="2">
        <v>46195</v>
      </c>
      <c r="H149" s="4">
        <v>0.75</v>
      </c>
      <c r="L149" t="s">
        <v>35</v>
      </c>
      <c r="M149" t="s">
        <v>148</v>
      </c>
      <c r="N149" s="1">
        <v>46190</v>
      </c>
      <c r="P149" t="s">
        <v>197</v>
      </c>
      <c r="Q149" t="s">
        <v>211</v>
      </c>
      <c r="R149" t="s">
        <v>55</v>
      </c>
      <c r="S149" s="1">
        <v>46171</v>
      </c>
      <c r="T149" s="1">
        <v>46190</v>
      </c>
      <c r="U149" t="s">
        <v>320</v>
      </c>
      <c r="V149">
        <v>0.75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</row>
    <row r="150" spans="1:33" x14ac:dyDescent="0.25">
      <c r="A150">
        <v>179</v>
      </c>
      <c r="B150" t="s">
        <v>362</v>
      </c>
      <c r="C150" t="s">
        <v>363</v>
      </c>
      <c r="D150" t="s">
        <v>94</v>
      </c>
      <c r="E150" t="s">
        <v>338</v>
      </c>
      <c r="F150" s="2">
        <v>46174</v>
      </c>
      <c r="G150" s="2">
        <v>46189</v>
      </c>
      <c r="H150" s="4">
        <v>1</v>
      </c>
      <c r="I150" s="2">
        <v>46189</v>
      </c>
      <c r="J150">
        <v>185</v>
      </c>
      <c r="K150" t="s">
        <v>364</v>
      </c>
      <c r="L150" t="s">
        <v>59</v>
      </c>
      <c r="M150" t="s">
        <v>148</v>
      </c>
      <c r="N150" s="1">
        <v>46184</v>
      </c>
      <c r="P150" t="s">
        <v>197</v>
      </c>
      <c r="Q150" t="s">
        <v>211</v>
      </c>
      <c r="R150" t="s">
        <v>55</v>
      </c>
      <c r="S150" s="1">
        <v>46171</v>
      </c>
      <c r="T150" s="1">
        <v>46184</v>
      </c>
      <c r="V150">
        <v>1</v>
      </c>
      <c r="W150">
        <v>1</v>
      </c>
      <c r="X150">
        <v>1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1</v>
      </c>
    </row>
    <row r="151" spans="1:33" x14ac:dyDescent="0.25">
      <c r="A151">
        <v>180</v>
      </c>
      <c r="B151" t="s">
        <v>365</v>
      </c>
      <c r="C151" t="s">
        <v>363</v>
      </c>
      <c r="D151" t="s">
        <v>98</v>
      </c>
      <c r="E151" t="s">
        <v>53</v>
      </c>
      <c r="F151" s="2">
        <v>46190</v>
      </c>
      <c r="G151" s="2">
        <v>46190</v>
      </c>
      <c r="H151" s="4">
        <v>0.5</v>
      </c>
      <c r="J151">
        <v>179</v>
      </c>
      <c r="K151">
        <v>181</v>
      </c>
      <c r="L151" t="s">
        <v>35</v>
      </c>
      <c r="M151" t="s">
        <v>172</v>
      </c>
      <c r="N151" s="1">
        <v>46185</v>
      </c>
      <c r="P151" t="s">
        <v>197</v>
      </c>
      <c r="Q151" t="s">
        <v>138</v>
      </c>
      <c r="R151" t="s">
        <v>55</v>
      </c>
      <c r="S151" s="1">
        <v>46185</v>
      </c>
      <c r="T151" s="1">
        <v>46185</v>
      </c>
      <c r="V151">
        <v>0.5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1</v>
      </c>
      <c r="AC151">
        <v>0</v>
      </c>
      <c r="AD151">
        <v>0</v>
      </c>
      <c r="AE151">
        <v>0</v>
      </c>
      <c r="AF151">
        <v>0</v>
      </c>
      <c r="AG151">
        <v>0</v>
      </c>
    </row>
    <row r="152" spans="1:33" x14ac:dyDescent="0.25">
      <c r="A152">
        <v>181</v>
      </c>
      <c r="B152" t="s">
        <v>366</v>
      </c>
      <c r="C152" t="s">
        <v>363</v>
      </c>
      <c r="D152" t="s">
        <v>102</v>
      </c>
      <c r="E152" t="s">
        <v>121</v>
      </c>
      <c r="F152" s="2">
        <v>46191</v>
      </c>
      <c r="G152" s="2">
        <v>46192</v>
      </c>
      <c r="H152" s="4">
        <v>0</v>
      </c>
      <c r="J152">
        <v>180</v>
      </c>
      <c r="K152">
        <v>182</v>
      </c>
      <c r="L152" t="s">
        <v>35</v>
      </c>
      <c r="M152" t="s">
        <v>296</v>
      </c>
      <c r="N152" s="1">
        <v>46189</v>
      </c>
      <c r="P152" t="s">
        <v>197</v>
      </c>
      <c r="Q152" t="s">
        <v>138</v>
      </c>
      <c r="R152" t="s">
        <v>55</v>
      </c>
      <c r="S152" s="1">
        <v>46188</v>
      </c>
      <c r="T152" s="1">
        <v>46189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1</v>
      </c>
      <c r="AE152">
        <v>0</v>
      </c>
      <c r="AF152">
        <v>0</v>
      </c>
      <c r="AG152">
        <v>0</v>
      </c>
    </row>
    <row r="153" spans="1:33" x14ac:dyDescent="0.25">
      <c r="A153">
        <v>182</v>
      </c>
      <c r="B153" t="s">
        <v>367</v>
      </c>
      <c r="C153" t="s">
        <v>363</v>
      </c>
      <c r="D153" t="s">
        <v>108</v>
      </c>
      <c r="E153" t="s">
        <v>53</v>
      </c>
      <c r="F153" s="2">
        <v>46195</v>
      </c>
      <c r="G153" s="2">
        <v>46195</v>
      </c>
      <c r="H153" s="4">
        <v>0</v>
      </c>
      <c r="J153">
        <v>181</v>
      </c>
      <c r="L153" t="s">
        <v>35</v>
      </c>
      <c r="M153" t="s">
        <v>343</v>
      </c>
      <c r="N153" s="1">
        <v>46190</v>
      </c>
      <c r="P153" t="s">
        <v>197</v>
      </c>
      <c r="Q153" t="s">
        <v>146</v>
      </c>
      <c r="R153" t="s">
        <v>55</v>
      </c>
      <c r="S153" s="1">
        <v>46190</v>
      </c>
      <c r="T153" s="1">
        <v>46190</v>
      </c>
      <c r="V153">
        <v>0</v>
      </c>
      <c r="W153">
        <v>0</v>
      </c>
      <c r="X153">
        <v>0</v>
      </c>
      <c r="Y153">
        <v>0</v>
      </c>
      <c r="Z153">
        <v>1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1</v>
      </c>
      <c r="AG153">
        <v>0</v>
      </c>
    </row>
    <row r="154" spans="1:33" x14ac:dyDescent="0.25">
      <c r="A154">
        <v>183</v>
      </c>
      <c r="B154" t="s">
        <v>368</v>
      </c>
      <c r="C154" t="s">
        <v>199</v>
      </c>
      <c r="D154" t="s">
        <v>369</v>
      </c>
      <c r="E154" t="s">
        <v>335</v>
      </c>
      <c r="F154" s="2">
        <v>46157</v>
      </c>
      <c r="G154" s="2">
        <v>46176</v>
      </c>
      <c r="H154" s="4">
        <v>0.92</v>
      </c>
      <c r="L154" t="s">
        <v>35</v>
      </c>
      <c r="M154" t="s">
        <v>44</v>
      </c>
      <c r="N154" s="1">
        <v>46175</v>
      </c>
      <c r="P154" t="s">
        <v>197</v>
      </c>
      <c r="Q154" t="s">
        <v>125</v>
      </c>
      <c r="R154" t="s">
        <v>55</v>
      </c>
      <c r="S154" s="1">
        <v>46161</v>
      </c>
      <c r="T154" s="1">
        <v>46175</v>
      </c>
      <c r="V154">
        <v>0.92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</row>
    <row r="155" spans="1:33" x14ac:dyDescent="0.25">
      <c r="A155">
        <v>184</v>
      </c>
      <c r="B155" t="s">
        <v>370</v>
      </c>
      <c r="C155" t="s">
        <v>371</v>
      </c>
      <c r="D155" t="s">
        <v>94</v>
      </c>
      <c r="E155" t="s">
        <v>290</v>
      </c>
      <c r="F155" s="2">
        <v>46157</v>
      </c>
      <c r="G155" s="2">
        <v>46168</v>
      </c>
      <c r="H155" s="4">
        <v>1</v>
      </c>
      <c r="I155" s="2">
        <v>46168</v>
      </c>
      <c r="J155" t="s">
        <v>372</v>
      </c>
      <c r="K155" t="s">
        <v>373</v>
      </c>
      <c r="L155" t="s">
        <v>59</v>
      </c>
      <c r="M155" t="s">
        <v>44</v>
      </c>
      <c r="N155" s="1">
        <v>46169</v>
      </c>
      <c r="P155" t="s">
        <v>197</v>
      </c>
      <c r="Q155" t="s">
        <v>125</v>
      </c>
      <c r="R155" t="s">
        <v>55</v>
      </c>
      <c r="S155" s="1">
        <v>46161</v>
      </c>
      <c r="T155" s="1">
        <v>46169</v>
      </c>
      <c r="V155">
        <v>1</v>
      </c>
      <c r="W155">
        <v>1</v>
      </c>
      <c r="X155">
        <v>1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1</v>
      </c>
    </row>
    <row r="156" spans="1:33" x14ac:dyDescent="0.25">
      <c r="A156">
        <v>185</v>
      </c>
      <c r="B156" t="s">
        <v>374</v>
      </c>
      <c r="C156" t="s">
        <v>371</v>
      </c>
      <c r="D156" t="s">
        <v>98</v>
      </c>
      <c r="E156" t="s">
        <v>53</v>
      </c>
      <c r="F156" s="2">
        <v>46171</v>
      </c>
      <c r="G156" s="2">
        <v>46171</v>
      </c>
      <c r="H156" s="4">
        <v>1</v>
      </c>
      <c r="I156" s="2">
        <v>46171</v>
      </c>
      <c r="J156">
        <v>184</v>
      </c>
      <c r="K156" t="s">
        <v>375</v>
      </c>
      <c r="L156" t="s">
        <v>59</v>
      </c>
      <c r="M156" t="s">
        <v>145</v>
      </c>
      <c r="N156" s="1">
        <v>46170</v>
      </c>
      <c r="P156" t="s">
        <v>197</v>
      </c>
      <c r="Q156" t="s">
        <v>110</v>
      </c>
      <c r="R156" t="s">
        <v>55</v>
      </c>
      <c r="S156" s="1">
        <v>46170</v>
      </c>
      <c r="T156" s="1">
        <v>46170</v>
      </c>
      <c r="V156">
        <v>1</v>
      </c>
      <c r="W156">
        <v>0</v>
      </c>
      <c r="X156">
        <v>0</v>
      </c>
      <c r="Y156">
        <v>0</v>
      </c>
      <c r="Z156">
        <v>0</v>
      </c>
      <c r="AA156">
        <v>1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</row>
    <row r="157" spans="1:33" x14ac:dyDescent="0.25">
      <c r="A157">
        <v>186</v>
      </c>
      <c r="B157" t="s">
        <v>376</v>
      </c>
      <c r="C157" t="s">
        <v>371</v>
      </c>
      <c r="D157" t="s">
        <v>102</v>
      </c>
      <c r="E157" t="s">
        <v>121</v>
      </c>
      <c r="F157" s="2">
        <v>46174</v>
      </c>
      <c r="G157" s="2">
        <v>46175</v>
      </c>
      <c r="H157" s="4">
        <v>0.75</v>
      </c>
      <c r="J157">
        <v>185</v>
      </c>
      <c r="K157" t="s">
        <v>377</v>
      </c>
      <c r="L157" t="s">
        <v>35</v>
      </c>
      <c r="M157" t="s">
        <v>148</v>
      </c>
      <c r="N157" s="1">
        <v>46174</v>
      </c>
      <c r="P157" t="s">
        <v>197</v>
      </c>
      <c r="Q157" t="s">
        <v>211</v>
      </c>
      <c r="R157" t="s">
        <v>55</v>
      </c>
      <c r="S157" s="1">
        <v>46171</v>
      </c>
      <c r="T157" s="1">
        <v>46174</v>
      </c>
      <c r="V157">
        <v>0.75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1</v>
      </c>
      <c r="AE157">
        <v>0</v>
      </c>
      <c r="AF157">
        <v>0</v>
      </c>
      <c r="AG157">
        <v>0</v>
      </c>
    </row>
    <row r="158" spans="1:33" x14ac:dyDescent="0.25">
      <c r="A158">
        <v>187</v>
      </c>
      <c r="B158" t="s">
        <v>378</v>
      </c>
      <c r="C158" t="s">
        <v>371</v>
      </c>
      <c r="D158" t="s">
        <v>108</v>
      </c>
      <c r="E158" t="s">
        <v>53</v>
      </c>
      <c r="F158" s="2">
        <v>46176</v>
      </c>
      <c r="G158" s="2">
        <v>46176</v>
      </c>
      <c r="H158" s="4">
        <v>0.5</v>
      </c>
      <c r="J158">
        <v>186</v>
      </c>
      <c r="L158" t="s">
        <v>35</v>
      </c>
      <c r="M158" t="s">
        <v>150</v>
      </c>
      <c r="N158" s="1">
        <v>46175</v>
      </c>
      <c r="P158" t="s">
        <v>197</v>
      </c>
      <c r="Q158" t="s">
        <v>211</v>
      </c>
      <c r="R158" t="s">
        <v>55</v>
      </c>
      <c r="S158" s="1">
        <v>46175</v>
      </c>
      <c r="T158" s="1">
        <v>46175</v>
      </c>
      <c r="V158">
        <v>0.5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1</v>
      </c>
      <c r="AG158">
        <v>0</v>
      </c>
    </row>
    <row r="159" spans="1:33" x14ac:dyDescent="0.25">
      <c r="A159">
        <v>188</v>
      </c>
      <c r="B159" t="s">
        <v>379</v>
      </c>
      <c r="C159" t="s">
        <v>199</v>
      </c>
      <c r="D159" t="s">
        <v>380</v>
      </c>
      <c r="E159" t="s">
        <v>136</v>
      </c>
      <c r="F159" s="2">
        <v>46190</v>
      </c>
      <c r="G159" s="2">
        <v>46198</v>
      </c>
      <c r="H159" s="4">
        <v>0.43</v>
      </c>
      <c r="L159" t="s">
        <v>35</v>
      </c>
      <c r="M159" t="s">
        <v>172</v>
      </c>
      <c r="N159" s="1">
        <v>46195</v>
      </c>
      <c r="P159" t="s">
        <v>197</v>
      </c>
      <c r="Q159" t="s">
        <v>138</v>
      </c>
      <c r="R159" t="s">
        <v>55</v>
      </c>
      <c r="S159" s="1">
        <v>46185</v>
      </c>
      <c r="T159" s="1">
        <v>46195</v>
      </c>
      <c r="V159">
        <v>0.43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</row>
    <row r="160" spans="1:33" x14ac:dyDescent="0.25">
      <c r="A160">
        <v>189</v>
      </c>
      <c r="B160" t="s">
        <v>381</v>
      </c>
      <c r="C160" t="s">
        <v>382</v>
      </c>
      <c r="D160" t="s">
        <v>94</v>
      </c>
      <c r="E160" t="s">
        <v>95</v>
      </c>
      <c r="F160" s="2">
        <v>46190</v>
      </c>
      <c r="G160" s="2">
        <v>46192</v>
      </c>
      <c r="H160" s="4">
        <v>1</v>
      </c>
      <c r="I160" s="2">
        <v>46192</v>
      </c>
      <c r="J160" t="s">
        <v>383</v>
      </c>
      <c r="K160">
        <v>190</v>
      </c>
      <c r="L160" t="s">
        <v>59</v>
      </c>
      <c r="M160" t="s">
        <v>172</v>
      </c>
      <c r="N160" s="1">
        <v>46189</v>
      </c>
      <c r="P160" t="s">
        <v>197</v>
      </c>
      <c r="Q160" t="s">
        <v>138</v>
      </c>
      <c r="R160" t="s">
        <v>55</v>
      </c>
      <c r="S160" s="1">
        <v>46185</v>
      </c>
      <c r="T160" s="1">
        <v>46189</v>
      </c>
      <c r="V160">
        <v>1</v>
      </c>
      <c r="W160">
        <v>1</v>
      </c>
      <c r="X160">
        <v>1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1</v>
      </c>
    </row>
    <row r="161" spans="1:33" x14ac:dyDescent="0.25">
      <c r="A161">
        <v>190</v>
      </c>
      <c r="B161" t="s">
        <v>384</v>
      </c>
      <c r="C161" t="s">
        <v>382</v>
      </c>
      <c r="D161" t="s">
        <v>98</v>
      </c>
      <c r="E161" t="s">
        <v>53</v>
      </c>
      <c r="F161" s="2">
        <v>46195</v>
      </c>
      <c r="G161" s="2">
        <v>46195</v>
      </c>
      <c r="H161" s="4">
        <v>0</v>
      </c>
      <c r="J161">
        <v>189</v>
      </c>
      <c r="K161">
        <v>191</v>
      </c>
      <c r="L161" t="s">
        <v>35</v>
      </c>
      <c r="M161" t="s">
        <v>343</v>
      </c>
      <c r="N161" s="1">
        <v>46190</v>
      </c>
      <c r="P161" t="s">
        <v>197</v>
      </c>
      <c r="Q161" t="s">
        <v>146</v>
      </c>
      <c r="R161" t="s">
        <v>55</v>
      </c>
      <c r="S161" s="1">
        <v>46190</v>
      </c>
      <c r="T161" s="1">
        <v>46190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1</v>
      </c>
      <c r="AC161">
        <v>0</v>
      </c>
      <c r="AD161">
        <v>0</v>
      </c>
      <c r="AE161">
        <v>0</v>
      </c>
      <c r="AF161">
        <v>0</v>
      </c>
      <c r="AG161">
        <v>0</v>
      </c>
    </row>
    <row r="162" spans="1:33" x14ac:dyDescent="0.25">
      <c r="A162">
        <v>191</v>
      </c>
      <c r="B162" t="s">
        <v>385</v>
      </c>
      <c r="C162" t="s">
        <v>382</v>
      </c>
      <c r="D162" t="s">
        <v>102</v>
      </c>
      <c r="E162" t="s">
        <v>121</v>
      </c>
      <c r="F162" s="2">
        <v>46196</v>
      </c>
      <c r="G162" s="2">
        <v>46197</v>
      </c>
      <c r="H162" s="4">
        <v>0</v>
      </c>
      <c r="J162">
        <v>190</v>
      </c>
      <c r="K162">
        <v>192</v>
      </c>
      <c r="L162" t="s">
        <v>35</v>
      </c>
      <c r="M162" t="s">
        <v>386</v>
      </c>
      <c r="N162" s="1">
        <v>46192</v>
      </c>
      <c r="P162" t="s">
        <v>197</v>
      </c>
      <c r="Q162" t="s">
        <v>146</v>
      </c>
      <c r="R162" t="s">
        <v>55</v>
      </c>
      <c r="S162" s="1">
        <v>46191</v>
      </c>
      <c r="T162" s="1">
        <v>46192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1</v>
      </c>
      <c r="AE162">
        <v>0</v>
      </c>
      <c r="AF162">
        <v>0</v>
      </c>
      <c r="AG162">
        <v>0</v>
      </c>
    </row>
    <row r="163" spans="1:33" x14ac:dyDescent="0.25">
      <c r="A163">
        <v>192</v>
      </c>
      <c r="B163" t="s">
        <v>387</v>
      </c>
      <c r="C163" t="s">
        <v>382</v>
      </c>
      <c r="D163" t="s">
        <v>108</v>
      </c>
      <c r="E163" t="s">
        <v>53</v>
      </c>
      <c r="F163" s="2">
        <v>46198</v>
      </c>
      <c r="G163" s="2">
        <v>46198</v>
      </c>
      <c r="H163" s="4">
        <v>0</v>
      </c>
      <c r="J163">
        <v>191</v>
      </c>
      <c r="L163" t="s">
        <v>35</v>
      </c>
      <c r="M163" t="s">
        <v>223</v>
      </c>
      <c r="N163" s="1">
        <v>46195</v>
      </c>
      <c r="P163" t="s">
        <v>197</v>
      </c>
      <c r="Q163" t="s">
        <v>146</v>
      </c>
      <c r="R163" t="s">
        <v>55</v>
      </c>
      <c r="S163" s="1">
        <v>46195</v>
      </c>
      <c r="T163" s="1">
        <v>46195</v>
      </c>
      <c r="V163">
        <v>0</v>
      </c>
      <c r="W163">
        <v>0</v>
      </c>
      <c r="X163">
        <v>0</v>
      </c>
      <c r="Y163">
        <v>0</v>
      </c>
      <c r="Z163">
        <v>1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1</v>
      </c>
      <c r="AG163">
        <v>0</v>
      </c>
    </row>
    <row r="164" spans="1:33" x14ac:dyDescent="0.25">
      <c r="A164">
        <v>193</v>
      </c>
      <c r="B164" t="s">
        <v>388</v>
      </c>
      <c r="C164" t="s">
        <v>199</v>
      </c>
      <c r="D164" t="s">
        <v>389</v>
      </c>
      <c r="E164" t="s">
        <v>136</v>
      </c>
      <c r="F164" s="2">
        <v>46190</v>
      </c>
      <c r="G164" s="2">
        <v>46198</v>
      </c>
      <c r="H164" s="4">
        <v>0.5</v>
      </c>
      <c r="L164" t="s">
        <v>35</v>
      </c>
      <c r="M164" t="s">
        <v>172</v>
      </c>
      <c r="N164" s="1">
        <v>46195</v>
      </c>
      <c r="P164" t="s">
        <v>197</v>
      </c>
      <c r="Q164" t="s">
        <v>138</v>
      </c>
      <c r="R164" t="s">
        <v>55</v>
      </c>
      <c r="S164" s="1">
        <v>46185</v>
      </c>
      <c r="T164" s="1">
        <v>46195</v>
      </c>
      <c r="V164">
        <v>0.5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</row>
    <row r="165" spans="1:33" x14ac:dyDescent="0.25">
      <c r="A165">
        <v>194</v>
      </c>
      <c r="B165" t="s">
        <v>390</v>
      </c>
      <c r="C165" t="s">
        <v>391</v>
      </c>
      <c r="D165" t="s">
        <v>94</v>
      </c>
      <c r="E165" t="s">
        <v>95</v>
      </c>
      <c r="F165" s="2">
        <v>46190</v>
      </c>
      <c r="G165" s="2">
        <v>46192</v>
      </c>
      <c r="H165" s="4">
        <v>1</v>
      </c>
      <c r="I165" s="2">
        <v>46192</v>
      </c>
      <c r="J165" t="s">
        <v>383</v>
      </c>
      <c r="K165">
        <v>195</v>
      </c>
      <c r="L165" t="s">
        <v>59</v>
      </c>
      <c r="M165" t="s">
        <v>172</v>
      </c>
      <c r="N165" s="1">
        <v>46189</v>
      </c>
      <c r="P165" t="s">
        <v>197</v>
      </c>
      <c r="Q165" t="s">
        <v>138</v>
      </c>
      <c r="R165" t="s">
        <v>55</v>
      </c>
      <c r="S165" s="1">
        <v>46185</v>
      </c>
      <c r="T165" s="1">
        <v>46189</v>
      </c>
      <c r="V165">
        <v>1</v>
      </c>
      <c r="W165">
        <v>1</v>
      </c>
      <c r="X165">
        <v>1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1</v>
      </c>
    </row>
    <row r="166" spans="1:33" x14ac:dyDescent="0.25">
      <c r="A166">
        <v>195</v>
      </c>
      <c r="B166" t="s">
        <v>392</v>
      </c>
      <c r="C166" t="s">
        <v>391</v>
      </c>
      <c r="D166" t="s">
        <v>98</v>
      </c>
      <c r="E166" t="s">
        <v>53</v>
      </c>
      <c r="F166" s="2">
        <v>46195</v>
      </c>
      <c r="G166" s="2">
        <v>46195</v>
      </c>
      <c r="H166" s="4">
        <v>0.5</v>
      </c>
      <c r="J166">
        <v>194</v>
      </c>
      <c r="K166">
        <v>196</v>
      </c>
      <c r="L166" t="s">
        <v>35</v>
      </c>
      <c r="M166" t="s">
        <v>343</v>
      </c>
      <c r="N166" s="1">
        <v>46190</v>
      </c>
      <c r="P166" t="s">
        <v>197</v>
      </c>
      <c r="Q166" t="s">
        <v>146</v>
      </c>
      <c r="R166" t="s">
        <v>55</v>
      </c>
      <c r="S166" s="1">
        <v>46190</v>
      </c>
      <c r="T166" s="1">
        <v>46190</v>
      </c>
      <c r="V166">
        <v>0.5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1</v>
      </c>
      <c r="AC166">
        <v>0</v>
      </c>
      <c r="AD166">
        <v>0</v>
      </c>
      <c r="AE166">
        <v>0</v>
      </c>
      <c r="AF166">
        <v>0</v>
      </c>
      <c r="AG166">
        <v>0</v>
      </c>
    </row>
    <row r="167" spans="1:33" x14ac:dyDescent="0.25">
      <c r="A167">
        <v>196</v>
      </c>
      <c r="B167" t="s">
        <v>393</v>
      </c>
      <c r="C167" t="s">
        <v>391</v>
      </c>
      <c r="D167" t="s">
        <v>102</v>
      </c>
      <c r="E167" t="s">
        <v>121</v>
      </c>
      <c r="F167" s="2">
        <v>46196</v>
      </c>
      <c r="G167" s="2">
        <v>46197</v>
      </c>
      <c r="H167" s="4">
        <v>0</v>
      </c>
      <c r="J167">
        <v>195</v>
      </c>
      <c r="K167">
        <v>197</v>
      </c>
      <c r="L167" t="s">
        <v>35</v>
      </c>
      <c r="M167" t="s">
        <v>386</v>
      </c>
      <c r="N167" s="1">
        <v>46192</v>
      </c>
      <c r="P167" t="s">
        <v>197</v>
      </c>
      <c r="Q167" t="s">
        <v>146</v>
      </c>
      <c r="R167" t="s">
        <v>55</v>
      </c>
      <c r="S167" s="1">
        <v>46191</v>
      </c>
      <c r="T167" s="1">
        <v>46192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1</v>
      </c>
      <c r="AE167">
        <v>0</v>
      </c>
      <c r="AF167">
        <v>0</v>
      </c>
      <c r="AG167">
        <v>0</v>
      </c>
    </row>
    <row r="168" spans="1:33" x14ac:dyDescent="0.25">
      <c r="A168">
        <v>197</v>
      </c>
      <c r="B168" t="s">
        <v>394</v>
      </c>
      <c r="C168" t="s">
        <v>391</v>
      </c>
      <c r="D168" t="s">
        <v>108</v>
      </c>
      <c r="E168" t="s">
        <v>53</v>
      </c>
      <c r="F168" s="2">
        <v>46198</v>
      </c>
      <c r="G168" s="2">
        <v>46198</v>
      </c>
      <c r="H168" s="4">
        <v>0</v>
      </c>
      <c r="J168">
        <v>196</v>
      </c>
      <c r="L168" t="s">
        <v>35</v>
      </c>
      <c r="M168" t="s">
        <v>223</v>
      </c>
      <c r="N168" s="1">
        <v>46195</v>
      </c>
      <c r="P168" t="s">
        <v>197</v>
      </c>
      <c r="Q168" t="s">
        <v>146</v>
      </c>
      <c r="R168" t="s">
        <v>55</v>
      </c>
      <c r="S168" s="1">
        <v>46195</v>
      </c>
      <c r="T168" s="1">
        <v>46195</v>
      </c>
      <c r="V168">
        <v>0</v>
      </c>
      <c r="W168">
        <v>0</v>
      </c>
      <c r="X168">
        <v>0</v>
      </c>
      <c r="Y168">
        <v>0</v>
      </c>
      <c r="Z168">
        <v>1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1</v>
      </c>
      <c r="AG168">
        <v>0</v>
      </c>
    </row>
    <row r="169" spans="1:33" x14ac:dyDescent="0.25">
      <c r="A169">
        <v>198</v>
      </c>
      <c r="B169" t="s">
        <v>395</v>
      </c>
      <c r="C169" t="s">
        <v>199</v>
      </c>
      <c r="D169" t="s">
        <v>396</v>
      </c>
      <c r="E169" t="s">
        <v>136</v>
      </c>
      <c r="F169" s="2">
        <v>46190</v>
      </c>
      <c r="G169" s="2">
        <v>46198</v>
      </c>
      <c r="H169" s="4">
        <v>0.43</v>
      </c>
      <c r="L169" t="s">
        <v>35</v>
      </c>
      <c r="M169" t="s">
        <v>172</v>
      </c>
      <c r="N169" s="1">
        <v>46195</v>
      </c>
      <c r="P169" t="s">
        <v>197</v>
      </c>
      <c r="Q169" t="s">
        <v>138</v>
      </c>
      <c r="R169" t="s">
        <v>55</v>
      </c>
      <c r="S169" s="1">
        <v>46185</v>
      </c>
      <c r="T169" s="1">
        <v>46195</v>
      </c>
      <c r="V169">
        <v>0.43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</row>
    <row r="170" spans="1:33" x14ac:dyDescent="0.25">
      <c r="A170">
        <v>199</v>
      </c>
      <c r="B170" t="s">
        <v>397</v>
      </c>
      <c r="C170" t="s">
        <v>398</v>
      </c>
      <c r="D170" t="s">
        <v>94</v>
      </c>
      <c r="E170" t="s">
        <v>95</v>
      </c>
      <c r="F170" s="2">
        <v>46190</v>
      </c>
      <c r="G170" s="2">
        <v>46192</v>
      </c>
      <c r="H170" s="4">
        <v>1</v>
      </c>
      <c r="I170" s="2">
        <v>46192</v>
      </c>
      <c r="J170" t="s">
        <v>383</v>
      </c>
      <c r="K170">
        <v>200</v>
      </c>
      <c r="L170" t="s">
        <v>59</v>
      </c>
      <c r="M170" t="s">
        <v>172</v>
      </c>
      <c r="N170" s="1">
        <v>46189</v>
      </c>
      <c r="P170" t="s">
        <v>197</v>
      </c>
      <c r="Q170" t="s">
        <v>138</v>
      </c>
      <c r="R170" t="s">
        <v>55</v>
      </c>
      <c r="S170" s="1">
        <v>46185</v>
      </c>
      <c r="T170" s="1">
        <v>46189</v>
      </c>
      <c r="V170">
        <v>1</v>
      </c>
      <c r="W170">
        <v>1</v>
      </c>
      <c r="X170">
        <v>1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1</v>
      </c>
    </row>
    <row r="171" spans="1:33" x14ac:dyDescent="0.25">
      <c r="A171">
        <v>200</v>
      </c>
      <c r="B171" t="s">
        <v>399</v>
      </c>
      <c r="C171" t="s">
        <v>398</v>
      </c>
      <c r="D171" t="s">
        <v>98</v>
      </c>
      <c r="E171" t="s">
        <v>53</v>
      </c>
      <c r="F171" s="2">
        <v>46195</v>
      </c>
      <c r="G171" s="2">
        <v>46195</v>
      </c>
      <c r="H171" s="4">
        <v>0</v>
      </c>
      <c r="J171">
        <v>199</v>
      </c>
      <c r="K171">
        <v>201</v>
      </c>
      <c r="L171" t="s">
        <v>35</v>
      </c>
      <c r="M171" t="s">
        <v>343</v>
      </c>
      <c r="N171" s="1">
        <v>46190</v>
      </c>
      <c r="P171" t="s">
        <v>197</v>
      </c>
      <c r="Q171" t="s">
        <v>146</v>
      </c>
      <c r="R171" t="s">
        <v>55</v>
      </c>
      <c r="S171" s="1">
        <v>46190</v>
      </c>
      <c r="T171" s="1">
        <v>46190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1</v>
      </c>
      <c r="AC171">
        <v>0</v>
      </c>
      <c r="AD171">
        <v>0</v>
      </c>
      <c r="AE171">
        <v>0</v>
      </c>
      <c r="AF171">
        <v>0</v>
      </c>
      <c r="AG171">
        <v>0</v>
      </c>
    </row>
    <row r="172" spans="1:33" x14ac:dyDescent="0.25">
      <c r="A172">
        <v>201</v>
      </c>
      <c r="B172" t="s">
        <v>400</v>
      </c>
      <c r="C172" t="s">
        <v>398</v>
      </c>
      <c r="D172" t="s">
        <v>102</v>
      </c>
      <c r="E172" t="s">
        <v>121</v>
      </c>
      <c r="F172" s="2">
        <v>46196</v>
      </c>
      <c r="G172" s="2">
        <v>46197</v>
      </c>
      <c r="H172" s="4">
        <v>0</v>
      </c>
      <c r="J172">
        <v>200</v>
      </c>
      <c r="K172">
        <v>202</v>
      </c>
      <c r="L172" t="s">
        <v>35</v>
      </c>
      <c r="M172" t="s">
        <v>386</v>
      </c>
      <c r="N172" s="1">
        <v>46192</v>
      </c>
      <c r="P172" t="s">
        <v>197</v>
      </c>
      <c r="Q172" t="s">
        <v>146</v>
      </c>
      <c r="R172" t="s">
        <v>55</v>
      </c>
      <c r="S172" s="1">
        <v>46191</v>
      </c>
      <c r="T172" s="1">
        <v>46192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1</v>
      </c>
      <c r="AE172">
        <v>0</v>
      </c>
      <c r="AF172">
        <v>0</v>
      </c>
      <c r="AG172">
        <v>0</v>
      </c>
    </row>
    <row r="173" spans="1:33" x14ac:dyDescent="0.25">
      <c r="A173">
        <v>202</v>
      </c>
      <c r="B173" t="s">
        <v>401</v>
      </c>
      <c r="C173" t="s">
        <v>398</v>
      </c>
      <c r="D173" t="s">
        <v>108</v>
      </c>
      <c r="E173" t="s">
        <v>53</v>
      </c>
      <c r="F173" s="2">
        <v>46198</v>
      </c>
      <c r="G173" s="2">
        <v>46198</v>
      </c>
      <c r="H173" s="4">
        <v>0</v>
      </c>
      <c r="J173">
        <v>201</v>
      </c>
      <c r="L173" t="s">
        <v>35</v>
      </c>
      <c r="M173" t="s">
        <v>223</v>
      </c>
      <c r="N173" s="1">
        <v>46195</v>
      </c>
      <c r="P173" t="s">
        <v>197</v>
      </c>
      <c r="Q173" t="s">
        <v>146</v>
      </c>
      <c r="R173" t="s">
        <v>55</v>
      </c>
      <c r="S173" s="1">
        <v>46195</v>
      </c>
      <c r="T173" s="1">
        <v>46195</v>
      </c>
      <c r="V173">
        <v>0</v>
      </c>
      <c r="W173">
        <v>0</v>
      </c>
      <c r="X173">
        <v>0</v>
      </c>
      <c r="Y173">
        <v>0</v>
      </c>
      <c r="Z173">
        <v>1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1</v>
      </c>
      <c r="AG173">
        <v>0</v>
      </c>
    </row>
    <row r="174" spans="1:33" x14ac:dyDescent="0.25">
      <c r="A174">
        <v>203</v>
      </c>
      <c r="B174" t="s">
        <v>402</v>
      </c>
      <c r="C174" t="s">
        <v>73</v>
      </c>
      <c r="D174" t="s">
        <v>403</v>
      </c>
      <c r="E174" t="s">
        <v>404</v>
      </c>
      <c r="F174" s="2">
        <v>46183</v>
      </c>
      <c r="G174" s="2">
        <v>46220</v>
      </c>
      <c r="H174" s="4">
        <v>0.08</v>
      </c>
      <c r="L174" t="s">
        <v>35</v>
      </c>
      <c r="M174" t="s">
        <v>187</v>
      </c>
      <c r="N174" s="1">
        <v>46211</v>
      </c>
      <c r="P174" t="s">
        <v>405</v>
      </c>
      <c r="Q174" t="s">
        <v>65</v>
      </c>
      <c r="R174" t="s">
        <v>55</v>
      </c>
      <c r="S174" s="1">
        <v>46162</v>
      </c>
      <c r="T174" s="1">
        <v>46211</v>
      </c>
      <c r="V174">
        <v>0.08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</row>
    <row r="175" spans="1:33" x14ac:dyDescent="0.25">
      <c r="A175">
        <v>214</v>
      </c>
      <c r="B175" t="s">
        <v>406</v>
      </c>
      <c r="C175" t="s">
        <v>407</v>
      </c>
      <c r="D175" t="s">
        <v>408</v>
      </c>
      <c r="E175" t="s">
        <v>136</v>
      </c>
      <c r="F175" s="2">
        <v>46203</v>
      </c>
      <c r="G175" s="2">
        <v>46211</v>
      </c>
      <c r="H175" s="4">
        <v>0.39</v>
      </c>
      <c r="L175" t="s">
        <v>35</v>
      </c>
      <c r="M175" t="s">
        <v>145</v>
      </c>
      <c r="N175" s="1">
        <v>46178</v>
      </c>
      <c r="P175" t="s">
        <v>405</v>
      </c>
      <c r="Q175" t="s">
        <v>146</v>
      </c>
      <c r="R175" t="s">
        <v>55</v>
      </c>
      <c r="S175" s="1">
        <v>46170</v>
      </c>
      <c r="T175" s="1">
        <v>46178</v>
      </c>
      <c r="V175">
        <v>0.39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</row>
    <row r="176" spans="1:33" x14ac:dyDescent="0.25">
      <c r="A176">
        <v>215</v>
      </c>
      <c r="B176" t="s">
        <v>409</v>
      </c>
      <c r="C176" t="s">
        <v>410</v>
      </c>
      <c r="D176" t="s">
        <v>94</v>
      </c>
      <c r="E176" t="s">
        <v>95</v>
      </c>
      <c r="F176" s="2">
        <v>46203</v>
      </c>
      <c r="G176" s="2">
        <v>46205</v>
      </c>
      <c r="H176" s="4">
        <v>0.9</v>
      </c>
      <c r="J176" t="s">
        <v>411</v>
      </c>
      <c r="K176">
        <v>216</v>
      </c>
      <c r="L176" t="s">
        <v>35</v>
      </c>
      <c r="M176" t="s">
        <v>145</v>
      </c>
      <c r="N176" s="1">
        <v>46174</v>
      </c>
      <c r="P176" t="s">
        <v>405</v>
      </c>
      <c r="Q176" t="s">
        <v>146</v>
      </c>
      <c r="R176" t="s">
        <v>55</v>
      </c>
      <c r="S176" s="1">
        <v>46170</v>
      </c>
      <c r="T176" s="1">
        <v>46174</v>
      </c>
      <c r="V176">
        <v>0.9</v>
      </c>
      <c r="W176">
        <v>1</v>
      </c>
      <c r="X176">
        <v>0</v>
      </c>
      <c r="Y176">
        <v>1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</row>
    <row r="177" spans="1:33" x14ac:dyDescent="0.25">
      <c r="A177">
        <v>216</v>
      </c>
      <c r="B177" t="s">
        <v>412</v>
      </c>
      <c r="C177" t="s">
        <v>410</v>
      </c>
      <c r="D177" t="s">
        <v>98</v>
      </c>
      <c r="E177" t="s">
        <v>53</v>
      </c>
      <c r="F177" s="2">
        <v>46206</v>
      </c>
      <c r="G177" s="2">
        <v>46206</v>
      </c>
      <c r="H177" s="4">
        <v>0</v>
      </c>
      <c r="J177">
        <v>215</v>
      </c>
      <c r="K177" t="s">
        <v>413</v>
      </c>
      <c r="L177" t="s">
        <v>131</v>
      </c>
      <c r="M177" t="s">
        <v>150</v>
      </c>
      <c r="N177" s="1">
        <v>46175</v>
      </c>
      <c r="P177" t="s">
        <v>405</v>
      </c>
      <c r="Q177" t="s">
        <v>151</v>
      </c>
      <c r="R177" t="s">
        <v>55</v>
      </c>
      <c r="S177" s="1">
        <v>46175</v>
      </c>
      <c r="T177" s="1">
        <v>46175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</row>
    <row r="178" spans="1:33" x14ac:dyDescent="0.25">
      <c r="A178">
        <v>217</v>
      </c>
      <c r="B178" t="s">
        <v>414</v>
      </c>
      <c r="C178" t="s">
        <v>410</v>
      </c>
      <c r="D178" t="s">
        <v>102</v>
      </c>
      <c r="E178" t="s">
        <v>121</v>
      </c>
      <c r="F178" s="2">
        <v>46209</v>
      </c>
      <c r="G178" s="2">
        <v>46210</v>
      </c>
      <c r="H178" s="4">
        <v>0</v>
      </c>
      <c r="J178">
        <v>216</v>
      </c>
      <c r="K178">
        <v>218</v>
      </c>
      <c r="L178" t="s">
        <v>144</v>
      </c>
      <c r="M178" t="s">
        <v>218</v>
      </c>
      <c r="N178" s="1">
        <v>46177</v>
      </c>
      <c r="P178" t="s">
        <v>405</v>
      </c>
      <c r="Q178" t="s">
        <v>151</v>
      </c>
      <c r="R178" t="s">
        <v>55</v>
      </c>
      <c r="S178" s="1">
        <v>46176</v>
      </c>
      <c r="T178" s="1">
        <v>46177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</row>
    <row r="179" spans="1:33" x14ac:dyDescent="0.25">
      <c r="A179">
        <v>218</v>
      </c>
      <c r="B179" t="s">
        <v>415</v>
      </c>
      <c r="C179" t="s">
        <v>410</v>
      </c>
      <c r="D179" t="s">
        <v>108</v>
      </c>
      <c r="E179" t="s">
        <v>53</v>
      </c>
      <c r="F179" s="2">
        <v>46211</v>
      </c>
      <c r="G179" s="2">
        <v>46211</v>
      </c>
      <c r="H179" s="4">
        <v>0</v>
      </c>
      <c r="J179">
        <v>217</v>
      </c>
      <c r="L179" t="s">
        <v>144</v>
      </c>
      <c r="M179" t="s">
        <v>220</v>
      </c>
      <c r="N179" s="1">
        <v>46178</v>
      </c>
      <c r="P179" t="s">
        <v>405</v>
      </c>
      <c r="Q179" t="s">
        <v>151</v>
      </c>
      <c r="R179" t="s">
        <v>55</v>
      </c>
      <c r="S179" s="1">
        <v>46178</v>
      </c>
      <c r="T179" s="1">
        <v>46178</v>
      </c>
      <c r="V179">
        <v>0</v>
      </c>
      <c r="W179">
        <v>0</v>
      </c>
      <c r="X179">
        <v>0</v>
      </c>
      <c r="Y179">
        <v>0</v>
      </c>
      <c r="Z179">
        <v>1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</row>
    <row r="180" spans="1:33" x14ac:dyDescent="0.25">
      <c r="A180">
        <v>234</v>
      </c>
      <c r="B180" t="s">
        <v>416</v>
      </c>
      <c r="C180" t="s">
        <v>407</v>
      </c>
      <c r="D180" t="s">
        <v>417</v>
      </c>
      <c r="E180" t="s">
        <v>136</v>
      </c>
      <c r="F180" s="2">
        <v>46210</v>
      </c>
      <c r="G180" s="2">
        <v>46220</v>
      </c>
      <c r="H180" s="4">
        <v>0</v>
      </c>
      <c r="L180" t="s">
        <v>144</v>
      </c>
      <c r="M180" t="s">
        <v>418</v>
      </c>
      <c r="N180" s="1">
        <v>46204</v>
      </c>
      <c r="P180" t="s">
        <v>405</v>
      </c>
      <c r="Q180" t="s">
        <v>151</v>
      </c>
      <c r="R180" t="s">
        <v>55</v>
      </c>
      <c r="S180" s="1">
        <v>46196</v>
      </c>
      <c r="T180" s="1">
        <v>46204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</row>
    <row r="181" spans="1:33" x14ac:dyDescent="0.25">
      <c r="A181">
        <v>235</v>
      </c>
      <c r="B181" t="s">
        <v>419</v>
      </c>
      <c r="C181" t="s">
        <v>420</v>
      </c>
      <c r="D181" t="s">
        <v>94</v>
      </c>
      <c r="E181" t="s">
        <v>95</v>
      </c>
      <c r="F181" s="2">
        <v>46210</v>
      </c>
      <c r="G181" s="2">
        <v>46216</v>
      </c>
      <c r="H181" s="4">
        <v>0</v>
      </c>
      <c r="K181">
        <v>236</v>
      </c>
      <c r="L181" t="s">
        <v>144</v>
      </c>
      <c r="M181" t="s">
        <v>418</v>
      </c>
      <c r="N181" s="1">
        <v>46198</v>
      </c>
      <c r="P181" t="s">
        <v>405</v>
      </c>
      <c r="Q181" t="s">
        <v>151</v>
      </c>
      <c r="R181" t="s">
        <v>55</v>
      </c>
      <c r="S181" s="1">
        <v>46196</v>
      </c>
      <c r="T181" s="1">
        <v>46198</v>
      </c>
      <c r="V181">
        <v>0</v>
      </c>
      <c r="W181">
        <v>1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</row>
    <row r="182" spans="1:33" x14ac:dyDescent="0.25">
      <c r="A182">
        <v>236</v>
      </c>
      <c r="B182" t="s">
        <v>421</v>
      </c>
      <c r="C182" t="s">
        <v>420</v>
      </c>
      <c r="D182" t="s">
        <v>98</v>
      </c>
      <c r="E182" t="s">
        <v>53</v>
      </c>
      <c r="F182" s="2">
        <v>46217</v>
      </c>
      <c r="G182" s="2">
        <v>46217</v>
      </c>
      <c r="H182" s="4">
        <v>0</v>
      </c>
      <c r="J182">
        <v>235</v>
      </c>
      <c r="K182">
        <v>237</v>
      </c>
      <c r="L182" t="s">
        <v>144</v>
      </c>
      <c r="M182" t="s">
        <v>422</v>
      </c>
      <c r="N182" s="1">
        <v>46199</v>
      </c>
      <c r="P182" t="s">
        <v>405</v>
      </c>
      <c r="Q182" t="s">
        <v>151</v>
      </c>
      <c r="R182" t="s">
        <v>55</v>
      </c>
      <c r="S182" s="1">
        <v>46199</v>
      </c>
      <c r="T182" s="1">
        <v>46199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</row>
    <row r="183" spans="1:33" x14ac:dyDescent="0.25">
      <c r="A183">
        <v>237</v>
      </c>
      <c r="B183" t="s">
        <v>423</v>
      </c>
      <c r="C183" t="s">
        <v>420</v>
      </c>
      <c r="D183" t="s">
        <v>102</v>
      </c>
      <c r="E183" t="s">
        <v>121</v>
      </c>
      <c r="F183" s="2">
        <v>46218</v>
      </c>
      <c r="G183" s="2">
        <v>46219</v>
      </c>
      <c r="H183" s="4">
        <v>0</v>
      </c>
      <c r="J183">
        <v>236</v>
      </c>
      <c r="K183">
        <v>238</v>
      </c>
      <c r="L183" t="s">
        <v>144</v>
      </c>
      <c r="M183" t="s">
        <v>424</v>
      </c>
      <c r="N183" s="1">
        <v>46203</v>
      </c>
      <c r="P183" t="s">
        <v>405</v>
      </c>
      <c r="Q183" t="s">
        <v>151</v>
      </c>
      <c r="R183" t="s">
        <v>55</v>
      </c>
      <c r="S183" s="1">
        <v>46202</v>
      </c>
      <c r="T183" s="1">
        <v>46203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</row>
    <row r="184" spans="1:33" x14ac:dyDescent="0.25">
      <c r="A184">
        <v>238</v>
      </c>
      <c r="B184" t="s">
        <v>425</v>
      </c>
      <c r="C184" t="s">
        <v>420</v>
      </c>
      <c r="D184" t="s">
        <v>108</v>
      </c>
      <c r="E184" t="s">
        <v>53</v>
      </c>
      <c r="F184" s="2">
        <v>46220</v>
      </c>
      <c r="G184" s="2">
        <v>46220</v>
      </c>
      <c r="H184" s="4">
        <v>0</v>
      </c>
      <c r="J184">
        <v>237</v>
      </c>
      <c r="L184" t="s">
        <v>144</v>
      </c>
      <c r="M184" t="s">
        <v>426</v>
      </c>
      <c r="N184" s="1">
        <v>46204</v>
      </c>
      <c r="P184" t="s">
        <v>405</v>
      </c>
      <c r="Q184" t="s">
        <v>193</v>
      </c>
      <c r="R184" t="s">
        <v>55</v>
      </c>
      <c r="S184" s="1">
        <v>46204</v>
      </c>
      <c r="T184" s="1">
        <v>46204</v>
      </c>
      <c r="V184">
        <v>0</v>
      </c>
      <c r="W184">
        <v>0</v>
      </c>
      <c r="X184">
        <v>0</v>
      </c>
      <c r="Y184">
        <v>0</v>
      </c>
      <c r="Z184">
        <v>1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</row>
    <row r="185" spans="1:33" x14ac:dyDescent="0.25">
      <c r="A185">
        <v>244</v>
      </c>
      <c r="B185" t="s">
        <v>427</v>
      </c>
      <c r="C185" t="s">
        <v>407</v>
      </c>
      <c r="D185" t="s">
        <v>428</v>
      </c>
      <c r="E185" t="s">
        <v>136</v>
      </c>
      <c r="F185" s="2">
        <v>46183</v>
      </c>
      <c r="G185" s="2">
        <v>46191</v>
      </c>
      <c r="H185" s="4">
        <v>0.71</v>
      </c>
      <c r="L185" t="s">
        <v>35</v>
      </c>
      <c r="M185" t="s">
        <v>187</v>
      </c>
      <c r="N185" s="1">
        <v>46169</v>
      </c>
      <c r="P185" t="s">
        <v>405</v>
      </c>
      <c r="Q185" t="s">
        <v>65</v>
      </c>
      <c r="R185" t="s">
        <v>55</v>
      </c>
      <c r="S185" s="1">
        <v>46162</v>
      </c>
      <c r="T185" s="1">
        <v>46169</v>
      </c>
      <c r="V185">
        <v>0.71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</row>
    <row r="186" spans="1:33" x14ac:dyDescent="0.25">
      <c r="A186">
        <v>245</v>
      </c>
      <c r="B186" t="s">
        <v>429</v>
      </c>
      <c r="C186" t="s">
        <v>430</v>
      </c>
      <c r="D186" t="s">
        <v>94</v>
      </c>
      <c r="E186" t="s">
        <v>95</v>
      </c>
      <c r="F186" s="2">
        <v>46183</v>
      </c>
      <c r="G186" s="2">
        <v>46185</v>
      </c>
      <c r="H186" s="4">
        <v>1</v>
      </c>
      <c r="I186" s="2">
        <v>46185</v>
      </c>
      <c r="J186" t="s">
        <v>431</v>
      </c>
      <c r="K186" t="s">
        <v>432</v>
      </c>
      <c r="L186" t="s">
        <v>59</v>
      </c>
      <c r="M186" t="s">
        <v>187</v>
      </c>
      <c r="N186" s="1">
        <v>46163</v>
      </c>
      <c r="P186" t="s">
        <v>405</v>
      </c>
      <c r="Q186" t="s">
        <v>65</v>
      </c>
      <c r="R186" t="s">
        <v>55</v>
      </c>
      <c r="S186" s="1">
        <v>46162</v>
      </c>
      <c r="T186" s="1">
        <v>46163</v>
      </c>
      <c r="V186">
        <v>1</v>
      </c>
      <c r="W186">
        <v>1</v>
      </c>
      <c r="X186">
        <v>1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1</v>
      </c>
    </row>
    <row r="187" spans="1:33" x14ac:dyDescent="0.25">
      <c r="A187">
        <v>246</v>
      </c>
      <c r="B187" t="s">
        <v>433</v>
      </c>
      <c r="C187" t="s">
        <v>430</v>
      </c>
      <c r="D187" t="s">
        <v>98</v>
      </c>
      <c r="E187" t="s">
        <v>53</v>
      </c>
      <c r="F187" s="2">
        <v>46188</v>
      </c>
      <c r="G187" s="2">
        <v>46188</v>
      </c>
      <c r="H187" s="4">
        <v>1</v>
      </c>
      <c r="I187" s="2">
        <v>46188</v>
      </c>
      <c r="J187">
        <v>245</v>
      </c>
      <c r="K187">
        <v>247</v>
      </c>
      <c r="L187" t="s">
        <v>59</v>
      </c>
      <c r="M187" t="s">
        <v>62</v>
      </c>
      <c r="N187" s="1">
        <v>46164</v>
      </c>
      <c r="P187" t="s">
        <v>405</v>
      </c>
      <c r="Q187" t="s">
        <v>138</v>
      </c>
      <c r="R187" t="s">
        <v>55</v>
      </c>
      <c r="S187" s="1">
        <v>46164</v>
      </c>
      <c r="T187" s="1">
        <v>46164</v>
      </c>
      <c r="V187">
        <v>1</v>
      </c>
      <c r="W187">
        <v>0</v>
      </c>
      <c r="X187">
        <v>0</v>
      </c>
      <c r="Y187">
        <v>0</v>
      </c>
      <c r="Z187">
        <v>0</v>
      </c>
      <c r="AA187">
        <v>1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</row>
    <row r="188" spans="1:33" x14ac:dyDescent="0.25">
      <c r="A188">
        <v>247</v>
      </c>
      <c r="B188" t="s">
        <v>434</v>
      </c>
      <c r="C188" t="s">
        <v>430</v>
      </c>
      <c r="D188" t="s">
        <v>102</v>
      </c>
      <c r="E188" t="s">
        <v>121</v>
      </c>
      <c r="F188" s="2">
        <v>46189</v>
      </c>
      <c r="G188" s="2">
        <v>46190</v>
      </c>
      <c r="H188" s="4">
        <v>0.5</v>
      </c>
      <c r="J188">
        <v>246</v>
      </c>
      <c r="K188">
        <v>248</v>
      </c>
      <c r="L188" t="s">
        <v>35</v>
      </c>
      <c r="M188" t="s">
        <v>137</v>
      </c>
      <c r="N188" s="1">
        <v>46168</v>
      </c>
      <c r="P188" t="s">
        <v>405</v>
      </c>
      <c r="Q188" t="s">
        <v>138</v>
      </c>
      <c r="R188" t="s">
        <v>55</v>
      </c>
      <c r="S188" s="1">
        <v>46167</v>
      </c>
      <c r="T188" s="1">
        <v>46168</v>
      </c>
      <c r="V188">
        <v>0.5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1</v>
      </c>
      <c r="AE188">
        <v>0</v>
      </c>
      <c r="AF188">
        <v>0</v>
      </c>
      <c r="AG188">
        <v>0</v>
      </c>
    </row>
    <row r="189" spans="1:33" x14ac:dyDescent="0.25">
      <c r="A189">
        <v>248</v>
      </c>
      <c r="B189" t="s">
        <v>435</v>
      </c>
      <c r="C189" t="s">
        <v>430</v>
      </c>
      <c r="D189" t="s">
        <v>108</v>
      </c>
      <c r="E189" t="s">
        <v>53</v>
      </c>
      <c r="F189" s="2">
        <v>46191</v>
      </c>
      <c r="G189" s="2">
        <v>46191</v>
      </c>
      <c r="H189" s="4">
        <v>0</v>
      </c>
      <c r="J189">
        <v>247</v>
      </c>
      <c r="L189" t="s">
        <v>35</v>
      </c>
      <c r="M189" t="s">
        <v>436</v>
      </c>
      <c r="N189" s="1">
        <v>46169</v>
      </c>
      <c r="P189" t="s">
        <v>405</v>
      </c>
      <c r="Q189" t="s">
        <v>138</v>
      </c>
      <c r="R189" t="s">
        <v>55</v>
      </c>
      <c r="S189" s="1">
        <v>46169</v>
      </c>
      <c r="T189" s="1">
        <v>46169</v>
      </c>
      <c r="V189">
        <v>0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1</v>
      </c>
      <c r="AG189">
        <v>0</v>
      </c>
    </row>
    <row r="190" spans="1:33" x14ac:dyDescent="0.25">
      <c r="A190">
        <v>254</v>
      </c>
      <c r="B190" t="s">
        <v>437</v>
      </c>
      <c r="C190" t="s">
        <v>407</v>
      </c>
      <c r="D190" t="s">
        <v>438</v>
      </c>
      <c r="E190" t="s">
        <v>136</v>
      </c>
      <c r="F190" s="2">
        <v>46209</v>
      </c>
      <c r="G190" s="2">
        <v>46219</v>
      </c>
      <c r="H190" s="4">
        <v>0</v>
      </c>
      <c r="K190" t="s">
        <v>439</v>
      </c>
      <c r="L190" t="s">
        <v>144</v>
      </c>
      <c r="M190" t="s">
        <v>150</v>
      </c>
      <c r="N190" s="1">
        <v>46183</v>
      </c>
      <c r="P190" t="s">
        <v>405</v>
      </c>
      <c r="Q190" t="s">
        <v>151</v>
      </c>
      <c r="R190" t="s">
        <v>55</v>
      </c>
      <c r="S190" s="1">
        <v>46175</v>
      </c>
      <c r="T190" s="1">
        <v>46183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</row>
    <row r="191" spans="1:33" x14ac:dyDescent="0.25">
      <c r="A191">
        <v>255</v>
      </c>
      <c r="B191" t="s">
        <v>440</v>
      </c>
      <c r="C191" t="s">
        <v>441</v>
      </c>
      <c r="D191" t="s">
        <v>94</v>
      </c>
      <c r="E191" t="s">
        <v>95</v>
      </c>
      <c r="F191" s="2">
        <v>46209</v>
      </c>
      <c r="G191" s="2">
        <v>46211</v>
      </c>
      <c r="H191" s="4">
        <v>0</v>
      </c>
      <c r="J191">
        <v>216</v>
      </c>
      <c r="K191">
        <v>256</v>
      </c>
      <c r="L191" t="s">
        <v>144</v>
      </c>
      <c r="M191" t="s">
        <v>150</v>
      </c>
      <c r="N191" s="1">
        <v>46177</v>
      </c>
      <c r="P191" t="s">
        <v>405</v>
      </c>
      <c r="Q191" t="s">
        <v>151</v>
      </c>
      <c r="R191" t="s">
        <v>55</v>
      </c>
      <c r="S191" s="1">
        <v>46175</v>
      </c>
      <c r="T191" s="1">
        <v>46177</v>
      </c>
      <c r="V191">
        <v>0</v>
      </c>
      <c r="W191">
        <v>1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</row>
    <row r="192" spans="1:33" x14ac:dyDescent="0.25">
      <c r="A192">
        <v>256</v>
      </c>
      <c r="B192" t="s">
        <v>442</v>
      </c>
      <c r="C192" t="s">
        <v>441</v>
      </c>
      <c r="D192" t="s">
        <v>98</v>
      </c>
      <c r="E192" t="s">
        <v>53</v>
      </c>
      <c r="F192" s="2">
        <v>46216</v>
      </c>
      <c r="G192" s="2">
        <v>46216</v>
      </c>
      <c r="H192" s="4">
        <v>0</v>
      </c>
      <c r="J192">
        <v>255</v>
      </c>
      <c r="K192">
        <v>257</v>
      </c>
      <c r="L192" t="s">
        <v>144</v>
      </c>
      <c r="M192" t="s">
        <v>220</v>
      </c>
      <c r="N192" s="1">
        <v>46178</v>
      </c>
      <c r="P192" t="s">
        <v>405</v>
      </c>
      <c r="Q192" t="s">
        <v>151</v>
      </c>
      <c r="R192" t="s">
        <v>55</v>
      </c>
      <c r="S192" s="1">
        <v>46178</v>
      </c>
      <c r="T192" s="1">
        <v>46178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</row>
    <row r="193" spans="1:33" x14ac:dyDescent="0.25">
      <c r="A193">
        <v>257</v>
      </c>
      <c r="B193" t="s">
        <v>443</v>
      </c>
      <c r="C193" t="s">
        <v>441</v>
      </c>
      <c r="D193" t="s">
        <v>102</v>
      </c>
      <c r="E193" t="s">
        <v>121</v>
      </c>
      <c r="F193" s="2">
        <v>46217</v>
      </c>
      <c r="G193" s="2">
        <v>46218</v>
      </c>
      <c r="H193" s="4">
        <v>0</v>
      </c>
      <c r="J193">
        <v>256</v>
      </c>
      <c r="K193">
        <v>258</v>
      </c>
      <c r="L193" t="s">
        <v>144</v>
      </c>
      <c r="M193" t="s">
        <v>444</v>
      </c>
      <c r="N193" s="1">
        <v>46182</v>
      </c>
      <c r="P193" t="s">
        <v>405</v>
      </c>
      <c r="Q193" t="s">
        <v>193</v>
      </c>
      <c r="R193" t="s">
        <v>55</v>
      </c>
      <c r="S193" s="1">
        <v>46181</v>
      </c>
      <c r="T193" s="1">
        <v>46182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</row>
    <row r="194" spans="1:33" x14ac:dyDescent="0.25">
      <c r="A194">
        <v>258</v>
      </c>
      <c r="B194" t="s">
        <v>445</v>
      </c>
      <c r="C194" t="s">
        <v>441</v>
      </c>
      <c r="D194" t="s">
        <v>108</v>
      </c>
      <c r="E194" t="s">
        <v>53</v>
      </c>
      <c r="F194" s="2">
        <v>46219</v>
      </c>
      <c r="G194" s="2">
        <v>46219</v>
      </c>
      <c r="H194" s="4">
        <v>0</v>
      </c>
      <c r="J194">
        <v>257</v>
      </c>
      <c r="L194" t="s">
        <v>144</v>
      </c>
      <c r="M194" t="s">
        <v>292</v>
      </c>
      <c r="N194" s="1">
        <v>46183</v>
      </c>
      <c r="P194" t="s">
        <v>405</v>
      </c>
      <c r="Q194" t="s">
        <v>193</v>
      </c>
      <c r="R194" t="s">
        <v>55</v>
      </c>
      <c r="S194" s="1">
        <v>46183</v>
      </c>
      <c r="T194" s="1">
        <v>46183</v>
      </c>
      <c r="V194">
        <v>0</v>
      </c>
      <c r="W194">
        <v>0</v>
      </c>
      <c r="X194">
        <v>0</v>
      </c>
      <c r="Y194">
        <v>0</v>
      </c>
      <c r="Z194">
        <v>1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</row>
    <row r="195" spans="1:33" x14ac:dyDescent="0.25">
      <c r="A195">
        <v>259</v>
      </c>
      <c r="B195" t="s">
        <v>446</v>
      </c>
      <c r="C195" t="s">
        <v>407</v>
      </c>
      <c r="D195" t="s">
        <v>447</v>
      </c>
      <c r="E195" t="s">
        <v>136</v>
      </c>
      <c r="F195" s="2">
        <v>46209</v>
      </c>
      <c r="G195" s="2">
        <v>46219</v>
      </c>
      <c r="H195" s="4">
        <v>0</v>
      </c>
      <c r="L195" t="s">
        <v>144</v>
      </c>
      <c r="M195" t="s">
        <v>150</v>
      </c>
      <c r="N195" s="1">
        <v>46183</v>
      </c>
      <c r="P195" t="s">
        <v>405</v>
      </c>
      <c r="Q195" t="s">
        <v>151</v>
      </c>
      <c r="R195" t="s">
        <v>55</v>
      </c>
      <c r="S195" s="1">
        <v>46175</v>
      </c>
      <c r="T195" s="1">
        <v>46183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</row>
    <row r="196" spans="1:33" x14ac:dyDescent="0.25">
      <c r="A196">
        <v>260</v>
      </c>
      <c r="B196" t="s">
        <v>448</v>
      </c>
      <c r="C196" t="s">
        <v>449</v>
      </c>
      <c r="D196" t="s">
        <v>94</v>
      </c>
      <c r="E196" t="s">
        <v>95</v>
      </c>
      <c r="F196" s="2">
        <v>46209</v>
      </c>
      <c r="G196" s="2">
        <v>46211</v>
      </c>
      <c r="H196" s="4">
        <v>0</v>
      </c>
      <c r="J196">
        <v>216</v>
      </c>
      <c r="K196">
        <v>261</v>
      </c>
      <c r="L196" t="s">
        <v>144</v>
      </c>
      <c r="M196" t="s">
        <v>150</v>
      </c>
      <c r="N196" s="1">
        <v>46177</v>
      </c>
      <c r="P196" t="s">
        <v>405</v>
      </c>
      <c r="Q196" t="s">
        <v>151</v>
      </c>
      <c r="R196" t="s">
        <v>55</v>
      </c>
      <c r="S196" s="1">
        <v>46175</v>
      </c>
      <c r="T196" s="1">
        <v>46177</v>
      </c>
      <c r="V196">
        <v>0</v>
      </c>
      <c r="W196">
        <v>1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</row>
    <row r="197" spans="1:33" x14ac:dyDescent="0.25">
      <c r="A197">
        <v>261</v>
      </c>
      <c r="B197" t="s">
        <v>450</v>
      </c>
      <c r="C197" t="s">
        <v>449</v>
      </c>
      <c r="D197" t="s">
        <v>98</v>
      </c>
      <c r="E197" t="s">
        <v>53</v>
      </c>
      <c r="F197" s="2">
        <v>46216</v>
      </c>
      <c r="G197" s="2">
        <v>46216</v>
      </c>
      <c r="H197" s="4">
        <v>0</v>
      </c>
      <c r="J197">
        <v>260</v>
      </c>
      <c r="K197">
        <v>262</v>
      </c>
      <c r="L197" t="s">
        <v>144</v>
      </c>
      <c r="M197" t="s">
        <v>220</v>
      </c>
      <c r="N197" s="1">
        <v>46178</v>
      </c>
      <c r="P197" t="s">
        <v>405</v>
      </c>
      <c r="Q197" t="s">
        <v>151</v>
      </c>
      <c r="R197" t="s">
        <v>55</v>
      </c>
      <c r="S197" s="1">
        <v>46178</v>
      </c>
      <c r="T197" s="1">
        <v>46178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</row>
    <row r="198" spans="1:33" x14ac:dyDescent="0.25">
      <c r="A198">
        <v>262</v>
      </c>
      <c r="B198" t="s">
        <v>451</v>
      </c>
      <c r="C198" t="s">
        <v>449</v>
      </c>
      <c r="D198" t="s">
        <v>102</v>
      </c>
      <c r="E198" t="s">
        <v>121</v>
      </c>
      <c r="F198" s="2">
        <v>46217</v>
      </c>
      <c r="G198" s="2">
        <v>46218</v>
      </c>
      <c r="H198" s="4">
        <v>0</v>
      </c>
      <c r="J198">
        <v>261</v>
      </c>
      <c r="K198">
        <v>263</v>
      </c>
      <c r="L198" t="s">
        <v>144</v>
      </c>
      <c r="M198" t="s">
        <v>444</v>
      </c>
      <c r="N198" s="1">
        <v>46182</v>
      </c>
      <c r="P198" t="s">
        <v>405</v>
      </c>
      <c r="Q198" t="s">
        <v>193</v>
      </c>
      <c r="R198" t="s">
        <v>55</v>
      </c>
      <c r="S198" s="1">
        <v>46181</v>
      </c>
      <c r="T198" s="1">
        <v>46182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</row>
    <row r="199" spans="1:33" x14ac:dyDescent="0.25">
      <c r="A199">
        <v>263</v>
      </c>
      <c r="B199" t="s">
        <v>452</v>
      </c>
      <c r="C199" t="s">
        <v>449</v>
      </c>
      <c r="D199" t="s">
        <v>108</v>
      </c>
      <c r="E199" t="s">
        <v>53</v>
      </c>
      <c r="F199" s="2">
        <v>46219</v>
      </c>
      <c r="G199" s="2">
        <v>46219</v>
      </c>
      <c r="H199" s="4">
        <v>0</v>
      </c>
      <c r="J199">
        <v>262</v>
      </c>
      <c r="L199" t="s">
        <v>144</v>
      </c>
      <c r="M199" t="s">
        <v>292</v>
      </c>
      <c r="N199" s="1">
        <v>46183</v>
      </c>
      <c r="P199" t="s">
        <v>405</v>
      </c>
      <c r="Q199" t="s">
        <v>193</v>
      </c>
      <c r="R199" t="s">
        <v>55</v>
      </c>
      <c r="S199" s="1">
        <v>46183</v>
      </c>
      <c r="T199" s="1">
        <v>46183</v>
      </c>
      <c r="V199">
        <v>0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</row>
    <row r="200" spans="1:33" x14ac:dyDescent="0.25">
      <c r="A200">
        <v>264</v>
      </c>
      <c r="B200" t="s">
        <v>453</v>
      </c>
      <c r="C200" t="s">
        <v>407</v>
      </c>
      <c r="D200" t="s">
        <v>454</v>
      </c>
      <c r="E200" t="s">
        <v>136</v>
      </c>
      <c r="F200" s="2">
        <v>46209</v>
      </c>
      <c r="G200" s="2">
        <v>46219</v>
      </c>
      <c r="H200" s="4">
        <v>0</v>
      </c>
      <c r="L200" t="s">
        <v>144</v>
      </c>
      <c r="M200" t="s">
        <v>150</v>
      </c>
      <c r="N200" s="1">
        <v>46183</v>
      </c>
      <c r="P200" t="s">
        <v>405</v>
      </c>
      <c r="Q200" t="s">
        <v>151</v>
      </c>
      <c r="R200" t="s">
        <v>55</v>
      </c>
      <c r="S200" s="1">
        <v>46175</v>
      </c>
      <c r="T200" s="1">
        <v>46183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</row>
    <row r="201" spans="1:33" x14ac:dyDescent="0.25">
      <c r="A201">
        <v>265</v>
      </c>
      <c r="B201" t="s">
        <v>455</v>
      </c>
      <c r="C201" t="s">
        <v>456</v>
      </c>
      <c r="D201" t="s">
        <v>94</v>
      </c>
      <c r="E201" t="s">
        <v>95</v>
      </c>
      <c r="F201" s="2">
        <v>46209</v>
      </c>
      <c r="G201" s="2">
        <v>46211</v>
      </c>
      <c r="H201" s="4">
        <v>0</v>
      </c>
      <c r="J201">
        <v>216</v>
      </c>
      <c r="K201">
        <v>266</v>
      </c>
      <c r="L201" t="s">
        <v>144</v>
      </c>
      <c r="M201" t="s">
        <v>150</v>
      </c>
      <c r="N201" s="1">
        <v>46177</v>
      </c>
      <c r="P201" t="s">
        <v>405</v>
      </c>
      <c r="Q201" t="s">
        <v>151</v>
      </c>
      <c r="R201" t="s">
        <v>55</v>
      </c>
      <c r="S201" s="1">
        <v>46175</v>
      </c>
      <c r="T201" s="1">
        <v>46177</v>
      </c>
      <c r="V201">
        <v>0</v>
      </c>
      <c r="W201">
        <v>1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</row>
    <row r="202" spans="1:33" x14ac:dyDescent="0.25">
      <c r="A202">
        <v>266</v>
      </c>
      <c r="B202" t="s">
        <v>457</v>
      </c>
      <c r="C202" t="s">
        <v>456</v>
      </c>
      <c r="D202" t="s">
        <v>98</v>
      </c>
      <c r="E202" t="s">
        <v>53</v>
      </c>
      <c r="F202" s="2">
        <v>46216</v>
      </c>
      <c r="G202" s="2">
        <v>46216</v>
      </c>
      <c r="H202" s="4">
        <v>0</v>
      </c>
      <c r="J202">
        <v>265</v>
      </c>
      <c r="K202">
        <v>267</v>
      </c>
      <c r="L202" t="s">
        <v>144</v>
      </c>
      <c r="M202" t="s">
        <v>220</v>
      </c>
      <c r="N202" s="1">
        <v>46178</v>
      </c>
      <c r="P202" t="s">
        <v>405</v>
      </c>
      <c r="Q202" t="s">
        <v>151</v>
      </c>
      <c r="R202" t="s">
        <v>55</v>
      </c>
      <c r="S202" s="1">
        <v>46178</v>
      </c>
      <c r="T202" s="1">
        <v>46178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</row>
    <row r="203" spans="1:33" x14ac:dyDescent="0.25">
      <c r="A203">
        <v>267</v>
      </c>
      <c r="B203" t="s">
        <v>458</v>
      </c>
      <c r="C203" t="s">
        <v>456</v>
      </c>
      <c r="D203" t="s">
        <v>102</v>
      </c>
      <c r="E203" t="s">
        <v>121</v>
      </c>
      <c r="F203" s="2">
        <v>46217</v>
      </c>
      <c r="G203" s="2">
        <v>46218</v>
      </c>
      <c r="H203" s="4">
        <v>0</v>
      </c>
      <c r="J203">
        <v>266</v>
      </c>
      <c r="K203">
        <v>268</v>
      </c>
      <c r="L203" t="s">
        <v>144</v>
      </c>
      <c r="M203" t="s">
        <v>444</v>
      </c>
      <c r="N203" s="1">
        <v>46182</v>
      </c>
      <c r="P203" t="s">
        <v>405</v>
      </c>
      <c r="Q203" t="s">
        <v>193</v>
      </c>
      <c r="R203" t="s">
        <v>55</v>
      </c>
      <c r="S203" s="1">
        <v>46181</v>
      </c>
      <c r="T203" s="1">
        <v>46182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</row>
    <row r="204" spans="1:33" x14ac:dyDescent="0.25">
      <c r="A204">
        <v>268</v>
      </c>
      <c r="B204" t="s">
        <v>459</v>
      </c>
      <c r="C204" t="s">
        <v>456</v>
      </c>
      <c r="D204" t="s">
        <v>108</v>
      </c>
      <c r="E204" t="s">
        <v>53</v>
      </c>
      <c r="F204" s="2">
        <v>46219</v>
      </c>
      <c r="G204" s="2">
        <v>46219</v>
      </c>
      <c r="H204" s="4">
        <v>0</v>
      </c>
      <c r="J204">
        <v>267</v>
      </c>
      <c r="L204" t="s">
        <v>144</v>
      </c>
      <c r="M204" t="s">
        <v>292</v>
      </c>
      <c r="N204" s="1">
        <v>46183</v>
      </c>
      <c r="P204" t="s">
        <v>405</v>
      </c>
      <c r="Q204" t="s">
        <v>193</v>
      </c>
      <c r="R204" t="s">
        <v>55</v>
      </c>
      <c r="S204" s="1">
        <v>46183</v>
      </c>
      <c r="T204" s="1">
        <v>46183</v>
      </c>
      <c r="V204">
        <v>0</v>
      </c>
      <c r="W204">
        <v>0</v>
      </c>
      <c r="X204">
        <v>0</v>
      </c>
      <c r="Y204">
        <v>0</v>
      </c>
      <c r="Z204">
        <v>1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</row>
    <row r="205" spans="1:33" x14ac:dyDescent="0.25">
      <c r="A205">
        <v>284</v>
      </c>
      <c r="B205" t="s">
        <v>460</v>
      </c>
      <c r="C205" t="s">
        <v>407</v>
      </c>
      <c r="D205" t="s">
        <v>461</v>
      </c>
      <c r="E205" t="s">
        <v>136</v>
      </c>
      <c r="F205" s="2">
        <v>46209</v>
      </c>
      <c r="G205" s="2">
        <v>46219</v>
      </c>
      <c r="H205" s="4">
        <v>0</v>
      </c>
      <c r="K205" t="s">
        <v>439</v>
      </c>
      <c r="L205" t="s">
        <v>144</v>
      </c>
      <c r="M205" t="s">
        <v>150</v>
      </c>
      <c r="N205" s="1">
        <v>46183</v>
      </c>
      <c r="P205" t="s">
        <v>405</v>
      </c>
      <c r="Q205" t="s">
        <v>151</v>
      </c>
      <c r="R205" t="s">
        <v>55</v>
      </c>
      <c r="S205" s="1">
        <v>46175</v>
      </c>
      <c r="T205" s="1">
        <v>46183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</row>
    <row r="206" spans="1:33" x14ac:dyDescent="0.25">
      <c r="A206">
        <v>285</v>
      </c>
      <c r="B206" t="s">
        <v>462</v>
      </c>
      <c r="C206" t="s">
        <v>463</v>
      </c>
      <c r="D206" t="s">
        <v>94</v>
      </c>
      <c r="E206" t="s">
        <v>95</v>
      </c>
      <c r="F206" s="2">
        <v>46209</v>
      </c>
      <c r="G206" s="2">
        <v>46211</v>
      </c>
      <c r="H206" s="4">
        <v>0</v>
      </c>
      <c r="J206">
        <v>216</v>
      </c>
      <c r="K206">
        <v>286</v>
      </c>
      <c r="L206" t="s">
        <v>144</v>
      </c>
      <c r="M206" t="s">
        <v>150</v>
      </c>
      <c r="N206" s="1">
        <v>46177</v>
      </c>
      <c r="P206" t="s">
        <v>405</v>
      </c>
      <c r="Q206" t="s">
        <v>151</v>
      </c>
      <c r="R206" t="s">
        <v>55</v>
      </c>
      <c r="S206" s="1">
        <v>46175</v>
      </c>
      <c r="T206" s="1">
        <v>46177</v>
      </c>
      <c r="V206">
        <v>0</v>
      </c>
      <c r="W206">
        <v>1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</row>
    <row r="207" spans="1:33" x14ac:dyDescent="0.25">
      <c r="A207">
        <v>286</v>
      </c>
      <c r="B207" t="s">
        <v>464</v>
      </c>
      <c r="C207" t="s">
        <v>463</v>
      </c>
      <c r="D207" t="s">
        <v>98</v>
      </c>
      <c r="E207" t="s">
        <v>53</v>
      </c>
      <c r="F207" s="2">
        <v>46216</v>
      </c>
      <c r="G207" s="2">
        <v>46216</v>
      </c>
      <c r="H207" s="4">
        <v>0</v>
      </c>
      <c r="J207">
        <v>285</v>
      </c>
      <c r="K207">
        <v>287</v>
      </c>
      <c r="L207" t="s">
        <v>144</v>
      </c>
      <c r="M207" t="s">
        <v>220</v>
      </c>
      <c r="N207" s="1">
        <v>46178</v>
      </c>
      <c r="P207" t="s">
        <v>405</v>
      </c>
      <c r="Q207" t="s">
        <v>151</v>
      </c>
      <c r="R207" t="s">
        <v>55</v>
      </c>
      <c r="S207" s="1">
        <v>46178</v>
      </c>
      <c r="T207" s="1">
        <v>46178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</row>
    <row r="208" spans="1:33" x14ac:dyDescent="0.25">
      <c r="A208">
        <v>287</v>
      </c>
      <c r="B208" t="s">
        <v>465</v>
      </c>
      <c r="C208" t="s">
        <v>463</v>
      </c>
      <c r="D208" t="s">
        <v>102</v>
      </c>
      <c r="E208" t="s">
        <v>121</v>
      </c>
      <c r="F208" s="2">
        <v>46217</v>
      </c>
      <c r="G208" s="2">
        <v>46218</v>
      </c>
      <c r="H208" s="4">
        <v>0</v>
      </c>
      <c r="J208">
        <v>286</v>
      </c>
      <c r="K208">
        <v>288</v>
      </c>
      <c r="L208" t="s">
        <v>144</v>
      </c>
      <c r="M208" t="s">
        <v>444</v>
      </c>
      <c r="N208" s="1">
        <v>46182</v>
      </c>
      <c r="P208" t="s">
        <v>405</v>
      </c>
      <c r="Q208" t="s">
        <v>193</v>
      </c>
      <c r="R208" t="s">
        <v>55</v>
      </c>
      <c r="S208" s="1">
        <v>46181</v>
      </c>
      <c r="T208" s="1">
        <v>46182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</row>
    <row r="209" spans="1:33" x14ac:dyDescent="0.25">
      <c r="A209">
        <v>288</v>
      </c>
      <c r="B209" t="s">
        <v>466</v>
      </c>
      <c r="C209" t="s">
        <v>463</v>
      </c>
      <c r="D209" t="s">
        <v>108</v>
      </c>
      <c r="E209" t="s">
        <v>53</v>
      </c>
      <c r="F209" s="2">
        <v>46219</v>
      </c>
      <c r="G209" s="2">
        <v>46219</v>
      </c>
      <c r="H209" s="4">
        <v>0</v>
      </c>
      <c r="J209">
        <v>287</v>
      </c>
      <c r="L209" t="s">
        <v>144</v>
      </c>
      <c r="M209" t="s">
        <v>292</v>
      </c>
      <c r="N209" s="1">
        <v>46183</v>
      </c>
      <c r="P209" t="s">
        <v>405</v>
      </c>
      <c r="Q209" t="s">
        <v>193</v>
      </c>
      <c r="R209" t="s">
        <v>55</v>
      </c>
      <c r="S209" s="1">
        <v>46183</v>
      </c>
      <c r="T209" s="1">
        <v>46183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</row>
    <row r="210" spans="1:33" x14ac:dyDescent="0.25">
      <c r="A210">
        <v>289</v>
      </c>
      <c r="B210" t="s">
        <v>467</v>
      </c>
      <c r="C210" t="s">
        <v>407</v>
      </c>
      <c r="D210" t="s">
        <v>468</v>
      </c>
      <c r="E210" t="s">
        <v>136</v>
      </c>
      <c r="F210" s="2">
        <v>46209</v>
      </c>
      <c r="G210" s="2">
        <v>46219</v>
      </c>
      <c r="H210" s="4">
        <v>0</v>
      </c>
      <c r="L210" t="s">
        <v>144</v>
      </c>
      <c r="M210" t="s">
        <v>150</v>
      </c>
      <c r="N210" s="1">
        <v>46183</v>
      </c>
      <c r="P210" t="s">
        <v>405</v>
      </c>
      <c r="Q210" t="s">
        <v>151</v>
      </c>
      <c r="R210" t="s">
        <v>55</v>
      </c>
      <c r="S210" s="1">
        <v>46175</v>
      </c>
      <c r="T210" s="1">
        <v>46183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</row>
    <row r="211" spans="1:33" x14ac:dyDescent="0.25">
      <c r="A211">
        <v>290</v>
      </c>
      <c r="B211" t="s">
        <v>469</v>
      </c>
      <c r="C211" t="s">
        <v>470</v>
      </c>
      <c r="D211" t="s">
        <v>94</v>
      </c>
      <c r="E211" t="s">
        <v>95</v>
      </c>
      <c r="F211" s="2">
        <v>46209</v>
      </c>
      <c r="G211" s="2">
        <v>46211</v>
      </c>
      <c r="H211" s="4">
        <v>0</v>
      </c>
      <c r="J211">
        <v>216</v>
      </c>
      <c r="K211">
        <v>291</v>
      </c>
      <c r="L211" t="s">
        <v>144</v>
      </c>
      <c r="M211" t="s">
        <v>150</v>
      </c>
      <c r="N211" s="1">
        <v>46177</v>
      </c>
      <c r="P211" t="s">
        <v>405</v>
      </c>
      <c r="Q211" t="s">
        <v>151</v>
      </c>
      <c r="R211" t="s">
        <v>55</v>
      </c>
      <c r="S211" s="1">
        <v>46175</v>
      </c>
      <c r="T211" s="1">
        <v>46177</v>
      </c>
      <c r="V211">
        <v>0</v>
      </c>
      <c r="W211">
        <v>1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</row>
    <row r="212" spans="1:33" x14ac:dyDescent="0.25">
      <c r="A212">
        <v>291</v>
      </c>
      <c r="B212" t="s">
        <v>471</v>
      </c>
      <c r="C212" t="s">
        <v>470</v>
      </c>
      <c r="D212" t="s">
        <v>98</v>
      </c>
      <c r="E212" t="s">
        <v>53</v>
      </c>
      <c r="F212" s="2">
        <v>46216</v>
      </c>
      <c r="G212" s="2">
        <v>46216</v>
      </c>
      <c r="H212" s="4">
        <v>0</v>
      </c>
      <c r="J212">
        <v>290</v>
      </c>
      <c r="K212">
        <v>292</v>
      </c>
      <c r="L212" t="s">
        <v>144</v>
      </c>
      <c r="M212" t="s">
        <v>220</v>
      </c>
      <c r="N212" s="1">
        <v>46178</v>
      </c>
      <c r="P212" t="s">
        <v>405</v>
      </c>
      <c r="Q212" t="s">
        <v>151</v>
      </c>
      <c r="R212" t="s">
        <v>55</v>
      </c>
      <c r="S212" s="1">
        <v>46178</v>
      </c>
      <c r="T212" s="1">
        <v>46178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</row>
    <row r="213" spans="1:33" x14ac:dyDescent="0.25">
      <c r="A213">
        <v>292</v>
      </c>
      <c r="B213" t="s">
        <v>472</v>
      </c>
      <c r="C213" t="s">
        <v>470</v>
      </c>
      <c r="D213" t="s">
        <v>102</v>
      </c>
      <c r="E213" t="s">
        <v>121</v>
      </c>
      <c r="F213" s="2">
        <v>46217</v>
      </c>
      <c r="G213" s="2">
        <v>46218</v>
      </c>
      <c r="H213" s="4">
        <v>0</v>
      </c>
      <c r="J213">
        <v>291</v>
      </c>
      <c r="K213">
        <v>293</v>
      </c>
      <c r="L213" t="s">
        <v>144</v>
      </c>
      <c r="M213" t="s">
        <v>444</v>
      </c>
      <c r="N213" s="1">
        <v>46182</v>
      </c>
      <c r="P213" t="s">
        <v>405</v>
      </c>
      <c r="Q213" t="s">
        <v>193</v>
      </c>
      <c r="R213" t="s">
        <v>55</v>
      </c>
      <c r="S213" s="1">
        <v>46181</v>
      </c>
      <c r="T213" s="1">
        <v>46182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</row>
    <row r="214" spans="1:33" x14ac:dyDescent="0.25">
      <c r="A214">
        <v>293</v>
      </c>
      <c r="B214" t="s">
        <v>473</v>
      </c>
      <c r="C214" t="s">
        <v>470</v>
      </c>
      <c r="D214" t="s">
        <v>108</v>
      </c>
      <c r="E214" t="s">
        <v>53</v>
      </c>
      <c r="F214" s="2">
        <v>46219</v>
      </c>
      <c r="G214" s="2">
        <v>46219</v>
      </c>
      <c r="H214" s="4">
        <v>0</v>
      </c>
      <c r="J214">
        <v>292</v>
      </c>
      <c r="L214" t="s">
        <v>144</v>
      </c>
      <c r="M214" t="s">
        <v>292</v>
      </c>
      <c r="N214" s="1">
        <v>46183</v>
      </c>
      <c r="P214" t="s">
        <v>405</v>
      </c>
      <c r="Q214" t="s">
        <v>193</v>
      </c>
      <c r="R214" t="s">
        <v>55</v>
      </c>
      <c r="S214" s="1">
        <v>46183</v>
      </c>
      <c r="T214" s="1">
        <v>46183</v>
      </c>
      <c r="V214">
        <v>0</v>
      </c>
      <c r="W214">
        <v>0</v>
      </c>
      <c r="X214">
        <v>0</v>
      </c>
      <c r="Y214">
        <v>0</v>
      </c>
      <c r="Z214">
        <v>1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</row>
    <row r="215" spans="1:33" x14ac:dyDescent="0.25">
      <c r="A215">
        <v>294</v>
      </c>
      <c r="B215" t="s">
        <v>474</v>
      </c>
      <c r="C215" t="s">
        <v>407</v>
      </c>
      <c r="D215" t="s">
        <v>475</v>
      </c>
      <c r="E215" t="s">
        <v>136</v>
      </c>
      <c r="F215" s="2">
        <v>46209</v>
      </c>
      <c r="G215" s="2">
        <v>46219</v>
      </c>
      <c r="H215" s="4">
        <v>0</v>
      </c>
      <c r="L215" t="s">
        <v>144</v>
      </c>
      <c r="M215" t="s">
        <v>150</v>
      </c>
      <c r="N215" s="1">
        <v>46183</v>
      </c>
      <c r="P215" t="s">
        <v>405</v>
      </c>
      <c r="Q215" t="s">
        <v>151</v>
      </c>
      <c r="R215" t="s">
        <v>55</v>
      </c>
      <c r="S215" s="1">
        <v>46175</v>
      </c>
      <c r="T215" s="1">
        <v>46183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</row>
    <row r="216" spans="1:33" x14ac:dyDescent="0.25">
      <c r="A216">
        <v>295</v>
      </c>
      <c r="B216" t="s">
        <v>476</v>
      </c>
      <c r="C216" t="s">
        <v>477</v>
      </c>
      <c r="D216" t="s">
        <v>94</v>
      </c>
      <c r="E216" t="s">
        <v>95</v>
      </c>
      <c r="F216" s="2">
        <v>46209</v>
      </c>
      <c r="G216" s="2">
        <v>46211</v>
      </c>
      <c r="H216" s="4">
        <v>0</v>
      </c>
      <c r="J216">
        <v>216</v>
      </c>
      <c r="K216">
        <v>296</v>
      </c>
      <c r="L216" t="s">
        <v>144</v>
      </c>
      <c r="M216" t="s">
        <v>150</v>
      </c>
      <c r="N216" s="1">
        <v>46177</v>
      </c>
      <c r="P216" t="s">
        <v>405</v>
      </c>
      <c r="Q216" t="s">
        <v>151</v>
      </c>
      <c r="R216" t="s">
        <v>55</v>
      </c>
      <c r="S216" s="1">
        <v>46175</v>
      </c>
      <c r="T216" s="1">
        <v>46177</v>
      </c>
      <c r="V216">
        <v>0</v>
      </c>
      <c r="W216">
        <v>1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</row>
    <row r="217" spans="1:33" x14ac:dyDescent="0.25">
      <c r="A217">
        <v>296</v>
      </c>
      <c r="B217" t="s">
        <v>478</v>
      </c>
      <c r="C217" t="s">
        <v>477</v>
      </c>
      <c r="D217" t="s">
        <v>98</v>
      </c>
      <c r="E217" t="s">
        <v>53</v>
      </c>
      <c r="F217" s="2">
        <v>46216</v>
      </c>
      <c r="G217" s="2">
        <v>46216</v>
      </c>
      <c r="H217" s="4">
        <v>0</v>
      </c>
      <c r="J217">
        <v>295</v>
      </c>
      <c r="K217">
        <v>297</v>
      </c>
      <c r="L217" t="s">
        <v>144</v>
      </c>
      <c r="M217" t="s">
        <v>220</v>
      </c>
      <c r="N217" s="1">
        <v>46178</v>
      </c>
      <c r="P217" t="s">
        <v>405</v>
      </c>
      <c r="Q217" t="s">
        <v>151</v>
      </c>
      <c r="R217" t="s">
        <v>55</v>
      </c>
      <c r="S217" s="1">
        <v>46178</v>
      </c>
      <c r="T217" s="1">
        <v>46178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</row>
    <row r="218" spans="1:33" x14ac:dyDescent="0.25">
      <c r="A218">
        <v>297</v>
      </c>
      <c r="B218" t="s">
        <v>479</v>
      </c>
      <c r="C218" t="s">
        <v>477</v>
      </c>
      <c r="D218" t="s">
        <v>102</v>
      </c>
      <c r="E218" t="s">
        <v>121</v>
      </c>
      <c r="F218" s="2">
        <v>46217</v>
      </c>
      <c r="G218" s="2">
        <v>46218</v>
      </c>
      <c r="H218" s="4">
        <v>0</v>
      </c>
      <c r="J218">
        <v>296</v>
      </c>
      <c r="K218">
        <v>298</v>
      </c>
      <c r="L218" t="s">
        <v>144</v>
      </c>
      <c r="M218" t="s">
        <v>444</v>
      </c>
      <c r="N218" s="1">
        <v>46182</v>
      </c>
      <c r="P218" t="s">
        <v>405</v>
      </c>
      <c r="Q218" t="s">
        <v>193</v>
      </c>
      <c r="R218" t="s">
        <v>55</v>
      </c>
      <c r="S218" s="1">
        <v>46181</v>
      </c>
      <c r="T218" s="1">
        <v>46182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</row>
    <row r="219" spans="1:33" x14ac:dyDescent="0.25">
      <c r="A219">
        <v>298</v>
      </c>
      <c r="B219" t="s">
        <v>480</v>
      </c>
      <c r="C219" t="s">
        <v>477</v>
      </c>
      <c r="D219" t="s">
        <v>108</v>
      </c>
      <c r="E219" t="s">
        <v>53</v>
      </c>
      <c r="F219" s="2">
        <v>46219</v>
      </c>
      <c r="G219" s="2">
        <v>46219</v>
      </c>
      <c r="H219" s="4">
        <v>0</v>
      </c>
      <c r="J219">
        <v>297</v>
      </c>
      <c r="L219" t="s">
        <v>144</v>
      </c>
      <c r="M219" t="s">
        <v>292</v>
      </c>
      <c r="N219" s="1">
        <v>46183</v>
      </c>
      <c r="P219" t="s">
        <v>405</v>
      </c>
      <c r="Q219" t="s">
        <v>193</v>
      </c>
      <c r="R219" t="s">
        <v>55</v>
      </c>
      <c r="S219" s="1">
        <v>46183</v>
      </c>
      <c r="T219" s="1">
        <v>46183</v>
      </c>
      <c r="V219">
        <v>0</v>
      </c>
      <c r="W219">
        <v>0</v>
      </c>
      <c r="X219">
        <v>0</v>
      </c>
      <c r="Y219">
        <v>0</v>
      </c>
      <c r="Z219">
        <v>1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</row>
    <row r="220" spans="1:33" x14ac:dyDescent="0.25">
      <c r="A220">
        <v>299</v>
      </c>
      <c r="B220" t="s">
        <v>481</v>
      </c>
      <c r="C220" t="s">
        <v>407</v>
      </c>
      <c r="D220" t="s">
        <v>482</v>
      </c>
      <c r="E220" t="s">
        <v>136</v>
      </c>
      <c r="F220" s="2">
        <v>46209</v>
      </c>
      <c r="G220" s="2">
        <v>46219</v>
      </c>
      <c r="H220" s="4">
        <v>0</v>
      </c>
      <c r="L220" t="s">
        <v>144</v>
      </c>
      <c r="M220" t="s">
        <v>150</v>
      </c>
      <c r="N220" s="1">
        <v>46183</v>
      </c>
      <c r="P220" t="s">
        <v>405</v>
      </c>
      <c r="Q220" t="s">
        <v>151</v>
      </c>
      <c r="R220" t="s">
        <v>55</v>
      </c>
      <c r="S220" s="1">
        <v>46175</v>
      </c>
      <c r="T220" s="1">
        <v>46183</v>
      </c>
      <c r="U220" t="s">
        <v>320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</row>
    <row r="221" spans="1:33" x14ac:dyDescent="0.25">
      <c r="A221">
        <v>300</v>
      </c>
      <c r="B221" t="s">
        <v>483</v>
      </c>
      <c r="C221" t="s">
        <v>484</v>
      </c>
      <c r="D221" t="s">
        <v>94</v>
      </c>
      <c r="E221" t="s">
        <v>95</v>
      </c>
      <c r="F221" s="2">
        <v>46209</v>
      </c>
      <c r="G221" s="2">
        <v>46211</v>
      </c>
      <c r="H221" s="4">
        <v>0</v>
      </c>
      <c r="J221">
        <v>216</v>
      </c>
      <c r="K221">
        <v>301</v>
      </c>
      <c r="L221" t="s">
        <v>144</v>
      </c>
      <c r="M221" t="s">
        <v>150</v>
      </c>
      <c r="N221" s="1">
        <v>46177</v>
      </c>
      <c r="P221" t="s">
        <v>405</v>
      </c>
      <c r="Q221" t="s">
        <v>151</v>
      </c>
      <c r="R221" t="s">
        <v>55</v>
      </c>
      <c r="S221" s="1">
        <v>46175</v>
      </c>
      <c r="T221" s="1">
        <v>46177</v>
      </c>
      <c r="V221">
        <v>0</v>
      </c>
      <c r="W221">
        <v>1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</row>
    <row r="222" spans="1:33" x14ac:dyDescent="0.25">
      <c r="A222">
        <v>301</v>
      </c>
      <c r="B222" t="s">
        <v>485</v>
      </c>
      <c r="C222" t="s">
        <v>484</v>
      </c>
      <c r="D222" t="s">
        <v>98</v>
      </c>
      <c r="E222" t="s">
        <v>53</v>
      </c>
      <c r="F222" s="2">
        <v>46216</v>
      </c>
      <c r="G222" s="2">
        <v>46216</v>
      </c>
      <c r="H222" s="4">
        <v>0</v>
      </c>
      <c r="J222">
        <v>300</v>
      </c>
      <c r="K222">
        <v>302</v>
      </c>
      <c r="L222" t="s">
        <v>144</v>
      </c>
      <c r="M222" t="s">
        <v>220</v>
      </c>
      <c r="N222" s="1">
        <v>46178</v>
      </c>
      <c r="P222" t="s">
        <v>405</v>
      </c>
      <c r="Q222" t="s">
        <v>151</v>
      </c>
      <c r="R222" t="s">
        <v>55</v>
      </c>
      <c r="S222" s="1">
        <v>46178</v>
      </c>
      <c r="T222" s="1">
        <v>46178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</row>
    <row r="223" spans="1:33" x14ac:dyDescent="0.25">
      <c r="A223">
        <v>302</v>
      </c>
      <c r="B223" t="s">
        <v>486</v>
      </c>
      <c r="C223" t="s">
        <v>484</v>
      </c>
      <c r="D223" t="s">
        <v>102</v>
      </c>
      <c r="E223" t="s">
        <v>121</v>
      </c>
      <c r="F223" s="2">
        <v>46217</v>
      </c>
      <c r="G223" s="2">
        <v>46218</v>
      </c>
      <c r="H223" s="4">
        <v>0</v>
      </c>
      <c r="J223">
        <v>301</v>
      </c>
      <c r="K223">
        <v>303</v>
      </c>
      <c r="L223" t="s">
        <v>144</v>
      </c>
      <c r="M223" t="s">
        <v>444</v>
      </c>
      <c r="N223" s="1">
        <v>46182</v>
      </c>
      <c r="P223" t="s">
        <v>405</v>
      </c>
      <c r="Q223" t="s">
        <v>193</v>
      </c>
      <c r="R223" t="s">
        <v>55</v>
      </c>
      <c r="S223" s="1">
        <v>46181</v>
      </c>
      <c r="T223" s="1">
        <v>46182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</row>
    <row r="224" spans="1:33" x14ac:dyDescent="0.25">
      <c r="A224">
        <v>303</v>
      </c>
      <c r="B224" t="s">
        <v>487</v>
      </c>
      <c r="C224" t="s">
        <v>484</v>
      </c>
      <c r="D224" t="s">
        <v>108</v>
      </c>
      <c r="E224" t="s">
        <v>53</v>
      </c>
      <c r="F224" s="2">
        <v>46219</v>
      </c>
      <c r="G224" s="2">
        <v>46219</v>
      </c>
      <c r="H224" s="4">
        <v>0</v>
      </c>
      <c r="J224">
        <v>302</v>
      </c>
      <c r="L224" t="s">
        <v>144</v>
      </c>
      <c r="M224" t="s">
        <v>292</v>
      </c>
      <c r="N224" s="1">
        <v>46183</v>
      </c>
      <c r="P224" t="s">
        <v>405</v>
      </c>
      <c r="Q224" t="s">
        <v>193</v>
      </c>
      <c r="R224" t="s">
        <v>55</v>
      </c>
      <c r="S224" s="1">
        <v>46183</v>
      </c>
      <c r="T224" s="1">
        <v>46183</v>
      </c>
      <c r="V224">
        <v>0</v>
      </c>
      <c r="W224">
        <v>0</v>
      </c>
      <c r="X224">
        <v>0</v>
      </c>
      <c r="Y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</row>
    <row r="225" spans="1:33" x14ac:dyDescent="0.25">
      <c r="A225">
        <v>304</v>
      </c>
      <c r="B225" t="s">
        <v>488</v>
      </c>
      <c r="C225" t="s">
        <v>407</v>
      </c>
      <c r="D225" t="s">
        <v>489</v>
      </c>
      <c r="E225" t="s">
        <v>136</v>
      </c>
      <c r="F225" s="2">
        <v>46209</v>
      </c>
      <c r="G225" s="2">
        <v>46219</v>
      </c>
      <c r="H225" s="4">
        <v>0</v>
      </c>
      <c r="K225" t="s">
        <v>439</v>
      </c>
      <c r="L225" t="s">
        <v>144</v>
      </c>
      <c r="M225" t="s">
        <v>150</v>
      </c>
      <c r="N225" s="1">
        <v>46183</v>
      </c>
      <c r="P225" t="s">
        <v>405</v>
      </c>
      <c r="Q225" t="s">
        <v>151</v>
      </c>
      <c r="R225" t="s">
        <v>55</v>
      </c>
      <c r="S225" s="1">
        <v>46175</v>
      </c>
      <c r="T225" s="1">
        <v>46183</v>
      </c>
      <c r="U225" t="s">
        <v>320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</row>
    <row r="226" spans="1:33" x14ac:dyDescent="0.25">
      <c r="A226">
        <v>305</v>
      </c>
      <c r="B226" t="s">
        <v>490</v>
      </c>
      <c r="C226" t="s">
        <v>491</v>
      </c>
      <c r="D226" t="s">
        <v>94</v>
      </c>
      <c r="E226" t="s">
        <v>95</v>
      </c>
      <c r="F226" s="2">
        <v>46209</v>
      </c>
      <c r="G226" s="2">
        <v>46211</v>
      </c>
      <c r="H226" s="4">
        <v>0</v>
      </c>
      <c r="J226">
        <v>216</v>
      </c>
      <c r="K226">
        <v>306</v>
      </c>
      <c r="L226" t="s">
        <v>144</v>
      </c>
      <c r="M226" t="s">
        <v>150</v>
      </c>
      <c r="N226" s="1">
        <v>46177</v>
      </c>
      <c r="P226" t="s">
        <v>405</v>
      </c>
      <c r="Q226" t="s">
        <v>151</v>
      </c>
      <c r="R226" t="s">
        <v>55</v>
      </c>
      <c r="S226" s="1">
        <v>46175</v>
      </c>
      <c r="T226" s="1">
        <v>46177</v>
      </c>
      <c r="V226">
        <v>0</v>
      </c>
      <c r="W226">
        <v>1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</row>
    <row r="227" spans="1:33" x14ac:dyDescent="0.25">
      <c r="A227">
        <v>306</v>
      </c>
      <c r="B227" t="s">
        <v>492</v>
      </c>
      <c r="C227" t="s">
        <v>491</v>
      </c>
      <c r="D227" t="s">
        <v>98</v>
      </c>
      <c r="E227" t="s">
        <v>53</v>
      </c>
      <c r="F227" s="2">
        <v>46216</v>
      </c>
      <c r="G227" s="2">
        <v>46216</v>
      </c>
      <c r="H227" s="4">
        <v>0</v>
      </c>
      <c r="J227">
        <v>305</v>
      </c>
      <c r="K227">
        <v>307</v>
      </c>
      <c r="L227" t="s">
        <v>144</v>
      </c>
      <c r="M227" t="s">
        <v>220</v>
      </c>
      <c r="N227" s="1">
        <v>46178</v>
      </c>
      <c r="P227" t="s">
        <v>405</v>
      </c>
      <c r="Q227" t="s">
        <v>151</v>
      </c>
      <c r="R227" t="s">
        <v>55</v>
      </c>
      <c r="S227" s="1">
        <v>46178</v>
      </c>
      <c r="T227" s="1">
        <v>46178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</row>
    <row r="228" spans="1:33" x14ac:dyDescent="0.25">
      <c r="A228">
        <v>307</v>
      </c>
      <c r="B228" t="s">
        <v>493</v>
      </c>
      <c r="C228" t="s">
        <v>491</v>
      </c>
      <c r="D228" t="s">
        <v>102</v>
      </c>
      <c r="E228" t="s">
        <v>121</v>
      </c>
      <c r="F228" s="2">
        <v>46217</v>
      </c>
      <c r="G228" s="2">
        <v>46218</v>
      </c>
      <c r="H228" s="4">
        <v>0</v>
      </c>
      <c r="J228">
        <v>306</v>
      </c>
      <c r="K228">
        <v>308</v>
      </c>
      <c r="L228" t="s">
        <v>144</v>
      </c>
      <c r="M228" t="s">
        <v>444</v>
      </c>
      <c r="N228" s="1">
        <v>46182</v>
      </c>
      <c r="P228" t="s">
        <v>405</v>
      </c>
      <c r="Q228" t="s">
        <v>193</v>
      </c>
      <c r="R228" t="s">
        <v>55</v>
      </c>
      <c r="S228" s="1">
        <v>46181</v>
      </c>
      <c r="T228" s="1">
        <v>46182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</row>
    <row r="229" spans="1:33" x14ac:dyDescent="0.25">
      <c r="A229">
        <v>308</v>
      </c>
      <c r="B229" t="s">
        <v>494</v>
      </c>
      <c r="C229" t="s">
        <v>491</v>
      </c>
      <c r="D229" t="s">
        <v>108</v>
      </c>
      <c r="E229" t="s">
        <v>53</v>
      </c>
      <c r="F229" s="2">
        <v>46219</v>
      </c>
      <c r="G229" s="2">
        <v>46219</v>
      </c>
      <c r="H229" s="4">
        <v>0</v>
      </c>
      <c r="J229">
        <v>307</v>
      </c>
      <c r="L229" t="s">
        <v>144</v>
      </c>
      <c r="M229" t="s">
        <v>292</v>
      </c>
      <c r="N229" s="1">
        <v>46183</v>
      </c>
      <c r="P229" t="s">
        <v>405</v>
      </c>
      <c r="Q229" t="s">
        <v>193</v>
      </c>
      <c r="R229" t="s">
        <v>55</v>
      </c>
      <c r="S229" s="1">
        <v>46183</v>
      </c>
      <c r="T229" s="1">
        <v>46183</v>
      </c>
      <c r="V229">
        <v>0</v>
      </c>
      <c r="W229">
        <v>0</v>
      </c>
      <c r="X229">
        <v>0</v>
      </c>
      <c r="Y229">
        <v>0</v>
      </c>
      <c r="Z229">
        <v>1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</row>
    <row r="230" spans="1:33" x14ac:dyDescent="0.25">
      <c r="A230">
        <v>309</v>
      </c>
      <c r="B230" t="s">
        <v>495</v>
      </c>
      <c r="C230" t="s">
        <v>407</v>
      </c>
      <c r="D230" t="s">
        <v>496</v>
      </c>
      <c r="E230" t="s">
        <v>136</v>
      </c>
      <c r="F230" s="2">
        <v>46209</v>
      </c>
      <c r="G230" s="2">
        <v>46219</v>
      </c>
      <c r="H230" s="4">
        <v>0</v>
      </c>
      <c r="L230" t="s">
        <v>144</v>
      </c>
      <c r="M230" t="s">
        <v>150</v>
      </c>
      <c r="N230" s="1">
        <v>46183</v>
      </c>
      <c r="P230" t="s">
        <v>405</v>
      </c>
      <c r="Q230" t="s">
        <v>151</v>
      </c>
      <c r="R230" t="s">
        <v>55</v>
      </c>
      <c r="S230" s="1">
        <v>46175</v>
      </c>
      <c r="T230" s="1">
        <v>46183</v>
      </c>
      <c r="U230" t="s">
        <v>320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</row>
    <row r="231" spans="1:33" x14ac:dyDescent="0.25">
      <c r="A231">
        <v>310</v>
      </c>
      <c r="B231" t="s">
        <v>497</v>
      </c>
      <c r="C231" t="s">
        <v>498</v>
      </c>
      <c r="D231" t="s">
        <v>94</v>
      </c>
      <c r="E231" t="s">
        <v>95</v>
      </c>
      <c r="F231" s="2">
        <v>46209</v>
      </c>
      <c r="G231" s="2">
        <v>46211</v>
      </c>
      <c r="H231" s="4">
        <v>0</v>
      </c>
      <c r="J231">
        <v>216</v>
      </c>
      <c r="K231">
        <v>311</v>
      </c>
      <c r="L231" t="s">
        <v>144</v>
      </c>
      <c r="M231" t="s">
        <v>150</v>
      </c>
      <c r="N231" s="1">
        <v>46177</v>
      </c>
      <c r="P231" t="s">
        <v>405</v>
      </c>
      <c r="Q231" t="s">
        <v>151</v>
      </c>
      <c r="R231" t="s">
        <v>55</v>
      </c>
      <c r="S231" s="1">
        <v>46175</v>
      </c>
      <c r="T231" s="1">
        <v>46177</v>
      </c>
      <c r="V231">
        <v>0</v>
      </c>
      <c r="W231">
        <v>1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</row>
    <row r="232" spans="1:33" x14ac:dyDescent="0.25">
      <c r="A232">
        <v>311</v>
      </c>
      <c r="B232" t="s">
        <v>499</v>
      </c>
      <c r="C232" t="s">
        <v>498</v>
      </c>
      <c r="D232" t="s">
        <v>98</v>
      </c>
      <c r="E232" t="s">
        <v>53</v>
      </c>
      <c r="F232" s="2">
        <v>46216</v>
      </c>
      <c r="G232" s="2">
        <v>46216</v>
      </c>
      <c r="H232" s="4">
        <v>0</v>
      </c>
      <c r="J232">
        <v>310</v>
      </c>
      <c r="K232">
        <v>312</v>
      </c>
      <c r="L232" t="s">
        <v>144</v>
      </c>
      <c r="M232" t="s">
        <v>220</v>
      </c>
      <c r="N232" s="1">
        <v>46178</v>
      </c>
      <c r="P232" t="s">
        <v>405</v>
      </c>
      <c r="Q232" t="s">
        <v>151</v>
      </c>
      <c r="R232" t="s">
        <v>55</v>
      </c>
      <c r="S232" s="1">
        <v>46178</v>
      </c>
      <c r="T232" s="1">
        <v>46178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</row>
    <row r="233" spans="1:33" x14ac:dyDescent="0.25">
      <c r="A233">
        <v>312</v>
      </c>
      <c r="B233" t="s">
        <v>500</v>
      </c>
      <c r="C233" t="s">
        <v>498</v>
      </c>
      <c r="D233" t="s">
        <v>102</v>
      </c>
      <c r="E233" t="s">
        <v>121</v>
      </c>
      <c r="F233" s="2">
        <v>46217</v>
      </c>
      <c r="G233" s="2">
        <v>46218</v>
      </c>
      <c r="H233" s="4">
        <v>0</v>
      </c>
      <c r="J233">
        <v>311</v>
      </c>
      <c r="K233">
        <v>313</v>
      </c>
      <c r="L233" t="s">
        <v>144</v>
      </c>
      <c r="M233" t="s">
        <v>444</v>
      </c>
      <c r="N233" s="1">
        <v>46182</v>
      </c>
      <c r="P233" t="s">
        <v>405</v>
      </c>
      <c r="Q233" t="s">
        <v>193</v>
      </c>
      <c r="R233" t="s">
        <v>55</v>
      </c>
      <c r="S233" s="1">
        <v>46181</v>
      </c>
      <c r="T233" s="1">
        <v>46182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</row>
    <row r="234" spans="1:33" x14ac:dyDescent="0.25">
      <c r="A234">
        <v>313</v>
      </c>
      <c r="B234" t="s">
        <v>501</v>
      </c>
      <c r="C234" t="s">
        <v>498</v>
      </c>
      <c r="D234" t="s">
        <v>108</v>
      </c>
      <c r="E234" t="s">
        <v>53</v>
      </c>
      <c r="F234" s="2">
        <v>46219</v>
      </c>
      <c r="G234" s="2">
        <v>46219</v>
      </c>
      <c r="H234" s="4">
        <v>0</v>
      </c>
      <c r="J234">
        <v>312</v>
      </c>
      <c r="L234" t="s">
        <v>144</v>
      </c>
      <c r="M234" t="s">
        <v>292</v>
      </c>
      <c r="N234" s="1">
        <v>46183</v>
      </c>
      <c r="P234" t="s">
        <v>405</v>
      </c>
      <c r="Q234" t="s">
        <v>193</v>
      </c>
      <c r="R234" t="s">
        <v>55</v>
      </c>
      <c r="S234" s="1">
        <v>46183</v>
      </c>
      <c r="T234" s="1">
        <v>46183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</row>
    <row r="235" spans="1:33" x14ac:dyDescent="0.25">
      <c r="A235">
        <v>314</v>
      </c>
      <c r="B235" t="s">
        <v>502</v>
      </c>
      <c r="C235" t="s">
        <v>407</v>
      </c>
      <c r="D235" t="s">
        <v>503</v>
      </c>
      <c r="E235" t="s">
        <v>136</v>
      </c>
      <c r="F235" s="2">
        <v>46209</v>
      </c>
      <c r="G235" s="2">
        <v>46219</v>
      </c>
      <c r="H235" s="4">
        <v>0</v>
      </c>
      <c r="L235" t="s">
        <v>144</v>
      </c>
      <c r="M235" t="s">
        <v>150</v>
      </c>
      <c r="N235" s="1">
        <v>46183</v>
      </c>
      <c r="P235" t="s">
        <v>405</v>
      </c>
      <c r="Q235" t="s">
        <v>151</v>
      </c>
      <c r="R235" t="s">
        <v>55</v>
      </c>
      <c r="S235" s="1">
        <v>46175</v>
      </c>
      <c r="T235" s="1">
        <v>46183</v>
      </c>
      <c r="U235" t="s">
        <v>320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</row>
    <row r="236" spans="1:33" x14ac:dyDescent="0.25">
      <c r="A236">
        <v>315</v>
      </c>
      <c r="B236" t="s">
        <v>504</v>
      </c>
      <c r="C236" t="s">
        <v>505</v>
      </c>
      <c r="D236" t="s">
        <v>94</v>
      </c>
      <c r="E236" t="s">
        <v>95</v>
      </c>
      <c r="F236" s="2">
        <v>46209</v>
      </c>
      <c r="G236" s="2">
        <v>46211</v>
      </c>
      <c r="H236" s="4">
        <v>0</v>
      </c>
      <c r="J236">
        <v>216</v>
      </c>
      <c r="K236">
        <v>316</v>
      </c>
      <c r="L236" t="s">
        <v>144</v>
      </c>
      <c r="M236" t="s">
        <v>150</v>
      </c>
      <c r="N236" s="1">
        <v>46177</v>
      </c>
      <c r="P236" t="s">
        <v>405</v>
      </c>
      <c r="Q236" t="s">
        <v>151</v>
      </c>
      <c r="R236" t="s">
        <v>55</v>
      </c>
      <c r="S236" s="1">
        <v>46175</v>
      </c>
      <c r="T236" s="1">
        <v>46177</v>
      </c>
      <c r="V236">
        <v>0</v>
      </c>
      <c r="W236">
        <v>1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</row>
    <row r="237" spans="1:33" x14ac:dyDescent="0.25">
      <c r="A237">
        <v>316</v>
      </c>
      <c r="B237" t="s">
        <v>506</v>
      </c>
      <c r="C237" t="s">
        <v>505</v>
      </c>
      <c r="D237" t="s">
        <v>98</v>
      </c>
      <c r="E237" t="s">
        <v>53</v>
      </c>
      <c r="F237" s="2">
        <v>46216</v>
      </c>
      <c r="G237" s="2">
        <v>46216</v>
      </c>
      <c r="H237" s="4">
        <v>0</v>
      </c>
      <c r="J237">
        <v>315</v>
      </c>
      <c r="K237">
        <v>317</v>
      </c>
      <c r="L237" t="s">
        <v>144</v>
      </c>
      <c r="M237" t="s">
        <v>220</v>
      </c>
      <c r="N237" s="1">
        <v>46178</v>
      </c>
      <c r="P237" t="s">
        <v>405</v>
      </c>
      <c r="Q237" t="s">
        <v>151</v>
      </c>
      <c r="R237" t="s">
        <v>55</v>
      </c>
      <c r="S237" s="1">
        <v>46178</v>
      </c>
      <c r="T237" s="1">
        <v>46178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</row>
    <row r="238" spans="1:33" x14ac:dyDescent="0.25">
      <c r="A238">
        <v>317</v>
      </c>
      <c r="B238" t="s">
        <v>507</v>
      </c>
      <c r="C238" t="s">
        <v>505</v>
      </c>
      <c r="D238" t="s">
        <v>102</v>
      </c>
      <c r="E238" t="s">
        <v>121</v>
      </c>
      <c r="F238" s="2">
        <v>46217</v>
      </c>
      <c r="G238" s="2">
        <v>46218</v>
      </c>
      <c r="H238" s="4">
        <v>0</v>
      </c>
      <c r="J238">
        <v>316</v>
      </c>
      <c r="K238">
        <v>318</v>
      </c>
      <c r="L238" t="s">
        <v>144</v>
      </c>
      <c r="M238" t="s">
        <v>444</v>
      </c>
      <c r="N238" s="1">
        <v>46182</v>
      </c>
      <c r="P238" t="s">
        <v>405</v>
      </c>
      <c r="Q238" t="s">
        <v>193</v>
      </c>
      <c r="R238" t="s">
        <v>55</v>
      </c>
      <c r="S238" s="1">
        <v>46181</v>
      </c>
      <c r="T238" s="1">
        <v>46182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</row>
    <row r="239" spans="1:33" x14ac:dyDescent="0.25">
      <c r="A239">
        <v>318</v>
      </c>
      <c r="B239" t="s">
        <v>508</v>
      </c>
      <c r="C239" t="s">
        <v>505</v>
      </c>
      <c r="D239" t="s">
        <v>108</v>
      </c>
      <c r="E239" t="s">
        <v>53</v>
      </c>
      <c r="F239" s="2">
        <v>46219</v>
      </c>
      <c r="G239" s="2">
        <v>46219</v>
      </c>
      <c r="H239" s="4">
        <v>0</v>
      </c>
      <c r="J239">
        <v>317</v>
      </c>
      <c r="L239" t="s">
        <v>144</v>
      </c>
      <c r="M239" t="s">
        <v>292</v>
      </c>
      <c r="N239" s="1">
        <v>46183</v>
      </c>
      <c r="P239" t="s">
        <v>405</v>
      </c>
      <c r="Q239" t="s">
        <v>193</v>
      </c>
      <c r="R239" t="s">
        <v>55</v>
      </c>
      <c r="S239" s="1">
        <v>46183</v>
      </c>
      <c r="T239" s="1">
        <v>46183</v>
      </c>
      <c r="V239">
        <v>0</v>
      </c>
      <c r="W239">
        <v>0</v>
      </c>
      <c r="X239">
        <v>0</v>
      </c>
      <c r="Y239">
        <v>0</v>
      </c>
      <c r="Z239">
        <v>1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</row>
    <row r="240" spans="1:33" x14ac:dyDescent="0.25">
      <c r="A240">
        <v>319</v>
      </c>
      <c r="B240" t="s">
        <v>509</v>
      </c>
      <c r="C240" t="s">
        <v>407</v>
      </c>
      <c r="D240" t="s">
        <v>510</v>
      </c>
      <c r="E240" t="s">
        <v>201</v>
      </c>
      <c r="F240" s="2">
        <v>46206</v>
      </c>
      <c r="G240" s="2">
        <v>46217</v>
      </c>
      <c r="H240" s="4">
        <v>0</v>
      </c>
      <c r="L240" t="s">
        <v>131</v>
      </c>
      <c r="M240" t="s">
        <v>150</v>
      </c>
      <c r="N240" s="1">
        <v>46183</v>
      </c>
      <c r="P240" t="s">
        <v>405</v>
      </c>
      <c r="Q240" t="s">
        <v>151</v>
      </c>
      <c r="R240" t="s">
        <v>55</v>
      </c>
      <c r="S240" s="1">
        <v>46175</v>
      </c>
      <c r="T240" s="1">
        <v>46183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</row>
    <row r="241" spans="1:33" x14ac:dyDescent="0.25">
      <c r="A241">
        <v>320</v>
      </c>
      <c r="B241" t="s">
        <v>511</v>
      </c>
      <c r="C241" t="s">
        <v>512</v>
      </c>
      <c r="D241" t="s">
        <v>94</v>
      </c>
      <c r="E241" t="s">
        <v>121</v>
      </c>
      <c r="F241" s="2">
        <v>46206</v>
      </c>
      <c r="G241" s="2">
        <v>46209</v>
      </c>
      <c r="H241" s="4">
        <v>0</v>
      </c>
      <c r="J241">
        <v>242</v>
      </c>
      <c r="K241">
        <v>321</v>
      </c>
      <c r="L241" t="s">
        <v>131</v>
      </c>
      <c r="M241" t="s">
        <v>150</v>
      </c>
      <c r="N241" s="1">
        <v>46177</v>
      </c>
      <c r="P241" t="s">
        <v>405</v>
      </c>
      <c r="Q241" t="s">
        <v>151</v>
      </c>
      <c r="R241" t="s">
        <v>55</v>
      </c>
      <c r="S241" s="1">
        <v>46175</v>
      </c>
      <c r="T241" s="1">
        <v>46177</v>
      </c>
      <c r="V241">
        <v>0</v>
      </c>
      <c r="W241">
        <v>1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</row>
    <row r="242" spans="1:33" x14ac:dyDescent="0.25">
      <c r="A242">
        <v>321</v>
      </c>
      <c r="B242" t="s">
        <v>513</v>
      </c>
      <c r="C242" t="s">
        <v>512</v>
      </c>
      <c r="D242" t="s">
        <v>98</v>
      </c>
      <c r="E242" t="s">
        <v>53</v>
      </c>
      <c r="F242" s="2">
        <v>46210</v>
      </c>
      <c r="G242" s="2">
        <v>46210</v>
      </c>
      <c r="H242" s="4">
        <v>0</v>
      </c>
      <c r="J242">
        <v>320</v>
      </c>
      <c r="K242">
        <v>322</v>
      </c>
      <c r="L242" t="s">
        <v>144</v>
      </c>
      <c r="M242" t="s">
        <v>220</v>
      </c>
      <c r="N242" s="1">
        <v>46178</v>
      </c>
      <c r="P242" t="s">
        <v>405</v>
      </c>
      <c r="Q242" t="s">
        <v>151</v>
      </c>
      <c r="R242" t="s">
        <v>55</v>
      </c>
      <c r="S242" s="1">
        <v>46178</v>
      </c>
      <c r="T242" s="1">
        <v>46178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</row>
    <row r="243" spans="1:33" x14ac:dyDescent="0.25">
      <c r="A243">
        <v>322</v>
      </c>
      <c r="B243" t="s">
        <v>514</v>
      </c>
      <c r="C243" t="s">
        <v>512</v>
      </c>
      <c r="D243" t="s">
        <v>102</v>
      </c>
      <c r="E243" t="s">
        <v>121</v>
      </c>
      <c r="F243" s="2">
        <v>46211</v>
      </c>
      <c r="G243" s="2">
        <v>46216</v>
      </c>
      <c r="H243" s="4">
        <v>0</v>
      </c>
      <c r="J243">
        <v>321</v>
      </c>
      <c r="K243">
        <v>323</v>
      </c>
      <c r="L243" t="s">
        <v>144</v>
      </c>
      <c r="M243" t="s">
        <v>444</v>
      </c>
      <c r="N243" s="1">
        <v>46182</v>
      </c>
      <c r="P243" t="s">
        <v>405</v>
      </c>
      <c r="Q243" t="s">
        <v>193</v>
      </c>
      <c r="R243" t="s">
        <v>55</v>
      </c>
      <c r="S243" s="1">
        <v>46181</v>
      </c>
      <c r="T243" s="1">
        <v>46182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</row>
    <row r="244" spans="1:33" x14ac:dyDescent="0.25">
      <c r="A244">
        <v>323</v>
      </c>
      <c r="B244" t="s">
        <v>515</v>
      </c>
      <c r="C244" t="s">
        <v>512</v>
      </c>
      <c r="D244" t="s">
        <v>108</v>
      </c>
      <c r="E244" t="s">
        <v>53</v>
      </c>
      <c r="F244" s="2">
        <v>46217</v>
      </c>
      <c r="G244" s="2">
        <v>46217</v>
      </c>
      <c r="H244" s="4">
        <v>0</v>
      </c>
      <c r="J244">
        <v>322</v>
      </c>
      <c r="L244" t="s">
        <v>144</v>
      </c>
      <c r="M244" t="s">
        <v>292</v>
      </c>
      <c r="N244" s="1">
        <v>46183</v>
      </c>
      <c r="P244" t="s">
        <v>405</v>
      </c>
      <c r="Q244" t="s">
        <v>193</v>
      </c>
      <c r="R244" t="s">
        <v>55</v>
      </c>
      <c r="S244" s="1">
        <v>46183</v>
      </c>
      <c r="T244" s="1">
        <v>46183</v>
      </c>
      <c r="V244">
        <v>0</v>
      </c>
      <c r="W244">
        <v>0</v>
      </c>
      <c r="X244">
        <v>0</v>
      </c>
      <c r="Y244">
        <v>0</v>
      </c>
      <c r="Z244">
        <v>1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</row>
    <row r="245" spans="1:33" x14ac:dyDescent="0.25">
      <c r="A245">
        <v>329</v>
      </c>
      <c r="B245" t="s">
        <v>516</v>
      </c>
      <c r="C245" t="s">
        <v>73</v>
      </c>
      <c r="D245" t="s">
        <v>517</v>
      </c>
      <c r="E245" t="s">
        <v>518</v>
      </c>
      <c r="F245" s="2">
        <v>46205</v>
      </c>
      <c r="G245" s="2">
        <v>46227</v>
      </c>
      <c r="H245" s="4">
        <v>0.02</v>
      </c>
      <c r="L245" t="s">
        <v>35</v>
      </c>
      <c r="M245" t="s">
        <v>296</v>
      </c>
      <c r="N245" s="1">
        <v>46211</v>
      </c>
      <c r="P245" t="s">
        <v>519</v>
      </c>
      <c r="Q245" t="s">
        <v>138</v>
      </c>
      <c r="R245" t="s">
        <v>55</v>
      </c>
      <c r="S245" s="1">
        <v>46188</v>
      </c>
      <c r="T245" s="1">
        <v>46211</v>
      </c>
      <c r="V245">
        <v>0.02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</row>
    <row r="246" spans="1:33" x14ac:dyDescent="0.25">
      <c r="A246">
        <v>335</v>
      </c>
      <c r="B246" t="s">
        <v>520</v>
      </c>
      <c r="C246" t="s">
        <v>521</v>
      </c>
      <c r="D246" t="s">
        <v>522</v>
      </c>
      <c r="E246" t="s">
        <v>523</v>
      </c>
      <c r="F246" s="2">
        <v>46211</v>
      </c>
      <c r="G246" s="2">
        <v>46219</v>
      </c>
      <c r="H246" s="4">
        <v>0.38</v>
      </c>
      <c r="L246" t="s">
        <v>144</v>
      </c>
      <c r="M246" t="s">
        <v>343</v>
      </c>
      <c r="N246" s="1">
        <v>46198</v>
      </c>
      <c r="P246" t="s">
        <v>519</v>
      </c>
      <c r="Q246" t="s">
        <v>146</v>
      </c>
      <c r="R246" t="s">
        <v>55</v>
      </c>
      <c r="S246" s="1">
        <v>46190</v>
      </c>
      <c r="T246" s="1">
        <v>46198</v>
      </c>
      <c r="V246">
        <v>0.38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</row>
    <row r="247" spans="1:33" x14ac:dyDescent="0.25">
      <c r="A247">
        <v>336</v>
      </c>
      <c r="B247" t="s">
        <v>524</v>
      </c>
      <c r="C247" t="s">
        <v>525</v>
      </c>
      <c r="D247" t="s">
        <v>94</v>
      </c>
      <c r="E247" t="s">
        <v>95</v>
      </c>
      <c r="F247" s="2">
        <v>46211</v>
      </c>
      <c r="G247" s="2">
        <v>46216</v>
      </c>
      <c r="H247" s="4">
        <v>0.75</v>
      </c>
      <c r="J247" t="s">
        <v>526</v>
      </c>
      <c r="K247" t="s">
        <v>527</v>
      </c>
      <c r="L247" t="s">
        <v>144</v>
      </c>
      <c r="M247" t="s">
        <v>343</v>
      </c>
      <c r="N247" s="1">
        <v>46192</v>
      </c>
      <c r="P247" t="s">
        <v>519</v>
      </c>
      <c r="Q247" t="s">
        <v>146</v>
      </c>
      <c r="R247" t="s">
        <v>55</v>
      </c>
      <c r="S247" s="1">
        <v>46190</v>
      </c>
      <c r="T247" s="1">
        <v>46192</v>
      </c>
      <c r="V247">
        <v>0.75</v>
      </c>
      <c r="W247">
        <v>1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</row>
    <row r="248" spans="1:33" x14ac:dyDescent="0.25">
      <c r="A248">
        <v>337</v>
      </c>
      <c r="B248" t="s">
        <v>528</v>
      </c>
      <c r="C248" t="s">
        <v>525</v>
      </c>
      <c r="D248" t="s">
        <v>98</v>
      </c>
      <c r="E248" t="s">
        <v>53</v>
      </c>
      <c r="F248" s="2">
        <v>46216</v>
      </c>
      <c r="G248" s="2">
        <v>46217</v>
      </c>
      <c r="H248" s="4">
        <v>0</v>
      </c>
      <c r="J248">
        <v>336</v>
      </c>
      <c r="K248">
        <v>338</v>
      </c>
      <c r="L248" t="s">
        <v>144</v>
      </c>
      <c r="M248" t="s">
        <v>223</v>
      </c>
      <c r="N248" s="1">
        <v>46195</v>
      </c>
      <c r="P248" t="s">
        <v>519</v>
      </c>
      <c r="Q248" t="s">
        <v>151</v>
      </c>
      <c r="R248" t="s">
        <v>55</v>
      </c>
      <c r="S248" s="1">
        <v>46195</v>
      </c>
      <c r="T248" s="1">
        <v>46195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</row>
    <row r="249" spans="1:33" x14ac:dyDescent="0.25">
      <c r="A249">
        <v>338</v>
      </c>
      <c r="B249" t="s">
        <v>529</v>
      </c>
      <c r="C249" t="s">
        <v>525</v>
      </c>
      <c r="D249" t="s">
        <v>102</v>
      </c>
      <c r="E249" t="s">
        <v>53</v>
      </c>
      <c r="F249" s="2">
        <v>46217</v>
      </c>
      <c r="G249" s="2">
        <v>46218</v>
      </c>
      <c r="H249" s="4">
        <v>0</v>
      </c>
      <c r="J249">
        <v>337</v>
      </c>
      <c r="K249" t="s">
        <v>530</v>
      </c>
      <c r="L249" t="s">
        <v>144</v>
      </c>
      <c r="M249" t="s">
        <v>418</v>
      </c>
      <c r="N249" s="1">
        <v>46197</v>
      </c>
      <c r="P249" t="s">
        <v>519</v>
      </c>
      <c r="Q249" t="s">
        <v>151</v>
      </c>
      <c r="R249" t="s">
        <v>55</v>
      </c>
      <c r="S249" s="1">
        <v>46196</v>
      </c>
      <c r="T249" s="1">
        <v>46197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</row>
    <row r="250" spans="1:33" x14ac:dyDescent="0.25">
      <c r="A250">
        <v>339</v>
      </c>
      <c r="B250" t="s">
        <v>531</v>
      </c>
      <c r="C250" t="s">
        <v>525</v>
      </c>
      <c r="D250" t="s">
        <v>108</v>
      </c>
      <c r="E250" t="s">
        <v>53</v>
      </c>
      <c r="F250" s="2">
        <v>46218</v>
      </c>
      <c r="G250" s="2">
        <v>46219</v>
      </c>
      <c r="H250" s="4">
        <v>0</v>
      </c>
      <c r="J250">
        <v>338</v>
      </c>
      <c r="K250">
        <v>346</v>
      </c>
      <c r="L250" t="s">
        <v>144</v>
      </c>
      <c r="M250" t="s">
        <v>532</v>
      </c>
      <c r="N250" s="1">
        <v>46198</v>
      </c>
      <c r="P250" t="s">
        <v>519</v>
      </c>
      <c r="Q250" t="s">
        <v>151</v>
      </c>
      <c r="R250" t="s">
        <v>55</v>
      </c>
      <c r="S250" s="1">
        <v>46198</v>
      </c>
      <c r="T250" s="1">
        <v>46198</v>
      </c>
      <c r="V250">
        <v>0</v>
      </c>
      <c r="W250">
        <v>0</v>
      </c>
      <c r="X250">
        <v>0</v>
      </c>
      <c r="Y250">
        <v>0</v>
      </c>
      <c r="Z250">
        <v>1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</row>
    <row r="251" spans="1:33" x14ac:dyDescent="0.25">
      <c r="A251">
        <v>340</v>
      </c>
      <c r="B251" t="s">
        <v>533</v>
      </c>
      <c r="C251" t="s">
        <v>521</v>
      </c>
      <c r="D251" t="s">
        <v>534</v>
      </c>
      <c r="E251" t="s">
        <v>201</v>
      </c>
      <c r="F251" s="2">
        <v>46216</v>
      </c>
      <c r="G251" s="2">
        <v>46224</v>
      </c>
      <c r="H251" s="4">
        <v>0</v>
      </c>
      <c r="L251" t="s">
        <v>144</v>
      </c>
      <c r="M251" t="s">
        <v>155</v>
      </c>
      <c r="N251" s="1">
        <v>46210</v>
      </c>
      <c r="P251" t="s">
        <v>519</v>
      </c>
      <c r="Q251" t="s">
        <v>193</v>
      </c>
      <c r="R251" t="s">
        <v>55</v>
      </c>
      <c r="S251" s="1">
        <v>46203</v>
      </c>
      <c r="T251" s="1">
        <v>46210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</row>
    <row r="252" spans="1:33" x14ac:dyDescent="0.25">
      <c r="A252">
        <v>341</v>
      </c>
      <c r="B252" t="s">
        <v>535</v>
      </c>
      <c r="C252" t="s">
        <v>536</v>
      </c>
      <c r="D252" t="s">
        <v>94</v>
      </c>
      <c r="E252" t="s">
        <v>95</v>
      </c>
      <c r="F252" s="2">
        <v>46216</v>
      </c>
      <c r="G252" s="2">
        <v>46219</v>
      </c>
      <c r="H252" s="4">
        <v>0</v>
      </c>
      <c r="J252">
        <v>336</v>
      </c>
      <c r="K252">
        <v>342</v>
      </c>
      <c r="L252" t="s">
        <v>144</v>
      </c>
      <c r="M252" t="s">
        <v>155</v>
      </c>
      <c r="N252" s="1">
        <v>46204</v>
      </c>
      <c r="P252" t="s">
        <v>519</v>
      </c>
      <c r="Q252" t="s">
        <v>193</v>
      </c>
      <c r="R252" t="s">
        <v>55</v>
      </c>
      <c r="S252" s="1">
        <v>46203</v>
      </c>
      <c r="T252" s="1">
        <v>46204</v>
      </c>
      <c r="V252">
        <v>0</v>
      </c>
      <c r="W252">
        <v>1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</row>
    <row r="253" spans="1:33" x14ac:dyDescent="0.25">
      <c r="A253">
        <v>342</v>
      </c>
      <c r="B253" t="s">
        <v>537</v>
      </c>
      <c r="C253" t="s">
        <v>536</v>
      </c>
      <c r="D253" t="s">
        <v>98</v>
      </c>
      <c r="E253" t="s">
        <v>53</v>
      </c>
      <c r="F253" s="2">
        <v>46219</v>
      </c>
      <c r="G253" s="2">
        <v>46220</v>
      </c>
      <c r="H253" s="4">
        <v>0</v>
      </c>
      <c r="J253">
        <v>341</v>
      </c>
      <c r="K253">
        <v>343</v>
      </c>
      <c r="L253" t="s">
        <v>144</v>
      </c>
      <c r="M253" t="s">
        <v>538</v>
      </c>
      <c r="N253" s="1">
        <v>46205</v>
      </c>
      <c r="P253" t="s">
        <v>519</v>
      </c>
      <c r="Q253" t="s">
        <v>193</v>
      </c>
      <c r="R253" t="s">
        <v>55</v>
      </c>
      <c r="S253" s="1">
        <v>46205</v>
      </c>
      <c r="T253" s="1">
        <v>46205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</row>
    <row r="254" spans="1:33" x14ac:dyDescent="0.25">
      <c r="A254">
        <v>343</v>
      </c>
      <c r="B254" t="s">
        <v>539</v>
      </c>
      <c r="C254" t="s">
        <v>536</v>
      </c>
      <c r="D254" t="s">
        <v>102</v>
      </c>
      <c r="E254" t="s">
        <v>53</v>
      </c>
      <c r="F254" s="2">
        <v>46220</v>
      </c>
      <c r="G254" s="2">
        <v>46223</v>
      </c>
      <c r="H254" s="4">
        <v>0</v>
      </c>
      <c r="J254">
        <v>342</v>
      </c>
      <c r="K254">
        <v>344</v>
      </c>
      <c r="L254" t="s">
        <v>144</v>
      </c>
      <c r="M254" t="s">
        <v>159</v>
      </c>
      <c r="N254" s="1">
        <v>46209</v>
      </c>
      <c r="P254" t="s">
        <v>519</v>
      </c>
      <c r="Q254" t="s">
        <v>193</v>
      </c>
      <c r="R254" t="s">
        <v>55</v>
      </c>
      <c r="S254" s="1">
        <v>46206</v>
      </c>
      <c r="T254" s="1">
        <v>46209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</row>
    <row r="255" spans="1:33" x14ac:dyDescent="0.25">
      <c r="A255">
        <v>344</v>
      </c>
      <c r="B255" t="s">
        <v>540</v>
      </c>
      <c r="C255" t="s">
        <v>536</v>
      </c>
      <c r="D255" t="s">
        <v>108</v>
      </c>
      <c r="E255" t="s">
        <v>53</v>
      </c>
      <c r="F255" s="2">
        <v>46223</v>
      </c>
      <c r="G255" s="2">
        <v>46224</v>
      </c>
      <c r="H255" s="4">
        <v>0</v>
      </c>
      <c r="J255">
        <v>343</v>
      </c>
      <c r="L255" t="s">
        <v>144</v>
      </c>
      <c r="M255" t="s">
        <v>541</v>
      </c>
      <c r="N255" s="1">
        <v>46210</v>
      </c>
      <c r="P255" t="s">
        <v>519</v>
      </c>
      <c r="Q255" t="s">
        <v>542</v>
      </c>
      <c r="R255" t="s">
        <v>55</v>
      </c>
      <c r="S255" s="1">
        <v>46210</v>
      </c>
      <c r="T255" s="1">
        <v>46210</v>
      </c>
      <c r="V255">
        <v>0</v>
      </c>
      <c r="W255">
        <v>0</v>
      </c>
      <c r="X255">
        <v>0</v>
      </c>
      <c r="Y255">
        <v>0</v>
      </c>
      <c r="Z255">
        <v>1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</row>
    <row r="256" spans="1:33" x14ac:dyDescent="0.25">
      <c r="A256">
        <v>350</v>
      </c>
      <c r="B256" t="s">
        <v>543</v>
      </c>
      <c r="C256" t="s">
        <v>521</v>
      </c>
      <c r="D256" t="s">
        <v>544</v>
      </c>
      <c r="E256" t="s">
        <v>201</v>
      </c>
      <c r="F256" s="2">
        <v>46209</v>
      </c>
      <c r="G256" s="2">
        <v>46218</v>
      </c>
      <c r="H256" s="4">
        <v>0</v>
      </c>
      <c r="L256" t="s">
        <v>144</v>
      </c>
      <c r="M256" t="s">
        <v>296</v>
      </c>
      <c r="N256" s="1">
        <v>46198</v>
      </c>
      <c r="P256" t="s">
        <v>519</v>
      </c>
      <c r="Q256" t="s">
        <v>138</v>
      </c>
      <c r="R256" t="s">
        <v>39</v>
      </c>
      <c r="S256" s="1">
        <v>46188</v>
      </c>
      <c r="T256" s="1">
        <v>46198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</row>
    <row r="257" spans="1:33" x14ac:dyDescent="0.25">
      <c r="A257">
        <v>351</v>
      </c>
      <c r="B257" t="s">
        <v>545</v>
      </c>
      <c r="C257" t="s">
        <v>546</v>
      </c>
      <c r="D257" t="s">
        <v>94</v>
      </c>
      <c r="E257" t="s">
        <v>95</v>
      </c>
      <c r="F257" s="2">
        <v>46209</v>
      </c>
      <c r="G257" s="2">
        <v>46211</v>
      </c>
      <c r="H257" s="4">
        <v>0</v>
      </c>
      <c r="J257" t="s">
        <v>547</v>
      </c>
      <c r="K257" t="s">
        <v>548</v>
      </c>
      <c r="L257" t="s">
        <v>144</v>
      </c>
      <c r="M257" t="s">
        <v>296</v>
      </c>
      <c r="N257" s="1">
        <v>46192</v>
      </c>
      <c r="P257" t="s">
        <v>519</v>
      </c>
      <c r="Q257" t="s">
        <v>138</v>
      </c>
      <c r="R257" t="s">
        <v>39</v>
      </c>
      <c r="S257" s="1">
        <v>46188</v>
      </c>
      <c r="T257" s="1">
        <v>46192</v>
      </c>
      <c r="V257">
        <v>0</v>
      </c>
      <c r="W257">
        <v>1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</row>
    <row r="258" spans="1:33" x14ac:dyDescent="0.25">
      <c r="A258">
        <v>352</v>
      </c>
      <c r="B258" t="s">
        <v>549</v>
      </c>
      <c r="C258" t="s">
        <v>546</v>
      </c>
      <c r="D258" t="s">
        <v>98</v>
      </c>
      <c r="E258" t="s">
        <v>53</v>
      </c>
      <c r="F258" s="2">
        <v>46216</v>
      </c>
      <c r="G258" s="2">
        <v>46216</v>
      </c>
      <c r="H258" s="4">
        <v>0</v>
      </c>
      <c r="J258">
        <v>351</v>
      </c>
      <c r="K258">
        <v>353</v>
      </c>
      <c r="L258" t="s">
        <v>144</v>
      </c>
      <c r="M258" t="s">
        <v>223</v>
      </c>
      <c r="N258" s="1">
        <v>46195</v>
      </c>
      <c r="P258" t="s">
        <v>519</v>
      </c>
      <c r="Q258" t="s">
        <v>146</v>
      </c>
      <c r="R258" t="s">
        <v>55</v>
      </c>
      <c r="S258" s="1">
        <v>46195</v>
      </c>
      <c r="T258" s="1">
        <v>46195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</row>
    <row r="259" spans="1:33" x14ac:dyDescent="0.25">
      <c r="A259">
        <v>353</v>
      </c>
      <c r="B259" t="s">
        <v>550</v>
      </c>
      <c r="C259" t="s">
        <v>546</v>
      </c>
      <c r="D259" t="s">
        <v>102</v>
      </c>
      <c r="E259" t="s">
        <v>53</v>
      </c>
      <c r="F259" s="2">
        <v>46217</v>
      </c>
      <c r="G259" s="2">
        <v>46217</v>
      </c>
      <c r="H259" s="4">
        <v>0</v>
      </c>
      <c r="J259">
        <v>352</v>
      </c>
      <c r="K259">
        <v>354</v>
      </c>
      <c r="L259" t="s">
        <v>144</v>
      </c>
      <c r="M259" t="s">
        <v>418</v>
      </c>
      <c r="N259" s="1">
        <v>46197</v>
      </c>
      <c r="P259" t="s">
        <v>519</v>
      </c>
      <c r="Q259" t="s">
        <v>146</v>
      </c>
      <c r="R259" t="s">
        <v>55</v>
      </c>
      <c r="S259" s="1">
        <v>46196</v>
      </c>
      <c r="T259" s="1">
        <v>46197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</row>
    <row r="260" spans="1:33" x14ac:dyDescent="0.25">
      <c r="A260">
        <v>354</v>
      </c>
      <c r="B260" t="s">
        <v>551</v>
      </c>
      <c r="C260" t="s">
        <v>546</v>
      </c>
      <c r="D260" t="s">
        <v>108</v>
      </c>
      <c r="E260" t="s">
        <v>53</v>
      </c>
      <c r="F260" s="2">
        <v>46218</v>
      </c>
      <c r="G260" s="2">
        <v>46218</v>
      </c>
      <c r="H260" s="4">
        <v>0</v>
      </c>
      <c r="J260">
        <v>353</v>
      </c>
      <c r="L260" t="s">
        <v>144</v>
      </c>
      <c r="M260" t="s">
        <v>532</v>
      </c>
      <c r="N260" s="1">
        <v>46198</v>
      </c>
      <c r="P260" t="s">
        <v>519</v>
      </c>
      <c r="Q260" t="s">
        <v>146</v>
      </c>
      <c r="R260" t="s">
        <v>55</v>
      </c>
      <c r="S260" s="1">
        <v>46198</v>
      </c>
      <c r="T260" s="1">
        <v>46198</v>
      </c>
      <c r="V260">
        <v>0</v>
      </c>
      <c r="W260">
        <v>0</v>
      </c>
      <c r="X260">
        <v>0</v>
      </c>
      <c r="Y260">
        <v>0</v>
      </c>
      <c r="Z260">
        <v>1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</row>
    <row r="261" spans="1:33" x14ac:dyDescent="0.25">
      <c r="A261">
        <v>355</v>
      </c>
      <c r="B261" t="s">
        <v>552</v>
      </c>
      <c r="C261" t="s">
        <v>521</v>
      </c>
      <c r="D261" t="s">
        <v>553</v>
      </c>
      <c r="E261" t="s">
        <v>136</v>
      </c>
      <c r="F261" s="2">
        <v>46218</v>
      </c>
      <c r="G261" s="2">
        <v>46227</v>
      </c>
      <c r="H261" s="4">
        <v>0</v>
      </c>
      <c r="L261" t="s">
        <v>144</v>
      </c>
      <c r="M261" t="s">
        <v>532</v>
      </c>
      <c r="N261" s="1">
        <v>46211</v>
      </c>
      <c r="P261" t="s">
        <v>519</v>
      </c>
      <c r="Q261" t="s">
        <v>151</v>
      </c>
      <c r="R261" t="s">
        <v>55</v>
      </c>
      <c r="S261" s="1">
        <v>46198</v>
      </c>
      <c r="T261" s="1">
        <v>46211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</row>
    <row r="262" spans="1:33" x14ac:dyDescent="0.25">
      <c r="A262">
        <v>356</v>
      </c>
      <c r="B262" t="s">
        <v>554</v>
      </c>
      <c r="C262" t="s">
        <v>555</v>
      </c>
      <c r="D262" t="s">
        <v>94</v>
      </c>
      <c r="E262" t="s">
        <v>556</v>
      </c>
      <c r="F262" s="2">
        <v>46218</v>
      </c>
      <c r="G262" s="2">
        <v>46224</v>
      </c>
      <c r="H262" s="4">
        <v>0</v>
      </c>
      <c r="J262">
        <v>338</v>
      </c>
      <c r="K262">
        <v>357</v>
      </c>
      <c r="L262" t="s">
        <v>144</v>
      </c>
      <c r="M262" t="s">
        <v>532</v>
      </c>
      <c r="N262" s="1">
        <v>46205</v>
      </c>
      <c r="P262" t="s">
        <v>519</v>
      </c>
      <c r="Q262" t="s">
        <v>151</v>
      </c>
      <c r="R262" t="s">
        <v>55</v>
      </c>
      <c r="S262" s="1">
        <v>46198</v>
      </c>
      <c r="T262" s="1">
        <v>46205</v>
      </c>
      <c r="V262">
        <v>0</v>
      </c>
      <c r="W262">
        <v>1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</row>
    <row r="263" spans="1:33" x14ac:dyDescent="0.25">
      <c r="A263">
        <v>357</v>
      </c>
      <c r="B263" t="s">
        <v>557</v>
      </c>
      <c r="C263" t="s">
        <v>555</v>
      </c>
      <c r="D263" t="s">
        <v>98</v>
      </c>
      <c r="E263" t="s">
        <v>53</v>
      </c>
      <c r="F263" s="2">
        <v>46224</v>
      </c>
      <c r="G263" s="2">
        <v>46225</v>
      </c>
      <c r="H263" s="4">
        <v>0</v>
      </c>
      <c r="J263">
        <v>356</v>
      </c>
      <c r="K263">
        <v>358</v>
      </c>
      <c r="L263" t="s">
        <v>144</v>
      </c>
      <c r="M263" t="s">
        <v>159</v>
      </c>
      <c r="N263" s="1">
        <v>46206</v>
      </c>
      <c r="P263" t="s">
        <v>519</v>
      </c>
      <c r="Q263" t="s">
        <v>193</v>
      </c>
      <c r="R263" t="s">
        <v>55</v>
      </c>
      <c r="S263" s="1">
        <v>46206</v>
      </c>
      <c r="T263" s="1">
        <v>46206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</row>
    <row r="264" spans="1:33" x14ac:dyDescent="0.25">
      <c r="A264">
        <v>358</v>
      </c>
      <c r="B264" t="s">
        <v>558</v>
      </c>
      <c r="C264" t="s">
        <v>555</v>
      </c>
      <c r="D264" t="s">
        <v>102</v>
      </c>
      <c r="E264" t="s">
        <v>53</v>
      </c>
      <c r="F264" s="2">
        <v>46225</v>
      </c>
      <c r="G264" s="2">
        <v>46226</v>
      </c>
      <c r="H264" s="4">
        <v>0</v>
      </c>
      <c r="J264">
        <v>357</v>
      </c>
      <c r="K264">
        <v>359</v>
      </c>
      <c r="L264" t="s">
        <v>144</v>
      </c>
      <c r="M264" t="s">
        <v>161</v>
      </c>
      <c r="N264" s="1">
        <v>46210</v>
      </c>
      <c r="P264" t="s">
        <v>519</v>
      </c>
      <c r="Q264" t="s">
        <v>193</v>
      </c>
      <c r="R264" t="s">
        <v>55</v>
      </c>
      <c r="S264" s="1">
        <v>46209</v>
      </c>
      <c r="T264" s="1">
        <v>46210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</row>
    <row r="265" spans="1:33" x14ac:dyDescent="0.25">
      <c r="A265">
        <v>359</v>
      </c>
      <c r="B265" t="s">
        <v>559</v>
      </c>
      <c r="C265" t="s">
        <v>555</v>
      </c>
      <c r="D265" t="s">
        <v>108</v>
      </c>
      <c r="E265" t="s">
        <v>53</v>
      </c>
      <c r="F265" s="2">
        <v>46226</v>
      </c>
      <c r="G265" s="2">
        <v>46227</v>
      </c>
      <c r="H265" s="4">
        <v>0</v>
      </c>
      <c r="J265">
        <v>358</v>
      </c>
      <c r="L265" t="s">
        <v>144</v>
      </c>
      <c r="M265" t="s">
        <v>163</v>
      </c>
      <c r="N265" s="1">
        <v>46211</v>
      </c>
      <c r="P265" t="s">
        <v>519</v>
      </c>
      <c r="Q265" t="s">
        <v>542</v>
      </c>
      <c r="R265" t="s">
        <v>55</v>
      </c>
      <c r="S265" s="1">
        <v>46211</v>
      </c>
      <c r="T265" s="1">
        <v>46211</v>
      </c>
      <c r="V265">
        <v>0</v>
      </c>
      <c r="W265">
        <v>0</v>
      </c>
      <c r="X265">
        <v>0</v>
      </c>
      <c r="Y265">
        <v>0</v>
      </c>
      <c r="Z265">
        <v>1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</row>
    <row r="266" spans="1:33" x14ac:dyDescent="0.25">
      <c r="A266">
        <v>360</v>
      </c>
      <c r="B266" t="s">
        <v>560</v>
      </c>
      <c r="C266" t="s">
        <v>521</v>
      </c>
      <c r="D266" t="s">
        <v>561</v>
      </c>
      <c r="E266" t="s">
        <v>136</v>
      </c>
      <c r="F266" s="2">
        <v>46218</v>
      </c>
      <c r="G266" s="2">
        <v>46227</v>
      </c>
      <c r="H266" s="4">
        <v>0</v>
      </c>
      <c r="L266" t="s">
        <v>144</v>
      </c>
      <c r="M266" t="s">
        <v>532</v>
      </c>
      <c r="N266" s="1">
        <v>46211</v>
      </c>
      <c r="P266" t="s">
        <v>519</v>
      </c>
      <c r="Q266" t="s">
        <v>151</v>
      </c>
      <c r="R266" t="s">
        <v>55</v>
      </c>
      <c r="S266" s="1">
        <v>46198</v>
      </c>
      <c r="T266" s="1">
        <v>46211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</row>
    <row r="267" spans="1:33" x14ac:dyDescent="0.25">
      <c r="A267">
        <v>361</v>
      </c>
      <c r="B267" t="s">
        <v>562</v>
      </c>
      <c r="C267" t="s">
        <v>563</v>
      </c>
      <c r="D267" t="s">
        <v>94</v>
      </c>
      <c r="E267" t="s">
        <v>556</v>
      </c>
      <c r="F267" s="2">
        <v>46218</v>
      </c>
      <c r="G267" s="2">
        <v>46224</v>
      </c>
      <c r="H267" s="4">
        <v>0</v>
      </c>
      <c r="J267">
        <v>338</v>
      </c>
      <c r="K267">
        <v>362</v>
      </c>
      <c r="L267" t="s">
        <v>144</v>
      </c>
      <c r="M267" t="s">
        <v>532</v>
      </c>
      <c r="N267" s="1">
        <v>46205</v>
      </c>
      <c r="P267" t="s">
        <v>519</v>
      </c>
      <c r="Q267" t="s">
        <v>151</v>
      </c>
      <c r="R267" t="s">
        <v>55</v>
      </c>
      <c r="S267" s="1">
        <v>46198</v>
      </c>
      <c r="T267" s="1">
        <v>46205</v>
      </c>
      <c r="V267">
        <v>0</v>
      </c>
      <c r="W267">
        <v>1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</row>
    <row r="268" spans="1:33" x14ac:dyDescent="0.25">
      <c r="A268">
        <v>362</v>
      </c>
      <c r="B268" t="s">
        <v>564</v>
      </c>
      <c r="C268" t="s">
        <v>563</v>
      </c>
      <c r="D268" t="s">
        <v>98</v>
      </c>
      <c r="E268" t="s">
        <v>53</v>
      </c>
      <c r="F268" s="2">
        <v>46224</v>
      </c>
      <c r="G268" s="2">
        <v>46225</v>
      </c>
      <c r="H268" s="4">
        <v>0</v>
      </c>
      <c r="J268">
        <v>361</v>
      </c>
      <c r="K268">
        <v>363</v>
      </c>
      <c r="L268" t="s">
        <v>144</v>
      </c>
      <c r="M268" t="s">
        <v>159</v>
      </c>
      <c r="N268" s="1">
        <v>46206</v>
      </c>
      <c r="P268" t="s">
        <v>519</v>
      </c>
      <c r="Q268" t="s">
        <v>193</v>
      </c>
      <c r="R268" t="s">
        <v>55</v>
      </c>
      <c r="S268" s="1">
        <v>46206</v>
      </c>
      <c r="T268" s="1">
        <v>46206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</row>
    <row r="269" spans="1:33" x14ac:dyDescent="0.25">
      <c r="A269">
        <v>363</v>
      </c>
      <c r="B269" t="s">
        <v>565</v>
      </c>
      <c r="C269" t="s">
        <v>563</v>
      </c>
      <c r="D269" t="s">
        <v>102</v>
      </c>
      <c r="E269" t="s">
        <v>53</v>
      </c>
      <c r="F269" s="2">
        <v>46225</v>
      </c>
      <c r="G269" s="2">
        <v>46226</v>
      </c>
      <c r="H269" s="4">
        <v>0</v>
      </c>
      <c r="J269">
        <v>362</v>
      </c>
      <c r="K269">
        <v>364</v>
      </c>
      <c r="L269" t="s">
        <v>144</v>
      </c>
      <c r="M269" t="s">
        <v>161</v>
      </c>
      <c r="N269" s="1">
        <v>46210</v>
      </c>
      <c r="P269" t="s">
        <v>519</v>
      </c>
      <c r="Q269" t="s">
        <v>193</v>
      </c>
      <c r="R269" t="s">
        <v>55</v>
      </c>
      <c r="S269" s="1">
        <v>46209</v>
      </c>
      <c r="T269" s="1">
        <v>46210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</row>
    <row r="270" spans="1:33" x14ac:dyDescent="0.25">
      <c r="A270">
        <v>364</v>
      </c>
      <c r="B270" t="s">
        <v>566</v>
      </c>
      <c r="C270" t="s">
        <v>563</v>
      </c>
      <c r="D270" t="s">
        <v>108</v>
      </c>
      <c r="E270" t="s">
        <v>53</v>
      </c>
      <c r="F270" s="2">
        <v>46226</v>
      </c>
      <c r="G270" s="2">
        <v>46227</v>
      </c>
      <c r="H270" s="4">
        <v>0</v>
      </c>
      <c r="J270">
        <v>363</v>
      </c>
      <c r="L270" t="s">
        <v>144</v>
      </c>
      <c r="M270" t="s">
        <v>163</v>
      </c>
      <c r="N270" s="1">
        <v>46211</v>
      </c>
      <c r="P270" t="s">
        <v>519</v>
      </c>
      <c r="Q270" t="s">
        <v>542</v>
      </c>
      <c r="R270" t="s">
        <v>55</v>
      </c>
      <c r="S270" s="1">
        <v>46211</v>
      </c>
      <c r="T270" s="1">
        <v>46211</v>
      </c>
      <c r="V270">
        <v>0</v>
      </c>
      <c r="W270">
        <v>0</v>
      </c>
      <c r="X270">
        <v>0</v>
      </c>
      <c r="Y270">
        <v>0</v>
      </c>
      <c r="Z270">
        <v>1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</row>
    <row r="271" spans="1:33" x14ac:dyDescent="0.25">
      <c r="A271">
        <v>365</v>
      </c>
      <c r="B271" t="s">
        <v>567</v>
      </c>
      <c r="C271" t="s">
        <v>521</v>
      </c>
      <c r="D271" t="s">
        <v>568</v>
      </c>
      <c r="E271" t="s">
        <v>136</v>
      </c>
      <c r="F271" s="2">
        <v>46218</v>
      </c>
      <c r="G271" s="2">
        <v>46227</v>
      </c>
      <c r="H271" s="4">
        <v>0</v>
      </c>
      <c r="L271" t="s">
        <v>144</v>
      </c>
      <c r="M271" t="s">
        <v>532</v>
      </c>
      <c r="N271" s="1">
        <v>46211</v>
      </c>
      <c r="P271" t="s">
        <v>519</v>
      </c>
      <c r="Q271" t="s">
        <v>151</v>
      </c>
      <c r="R271" t="s">
        <v>55</v>
      </c>
      <c r="S271" s="1">
        <v>46198</v>
      </c>
      <c r="T271" s="1">
        <v>46211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</row>
    <row r="272" spans="1:33" x14ac:dyDescent="0.25">
      <c r="A272">
        <v>366</v>
      </c>
      <c r="B272" t="s">
        <v>569</v>
      </c>
      <c r="C272" t="s">
        <v>570</v>
      </c>
      <c r="D272" t="s">
        <v>94</v>
      </c>
      <c r="E272" t="s">
        <v>556</v>
      </c>
      <c r="F272" s="2">
        <v>46218</v>
      </c>
      <c r="G272" s="2">
        <v>46224</v>
      </c>
      <c r="H272" s="4">
        <v>0</v>
      </c>
      <c r="J272">
        <v>338</v>
      </c>
      <c r="K272">
        <v>367</v>
      </c>
      <c r="L272" t="s">
        <v>144</v>
      </c>
      <c r="M272" t="s">
        <v>532</v>
      </c>
      <c r="N272" s="1">
        <v>46205</v>
      </c>
      <c r="P272" t="s">
        <v>519</v>
      </c>
      <c r="Q272" t="s">
        <v>151</v>
      </c>
      <c r="R272" t="s">
        <v>55</v>
      </c>
      <c r="S272" s="1">
        <v>46198</v>
      </c>
      <c r="T272" s="1">
        <v>46205</v>
      </c>
      <c r="V272">
        <v>0</v>
      </c>
      <c r="W272">
        <v>1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</row>
    <row r="273" spans="1:33" x14ac:dyDescent="0.25">
      <c r="A273">
        <v>367</v>
      </c>
      <c r="B273" t="s">
        <v>571</v>
      </c>
      <c r="C273" t="s">
        <v>570</v>
      </c>
      <c r="D273" t="s">
        <v>98</v>
      </c>
      <c r="E273" t="s">
        <v>53</v>
      </c>
      <c r="F273" s="2">
        <v>46224</v>
      </c>
      <c r="G273" s="2">
        <v>46225</v>
      </c>
      <c r="H273" s="4">
        <v>0</v>
      </c>
      <c r="J273">
        <v>366</v>
      </c>
      <c r="K273">
        <v>368</v>
      </c>
      <c r="L273" t="s">
        <v>144</v>
      </c>
      <c r="M273" t="s">
        <v>159</v>
      </c>
      <c r="N273" s="1">
        <v>46206</v>
      </c>
      <c r="P273" t="s">
        <v>519</v>
      </c>
      <c r="Q273" t="s">
        <v>193</v>
      </c>
      <c r="R273" t="s">
        <v>55</v>
      </c>
      <c r="S273" s="1">
        <v>46206</v>
      </c>
      <c r="T273" s="1">
        <v>46206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</row>
    <row r="274" spans="1:33" x14ac:dyDescent="0.25">
      <c r="A274">
        <v>368</v>
      </c>
      <c r="B274" t="s">
        <v>572</v>
      </c>
      <c r="C274" t="s">
        <v>570</v>
      </c>
      <c r="D274" t="s">
        <v>102</v>
      </c>
      <c r="E274" t="s">
        <v>53</v>
      </c>
      <c r="F274" s="2">
        <v>46225</v>
      </c>
      <c r="G274" s="2">
        <v>46226</v>
      </c>
      <c r="H274" s="4">
        <v>0</v>
      </c>
      <c r="J274">
        <v>367</v>
      </c>
      <c r="K274">
        <v>369</v>
      </c>
      <c r="L274" t="s">
        <v>144</v>
      </c>
      <c r="M274" t="s">
        <v>161</v>
      </c>
      <c r="N274" s="1">
        <v>46210</v>
      </c>
      <c r="P274" t="s">
        <v>519</v>
      </c>
      <c r="Q274" t="s">
        <v>193</v>
      </c>
      <c r="R274" t="s">
        <v>55</v>
      </c>
      <c r="S274" s="1">
        <v>46209</v>
      </c>
      <c r="T274" s="1">
        <v>46210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</row>
    <row r="275" spans="1:33" x14ac:dyDescent="0.25">
      <c r="A275">
        <v>369</v>
      </c>
      <c r="B275" t="s">
        <v>573</v>
      </c>
      <c r="C275" t="s">
        <v>570</v>
      </c>
      <c r="D275" t="s">
        <v>108</v>
      </c>
      <c r="E275" t="s">
        <v>53</v>
      </c>
      <c r="F275" s="2">
        <v>46226</v>
      </c>
      <c r="G275" s="2">
        <v>46227</v>
      </c>
      <c r="H275" s="4">
        <v>0</v>
      </c>
      <c r="J275">
        <v>368</v>
      </c>
      <c r="L275" t="s">
        <v>144</v>
      </c>
      <c r="M275" t="s">
        <v>163</v>
      </c>
      <c r="N275" s="1">
        <v>46211</v>
      </c>
      <c r="P275" t="s">
        <v>519</v>
      </c>
      <c r="Q275" t="s">
        <v>542</v>
      </c>
      <c r="R275" t="s">
        <v>55</v>
      </c>
      <c r="S275" s="1">
        <v>46211</v>
      </c>
      <c r="T275" s="1">
        <v>46211</v>
      </c>
      <c r="V275">
        <v>0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</row>
    <row r="276" spans="1:33" x14ac:dyDescent="0.25">
      <c r="A276">
        <v>370</v>
      </c>
      <c r="B276" t="s">
        <v>574</v>
      </c>
      <c r="C276" t="s">
        <v>521</v>
      </c>
      <c r="D276" t="s">
        <v>575</v>
      </c>
      <c r="E276" t="s">
        <v>136</v>
      </c>
      <c r="F276" s="2">
        <v>46218</v>
      </c>
      <c r="G276" s="2">
        <v>46227</v>
      </c>
      <c r="H276" s="4">
        <v>0</v>
      </c>
      <c r="L276" t="s">
        <v>144</v>
      </c>
      <c r="M276" t="s">
        <v>532</v>
      </c>
      <c r="N276" s="1">
        <v>46211</v>
      </c>
      <c r="P276" t="s">
        <v>519</v>
      </c>
      <c r="Q276" t="s">
        <v>151</v>
      </c>
      <c r="R276" t="s">
        <v>55</v>
      </c>
      <c r="S276" s="1">
        <v>46198</v>
      </c>
      <c r="T276" s="1">
        <v>46211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</row>
    <row r="277" spans="1:33" x14ac:dyDescent="0.25">
      <c r="A277">
        <v>371</v>
      </c>
      <c r="B277" t="s">
        <v>576</v>
      </c>
      <c r="C277" t="s">
        <v>577</v>
      </c>
      <c r="D277" t="s">
        <v>94</v>
      </c>
      <c r="E277" t="s">
        <v>556</v>
      </c>
      <c r="F277" s="2">
        <v>46218</v>
      </c>
      <c r="G277" s="2">
        <v>46224</v>
      </c>
      <c r="H277" s="4">
        <v>0</v>
      </c>
      <c r="J277">
        <v>338</v>
      </c>
      <c r="K277">
        <v>372</v>
      </c>
      <c r="L277" t="s">
        <v>144</v>
      </c>
      <c r="M277" t="s">
        <v>532</v>
      </c>
      <c r="N277" s="1">
        <v>46205</v>
      </c>
      <c r="P277" t="s">
        <v>519</v>
      </c>
      <c r="Q277" t="s">
        <v>151</v>
      </c>
      <c r="R277" t="s">
        <v>55</v>
      </c>
      <c r="S277" s="1">
        <v>46198</v>
      </c>
      <c r="T277" s="1">
        <v>46205</v>
      </c>
      <c r="V277">
        <v>0</v>
      </c>
      <c r="W277">
        <v>1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</row>
    <row r="278" spans="1:33" x14ac:dyDescent="0.25">
      <c r="A278">
        <v>372</v>
      </c>
      <c r="B278" t="s">
        <v>578</v>
      </c>
      <c r="C278" t="s">
        <v>577</v>
      </c>
      <c r="D278" t="s">
        <v>98</v>
      </c>
      <c r="E278" t="s">
        <v>53</v>
      </c>
      <c r="F278" s="2">
        <v>46224</v>
      </c>
      <c r="G278" s="2">
        <v>46225</v>
      </c>
      <c r="H278" s="4">
        <v>0</v>
      </c>
      <c r="J278">
        <v>371</v>
      </c>
      <c r="K278">
        <v>373</v>
      </c>
      <c r="L278" t="s">
        <v>144</v>
      </c>
      <c r="M278" t="s">
        <v>159</v>
      </c>
      <c r="N278" s="1">
        <v>46206</v>
      </c>
      <c r="P278" t="s">
        <v>519</v>
      </c>
      <c r="Q278" t="s">
        <v>193</v>
      </c>
      <c r="R278" t="s">
        <v>55</v>
      </c>
      <c r="S278" s="1">
        <v>46206</v>
      </c>
      <c r="T278" s="1">
        <v>46206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</row>
    <row r="279" spans="1:33" x14ac:dyDescent="0.25">
      <c r="A279">
        <v>373</v>
      </c>
      <c r="B279" t="s">
        <v>579</v>
      </c>
      <c r="C279" t="s">
        <v>577</v>
      </c>
      <c r="D279" t="s">
        <v>102</v>
      </c>
      <c r="E279" t="s">
        <v>53</v>
      </c>
      <c r="F279" s="2">
        <v>46225</v>
      </c>
      <c r="G279" s="2">
        <v>46226</v>
      </c>
      <c r="H279" s="4">
        <v>0</v>
      </c>
      <c r="J279">
        <v>372</v>
      </c>
      <c r="K279">
        <v>374</v>
      </c>
      <c r="L279" t="s">
        <v>144</v>
      </c>
      <c r="M279" t="s">
        <v>161</v>
      </c>
      <c r="N279" s="1">
        <v>46210</v>
      </c>
      <c r="P279" t="s">
        <v>519</v>
      </c>
      <c r="Q279" t="s">
        <v>193</v>
      </c>
      <c r="R279" t="s">
        <v>55</v>
      </c>
      <c r="S279" s="1">
        <v>46209</v>
      </c>
      <c r="T279" s="1">
        <v>46210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</row>
    <row r="280" spans="1:33" x14ac:dyDescent="0.25">
      <c r="A280">
        <v>374</v>
      </c>
      <c r="B280" t="s">
        <v>580</v>
      </c>
      <c r="C280" t="s">
        <v>577</v>
      </c>
      <c r="D280" t="s">
        <v>108</v>
      </c>
      <c r="E280" t="s">
        <v>53</v>
      </c>
      <c r="F280" s="2">
        <v>46226</v>
      </c>
      <c r="G280" s="2">
        <v>46227</v>
      </c>
      <c r="H280" s="4">
        <v>0</v>
      </c>
      <c r="J280">
        <v>373</v>
      </c>
      <c r="L280" t="s">
        <v>144</v>
      </c>
      <c r="M280" t="s">
        <v>163</v>
      </c>
      <c r="N280" s="1">
        <v>46211</v>
      </c>
      <c r="P280" t="s">
        <v>519</v>
      </c>
      <c r="Q280" t="s">
        <v>542</v>
      </c>
      <c r="R280" t="s">
        <v>55</v>
      </c>
      <c r="S280" s="1">
        <v>46211</v>
      </c>
      <c r="T280" s="1">
        <v>46211</v>
      </c>
      <c r="V280">
        <v>0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</row>
    <row r="281" spans="1:33" x14ac:dyDescent="0.25">
      <c r="A281">
        <v>375</v>
      </c>
      <c r="B281" t="s">
        <v>581</v>
      </c>
      <c r="C281" t="s">
        <v>521</v>
      </c>
      <c r="D281" t="s">
        <v>582</v>
      </c>
      <c r="E281" t="s">
        <v>136</v>
      </c>
      <c r="F281" s="2">
        <v>46218</v>
      </c>
      <c r="G281" s="2">
        <v>46227</v>
      </c>
      <c r="H281" s="4">
        <v>0</v>
      </c>
      <c r="L281" t="s">
        <v>144</v>
      </c>
      <c r="M281" t="s">
        <v>532</v>
      </c>
      <c r="N281" s="1">
        <v>46211</v>
      </c>
      <c r="P281" t="s">
        <v>519</v>
      </c>
      <c r="Q281" t="s">
        <v>151</v>
      </c>
      <c r="R281" t="s">
        <v>55</v>
      </c>
      <c r="S281" s="1">
        <v>46198</v>
      </c>
      <c r="T281" s="1">
        <v>46211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</row>
    <row r="282" spans="1:33" x14ac:dyDescent="0.25">
      <c r="A282">
        <v>376</v>
      </c>
      <c r="B282" t="s">
        <v>583</v>
      </c>
      <c r="C282" t="s">
        <v>584</v>
      </c>
      <c r="D282" t="s">
        <v>94</v>
      </c>
      <c r="E282" t="s">
        <v>556</v>
      </c>
      <c r="F282" s="2">
        <v>46218</v>
      </c>
      <c r="G282" s="2">
        <v>46224</v>
      </c>
      <c r="H282" s="4">
        <v>0</v>
      </c>
      <c r="J282">
        <v>338</v>
      </c>
      <c r="K282">
        <v>377</v>
      </c>
      <c r="L282" t="s">
        <v>144</v>
      </c>
      <c r="M282" t="s">
        <v>532</v>
      </c>
      <c r="N282" s="1">
        <v>46205</v>
      </c>
      <c r="P282" t="s">
        <v>519</v>
      </c>
      <c r="Q282" t="s">
        <v>151</v>
      </c>
      <c r="R282" t="s">
        <v>55</v>
      </c>
      <c r="S282" s="1">
        <v>46198</v>
      </c>
      <c r="T282" s="1">
        <v>46205</v>
      </c>
      <c r="V282">
        <v>0</v>
      </c>
      <c r="W282">
        <v>1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</row>
    <row r="283" spans="1:33" x14ac:dyDescent="0.25">
      <c r="A283">
        <v>377</v>
      </c>
      <c r="B283" t="s">
        <v>585</v>
      </c>
      <c r="C283" t="s">
        <v>584</v>
      </c>
      <c r="D283" t="s">
        <v>98</v>
      </c>
      <c r="E283" t="s">
        <v>53</v>
      </c>
      <c r="F283" s="2">
        <v>46224</v>
      </c>
      <c r="G283" s="2">
        <v>46225</v>
      </c>
      <c r="H283" s="4">
        <v>0</v>
      </c>
      <c r="J283">
        <v>376</v>
      </c>
      <c r="K283">
        <v>378</v>
      </c>
      <c r="L283" t="s">
        <v>144</v>
      </c>
      <c r="M283" t="s">
        <v>159</v>
      </c>
      <c r="N283" s="1">
        <v>46206</v>
      </c>
      <c r="P283" t="s">
        <v>519</v>
      </c>
      <c r="Q283" t="s">
        <v>193</v>
      </c>
      <c r="R283" t="s">
        <v>55</v>
      </c>
      <c r="S283" s="1">
        <v>46206</v>
      </c>
      <c r="T283" s="1">
        <v>46206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</row>
    <row r="284" spans="1:33" x14ac:dyDescent="0.25">
      <c r="A284">
        <v>378</v>
      </c>
      <c r="B284" t="s">
        <v>586</v>
      </c>
      <c r="C284" t="s">
        <v>584</v>
      </c>
      <c r="D284" t="s">
        <v>102</v>
      </c>
      <c r="E284" t="s">
        <v>53</v>
      </c>
      <c r="F284" s="2">
        <v>46225</v>
      </c>
      <c r="G284" s="2">
        <v>46226</v>
      </c>
      <c r="H284" s="4">
        <v>0</v>
      </c>
      <c r="J284">
        <v>377</v>
      </c>
      <c r="K284">
        <v>379</v>
      </c>
      <c r="L284" t="s">
        <v>144</v>
      </c>
      <c r="M284" t="s">
        <v>161</v>
      </c>
      <c r="N284" s="1">
        <v>46210</v>
      </c>
      <c r="P284" t="s">
        <v>519</v>
      </c>
      <c r="Q284" t="s">
        <v>193</v>
      </c>
      <c r="R284" t="s">
        <v>55</v>
      </c>
      <c r="S284" s="1">
        <v>46209</v>
      </c>
      <c r="T284" s="1">
        <v>46210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</row>
    <row r="285" spans="1:33" x14ac:dyDescent="0.25">
      <c r="A285">
        <v>379</v>
      </c>
      <c r="B285" t="s">
        <v>587</v>
      </c>
      <c r="C285" t="s">
        <v>584</v>
      </c>
      <c r="D285" t="s">
        <v>108</v>
      </c>
      <c r="E285" t="s">
        <v>53</v>
      </c>
      <c r="F285" s="2">
        <v>46226</v>
      </c>
      <c r="G285" s="2">
        <v>46227</v>
      </c>
      <c r="H285" s="4">
        <v>0</v>
      </c>
      <c r="J285">
        <v>378</v>
      </c>
      <c r="L285" t="s">
        <v>144</v>
      </c>
      <c r="M285" t="s">
        <v>163</v>
      </c>
      <c r="N285" s="1">
        <v>46211</v>
      </c>
      <c r="P285" t="s">
        <v>519</v>
      </c>
      <c r="Q285" t="s">
        <v>542</v>
      </c>
      <c r="R285" t="s">
        <v>55</v>
      </c>
      <c r="S285" s="1">
        <v>46211</v>
      </c>
      <c r="T285" s="1">
        <v>46211</v>
      </c>
      <c r="V285">
        <v>0</v>
      </c>
      <c r="W285">
        <v>0</v>
      </c>
      <c r="X285">
        <v>0</v>
      </c>
      <c r="Y285">
        <v>0</v>
      </c>
      <c r="Z285">
        <v>1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</row>
    <row r="286" spans="1:33" x14ac:dyDescent="0.25">
      <c r="A286">
        <v>380</v>
      </c>
      <c r="B286" t="s">
        <v>588</v>
      </c>
      <c r="C286" t="s">
        <v>521</v>
      </c>
      <c r="D286" t="s">
        <v>589</v>
      </c>
      <c r="E286" t="s">
        <v>136</v>
      </c>
      <c r="F286" s="2">
        <v>46218</v>
      </c>
      <c r="G286" s="2">
        <v>46227</v>
      </c>
      <c r="H286" s="4">
        <v>0</v>
      </c>
      <c r="L286" t="s">
        <v>144</v>
      </c>
      <c r="M286" t="s">
        <v>532</v>
      </c>
      <c r="N286" s="1">
        <v>46211</v>
      </c>
      <c r="P286" t="s">
        <v>519</v>
      </c>
      <c r="Q286" t="s">
        <v>151</v>
      </c>
      <c r="R286" t="s">
        <v>55</v>
      </c>
      <c r="S286" s="1">
        <v>46198</v>
      </c>
      <c r="T286" s="1">
        <v>46211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</row>
    <row r="287" spans="1:33" x14ac:dyDescent="0.25">
      <c r="A287">
        <v>381</v>
      </c>
      <c r="B287" t="s">
        <v>590</v>
      </c>
      <c r="C287" t="s">
        <v>591</v>
      </c>
      <c r="D287" t="s">
        <v>94</v>
      </c>
      <c r="E287" t="s">
        <v>556</v>
      </c>
      <c r="F287" s="2">
        <v>46218</v>
      </c>
      <c r="G287" s="2">
        <v>46224</v>
      </c>
      <c r="H287" s="4">
        <v>0</v>
      </c>
      <c r="J287">
        <v>338</v>
      </c>
      <c r="K287">
        <v>382</v>
      </c>
      <c r="L287" t="s">
        <v>144</v>
      </c>
      <c r="M287" t="s">
        <v>532</v>
      </c>
      <c r="N287" s="1">
        <v>46205</v>
      </c>
      <c r="P287" t="s">
        <v>519</v>
      </c>
      <c r="Q287" t="s">
        <v>151</v>
      </c>
      <c r="R287" t="s">
        <v>55</v>
      </c>
      <c r="S287" s="1">
        <v>46198</v>
      </c>
      <c r="T287" s="1">
        <v>46205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</row>
    <row r="288" spans="1:33" x14ac:dyDescent="0.25">
      <c r="A288">
        <v>382</v>
      </c>
      <c r="B288" t="s">
        <v>592</v>
      </c>
      <c r="C288" t="s">
        <v>591</v>
      </c>
      <c r="D288" t="s">
        <v>98</v>
      </c>
      <c r="E288" t="s">
        <v>53</v>
      </c>
      <c r="F288" s="2">
        <v>46224</v>
      </c>
      <c r="G288" s="2">
        <v>46225</v>
      </c>
      <c r="H288" s="4">
        <v>0</v>
      </c>
      <c r="J288">
        <v>381</v>
      </c>
      <c r="K288">
        <v>383</v>
      </c>
      <c r="L288" t="s">
        <v>144</v>
      </c>
      <c r="M288" t="s">
        <v>159</v>
      </c>
      <c r="N288" s="1">
        <v>46206</v>
      </c>
      <c r="P288" t="s">
        <v>519</v>
      </c>
      <c r="Q288" t="s">
        <v>193</v>
      </c>
      <c r="R288" t="s">
        <v>55</v>
      </c>
      <c r="S288" s="1">
        <v>46206</v>
      </c>
      <c r="T288" s="1">
        <v>46206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</row>
    <row r="289" spans="1:33" x14ac:dyDescent="0.25">
      <c r="A289">
        <v>383</v>
      </c>
      <c r="B289" t="s">
        <v>593</v>
      </c>
      <c r="C289" t="s">
        <v>591</v>
      </c>
      <c r="D289" t="s">
        <v>102</v>
      </c>
      <c r="E289" t="s">
        <v>53</v>
      </c>
      <c r="F289" s="2">
        <v>46225</v>
      </c>
      <c r="G289" s="2">
        <v>46226</v>
      </c>
      <c r="H289" s="4">
        <v>0</v>
      </c>
      <c r="J289">
        <v>382</v>
      </c>
      <c r="K289">
        <v>384</v>
      </c>
      <c r="L289" t="s">
        <v>144</v>
      </c>
      <c r="M289" t="s">
        <v>161</v>
      </c>
      <c r="N289" s="1">
        <v>46210</v>
      </c>
      <c r="P289" t="s">
        <v>519</v>
      </c>
      <c r="Q289" t="s">
        <v>193</v>
      </c>
      <c r="R289" t="s">
        <v>55</v>
      </c>
      <c r="S289" s="1">
        <v>46209</v>
      </c>
      <c r="T289" s="1">
        <v>46210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</row>
    <row r="290" spans="1:33" x14ac:dyDescent="0.25">
      <c r="A290">
        <v>384</v>
      </c>
      <c r="B290" t="s">
        <v>594</v>
      </c>
      <c r="C290" t="s">
        <v>591</v>
      </c>
      <c r="D290" t="s">
        <v>108</v>
      </c>
      <c r="E290" t="s">
        <v>53</v>
      </c>
      <c r="F290" s="2">
        <v>46226</v>
      </c>
      <c r="G290" s="2">
        <v>46227</v>
      </c>
      <c r="H290" s="4">
        <v>0</v>
      </c>
      <c r="J290">
        <v>383</v>
      </c>
      <c r="L290" t="s">
        <v>144</v>
      </c>
      <c r="M290" t="s">
        <v>163</v>
      </c>
      <c r="N290" s="1">
        <v>46211</v>
      </c>
      <c r="P290" t="s">
        <v>519</v>
      </c>
      <c r="Q290" t="s">
        <v>542</v>
      </c>
      <c r="R290" t="s">
        <v>55</v>
      </c>
      <c r="S290" s="1">
        <v>46211</v>
      </c>
      <c r="T290" s="1">
        <v>46211</v>
      </c>
      <c r="V290">
        <v>0</v>
      </c>
      <c r="W290">
        <v>0</v>
      </c>
      <c r="X290">
        <v>0</v>
      </c>
      <c r="Y290">
        <v>0</v>
      </c>
      <c r="Z290">
        <v>1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</row>
    <row r="291" spans="1:33" x14ac:dyDescent="0.25">
      <c r="A291">
        <v>385</v>
      </c>
      <c r="B291" t="s">
        <v>595</v>
      </c>
      <c r="C291" t="s">
        <v>521</v>
      </c>
      <c r="D291" t="s">
        <v>596</v>
      </c>
      <c r="E291" t="s">
        <v>136</v>
      </c>
      <c r="F291" s="2">
        <v>46218</v>
      </c>
      <c r="G291" s="2">
        <v>46227</v>
      </c>
      <c r="H291" s="4">
        <v>0</v>
      </c>
      <c r="L291" t="s">
        <v>144</v>
      </c>
      <c r="M291" t="s">
        <v>532</v>
      </c>
      <c r="N291" s="1">
        <v>46211</v>
      </c>
      <c r="P291" t="s">
        <v>519</v>
      </c>
      <c r="Q291" t="s">
        <v>151</v>
      </c>
      <c r="R291" t="s">
        <v>55</v>
      </c>
      <c r="S291" s="1">
        <v>46198</v>
      </c>
      <c r="T291" s="1">
        <v>46211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</row>
    <row r="292" spans="1:33" x14ac:dyDescent="0.25">
      <c r="A292">
        <v>386</v>
      </c>
      <c r="B292" t="s">
        <v>597</v>
      </c>
      <c r="C292" t="s">
        <v>598</v>
      </c>
      <c r="D292" t="s">
        <v>94</v>
      </c>
      <c r="E292" t="s">
        <v>556</v>
      </c>
      <c r="F292" s="2">
        <v>46218</v>
      </c>
      <c r="G292" s="2">
        <v>46224</v>
      </c>
      <c r="H292" s="4">
        <v>0</v>
      </c>
      <c r="J292">
        <v>338</v>
      </c>
      <c r="K292">
        <v>387</v>
      </c>
      <c r="L292" t="s">
        <v>144</v>
      </c>
      <c r="M292" t="s">
        <v>532</v>
      </c>
      <c r="N292" s="1">
        <v>46205</v>
      </c>
      <c r="P292" t="s">
        <v>519</v>
      </c>
      <c r="Q292" t="s">
        <v>151</v>
      </c>
      <c r="R292" t="s">
        <v>55</v>
      </c>
      <c r="S292" s="1">
        <v>46198</v>
      </c>
      <c r="T292" s="1">
        <v>46205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</row>
    <row r="293" spans="1:33" x14ac:dyDescent="0.25">
      <c r="A293">
        <v>387</v>
      </c>
      <c r="B293" t="s">
        <v>599</v>
      </c>
      <c r="C293" t="s">
        <v>598</v>
      </c>
      <c r="D293" t="s">
        <v>98</v>
      </c>
      <c r="E293" t="s">
        <v>53</v>
      </c>
      <c r="F293" s="2">
        <v>46224</v>
      </c>
      <c r="G293" s="2">
        <v>46225</v>
      </c>
      <c r="H293" s="4">
        <v>0</v>
      </c>
      <c r="J293">
        <v>386</v>
      </c>
      <c r="K293">
        <v>388</v>
      </c>
      <c r="L293" t="s">
        <v>144</v>
      </c>
      <c r="M293" t="s">
        <v>159</v>
      </c>
      <c r="N293" s="1">
        <v>46206</v>
      </c>
      <c r="P293" t="s">
        <v>519</v>
      </c>
      <c r="Q293" t="s">
        <v>193</v>
      </c>
      <c r="R293" t="s">
        <v>55</v>
      </c>
      <c r="S293" s="1">
        <v>46206</v>
      </c>
      <c r="T293" s="1">
        <v>46206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0</v>
      </c>
    </row>
    <row r="294" spans="1:33" x14ac:dyDescent="0.25">
      <c r="A294">
        <v>388</v>
      </c>
      <c r="B294" t="s">
        <v>600</v>
      </c>
      <c r="C294" t="s">
        <v>598</v>
      </c>
      <c r="D294" t="s">
        <v>102</v>
      </c>
      <c r="E294" t="s">
        <v>53</v>
      </c>
      <c r="F294" s="2">
        <v>46225</v>
      </c>
      <c r="G294" s="2">
        <v>46226</v>
      </c>
      <c r="H294" s="4">
        <v>0</v>
      </c>
      <c r="J294">
        <v>387</v>
      </c>
      <c r="K294">
        <v>389</v>
      </c>
      <c r="L294" t="s">
        <v>144</v>
      </c>
      <c r="M294" t="s">
        <v>161</v>
      </c>
      <c r="N294" s="1">
        <v>46210</v>
      </c>
      <c r="P294" t="s">
        <v>519</v>
      </c>
      <c r="Q294" t="s">
        <v>193</v>
      </c>
      <c r="R294" t="s">
        <v>55</v>
      </c>
      <c r="S294" s="1">
        <v>46209</v>
      </c>
      <c r="T294" s="1">
        <v>46210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0</v>
      </c>
    </row>
    <row r="295" spans="1:33" x14ac:dyDescent="0.25">
      <c r="A295">
        <v>389</v>
      </c>
      <c r="B295" t="s">
        <v>601</v>
      </c>
      <c r="C295" t="s">
        <v>598</v>
      </c>
      <c r="D295" t="s">
        <v>108</v>
      </c>
      <c r="E295" t="s">
        <v>53</v>
      </c>
      <c r="F295" s="2">
        <v>46226</v>
      </c>
      <c r="G295" s="2">
        <v>46227</v>
      </c>
      <c r="H295" s="4">
        <v>0</v>
      </c>
      <c r="J295">
        <v>388</v>
      </c>
      <c r="L295" t="s">
        <v>144</v>
      </c>
      <c r="M295" t="s">
        <v>163</v>
      </c>
      <c r="N295" s="1">
        <v>46211</v>
      </c>
      <c r="P295" t="s">
        <v>519</v>
      </c>
      <c r="Q295" t="s">
        <v>542</v>
      </c>
      <c r="R295" t="s">
        <v>55</v>
      </c>
      <c r="S295" s="1">
        <v>46211</v>
      </c>
      <c r="T295" s="1">
        <v>46211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</row>
    <row r="296" spans="1:33" x14ac:dyDescent="0.25">
      <c r="A296">
        <v>390</v>
      </c>
      <c r="B296" t="s">
        <v>602</v>
      </c>
      <c r="C296" t="s">
        <v>521</v>
      </c>
      <c r="D296" t="s">
        <v>603</v>
      </c>
      <c r="E296" t="s">
        <v>136</v>
      </c>
      <c r="F296" s="2">
        <v>46218</v>
      </c>
      <c r="G296" s="2">
        <v>46227</v>
      </c>
      <c r="H296" s="4">
        <v>0</v>
      </c>
      <c r="L296" t="s">
        <v>144</v>
      </c>
      <c r="M296" t="s">
        <v>532</v>
      </c>
      <c r="N296" s="1">
        <v>46211</v>
      </c>
      <c r="P296" t="s">
        <v>519</v>
      </c>
      <c r="Q296" t="s">
        <v>151</v>
      </c>
      <c r="R296" t="s">
        <v>55</v>
      </c>
      <c r="S296" s="1">
        <v>46198</v>
      </c>
      <c r="T296" s="1">
        <v>46211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</row>
    <row r="297" spans="1:33" x14ac:dyDescent="0.25">
      <c r="A297">
        <v>391</v>
      </c>
      <c r="B297" t="s">
        <v>604</v>
      </c>
      <c r="C297" t="s">
        <v>605</v>
      </c>
      <c r="D297" t="s">
        <v>94</v>
      </c>
      <c r="E297" t="s">
        <v>556</v>
      </c>
      <c r="F297" s="2">
        <v>46218</v>
      </c>
      <c r="G297" s="2">
        <v>46224</v>
      </c>
      <c r="H297" s="4">
        <v>0</v>
      </c>
      <c r="J297">
        <v>338</v>
      </c>
      <c r="K297">
        <v>392</v>
      </c>
      <c r="L297" t="s">
        <v>144</v>
      </c>
      <c r="M297" t="s">
        <v>532</v>
      </c>
      <c r="N297" s="1">
        <v>46205</v>
      </c>
      <c r="P297" t="s">
        <v>519</v>
      </c>
      <c r="Q297" t="s">
        <v>151</v>
      </c>
      <c r="R297" t="s">
        <v>55</v>
      </c>
      <c r="S297" s="1">
        <v>46198</v>
      </c>
      <c r="T297" s="1">
        <v>46205</v>
      </c>
      <c r="V297">
        <v>0</v>
      </c>
      <c r="W297">
        <v>1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</row>
    <row r="298" spans="1:33" x14ac:dyDescent="0.25">
      <c r="A298">
        <v>392</v>
      </c>
      <c r="B298" t="s">
        <v>606</v>
      </c>
      <c r="C298" t="s">
        <v>605</v>
      </c>
      <c r="D298" t="s">
        <v>98</v>
      </c>
      <c r="E298" t="s">
        <v>53</v>
      </c>
      <c r="F298" s="2">
        <v>46224</v>
      </c>
      <c r="G298" s="2">
        <v>46225</v>
      </c>
      <c r="H298" s="4">
        <v>0</v>
      </c>
      <c r="J298">
        <v>391</v>
      </c>
      <c r="K298">
        <v>393</v>
      </c>
      <c r="L298" t="s">
        <v>144</v>
      </c>
      <c r="M298" t="s">
        <v>159</v>
      </c>
      <c r="N298" s="1">
        <v>46206</v>
      </c>
      <c r="P298" t="s">
        <v>519</v>
      </c>
      <c r="Q298" t="s">
        <v>193</v>
      </c>
      <c r="R298" t="s">
        <v>55</v>
      </c>
      <c r="S298" s="1">
        <v>46206</v>
      </c>
      <c r="T298" s="1">
        <v>46206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</row>
    <row r="299" spans="1:33" x14ac:dyDescent="0.25">
      <c r="A299">
        <v>393</v>
      </c>
      <c r="B299" t="s">
        <v>607</v>
      </c>
      <c r="C299" t="s">
        <v>605</v>
      </c>
      <c r="D299" t="s">
        <v>102</v>
      </c>
      <c r="E299" t="s">
        <v>53</v>
      </c>
      <c r="F299" s="2">
        <v>46225</v>
      </c>
      <c r="G299" s="2">
        <v>46226</v>
      </c>
      <c r="H299" s="4">
        <v>0</v>
      </c>
      <c r="J299">
        <v>392</v>
      </c>
      <c r="K299">
        <v>394</v>
      </c>
      <c r="L299" t="s">
        <v>144</v>
      </c>
      <c r="M299" t="s">
        <v>161</v>
      </c>
      <c r="N299" s="1">
        <v>46210</v>
      </c>
      <c r="P299" t="s">
        <v>519</v>
      </c>
      <c r="Q299" t="s">
        <v>193</v>
      </c>
      <c r="R299" t="s">
        <v>55</v>
      </c>
      <c r="S299" s="1">
        <v>46209</v>
      </c>
      <c r="T299" s="1">
        <v>46210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</row>
    <row r="300" spans="1:33" x14ac:dyDescent="0.25">
      <c r="A300">
        <v>394</v>
      </c>
      <c r="B300" t="s">
        <v>608</v>
      </c>
      <c r="C300" t="s">
        <v>605</v>
      </c>
      <c r="D300" t="s">
        <v>108</v>
      </c>
      <c r="E300" t="s">
        <v>53</v>
      </c>
      <c r="F300" s="2">
        <v>46226</v>
      </c>
      <c r="G300" s="2">
        <v>46227</v>
      </c>
      <c r="H300" s="4">
        <v>0</v>
      </c>
      <c r="J300">
        <v>393</v>
      </c>
      <c r="L300" t="s">
        <v>144</v>
      </c>
      <c r="M300" t="s">
        <v>163</v>
      </c>
      <c r="N300" s="1">
        <v>46211</v>
      </c>
      <c r="P300" t="s">
        <v>519</v>
      </c>
      <c r="Q300" t="s">
        <v>542</v>
      </c>
      <c r="R300" t="s">
        <v>55</v>
      </c>
      <c r="S300" s="1">
        <v>46211</v>
      </c>
      <c r="T300" s="1">
        <v>46211</v>
      </c>
      <c r="V300">
        <v>0</v>
      </c>
      <c r="W300">
        <v>0</v>
      </c>
      <c r="X300">
        <v>0</v>
      </c>
      <c r="Y300">
        <v>0</v>
      </c>
      <c r="Z300">
        <v>1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</row>
    <row r="301" spans="1:33" x14ac:dyDescent="0.25">
      <c r="A301">
        <v>395</v>
      </c>
      <c r="B301" t="s">
        <v>609</v>
      </c>
      <c r="C301" t="s">
        <v>521</v>
      </c>
      <c r="D301" t="s">
        <v>610</v>
      </c>
      <c r="E301" t="s">
        <v>136</v>
      </c>
      <c r="F301" s="2">
        <v>46218</v>
      </c>
      <c r="G301" s="2">
        <v>46227</v>
      </c>
      <c r="H301" s="4">
        <v>0</v>
      </c>
      <c r="L301" t="s">
        <v>144</v>
      </c>
      <c r="M301" t="s">
        <v>532</v>
      </c>
      <c r="N301" s="1">
        <v>46211</v>
      </c>
      <c r="P301" t="s">
        <v>519</v>
      </c>
      <c r="Q301" t="s">
        <v>151</v>
      </c>
      <c r="R301" t="s">
        <v>55</v>
      </c>
      <c r="S301" s="1">
        <v>46198</v>
      </c>
      <c r="T301" s="1">
        <v>46211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0</v>
      </c>
      <c r="AG301">
        <v>0</v>
      </c>
    </row>
    <row r="302" spans="1:33" x14ac:dyDescent="0.25">
      <c r="A302">
        <v>396</v>
      </c>
      <c r="B302" t="s">
        <v>611</v>
      </c>
      <c r="C302" t="s">
        <v>612</v>
      </c>
      <c r="D302" t="s">
        <v>94</v>
      </c>
      <c r="E302" t="s">
        <v>556</v>
      </c>
      <c r="F302" s="2">
        <v>46218</v>
      </c>
      <c r="G302" s="2">
        <v>46224</v>
      </c>
      <c r="H302" s="4">
        <v>0</v>
      </c>
      <c r="J302">
        <v>338</v>
      </c>
      <c r="K302">
        <v>397</v>
      </c>
      <c r="L302" t="s">
        <v>144</v>
      </c>
      <c r="M302" t="s">
        <v>532</v>
      </c>
      <c r="N302" s="1">
        <v>46205</v>
      </c>
      <c r="P302" t="s">
        <v>519</v>
      </c>
      <c r="Q302" t="s">
        <v>151</v>
      </c>
      <c r="R302" t="s">
        <v>55</v>
      </c>
      <c r="S302" s="1">
        <v>46198</v>
      </c>
      <c r="T302" s="1">
        <v>46205</v>
      </c>
      <c r="V302">
        <v>0</v>
      </c>
      <c r="W302">
        <v>1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0</v>
      </c>
    </row>
    <row r="303" spans="1:33" x14ac:dyDescent="0.25">
      <c r="A303">
        <v>397</v>
      </c>
      <c r="B303" t="s">
        <v>613</v>
      </c>
      <c r="C303" t="s">
        <v>612</v>
      </c>
      <c r="D303" t="s">
        <v>98</v>
      </c>
      <c r="E303" t="s">
        <v>53</v>
      </c>
      <c r="F303" s="2">
        <v>46224</v>
      </c>
      <c r="G303" s="2">
        <v>46225</v>
      </c>
      <c r="H303" s="4">
        <v>0</v>
      </c>
      <c r="J303">
        <v>396</v>
      </c>
      <c r="K303">
        <v>398</v>
      </c>
      <c r="L303" t="s">
        <v>144</v>
      </c>
      <c r="M303" t="s">
        <v>159</v>
      </c>
      <c r="N303" s="1">
        <v>46206</v>
      </c>
      <c r="P303" t="s">
        <v>519</v>
      </c>
      <c r="Q303" t="s">
        <v>193</v>
      </c>
      <c r="R303" t="s">
        <v>55</v>
      </c>
      <c r="S303" s="1">
        <v>46206</v>
      </c>
      <c r="T303" s="1">
        <v>46206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0</v>
      </c>
      <c r="AG303">
        <v>0</v>
      </c>
    </row>
    <row r="304" spans="1:33" x14ac:dyDescent="0.25">
      <c r="A304">
        <v>398</v>
      </c>
      <c r="B304" t="s">
        <v>614</v>
      </c>
      <c r="C304" t="s">
        <v>612</v>
      </c>
      <c r="D304" t="s">
        <v>102</v>
      </c>
      <c r="E304" t="s">
        <v>53</v>
      </c>
      <c r="F304" s="2">
        <v>46225</v>
      </c>
      <c r="G304" s="2">
        <v>46226</v>
      </c>
      <c r="H304" s="4">
        <v>0</v>
      </c>
      <c r="J304">
        <v>397</v>
      </c>
      <c r="K304">
        <v>399</v>
      </c>
      <c r="L304" t="s">
        <v>144</v>
      </c>
      <c r="M304" t="s">
        <v>161</v>
      </c>
      <c r="N304" s="1">
        <v>46210</v>
      </c>
      <c r="P304" t="s">
        <v>519</v>
      </c>
      <c r="Q304" t="s">
        <v>193</v>
      </c>
      <c r="R304" t="s">
        <v>55</v>
      </c>
      <c r="S304" s="1">
        <v>46209</v>
      </c>
      <c r="T304" s="1">
        <v>46210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</row>
    <row r="305" spans="1:33" x14ac:dyDescent="0.25">
      <c r="A305">
        <v>399</v>
      </c>
      <c r="B305" t="s">
        <v>615</v>
      </c>
      <c r="C305" t="s">
        <v>612</v>
      </c>
      <c r="D305" t="s">
        <v>108</v>
      </c>
      <c r="E305" t="s">
        <v>53</v>
      </c>
      <c r="F305" s="2">
        <v>46226</v>
      </c>
      <c r="G305" s="2">
        <v>46227</v>
      </c>
      <c r="H305" s="4">
        <v>0</v>
      </c>
      <c r="J305">
        <v>398</v>
      </c>
      <c r="L305" t="s">
        <v>144</v>
      </c>
      <c r="M305" t="s">
        <v>163</v>
      </c>
      <c r="N305" s="1">
        <v>46211</v>
      </c>
      <c r="P305" t="s">
        <v>519</v>
      </c>
      <c r="Q305" t="s">
        <v>542</v>
      </c>
      <c r="R305" t="s">
        <v>55</v>
      </c>
      <c r="S305" s="1">
        <v>46211</v>
      </c>
      <c r="T305" s="1">
        <v>46211</v>
      </c>
      <c r="V305">
        <v>0</v>
      </c>
      <c r="W305">
        <v>0</v>
      </c>
      <c r="X305">
        <v>0</v>
      </c>
      <c r="Y305">
        <v>0</v>
      </c>
      <c r="Z305">
        <v>1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0</v>
      </c>
    </row>
    <row r="306" spans="1:33" x14ac:dyDescent="0.25">
      <c r="A306">
        <v>400</v>
      </c>
      <c r="B306" t="s">
        <v>616</v>
      </c>
      <c r="C306" t="s">
        <v>521</v>
      </c>
      <c r="D306" t="s">
        <v>617</v>
      </c>
      <c r="E306" t="s">
        <v>136</v>
      </c>
      <c r="F306" s="2">
        <v>46218</v>
      </c>
      <c r="G306" s="2">
        <v>46227</v>
      </c>
      <c r="H306" s="4">
        <v>0</v>
      </c>
      <c r="L306" t="s">
        <v>144</v>
      </c>
      <c r="M306" t="s">
        <v>532</v>
      </c>
      <c r="N306" s="1">
        <v>46211</v>
      </c>
      <c r="P306" t="s">
        <v>519</v>
      </c>
      <c r="Q306" t="s">
        <v>151</v>
      </c>
      <c r="R306" t="s">
        <v>55</v>
      </c>
      <c r="S306" s="1">
        <v>46198</v>
      </c>
      <c r="T306" s="1">
        <v>46211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</row>
    <row r="307" spans="1:33" x14ac:dyDescent="0.25">
      <c r="A307">
        <v>401</v>
      </c>
      <c r="B307" t="s">
        <v>618</v>
      </c>
      <c r="C307" t="s">
        <v>619</v>
      </c>
      <c r="D307" t="s">
        <v>94</v>
      </c>
      <c r="E307" t="s">
        <v>556</v>
      </c>
      <c r="F307" s="2">
        <v>46218</v>
      </c>
      <c r="G307" s="2">
        <v>46224</v>
      </c>
      <c r="H307" s="4">
        <v>0</v>
      </c>
      <c r="J307">
        <v>338</v>
      </c>
      <c r="K307">
        <v>402</v>
      </c>
      <c r="L307" t="s">
        <v>144</v>
      </c>
      <c r="M307" t="s">
        <v>532</v>
      </c>
      <c r="N307" s="1">
        <v>46205</v>
      </c>
      <c r="P307" t="s">
        <v>519</v>
      </c>
      <c r="Q307" t="s">
        <v>151</v>
      </c>
      <c r="R307" t="s">
        <v>55</v>
      </c>
      <c r="S307" s="1">
        <v>46198</v>
      </c>
      <c r="T307" s="1">
        <v>46205</v>
      </c>
      <c r="V307">
        <v>0</v>
      </c>
      <c r="W307">
        <v>1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</row>
    <row r="308" spans="1:33" x14ac:dyDescent="0.25">
      <c r="A308">
        <v>402</v>
      </c>
      <c r="B308" t="s">
        <v>620</v>
      </c>
      <c r="C308" t="s">
        <v>619</v>
      </c>
      <c r="D308" t="s">
        <v>98</v>
      </c>
      <c r="E308" t="s">
        <v>53</v>
      </c>
      <c r="F308" s="2">
        <v>46224</v>
      </c>
      <c r="G308" s="2">
        <v>46225</v>
      </c>
      <c r="H308" s="4">
        <v>0</v>
      </c>
      <c r="J308">
        <v>401</v>
      </c>
      <c r="K308">
        <v>403</v>
      </c>
      <c r="L308" t="s">
        <v>144</v>
      </c>
      <c r="M308" t="s">
        <v>159</v>
      </c>
      <c r="N308" s="1">
        <v>46206</v>
      </c>
      <c r="P308" t="s">
        <v>519</v>
      </c>
      <c r="Q308" t="s">
        <v>193</v>
      </c>
      <c r="R308" t="s">
        <v>55</v>
      </c>
      <c r="S308" s="1">
        <v>46206</v>
      </c>
      <c r="T308" s="1">
        <v>46206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</row>
    <row r="309" spans="1:33" x14ac:dyDescent="0.25">
      <c r="A309">
        <v>403</v>
      </c>
      <c r="B309" t="s">
        <v>621</v>
      </c>
      <c r="C309" t="s">
        <v>619</v>
      </c>
      <c r="D309" t="s">
        <v>102</v>
      </c>
      <c r="E309" t="s">
        <v>53</v>
      </c>
      <c r="F309" s="2">
        <v>46225</v>
      </c>
      <c r="G309" s="2">
        <v>46226</v>
      </c>
      <c r="H309" s="4">
        <v>0</v>
      </c>
      <c r="J309">
        <v>402</v>
      </c>
      <c r="K309">
        <v>404</v>
      </c>
      <c r="L309" t="s">
        <v>144</v>
      </c>
      <c r="M309" t="s">
        <v>161</v>
      </c>
      <c r="N309" s="1">
        <v>46210</v>
      </c>
      <c r="P309" t="s">
        <v>519</v>
      </c>
      <c r="Q309" t="s">
        <v>193</v>
      </c>
      <c r="R309" t="s">
        <v>55</v>
      </c>
      <c r="S309" s="1">
        <v>46209</v>
      </c>
      <c r="T309" s="1">
        <v>46210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</row>
    <row r="310" spans="1:33" x14ac:dyDescent="0.25">
      <c r="A310">
        <v>404</v>
      </c>
      <c r="B310" t="s">
        <v>622</v>
      </c>
      <c r="C310" t="s">
        <v>619</v>
      </c>
      <c r="D310" t="s">
        <v>108</v>
      </c>
      <c r="E310" t="s">
        <v>53</v>
      </c>
      <c r="F310" s="2">
        <v>46226</v>
      </c>
      <c r="G310" s="2">
        <v>46227</v>
      </c>
      <c r="H310" s="4">
        <v>0</v>
      </c>
      <c r="J310">
        <v>403</v>
      </c>
      <c r="L310" t="s">
        <v>144</v>
      </c>
      <c r="M310" t="s">
        <v>163</v>
      </c>
      <c r="N310" s="1">
        <v>46211</v>
      </c>
      <c r="P310" t="s">
        <v>519</v>
      </c>
      <c r="Q310" t="s">
        <v>542</v>
      </c>
      <c r="R310" t="s">
        <v>55</v>
      </c>
      <c r="S310" s="1">
        <v>46211</v>
      </c>
      <c r="T310" s="1">
        <v>46211</v>
      </c>
      <c r="V310">
        <v>0</v>
      </c>
      <c r="W310">
        <v>0</v>
      </c>
      <c r="X310">
        <v>0</v>
      </c>
      <c r="Y310">
        <v>0</v>
      </c>
      <c r="Z310">
        <v>1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</row>
    <row r="311" spans="1:33" x14ac:dyDescent="0.25">
      <c r="A311">
        <v>405</v>
      </c>
      <c r="B311" t="s">
        <v>623</v>
      </c>
      <c r="C311" t="s">
        <v>521</v>
      </c>
      <c r="D311" t="s">
        <v>624</v>
      </c>
      <c r="E311" t="s">
        <v>625</v>
      </c>
      <c r="F311" s="2">
        <v>46205</v>
      </c>
      <c r="G311" s="2">
        <v>46218</v>
      </c>
      <c r="H311" s="4">
        <v>0</v>
      </c>
      <c r="L311" t="s">
        <v>35</v>
      </c>
      <c r="M311" t="s">
        <v>532</v>
      </c>
      <c r="N311" s="1">
        <v>46210</v>
      </c>
      <c r="P311" t="s">
        <v>519</v>
      </c>
      <c r="Q311" t="s">
        <v>151</v>
      </c>
      <c r="R311" t="s">
        <v>55</v>
      </c>
      <c r="S311" s="1">
        <v>46198</v>
      </c>
      <c r="T311" s="1">
        <v>46210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</row>
    <row r="312" spans="1:33" x14ac:dyDescent="0.25">
      <c r="A312">
        <v>406</v>
      </c>
      <c r="B312" t="s">
        <v>626</v>
      </c>
      <c r="C312" t="s">
        <v>627</v>
      </c>
      <c r="D312" t="s">
        <v>94</v>
      </c>
      <c r="E312" t="s">
        <v>628</v>
      </c>
      <c r="F312" s="2">
        <v>46205</v>
      </c>
      <c r="G312" s="2">
        <v>46211</v>
      </c>
      <c r="H312" s="4">
        <v>0</v>
      </c>
      <c r="J312" t="s">
        <v>629</v>
      </c>
      <c r="K312">
        <v>407</v>
      </c>
      <c r="L312" t="s">
        <v>35</v>
      </c>
      <c r="M312" t="s">
        <v>532</v>
      </c>
      <c r="N312" s="1">
        <v>46204</v>
      </c>
      <c r="P312" t="s">
        <v>519</v>
      </c>
      <c r="Q312" t="s">
        <v>151</v>
      </c>
      <c r="R312" t="s">
        <v>55</v>
      </c>
      <c r="S312" s="1">
        <v>46198</v>
      </c>
      <c r="T312" s="1">
        <v>46204</v>
      </c>
      <c r="V312">
        <v>0</v>
      </c>
      <c r="W312">
        <v>1</v>
      </c>
      <c r="X312">
        <v>0</v>
      </c>
      <c r="Y312">
        <v>1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</row>
    <row r="313" spans="1:33" x14ac:dyDescent="0.25">
      <c r="A313">
        <v>407</v>
      </c>
      <c r="B313" t="s">
        <v>630</v>
      </c>
      <c r="C313" t="s">
        <v>627</v>
      </c>
      <c r="D313" t="s">
        <v>98</v>
      </c>
      <c r="E313" t="s">
        <v>53</v>
      </c>
      <c r="F313" s="2">
        <v>46216</v>
      </c>
      <c r="G313" s="2">
        <v>46216</v>
      </c>
      <c r="H313" s="4">
        <v>0</v>
      </c>
      <c r="J313">
        <v>406</v>
      </c>
      <c r="K313">
        <v>408</v>
      </c>
      <c r="L313" t="s">
        <v>144</v>
      </c>
      <c r="M313" t="s">
        <v>538</v>
      </c>
      <c r="N313" s="1">
        <v>46205</v>
      </c>
      <c r="P313" t="s">
        <v>519</v>
      </c>
      <c r="Q313" t="s">
        <v>193</v>
      </c>
      <c r="R313" t="s">
        <v>55</v>
      </c>
      <c r="S313" s="1">
        <v>46205</v>
      </c>
      <c r="T313" s="1">
        <v>46205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</row>
    <row r="314" spans="1:33" x14ac:dyDescent="0.25">
      <c r="A314">
        <v>408</v>
      </c>
      <c r="B314" t="s">
        <v>631</v>
      </c>
      <c r="C314" t="s">
        <v>627</v>
      </c>
      <c r="D314" t="s">
        <v>102</v>
      </c>
      <c r="E314" t="s">
        <v>53</v>
      </c>
      <c r="F314" s="2">
        <v>46217</v>
      </c>
      <c r="G314" s="2">
        <v>46217</v>
      </c>
      <c r="H314" s="4">
        <v>0</v>
      </c>
      <c r="J314">
        <v>407</v>
      </c>
      <c r="K314">
        <v>409</v>
      </c>
      <c r="L314" t="s">
        <v>144</v>
      </c>
      <c r="M314" t="s">
        <v>159</v>
      </c>
      <c r="N314" s="1">
        <v>46209</v>
      </c>
      <c r="P314" t="s">
        <v>519</v>
      </c>
      <c r="Q314" t="s">
        <v>193</v>
      </c>
      <c r="R314" t="s">
        <v>55</v>
      </c>
      <c r="S314" s="1">
        <v>46206</v>
      </c>
      <c r="T314" s="1">
        <v>46209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</row>
    <row r="315" spans="1:33" x14ac:dyDescent="0.25">
      <c r="A315">
        <v>409</v>
      </c>
      <c r="B315" t="s">
        <v>632</v>
      </c>
      <c r="C315" t="s">
        <v>627</v>
      </c>
      <c r="D315" t="s">
        <v>108</v>
      </c>
      <c r="E315" t="s">
        <v>53</v>
      </c>
      <c r="F315" s="2">
        <v>46218</v>
      </c>
      <c r="G315" s="2">
        <v>46218</v>
      </c>
      <c r="H315" s="4">
        <v>0</v>
      </c>
      <c r="J315">
        <v>408</v>
      </c>
      <c r="L315" t="s">
        <v>144</v>
      </c>
      <c r="M315" t="s">
        <v>541</v>
      </c>
      <c r="N315" s="1">
        <v>46210</v>
      </c>
      <c r="P315" t="s">
        <v>519</v>
      </c>
      <c r="Q315" t="s">
        <v>193</v>
      </c>
      <c r="R315" t="s">
        <v>55</v>
      </c>
      <c r="S315" s="1">
        <v>46210</v>
      </c>
      <c r="T315" s="1">
        <v>46210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</row>
    <row r="316" spans="1:33" x14ac:dyDescent="0.25">
      <c r="A316">
        <v>410</v>
      </c>
      <c r="B316" t="s">
        <v>633</v>
      </c>
      <c r="C316" t="s">
        <v>73</v>
      </c>
      <c r="D316" t="s">
        <v>634</v>
      </c>
      <c r="E316" t="s">
        <v>635</v>
      </c>
      <c r="F316" s="2">
        <v>46170</v>
      </c>
      <c r="G316" s="2">
        <v>46217</v>
      </c>
      <c r="H316" s="4">
        <v>0.45</v>
      </c>
      <c r="L316" t="s">
        <v>35</v>
      </c>
      <c r="M316" t="s">
        <v>190</v>
      </c>
      <c r="N316" s="1">
        <v>46211</v>
      </c>
      <c r="P316" t="s">
        <v>636</v>
      </c>
      <c r="Q316" t="s">
        <v>110</v>
      </c>
      <c r="R316" t="s">
        <v>55</v>
      </c>
      <c r="S316" s="1">
        <v>46163</v>
      </c>
      <c r="T316" s="1">
        <v>46211</v>
      </c>
      <c r="V316">
        <v>0.45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</row>
    <row r="317" spans="1:33" x14ac:dyDescent="0.25">
      <c r="A317">
        <v>421</v>
      </c>
      <c r="B317" t="s">
        <v>637</v>
      </c>
      <c r="C317" t="s">
        <v>638</v>
      </c>
      <c r="D317" t="s">
        <v>639</v>
      </c>
      <c r="E317" t="s">
        <v>640</v>
      </c>
      <c r="F317" s="2">
        <v>46175</v>
      </c>
      <c r="G317" s="2">
        <v>46183</v>
      </c>
      <c r="H317" s="4">
        <v>0.7</v>
      </c>
      <c r="L317" t="s">
        <v>35</v>
      </c>
      <c r="M317" t="s">
        <v>210</v>
      </c>
      <c r="N317" s="1">
        <v>46176</v>
      </c>
      <c r="P317" t="s">
        <v>636</v>
      </c>
      <c r="Q317" t="s">
        <v>211</v>
      </c>
      <c r="R317" t="s">
        <v>55</v>
      </c>
      <c r="S317" s="1">
        <v>46168</v>
      </c>
      <c r="T317" s="1">
        <v>46176</v>
      </c>
      <c r="V317">
        <v>0.7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</row>
    <row r="318" spans="1:33" x14ac:dyDescent="0.25">
      <c r="A318">
        <v>422</v>
      </c>
      <c r="B318" t="s">
        <v>641</v>
      </c>
      <c r="C318" t="s">
        <v>642</v>
      </c>
      <c r="D318" t="s">
        <v>94</v>
      </c>
      <c r="E318" t="s">
        <v>121</v>
      </c>
      <c r="F318" s="2">
        <v>46175</v>
      </c>
      <c r="G318" s="2">
        <v>46176</v>
      </c>
      <c r="H318" s="4">
        <v>1</v>
      </c>
      <c r="I318" s="2">
        <v>46176</v>
      </c>
      <c r="J318" t="s">
        <v>643</v>
      </c>
      <c r="K318" t="s">
        <v>644</v>
      </c>
      <c r="L318" t="s">
        <v>59</v>
      </c>
      <c r="M318" t="s">
        <v>210</v>
      </c>
      <c r="N318" s="1">
        <v>46170</v>
      </c>
      <c r="P318" t="s">
        <v>636</v>
      </c>
      <c r="Q318" t="s">
        <v>211</v>
      </c>
      <c r="R318" t="s">
        <v>55</v>
      </c>
      <c r="S318" s="1">
        <v>46168</v>
      </c>
      <c r="T318" s="1">
        <v>46170</v>
      </c>
      <c r="V318">
        <v>1</v>
      </c>
      <c r="W318">
        <v>1</v>
      </c>
      <c r="X318">
        <v>1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1</v>
      </c>
    </row>
    <row r="319" spans="1:33" x14ac:dyDescent="0.25">
      <c r="A319">
        <v>423</v>
      </c>
      <c r="B319" t="s">
        <v>645</v>
      </c>
      <c r="C319" t="s">
        <v>642</v>
      </c>
      <c r="D319" t="s">
        <v>98</v>
      </c>
      <c r="E319" t="s">
        <v>53</v>
      </c>
      <c r="F319" s="2">
        <v>46182</v>
      </c>
      <c r="G319" s="2">
        <v>46182</v>
      </c>
      <c r="H319" s="4">
        <v>1</v>
      </c>
      <c r="I319" s="2">
        <v>46182</v>
      </c>
      <c r="J319">
        <v>422</v>
      </c>
      <c r="K319">
        <v>424</v>
      </c>
      <c r="L319" t="s">
        <v>59</v>
      </c>
      <c r="M319" t="s">
        <v>148</v>
      </c>
      <c r="N319" s="1">
        <v>46171</v>
      </c>
      <c r="P319" t="s">
        <v>636</v>
      </c>
      <c r="Q319" t="s">
        <v>65</v>
      </c>
      <c r="R319" t="s">
        <v>55</v>
      </c>
      <c r="S319" s="1">
        <v>46171</v>
      </c>
      <c r="T319" s="1">
        <v>46171</v>
      </c>
      <c r="V319">
        <v>1</v>
      </c>
      <c r="W319">
        <v>0</v>
      </c>
      <c r="X319">
        <v>0</v>
      </c>
      <c r="Y319">
        <v>0</v>
      </c>
      <c r="Z319">
        <v>0</v>
      </c>
      <c r="AA319">
        <v>1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</row>
    <row r="320" spans="1:33" x14ac:dyDescent="0.25">
      <c r="A320">
        <v>424</v>
      </c>
      <c r="B320" t="s">
        <v>646</v>
      </c>
      <c r="C320" t="s">
        <v>642</v>
      </c>
      <c r="D320" t="s">
        <v>102</v>
      </c>
      <c r="E320" t="s">
        <v>53</v>
      </c>
      <c r="F320" s="2">
        <v>46183</v>
      </c>
      <c r="G320" s="2">
        <v>46183</v>
      </c>
      <c r="H320" s="4">
        <v>0.5</v>
      </c>
      <c r="J320">
        <v>423</v>
      </c>
      <c r="K320" t="s">
        <v>647</v>
      </c>
      <c r="L320" t="s">
        <v>35</v>
      </c>
      <c r="M320" t="s">
        <v>648</v>
      </c>
      <c r="N320" s="1">
        <v>46175</v>
      </c>
      <c r="P320" t="s">
        <v>636</v>
      </c>
      <c r="Q320" t="s">
        <v>65</v>
      </c>
      <c r="R320" t="s">
        <v>55</v>
      </c>
      <c r="S320" s="1">
        <v>46174</v>
      </c>
      <c r="T320" s="1">
        <v>46175</v>
      </c>
      <c r="V320">
        <v>0.5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1</v>
      </c>
      <c r="AE320">
        <v>0</v>
      </c>
      <c r="AF320">
        <v>0</v>
      </c>
      <c r="AG320">
        <v>0</v>
      </c>
    </row>
    <row r="321" spans="1:33" x14ac:dyDescent="0.25">
      <c r="A321">
        <v>425</v>
      </c>
      <c r="B321" t="s">
        <v>649</v>
      </c>
      <c r="C321" t="s">
        <v>642</v>
      </c>
      <c r="D321" t="s">
        <v>108</v>
      </c>
      <c r="E321" t="s">
        <v>53</v>
      </c>
      <c r="F321" s="2">
        <v>46183</v>
      </c>
      <c r="G321" s="2">
        <v>46183</v>
      </c>
      <c r="H321" s="4">
        <v>0</v>
      </c>
      <c r="J321" t="s">
        <v>650</v>
      </c>
      <c r="L321" t="s">
        <v>35</v>
      </c>
      <c r="M321" t="s">
        <v>218</v>
      </c>
      <c r="N321" s="1">
        <v>46176</v>
      </c>
      <c r="P321" t="s">
        <v>636</v>
      </c>
      <c r="Q321" t="s">
        <v>65</v>
      </c>
      <c r="R321" t="s">
        <v>55</v>
      </c>
      <c r="S321" s="1">
        <v>46176</v>
      </c>
      <c r="T321" s="1">
        <v>46176</v>
      </c>
      <c r="V321">
        <v>0</v>
      </c>
      <c r="W321">
        <v>0</v>
      </c>
      <c r="X321">
        <v>0</v>
      </c>
      <c r="Y321">
        <v>0</v>
      </c>
      <c r="Z321">
        <v>1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1</v>
      </c>
      <c r="AG321">
        <v>0</v>
      </c>
    </row>
    <row r="322" spans="1:33" x14ac:dyDescent="0.25">
      <c r="A322">
        <v>431</v>
      </c>
      <c r="B322" t="s">
        <v>651</v>
      </c>
      <c r="C322" t="s">
        <v>638</v>
      </c>
      <c r="D322" t="s">
        <v>652</v>
      </c>
      <c r="E322" t="s">
        <v>640</v>
      </c>
      <c r="F322" s="2">
        <v>46170</v>
      </c>
      <c r="G322" s="2">
        <v>46176</v>
      </c>
      <c r="H322" s="4">
        <v>0.7</v>
      </c>
      <c r="L322" t="s">
        <v>35</v>
      </c>
      <c r="M322" t="s">
        <v>190</v>
      </c>
      <c r="N322" s="1">
        <v>46171</v>
      </c>
      <c r="P322" t="s">
        <v>636</v>
      </c>
      <c r="Q322" t="s">
        <v>110</v>
      </c>
      <c r="R322" t="s">
        <v>55</v>
      </c>
      <c r="S322" s="1">
        <v>46163</v>
      </c>
      <c r="T322" s="1">
        <v>46171</v>
      </c>
      <c r="V322">
        <v>0.7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</row>
    <row r="323" spans="1:33" x14ac:dyDescent="0.25">
      <c r="A323">
        <v>432</v>
      </c>
      <c r="B323" t="s">
        <v>653</v>
      </c>
      <c r="C323" t="s">
        <v>654</v>
      </c>
      <c r="D323" t="s">
        <v>94</v>
      </c>
      <c r="E323" t="s">
        <v>121</v>
      </c>
      <c r="F323" s="2">
        <v>46170</v>
      </c>
      <c r="G323" s="2">
        <v>46171</v>
      </c>
      <c r="H323" s="4">
        <v>1</v>
      </c>
      <c r="I323" s="2">
        <v>46171</v>
      </c>
      <c r="J323" t="s">
        <v>655</v>
      </c>
      <c r="K323" t="s">
        <v>656</v>
      </c>
      <c r="L323" t="s">
        <v>59</v>
      </c>
      <c r="M323" t="s">
        <v>190</v>
      </c>
      <c r="N323" s="1">
        <v>46167</v>
      </c>
      <c r="P323" t="s">
        <v>636</v>
      </c>
      <c r="Q323" t="s">
        <v>110</v>
      </c>
      <c r="R323" t="s">
        <v>55</v>
      </c>
      <c r="S323" s="1">
        <v>46163</v>
      </c>
      <c r="T323" s="1">
        <v>46167</v>
      </c>
      <c r="V323">
        <v>1</v>
      </c>
      <c r="W323">
        <v>1</v>
      </c>
      <c r="X323">
        <v>1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1</v>
      </c>
    </row>
    <row r="324" spans="1:33" x14ac:dyDescent="0.25">
      <c r="A324">
        <v>433</v>
      </c>
      <c r="B324" t="s">
        <v>657</v>
      </c>
      <c r="C324" t="s">
        <v>654</v>
      </c>
      <c r="D324" t="s">
        <v>98</v>
      </c>
      <c r="E324" t="s">
        <v>53</v>
      </c>
      <c r="F324" s="2">
        <v>46175</v>
      </c>
      <c r="G324" s="2">
        <v>46175</v>
      </c>
      <c r="H324" s="4">
        <v>1</v>
      </c>
      <c r="I324" s="2">
        <v>46175</v>
      </c>
      <c r="J324">
        <v>432</v>
      </c>
      <c r="K324">
        <v>434</v>
      </c>
      <c r="L324" t="s">
        <v>59</v>
      </c>
      <c r="M324" t="s">
        <v>210</v>
      </c>
      <c r="N324" s="1">
        <v>46168</v>
      </c>
      <c r="P324" t="s">
        <v>636</v>
      </c>
      <c r="Q324" t="s">
        <v>211</v>
      </c>
      <c r="R324" t="s">
        <v>55</v>
      </c>
      <c r="S324" s="1">
        <v>46168</v>
      </c>
      <c r="T324" s="1">
        <v>46168</v>
      </c>
      <c r="V324">
        <v>1</v>
      </c>
      <c r="W324">
        <v>0</v>
      </c>
      <c r="X324">
        <v>0</v>
      </c>
      <c r="Y324">
        <v>0</v>
      </c>
      <c r="Z324">
        <v>0</v>
      </c>
      <c r="AA324">
        <v>1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</row>
    <row r="325" spans="1:33" x14ac:dyDescent="0.25">
      <c r="A325">
        <v>434</v>
      </c>
      <c r="B325" t="s">
        <v>658</v>
      </c>
      <c r="C325" t="s">
        <v>654</v>
      </c>
      <c r="D325" t="s">
        <v>102</v>
      </c>
      <c r="E325" t="s">
        <v>53</v>
      </c>
      <c r="F325" s="2">
        <v>46176</v>
      </c>
      <c r="G325" s="2">
        <v>46176</v>
      </c>
      <c r="H325" s="4">
        <v>0.5</v>
      </c>
      <c r="J325">
        <v>433</v>
      </c>
      <c r="K325" t="s">
        <v>659</v>
      </c>
      <c r="L325" t="s">
        <v>35</v>
      </c>
      <c r="M325" t="s">
        <v>436</v>
      </c>
      <c r="N325" s="1">
        <v>46170</v>
      </c>
      <c r="P325" t="s">
        <v>636</v>
      </c>
      <c r="Q325" t="s">
        <v>211</v>
      </c>
      <c r="R325" t="s">
        <v>55</v>
      </c>
      <c r="S325" s="1">
        <v>46169</v>
      </c>
      <c r="T325" s="1">
        <v>46170</v>
      </c>
      <c r="V325">
        <v>0.5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1</v>
      </c>
      <c r="AE325">
        <v>0</v>
      </c>
      <c r="AF325">
        <v>0</v>
      </c>
      <c r="AG325">
        <v>0</v>
      </c>
    </row>
    <row r="326" spans="1:33" x14ac:dyDescent="0.25">
      <c r="A326">
        <v>435</v>
      </c>
      <c r="B326" t="s">
        <v>660</v>
      </c>
      <c r="C326" t="s">
        <v>654</v>
      </c>
      <c r="D326" t="s">
        <v>108</v>
      </c>
      <c r="E326" t="s">
        <v>53</v>
      </c>
      <c r="F326" s="2">
        <v>46176</v>
      </c>
      <c r="G326" s="2">
        <v>46176</v>
      </c>
      <c r="H326" s="4">
        <v>0</v>
      </c>
      <c r="J326" t="s">
        <v>661</v>
      </c>
      <c r="L326" t="s">
        <v>35</v>
      </c>
      <c r="M326" t="s">
        <v>148</v>
      </c>
      <c r="N326" s="1">
        <v>46171</v>
      </c>
      <c r="P326" t="s">
        <v>636</v>
      </c>
      <c r="Q326" t="s">
        <v>211</v>
      </c>
      <c r="R326" t="s">
        <v>55</v>
      </c>
      <c r="S326" s="1">
        <v>46171</v>
      </c>
      <c r="T326" s="1">
        <v>46171</v>
      </c>
      <c r="V326">
        <v>0</v>
      </c>
      <c r="W326">
        <v>0</v>
      </c>
      <c r="X326">
        <v>0</v>
      </c>
      <c r="Y326">
        <v>0</v>
      </c>
      <c r="Z326">
        <v>1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1</v>
      </c>
      <c r="AG326">
        <v>0</v>
      </c>
    </row>
    <row r="327" spans="1:33" x14ac:dyDescent="0.25">
      <c r="A327">
        <v>451</v>
      </c>
      <c r="B327" t="s">
        <v>662</v>
      </c>
      <c r="C327" t="s">
        <v>638</v>
      </c>
      <c r="D327" t="s">
        <v>663</v>
      </c>
      <c r="E327" t="s">
        <v>154</v>
      </c>
      <c r="F327" s="2">
        <v>46205</v>
      </c>
      <c r="G327" s="2">
        <v>46210</v>
      </c>
      <c r="H327" s="4">
        <v>0.28000000000000003</v>
      </c>
      <c r="L327" t="s">
        <v>131</v>
      </c>
      <c r="M327" t="s">
        <v>444</v>
      </c>
      <c r="N327" s="1">
        <v>46191</v>
      </c>
      <c r="P327" t="s">
        <v>636</v>
      </c>
      <c r="Q327" t="s">
        <v>211</v>
      </c>
      <c r="R327" t="s">
        <v>55</v>
      </c>
      <c r="S327" s="1">
        <v>46181</v>
      </c>
      <c r="T327" s="1">
        <v>46191</v>
      </c>
      <c r="V327">
        <v>0.28000000000000003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</row>
    <row r="328" spans="1:33" x14ac:dyDescent="0.25">
      <c r="A328">
        <v>452</v>
      </c>
      <c r="B328" t="s">
        <v>664</v>
      </c>
      <c r="C328" t="s">
        <v>665</v>
      </c>
      <c r="D328" t="s">
        <v>94</v>
      </c>
      <c r="E328" t="s">
        <v>121</v>
      </c>
      <c r="F328" s="2">
        <v>46205</v>
      </c>
      <c r="G328" s="2">
        <v>46206</v>
      </c>
      <c r="H328" s="4">
        <v>0.7</v>
      </c>
      <c r="J328" t="s">
        <v>666</v>
      </c>
      <c r="K328" t="s">
        <v>667</v>
      </c>
      <c r="L328" t="s">
        <v>131</v>
      </c>
      <c r="M328" t="s">
        <v>444</v>
      </c>
      <c r="N328" s="1">
        <v>46185</v>
      </c>
      <c r="P328" t="s">
        <v>636</v>
      </c>
      <c r="Q328" t="s">
        <v>211</v>
      </c>
      <c r="R328" t="s">
        <v>55</v>
      </c>
      <c r="S328" s="1">
        <v>46181</v>
      </c>
      <c r="T328" s="1">
        <v>46185</v>
      </c>
      <c r="V328">
        <v>0.7</v>
      </c>
      <c r="W328">
        <v>1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0</v>
      </c>
    </row>
    <row r="329" spans="1:33" x14ac:dyDescent="0.25">
      <c r="A329">
        <v>453</v>
      </c>
      <c r="B329" t="s">
        <v>668</v>
      </c>
      <c r="C329" t="s">
        <v>665</v>
      </c>
      <c r="D329" t="s">
        <v>98</v>
      </c>
      <c r="E329" t="s">
        <v>53</v>
      </c>
      <c r="F329" s="2">
        <v>46209</v>
      </c>
      <c r="G329" s="2">
        <v>46209</v>
      </c>
      <c r="H329" s="4">
        <v>0</v>
      </c>
      <c r="J329">
        <v>452</v>
      </c>
      <c r="K329">
        <v>454</v>
      </c>
      <c r="L329" t="s">
        <v>144</v>
      </c>
      <c r="M329" t="s">
        <v>296</v>
      </c>
      <c r="N329" s="1">
        <v>46188</v>
      </c>
      <c r="P329" t="s">
        <v>636</v>
      </c>
      <c r="Q329" t="s">
        <v>65</v>
      </c>
      <c r="R329" t="s">
        <v>55</v>
      </c>
      <c r="S329" s="1">
        <v>46188</v>
      </c>
      <c r="T329" s="1">
        <v>46188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</row>
    <row r="330" spans="1:33" x14ac:dyDescent="0.25">
      <c r="A330">
        <v>454</v>
      </c>
      <c r="B330" t="s">
        <v>669</v>
      </c>
      <c r="C330" t="s">
        <v>665</v>
      </c>
      <c r="D330" t="s">
        <v>102</v>
      </c>
      <c r="E330" t="s">
        <v>53</v>
      </c>
      <c r="F330" s="2">
        <v>46210</v>
      </c>
      <c r="G330" s="2">
        <v>46210</v>
      </c>
      <c r="H330" s="4">
        <v>0</v>
      </c>
      <c r="J330">
        <v>453</v>
      </c>
      <c r="K330" t="s">
        <v>670</v>
      </c>
      <c r="L330" t="s">
        <v>144</v>
      </c>
      <c r="M330" t="s">
        <v>174</v>
      </c>
      <c r="N330" s="1">
        <v>46190</v>
      </c>
      <c r="P330" t="s">
        <v>636</v>
      </c>
      <c r="Q330" t="s">
        <v>65</v>
      </c>
      <c r="R330" t="s">
        <v>55</v>
      </c>
      <c r="S330" s="1">
        <v>46189</v>
      </c>
      <c r="T330" s="1">
        <v>46190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</row>
    <row r="331" spans="1:33" x14ac:dyDescent="0.25">
      <c r="A331">
        <v>455</v>
      </c>
      <c r="B331" t="s">
        <v>671</v>
      </c>
      <c r="C331" t="s">
        <v>665</v>
      </c>
      <c r="D331" t="s">
        <v>108</v>
      </c>
      <c r="E331" t="s">
        <v>53</v>
      </c>
      <c r="F331" s="2">
        <v>46210</v>
      </c>
      <c r="G331" s="2">
        <v>46210</v>
      </c>
      <c r="H331" s="4">
        <v>0</v>
      </c>
      <c r="J331" t="s">
        <v>672</v>
      </c>
      <c r="L331" t="s">
        <v>144</v>
      </c>
      <c r="M331" t="s">
        <v>386</v>
      </c>
      <c r="N331" s="1">
        <v>46191</v>
      </c>
      <c r="P331" t="s">
        <v>636</v>
      </c>
      <c r="Q331" t="s">
        <v>65</v>
      </c>
      <c r="R331" t="s">
        <v>55</v>
      </c>
      <c r="S331" s="1">
        <v>46191</v>
      </c>
      <c r="T331" s="1">
        <v>46191</v>
      </c>
      <c r="V331">
        <v>0</v>
      </c>
      <c r="W331">
        <v>0</v>
      </c>
      <c r="X331">
        <v>0</v>
      </c>
      <c r="Y331">
        <v>0</v>
      </c>
      <c r="Z331">
        <v>1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</row>
    <row r="332" spans="1:33" x14ac:dyDescent="0.25">
      <c r="A332">
        <v>456</v>
      </c>
      <c r="B332" t="s">
        <v>673</v>
      </c>
      <c r="C332" t="s">
        <v>638</v>
      </c>
      <c r="D332" t="s">
        <v>674</v>
      </c>
      <c r="E332" t="s">
        <v>154</v>
      </c>
      <c r="F332" s="2">
        <v>46205</v>
      </c>
      <c r="G332" s="2">
        <v>46210</v>
      </c>
      <c r="H332" s="4">
        <v>0.28000000000000003</v>
      </c>
      <c r="L332" t="s">
        <v>131</v>
      </c>
      <c r="M332" t="s">
        <v>675</v>
      </c>
      <c r="N332" s="1">
        <v>46205</v>
      </c>
      <c r="P332" t="s">
        <v>636</v>
      </c>
      <c r="Q332" t="s">
        <v>676</v>
      </c>
      <c r="R332" t="s">
        <v>55</v>
      </c>
      <c r="S332" s="1">
        <v>46197</v>
      </c>
      <c r="T332" s="1">
        <v>46205</v>
      </c>
      <c r="V332">
        <v>0.28000000000000003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</row>
    <row r="333" spans="1:33" x14ac:dyDescent="0.25">
      <c r="A333">
        <v>457</v>
      </c>
      <c r="B333" t="s">
        <v>677</v>
      </c>
      <c r="C333" t="s">
        <v>678</v>
      </c>
      <c r="D333" t="s">
        <v>94</v>
      </c>
      <c r="E333" t="s">
        <v>121</v>
      </c>
      <c r="F333" s="2">
        <v>46205</v>
      </c>
      <c r="G333" s="2">
        <v>46206</v>
      </c>
      <c r="H333" s="4">
        <v>0.7</v>
      </c>
      <c r="J333" t="s">
        <v>679</v>
      </c>
      <c r="K333">
        <v>458</v>
      </c>
      <c r="L333" t="s">
        <v>131</v>
      </c>
      <c r="M333" t="s">
        <v>675</v>
      </c>
      <c r="N333" s="1">
        <v>46199</v>
      </c>
      <c r="P333" t="s">
        <v>636</v>
      </c>
      <c r="Q333" t="s">
        <v>676</v>
      </c>
      <c r="R333" t="s">
        <v>55</v>
      </c>
      <c r="S333" s="1">
        <v>46197</v>
      </c>
      <c r="T333" s="1">
        <v>46199</v>
      </c>
      <c r="V333">
        <v>0.7</v>
      </c>
      <c r="W333">
        <v>1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</row>
    <row r="334" spans="1:33" x14ac:dyDescent="0.25">
      <c r="A334">
        <v>458</v>
      </c>
      <c r="B334" t="s">
        <v>680</v>
      </c>
      <c r="C334" t="s">
        <v>678</v>
      </c>
      <c r="D334" t="s">
        <v>98</v>
      </c>
      <c r="E334" t="s">
        <v>53</v>
      </c>
      <c r="F334" s="2">
        <v>46209</v>
      </c>
      <c r="G334" s="2">
        <v>46209</v>
      </c>
      <c r="H334" s="4">
        <v>0</v>
      </c>
      <c r="J334">
        <v>457</v>
      </c>
      <c r="K334" t="s">
        <v>681</v>
      </c>
      <c r="L334" t="s">
        <v>144</v>
      </c>
      <c r="M334" t="s">
        <v>424</v>
      </c>
      <c r="N334" s="1">
        <v>46202</v>
      </c>
      <c r="P334" t="s">
        <v>636</v>
      </c>
      <c r="Q334" t="s">
        <v>676</v>
      </c>
      <c r="R334" t="s">
        <v>55</v>
      </c>
      <c r="S334" s="1">
        <v>46202</v>
      </c>
      <c r="T334" s="1">
        <v>46202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</row>
    <row r="335" spans="1:33" x14ac:dyDescent="0.25">
      <c r="A335">
        <v>459</v>
      </c>
      <c r="B335" t="s">
        <v>682</v>
      </c>
      <c r="C335" t="s">
        <v>678</v>
      </c>
      <c r="D335" t="s">
        <v>102</v>
      </c>
      <c r="E335" t="s">
        <v>53</v>
      </c>
      <c r="F335" s="2">
        <v>46210</v>
      </c>
      <c r="G335" s="2">
        <v>46210</v>
      </c>
      <c r="H335" s="4">
        <v>0</v>
      </c>
      <c r="J335">
        <v>458</v>
      </c>
      <c r="K335" t="s">
        <v>683</v>
      </c>
      <c r="L335" t="s">
        <v>144</v>
      </c>
      <c r="M335" t="s">
        <v>155</v>
      </c>
      <c r="N335" s="1">
        <v>46204</v>
      </c>
      <c r="P335" t="s">
        <v>636</v>
      </c>
      <c r="Q335" t="s">
        <v>676</v>
      </c>
      <c r="R335" t="s">
        <v>55</v>
      </c>
      <c r="S335" s="1">
        <v>46203</v>
      </c>
      <c r="T335" s="1">
        <v>46204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</row>
    <row r="336" spans="1:33" x14ac:dyDescent="0.25">
      <c r="A336">
        <v>460</v>
      </c>
      <c r="B336" t="s">
        <v>684</v>
      </c>
      <c r="C336" t="s">
        <v>678</v>
      </c>
      <c r="D336" t="s">
        <v>108</v>
      </c>
      <c r="E336" t="s">
        <v>53</v>
      </c>
      <c r="F336" s="2">
        <v>46210</v>
      </c>
      <c r="G336" s="2">
        <v>46210</v>
      </c>
      <c r="H336" s="4">
        <v>0</v>
      </c>
      <c r="J336" t="s">
        <v>685</v>
      </c>
      <c r="L336" t="s">
        <v>144</v>
      </c>
      <c r="M336" t="s">
        <v>538</v>
      </c>
      <c r="N336" s="1">
        <v>46205</v>
      </c>
      <c r="P336" t="s">
        <v>636</v>
      </c>
      <c r="Q336" t="s">
        <v>676</v>
      </c>
      <c r="R336" t="s">
        <v>55</v>
      </c>
      <c r="S336" s="1">
        <v>46205</v>
      </c>
      <c r="T336" s="1">
        <v>46205</v>
      </c>
      <c r="V336">
        <v>0</v>
      </c>
      <c r="W336">
        <v>0</v>
      </c>
      <c r="X336">
        <v>0</v>
      </c>
      <c r="Y336">
        <v>0</v>
      </c>
      <c r="Z336">
        <v>1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</row>
    <row r="337" spans="1:33" x14ac:dyDescent="0.25">
      <c r="A337">
        <v>466</v>
      </c>
      <c r="B337" t="s">
        <v>686</v>
      </c>
      <c r="C337" t="s">
        <v>638</v>
      </c>
      <c r="D337" t="s">
        <v>687</v>
      </c>
      <c r="E337" t="s">
        <v>154</v>
      </c>
      <c r="F337" s="2">
        <v>46210</v>
      </c>
      <c r="G337" s="2">
        <v>46217</v>
      </c>
      <c r="H337" s="4">
        <v>0.28000000000000003</v>
      </c>
      <c r="L337" t="s">
        <v>144</v>
      </c>
      <c r="M337" t="s">
        <v>675</v>
      </c>
      <c r="N337" s="1">
        <v>46206</v>
      </c>
      <c r="P337" t="s">
        <v>636</v>
      </c>
      <c r="Q337" t="s">
        <v>676</v>
      </c>
      <c r="R337" t="s">
        <v>55</v>
      </c>
      <c r="S337" s="1">
        <v>46197</v>
      </c>
      <c r="T337" s="1">
        <v>46206</v>
      </c>
      <c r="V337">
        <v>0.28000000000000003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</row>
    <row r="338" spans="1:33" x14ac:dyDescent="0.25">
      <c r="A338">
        <v>467</v>
      </c>
      <c r="B338" t="s">
        <v>688</v>
      </c>
      <c r="C338" t="s">
        <v>689</v>
      </c>
      <c r="D338" t="s">
        <v>94</v>
      </c>
      <c r="E338" t="s">
        <v>121</v>
      </c>
      <c r="F338" s="2">
        <v>46210</v>
      </c>
      <c r="G338" s="2">
        <v>46211</v>
      </c>
      <c r="H338" s="4">
        <v>0.7</v>
      </c>
      <c r="J338" t="s">
        <v>690</v>
      </c>
      <c r="K338">
        <v>468</v>
      </c>
      <c r="L338" t="s">
        <v>144</v>
      </c>
      <c r="M338" t="s">
        <v>675</v>
      </c>
      <c r="N338" s="1">
        <v>46202</v>
      </c>
      <c r="P338" t="s">
        <v>636</v>
      </c>
      <c r="Q338" t="s">
        <v>676</v>
      </c>
      <c r="R338" t="s">
        <v>55</v>
      </c>
      <c r="S338" s="1">
        <v>46197</v>
      </c>
      <c r="T338" s="1">
        <v>46202</v>
      </c>
      <c r="V338">
        <v>0.7</v>
      </c>
      <c r="W338">
        <v>1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</row>
    <row r="339" spans="1:33" x14ac:dyDescent="0.25">
      <c r="A339">
        <v>468</v>
      </c>
      <c r="B339" t="s">
        <v>691</v>
      </c>
      <c r="C339" t="s">
        <v>689</v>
      </c>
      <c r="D339" t="s">
        <v>98</v>
      </c>
      <c r="E339" t="s">
        <v>53</v>
      </c>
      <c r="F339" s="2">
        <v>46216</v>
      </c>
      <c r="G339" s="2">
        <v>46216</v>
      </c>
      <c r="H339" s="4">
        <v>0</v>
      </c>
      <c r="J339">
        <v>467</v>
      </c>
      <c r="K339">
        <v>469</v>
      </c>
      <c r="L339" t="s">
        <v>144</v>
      </c>
      <c r="M339" t="s">
        <v>155</v>
      </c>
      <c r="N339" s="1">
        <v>46203</v>
      </c>
      <c r="P339" t="s">
        <v>636</v>
      </c>
      <c r="Q339" t="s">
        <v>676</v>
      </c>
      <c r="R339" t="s">
        <v>55</v>
      </c>
      <c r="S339" s="1">
        <v>46203</v>
      </c>
      <c r="T339" s="1">
        <v>46203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</row>
    <row r="340" spans="1:33" x14ac:dyDescent="0.25">
      <c r="A340">
        <v>469</v>
      </c>
      <c r="B340" t="s">
        <v>692</v>
      </c>
      <c r="C340" t="s">
        <v>689</v>
      </c>
      <c r="D340" t="s">
        <v>102</v>
      </c>
      <c r="E340" t="s">
        <v>53</v>
      </c>
      <c r="F340" s="2">
        <v>46217</v>
      </c>
      <c r="G340" s="2">
        <v>46217</v>
      </c>
      <c r="H340" s="4">
        <v>0</v>
      </c>
      <c r="J340">
        <v>468</v>
      </c>
      <c r="K340" t="s">
        <v>693</v>
      </c>
      <c r="L340" t="s">
        <v>144</v>
      </c>
      <c r="M340" t="s">
        <v>426</v>
      </c>
      <c r="N340" s="1">
        <v>46205</v>
      </c>
      <c r="P340" t="s">
        <v>636</v>
      </c>
      <c r="Q340" t="s">
        <v>676</v>
      </c>
      <c r="R340" t="s">
        <v>55</v>
      </c>
      <c r="S340" s="1">
        <v>46204</v>
      </c>
      <c r="T340" s="1">
        <v>46205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</row>
    <row r="341" spans="1:33" x14ac:dyDescent="0.25">
      <c r="A341">
        <v>470</v>
      </c>
      <c r="B341" t="s">
        <v>694</v>
      </c>
      <c r="C341" t="s">
        <v>689</v>
      </c>
      <c r="D341" t="s">
        <v>108</v>
      </c>
      <c r="E341" t="s">
        <v>53</v>
      </c>
      <c r="F341" s="2">
        <v>46217</v>
      </c>
      <c r="G341" s="2">
        <v>46217</v>
      </c>
      <c r="H341" s="4">
        <v>0</v>
      </c>
      <c r="J341" t="s">
        <v>695</v>
      </c>
      <c r="L341" t="s">
        <v>144</v>
      </c>
      <c r="M341" t="s">
        <v>159</v>
      </c>
      <c r="N341" s="1">
        <v>46206</v>
      </c>
      <c r="P341" t="s">
        <v>636</v>
      </c>
      <c r="Q341" t="s">
        <v>676</v>
      </c>
      <c r="R341" t="s">
        <v>55</v>
      </c>
      <c r="S341" s="1">
        <v>46206</v>
      </c>
      <c r="T341" s="1">
        <v>46206</v>
      </c>
      <c r="V341">
        <v>0</v>
      </c>
      <c r="W341">
        <v>0</v>
      </c>
      <c r="X341">
        <v>0</v>
      </c>
      <c r="Y341">
        <v>0</v>
      </c>
      <c r="Z341">
        <v>1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</row>
    <row r="342" spans="1:33" x14ac:dyDescent="0.25">
      <c r="A342">
        <v>476</v>
      </c>
      <c r="B342" t="s">
        <v>696</v>
      </c>
      <c r="C342" t="s">
        <v>73</v>
      </c>
      <c r="D342" t="s">
        <v>697</v>
      </c>
      <c r="E342" t="s">
        <v>698</v>
      </c>
      <c r="F342" s="2">
        <v>46174</v>
      </c>
      <c r="G342" s="2">
        <v>46218</v>
      </c>
      <c r="H342" s="4">
        <v>0.6</v>
      </c>
      <c r="L342" t="s">
        <v>35</v>
      </c>
      <c r="M342" t="s">
        <v>187</v>
      </c>
      <c r="N342" s="1">
        <v>46211</v>
      </c>
      <c r="P342" t="s">
        <v>699</v>
      </c>
      <c r="Q342" t="s">
        <v>211</v>
      </c>
      <c r="R342" t="s">
        <v>55</v>
      </c>
      <c r="S342" s="1">
        <v>46162</v>
      </c>
      <c r="T342" s="1">
        <v>46211</v>
      </c>
      <c r="V342">
        <v>0.6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</row>
    <row r="343" spans="1:33" x14ac:dyDescent="0.25">
      <c r="A343">
        <v>482</v>
      </c>
      <c r="B343" t="s">
        <v>700</v>
      </c>
      <c r="C343" t="s">
        <v>701</v>
      </c>
      <c r="D343" t="s">
        <v>702</v>
      </c>
      <c r="E343" t="s">
        <v>703</v>
      </c>
      <c r="F343" s="2">
        <v>46188</v>
      </c>
      <c r="G343" s="2">
        <v>46202</v>
      </c>
      <c r="H343" s="4">
        <v>0.5</v>
      </c>
      <c r="K343">
        <v>563</v>
      </c>
      <c r="L343" t="s">
        <v>35</v>
      </c>
      <c r="M343" t="s">
        <v>62</v>
      </c>
      <c r="N343" s="1">
        <v>46174</v>
      </c>
      <c r="P343" t="s">
        <v>699</v>
      </c>
      <c r="Q343" t="s">
        <v>138</v>
      </c>
      <c r="R343" t="s">
        <v>55</v>
      </c>
      <c r="S343" s="1">
        <v>46164</v>
      </c>
      <c r="T343" s="1">
        <v>46174</v>
      </c>
      <c r="V343">
        <v>0.5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</row>
    <row r="344" spans="1:33" x14ac:dyDescent="0.25">
      <c r="A344">
        <v>483</v>
      </c>
      <c r="B344" t="s">
        <v>704</v>
      </c>
      <c r="C344" t="s">
        <v>705</v>
      </c>
      <c r="D344" t="s">
        <v>94</v>
      </c>
      <c r="E344" t="s">
        <v>628</v>
      </c>
      <c r="F344" s="2">
        <v>46188</v>
      </c>
      <c r="G344" s="2">
        <v>46193</v>
      </c>
      <c r="H344" s="4">
        <v>0.9</v>
      </c>
      <c r="J344">
        <v>518</v>
      </c>
      <c r="K344" t="s">
        <v>706</v>
      </c>
      <c r="L344" t="s">
        <v>35</v>
      </c>
      <c r="M344" t="s">
        <v>62</v>
      </c>
      <c r="N344" s="1">
        <v>46168</v>
      </c>
      <c r="P344" t="s">
        <v>699</v>
      </c>
      <c r="Q344" t="s">
        <v>138</v>
      </c>
      <c r="R344" t="s">
        <v>55</v>
      </c>
      <c r="S344" s="1">
        <v>46164</v>
      </c>
      <c r="T344" s="1">
        <v>46168</v>
      </c>
      <c r="V344">
        <v>0.9</v>
      </c>
      <c r="W344">
        <v>1</v>
      </c>
      <c r="X344">
        <v>0</v>
      </c>
      <c r="Y344">
        <v>1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</row>
    <row r="345" spans="1:33" x14ac:dyDescent="0.25">
      <c r="A345">
        <v>484</v>
      </c>
      <c r="B345" t="s">
        <v>707</v>
      </c>
      <c r="C345" t="s">
        <v>705</v>
      </c>
      <c r="D345" t="s">
        <v>98</v>
      </c>
      <c r="E345" t="s">
        <v>53</v>
      </c>
      <c r="F345" s="2">
        <v>46195</v>
      </c>
      <c r="G345" s="2">
        <v>46195</v>
      </c>
      <c r="H345" s="4">
        <v>0</v>
      </c>
      <c r="J345">
        <v>483</v>
      </c>
      <c r="K345">
        <v>485</v>
      </c>
      <c r="L345" t="s">
        <v>35</v>
      </c>
      <c r="M345" t="s">
        <v>436</v>
      </c>
      <c r="N345" s="1">
        <v>46169</v>
      </c>
      <c r="P345" t="s">
        <v>699</v>
      </c>
      <c r="Q345" t="s">
        <v>146</v>
      </c>
      <c r="R345" t="s">
        <v>55</v>
      </c>
      <c r="S345" s="1">
        <v>46169</v>
      </c>
      <c r="T345" s="1">
        <v>46169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1</v>
      </c>
      <c r="AC345">
        <v>0</v>
      </c>
      <c r="AD345">
        <v>0</v>
      </c>
      <c r="AE345">
        <v>0</v>
      </c>
      <c r="AF345">
        <v>0</v>
      </c>
      <c r="AG345">
        <v>0</v>
      </c>
    </row>
    <row r="346" spans="1:33" x14ac:dyDescent="0.25">
      <c r="A346">
        <v>485</v>
      </c>
      <c r="B346" t="s">
        <v>708</v>
      </c>
      <c r="C346" t="s">
        <v>705</v>
      </c>
      <c r="D346" t="s">
        <v>102</v>
      </c>
      <c r="E346" t="s">
        <v>121</v>
      </c>
      <c r="F346" s="2">
        <v>46196</v>
      </c>
      <c r="G346" s="2">
        <v>46197</v>
      </c>
      <c r="H346" s="4">
        <v>0</v>
      </c>
      <c r="J346">
        <v>484</v>
      </c>
      <c r="K346">
        <v>486</v>
      </c>
      <c r="L346" t="s">
        <v>35</v>
      </c>
      <c r="M346" t="s">
        <v>145</v>
      </c>
      <c r="N346" s="1">
        <v>46171</v>
      </c>
      <c r="P346" t="s">
        <v>699</v>
      </c>
      <c r="Q346" t="s">
        <v>146</v>
      </c>
      <c r="R346" t="s">
        <v>55</v>
      </c>
      <c r="S346" s="1">
        <v>46170</v>
      </c>
      <c r="T346" s="1">
        <v>46171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1</v>
      </c>
      <c r="AE346">
        <v>0</v>
      </c>
      <c r="AF346">
        <v>0</v>
      </c>
      <c r="AG346">
        <v>0</v>
      </c>
    </row>
    <row r="347" spans="1:33" x14ac:dyDescent="0.25">
      <c r="A347">
        <v>486</v>
      </c>
      <c r="B347" t="s">
        <v>709</v>
      </c>
      <c r="C347" t="s">
        <v>705</v>
      </c>
      <c r="D347" t="s">
        <v>108</v>
      </c>
      <c r="E347" t="s">
        <v>53</v>
      </c>
      <c r="F347" s="2">
        <v>46202</v>
      </c>
      <c r="G347" s="2">
        <v>46202</v>
      </c>
      <c r="H347" s="4">
        <v>0</v>
      </c>
      <c r="J347">
        <v>485</v>
      </c>
      <c r="L347" t="s">
        <v>35</v>
      </c>
      <c r="M347" t="s">
        <v>648</v>
      </c>
      <c r="N347" s="1">
        <v>46174</v>
      </c>
      <c r="P347" t="s">
        <v>699</v>
      </c>
      <c r="Q347" t="s">
        <v>151</v>
      </c>
      <c r="R347" t="s">
        <v>55</v>
      </c>
      <c r="S347" s="1">
        <v>46174</v>
      </c>
      <c r="T347" s="1">
        <v>46174</v>
      </c>
      <c r="V347">
        <v>0</v>
      </c>
      <c r="W347">
        <v>0</v>
      </c>
      <c r="X347">
        <v>0</v>
      </c>
      <c r="Y347">
        <v>0</v>
      </c>
      <c r="Z347">
        <v>1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1</v>
      </c>
      <c r="AG347">
        <v>0</v>
      </c>
    </row>
    <row r="348" spans="1:33" x14ac:dyDescent="0.25">
      <c r="A348">
        <v>487</v>
      </c>
      <c r="B348" t="s">
        <v>710</v>
      </c>
      <c r="C348" t="s">
        <v>701</v>
      </c>
      <c r="D348" t="s">
        <v>711</v>
      </c>
      <c r="E348" t="s">
        <v>625</v>
      </c>
      <c r="F348" s="2">
        <v>46203</v>
      </c>
      <c r="G348" s="2">
        <v>46216</v>
      </c>
      <c r="H348" s="4">
        <v>0</v>
      </c>
      <c r="L348" t="s">
        <v>35</v>
      </c>
      <c r="M348" t="s">
        <v>418</v>
      </c>
      <c r="N348" s="1">
        <v>46204</v>
      </c>
      <c r="P348" t="s">
        <v>699</v>
      </c>
      <c r="Q348" t="s">
        <v>146</v>
      </c>
      <c r="R348" t="s">
        <v>55</v>
      </c>
      <c r="S348" s="1">
        <v>46196</v>
      </c>
      <c r="T348" s="1">
        <v>46204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</row>
    <row r="349" spans="1:33" x14ac:dyDescent="0.25">
      <c r="A349">
        <v>488</v>
      </c>
      <c r="B349" t="s">
        <v>712</v>
      </c>
      <c r="C349" t="s">
        <v>713</v>
      </c>
      <c r="D349" t="s">
        <v>94</v>
      </c>
      <c r="E349" t="s">
        <v>556</v>
      </c>
      <c r="F349" s="2">
        <v>46203</v>
      </c>
      <c r="G349" s="2">
        <v>46206</v>
      </c>
      <c r="H349" s="4">
        <v>0</v>
      </c>
      <c r="K349">
        <v>489</v>
      </c>
      <c r="L349" t="s">
        <v>35</v>
      </c>
      <c r="M349" t="s">
        <v>418</v>
      </c>
      <c r="N349" s="1">
        <v>46198</v>
      </c>
      <c r="P349" t="s">
        <v>699</v>
      </c>
      <c r="Q349" t="s">
        <v>146</v>
      </c>
      <c r="R349" t="s">
        <v>55</v>
      </c>
      <c r="S349" s="1">
        <v>46196</v>
      </c>
      <c r="T349" s="1">
        <v>46198</v>
      </c>
      <c r="V349">
        <v>0</v>
      </c>
      <c r="W349">
        <v>1</v>
      </c>
      <c r="X349">
        <v>0</v>
      </c>
      <c r="Y349">
        <v>1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</row>
    <row r="350" spans="1:33" x14ac:dyDescent="0.25">
      <c r="A350">
        <v>489</v>
      </c>
      <c r="B350" t="s">
        <v>714</v>
      </c>
      <c r="C350" t="s">
        <v>713</v>
      </c>
      <c r="D350" t="s">
        <v>98</v>
      </c>
      <c r="E350" t="s">
        <v>53</v>
      </c>
      <c r="F350" s="2">
        <v>46209</v>
      </c>
      <c r="G350" s="2">
        <v>46209</v>
      </c>
      <c r="H350" s="4">
        <v>0</v>
      </c>
      <c r="J350">
        <v>488</v>
      </c>
      <c r="K350">
        <v>490</v>
      </c>
      <c r="L350" t="s">
        <v>144</v>
      </c>
      <c r="M350" t="s">
        <v>422</v>
      </c>
      <c r="N350" s="1">
        <v>46199</v>
      </c>
      <c r="P350" t="s">
        <v>699</v>
      </c>
      <c r="Q350" t="s">
        <v>151</v>
      </c>
      <c r="R350" t="s">
        <v>55</v>
      </c>
      <c r="S350" s="1">
        <v>46199</v>
      </c>
      <c r="T350" s="1">
        <v>46199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</row>
    <row r="351" spans="1:33" x14ac:dyDescent="0.25">
      <c r="A351">
        <v>490</v>
      </c>
      <c r="B351" t="s">
        <v>715</v>
      </c>
      <c r="C351" t="s">
        <v>713</v>
      </c>
      <c r="D351" t="s">
        <v>102</v>
      </c>
      <c r="E351" t="s">
        <v>121</v>
      </c>
      <c r="F351" s="2">
        <v>46210</v>
      </c>
      <c r="G351" s="2">
        <v>46211</v>
      </c>
      <c r="H351" s="4">
        <v>0</v>
      </c>
      <c r="J351">
        <v>489</v>
      </c>
      <c r="K351">
        <v>491</v>
      </c>
      <c r="L351" t="s">
        <v>144</v>
      </c>
      <c r="M351" t="s">
        <v>424</v>
      </c>
      <c r="N351" s="1">
        <v>46203</v>
      </c>
      <c r="P351" t="s">
        <v>699</v>
      </c>
      <c r="Q351" t="s">
        <v>151</v>
      </c>
      <c r="R351" t="s">
        <v>55</v>
      </c>
      <c r="S351" s="1">
        <v>46202</v>
      </c>
      <c r="T351" s="1">
        <v>46203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</row>
    <row r="352" spans="1:33" x14ac:dyDescent="0.25">
      <c r="A352">
        <v>491</v>
      </c>
      <c r="B352" t="s">
        <v>716</v>
      </c>
      <c r="C352" t="s">
        <v>713</v>
      </c>
      <c r="D352" t="s">
        <v>108</v>
      </c>
      <c r="E352" t="s">
        <v>53</v>
      </c>
      <c r="F352" s="2">
        <v>46216</v>
      </c>
      <c r="G352" s="2">
        <v>46216</v>
      </c>
      <c r="H352" s="4">
        <v>0</v>
      </c>
      <c r="J352">
        <v>490</v>
      </c>
      <c r="L352" t="s">
        <v>144</v>
      </c>
      <c r="M352" t="s">
        <v>426</v>
      </c>
      <c r="N352" s="1">
        <v>46204</v>
      </c>
      <c r="P352" t="s">
        <v>699</v>
      </c>
      <c r="Q352" t="s">
        <v>193</v>
      </c>
      <c r="R352" t="s">
        <v>55</v>
      </c>
      <c r="S352" s="1">
        <v>46204</v>
      </c>
      <c r="T352" s="1">
        <v>46204</v>
      </c>
      <c r="V352">
        <v>0</v>
      </c>
      <c r="W352">
        <v>0</v>
      </c>
      <c r="X352">
        <v>0</v>
      </c>
      <c r="Y352">
        <v>0</v>
      </c>
      <c r="Z352">
        <v>1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</row>
    <row r="353" spans="1:33" x14ac:dyDescent="0.25">
      <c r="A353">
        <v>492</v>
      </c>
      <c r="B353" t="s">
        <v>717</v>
      </c>
      <c r="C353" t="s">
        <v>701</v>
      </c>
      <c r="D353" t="s">
        <v>718</v>
      </c>
      <c r="E353" t="s">
        <v>625</v>
      </c>
      <c r="F353" s="2">
        <v>46203</v>
      </c>
      <c r="G353" s="2">
        <v>46216</v>
      </c>
      <c r="H353" s="4">
        <v>0</v>
      </c>
      <c r="L353" t="s">
        <v>35</v>
      </c>
      <c r="M353" t="s">
        <v>296</v>
      </c>
      <c r="N353" s="1">
        <v>46196</v>
      </c>
      <c r="P353" t="s">
        <v>699</v>
      </c>
      <c r="Q353" t="s">
        <v>146</v>
      </c>
      <c r="R353" t="s">
        <v>55</v>
      </c>
      <c r="S353" s="1">
        <v>46188</v>
      </c>
      <c r="T353" s="1">
        <v>46196</v>
      </c>
      <c r="U353" t="s">
        <v>320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</row>
    <row r="354" spans="1:33" x14ac:dyDescent="0.25">
      <c r="A354">
        <v>493</v>
      </c>
      <c r="B354" t="s">
        <v>719</v>
      </c>
      <c r="C354" t="s">
        <v>720</v>
      </c>
      <c r="D354" t="s">
        <v>94</v>
      </c>
      <c r="E354" t="s">
        <v>556</v>
      </c>
      <c r="F354" s="2">
        <v>46203</v>
      </c>
      <c r="G354" s="2">
        <v>46206</v>
      </c>
      <c r="H354" s="4">
        <v>0</v>
      </c>
      <c r="J354">
        <v>548</v>
      </c>
      <c r="K354" t="s">
        <v>721</v>
      </c>
      <c r="L354" t="s">
        <v>35</v>
      </c>
      <c r="M354" t="s">
        <v>296</v>
      </c>
      <c r="N354" s="1">
        <v>46190</v>
      </c>
      <c r="P354" t="s">
        <v>699</v>
      </c>
      <c r="Q354" t="s">
        <v>146</v>
      </c>
      <c r="R354" t="s">
        <v>55</v>
      </c>
      <c r="S354" s="1">
        <v>46188</v>
      </c>
      <c r="T354" s="1">
        <v>46190</v>
      </c>
      <c r="V354">
        <v>0</v>
      </c>
      <c r="W354">
        <v>1</v>
      </c>
      <c r="X354">
        <v>0</v>
      </c>
      <c r="Y354">
        <v>1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</row>
    <row r="355" spans="1:33" x14ac:dyDescent="0.25">
      <c r="A355">
        <v>494</v>
      </c>
      <c r="B355" t="s">
        <v>722</v>
      </c>
      <c r="C355" t="s">
        <v>720</v>
      </c>
      <c r="D355" t="s">
        <v>98</v>
      </c>
      <c r="E355" t="s">
        <v>53</v>
      </c>
      <c r="F355" s="2">
        <v>46209</v>
      </c>
      <c r="G355" s="2">
        <v>46209</v>
      </c>
      <c r="H355" s="4">
        <v>0</v>
      </c>
      <c r="J355">
        <v>493</v>
      </c>
      <c r="K355">
        <v>495</v>
      </c>
      <c r="L355" t="s">
        <v>144</v>
      </c>
      <c r="M355" t="s">
        <v>386</v>
      </c>
      <c r="N355" s="1">
        <v>46191</v>
      </c>
      <c r="P355" t="s">
        <v>699</v>
      </c>
      <c r="Q355" t="s">
        <v>151</v>
      </c>
      <c r="R355" t="s">
        <v>55</v>
      </c>
      <c r="S355" s="1">
        <v>46191</v>
      </c>
      <c r="T355" s="1">
        <v>46191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</row>
    <row r="356" spans="1:33" x14ac:dyDescent="0.25">
      <c r="A356">
        <v>495</v>
      </c>
      <c r="B356" t="s">
        <v>723</v>
      </c>
      <c r="C356" t="s">
        <v>720</v>
      </c>
      <c r="D356" t="s">
        <v>102</v>
      </c>
      <c r="E356" t="s">
        <v>121</v>
      </c>
      <c r="F356" s="2">
        <v>46210</v>
      </c>
      <c r="G356" s="2">
        <v>46211</v>
      </c>
      <c r="H356" s="4">
        <v>0</v>
      </c>
      <c r="J356">
        <v>494</v>
      </c>
      <c r="K356">
        <v>496</v>
      </c>
      <c r="L356" t="s">
        <v>144</v>
      </c>
      <c r="M356" t="s">
        <v>724</v>
      </c>
      <c r="N356" s="1">
        <v>46195</v>
      </c>
      <c r="P356" t="s">
        <v>699</v>
      </c>
      <c r="Q356" t="s">
        <v>151</v>
      </c>
      <c r="R356" t="s">
        <v>55</v>
      </c>
      <c r="S356" s="1">
        <v>46192</v>
      </c>
      <c r="T356" s="1">
        <v>46195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</row>
    <row r="357" spans="1:33" x14ac:dyDescent="0.25">
      <c r="A357">
        <v>496</v>
      </c>
      <c r="B357" t="s">
        <v>725</v>
      </c>
      <c r="C357" t="s">
        <v>720</v>
      </c>
      <c r="D357" t="s">
        <v>108</v>
      </c>
      <c r="E357" t="s">
        <v>53</v>
      </c>
      <c r="F357" s="2">
        <v>46216</v>
      </c>
      <c r="G357" s="2">
        <v>46216</v>
      </c>
      <c r="H357" s="4">
        <v>0</v>
      </c>
      <c r="J357">
        <v>495</v>
      </c>
      <c r="L357" t="s">
        <v>144</v>
      </c>
      <c r="M357" t="s">
        <v>418</v>
      </c>
      <c r="N357" s="1">
        <v>46196</v>
      </c>
      <c r="P357" t="s">
        <v>699</v>
      </c>
      <c r="Q357" t="s">
        <v>193</v>
      </c>
      <c r="R357" t="s">
        <v>55</v>
      </c>
      <c r="S357" s="1">
        <v>46196</v>
      </c>
      <c r="T357" s="1">
        <v>46196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</row>
    <row r="358" spans="1:33" x14ac:dyDescent="0.25">
      <c r="A358">
        <v>507</v>
      </c>
      <c r="B358" t="s">
        <v>726</v>
      </c>
      <c r="C358" t="s">
        <v>701</v>
      </c>
      <c r="D358" t="s">
        <v>727</v>
      </c>
      <c r="E358" t="s">
        <v>625</v>
      </c>
      <c r="F358" s="2">
        <v>46205</v>
      </c>
      <c r="G358" s="2">
        <v>46218</v>
      </c>
      <c r="H358" s="4">
        <v>0</v>
      </c>
      <c r="L358" t="s">
        <v>35</v>
      </c>
      <c r="M358" t="s">
        <v>538</v>
      </c>
      <c r="N358" s="1">
        <v>46211</v>
      </c>
      <c r="P358" t="s">
        <v>699</v>
      </c>
      <c r="Q358" t="s">
        <v>146</v>
      </c>
      <c r="R358" t="s">
        <v>55</v>
      </c>
      <c r="S358" s="1">
        <v>46205</v>
      </c>
      <c r="T358" s="1">
        <v>46211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</row>
    <row r="359" spans="1:33" x14ac:dyDescent="0.25">
      <c r="A359">
        <v>508</v>
      </c>
      <c r="B359" t="s">
        <v>728</v>
      </c>
      <c r="C359" t="s">
        <v>729</v>
      </c>
      <c r="D359" t="s">
        <v>94</v>
      </c>
      <c r="E359" t="s">
        <v>628</v>
      </c>
      <c r="F359" s="2">
        <v>46205</v>
      </c>
      <c r="G359" s="2">
        <v>46211</v>
      </c>
      <c r="H359" s="4">
        <v>0</v>
      </c>
      <c r="J359" t="s">
        <v>730</v>
      </c>
      <c r="K359">
        <v>509</v>
      </c>
      <c r="L359" t="s">
        <v>35</v>
      </c>
      <c r="M359" t="s">
        <v>538</v>
      </c>
      <c r="N359" s="1">
        <v>46205</v>
      </c>
      <c r="P359" t="s">
        <v>699</v>
      </c>
      <c r="Q359" t="s">
        <v>146</v>
      </c>
      <c r="R359" t="s">
        <v>55</v>
      </c>
      <c r="S359" s="1">
        <v>46205</v>
      </c>
      <c r="T359" s="1">
        <v>46205</v>
      </c>
      <c r="V359">
        <v>0</v>
      </c>
      <c r="W359">
        <v>1</v>
      </c>
      <c r="X359">
        <v>0</v>
      </c>
      <c r="Y359">
        <v>1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</row>
    <row r="360" spans="1:33" x14ac:dyDescent="0.25">
      <c r="A360">
        <v>509</v>
      </c>
      <c r="B360" t="s">
        <v>731</v>
      </c>
      <c r="C360" t="s">
        <v>729</v>
      </c>
      <c r="D360" t="s">
        <v>98</v>
      </c>
      <c r="E360" t="s">
        <v>53</v>
      </c>
      <c r="F360" s="2">
        <v>46216</v>
      </c>
      <c r="G360" s="2">
        <v>46216</v>
      </c>
      <c r="H360" s="4">
        <v>0</v>
      </c>
      <c r="J360">
        <v>508</v>
      </c>
      <c r="K360">
        <v>510</v>
      </c>
      <c r="L360" t="s">
        <v>144</v>
      </c>
      <c r="M360" t="s">
        <v>159</v>
      </c>
      <c r="N360" s="1">
        <v>46206</v>
      </c>
      <c r="P360" t="s">
        <v>699</v>
      </c>
      <c r="Q360" t="s">
        <v>151</v>
      </c>
      <c r="R360" t="s">
        <v>55</v>
      </c>
      <c r="S360" s="1">
        <v>46206</v>
      </c>
      <c r="T360" s="1">
        <v>46206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</row>
    <row r="361" spans="1:33" x14ac:dyDescent="0.25">
      <c r="A361">
        <v>510</v>
      </c>
      <c r="B361" t="s">
        <v>732</v>
      </c>
      <c r="C361" t="s">
        <v>729</v>
      </c>
      <c r="D361" t="s">
        <v>102</v>
      </c>
      <c r="E361" t="s">
        <v>53</v>
      </c>
      <c r="F361" s="2">
        <v>46217</v>
      </c>
      <c r="G361" s="2">
        <v>46217</v>
      </c>
      <c r="H361" s="4">
        <v>0</v>
      </c>
      <c r="J361">
        <v>509</v>
      </c>
      <c r="K361">
        <v>511</v>
      </c>
      <c r="L361" t="s">
        <v>144</v>
      </c>
      <c r="M361" t="s">
        <v>161</v>
      </c>
      <c r="N361" s="1">
        <v>46210</v>
      </c>
      <c r="P361" t="s">
        <v>699</v>
      </c>
      <c r="Q361" t="s">
        <v>193</v>
      </c>
      <c r="R361" t="s">
        <v>55</v>
      </c>
      <c r="S361" s="1">
        <v>46209</v>
      </c>
      <c r="T361" s="1">
        <v>46210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</row>
    <row r="362" spans="1:33" x14ac:dyDescent="0.25">
      <c r="A362">
        <v>511</v>
      </c>
      <c r="B362" t="s">
        <v>733</v>
      </c>
      <c r="C362" t="s">
        <v>729</v>
      </c>
      <c r="D362" t="s">
        <v>108</v>
      </c>
      <c r="E362" t="s">
        <v>53</v>
      </c>
      <c r="F362" s="2">
        <v>46218</v>
      </c>
      <c r="G362" s="2">
        <v>46218</v>
      </c>
      <c r="H362" s="4">
        <v>0</v>
      </c>
      <c r="J362">
        <v>510</v>
      </c>
      <c r="L362" t="s">
        <v>144</v>
      </c>
      <c r="M362" t="s">
        <v>163</v>
      </c>
      <c r="N362" s="1">
        <v>46211</v>
      </c>
      <c r="P362" t="s">
        <v>699</v>
      </c>
      <c r="Q362" t="s">
        <v>193</v>
      </c>
      <c r="R362" t="s">
        <v>55</v>
      </c>
      <c r="S362" s="1">
        <v>46211</v>
      </c>
      <c r="T362" s="1">
        <v>46211</v>
      </c>
      <c r="V362">
        <v>0</v>
      </c>
      <c r="W362">
        <v>0</v>
      </c>
      <c r="X362">
        <v>0</v>
      </c>
      <c r="Y362">
        <v>0</v>
      </c>
      <c r="Z362">
        <v>1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</row>
    <row r="363" spans="1:33" x14ac:dyDescent="0.25">
      <c r="A363">
        <v>512</v>
      </c>
      <c r="B363" t="s">
        <v>734</v>
      </c>
      <c r="C363" t="s">
        <v>701</v>
      </c>
      <c r="D363" t="s">
        <v>735</v>
      </c>
      <c r="E363" t="s">
        <v>287</v>
      </c>
      <c r="F363" s="2">
        <v>46174</v>
      </c>
      <c r="G363" s="2">
        <v>46191</v>
      </c>
      <c r="H363" s="4">
        <v>0.8</v>
      </c>
      <c r="L363" t="s">
        <v>35</v>
      </c>
      <c r="M363" t="s">
        <v>187</v>
      </c>
      <c r="N363" s="1">
        <v>46169</v>
      </c>
      <c r="P363" t="s">
        <v>699</v>
      </c>
      <c r="Q363" t="s">
        <v>211</v>
      </c>
      <c r="R363" t="s">
        <v>55</v>
      </c>
      <c r="S363" s="1">
        <v>46162</v>
      </c>
      <c r="T363" s="1">
        <v>46169</v>
      </c>
      <c r="V363">
        <v>0.8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</row>
    <row r="364" spans="1:33" x14ac:dyDescent="0.25">
      <c r="A364">
        <v>513</v>
      </c>
      <c r="B364" t="s">
        <v>736</v>
      </c>
      <c r="C364" t="s">
        <v>737</v>
      </c>
      <c r="D364" t="s">
        <v>94</v>
      </c>
      <c r="E364" t="s">
        <v>103</v>
      </c>
      <c r="F364" s="2">
        <v>46174</v>
      </c>
      <c r="G364" s="2">
        <v>46185</v>
      </c>
      <c r="H364" s="4">
        <v>1</v>
      </c>
      <c r="I364" s="2">
        <v>46185</v>
      </c>
      <c r="J364" t="s">
        <v>738</v>
      </c>
      <c r="K364">
        <v>514</v>
      </c>
      <c r="L364" t="s">
        <v>59</v>
      </c>
      <c r="M364" t="s">
        <v>187</v>
      </c>
      <c r="N364" s="1">
        <v>46163</v>
      </c>
      <c r="P364" t="s">
        <v>699</v>
      </c>
      <c r="Q364" t="s">
        <v>211</v>
      </c>
      <c r="R364" t="s">
        <v>55</v>
      </c>
      <c r="S364" s="1">
        <v>46162</v>
      </c>
      <c r="T364" s="1">
        <v>46163</v>
      </c>
      <c r="V364">
        <v>1</v>
      </c>
      <c r="W364">
        <v>1</v>
      </c>
      <c r="X364">
        <v>1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1</v>
      </c>
    </row>
    <row r="365" spans="1:33" x14ac:dyDescent="0.25">
      <c r="A365">
        <v>514</v>
      </c>
      <c r="B365" t="s">
        <v>739</v>
      </c>
      <c r="C365" t="s">
        <v>737</v>
      </c>
      <c r="D365" t="s">
        <v>98</v>
      </c>
      <c r="E365" t="s">
        <v>53</v>
      </c>
      <c r="F365" s="2">
        <v>46188</v>
      </c>
      <c r="G365" s="2">
        <v>46188</v>
      </c>
      <c r="H365" s="4">
        <v>1</v>
      </c>
      <c r="I365" s="2">
        <v>46188</v>
      </c>
      <c r="J365">
        <v>513</v>
      </c>
      <c r="K365">
        <v>515</v>
      </c>
      <c r="L365" t="s">
        <v>59</v>
      </c>
      <c r="M365" t="s">
        <v>62</v>
      </c>
      <c r="N365" s="1">
        <v>46164</v>
      </c>
      <c r="P365" t="s">
        <v>699</v>
      </c>
      <c r="Q365" t="s">
        <v>138</v>
      </c>
      <c r="R365" t="s">
        <v>55</v>
      </c>
      <c r="S365" s="1">
        <v>46164</v>
      </c>
      <c r="T365" s="1">
        <v>46164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1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</row>
    <row r="366" spans="1:33" x14ac:dyDescent="0.25">
      <c r="A366">
        <v>515</v>
      </c>
      <c r="B366" t="s">
        <v>740</v>
      </c>
      <c r="C366" t="s">
        <v>737</v>
      </c>
      <c r="D366" t="s">
        <v>102</v>
      </c>
      <c r="E366" t="s">
        <v>121</v>
      </c>
      <c r="F366" s="2">
        <v>46189</v>
      </c>
      <c r="G366" s="2">
        <v>46190</v>
      </c>
      <c r="H366" s="4">
        <v>0.5</v>
      </c>
      <c r="J366">
        <v>514</v>
      </c>
      <c r="K366">
        <v>516</v>
      </c>
      <c r="L366" t="s">
        <v>35</v>
      </c>
      <c r="M366" t="s">
        <v>137</v>
      </c>
      <c r="N366" s="1">
        <v>46168</v>
      </c>
      <c r="P366" t="s">
        <v>699</v>
      </c>
      <c r="Q366" t="s">
        <v>138</v>
      </c>
      <c r="R366" t="s">
        <v>55</v>
      </c>
      <c r="S366" s="1">
        <v>46167</v>
      </c>
      <c r="T366" s="1">
        <v>46168</v>
      </c>
      <c r="V366">
        <v>0.5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1</v>
      </c>
      <c r="AE366">
        <v>0</v>
      </c>
      <c r="AF366">
        <v>0</v>
      </c>
      <c r="AG366">
        <v>0</v>
      </c>
    </row>
    <row r="367" spans="1:33" x14ac:dyDescent="0.25">
      <c r="A367">
        <v>516</v>
      </c>
      <c r="B367" t="s">
        <v>741</v>
      </c>
      <c r="C367" t="s">
        <v>737</v>
      </c>
      <c r="D367" t="s">
        <v>108</v>
      </c>
      <c r="E367" t="s">
        <v>53</v>
      </c>
      <c r="F367" s="2">
        <v>46191</v>
      </c>
      <c r="G367" s="2">
        <v>46191</v>
      </c>
      <c r="H367" s="4">
        <v>0</v>
      </c>
      <c r="J367">
        <v>515</v>
      </c>
      <c r="L367" t="s">
        <v>35</v>
      </c>
      <c r="M367" t="s">
        <v>436</v>
      </c>
      <c r="N367" s="1">
        <v>46169</v>
      </c>
      <c r="P367" t="s">
        <v>699</v>
      </c>
      <c r="Q367" t="s">
        <v>138</v>
      </c>
      <c r="R367" t="s">
        <v>55</v>
      </c>
      <c r="S367" s="1">
        <v>46169</v>
      </c>
      <c r="T367" s="1">
        <v>46169</v>
      </c>
      <c r="V367">
        <v>0</v>
      </c>
      <c r="W367">
        <v>0</v>
      </c>
      <c r="X367">
        <v>0</v>
      </c>
      <c r="Y367">
        <v>0</v>
      </c>
      <c r="Z367">
        <v>1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1</v>
      </c>
      <c r="AG367">
        <v>0</v>
      </c>
    </row>
    <row r="368" spans="1:33" x14ac:dyDescent="0.25">
      <c r="A368">
        <v>517</v>
      </c>
      <c r="B368" t="s">
        <v>742</v>
      </c>
      <c r="C368" t="s">
        <v>701</v>
      </c>
      <c r="D368" t="s">
        <v>743</v>
      </c>
      <c r="E368" t="s">
        <v>744</v>
      </c>
      <c r="F368" s="2">
        <v>46176</v>
      </c>
      <c r="G368" s="2">
        <v>46191</v>
      </c>
      <c r="H368" s="4">
        <v>0.8</v>
      </c>
      <c r="L368" t="s">
        <v>35</v>
      </c>
      <c r="M368" t="s">
        <v>187</v>
      </c>
      <c r="N368" s="1">
        <v>46169</v>
      </c>
      <c r="P368" t="s">
        <v>699</v>
      </c>
      <c r="Q368" t="s">
        <v>211</v>
      </c>
      <c r="R368" t="s">
        <v>55</v>
      </c>
      <c r="S368" s="1">
        <v>46162</v>
      </c>
      <c r="T368" s="1">
        <v>46169</v>
      </c>
      <c r="V368">
        <v>0.8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</row>
    <row r="369" spans="1:33" x14ac:dyDescent="0.25">
      <c r="A369">
        <v>518</v>
      </c>
      <c r="B369" t="s">
        <v>745</v>
      </c>
      <c r="C369" t="s">
        <v>746</v>
      </c>
      <c r="D369" t="s">
        <v>94</v>
      </c>
      <c r="E369" t="s">
        <v>103</v>
      </c>
      <c r="F369" s="2">
        <v>46176</v>
      </c>
      <c r="G369" s="2">
        <v>46185</v>
      </c>
      <c r="H369" s="4">
        <v>1</v>
      </c>
      <c r="I369" s="2">
        <v>46185</v>
      </c>
      <c r="J369" t="s">
        <v>738</v>
      </c>
      <c r="K369" t="s">
        <v>747</v>
      </c>
      <c r="L369" t="s">
        <v>59</v>
      </c>
      <c r="M369" t="s">
        <v>187</v>
      </c>
      <c r="N369" s="1">
        <v>46163</v>
      </c>
      <c r="P369" t="s">
        <v>699</v>
      </c>
      <c r="Q369" t="s">
        <v>211</v>
      </c>
      <c r="R369" t="s">
        <v>55</v>
      </c>
      <c r="S369" s="1">
        <v>46162</v>
      </c>
      <c r="T369" s="1">
        <v>46163</v>
      </c>
      <c r="V369">
        <v>1</v>
      </c>
      <c r="W369">
        <v>1</v>
      </c>
      <c r="X369">
        <v>1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1</v>
      </c>
    </row>
    <row r="370" spans="1:33" x14ac:dyDescent="0.25">
      <c r="A370">
        <v>519</v>
      </c>
      <c r="B370" t="s">
        <v>748</v>
      </c>
      <c r="C370" t="s">
        <v>746</v>
      </c>
      <c r="D370" t="s">
        <v>98</v>
      </c>
      <c r="E370" t="s">
        <v>53</v>
      </c>
      <c r="F370" s="2">
        <v>46188</v>
      </c>
      <c r="G370" s="2">
        <v>46188</v>
      </c>
      <c r="H370" s="4">
        <v>1</v>
      </c>
      <c r="I370" s="2">
        <v>46188</v>
      </c>
      <c r="J370">
        <v>518</v>
      </c>
      <c r="K370">
        <v>520</v>
      </c>
      <c r="L370" t="s">
        <v>59</v>
      </c>
      <c r="M370" t="s">
        <v>62</v>
      </c>
      <c r="N370" s="1">
        <v>46164</v>
      </c>
      <c r="P370" t="s">
        <v>699</v>
      </c>
      <c r="Q370" t="s">
        <v>138</v>
      </c>
      <c r="R370" t="s">
        <v>55</v>
      </c>
      <c r="S370" s="1">
        <v>46164</v>
      </c>
      <c r="T370" s="1">
        <v>46164</v>
      </c>
      <c r="V370">
        <v>1</v>
      </c>
      <c r="W370">
        <v>0</v>
      </c>
      <c r="X370">
        <v>0</v>
      </c>
      <c r="Y370">
        <v>0</v>
      </c>
      <c r="Z370">
        <v>0</v>
      </c>
      <c r="AA370">
        <v>1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</row>
    <row r="371" spans="1:33" x14ac:dyDescent="0.25">
      <c r="A371">
        <v>520</v>
      </c>
      <c r="B371" t="s">
        <v>749</v>
      </c>
      <c r="C371" t="s">
        <v>746</v>
      </c>
      <c r="D371" t="s">
        <v>102</v>
      </c>
      <c r="E371" t="s">
        <v>121</v>
      </c>
      <c r="F371" s="2">
        <v>46189</v>
      </c>
      <c r="G371" s="2">
        <v>46190</v>
      </c>
      <c r="H371" s="4">
        <v>0.5</v>
      </c>
      <c r="J371">
        <v>519</v>
      </c>
      <c r="K371">
        <v>521</v>
      </c>
      <c r="L371" t="s">
        <v>35</v>
      </c>
      <c r="M371" t="s">
        <v>137</v>
      </c>
      <c r="N371" s="1">
        <v>46168</v>
      </c>
      <c r="P371" t="s">
        <v>699</v>
      </c>
      <c r="Q371" t="s">
        <v>138</v>
      </c>
      <c r="R371" t="s">
        <v>55</v>
      </c>
      <c r="S371" s="1">
        <v>46167</v>
      </c>
      <c r="T371" s="1">
        <v>46168</v>
      </c>
      <c r="V371">
        <v>0.5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1</v>
      </c>
      <c r="AE371">
        <v>0</v>
      </c>
      <c r="AF371">
        <v>0</v>
      </c>
      <c r="AG371">
        <v>0</v>
      </c>
    </row>
    <row r="372" spans="1:33" x14ac:dyDescent="0.25">
      <c r="A372">
        <v>521</v>
      </c>
      <c r="B372" t="s">
        <v>750</v>
      </c>
      <c r="C372" t="s">
        <v>746</v>
      </c>
      <c r="D372" t="s">
        <v>108</v>
      </c>
      <c r="E372" t="s">
        <v>53</v>
      </c>
      <c r="F372" s="2">
        <v>46191</v>
      </c>
      <c r="G372" s="2">
        <v>46191</v>
      </c>
      <c r="H372" s="4">
        <v>0</v>
      </c>
      <c r="J372">
        <v>520</v>
      </c>
      <c r="L372" t="s">
        <v>35</v>
      </c>
      <c r="M372" t="s">
        <v>436</v>
      </c>
      <c r="N372" s="1">
        <v>46169</v>
      </c>
      <c r="P372" t="s">
        <v>699</v>
      </c>
      <c r="Q372" t="s">
        <v>138</v>
      </c>
      <c r="R372" t="s">
        <v>55</v>
      </c>
      <c r="S372" s="1">
        <v>46169</v>
      </c>
      <c r="T372" s="1">
        <v>46169</v>
      </c>
      <c r="V372">
        <v>0</v>
      </c>
      <c r="W372">
        <v>0</v>
      </c>
      <c r="X372">
        <v>0</v>
      </c>
      <c r="Y372">
        <v>0</v>
      </c>
      <c r="Z372">
        <v>1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1</v>
      </c>
      <c r="AG372">
        <v>0</v>
      </c>
    </row>
    <row r="373" spans="1:33" x14ac:dyDescent="0.25">
      <c r="A373">
        <v>522</v>
      </c>
      <c r="B373" t="s">
        <v>751</v>
      </c>
      <c r="C373" t="s">
        <v>701</v>
      </c>
      <c r="D373" t="s">
        <v>752</v>
      </c>
      <c r="E373" t="s">
        <v>744</v>
      </c>
      <c r="F373" s="2">
        <v>46176</v>
      </c>
      <c r="G373" s="2">
        <v>46191</v>
      </c>
      <c r="H373" s="4">
        <v>0.8</v>
      </c>
      <c r="L373" t="s">
        <v>35</v>
      </c>
      <c r="M373" t="s">
        <v>187</v>
      </c>
      <c r="N373" s="1">
        <v>46169</v>
      </c>
      <c r="P373" t="s">
        <v>699</v>
      </c>
      <c r="Q373" t="s">
        <v>211</v>
      </c>
      <c r="R373" t="s">
        <v>55</v>
      </c>
      <c r="S373" s="1">
        <v>46162</v>
      </c>
      <c r="T373" s="1">
        <v>46169</v>
      </c>
      <c r="V373">
        <v>0.8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</row>
    <row r="374" spans="1:33" x14ac:dyDescent="0.25">
      <c r="A374">
        <v>523</v>
      </c>
      <c r="B374" t="s">
        <v>753</v>
      </c>
      <c r="C374" t="s">
        <v>754</v>
      </c>
      <c r="D374" t="s">
        <v>94</v>
      </c>
      <c r="E374" t="s">
        <v>103</v>
      </c>
      <c r="F374" s="2">
        <v>46176</v>
      </c>
      <c r="G374" s="2">
        <v>46185</v>
      </c>
      <c r="H374" s="4">
        <v>1</v>
      </c>
      <c r="I374" s="2">
        <v>46185</v>
      </c>
      <c r="J374" t="s">
        <v>738</v>
      </c>
      <c r="K374">
        <v>524</v>
      </c>
      <c r="L374" t="s">
        <v>59</v>
      </c>
      <c r="M374" t="s">
        <v>187</v>
      </c>
      <c r="N374" s="1">
        <v>46163</v>
      </c>
      <c r="P374" t="s">
        <v>699</v>
      </c>
      <c r="Q374" t="s">
        <v>211</v>
      </c>
      <c r="R374" t="s">
        <v>55</v>
      </c>
      <c r="S374" s="1">
        <v>46162</v>
      </c>
      <c r="T374" s="1">
        <v>46163</v>
      </c>
      <c r="V374">
        <v>1</v>
      </c>
      <c r="W374">
        <v>1</v>
      </c>
      <c r="X374">
        <v>1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1</v>
      </c>
    </row>
    <row r="375" spans="1:33" x14ac:dyDescent="0.25">
      <c r="A375">
        <v>524</v>
      </c>
      <c r="B375" t="s">
        <v>755</v>
      </c>
      <c r="C375" t="s">
        <v>754</v>
      </c>
      <c r="D375" t="s">
        <v>98</v>
      </c>
      <c r="E375" t="s">
        <v>53</v>
      </c>
      <c r="F375" s="2">
        <v>46188</v>
      </c>
      <c r="G375" s="2">
        <v>46188</v>
      </c>
      <c r="H375" s="4">
        <v>1</v>
      </c>
      <c r="I375" s="2">
        <v>46188</v>
      </c>
      <c r="J375">
        <v>523</v>
      </c>
      <c r="K375">
        <v>525</v>
      </c>
      <c r="L375" t="s">
        <v>59</v>
      </c>
      <c r="M375" t="s">
        <v>62</v>
      </c>
      <c r="N375" s="1">
        <v>46164</v>
      </c>
      <c r="P375" t="s">
        <v>699</v>
      </c>
      <c r="Q375" t="s">
        <v>138</v>
      </c>
      <c r="R375" t="s">
        <v>55</v>
      </c>
      <c r="S375" s="1">
        <v>46164</v>
      </c>
      <c r="T375" s="1">
        <v>46164</v>
      </c>
      <c r="V375">
        <v>1</v>
      </c>
      <c r="W375">
        <v>0</v>
      </c>
      <c r="X375">
        <v>0</v>
      </c>
      <c r="Y375">
        <v>0</v>
      </c>
      <c r="Z375">
        <v>0</v>
      </c>
      <c r="AA375">
        <v>1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</row>
    <row r="376" spans="1:33" x14ac:dyDescent="0.25">
      <c r="A376">
        <v>525</v>
      </c>
      <c r="B376" t="s">
        <v>756</v>
      </c>
      <c r="C376" t="s">
        <v>754</v>
      </c>
      <c r="D376" t="s">
        <v>102</v>
      </c>
      <c r="E376" t="s">
        <v>121</v>
      </c>
      <c r="F376" s="2">
        <v>46189</v>
      </c>
      <c r="G376" s="2">
        <v>46190</v>
      </c>
      <c r="H376" s="4">
        <v>0.5</v>
      </c>
      <c r="J376">
        <v>524</v>
      </c>
      <c r="K376">
        <v>526</v>
      </c>
      <c r="L376" t="s">
        <v>35</v>
      </c>
      <c r="M376" t="s">
        <v>137</v>
      </c>
      <c r="N376" s="1">
        <v>46168</v>
      </c>
      <c r="P376" t="s">
        <v>699</v>
      </c>
      <c r="Q376" t="s">
        <v>138</v>
      </c>
      <c r="R376" t="s">
        <v>55</v>
      </c>
      <c r="S376" s="1">
        <v>46167</v>
      </c>
      <c r="T376" s="1">
        <v>46168</v>
      </c>
      <c r="V376">
        <v>0.5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1</v>
      </c>
      <c r="AE376">
        <v>0</v>
      </c>
      <c r="AF376">
        <v>0</v>
      </c>
      <c r="AG376">
        <v>0</v>
      </c>
    </row>
    <row r="377" spans="1:33" x14ac:dyDescent="0.25">
      <c r="A377">
        <v>526</v>
      </c>
      <c r="B377" t="s">
        <v>757</v>
      </c>
      <c r="C377" t="s">
        <v>754</v>
      </c>
      <c r="D377" t="s">
        <v>108</v>
      </c>
      <c r="E377" t="s">
        <v>53</v>
      </c>
      <c r="F377" s="2">
        <v>46191</v>
      </c>
      <c r="G377" s="2">
        <v>46191</v>
      </c>
      <c r="H377" s="4">
        <v>0</v>
      </c>
      <c r="J377">
        <v>525</v>
      </c>
      <c r="L377" t="s">
        <v>35</v>
      </c>
      <c r="M377" t="s">
        <v>436</v>
      </c>
      <c r="N377" s="1">
        <v>46169</v>
      </c>
      <c r="P377" t="s">
        <v>699</v>
      </c>
      <c r="Q377" t="s">
        <v>138</v>
      </c>
      <c r="R377" t="s">
        <v>55</v>
      </c>
      <c r="S377" s="1">
        <v>46169</v>
      </c>
      <c r="T377" s="1">
        <v>46169</v>
      </c>
      <c r="V377">
        <v>0</v>
      </c>
      <c r="W377">
        <v>0</v>
      </c>
      <c r="X377">
        <v>0</v>
      </c>
      <c r="Y377">
        <v>0</v>
      </c>
      <c r="Z377">
        <v>1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1</v>
      </c>
      <c r="AG377">
        <v>0</v>
      </c>
    </row>
    <row r="378" spans="1:33" x14ac:dyDescent="0.25">
      <c r="A378">
        <v>527</v>
      </c>
      <c r="B378" t="s">
        <v>758</v>
      </c>
      <c r="C378" t="s">
        <v>701</v>
      </c>
      <c r="D378" t="s">
        <v>759</v>
      </c>
      <c r="E378" t="s">
        <v>744</v>
      </c>
      <c r="F378" s="2">
        <v>46195</v>
      </c>
      <c r="G378" s="2">
        <v>46206</v>
      </c>
      <c r="H378" s="4">
        <v>0.56000000000000005</v>
      </c>
      <c r="L378" t="s">
        <v>35</v>
      </c>
      <c r="M378" t="s">
        <v>436</v>
      </c>
      <c r="N378" s="1">
        <v>46188</v>
      </c>
      <c r="P378" t="s">
        <v>699</v>
      </c>
      <c r="Q378" t="s">
        <v>146</v>
      </c>
      <c r="R378" t="s">
        <v>55</v>
      </c>
      <c r="S378" s="1">
        <v>46169</v>
      </c>
      <c r="T378" s="1">
        <v>46188</v>
      </c>
      <c r="V378">
        <v>0.56000000000000005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0</v>
      </c>
    </row>
    <row r="379" spans="1:33" x14ac:dyDescent="0.25">
      <c r="A379">
        <v>528</v>
      </c>
      <c r="B379" t="s">
        <v>760</v>
      </c>
      <c r="C379" t="s">
        <v>761</v>
      </c>
      <c r="D379" t="s">
        <v>94</v>
      </c>
      <c r="E379" t="s">
        <v>556</v>
      </c>
      <c r="F379" s="2">
        <v>46195</v>
      </c>
      <c r="G379" s="2">
        <v>46198</v>
      </c>
      <c r="H379" s="4">
        <v>1</v>
      </c>
      <c r="I379" s="2">
        <v>46198</v>
      </c>
      <c r="J379">
        <v>483</v>
      </c>
      <c r="K379">
        <v>529</v>
      </c>
      <c r="L379" t="s">
        <v>59</v>
      </c>
      <c r="M379" t="s">
        <v>436</v>
      </c>
      <c r="N379" s="1">
        <v>46182</v>
      </c>
      <c r="P379" t="s">
        <v>699</v>
      </c>
      <c r="Q379" t="s">
        <v>146</v>
      </c>
      <c r="R379" t="s">
        <v>55</v>
      </c>
      <c r="S379" s="1">
        <v>46169</v>
      </c>
      <c r="T379" s="1">
        <v>46182</v>
      </c>
      <c r="V379">
        <v>1</v>
      </c>
      <c r="W379">
        <v>1</v>
      </c>
      <c r="X379">
        <v>1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1</v>
      </c>
    </row>
    <row r="380" spans="1:33" x14ac:dyDescent="0.25">
      <c r="A380">
        <v>529</v>
      </c>
      <c r="B380" t="s">
        <v>762</v>
      </c>
      <c r="C380" t="s">
        <v>761</v>
      </c>
      <c r="D380" t="s">
        <v>98</v>
      </c>
      <c r="E380" t="s">
        <v>53</v>
      </c>
      <c r="F380" s="2">
        <v>46199</v>
      </c>
      <c r="G380" s="2">
        <v>46199</v>
      </c>
      <c r="H380" s="4">
        <v>0.5</v>
      </c>
      <c r="J380">
        <v>528</v>
      </c>
      <c r="K380">
        <v>530</v>
      </c>
      <c r="L380" t="s">
        <v>35</v>
      </c>
      <c r="M380" t="s">
        <v>292</v>
      </c>
      <c r="N380" s="1">
        <v>46183</v>
      </c>
      <c r="P380" t="s">
        <v>699</v>
      </c>
      <c r="Q380" t="s">
        <v>151</v>
      </c>
      <c r="R380" t="s">
        <v>55</v>
      </c>
      <c r="S380" s="1">
        <v>46183</v>
      </c>
      <c r="T380" s="1">
        <v>46183</v>
      </c>
      <c r="V380">
        <v>0.5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1</v>
      </c>
      <c r="AC380">
        <v>0</v>
      </c>
      <c r="AD380">
        <v>0</v>
      </c>
      <c r="AE380">
        <v>0</v>
      </c>
      <c r="AF380">
        <v>0</v>
      </c>
      <c r="AG380">
        <v>0</v>
      </c>
    </row>
    <row r="381" spans="1:33" x14ac:dyDescent="0.25">
      <c r="A381">
        <v>530</v>
      </c>
      <c r="B381" t="s">
        <v>763</v>
      </c>
      <c r="C381" t="s">
        <v>761</v>
      </c>
      <c r="D381" t="s">
        <v>102</v>
      </c>
      <c r="E381" t="s">
        <v>121</v>
      </c>
      <c r="F381" s="2">
        <v>46202</v>
      </c>
      <c r="G381" s="2">
        <v>46203</v>
      </c>
      <c r="H381" s="4">
        <v>0</v>
      </c>
      <c r="J381">
        <v>529</v>
      </c>
      <c r="K381">
        <v>531</v>
      </c>
      <c r="L381" t="s">
        <v>35</v>
      </c>
      <c r="M381" t="s">
        <v>294</v>
      </c>
      <c r="N381" s="1">
        <v>46185</v>
      </c>
      <c r="P381" t="s">
        <v>699</v>
      </c>
      <c r="Q381" t="s">
        <v>151</v>
      </c>
      <c r="R381" t="s">
        <v>55</v>
      </c>
      <c r="S381" s="1">
        <v>46184</v>
      </c>
      <c r="T381" s="1">
        <v>46185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1</v>
      </c>
      <c r="AE381">
        <v>0</v>
      </c>
      <c r="AF381">
        <v>0</v>
      </c>
      <c r="AG381">
        <v>0</v>
      </c>
    </row>
    <row r="382" spans="1:33" x14ac:dyDescent="0.25">
      <c r="A382">
        <v>531</v>
      </c>
      <c r="B382" t="s">
        <v>764</v>
      </c>
      <c r="C382" t="s">
        <v>761</v>
      </c>
      <c r="D382" t="s">
        <v>108</v>
      </c>
      <c r="E382" t="s">
        <v>53</v>
      </c>
      <c r="F382" s="2">
        <v>46206</v>
      </c>
      <c r="G382" s="2">
        <v>46206</v>
      </c>
      <c r="H382" s="4">
        <v>0</v>
      </c>
      <c r="J382">
        <v>530</v>
      </c>
      <c r="L382" t="s">
        <v>131</v>
      </c>
      <c r="M382" t="s">
        <v>296</v>
      </c>
      <c r="N382" s="1">
        <v>46188</v>
      </c>
      <c r="P382" t="s">
        <v>699</v>
      </c>
      <c r="Q382" t="s">
        <v>151</v>
      </c>
      <c r="R382" t="s">
        <v>55</v>
      </c>
      <c r="S382" s="1">
        <v>46188</v>
      </c>
      <c r="T382" s="1">
        <v>46188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</row>
    <row r="383" spans="1:33" x14ac:dyDescent="0.25">
      <c r="A383">
        <v>532</v>
      </c>
      <c r="B383" t="s">
        <v>765</v>
      </c>
      <c r="C383" t="s">
        <v>701</v>
      </c>
      <c r="D383" t="s">
        <v>766</v>
      </c>
      <c r="E383" t="s">
        <v>744</v>
      </c>
      <c r="F383" s="2">
        <v>46192</v>
      </c>
      <c r="G383" s="2">
        <v>46205</v>
      </c>
      <c r="H383" s="4">
        <v>0.56000000000000005</v>
      </c>
      <c r="L383" t="s">
        <v>35</v>
      </c>
      <c r="M383" t="s">
        <v>436</v>
      </c>
      <c r="N383" s="1">
        <v>46188</v>
      </c>
      <c r="P383" t="s">
        <v>699</v>
      </c>
      <c r="Q383" t="s">
        <v>138</v>
      </c>
      <c r="R383" t="s">
        <v>55</v>
      </c>
      <c r="S383" s="1">
        <v>46169</v>
      </c>
      <c r="T383" s="1">
        <v>46188</v>
      </c>
      <c r="V383">
        <v>0.56000000000000005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</row>
    <row r="384" spans="1:33" x14ac:dyDescent="0.25">
      <c r="A384">
        <v>533</v>
      </c>
      <c r="B384" t="s">
        <v>767</v>
      </c>
      <c r="C384" t="s">
        <v>768</v>
      </c>
      <c r="D384" t="s">
        <v>94</v>
      </c>
      <c r="E384" t="s">
        <v>556</v>
      </c>
      <c r="F384" s="2">
        <v>46192</v>
      </c>
      <c r="G384" s="2">
        <v>46197</v>
      </c>
      <c r="H384" s="4">
        <v>1</v>
      </c>
      <c r="I384" s="2">
        <v>46197</v>
      </c>
      <c r="J384">
        <v>483</v>
      </c>
      <c r="K384">
        <v>534</v>
      </c>
      <c r="L384" t="s">
        <v>59</v>
      </c>
      <c r="M384" t="s">
        <v>436</v>
      </c>
      <c r="N384" s="1">
        <v>46182</v>
      </c>
      <c r="P384" t="s">
        <v>699</v>
      </c>
      <c r="Q384" t="s">
        <v>138</v>
      </c>
      <c r="R384" t="s">
        <v>55</v>
      </c>
      <c r="S384" s="1">
        <v>46169</v>
      </c>
      <c r="T384" s="1">
        <v>46182</v>
      </c>
      <c r="V384">
        <v>1</v>
      </c>
      <c r="W384">
        <v>1</v>
      </c>
      <c r="X384">
        <v>1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1</v>
      </c>
    </row>
    <row r="385" spans="1:33" x14ac:dyDescent="0.25">
      <c r="A385">
        <v>534</v>
      </c>
      <c r="B385" t="s">
        <v>769</v>
      </c>
      <c r="C385" t="s">
        <v>768</v>
      </c>
      <c r="D385" t="s">
        <v>98</v>
      </c>
      <c r="E385" t="s">
        <v>53</v>
      </c>
      <c r="F385" s="2">
        <v>46198</v>
      </c>
      <c r="G385" s="2">
        <v>46198</v>
      </c>
      <c r="H385" s="4">
        <v>0.5</v>
      </c>
      <c r="J385">
        <v>533</v>
      </c>
      <c r="K385">
        <v>535</v>
      </c>
      <c r="L385" t="s">
        <v>35</v>
      </c>
      <c r="M385" t="s">
        <v>292</v>
      </c>
      <c r="N385" s="1">
        <v>46183</v>
      </c>
      <c r="P385" t="s">
        <v>699</v>
      </c>
      <c r="Q385" t="s">
        <v>146</v>
      </c>
      <c r="R385" t="s">
        <v>55</v>
      </c>
      <c r="S385" s="1">
        <v>46183</v>
      </c>
      <c r="T385" s="1">
        <v>46183</v>
      </c>
      <c r="V385">
        <v>0.5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1</v>
      </c>
      <c r="AC385">
        <v>0</v>
      </c>
      <c r="AD385">
        <v>0</v>
      </c>
      <c r="AE385">
        <v>0</v>
      </c>
      <c r="AF385">
        <v>0</v>
      </c>
      <c r="AG385">
        <v>0</v>
      </c>
    </row>
    <row r="386" spans="1:33" x14ac:dyDescent="0.25">
      <c r="A386">
        <v>535</v>
      </c>
      <c r="B386" t="s">
        <v>770</v>
      </c>
      <c r="C386" t="s">
        <v>768</v>
      </c>
      <c r="D386" t="s">
        <v>102</v>
      </c>
      <c r="E386" t="s">
        <v>121</v>
      </c>
      <c r="F386" s="2">
        <v>46199</v>
      </c>
      <c r="G386" s="2">
        <v>46202</v>
      </c>
      <c r="H386" s="4">
        <v>0</v>
      </c>
      <c r="J386">
        <v>534</v>
      </c>
      <c r="K386">
        <v>536</v>
      </c>
      <c r="L386" t="s">
        <v>35</v>
      </c>
      <c r="M386" t="s">
        <v>294</v>
      </c>
      <c r="N386" s="1">
        <v>46185</v>
      </c>
      <c r="P386" t="s">
        <v>699</v>
      </c>
      <c r="Q386" t="s">
        <v>146</v>
      </c>
      <c r="R386" t="s">
        <v>55</v>
      </c>
      <c r="S386" s="1">
        <v>46184</v>
      </c>
      <c r="T386" s="1">
        <v>46185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1</v>
      </c>
      <c r="AE386">
        <v>0</v>
      </c>
      <c r="AF386">
        <v>0</v>
      </c>
      <c r="AG386">
        <v>0</v>
      </c>
    </row>
    <row r="387" spans="1:33" x14ac:dyDescent="0.25">
      <c r="A387">
        <v>536</v>
      </c>
      <c r="B387" t="s">
        <v>771</v>
      </c>
      <c r="C387" t="s">
        <v>768</v>
      </c>
      <c r="D387" t="s">
        <v>108</v>
      </c>
      <c r="E387" t="s">
        <v>53</v>
      </c>
      <c r="F387" s="2">
        <v>46205</v>
      </c>
      <c r="G387" s="2">
        <v>46205</v>
      </c>
      <c r="H387" s="4">
        <v>0</v>
      </c>
      <c r="J387">
        <v>535</v>
      </c>
      <c r="L387" t="s">
        <v>35</v>
      </c>
      <c r="M387" t="s">
        <v>296</v>
      </c>
      <c r="N387" s="1">
        <v>46188</v>
      </c>
      <c r="P387" t="s">
        <v>699</v>
      </c>
      <c r="Q387" t="s">
        <v>151</v>
      </c>
      <c r="R387" t="s">
        <v>55</v>
      </c>
      <c r="S387" s="1">
        <v>46188</v>
      </c>
      <c r="T387" s="1">
        <v>46188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1</v>
      </c>
      <c r="AG387">
        <v>0</v>
      </c>
    </row>
    <row r="388" spans="1:33" x14ac:dyDescent="0.25">
      <c r="A388">
        <v>537</v>
      </c>
      <c r="B388" t="s">
        <v>772</v>
      </c>
      <c r="C388" t="s">
        <v>701</v>
      </c>
      <c r="D388" t="s">
        <v>773</v>
      </c>
      <c r="E388" t="s">
        <v>136</v>
      </c>
      <c r="F388" s="2">
        <v>46197</v>
      </c>
      <c r="G388" s="2">
        <v>46205</v>
      </c>
      <c r="H388" s="4">
        <v>0.5</v>
      </c>
      <c r="L388" t="s">
        <v>35</v>
      </c>
      <c r="M388" t="s">
        <v>436</v>
      </c>
      <c r="N388" s="1">
        <v>46188</v>
      </c>
      <c r="P388" t="s">
        <v>699</v>
      </c>
      <c r="Q388" t="s">
        <v>146</v>
      </c>
      <c r="R388" t="s">
        <v>55</v>
      </c>
      <c r="S388" s="1">
        <v>46169</v>
      </c>
      <c r="T388" s="1">
        <v>46188</v>
      </c>
      <c r="V388">
        <v>0.5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</row>
    <row r="389" spans="1:33" x14ac:dyDescent="0.25">
      <c r="A389">
        <v>538</v>
      </c>
      <c r="B389" t="s">
        <v>774</v>
      </c>
      <c r="C389" t="s">
        <v>775</v>
      </c>
      <c r="D389" t="s">
        <v>94</v>
      </c>
      <c r="E389" t="s">
        <v>95</v>
      </c>
      <c r="F389" s="2">
        <v>46197</v>
      </c>
      <c r="G389" s="2">
        <v>46199</v>
      </c>
      <c r="H389" s="4">
        <v>1</v>
      </c>
      <c r="I389" s="2">
        <v>46199</v>
      </c>
      <c r="J389">
        <v>483</v>
      </c>
      <c r="K389">
        <v>539</v>
      </c>
      <c r="L389" t="s">
        <v>59</v>
      </c>
      <c r="M389" t="s">
        <v>436</v>
      </c>
      <c r="N389" s="1">
        <v>46182</v>
      </c>
      <c r="P389" t="s">
        <v>699</v>
      </c>
      <c r="Q389" t="s">
        <v>146</v>
      </c>
      <c r="R389" t="s">
        <v>55</v>
      </c>
      <c r="S389" s="1">
        <v>46169</v>
      </c>
      <c r="T389" s="1">
        <v>46182</v>
      </c>
      <c r="V389">
        <v>1</v>
      </c>
      <c r="W389">
        <v>1</v>
      </c>
      <c r="X389">
        <v>1</v>
      </c>
      <c r="Y389">
        <v>0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1</v>
      </c>
    </row>
    <row r="390" spans="1:33" x14ac:dyDescent="0.25">
      <c r="A390">
        <v>539</v>
      </c>
      <c r="B390" t="s">
        <v>776</v>
      </c>
      <c r="C390" t="s">
        <v>775</v>
      </c>
      <c r="D390" t="s">
        <v>98</v>
      </c>
      <c r="E390" t="s">
        <v>53</v>
      </c>
      <c r="F390" s="2">
        <v>46202</v>
      </c>
      <c r="G390" s="2">
        <v>46202</v>
      </c>
      <c r="H390" s="4">
        <v>0.5</v>
      </c>
      <c r="J390">
        <v>538</v>
      </c>
      <c r="K390">
        <v>540</v>
      </c>
      <c r="L390" t="s">
        <v>35</v>
      </c>
      <c r="M390" t="s">
        <v>292</v>
      </c>
      <c r="N390" s="1">
        <v>46183</v>
      </c>
      <c r="P390" t="s">
        <v>699</v>
      </c>
      <c r="Q390" t="s">
        <v>151</v>
      </c>
      <c r="R390" t="s">
        <v>55</v>
      </c>
      <c r="S390" s="1">
        <v>46183</v>
      </c>
      <c r="T390" s="1">
        <v>46183</v>
      </c>
      <c r="V390">
        <v>0.5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1</v>
      </c>
      <c r="AC390">
        <v>0</v>
      </c>
      <c r="AD390">
        <v>0</v>
      </c>
      <c r="AE390">
        <v>0</v>
      </c>
      <c r="AF390">
        <v>0</v>
      </c>
      <c r="AG390">
        <v>0</v>
      </c>
    </row>
    <row r="391" spans="1:33" x14ac:dyDescent="0.25">
      <c r="A391">
        <v>540</v>
      </c>
      <c r="B391" t="s">
        <v>777</v>
      </c>
      <c r="C391" t="s">
        <v>775</v>
      </c>
      <c r="D391" t="s">
        <v>102</v>
      </c>
      <c r="E391" t="s">
        <v>121</v>
      </c>
      <c r="F391" s="2">
        <v>46203</v>
      </c>
      <c r="G391" s="2">
        <v>46204</v>
      </c>
      <c r="H391" s="4">
        <v>0</v>
      </c>
      <c r="J391">
        <v>539</v>
      </c>
      <c r="K391">
        <v>541</v>
      </c>
      <c r="L391" t="s">
        <v>35</v>
      </c>
      <c r="M391" t="s">
        <v>294</v>
      </c>
      <c r="N391" s="1">
        <v>46185</v>
      </c>
      <c r="P391" t="s">
        <v>699</v>
      </c>
      <c r="Q391" t="s">
        <v>151</v>
      </c>
      <c r="R391" t="s">
        <v>55</v>
      </c>
      <c r="S391" s="1">
        <v>46184</v>
      </c>
      <c r="T391" s="1">
        <v>46185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1</v>
      </c>
      <c r="AE391">
        <v>0</v>
      </c>
      <c r="AF391">
        <v>0</v>
      </c>
      <c r="AG391">
        <v>0</v>
      </c>
    </row>
    <row r="392" spans="1:33" x14ac:dyDescent="0.25">
      <c r="A392">
        <v>541</v>
      </c>
      <c r="B392" t="s">
        <v>778</v>
      </c>
      <c r="C392" t="s">
        <v>775</v>
      </c>
      <c r="D392" t="s">
        <v>108</v>
      </c>
      <c r="E392" t="s">
        <v>53</v>
      </c>
      <c r="F392" s="2">
        <v>46205</v>
      </c>
      <c r="G392" s="2">
        <v>46205</v>
      </c>
      <c r="H392" s="4">
        <v>0</v>
      </c>
      <c r="J392">
        <v>540</v>
      </c>
      <c r="L392" t="s">
        <v>35</v>
      </c>
      <c r="M392" t="s">
        <v>296</v>
      </c>
      <c r="N392" s="1">
        <v>46188</v>
      </c>
      <c r="P392" t="s">
        <v>699</v>
      </c>
      <c r="Q392" t="s">
        <v>151</v>
      </c>
      <c r="R392" t="s">
        <v>55</v>
      </c>
      <c r="S392" s="1">
        <v>46188</v>
      </c>
      <c r="T392" s="1">
        <v>46188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1</v>
      </c>
      <c r="AG392">
        <v>0</v>
      </c>
    </row>
    <row r="393" spans="1:33" x14ac:dyDescent="0.25">
      <c r="A393">
        <v>542</v>
      </c>
      <c r="B393" t="s">
        <v>779</v>
      </c>
      <c r="C393" t="s">
        <v>701</v>
      </c>
      <c r="D393" t="s">
        <v>780</v>
      </c>
      <c r="E393" t="s">
        <v>625</v>
      </c>
      <c r="F393" s="2">
        <v>46192</v>
      </c>
      <c r="G393" s="2">
        <v>46203</v>
      </c>
      <c r="H393" s="4">
        <v>0.56000000000000005</v>
      </c>
      <c r="L393" t="s">
        <v>35</v>
      </c>
      <c r="M393" t="s">
        <v>436</v>
      </c>
      <c r="N393" s="1">
        <v>46188</v>
      </c>
      <c r="P393" t="s">
        <v>699</v>
      </c>
      <c r="Q393" t="s">
        <v>138</v>
      </c>
      <c r="R393" t="s">
        <v>55</v>
      </c>
      <c r="S393" s="1">
        <v>46169</v>
      </c>
      <c r="T393" s="1">
        <v>46188</v>
      </c>
      <c r="V393">
        <v>0.56000000000000005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</row>
    <row r="394" spans="1:33" x14ac:dyDescent="0.25">
      <c r="A394">
        <v>543</v>
      </c>
      <c r="B394" t="s">
        <v>781</v>
      </c>
      <c r="C394" t="s">
        <v>782</v>
      </c>
      <c r="D394" t="s">
        <v>94</v>
      </c>
      <c r="E394" t="s">
        <v>556</v>
      </c>
      <c r="F394" s="2">
        <v>46192</v>
      </c>
      <c r="G394" s="2">
        <v>46197</v>
      </c>
      <c r="H394" s="4">
        <v>1</v>
      </c>
      <c r="I394" s="2">
        <v>46197</v>
      </c>
      <c r="J394">
        <v>483</v>
      </c>
      <c r="K394">
        <v>544</v>
      </c>
      <c r="L394" t="s">
        <v>59</v>
      </c>
      <c r="M394" t="s">
        <v>436</v>
      </c>
      <c r="N394" s="1">
        <v>46182</v>
      </c>
      <c r="P394" t="s">
        <v>699</v>
      </c>
      <c r="Q394" t="s">
        <v>138</v>
      </c>
      <c r="R394" t="s">
        <v>55</v>
      </c>
      <c r="S394" s="1">
        <v>46169</v>
      </c>
      <c r="T394" s="1">
        <v>46182</v>
      </c>
      <c r="V394">
        <v>1</v>
      </c>
      <c r="W394">
        <v>1</v>
      </c>
      <c r="X394">
        <v>1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1</v>
      </c>
    </row>
    <row r="395" spans="1:33" x14ac:dyDescent="0.25">
      <c r="A395">
        <v>544</v>
      </c>
      <c r="B395" t="s">
        <v>783</v>
      </c>
      <c r="C395" t="s">
        <v>782</v>
      </c>
      <c r="D395" t="s">
        <v>98</v>
      </c>
      <c r="E395" t="s">
        <v>53</v>
      </c>
      <c r="F395" s="2">
        <v>46198</v>
      </c>
      <c r="G395" s="2">
        <v>46198</v>
      </c>
      <c r="H395" s="4">
        <v>0.5</v>
      </c>
      <c r="J395">
        <v>543</v>
      </c>
      <c r="K395">
        <v>545</v>
      </c>
      <c r="L395" t="s">
        <v>35</v>
      </c>
      <c r="M395" t="s">
        <v>292</v>
      </c>
      <c r="N395" s="1">
        <v>46183</v>
      </c>
      <c r="P395" t="s">
        <v>699</v>
      </c>
      <c r="Q395" t="s">
        <v>146</v>
      </c>
      <c r="R395" t="s">
        <v>55</v>
      </c>
      <c r="S395" s="1">
        <v>46183</v>
      </c>
      <c r="T395" s="1">
        <v>46183</v>
      </c>
      <c r="V395">
        <v>0.5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1</v>
      </c>
      <c r="AC395">
        <v>0</v>
      </c>
      <c r="AD395">
        <v>0</v>
      </c>
      <c r="AE395">
        <v>0</v>
      </c>
      <c r="AF395">
        <v>0</v>
      </c>
      <c r="AG395">
        <v>0</v>
      </c>
    </row>
    <row r="396" spans="1:33" x14ac:dyDescent="0.25">
      <c r="A396">
        <v>545</v>
      </c>
      <c r="B396" t="s">
        <v>784</v>
      </c>
      <c r="C396" t="s">
        <v>782</v>
      </c>
      <c r="D396" t="s">
        <v>102</v>
      </c>
      <c r="E396" t="s">
        <v>121</v>
      </c>
      <c r="F396" s="2">
        <v>46199</v>
      </c>
      <c r="G396" s="2">
        <v>46202</v>
      </c>
      <c r="H396" s="4">
        <v>0</v>
      </c>
      <c r="J396">
        <v>544</v>
      </c>
      <c r="K396">
        <v>546</v>
      </c>
      <c r="L396" t="s">
        <v>35</v>
      </c>
      <c r="M396" t="s">
        <v>294</v>
      </c>
      <c r="N396" s="1">
        <v>46185</v>
      </c>
      <c r="P396" t="s">
        <v>699</v>
      </c>
      <c r="Q396" t="s">
        <v>146</v>
      </c>
      <c r="R396" t="s">
        <v>55</v>
      </c>
      <c r="S396" s="1">
        <v>46184</v>
      </c>
      <c r="T396" s="1">
        <v>46185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1</v>
      </c>
      <c r="AE396">
        <v>0</v>
      </c>
      <c r="AF396">
        <v>0</v>
      </c>
      <c r="AG396">
        <v>0</v>
      </c>
    </row>
    <row r="397" spans="1:33" x14ac:dyDescent="0.25">
      <c r="A397">
        <v>546</v>
      </c>
      <c r="B397" t="s">
        <v>785</v>
      </c>
      <c r="C397" t="s">
        <v>782</v>
      </c>
      <c r="D397" t="s">
        <v>108</v>
      </c>
      <c r="E397" t="s">
        <v>53</v>
      </c>
      <c r="F397" s="2">
        <v>46203</v>
      </c>
      <c r="G397" s="2">
        <v>46203</v>
      </c>
      <c r="H397" s="4">
        <v>0</v>
      </c>
      <c r="J397">
        <v>545</v>
      </c>
      <c r="L397" t="s">
        <v>35</v>
      </c>
      <c r="M397" t="s">
        <v>296</v>
      </c>
      <c r="N397" s="1">
        <v>46188</v>
      </c>
      <c r="P397" t="s">
        <v>699</v>
      </c>
      <c r="Q397" t="s">
        <v>151</v>
      </c>
      <c r="R397" t="s">
        <v>55</v>
      </c>
      <c r="S397" s="1">
        <v>46188</v>
      </c>
      <c r="T397" s="1">
        <v>46188</v>
      </c>
      <c r="V397">
        <v>0</v>
      </c>
      <c r="W397">
        <v>0</v>
      </c>
      <c r="X397">
        <v>0</v>
      </c>
      <c r="Y397">
        <v>0</v>
      </c>
      <c r="Z397">
        <v>1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1</v>
      </c>
      <c r="AG397">
        <v>0</v>
      </c>
    </row>
    <row r="398" spans="1:33" x14ac:dyDescent="0.25">
      <c r="A398">
        <v>547</v>
      </c>
      <c r="B398" t="s">
        <v>786</v>
      </c>
      <c r="C398" t="s">
        <v>701</v>
      </c>
      <c r="D398" t="s">
        <v>787</v>
      </c>
      <c r="E398" t="s">
        <v>625</v>
      </c>
      <c r="F398" s="2">
        <v>46190</v>
      </c>
      <c r="G398" s="2">
        <v>46199</v>
      </c>
      <c r="H398" s="4">
        <v>0.25</v>
      </c>
      <c r="L398" t="s">
        <v>35</v>
      </c>
      <c r="M398" t="s">
        <v>292</v>
      </c>
      <c r="N398" s="1">
        <v>46191</v>
      </c>
      <c r="P398" t="s">
        <v>699</v>
      </c>
      <c r="Q398" t="s">
        <v>138</v>
      </c>
      <c r="R398" t="s">
        <v>55</v>
      </c>
      <c r="S398" s="1">
        <v>46183</v>
      </c>
      <c r="T398" s="1">
        <v>46191</v>
      </c>
      <c r="V398">
        <v>0.25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0</v>
      </c>
    </row>
    <row r="399" spans="1:33" x14ac:dyDescent="0.25">
      <c r="A399">
        <v>548</v>
      </c>
      <c r="B399" t="s">
        <v>788</v>
      </c>
      <c r="C399" t="s">
        <v>789</v>
      </c>
      <c r="D399" t="s">
        <v>94</v>
      </c>
      <c r="E399" t="s">
        <v>556</v>
      </c>
      <c r="F399" s="2">
        <v>46190</v>
      </c>
      <c r="G399" s="2">
        <v>46195</v>
      </c>
      <c r="H399" s="4">
        <v>0.5</v>
      </c>
      <c r="K399" t="s">
        <v>790</v>
      </c>
      <c r="L399" t="s">
        <v>35</v>
      </c>
      <c r="M399" t="s">
        <v>292</v>
      </c>
      <c r="N399" s="1">
        <v>46185</v>
      </c>
      <c r="P399" t="s">
        <v>699</v>
      </c>
      <c r="Q399" t="s">
        <v>138</v>
      </c>
      <c r="R399" t="s">
        <v>55</v>
      </c>
      <c r="S399" s="1">
        <v>46183</v>
      </c>
      <c r="T399" s="1">
        <v>46185</v>
      </c>
      <c r="V399">
        <v>0.5</v>
      </c>
      <c r="W399">
        <v>1</v>
      </c>
      <c r="X399">
        <v>0</v>
      </c>
      <c r="Y399">
        <v>1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0</v>
      </c>
    </row>
    <row r="400" spans="1:33" x14ac:dyDescent="0.25">
      <c r="A400">
        <v>549</v>
      </c>
      <c r="B400" t="s">
        <v>791</v>
      </c>
      <c r="C400" t="s">
        <v>789</v>
      </c>
      <c r="D400" t="s">
        <v>98</v>
      </c>
      <c r="E400" t="s">
        <v>53</v>
      </c>
      <c r="F400" s="2">
        <v>46196</v>
      </c>
      <c r="G400" s="2">
        <v>46196</v>
      </c>
      <c r="H400" s="4">
        <v>0</v>
      </c>
      <c r="J400">
        <v>548</v>
      </c>
      <c r="K400">
        <v>550</v>
      </c>
      <c r="L400" t="s">
        <v>35</v>
      </c>
      <c r="M400" t="s">
        <v>296</v>
      </c>
      <c r="N400" s="1">
        <v>46188</v>
      </c>
      <c r="P400" t="s">
        <v>699</v>
      </c>
      <c r="Q400" t="s">
        <v>146</v>
      </c>
      <c r="R400" t="s">
        <v>55</v>
      </c>
      <c r="S400" s="1">
        <v>46188</v>
      </c>
      <c r="T400" s="1">
        <v>46188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1</v>
      </c>
      <c r="AC400">
        <v>0</v>
      </c>
      <c r="AD400">
        <v>0</v>
      </c>
      <c r="AE400">
        <v>0</v>
      </c>
      <c r="AF400">
        <v>0</v>
      </c>
      <c r="AG400">
        <v>0</v>
      </c>
    </row>
    <row r="401" spans="1:33" x14ac:dyDescent="0.25">
      <c r="A401">
        <v>550</v>
      </c>
      <c r="B401" t="s">
        <v>792</v>
      </c>
      <c r="C401" t="s">
        <v>789</v>
      </c>
      <c r="D401" t="s">
        <v>102</v>
      </c>
      <c r="E401" t="s">
        <v>121</v>
      </c>
      <c r="F401" s="2">
        <v>46197</v>
      </c>
      <c r="G401" s="2">
        <v>46198</v>
      </c>
      <c r="H401" s="4">
        <v>0</v>
      </c>
      <c r="J401">
        <v>549</v>
      </c>
      <c r="K401">
        <v>551</v>
      </c>
      <c r="L401" t="s">
        <v>35</v>
      </c>
      <c r="M401" t="s">
        <v>174</v>
      </c>
      <c r="N401" s="1">
        <v>46190</v>
      </c>
      <c r="P401" t="s">
        <v>699</v>
      </c>
      <c r="Q401" t="s">
        <v>146</v>
      </c>
      <c r="R401" t="s">
        <v>55</v>
      </c>
      <c r="S401" s="1">
        <v>46189</v>
      </c>
      <c r="T401" s="1">
        <v>46190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1</v>
      </c>
      <c r="AE401">
        <v>0</v>
      </c>
      <c r="AF401">
        <v>0</v>
      </c>
      <c r="AG401">
        <v>0</v>
      </c>
    </row>
    <row r="402" spans="1:33" x14ac:dyDescent="0.25">
      <c r="A402">
        <v>551</v>
      </c>
      <c r="B402" t="s">
        <v>793</v>
      </c>
      <c r="C402" t="s">
        <v>789</v>
      </c>
      <c r="D402" t="s">
        <v>108</v>
      </c>
      <c r="E402" t="s">
        <v>53</v>
      </c>
      <c r="F402" s="2">
        <v>46199</v>
      </c>
      <c r="G402" s="2">
        <v>46199</v>
      </c>
      <c r="H402" s="4">
        <v>0</v>
      </c>
      <c r="J402">
        <v>550</v>
      </c>
      <c r="L402" t="s">
        <v>35</v>
      </c>
      <c r="M402" t="s">
        <v>386</v>
      </c>
      <c r="N402" s="1">
        <v>46191</v>
      </c>
      <c r="P402" t="s">
        <v>699</v>
      </c>
      <c r="Q402" t="s">
        <v>146</v>
      </c>
      <c r="R402" t="s">
        <v>55</v>
      </c>
      <c r="S402" s="1">
        <v>46191</v>
      </c>
      <c r="T402" s="1">
        <v>46191</v>
      </c>
      <c r="V402">
        <v>0</v>
      </c>
      <c r="W402">
        <v>0</v>
      </c>
      <c r="X402">
        <v>0</v>
      </c>
      <c r="Y402">
        <v>0</v>
      </c>
      <c r="Z402">
        <v>1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1</v>
      </c>
      <c r="AG402">
        <v>0</v>
      </c>
    </row>
    <row r="403" spans="1:33" x14ac:dyDescent="0.25">
      <c r="A403">
        <v>562</v>
      </c>
      <c r="B403" t="s">
        <v>794</v>
      </c>
      <c r="C403" t="s">
        <v>701</v>
      </c>
      <c r="D403" t="s">
        <v>795</v>
      </c>
      <c r="E403" t="s">
        <v>136</v>
      </c>
      <c r="F403" s="2">
        <v>46203</v>
      </c>
      <c r="G403" s="2">
        <v>46211</v>
      </c>
      <c r="H403" s="4">
        <v>0</v>
      </c>
      <c r="L403" t="s">
        <v>35</v>
      </c>
      <c r="M403" t="s">
        <v>426</v>
      </c>
      <c r="N403" s="1">
        <v>46210</v>
      </c>
      <c r="P403" t="s">
        <v>699</v>
      </c>
      <c r="Q403" t="s">
        <v>146</v>
      </c>
      <c r="R403" t="s">
        <v>55</v>
      </c>
      <c r="S403" s="1">
        <v>46204</v>
      </c>
      <c r="T403" s="1">
        <v>46210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</row>
    <row r="404" spans="1:33" x14ac:dyDescent="0.25">
      <c r="A404">
        <v>563</v>
      </c>
      <c r="B404" t="s">
        <v>796</v>
      </c>
      <c r="C404" t="s">
        <v>797</v>
      </c>
      <c r="D404" t="s">
        <v>94</v>
      </c>
      <c r="E404" t="s">
        <v>556</v>
      </c>
      <c r="F404" s="2">
        <v>46203</v>
      </c>
      <c r="G404" s="2">
        <v>46206</v>
      </c>
      <c r="H404" s="4">
        <v>0</v>
      </c>
      <c r="J404" t="s">
        <v>798</v>
      </c>
      <c r="K404" t="s">
        <v>799</v>
      </c>
      <c r="L404" t="s">
        <v>35</v>
      </c>
      <c r="M404" t="s">
        <v>426</v>
      </c>
      <c r="N404" s="1">
        <v>46204</v>
      </c>
      <c r="P404" t="s">
        <v>699</v>
      </c>
      <c r="Q404" t="s">
        <v>146</v>
      </c>
      <c r="R404" t="s">
        <v>55</v>
      </c>
      <c r="S404" s="1">
        <v>46204</v>
      </c>
      <c r="T404" s="1">
        <v>46204</v>
      </c>
      <c r="V404">
        <v>0</v>
      </c>
      <c r="W404">
        <v>1</v>
      </c>
      <c r="X404">
        <v>0</v>
      </c>
      <c r="Y404">
        <v>1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</row>
    <row r="405" spans="1:33" x14ac:dyDescent="0.25">
      <c r="A405">
        <v>564</v>
      </c>
      <c r="B405" t="s">
        <v>800</v>
      </c>
      <c r="C405" t="s">
        <v>797</v>
      </c>
      <c r="D405" t="s">
        <v>98</v>
      </c>
      <c r="E405" t="s">
        <v>53</v>
      </c>
      <c r="F405" s="2">
        <v>46209</v>
      </c>
      <c r="G405" s="2">
        <v>46209</v>
      </c>
      <c r="H405" s="4">
        <v>0</v>
      </c>
      <c r="J405">
        <v>563</v>
      </c>
      <c r="K405">
        <v>565</v>
      </c>
      <c r="L405" t="s">
        <v>144</v>
      </c>
      <c r="M405" t="s">
        <v>538</v>
      </c>
      <c r="N405" s="1">
        <v>46205</v>
      </c>
      <c r="P405" t="s">
        <v>699</v>
      </c>
      <c r="Q405" t="s">
        <v>151</v>
      </c>
      <c r="R405" t="s">
        <v>55</v>
      </c>
      <c r="S405" s="1">
        <v>46205</v>
      </c>
      <c r="T405" s="1">
        <v>46205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</row>
    <row r="406" spans="1:33" x14ac:dyDescent="0.25">
      <c r="A406">
        <v>565</v>
      </c>
      <c r="B406" t="s">
        <v>801</v>
      </c>
      <c r="C406" t="s">
        <v>797</v>
      </c>
      <c r="D406" t="s">
        <v>102</v>
      </c>
      <c r="E406" t="s">
        <v>53</v>
      </c>
      <c r="F406" s="2">
        <v>46210</v>
      </c>
      <c r="G406" s="2">
        <v>46210</v>
      </c>
      <c r="H406" s="4">
        <v>0</v>
      </c>
      <c r="J406">
        <v>564</v>
      </c>
      <c r="K406">
        <v>566</v>
      </c>
      <c r="L406" t="s">
        <v>144</v>
      </c>
      <c r="M406" t="s">
        <v>159</v>
      </c>
      <c r="N406" s="1">
        <v>46209</v>
      </c>
      <c r="P406" t="s">
        <v>699</v>
      </c>
      <c r="Q406" t="s">
        <v>151</v>
      </c>
      <c r="R406" t="s">
        <v>55</v>
      </c>
      <c r="S406" s="1">
        <v>46206</v>
      </c>
      <c r="T406" s="1">
        <v>46209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</row>
    <row r="407" spans="1:33" x14ac:dyDescent="0.25">
      <c r="A407">
        <v>566</v>
      </c>
      <c r="B407" t="s">
        <v>802</v>
      </c>
      <c r="C407" t="s">
        <v>797</v>
      </c>
      <c r="D407" t="s">
        <v>108</v>
      </c>
      <c r="E407" t="s">
        <v>53</v>
      </c>
      <c r="F407" s="2">
        <v>46211</v>
      </c>
      <c r="G407" s="2">
        <v>46211</v>
      </c>
      <c r="H407" s="4">
        <v>0</v>
      </c>
      <c r="J407">
        <v>565</v>
      </c>
      <c r="L407" t="s">
        <v>144</v>
      </c>
      <c r="M407" t="s">
        <v>541</v>
      </c>
      <c r="N407" s="1">
        <v>46210</v>
      </c>
      <c r="P407" t="s">
        <v>699</v>
      </c>
      <c r="Q407" t="s">
        <v>193</v>
      </c>
      <c r="R407" t="s">
        <v>55</v>
      </c>
      <c r="S407" s="1">
        <v>46210</v>
      </c>
      <c r="T407" s="1">
        <v>46210</v>
      </c>
      <c r="V407">
        <v>0</v>
      </c>
      <c r="W407">
        <v>0</v>
      </c>
      <c r="X407">
        <v>0</v>
      </c>
      <c r="Y407">
        <v>0</v>
      </c>
      <c r="Z407">
        <v>1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</row>
    <row r="408" spans="1:33" x14ac:dyDescent="0.25">
      <c r="A408">
        <v>567</v>
      </c>
      <c r="B408" t="s">
        <v>803</v>
      </c>
      <c r="C408" t="s">
        <v>701</v>
      </c>
      <c r="D408" t="s">
        <v>804</v>
      </c>
      <c r="E408" t="s">
        <v>136</v>
      </c>
      <c r="F408" s="2">
        <v>46204</v>
      </c>
      <c r="G408" s="2">
        <v>46216</v>
      </c>
      <c r="H408" s="4">
        <v>0</v>
      </c>
      <c r="L408" t="s">
        <v>35</v>
      </c>
      <c r="M408" t="s">
        <v>386</v>
      </c>
      <c r="N408" s="1">
        <v>46199</v>
      </c>
      <c r="P408" t="s">
        <v>699</v>
      </c>
      <c r="Q408" t="s">
        <v>146</v>
      </c>
      <c r="R408" t="s">
        <v>55</v>
      </c>
      <c r="S408" s="1">
        <v>46191</v>
      </c>
      <c r="T408" s="1">
        <v>46199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</row>
    <row r="409" spans="1:33" x14ac:dyDescent="0.25">
      <c r="A409">
        <v>568</v>
      </c>
      <c r="B409" t="s">
        <v>805</v>
      </c>
      <c r="C409" t="s">
        <v>806</v>
      </c>
      <c r="D409" t="s">
        <v>94</v>
      </c>
      <c r="E409" t="s">
        <v>95</v>
      </c>
      <c r="F409" s="2">
        <v>46204</v>
      </c>
      <c r="G409" s="2">
        <v>46206</v>
      </c>
      <c r="H409" s="4">
        <v>0</v>
      </c>
      <c r="J409" t="s">
        <v>807</v>
      </c>
      <c r="K409">
        <v>569</v>
      </c>
      <c r="L409" t="s">
        <v>35</v>
      </c>
      <c r="M409" t="s">
        <v>386</v>
      </c>
      <c r="N409" s="1">
        <v>46195</v>
      </c>
      <c r="P409" t="s">
        <v>699</v>
      </c>
      <c r="Q409" t="s">
        <v>146</v>
      </c>
      <c r="R409" t="s">
        <v>55</v>
      </c>
      <c r="S409" s="1">
        <v>46191</v>
      </c>
      <c r="T409" s="1">
        <v>46195</v>
      </c>
      <c r="V409">
        <v>0</v>
      </c>
      <c r="W409">
        <v>1</v>
      </c>
      <c r="X409">
        <v>0</v>
      </c>
      <c r="Y409">
        <v>1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</row>
    <row r="410" spans="1:33" x14ac:dyDescent="0.25">
      <c r="A410">
        <v>569</v>
      </c>
      <c r="B410" t="s">
        <v>808</v>
      </c>
      <c r="C410" t="s">
        <v>806</v>
      </c>
      <c r="D410" t="s">
        <v>98</v>
      </c>
      <c r="E410" t="s">
        <v>53</v>
      </c>
      <c r="F410" s="2">
        <v>46209</v>
      </c>
      <c r="G410" s="2">
        <v>46209</v>
      </c>
      <c r="H410" s="4">
        <v>0</v>
      </c>
      <c r="J410">
        <v>568</v>
      </c>
      <c r="K410">
        <v>570</v>
      </c>
      <c r="L410" t="s">
        <v>144</v>
      </c>
      <c r="M410" t="s">
        <v>418</v>
      </c>
      <c r="N410" s="1">
        <v>46196</v>
      </c>
      <c r="P410" t="s">
        <v>699</v>
      </c>
      <c r="Q410" t="s">
        <v>151</v>
      </c>
      <c r="R410" t="s">
        <v>55</v>
      </c>
      <c r="S410" s="1">
        <v>46196</v>
      </c>
      <c r="T410" s="1">
        <v>46196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</row>
    <row r="411" spans="1:33" x14ac:dyDescent="0.25">
      <c r="A411">
        <v>570</v>
      </c>
      <c r="B411" t="s">
        <v>809</v>
      </c>
      <c r="C411" t="s">
        <v>806</v>
      </c>
      <c r="D411" t="s">
        <v>102</v>
      </c>
      <c r="E411" t="s">
        <v>121</v>
      </c>
      <c r="F411" s="2">
        <v>46210</v>
      </c>
      <c r="G411" s="2">
        <v>46211</v>
      </c>
      <c r="H411" s="4">
        <v>0</v>
      </c>
      <c r="J411">
        <v>569</v>
      </c>
      <c r="K411">
        <v>571</v>
      </c>
      <c r="L411" t="s">
        <v>144</v>
      </c>
      <c r="M411" t="s">
        <v>675</v>
      </c>
      <c r="N411" s="1">
        <v>46198</v>
      </c>
      <c r="P411" t="s">
        <v>699</v>
      </c>
      <c r="Q411" t="s">
        <v>151</v>
      </c>
      <c r="R411" t="s">
        <v>55</v>
      </c>
      <c r="S411" s="1">
        <v>46197</v>
      </c>
      <c r="T411" s="1">
        <v>46198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</row>
    <row r="412" spans="1:33" x14ac:dyDescent="0.25">
      <c r="A412">
        <v>571</v>
      </c>
      <c r="B412" t="s">
        <v>810</v>
      </c>
      <c r="C412" t="s">
        <v>806</v>
      </c>
      <c r="D412" t="s">
        <v>108</v>
      </c>
      <c r="E412" t="s">
        <v>53</v>
      </c>
      <c r="F412" s="2">
        <v>46216</v>
      </c>
      <c r="G412" s="2">
        <v>46216</v>
      </c>
      <c r="H412" s="4">
        <v>0</v>
      </c>
      <c r="J412">
        <v>570</v>
      </c>
      <c r="L412" t="s">
        <v>144</v>
      </c>
      <c r="M412" t="s">
        <v>422</v>
      </c>
      <c r="N412" s="1">
        <v>46199</v>
      </c>
      <c r="P412" t="s">
        <v>699</v>
      </c>
      <c r="Q412" t="s">
        <v>193</v>
      </c>
      <c r="R412" t="s">
        <v>55</v>
      </c>
      <c r="S412" s="1">
        <v>46199</v>
      </c>
      <c r="T412" s="1">
        <v>46199</v>
      </c>
      <c r="V412">
        <v>0</v>
      </c>
      <c r="W412">
        <v>0</v>
      </c>
      <c r="X412">
        <v>0</v>
      </c>
      <c r="Y412">
        <v>0</v>
      </c>
      <c r="Z412">
        <v>1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</row>
    <row r="413" spans="1:33" x14ac:dyDescent="0.25">
      <c r="A413">
        <v>572</v>
      </c>
      <c r="B413" t="s">
        <v>811</v>
      </c>
      <c r="C413" t="s">
        <v>701</v>
      </c>
      <c r="D413" t="s">
        <v>812</v>
      </c>
      <c r="E413" t="s">
        <v>744</v>
      </c>
      <c r="F413" s="2">
        <v>46188</v>
      </c>
      <c r="G413" s="2">
        <v>46199</v>
      </c>
      <c r="H413" s="4">
        <v>0.75</v>
      </c>
      <c r="L413" t="s">
        <v>35</v>
      </c>
      <c r="M413" t="s">
        <v>386</v>
      </c>
      <c r="N413" s="1">
        <v>46210</v>
      </c>
      <c r="P413" t="s">
        <v>699</v>
      </c>
      <c r="Q413" t="s">
        <v>138</v>
      </c>
      <c r="R413" t="s">
        <v>55</v>
      </c>
      <c r="S413" s="1">
        <v>46191</v>
      </c>
      <c r="T413" s="1">
        <v>46210</v>
      </c>
      <c r="V413">
        <v>0.75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</row>
    <row r="414" spans="1:33" x14ac:dyDescent="0.25">
      <c r="A414">
        <v>573</v>
      </c>
      <c r="B414" t="s">
        <v>813</v>
      </c>
      <c r="C414" t="s">
        <v>814</v>
      </c>
      <c r="D414" t="s">
        <v>94</v>
      </c>
      <c r="E414" t="s">
        <v>815</v>
      </c>
      <c r="F414" s="2">
        <v>46188</v>
      </c>
      <c r="G414" s="2">
        <v>46196</v>
      </c>
      <c r="H414" s="4">
        <v>1</v>
      </c>
      <c r="I414" s="2">
        <v>46196</v>
      </c>
      <c r="K414" t="s">
        <v>816</v>
      </c>
      <c r="L414" t="s">
        <v>59</v>
      </c>
      <c r="M414" t="s">
        <v>386</v>
      </c>
      <c r="N414" s="1">
        <v>46204</v>
      </c>
      <c r="P414" t="s">
        <v>699</v>
      </c>
      <c r="Q414" t="s">
        <v>138</v>
      </c>
      <c r="R414" t="s">
        <v>55</v>
      </c>
      <c r="S414" s="1">
        <v>46191</v>
      </c>
      <c r="T414" s="1">
        <v>46204</v>
      </c>
      <c r="V414">
        <v>1</v>
      </c>
      <c r="W414">
        <v>1</v>
      </c>
      <c r="X414">
        <v>1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0</v>
      </c>
      <c r="AG414">
        <v>1</v>
      </c>
    </row>
    <row r="415" spans="1:33" x14ac:dyDescent="0.25">
      <c r="A415">
        <v>574</v>
      </c>
      <c r="B415" t="s">
        <v>817</v>
      </c>
      <c r="C415" t="s">
        <v>814</v>
      </c>
      <c r="D415" t="s">
        <v>98</v>
      </c>
      <c r="E415" t="s">
        <v>53</v>
      </c>
      <c r="F415" s="2">
        <v>46197</v>
      </c>
      <c r="G415" s="2">
        <v>46197</v>
      </c>
      <c r="H415" s="4">
        <v>0.5</v>
      </c>
      <c r="J415">
        <v>573</v>
      </c>
      <c r="K415">
        <v>575</v>
      </c>
      <c r="L415" t="s">
        <v>35</v>
      </c>
      <c r="M415" t="s">
        <v>538</v>
      </c>
      <c r="N415" s="1">
        <v>46205</v>
      </c>
      <c r="P415" t="s">
        <v>699</v>
      </c>
      <c r="Q415" t="s">
        <v>146</v>
      </c>
      <c r="R415" t="s">
        <v>55</v>
      </c>
      <c r="S415" s="1">
        <v>46205</v>
      </c>
      <c r="T415" s="1">
        <v>46205</v>
      </c>
      <c r="V415">
        <v>0.5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1</v>
      </c>
      <c r="AC415">
        <v>0</v>
      </c>
      <c r="AD415">
        <v>0</v>
      </c>
      <c r="AE415">
        <v>0</v>
      </c>
      <c r="AF415">
        <v>0</v>
      </c>
      <c r="AG415">
        <v>0</v>
      </c>
    </row>
    <row r="416" spans="1:33" x14ac:dyDescent="0.25">
      <c r="A416">
        <v>575</v>
      </c>
      <c r="B416" t="s">
        <v>818</v>
      </c>
      <c r="C416" t="s">
        <v>814</v>
      </c>
      <c r="D416" t="s">
        <v>102</v>
      </c>
      <c r="E416" t="s">
        <v>53</v>
      </c>
      <c r="F416" s="2">
        <v>46198</v>
      </c>
      <c r="G416" s="2">
        <v>46198</v>
      </c>
      <c r="H416" s="4">
        <v>0</v>
      </c>
      <c r="J416">
        <v>574</v>
      </c>
      <c r="K416">
        <v>576</v>
      </c>
      <c r="L416" t="s">
        <v>35</v>
      </c>
      <c r="M416" t="s">
        <v>159</v>
      </c>
      <c r="N416" s="1">
        <v>46209</v>
      </c>
      <c r="P416" t="s">
        <v>699</v>
      </c>
      <c r="Q416" t="s">
        <v>146</v>
      </c>
      <c r="R416" t="s">
        <v>55</v>
      </c>
      <c r="S416" s="1">
        <v>46206</v>
      </c>
      <c r="T416" s="1">
        <v>46209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1</v>
      </c>
      <c r="AE416">
        <v>0</v>
      </c>
      <c r="AF416">
        <v>0</v>
      </c>
      <c r="AG416">
        <v>0</v>
      </c>
    </row>
    <row r="417" spans="1:33" x14ac:dyDescent="0.25">
      <c r="A417">
        <v>576</v>
      </c>
      <c r="B417" t="s">
        <v>819</v>
      </c>
      <c r="C417" t="s">
        <v>814</v>
      </c>
      <c r="D417" t="s">
        <v>108</v>
      </c>
      <c r="E417" t="s">
        <v>53</v>
      </c>
      <c r="F417" s="2">
        <v>46199</v>
      </c>
      <c r="G417" s="2">
        <v>46199</v>
      </c>
      <c r="H417" s="4">
        <v>0</v>
      </c>
      <c r="J417">
        <v>575</v>
      </c>
      <c r="L417" t="s">
        <v>35</v>
      </c>
      <c r="M417" t="s">
        <v>541</v>
      </c>
      <c r="N417" s="1">
        <v>46210</v>
      </c>
      <c r="P417" t="s">
        <v>699</v>
      </c>
      <c r="Q417" t="s">
        <v>146</v>
      </c>
      <c r="R417" t="s">
        <v>55</v>
      </c>
      <c r="S417" s="1">
        <v>46210</v>
      </c>
      <c r="T417" s="1">
        <v>46210</v>
      </c>
      <c r="V417">
        <v>0</v>
      </c>
      <c r="W417">
        <v>0</v>
      </c>
      <c r="X417">
        <v>0</v>
      </c>
      <c r="Y417">
        <v>0</v>
      </c>
      <c r="Z417">
        <v>1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1</v>
      </c>
      <c r="AG417">
        <v>0</v>
      </c>
    </row>
    <row r="418" spans="1:33" x14ac:dyDescent="0.25">
      <c r="A418">
        <v>577</v>
      </c>
      <c r="B418" t="s">
        <v>820</v>
      </c>
      <c r="C418" t="s">
        <v>701</v>
      </c>
      <c r="D418" t="s">
        <v>821</v>
      </c>
      <c r="E418" t="s">
        <v>744</v>
      </c>
      <c r="F418" s="2">
        <v>46189</v>
      </c>
      <c r="G418" s="2">
        <v>46202</v>
      </c>
      <c r="H418" s="4">
        <v>0.75</v>
      </c>
      <c r="L418" t="s">
        <v>35</v>
      </c>
      <c r="M418" t="s">
        <v>386</v>
      </c>
      <c r="N418" s="1">
        <v>46210</v>
      </c>
      <c r="P418" t="s">
        <v>699</v>
      </c>
      <c r="Q418" t="s">
        <v>138</v>
      </c>
      <c r="R418" t="s">
        <v>55</v>
      </c>
      <c r="S418" s="1">
        <v>46191</v>
      </c>
      <c r="T418" s="1">
        <v>46210</v>
      </c>
      <c r="V418">
        <v>0.75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0</v>
      </c>
      <c r="AG418">
        <v>0</v>
      </c>
    </row>
    <row r="419" spans="1:33" x14ac:dyDescent="0.25">
      <c r="A419">
        <v>578</v>
      </c>
      <c r="B419" t="s">
        <v>822</v>
      </c>
      <c r="C419" t="s">
        <v>823</v>
      </c>
      <c r="D419" t="s">
        <v>94</v>
      </c>
      <c r="E419" t="s">
        <v>815</v>
      </c>
      <c r="F419" s="2">
        <v>46189</v>
      </c>
      <c r="G419" s="2">
        <v>46197</v>
      </c>
      <c r="H419" s="4">
        <v>1</v>
      </c>
      <c r="I419" s="2">
        <v>46197</v>
      </c>
      <c r="J419" t="s">
        <v>824</v>
      </c>
      <c r="K419">
        <v>579</v>
      </c>
      <c r="L419" t="s">
        <v>59</v>
      </c>
      <c r="M419" t="s">
        <v>386</v>
      </c>
      <c r="N419" s="1">
        <v>46204</v>
      </c>
      <c r="P419" t="s">
        <v>699</v>
      </c>
      <c r="Q419" t="s">
        <v>138</v>
      </c>
      <c r="R419" t="s">
        <v>55</v>
      </c>
      <c r="S419" s="1">
        <v>46191</v>
      </c>
      <c r="T419" s="1">
        <v>46204</v>
      </c>
      <c r="V419">
        <v>1</v>
      </c>
      <c r="W419">
        <v>1</v>
      </c>
      <c r="X419">
        <v>1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1</v>
      </c>
    </row>
    <row r="420" spans="1:33" x14ac:dyDescent="0.25">
      <c r="A420">
        <v>579</v>
      </c>
      <c r="B420" t="s">
        <v>825</v>
      </c>
      <c r="C420" t="s">
        <v>823</v>
      </c>
      <c r="D420" t="s">
        <v>98</v>
      </c>
      <c r="E420" t="s">
        <v>53</v>
      </c>
      <c r="F420" s="2">
        <v>46198</v>
      </c>
      <c r="G420" s="2">
        <v>46198</v>
      </c>
      <c r="H420" s="4">
        <v>0.5</v>
      </c>
      <c r="J420">
        <v>578</v>
      </c>
      <c r="K420">
        <v>580</v>
      </c>
      <c r="L420" t="s">
        <v>35</v>
      </c>
      <c r="M420" t="s">
        <v>538</v>
      </c>
      <c r="N420" s="1">
        <v>46205</v>
      </c>
      <c r="P420" t="s">
        <v>699</v>
      </c>
      <c r="Q420" t="s">
        <v>146</v>
      </c>
      <c r="R420" t="s">
        <v>55</v>
      </c>
      <c r="S420" s="1">
        <v>46205</v>
      </c>
      <c r="T420" s="1">
        <v>46205</v>
      </c>
      <c r="V420">
        <v>0.5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1</v>
      </c>
      <c r="AC420">
        <v>0</v>
      </c>
      <c r="AD420">
        <v>0</v>
      </c>
      <c r="AE420">
        <v>0</v>
      </c>
      <c r="AF420">
        <v>0</v>
      </c>
      <c r="AG420">
        <v>0</v>
      </c>
    </row>
    <row r="421" spans="1:33" x14ac:dyDescent="0.25">
      <c r="A421">
        <v>580</v>
      </c>
      <c r="B421" t="s">
        <v>826</v>
      </c>
      <c r="C421" t="s">
        <v>823</v>
      </c>
      <c r="D421" t="s">
        <v>102</v>
      </c>
      <c r="E421" t="s">
        <v>53</v>
      </c>
      <c r="F421" s="2">
        <v>46199</v>
      </c>
      <c r="G421" s="2">
        <v>46199</v>
      </c>
      <c r="H421" s="4">
        <v>0</v>
      </c>
      <c r="J421">
        <v>579</v>
      </c>
      <c r="K421">
        <v>581</v>
      </c>
      <c r="L421" t="s">
        <v>35</v>
      </c>
      <c r="M421" t="s">
        <v>159</v>
      </c>
      <c r="N421" s="1">
        <v>46209</v>
      </c>
      <c r="P421" t="s">
        <v>699</v>
      </c>
      <c r="Q421" t="s">
        <v>146</v>
      </c>
      <c r="R421" t="s">
        <v>55</v>
      </c>
      <c r="S421" s="1">
        <v>46206</v>
      </c>
      <c r="T421" s="1">
        <v>46209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1</v>
      </c>
      <c r="AE421">
        <v>0</v>
      </c>
      <c r="AF421">
        <v>0</v>
      </c>
      <c r="AG421">
        <v>0</v>
      </c>
    </row>
    <row r="422" spans="1:33" x14ac:dyDescent="0.25">
      <c r="A422">
        <v>581</v>
      </c>
      <c r="B422" t="s">
        <v>827</v>
      </c>
      <c r="C422" t="s">
        <v>823</v>
      </c>
      <c r="D422" t="s">
        <v>108</v>
      </c>
      <c r="E422" t="s">
        <v>53</v>
      </c>
      <c r="F422" s="2">
        <v>46202</v>
      </c>
      <c r="G422" s="2">
        <v>46202</v>
      </c>
      <c r="H422" s="4">
        <v>0</v>
      </c>
      <c r="J422">
        <v>580</v>
      </c>
      <c r="L422" t="s">
        <v>35</v>
      </c>
      <c r="M422" t="s">
        <v>541</v>
      </c>
      <c r="N422" s="1">
        <v>46210</v>
      </c>
      <c r="P422" t="s">
        <v>699</v>
      </c>
      <c r="Q422" t="s">
        <v>151</v>
      </c>
      <c r="R422" t="s">
        <v>55</v>
      </c>
      <c r="S422" s="1">
        <v>46210</v>
      </c>
      <c r="T422" s="1">
        <v>46210</v>
      </c>
      <c r="V422">
        <v>0</v>
      </c>
      <c r="W422">
        <v>0</v>
      </c>
      <c r="X422">
        <v>0</v>
      </c>
      <c r="Y422">
        <v>0</v>
      </c>
      <c r="Z422">
        <v>1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1</v>
      </c>
      <c r="AG422">
        <v>0</v>
      </c>
    </row>
    <row r="423" spans="1:33" x14ac:dyDescent="0.25">
      <c r="A423">
        <v>582</v>
      </c>
      <c r="B423" t="s">
        <v>828</v>
      </c>
      <c r="C423" t="s">
        <v>701</v>
      </c>
      <c r="D423" t="s">
        <v>829</v>
      </c>
      <c r="E423" t="s">
        <v>744</v>
      </c>
      <c r="F423" s="2">
        <v>46189</v>
      </c>
      <c r="G423" s="2">
        <v>46202</v>
      </c>
      <c r="H423" s="4">
        <v>0.75</v>
      </c>
      <c r="L423" t="s">
        <v>35</v>
      </c>
      <c r="M423" t="s">
        <v>386</v>
      </c>
      <c r="N423" s="1">
        <v>46210</v>
      </c>
      <c r="P423" t="s">
        <v>699</v>
      </c>
      <c r="Q423" t="s">
        <v>138</v>
      </c>
      <c r="R423" t="s">
        <v>55</v>
      </c>
      <c r="S423" s="1">
        <v>46191</v>
      </c>
      <c r="T423" s="1">
        <v>46210</v>
      </c>
      <c r="V423">
        <v>0.75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</row>
    <row r="424" spans="1:33" x14ac:dyDescent="0.25">
      <c r="A424">
        <v>583</v>
      </c>
      <c r="B424" t="s">
        <v>830</v>
      </c>
      <c r="C424" t="s">
        <v>831</v>
      </c>
      <c r="D424" t="s">
        <v>94</v>
      </c>
      <c r="E424" t="s">
        <v>815</v>
      </c>
      <c r="F424" s="2">
        <v>46189</v>
      </c>
      <c r="G424" s="2">
        <v>46197</v>
      </c>
      <c r="H424" s="4">
        <v>1</v>
      </c>
      <c r="I424" s="2">
        <v>46197</v>
      </c>
      <c r="J424" t="s">
        <v>824</v>
      </c>
      <c r="K424">
        <v>584</v>
      </c>
      <c r="L424" t="s">
        <v>59</v>
      </c>
      <c r="M424" t="s">
        <v>386</v>
      </c>
      <c r="N424" s="1">
        <v>46204</v>
      </c>
      <c r="P424" t="s">
        <v>699</v>
      </c>
      <c r="Q424" t="s">
        <v>138</v>
      </c>
      <c r="R424" t="s">
        <v>55</v>
      </c>
      <c r="S424" s="1">
        <v>46191</v>
      </c>
      <c r="T424" s="1">
        <v>46204</v>
      </c>
      <c r="V424">
        <v>1</v>
      </c>
      <c r="W424">
        <v>1</v>
      </c>
      <c r="X424">
        <v>1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1</v>
      </c>
    </row>
    <row r="425" spans="1:33" x14ac:dyDescent="0.25">
      <c r="A425">
        <v>584</v>
      </c>
      <c r="B425" t="s">
        <v>832</v>
      </c>
      <c r="C425" t="s">
        <v>831</v>
      </c>
      <c r="D425" t="s">
        <v>98</v>
      </c>
      <c r="E425" t="s">
        <v>53</v>
      </c>
      <c r="F425" s="2">
        <v>46198</v>
      </c>
      <c r="G425" s="2">
        <v>46198</v>
      </c>
      <c r="H425" s="4">
        <v>0.5</v>
      </c>
      <c r="J425">
        <v>583</v>
      </c>
      <c r="K425">
        <v>585</v>
      </c>
      <c r="L425" t="s">
        <v>35</v>
      </c>
      <c r="M425" t="s">
        <v>538</v>
      </c>
      <c r="N425" s="1">
        <v>46205</v>
      </c>
      <c r="P425" t="s">
        <v>699</v>
      </c>
      <c r="Q425" t="s">
        <v>146</v>
      </c>
      <c r="R425" t="s">
        <v>55</v>
      </c>
      <c r="S425" s="1">
        <v>46205</v>
      </c>
      <c r="T425" s="1">
        <v>46205</v>
      </c>
      <c r="V425">
        <v>0.5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1</v>
      </c>
      <c r="AC425">
        <v>0</v>
      </c>
      <c r="AD425">
        <v>0</v>
      </c>
      <c r="AE425">
        <v>0</v>
      </c>
      <c r="AF425">
        <v>0</v>
      </c>
      <c r="AG425">
        <v>0</v>
      </c>
    </row>
    <row r="426" spans="1:33" x14ac:dyDescent="0.25">
      <c r="A426">
        <v>585</v>
      </c>
      <c r="B426" t="s">
        <v>833</v>
      </c>
      <c r="C426" t="s">
        <v>831</v>
      </c>
      <c r="D426" t="s">
        <v>102</v>
      </c>
      <c r="E426" t="s">
        <v>53</v>
      </c>
      <c r="F426" s="2">
        <v>46199</v>
      </c>
      <c r="G426" s="2">
        <v>46199</v>
      </c>
      <c r="H426" s="4">
        <v>0</v>
      </c>
      <c r="J426">
        <v>584</v>
      </c>
      <c r="K426">
        <v>586</v>
      </c>
      <c r="L426" t="s">
        <v>35</v>
      </c>
      <c r="M426" t="s">
        <v>159</v>
      </c>
      <c r="N426" s="1">
        <v>46209</v>
      </c>
      <c r="P426" t="s">
        <v>699</v>
      </c>
      <c r="Q426" t="s">
        <v>146</v>
      </c>
      <c r="R426" t="s">
        <v>55</v>
      </c>
      <c r="S426" s="1">
        <v>46206</v>
      </c>
      <c r="T426" s="1">
        <v>46209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1</v>
      </c>
      <c r="AE426">
        <v>0</v>
      </c>
      <c r="AF426">
        <v>0</v>
      </c>
      <c r="AG426">
        <v>0</v>
      </c>
    </row>
    <row r="427" spans="1:33" x14ac:dyDescent="0.25">
      <c r="A427">
        <v>586</v>
      </c>
      <c r="B427" t="s">
        <v>834</v>
      </c>
      <c r="C427" t="s">
        <v>831</v>
      </c>
      <c r="D427" t="s">
        <v>108</v>
      </c>
      <c r="E427" t="s">
        <v>53</v>
      </c>
      <c r="F427" s="2">
        <v>46202</v>
      </c>
      <c r="G427" s="2">
        <v>46202</v>
      </c>
      <c r="H427" s="4">
        <v>0</v>
      </c>
      <c r="J427">
        <v>585</v>
      </c>
      <c r="L427" t="s">
        <v>35</v>
      </c>
      <c r="M427" t="s">
        <v>541</v>
      </c>
      <c r="N427" s="1">
        <v>46210</v>
      </c>
      <c r="P427" t="s">
        <v>699</v>
      </c>
      <c r="Q427" t="s">
        <v>151</v>
      </c>
      <c r="R427" t="s">
        <v>55</v>
      </c>
      <c r="S427" s="1">
        <v>46210</v>
      </c>
      <c r="T427" s="1">
        <v>46210</v>
      </c>
      <c r="V427">
        <v>0</v>
      </c>
      <c r="W427">
        <v>0</v>
      </c>
      <c r="X427">
        <v>0</v>
      </c>
      <c r="Y427">
        <v>0</v>
      </c>
      <c r="Z427">
        <v>1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1</v>
      </c>
      <c r="AG427">
        <v>0</v>
      </c>
    </row>
    <row r="428" spans="1:33" x14ac:dyDescent="0.25">
      <c r="A428">
        <v>587</v>
      </c>
      <c r="B428" t="s">
        <v>835</v>
      </c>
      <c r="C428" t="s">
        <v>701</v>
      </c>
      <c r="D428" t="s">
        <v>836</v>
      </c>
      <c r="E428" t="s">
        <v>744</v>
      </c>
      <c r="F428" s="2">
        <v>46189</v>
      </c>
      <c r="G428" s="2">
        <v>46202</v>
      </c>
      <c r="H428" s="4">
        <v>0.75</v>
      </c>
      <c r="L428" t="s">
        <v>35</v>
      </c>
      <c r="M428" t="s">
        <v>386</v>
      </c>
      <c r="N428" s="1">
        <v>46210</v>
      </c>
      <c r="P428" t="s">
        <v>699</v>
      </c>
      <c r="Q428" t="s">
        <v>138</v>
      </c>
      <c r="R428" t="s">
        <v>55</v>
      </c>
      <c r="S428" s="1">
        <v>46191</v>
      </c>
      <c r="T428" s="1">
        <v>46210</v>
      </c>
      <c r="V428">
        <v>0.75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G428">
        <v>0</v>
      </c>
    </row>
    <row r="429" spans="1:33" x14ac:dyDescent="0.25">
      <c r="A429">
        <v>588</v>
      </c>
      <c r="B429" t="s">
        <v>837</v>
      </c>
      <c r="C429" t="s">
        <v>838</v>
      </c>
      <c r="D429" t="s">
        <v>94</v>
      </c>
      <c r="E429" t="s">
        <v>815</v>
      </c>
      <c r="F429" s="2">
        <v>46189</v>
      </c>
      <c r="G429" s="2">
        <v>46197</v>
      </c>
      <c r="H429" s="4">
        <v>1</v>
      </c>
      <c r="I429" s="2">
        <v>46197</v>
      </c>
      <c r="J429" t="s">
        <v>824</v>
      </c>
      <c r="K429">
        <v>589</v>
      </c>
      <c r="L429" t="s">
        <v>59</v>
      </c>
      <c r="M429" t="s">
        <v>386</v>
      </c>
      <c r="N429" s="1">
        <v>46204</v>
      </c>
      <c r="P429" t="s">
        <v>699</v>
      </c>
      <c r="Q429" t="s">
        <v>138</v>
      </c>
      <c r="R429" t="s">
        <v>55</v>
      </c>
      <c r="S429" s="1">
        <v>46191</v>
      </c>
      <c r="T429" s="1">
        <v>46204</v>
      </c>
      <c r="V429">
        <v>1</v>
      </c>
      <c r="W429">
        <v>1</v>
      </c>
      <c r="X429">
        <v>1</v>
      </c>
      <c r="Y429">
        <v>0</v>
      </c>
      <c r="Z429">
        <v>0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0</v>
      </c>
      <c r="AG429">
        <v>1</v>
      </c>
    </row>
    <row r="430" spans="1:33" x14ac:dyDescent="0.25">
      <c r="A430">
        <v>589</v>
      </c>
      <c r="B430" t="s">
        <v>839</v>
      </c>
      <c r="C430" t="s">
        <v>838</v>
      </c>
      <c r="D430" t="s">
        <v>98</v>
      </c>
      <c r="E430" t="s">
        <v>53</v>
      </c>
      <c r="F430" s="2">
        <v>46198</v>
      </c>
      <c r="G430" s="2">
        <v>46198</v>
      </c>
      <c r="H430" s="4">
        <v>0.5</v>
      </c>
      <c r="J430">
        <v>588</v>
      </c>
      <c r="K430">
        <v>590</v>
      </c>
      <c r="L430" t="s">
        <v>35</v>
      </c>
      <c r="M430" t="s">
        <v>538</v>
      </c>
      <c r="N430" s="1">
        <v>46205</v>
      </c>
      <c r="P430" t="s">
        <v>699</v>
      </c>
      <c r="Q430" t="s">
        <v>146</v>
      </c>
      <c r="R430" t="s">
        <v>55</v>
      </c>
      <c r="S430" s="1">
        <v>46205</v>
      </c>
      <c r="T430" s="1">
        <v>46205</v>
      </c>
      <c r="V430">
        <v>0.5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1</v>
      </c>
      <c r="AC430">
        <v>0</v>
      </c>
      <c r="AD430">
        <v>0</v>
      </c>
      <c r="AE430">
        <v>0</v>
      </c>
      <c r="AF430">
        <v>0</v>
      </c>
      <c r="AG430">
        <v>0</v>
      </c>
    </row>
    <row r="431" spans="1:33" x14ac:dyDescent="0.25">
      <c r="A431">
        <v>590</v>
      </c>
      <c r="B431" t="s">
        <v>840</v>
      </c>
      <c r="C431" t="s">
        <v>838</v>
      </c>
      <c r="D431" t="s">
        <v>102</v>
      </c>
      <c r="E431" t="s">
        <v>53</v>
      </c>
      <c r="F431" s="2">
        <v>46199</v>
      </c>
      <c r="G431" s="2">
        <v>46199</v>
      </c>
      <c r="H431" s="4">
        <v>0</v>
      </c>
      <c r="J431">
        <v>589</v>
      </c>
      <c r="K431">
        <v>591</v>
      </c>
      <c r="L431" t="s">
        <v>35</v>
      </c>
      <c r="M431" t="s">
        <v>159</v>
      </c>
      <c r="N431" s="1">
        <v>46209</v>
      </c>
      <c r="P431" t="s">
        <v>699</v>
      </c>
      <c r="Q431" t="s">
        <v>146</v>
      </c>
      <c r="R431" t="s">
        <v>55</v>
      </c>
      <c r="S431" s="1">
        <v>46206</v>
      </c>
      <c r="T431" s="1">
        <v>46209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1</v>
      </c>
      <c r="AE431">
        <v>0</v>
      </c>
      <c r="AF431">
        <v>0</v>
      </c>
      <c r="AG431">
        <v>0</v>
      </c>
    </row>
    <row r="432" spans="1:33" x14ac:dyDescent="0.25">
      <c r="A432">
        <v>591</v>
      </c>
      <c r="B432" t="s">
        <v>841</v>
      </c>
      <c r="C432" t="s">
        <v>838</v>
      </c>
      <c r="D432" t="s">
        <v>108</v>
      </c>
      <c r="E432" t="s">
        <v>53</v>
      </c>
      <c r="F432" s="2">
        <v>46202</v>
      </c>
      <c r="G432" s="2">
        <v>46202</v>
      </c>
      <c r="H432" s="4">
        <v>0</v>
      </c>
      <c r="J432">
        <v>590</v>
      </c>
      <c r="L432" t="s">
        <v>35</v>
      </c>
      <c r="M432" t="s">
        <v>541</v>
      </c>
      <c r="N432" s="1">
        <v>46210</v>
      </c>
      <c r="P432" t="s">
        <v>699</v>
      </c>
      <c r="Q432" t="s">
        <v>151</v>
      </c>
      <c r="R432" t="s">
        <v>55</v>
      </c>
      <c r="S432" s="1">
        <v>46210</v>
      </c>
      <c r="T432" s="1">
        <v>46210</v>
      </c>
      <c r="V432">
        <v>0</v>
      </c>
      <c r="W432">
        <v>0</v>
      </c>
      <c r="X432">
        <v>0</v>
      </c>
      <c r="Y432">
        <v>0</v>
      </c>
      <c r="Z432">
        <v>1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1</v>
      </c>
      <c r="AG432">
        <v>0</v>
      </c>
    </row>
    <row r="433" spans="1:33" x14ac:dyDescent="0.25">
      <c r="A433">
        <v>592</v>
      </c>
      <c r="B433" t="s">
        <v>842</v>
      </c>
      <c r="C433" t="s">
        <v>701</v>
      </c>
      <c r="D433" t="s">
        <v>843</v>
      </c>
      <c r="E433" t="s">
        <v>744</v>
      </c>
      <c r="F433" s="2">
        <v>46189</v>
      </c>
      <c r="G433" s="2">
        <v>46202</v>
      </c>
      <c r="H433" s="4">
        <v>0.75</v>
      </c>
      <c r="L433" t="s">
        <v>35</v>
      </c>
      <c r="M433" t="s">
        <v>386</v>
      </c>
      <c r="N433" s="1">
        <v>46210</v>
      </c>
      <c r="P433" t="s">
        <v>699</v>
      </c>
      <c r="Q433" t="s">
        <v>138</v>
      </c>
      <c r="R433" t="s">
        <v>55</v>
      </c>
      <c r="S433" s="1">
        <v>46191</v>
      </c>
      <c r="T433" s="1">
        <v>46210</v>
      </c>
      <c r="V433">
        <v>0.75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</row>
    <row r="434" spans="1:33" x14ac:dyDescent="0.25">
      <c r="A434">
        <v>593</v>
      </c>
      <c r="B434" t="s">
        <v>844</v>
      </c>
      <c r="C434" t="s">
        <v>845</v>
      </c>
      <c r="D434" t="s">
        <v>94</v>
      </c>
      <c r="E434" t="s">
        <v>815</v>
      </c>
      <c r="F434" s="2">
        <v>46189</v>
      </c>
      <c r="G434" s="2">
        <v>46197</v>
      </c>
      <c r="H434" s="4">
        <v>1</v>
      </c>
      <c r="I434" s="2">
        <v>46197</v>
      </c>
      <c r="J434" t="s">
        <v>824</v>
      </c>
      <c r="K434">
        <v>594</v>
      </c>
      <c r="L434" t="s">
        <v>59</v>
      </c>
      <c r="M434" t="s">
        <v>386</v>
      </c>
      <c r="N434" s="1">
        <v>46204</v>
      </c>
      <c r="P434" t="s">
        <v>699</v>
      </c>
      <c r="Q434" t="s">
        <v>138</v>
      </c>
      <c r="R434" t="s">
        <v>55</v>
      </c>
      <c r="S434" s="1">
        <v>46191</v>
      </c>
      <c r="T434" s="1">
        <v>46204</v>
      </c>
      <c r="V434">
        <v>1</v>
      </c>
      <c r="W434">
        <v>1</v>
      </c>
      <c r="X434">
        <v>1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1</v>
      </c>
    </row>
    <row r="435" spans="1:33" x14ac:dyDescent="0.25">
      <c r="A435">
        <v>594</v>
      </c>
      <c r="B435" t="s">
        <v>846</v>
      </c>
      <c r="C435" t="s">
        <v>845</v>
      </c>
      <c r="D435" t="s">
        <v>98</v>
      </c>
      <c r="E435" t="s">
        <v>53</v>
      </c>
      <c r="F435" s="2">
        <v>46198</v>
      </c>
      <c r="G435" s="2">
        <v>46198</v>
      </c>
      <c r="H435" s="4">
        <v>0.5</v>
      </c>
      <c r="J435">
        <v>593</v>
      </c>
      <c r="K435">
        <v>595</v>
      </c>
      <c r="L435" t="s">
        <v>35</v>
      </c>
      <c r="M435" t="s">
        <v>538</v>
      </c>
      <c r="N435" s="1">
        <v>46205</v>
      </c>
      <c r="P435" t="s">
        <v>699</v>
      </c>
      <c r="Q435" t="s">
        <v>146</v>
      </c>
      <c r="R435" t="s">
        <v>55</v>
      </c>
      <c r="S435" s="1">
        <v>46205</v>
      </c>
      <c r="T435" s="1">
        <v>46205</v>
      </c>
      <c r="V435">
        <v>0.5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1</v>
      </c>
      <c r="AC435">
        <v>0</v>
      </c>
      <c r="AD435">
        <v>0</v>
      </c>
      <c r="AE435">
        <v>0</v>
      </c>
      <c r="AF435">
        <v>0</v>
      </c>
      <c r="AG435">
        <v>0</v>
      </c>
    </row>
    <row r="436" spans="1:33" x14ac:dyDescent="0.25">
      <c r="A436">
        <v>595</v>
      </c>
      <c r="B436" t="s">
        <v>847</v>
      </c>
      <c r="C436" t="s">
        <v>845</v>
      </c>
      <c r="D436" t="s">
        <v>102</v>
      </c>
      <c r="E436" t="s">
        <v>53</v>
      </c>
      <c r="F436" s="2">
        <v>46199</v>
      </c>
      <c r="G436" s="2">
        <v>46199</v>
      </c>
      <c r="H436" s="4">
        <v>0</v>
      </c>
      <c r="J436">
        <v>594</v>
      </c>
      <c r="K436">
        <v>596</v>
      </c>
      <c r="L436" t="s">
        <v>35</v>
      </c>
      <c r="M436" t="s">
        <v>159</v>
      </c>
      <c r="N436" s="1">
        <v>46209</v>
      </c>
      <c r="P436" t="s">
        <v>699</v>
      </c>
      <c r="Q436" t="s">
        <v>146</v>
      </c>
      <c r="R436" t="s">
        <v>55</v>
      </c>
      <c r="S436" s="1">
        <v>46206</v>
      </c>
      <c r="T436" s="1">
        <v>46209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1</v>
      </c>
      <c r="AE436">
        <v>0</v>
      </c>
      <c r="AF436">
        <v>0</v>
      </c>
      <c r="AG436">
        <v>0</v>
      </c>
    </row>
    <row r="437" spans="1:33" x14ac:dyDescent="0.25">
      <c r="A437">
        <v>596</v>
      </c>
      <c r="B437" t="s">
        <v>848</v>
      </c>
      <c r="C437" t="s">
        <v>845</v>
      </c>
      <c r="D437" t="s">
        <v>108</v>
      </c>
      <c r="E437" t="s">
        <v>53</v>
      </c>
      <c r="F437" s="2">
        <v>46202</v>
      </c>
      <c r="G437" s="2">
        <v>46202</v>
      </c>
      <c r="H437" s="4">
        <v>0</v>
      </c>
      <c r="J437">
        <v>595</v>
      </c>
      <c r="L437" t="s">
        <v>35</v>
      </c>
      <c r="M437" t="s">
        <v>541</v>
      </c>
      <c r="N437" s="1">
        <v>46210</v>
      </c>
      <c r="P437" t="s">
        <v>699</v>
      </c>
      <c r="Q437" t="s">
        <v>151</v>
      </c>
      <c r="R437" t="s">
        <v>55</v>
      </c>
      <c r="S437" s="1">
        <v>46210</v>
      </c>
      <c r="T437" s="1">
        <v>46210</v>
      </c>
      <c r="V437">
        <v>0</v>
      </c>
      <c r="W437">
        <v>0</v>
      </c>
      <c r="X437">
        <v>0</v>
      </c>
      <c r="Y437">
        <v>0</v>
      </c>
      <c r="Z437">
        <v>1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1</v>
      </c>
      <c r="AG437">
        <v>0</v>
      </c>
    </row>
    <row r="438" spans="1:33" x14ac:dyDescent="0.25">
      <c r="A438">
        <v>597</v>
      </c>
      <c r="B438" t="s">
        <v>849</v>
      </c>
      <c r="C438" t="s">
        <v>701</v>
      </c>
      <c r="D438" t="s">
        <v>850</v>
      </c>
      <c r="E438" t="s">
        <v>744</v>
      </c>
      <c r="F438" s="2">
        <v>46189</v>
      </c>
      <c r="G438" s="2">
        <v>46202</v>
      </c>
      <c r="H438" s="4">
        <v>0.75</v>
      </c>
      <c r="L438" t="s">
        <v>35</v>
      </c>
      <c r="M438" t="s">
        <v>386</v>
      </c>
      <c r="N438" s="1">
        <v>46210</v>
      </c>
      <c r="P438" t="s">
        <v>699</v>
      </c>
      <c r="Q438" t="s">
        <v>138</v>
      </c>
      <c r="R438" t="s">
        <v>55</v>
      </c>
      <c r="S438" s="1">
        <v>46191</v>
      </c>
      <c r="T438" s="1">
        <v>46210</v>
      </c>
      <c r="V438">
        <v>0.75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</row>
    <row r="439" spans="1:33" x14ac:dyDescent="0.25">
      <c r="A439">
        <v>598</v>
      </c>
      <c r="B439" t="s">
        <v>851</v>
      </c>
      <c r="C439" t="s">
        <v>852</v>
      </c>
      <c r="D439" t="s">
        <v>94</v>
      </c>
      <c r="E439" t="s">
        <v>815</v>
      </c>
      <c r="F439" s="2">
        <v>46189</v>
      </c>
      <c r="G439" s="2">
        <v>46197</v>
      </c>
      <c r="H439" s="4">
        <v>1</v>
      </c>
      <c r="I439" s="2">
        <v>46197</v>
      </c>
      <c r="J439" t="s">
        <v>824</v>
      </c>
      <c r="K439">
        <v>599</v>
      </c>
      <c r="L439" t="s">
        <v>59</v>
      </c>
      <c r="M439" t="s">
        <v>386</v>
      </c>
      <c r="N439" s="1">
        <v>46204</v>
      </c>
      <c r="P439" t="s">
        <v>699</v>
      </c>
      <c r="Q439" t="s">
        <v>138</v>
      </c>
      <c r="R439" t="s">
        <v>55</v>
      </c>
      <c r="S439" s="1">
        <v>46191</v>
      </c>
      <c r="T439" s="1">
        <v>46204</v>
      </c>
      <c r="V439">
        <v>1</v>
      </c>
      <c r="W439">
        <v>1</v>
      </c>
      <c r="X439">
        <v>1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1</v>
      </c>
    </row>
    <row r="440" spans="1:33" x14ac:dyDescent="0.25">
      <c r="A440">
        <v>599</v>
      </c>
      <c r="B440" t="s">
        <v>853</v>
      </c>
      <c r="C440" t="s">
        <v>852</v>
      </c>
      <c r="D440" t="s">
        <v>98</v>
      </c>
      <c r="E440" t="s">
        <v>53</v>
      </c>
      <c r="F440" s="2">
        <v>46198</v>
      </c>
      <c r="G440" s="2">
        <v>46198</v>
      </c>
      <c r="H440" s="4">
        <v>0.5</v>
      </c>
      <c r="J440">
        <v>598</v>
      </c>
      <c r="K440">
        <v>600</v>
      </c>
      <c r="L440" t="s">
        <v>35</v>
      </c>
      <c r="M440" t="s">
        <v>538</v>
      </c>
      <c r="N440" s="1">
        <v>46205</v>
      </c>
      <c r="P440" t="s">
        <v>699</v>
      </c>
      <c r="Q440" t="s">
        <v>146</v>
      </c>
      <c r="R440" t="s">
        <v>55</v>
      </c>
      <c r="S440" s="1">
        <v>46205</v>
      </c>
      <c r="T440" s="1">
        <v>46205</v>
      </c>
      <c r="V440">
        <v>0.5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1</v>
      </c>
      <c r="AC440">
        <v>0</v>
      </c>
      <c r="AD440">
        <v>0</v>
      </c>
      <c r="AE440">
        <v>0</v>
      </c>
      <c r="AF440">
        <v>0</v>
      </c>
      <c r="AG440">
        <v>0</v>
      </c>
    </row>
    <row r="441" spans="1:33" x14ac:dyDescent="0.25">
      <c r="A441">
        <v>600</v>
      </c>
      <c r="B441" t="s">
        <v>854</v>
      </c>
      <c r="C441" t="s">
        <v>852</v>
      </c>
      <c r="D441" t="s">
        <v>102</v>
      </c>
      <c r="E441" t="s">
        <v>53</v>
      </c>
      <c r="F441" s="2">
        <v>46199</v>
      </c>
      <c r="G441" s="2">
        <v>46199</v>
      </c>
      <c r="H441" s="4">
        <v>0</v>
      </c>
      <c r="J441">
        <v>599</v>
      </c>
      <c r="K441">
        <v>601</v>
      </c>
      <c r="L441" t="s">
        <v>35</v>
      </c>
      <c r="M441" t="s">
        <v>159</v>
      </c>
      <c r="N441" s="1">
        <v>46209</v>
      </c>
      <c r="P441" t="s">
        <v>699</v>
      </c>
      <c r="Q441" t="s">
        <v>146</v>
      </c>
      <c r="R441" t="s">
        <v>55</v>
      </c>
      <c r="S441" s="1">
        <v>46206</v>
      </c>
      <c r="T441" s="1">
        <v>46209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1</v>
      </c>
      <c r="AE441">
        <v>0</v>
      </c>
      <c r="AF441">
        <v>0</v>
      </c>
      <c r="AG441">
        <v>0</v>
      </c>
    </row>
    <row r="442" spans="1:33" x14ac:dyDescent="0.25">
      <c r="A442">
        <v>601</v>
      </c>
      <c r="B442" t="s">
        <v>855</v>
      </c>
      <c r="C442" t="s">
        <v>852</v>
      </c>
      <c r="D442" t="s">
        <v>108</v>
      </c>
      <c r="E442" t="s">
        <v>53</v>
      </c>
      <c r="F442" s="2">
        <v>46202</v>
      </c>
      <c r="G442" s="2">
        <v>46202</v>
      </c>
      <c r="H442" s="4">
        <v>0</v>
      </c>
      <c r="J442">
        <v>600</v>
      </c>
      <c r="L442" t="s">
        <v>35</v>
      </c>
      <c r="M442" t="s">
        <v>541</v>
      </c>
      <c r="N442" s="1">
        <v>46210</v>
      </c>
      <c r="P442" t="s">
        <v>699</v>
      </c>
      <c r="Q442" t="s">
        <v>151</v>
      </c>
      <c r="R442" t="s">
        <v>55</v>
      </c>
      <c r="S442" s="1">
        <v>46210</v>
      </c>
      <c r="T442" s="1">
        <v>46210</v>
      </c>
      <c r="V442">
        <v>0</v>
      </c>
      <c r="W442">
        <v>0</v>
      </c>
      <c r="X442">
        <v>0</v>
      </c>
      <c r="Y442">
        <v>0</v>
      </c>
      <c r="Z442">
        <v>1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1</v>
      </c>
      <c r="AG442">
        <v>0</v>
      </c>
    </row>
    <row r="443" spans="1:33" x14ac:dyDescent="0.25">
      <c r="A443">
        <v>602</v>
      </c>
      <c r="B443" t="s">
        <v>856</v>
      </c>
      <c r="C443" t="s">
        <v>701</v>
      </c>
      <c r="D443" t="s">
        <v>857</v>
      </c>
      <c r="E443" t="s">
        <v>744</v>
      </c>
      <c r="F443" s="2">
        <v>46189</v>
      </c>
      <c r="G443" s="2">
        <v>46202</v>
      </c>
      <c r="H443" s="4">
        <v>0.75</v>
      </c>
      <c r="L443" t="s">
        <v>35</v>
      </c>
      <c r="M443" t="s">
        <v>386</v>
      </c>
      <c r="N443" s="1">
        <v>46210</v>
      </c>
      <c r="P443" t="s">
        <v>699</v>
      </c>
      <c r="Q443" t="s">
        <v>138</v>
      </c>
      <c r="R443" t="s">
        <v>55</v>
      </c>
      <c r="S443" s="1">
        <v>46191</v>
      </c>
      <c r="T443" s="1">
        <v>46210</v>
      </c>
      <c r="V443">
        <v>0.75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</row>
    <row r="444" spans="1:33" x14ac:dyDescent="0.25">
      <c r="A444">
        <v>603</v>
      </c>
      <c r="B444" t="s">
        <v>858</v>
      </c>
      <c r="C444" t="s">
        <v>859</v>
      </c>
      <c r="D444" t="s">
        <v>94</v>
      </c>
      <c r="E444" t="s">
        <v>815</v>
      </c>
      <c r="F444" s="2">
        <v>46189</v>
      </c>
      <c r="G444" s="2">
        <v>46197</v>
      </c>
      <c r="H444" s="4">
        <v>1</v>
      </c>
      <c r="I444" s="2">
        <v>46197</v>
      </c>
      <c r="J444" t="s">
        <v>824</v>
      </c>
      <c r="K444">
        <v>604</v>
      </c>
      <c r="L444" t="s">
        <v>59</v>
      </c>
      <c r="M444" t="s">
        <v>386</v>
      </c>
      <c r="N444" s="1">
        <v>46204</v>
      </c>
      <c r="P444" t="s">
        <v>699</v>
      </c>
      <c r="Q444" t="s">
        <v>138</v>
      </c>
      <c r="R444" t="s">
        <v>55</v>
      </c>
      <c r="S444" s="1">
        <v>46191</v>
      </c>
      <c r="T444" s="1">
        <v>46204</v>
      </c>
      <c r="V444">
        <v>1</v>
      </c>
      <c r="W444">
        <v>1</v>
      </c>
      <c r="X444">
        <v>1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1</v>
      </c>
    </row>
    <row r="445" spans="1:33" x14ac:dyDescent="0.25">
      <c r="A445">
        <v>604</v>
      </c>
      <c r="B445" t="s">
        <v>860</v>
      </c>
      <c r="C445" t="s">
        <v>859</v>
      </c>
      <c r="D445" t="s">
        <v>98</v>
      </c>
      <c r="E445" t="s">
        <v>53</v>
      </c>
      <c r="F445" s="2">
        <v>46198</v>
      </c>
      <c r="G445" s="2">
        <v>46198</v>
      </c>
      <c r="H445" s="4">
        <v>0.5</v>
      </c>
      <c r="J445">
        <v>603</v>
      </c>
      <c r="K445">
        <v>605</v>
      </c>
      <c r="L445" t="s">
        <v>35</v>
      </c>
      <c r="M445" t="s">
        <v>538</v>
      </c>
      <c r="N445" s="1">
        <v>46205</v>
      </c>
      <c r="P445" t="s">
        <v>699</v>
      </c>
      <c r="Q445" t="s">
        <v>146</v>
      </c>
      <c r="R445" t="s">
        <v>55</v>
      </c>
      <c r="S445" s="1">
        <v>46205</v>
      </c>
      <c r="T445" s="1">
        <v>46205</v>
      </c>
      <c r="V445">
        <v>0.5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1</v>
      </c>
      <c r="AC445">
        <v>0</v>
      </c>
      <c r="AD445">
        <v>0</v>
      </c>
      <c r="AE445">
        <v>0</v>
      </c>
      <c r="AF445">
        <v>0</v>
      </c>
      <c r="AG445">
        <v>0</v>
      </c>
    </row>
    <row r="446" spans="1:33" x14ac:dyDescent="0.25">
      <c r="A446">
        <v>605</v>
      </c>
      <c r="B446" t="s">
        <v>861</v>
      </c>
      <c r="C446" t="s">
        <v>859</v>
      </c>
      <c r="D446" t="s">
        <v>102</v>
      </c>
      <c r="E446" t="s">
        <v>53</v>
      </c>
      <c r="F446" s="2">
        <v>46199</v>
      </c>
      <c r="G446" s="2">
        <v>46199</v>
      </c>
      <c r="H446" s="4">
        <v>0</v>
      </c>
      <c r="J446">
        <v>604</v>
      </c>
      <c r="K446">
        <v>606</v>
      </c>
      <c r="L446" t="s">
        <v>35</v>
      </c>
      <c r="M446" t="s">
        <v>159</v>
      </c>
      <c r="N446" s="1">
        <v>46209</v>
      </c>
      <c r="P446" t="s">
        <v>699</v>
      </c>
      <c r="Q446" t="s">
        <v>146</v>
      </c>
      <c r="R446" t="s">
        <v>55</v>
      </c>
      <c r="S446" s="1">
        <v>46206</v>
      </c>
      <c r="T446" s="1">
        <v>46209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1</v>
      </c>
      <c r="AE446">
        <v>0</v>
      </c>
      <c r="AF446">
        <v>0</v>
      </c>
      <c r="AG446">
        <v>0</v>
      </c>
    </row>
    <row r="447" spans="1:33" x14ac:dyDescent="0.25">
      <c r="A447">
        <v>606</v>
      </c>
      <c r="B447" t="s">
        <v>862</v>
      </c>
      <c r="C447" t="s">
        <v>859</v>
      </c>
      <c r="D447" t="s">
        <v>108</v>
      </c>
      <c r="E447" t="s">
        <v>53</v>
      </c>
      <c r="F447" s="2">
        <v>46202</v>
      </c>
      <c r="G447" s="2">
        <v>46202</v>
      </c>
      <c r="H447" s="4">
        <v>0</v>
      </c>
      <c r="J447">
        <v>605</v>
      </c>
      <c r="L447" t="s">
        <v>35</v>
      </c>
      <c r="M447" t="s">
        <v>541</v>
      </c>
      <c r="N447" s="1">
        <v>46210</v>
      </c>
      <c r="P447" t="s">
        <v>699</v>
      </c>
      <c r="Q447" t="s">
        <v>151</v>
      </c>
      <c r="R447" t="s">
        <v>55</v>
      </c>
      <c r="S447" s="1">
        <v>46210</v>
      </c>
      <c r="T447" s="1">
        <v>46210</v>
      </c>
      <c r="V447">
        <v>0</v>
      </c>
      <c r="W447">
        <v>0</v>
      </c>
      <c r="X447">
        <v>0</v>
      </c>
      <c r="Y447">
        <v>0</v>
      </c>
      <c r="Z447">
        <v>1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1</v>
      </c>
      <c r="AG447">
        <v>0</v>
      </c>
    </row>
    <row r="448" spans="1:33" x14ac:dyDescent="0.25">
      <c r="A448">
        <v>607</v>
      </c>
      <c r="B448" t="s">
        <v>863</v>
      </c>
      <c r="C448" t="s">
        <v>701</v>
      </c>
      <c r="D448" t="s">
        <v>864</v>
      </c>
      <c r="E448" t="s">
        <v>744</v>
      </c>
      <c r="F448" s="2">
        <v>46189</v>
      </c>
      <c r="G448" s="2">
        <v>46202</v>
      </c>
      <c r="H448" s="4">
        <v>0.75</v>
      </c>
      <c r="L448" t="s">
        <v>35</v>
      </c>
      <c r="M448" t="s">
        <v>386</v>
      </c>
      <c r="N448" s="1">
        <v>46210</v>
      </c>
      <c r="P448" t="s">
        <v>699</v>
      </c>
      <c r="Q448" t="s">
        <v>138</v>
      </c>
      <c r="R448" t="s">
        <v>55</v>
      </c>
      <c r="S448" s="1">
        <v>46191</v>
      </c>
      <c r="T448" s="1">
        <v>46210</v>
      </c>
      <c r="V448">
        <v>0.75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</row>
    <row r="449" spans="1:33" x14ac:dyDescent="0.25">
      <c r="A449">
        <v>608</v>
      </c>
      <c r="B449" t="s">
        <v>865</v>
      </c>
      <c r="C449" t="s">
        <v>866</v>
      </c>
      <c r="D449" t="s">
        <v>94</v>
      </c>
      <c r="E449" t="s">
        <v>815</v>
      </c>
      <c r="F449" s="2">
        <v>46189</v>
      </c>
      <c r="G449" s="2">
        <v>46197</v>
      </c>
      <c r="H449" s="4">
        <v>1</v>
      </c>
      <c r="I449" s="2">
        <v>46197</v>
      </c>
      <c r="J449" t="s">
        <v>824</v>
      </c>
      <c r="K449">
        <v>609</v>
      </c>
      <c r="L449" t="s">
        <v>59</v>
      </c>
      <c r="M449" t="s">
        <v>386</v>
      </c>
      <c r="N449" s="1">
        <v>46204</v>
      </c>
      <c r="P449" t="s">
        <v>699</v>
      </c>
      <c r="Q449" t="s">
        <v>138</v>
      </c>
      <c r="R449" t="s">
        <v>55</v>
      </c>
      <c r="S449" s="1">
        <v>46191</v>
      </c>
      <c r="T449" s="1">
        <v>46204</v>
      </c>
      <c r="V449">
        <v>1</v>
      </c>
      <c r="W449">
        <v>1</v>
      </c>
      <c r="X449">
        <v>1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1</v>
      </c>
    </row>
    <row r="450" spans="1:33" x14ac:dyDescent="0.25">
      <c r="A450">
        <v>609</v>
      </c>
      <c r="B450" t="s">
        <v>867</v>
      </c>
      <c r="C450" t="s">
        <v>866</v>
      </c>
      <c r="D450" t="s">
        <v>98</v>
      </c>
      <c r="E450" t="s">
        <v>53</v>
      </c>
      <c r="F450" s="2">
        <v>46198</v>
      </c>
      <c r="G450" s="2">
        <v>46198</v>
      </c>
      <c r="H450" s="4">
        <v>0.5</v>
      </c>
      <c r="J450">
        <v>608</v>
      </c>
      <c r="K450">
        <v>610</v>
      </c>
      <c r="L450" t="s">
        <v>35</v>
      </c>
      <c r="M450" t="s">
        <v>538</v>
      </c>
      <c r="N450" s="1">
        <v>46205</v>
      </c>
      <c r="P450" t="s">
        <v>699</v>
      </c>
      <c r="Q450" t="s">
        <v>146</v>
      </c>
      <c r="R450" t="s">
        <v>55</v>
      </c>
      <c r="S450" s="1">
        <v>46205</v>
      </c>
      <c r="T450" s="1">
        <v>46205</v>
      </c>
      <c r="V450">
        <v>0.5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1</v>
      </c>
      <c r="AC450">
        <v>0</v>
      </c>
      <c r="AD450">
        <v>0</v>
      </c>
      <c r="AE450">
        <v>0</v>
      </c>
      <c r="AF450">
        <v>0</v>
      </c>
      <c r="AG450">
        <v>0</v>
      </c>
    </row>
    <row r="451" spans="1:33" x14ac:dyDescent="0.25">
      <c r="A451">
        <v>610</v>
      </c>
      <c r="B451" t="s">
        <v>868</v>
      </c>
      <c r="C451" t="s">
        <v>866</v>
      </c>
      <c r="D451" t="s">
        <v>102</v>
      </c>
      <c r="E451" t="s">
        <v>53</v>
      </c>
      <c r="F451" s="2">
        <v>46199</v>
      </c>
      <c r="G451" s="2">
        <v>46199</v>
      </c>
      <c r="H451" s="4">
        <v>0</v>
      </c>
      <c r="J451">
        <v>609</v>
      </c>
      <c r="K451">
        <v>611</v>
      </c>
      <c r="L451" t="s">
        <v>35</v>
      </c>
      <c r="M451" t="s">
        <v>159</v>
      </c>
      <c r="N451" s="1">
        <v>46209</v>
      </c>
      <c r="P451" t="s">
        <v>699</v>
      </c>
      <c r="Q451" t="s">
        <v>146</v>
      </c>
      <c r="R451" t="s">
        <v>55</v>
      </c>
      <c r="S451" s="1">
        <v>46206</v>
      </c>
      <c r="T451" s="1">
        <v>46209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1</v>
      </c>
      <c r="AE451">
        <v>0</v>
      </c>
      <c r="AF451">
        <v>0</v>
      </c>
      <c r="AG451">
        <v>0</v>
      </c>
    </row>
    <row r="452" spans="1:33" x14ac:dyDescent="0.25">
      <c r="A452">
        <v>611</v>
      </c>
      <c r="B452" t="s">
        <v>869</v>
      </c>
      <c r="C452" t="s">
        <v>866</v>
      </c>
      <c r="D452" t="s">
        <v>108</v>
      </c>
      <c r="E452" t="s">
        <v>53</v>
      </c>
      <c r="F452" s="2">
        <v>46202</v>
      </c>
      <c r="G452" s="2">
        <v>46202</v>
      </c>
      <c r="H452" s="4">
        <v>0</v>
      </c>
      <c r="J452">
        <v>610</v>
      </c>
      <c r="L452" t="s">
        <v>35</v>
      </c>
      <c r="M452" t="s">
        <v>541</v>
      </c>
      <c r="N452" s="1">
        <v>46210</v>
      </c>
      <c r="P452" t="s">
        <v>699</v>
      </c>
      <c r="Q452" t="s">
        <v>151</v>
      </c>
      <c r="R452" t="s">
        <v>55</v>
      </c>
      <c r="S452" s="1">
        <v>46210</v>
      </c>
      <c r="T452" s="1">
        <v>46210</v>
      </c>
      <c r="V452">
        <v>0</v>
      </c>
      <c r="W452">
        <v>0</v>
      </c>
      <c r="X452">
        <v>0</v>
      </c>
      <c r="Y452">
        <v>0</v>
      </c>
      <c r="Z452">
        <v>1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1</v>
      </c>
      <c r="AG452">
        <v>0</v>
      </c>
    </row>
    <row r="453" spans="1:33" x14ac:dyDescent="0.25">
      <c r="A453">
        <v>612</v>
      </c>
      <c r="B453" t="s">
        <v>870</v>
      </c>
      <c r="C453" t="s">
        <v>701</v>
      </c>
      <c r="D453" t="s">
        <v>871</v>
      </c>
      <c r="E453" t="s">
        <v>744</v>
      </c>
      <c r="F453" s="2">
        <v>46188</v>
      </c>
      <c r="G453" s="2">
        <v>46199</v>
      </c>
      <c r="H453" s="4">
        <v>0.72</v>
      </c>
      <c r="L453" t="s">
        <v>35</v>
      </c>
      <c r="M453" t="s">
        <v>386</v>
      </c>
      <c r="N453" s="1">
        <v>46210</v>
      </c>
      <c r="P453" t="s">
        <v>699</v>
      </c>
      <c r="Q453" t="s">
        <v>138</v>
      </c>
      <c r="R453" t="s">
        <v>55</v>
      </c>
      <c r="S453" s="1">
        <v>46191</v>
      </c>
      <c r="T453" s="1">
        <v>46210</v>
      </c>
      <c r="V453">
        <v>0.72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</row>
    <row r="454" spans="1:33" x14ac:dyDescent="0.25">
      <c r="A454">
        <v>613</v>
      </c>
      <c r="B454" t="s">
        <v>872</v>
      </c>
      <c r="C454" t="s">
        <v>873</v>
      </c>
      <c r="D454" t="s">
        <v>94</v>
      </c>
      <c r="E454" t="s">
        <v>815</v>
      </c>
      <c r="F454" s="2">
        <v>46188</v>
      </c>
      <c r="G454" s="2">
        <v>46196</v>
      </c>
      <c r="H454" s="4">
        <v>1</v>
      </c>
      <c r="I454" s="2">
        <v>46196</v>
      </c>
      <c r="J454" t="s">
        <v>824</v>
      </c>
      <c r="K454">
        <v>614</v>
      </c>
      <c r="L454" t="s">
        <v>59</v>
      </c>
      <c r="M454" t="s">
        <v>386</v>
      </c>
      <c r="N454" s="1">
        <v>46204</v>
      </c>
      <c r="P454" t="s">
        <v>699</v>
      </c>
      <c r="Q454" t="s">
        <v>138</v>
      </c>
      <c r="R454" t="s">
        <v>55</v>
      </c>
      <c r="S454" s="1">
        <v>46191</v>
      </c>
      <c r="T454" s="1">
        <v>46204</v>
      </c>
      <c r="V454">
        <v>1</v>
      </c>
      <c r="W454">
        <v>1</v>
      </c>
      <c r="X454">
        <v>1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1</v>
      </c>
    </row>
    <row r="455" spans="1:33" x14ac:dyDescent="0.25">
      <c r="A455">
        <v>614</v>
      </c>
      <c r="B455" t="s">
        <v>874</v>
      </c>
      <c r="C455" t="s">
        <v>873</v>
      </c>
      <c r="D455" t="s">
        <v>98</v>
      </c>
      <c r="E455" t="s">
        <v>53</v>
      </c>
      <c r="F455" s="2">
        <v>46197</v>
      </c>
      <c r="G455" s="2">
        <v>46197</v>
      </c>
      <c r="H455" s="4">
        <v>0.15</v>
      </c>
      <c r="J455">
        <v>613</v>
      </c>
      <c r="K455">
        <v>615</v>
      </c>
      <c r="L455" t="s">
        <v>35</v>
      </c>
      <c r="M455" t="s">
        <v>538</v>
      </c>
      <c r="N455" s="1">
        <v>46205</v>
      </c>
      <c r="P455" t="s">
        <v>699</v>
      </c>
      <c r="Q455" t="s">
        <v>146</v>
      </c>
      <c r="R455" t="s">
        <v>55</v>
      </c>
      <c r="S455" s="1">
        <v>46205</v>
      </c>
      <c r="T455" s="1">
        <v>46205</v>
      </c>
      <c r="V455">
        <v>0.15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1</v>
      </c>
      <c r="AC455">
        <v>0</v>
      </c>
      <c r="AD455">
        <v>0</v>
      </c>
      <c r="AE455">
        <v>0</v>
      </c>
      <c r="AF455">
        <v>0</v>
      </c>
      <c r="AG455">
        <v>0</v>
      </c>
    </row>
    <row r="456" spans="1:33" x14ac:dyDescent="0.25">
      <c r="A456">
        <v>615</v>
      </c>
      <c r="B456" t="s">
        <v>875</v>
      </c>
      <c r="C456" t="s">
        <v>873</v>
      </c>
      <c r="D456" t="s">
        <v>102</v>
      </c>
      <c r="E456" t="s">
        <v>53</v>
      </c>
      <c r="F456" s="2">
        <v>46198</v>
      </c>
      <c r="G456" s="2">
        <v>46198</v>
      </c>
      <c r="H456" s="4">
        <v>0</v>
      </c>
      <c r="J456">
        <v>614</v>
      </c>
      <c r="K456">
        <v>616</v>
      </c>
      <c r="L456" t="s">
        <v>35</v>
      </c>
      <c r="M456" t="s">
        <v>159</v>
      </c>
      <c r="N456" s="1">
        <v>46209</v>
      </c>
      <c r="P456" t="s">
        <v>699</v>
      </c>
      <c r="Q456" t="s">
        <v>146</v>
      </c>
      <c r="R456" t="s">
        <v>55</v>
      </c>
      <c r="S456" s="1">
        <v>46206</v>
      </c>
      <c r="T456" s="1">
        <v>46209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1</v>
      </c>
      <c r="AE456">
        <v>0</v>
      </c>
      <c r="AF456">
        <v>0</v>
      </c>
      <c r="AG456">
        <v>0</v>
      </c>
    </row>
    <row r="457" spans="1:33" x14ac:dyDescent="0.25">
      <c r="A457">
        <v>616</v>
      </c>
      <c r="B457" t="s">
        <v>876</v>
      </c>
      <c r="C457" t="s">
        <v>873</v>
      </c>
      <c r="D457" t="s">
        <v>108</v>
      </c>
      <c r="E457" t="s">
        <v>53</v>
      </c>
      <c r="F457" s="2">
        <v>46199</v>
      </c>
      <c r="G457" s="2">
        <v>46199</v>
      </c>
      <c r="H457" s="4">
        <v>0</v>
      </c>
      <c r="J457">
        <v>615</v>
      </c>
      <c r="L457" t="s">
        <v>35</v>
      </c>
      <c r="M457" t="s">
        <v>541</v>
      </c>
      <c r="N457" s="1">
        <v>46210</v>
      </c>
      <c r="P457" t="s">
        <v>699</v>
      </c>
      <c r="Q457" t="s">
        <v>146</v>
      </c>
      <c r="R457" t="s">
        <v>55</v>
      </c>
      <c r="S457" s="1">
        <v>46210</v>
      </c>
      <c r="T457" s="1">
        <v>46210</v>
      </c>
      <c r="V457">
        <v>0</v>
      </c>
      <c r="W457">
        <v>0</v>
      </c>
      <c r="X457">
        <v>0</v>
      </c>
      <c r="Y457">
        <v>0</v>
      </c>
      <c r="Z457">
        <v>1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1</v>
      </c>
      <c r="AG457">
        <v>0</v>
      </c>
    </row>
    <row r="458" spans="1:33" x14ac:dyDescent="0.25">
      <c r="A458">
        <v>617</v>
      </c>
      <c r="B458" t="s">
        <v>877</v>
      </c>
      <c r="C458" t="s">
        <v>701</v>
      </c>
      <c r="D458" t="s">
        <v>878</v>
      </c>
      <c r="E458" t="s">
        <v>744</v>
      </c>
      <c r="F458" s="2">
        <v>46188</v>
      </c>
      <c r="G458" s="2">
        <v>46199</v>
      </c>
      <c r="H458" s="4">
        <v>0.72</v>
      </c>
      <c r="L458" t="s">
        <v>35</v>
      </c>
      <c r="M458" t="s">
        <v>386</v>
      </c>
      <c r="N458" s="1">
        <v>46210</v>
      </c>
      <c r="P458" t="s">
        <v>699</v>
      </c>
      <c r="Q458" t="s">
        <v>138</v>
      </c>
      <c r="R458" t="s">
        <v>55</v>
      </c>
      <c r="S458" s="1">
        <v>46191</v>
      </c>
      <c r="T458" s="1">
        <v>46210</v>
      </c>
      <c r="V458">
        <v>0.72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0</v>
      </c>
    </row>
    <row r="459" spans="1:33" x14ac:dyDescent="0.25">
      <c r="A459">
        <v>618</v>
      </c>
      <c r="B459" t="s">
        <v>879</v>
      </c>
      <c r="C459" t="s">
        <v>880</v>
      </c>
      <c r="D459" t="s">
        <v>94</v>
      </c>
      <c r="E459" t="s">
        <v>815</v>
      </c>
      <c r="F459" s="2">
        <v>46188</v>
      </c>
      <c r="G459" s="2">
        <v>46196</v>
      </c>
      <c r="H459" s="4">
        <v>1</v>
      </c>
      <c r="I459" s="2">
        <v>46196</v>
      </c>
      <c r="J459" t="s">
        <v>824</v>
      </c>
      <c r="K459">
        <v>619</v>
      </c>
      <c r="L459" t="s">
        <v>59</v>
      </c>
      <c r="M459" t="s">
        <v>386</v>
      </c>
      <c r="N459" s="1">
        <v>46204</v>
      </c>
      <c r="P459" t="s">
        <v>699</v>
      </c>
      <c r="Q459" t="s">
        <v>138</v>
      </c>
      <c r="R459" t="s">
        <v>55</v>
      </c>
      <c r="S459" s="1">
        <v>46191</v>
      </c>
      <c r="T459" s="1">
        <v>46204</v>
      </c>
      <c r="V459">
        <v>1</v>
      </c>
      <c r="W459">
        <v>1</v>
      </c>
      <c r="X459">
        <v>1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1</v>
      </c>
    </row>
    <row r="460" spans="1:33" x14ac:dyDescent="0.25">
      <c r="A460">
        <v>619</v>
      </c>
      <c r="B460" t="s">
        <v>881</v>
      </c>
      <c r="C460" t="s">
        <v>880</v>
      </c>
      <c r="D460" t="s">
        <v>98</v>
      </c>
      <c r="E460" t="s">
        <v>53</v>
      </c>
      <c r="F460" s="2">
        <v>46197</v>
      </c>
      <c r="G460" s="2">
        <v>46197</v>
      </c>
      <c r="H460" s="4">
        <v>0.15</v>
      </c>
      <c r="J460">
        <v>618</v>
      </c>
      <c r="K460">
        <v>620</v>
      </c>
      <c r="L460" t="s">
        <v>35</v>
      </c>
      <c r="M460" t="s">
        <v>538</v>
      </c>
      <c r="N460" s="1">
        <v>46205</v>
      </c>
      <c r="P460" t="s">
        <v>699</v>
      </c>
      <c r="Q460" t="s">
        <v>146</v>
      </c>
      <c r="R460" t="s">
        <v>55</v>
      </c>
      <c r="S460" s="1">
        <v>46205</v>
      </c>
      <c r="T460" s="1">
        <v>46205</v>
      </c>
      <c r="V460">
        <v>0.15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1</v>
      </c>
      <c r="AC460">
        <v>0</v>
      </c>
      <c r="AD460">
        <v>0</v>
      </c>
      <c r="AE460">
        <v>0</v>
      </c>
      <c r="AF460">
        <v>0</v>
      </c>
      <c r="AG460">
        <v>0</v>
      </c>
    </row>
    <row r="461" spans="1:33" x14ac:dyDescent="0.25">
      <c r="A461">
        <v>620</v>
      </c>
      <c r="B461" t="s">
        <v>882</v>
      </c>
      <c r="C461" t="s">
        <v>880</v>
      </c>
      <c r="D461" t="s">
        <v>102</v>
      </c>
      <c r="E461" t="s">
        <v>53</v>
      </c>
      <c r="F461" s="2">
        <v>46198</v>
      </c>
      <c r="G461" s="2">
        <v>46198</v>
      </c>
      <c r="H461" s="4">
        <v>0</v>
      </c>
      <c r="J461">
        <v>619</v>
      </c>
      <c r="K461">
        <v>621</v>
      </c>
      <c r="L461" t="s">
        <v>35</v>
      </c>
      <c r="M461" t="s">
        <v>159</v>
      </c>
      <c r="N461" s="1">
        <v>46209</v>
      </c>
      <c r="P461" t="s">
        <v>699</v>
      </c>
      <c r="Q461" t="s">
        <v>146</v>
      </c>
      <c r="R461" t="s">
        <v>55</v>
      </c>
      <c r="S461" s="1">
        <v>46206</v>
      </c>
      <c r="T461" s="1">
        <v>46209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1</v>
      </c>
      <c r="AE461">
        <v>0</v>
      </c>
      <c r="AF461">
        <v>0</v>
      </c>
      <c r="AG461">
        <v>0</v>
      </c>
    </row>
    <row r="462" spans="1:33" x14ac:dyDescent="0.25">
      <c r="A462">
        <v>621</v>
      </c>
      <c r="B462" t="s">
        <v>883</v>
      </c>
      <c r="C462" t="s">
        <v>880</v>
      </c>
      <c r="D462" t="s">
        <v>108</v>
      </c>
      <c r="E462" t="s">
        <v>53</v>
      </c>
      <c r="F462" s="2">
        <v>46199</v>
      </c>
      <c r="G462" s="2">
        <v>46199</v>
      </c>
      <c r="H462" s="4">
        <v>0</v>
      </c>
      <c r="J462">
        <v>620</v>
      </c>
      <c r="L462" t="s">
        <v>35</v>
      </c>
      <c r="M462" t="s">
        <v>541</v>
      </c>
      <c r="N462" s="1">
        <v>46210</v>
      </c>
      <c r="P462" t="s">
        <v>699</v>
      </c>
      <c r="Q462" t="s">
        <v>146</v>
      </c>
      <c r="R462" t="s">
        <v>55</v>
      </c>
      <c r="S462" s="1">
        <v>46210</v>
      </c>
      <c r="T462" s="1">
        <v>46210</v>
      </c>
      <c r="V462">
        <v>0</v>
      </c>
      <c r="W462">
        <v>0</v>
      </c>
      <c r="X462">
        <v>0</v>
      </c>
      <c r="Y462">
        <v>0</v>
      </c>
      <c r="Z462">
        <v>1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1</v>
      </c>
      <c r="AG462">
        <v>0</v>
      </c>
    </row>
    <row r="463" spans="1:33" x14ac:dyDescent="0.25">
      <c r="A463">
        <v>622</v>
      </c>
      <c r="B463" t="s">
        <v>884</v>
      </c>
      <c r="C463" t="s">
        <v>701</v>
      </c>
      <c r="D463" t="s">
        <v>885</v>
      </c>
      <c r="E463" t="s">
        <v>744</v>
      </c>
      <c r="F463" s="2">
        <v>46188</v>
      </c>
      <c r="G463" s="2">
        <v>46199</v>
      </c>
      <c r="H463" s="4">
        <v>0.72</v>
      </c>
      <c r="L463" t="s">
        <v>35</v>
      </c>
      <c r="M463" t="s">
        <v>386</v>
      </c>
      <c r="N463" s="1">
        <v>46210</v>
      </c>
      <c r="P463" t="s">
        <v>699</v>
      </c>
      <c r="Q463" t="s">
        <v>138</v>
      </c>
      <c r="R463" t="s">
        <v>55</v>
      </c>
      <c r="S463" s="1">
        <v>46191</v>
      </c>
      <c r="T463" s="1">
        <v>46210</v>
      </c>
      <c r="V463">
        <v>0.72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</row>
    <row r="464" spans="1:33" x14ac:dyDescent="0.25">
      <c r="A464">
        <v>623</v>
      </c>
      <c r="B464" t="s">
        <v>886</v>
      </c>
      <c r="C464" t="s">
        <v>887</v>
      </c>
      <c r="D464" t="s">
        <v>94</v>
      </c>
      <c r="E464" t="s">
        <v>815</v>
      </c>
      <c r="F464" s="2">
        <v>46188</v>
      </c>
      <c r="G464" s="2">
        <v>46196</v>
      </c>
      <c r="H464" s="4">
        <v>1</v>
      </c>
      <c r="I464" s="2">
        <v>46196</v>
      </c>
      <c r="J464" t="s">
        <v>824</v>
      </c>
      <c r="K464">
        <v>624</v>
      </c>
      <c r="L464" t="s">
        <v>59</v>
      </c>
      <c r="M464" t="s">
        <v>386</v>
      </c>
      <c r="N464" s="1">
        <v>46204</v>
      </c>
      <c r="P464" t="s">
        <v>699</v>
      </c>
      <c r="Q464" t="s">
        <v>138</v>
      </c>
      <c r="R464" t="s">
        <v>55</v>
      </c>
      <c r="S464" s="1">
        <v>46191</v>
      </c>
      <c r="T464" s="1">
        <v>46204</v>
      </c>
      <c r="V464">
        <v>1</v>
      </c>
      <c r="W464">
        <v>1</v>
      </c>
      <c r="X464">
        <v>1</v>
      </c>
      <c r="Y464">
        <v>0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1</v>
      </c>
    </row>
    <row r="465" spans="1:33" x14ac:dyDescent="0.25">
      <c r="A465">
        <v>624</v>
      </c>
      <c r="B465" t="s">
        <v>888</v>
      </c>
      <c r="C465" t="s">
        <v>887</v>
      </c>
      <c r="D465" t="s">
        <v>98</v>
      </c>
      <c r="E465" t="s">
        <v>53</v>
      </c>
      <c r="F465" s="2">
        <v>46197</v>
      </c>
      <c r="G465" s="2">
        <v>46197</v>
      </c>
      <c r="H465" s="4">
        <v>0.15</v>
      </c>
      <c r="J465">
        <v>623</v>
      </c>
      <c r="K465">
        <v>625</v>
      </c>
      <c r="L465" t="s">
        <v>35</v>
      </c>
      <c r="M465" t="s">
        <v>538</v>
      </c>
      <c r="N465" s="1">
        <v>46205</v>
      </c>
      <c r="P465" t="s">
        <v>699</v>
      </c>
      <c r="Q465" t="s">
        <v>146</v>
      </c>
      <c r="R465" t="s">
        <v>55</v>
      </c>
      <c r="S465" s="1">
        <v>46205</v>
      </c>
      <c r="T465" s="1">
        <v>46205</v>
      </c>
      <c r="V465">
        <v>0.15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1</v>
      </c>
      <c r="AC465">
        <v>0</v>
      </c>
      <c r="AD465">
        <v>0</v>
      </c>
      <c r="AE465">
        <v>0</v>
      </c>
      <c r="AF465">
        <v>0</v>
      </c>
      <c r="AG465">
        <v>0</v>
      </c>
    </row>
    <row r="466" spans="1:33" x14ac:dyDescent="0.25">
      <c r="A466">
        <v>625</v>
      </c>
      <c r="B466" t="s">
        <v>889</v>
      </c>
      <c r="C466" t="s">
        <v>887</v>
      </c>
      <c r="D466" t="s">
        <v>102</v>
      </c>
      <c r="E466" t="s">
        <v>53</v>
      </c>
      <c r="F466" s="2">
        <v>46198</v>
      </c>
      <c r="G466" s="2">
        <v>46198</v>
      </c>
      <c r="H466" s="4">
        <v>0</v>
      </c>
      <c r="J466">
        <v>624</v>
      </c>
      <c r="K466">
        <v>626</v>
      </c>
      <c r="L466" t="s">
        <v>35</v>
      </c>
      <c r="M466" t="s">
        <v>159</v>
      </c>
      <c r="N466" s="1">
        <v>46209</v>
      </c>
      <c r="P466" t="s">
        <v>699</v>
      </c>
      <c r="Q466" t="s">
        <v>146</v>
      </c>
      <c r="R466" t="s">
        <v>55</v>
      </c>
      <c r="S466" s="1">
        <v>46206</v>
      </c>
      <c r="T466" s="1">
        <v>46209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1</v>
      </c>
      <c r="AE466">
        <v>0</v>
      </c>
      <c r="AF466">
        <v>0</v>
      </c>
      <c r="AG466">
        <v>0</v>
      </c>
    </row>
    <row r="467" spans="1:33" x14ac:dyDescent="0.25">
      <c r="A467">
        <v>626</v>
      </c>
      <c r="B467" t="s">
        <v>890</v>
      </c>
      <c r="C467" t="s">
        <v>887</v>
      </c>
      <c r="D467" t="s">
        <v>108</v>
      </c>
      <c r="E467" t="s">
        <v>53</v>
      </c>
      <c r="F467" s="2">
        <v>46199</v>
      </c>
      <c r="G467" s="2">
        <v>46199</v>
      </c>
      <c r="H467" s="4">
        <v>0</v>
      </c>
      <c r="J467">
        <v>625</v>
      </c>
      <c r="L467" t="s">
        <v>35</v>
      </c>
      <c r="M467" t="s">
        <v>541</v>
      </c>
      <c r="N467" s="1">
        <v>46210</v>
      </c>
      <c r="P467" t="s">
        <v>699</v>
      </c>
      <c r="Q467" t="s">
        <v>146</v>
      </c>
      <c r="R467" t="s">
        <v>55</v>
      </c>
      <c r="S467" s="1">
        <v>46210</v>
      </c>
      <c r="T467" s="1">
        <v>46210</v>
      </c>
      <c r="V467">
        <v>0</v>
      </c>
      <c r="W467">
        <v>0</v>
      </c>
      <c r="X467">
        <v>0</v>
      </c>
      <c r="Y467">
        <v>0</v>
      </c>
      <c r="Z467">
        <v>1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1</v>
      </c>
      <c r="AG467">
        <v>0</v>
      </c>
    </row>
    <row r="468" spans="1:33" x14ac:dyDescent="0.25">
      <c r="A468">
        <v>627</v>
      </c>
      <c r="B468" t="s">
        <v>891</v>
      </c>
      <c r="C468" t="s">
        <v>701</v>
      </c>
      <c r="D468" t="s">
        <v>892</v>
      </c>
      <c r="E468" t="s">
        <v>744</v>
      </c>
      <c r="F468" s="2">
        <v>46191</v>
      </c>
      <c r="G468" s="2">
        <v>46204</v>
      </c>
      <c r="H468" s="4">
        <v>0.72</v>
      </c>
      <c r="L468" t="s">
        <v>35</v>
      </c>
      <c r="M468" t="s">
        <v>386</v>
      </c>
      <c r="N468" s="1">
        <v>46210</v>
      </c>
      <c r="P468" t="s">
        <v>699</v>
      </c>
      <c r="Q468" t="s">
        <v>138</v>
      </c>
      <c r="R468" t="s">
        <v>55</v>
      </c>
      <c r="S468" s="1">
        <v>46191</v>
      </c>
      <c r="T468" s="1">
        <v>46210</v>
      </c>
      <c r="V468">
        <v>0.72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</row>
    <row r="469" spans="1:33" x14ac:dyDescent="0.25">
      <c r="A469">
        <v>628</v>
      </c>
      <c r="B469" t="s">
        <v>893</v>
      </c>
      <c r="C469" t="s">
        <v>894</v>
      </c>
      <c r="D469" t="s">
        <v>94</v>
      </c>
      <c r="E469" t="s">
        <v>815</v>
      </c>
      <c r="F469" s="2">
        <v>46191</v>
      </c>
      <c r="G469" s="2">
        <v>46199</v>
      </c>
      <c r="H469" s="4">
        <v>1</v>
      </c>
      <c r="I469" s="2">
        <v>46199</v>
      </c>
      <c r="J469" t="s">
        <v>824</v>
      </c>
      <c r="K469">
        <v>629</v>
      </c>
      <c r="L469" t="s">
        <v>59</v>
      </c>
      <c r="M469" t="s">
        <v>386</v>
      </c>
      <c r="N469" s="1">
        <v>46204</v>
      </c>
      <c r="P469" t="s">
        <v>699</v>
      </c>
      <c r="Q469" t="s">
        <v>138</v>
      </c>
      <c r="R469" t="s">
        <v>55</v>
      </c>
      <c r="S469" s="1">
        <v>46191</v>
      </c>
      <c r="T469" s="1">
        <v>46204</v>
      </c>
      <c r="V469">
        <v>1</v>
      </c>
      <c r="W469">
        <v>1</v>
      </c>
      <c r="X469">
        <v>1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1</v>
      </c>
    </row>
    <row r="470" spans="1:33" x14ac:dyDescent="0.25">
      <c r="A470">
        <v>629</v>
      </c>
      <c r="B470" t="s">
        <v>895</v>
      </c>
      <c r="C470" t="s">
        <v>894</v>
      </c>
      <c r="D470" t="s">
        <v>98</v>
      </c>
      <c r="E470" t="s">
        <v>53</v>
      </c>
      <c r="F470" s="2">
        <v>46202</v>
      </c>
      <c r="G470" s="2">
        <v>46202</v>
      </c>
      <c r="H470" s="4">
        <v>0.15</v>
      </c>
      <c r="J470">
        <v>628</v>
      </c>
      <c r="K470">
        <v>630</v>
      </c>
      <c r="L470" t="s">
        <v>35</v>
      </c>
      <c r="M470" t="s">
        <v>538</v>
      </c>
      <c r="N470" s="1">
        <v>46205</v>
      </c>
      <c r="P470" t="s">
        <v>699</v>
      </c>
      <c r="Q470" t="s">
        <v>146</v>
      </c>
      <c r="R470" t="s">
        <v>55</v>
      </c>
      <c r="S470" s="1">
        <v>46205</v>
      </c>
      <c r="T470" s="1">
        <v>46205</v>
      </c>
      <c r="V470">
        <v>0.15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1</v>
      </c>
      <c r="AC470">
        <v>0</v>
      </c>
      <c r="AD470">
        <v>0</v>
      </c>
      <c r="AE470">
        <v>0</v>
      </c>
      <c r="AF470">
        <v>0</v>
      </c>
      <c r="AG470">
        <v>0</v>
      </c>
    </row>
    <row r="471" spans="1:33" x14ac:dyDescent="0.25">
      <c r="A471">
        <v>630</v>
      </c>
      <c r="B471" t="s">
        <v>896</v>
      </c>
      <c r="C471" t="s">
        <v>894</v>
      </c>
      <c r="D471" t="s">
        <v>102</v>
      </c>
      <c r="E471" t="s">
        <v>53</v>
      </c>
      <c r="F471" s="2">
        <v>46203</v>
      </c>
      <c r="G471" s="2">
        <v>46203</v>
      </c>
      <c r="H471" s="4">
        <v>0</v>
      </c>
      <c r="J471">
        <v>629</v>
      </c>
      <c r="K471">
        <v>631</v>
      </c>
      <c r="L471" t="s">
        <v>35</v>
      </c>
      <c r="M471" t="s">
        <v>159</v>
      </c>
      <c r="N471" s="1">
        <v>46209</v>
      </c>
      <c r="P471" t="s">
        <v>699</v>
      </c>
      <c r="Q471" t="s">
        <v>146</v>
      </c>
      <c r="R471" t="s">
        <v>55</v>
      </c>
      <c r="S471" s="1">
        <v>46206</v>
      </c>
      <c r="T471" s="1">
        <v>46209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1</v>
      </c>
      <c r="AE471">
        <v>0</v>
      </c>
      <c r="AF471">
        <v>0</v>
      </c>
      <c r="AG471">
        <v>0</v>
      </c>
    </row>
    <row r="472" spans="1:33" x14ac:dyDescent="0.25">
      <c r="A472">
        <v>631</v>
      </c>
      <c r="B472" t="s">
        <v>897</v>
      </c>
      <c r="C472" t="s">
        <v>894</v>
      </c>
      <c r="D472" t="s">
        <v>108</v>
      </c>
      <c r="E472" t="s">
        <v>53</v>
      </c>
      <c r="F472" s="2">
        <v>46204</v>
      </c>
      <c r="G472" s="2">
        <v>46204</v>
      </c>
      <c r="H472" s="4">
        <v>0</v>
      </c>
      <c r="J472">
        <v>630</v>
      </c>
      <c r="L472" t="s">
        <v>35</v>
      </c>
      <c r="M472" t="s">
        <v>541</v>
      </c>
      <c r="N472" s="1">
        <v>46210</v>
      </c>
      <c r="P472" t="s">
        <v>699</v>
      </c>
      <c r="Q472" t="s">
        <v>146</v>
      </c>
      <c r="R472" t="s">
        <v>55</v>
      </c>
      <c r="S472" s="1">
        <v>46210</v>
      </c>
      <c r="T472" s="1">
        <v>46210</v>
      </c>
      <c r="V472">
        <v>0</v>
      </c>
      <c r="W472">
        <v>0</v>
      </c>
      <c r="X472">
        <v>0</v>
      </c>
      <c r="Y472">
        <v>0</v>
      </c>
      <c r="Z472">
        <v>1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1</v>
      </c>
      <c r="AG472">
        <v>0</v>
      </c>
    </row>
    <row r="473" spans="1:33" x14ac:dyDescent="0.25">
      <c r="A473">
        <v>632</v>
      </c>
      <c r="B473" t="s">
        <v>898</v>
      </c>
      <c r="C473" t="s">
        <v>701</v>
      </c>
      <c r="D473" t="s">
        <v>899</v>
      </c>
      <c r="E473" t="s">
        <v>744</v>
      </c>
      <c r="F473" s="2">
        <v>46191</v>
      </c>
      <c r="G473" s="2">
        <v>46204</v>
      </c>
      <c r="H473" s="4">
        <v>0.72</v>
      </c>
      <c r="L473" t="s">
        <v>35</v>
      </c>
      <c r="M473" t="s">
        <v>386</v>
      </c>
      <c r="N473" s="1">
        <v>46210</v>
      </c>
      <c r="P473" t="s">
        <v>699</v>
      </c>
      <c r="Q473" t="s">
        <v>138</v>
      </c>
      <c r="R473" t="s">
        <v>55</v>
      </c>
      <c r="S473" s="1">
        <v>46191</v>
      </c>
      <c r="T473" s="1">
        <v>46210</v>
      </c>
      <c r="V473">
        <v>0.72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</row>
    <row r="474" spans="1:33" x14ac:dyDescent="0.25">
      <c r="A474">
        <v>633</v>
      </c>
      <c r="B474" t="s">
        <v>900</v>
      </c>
      <c r="C474" t="s">
        <v>901</v>
      </c>
      <c r="D474" t="s">
        <v>94</v>
      </c>
      <c r="E474" t="s">
        <v>815</v>
      </c>
      <c r="F474" s="2">
        <v>46191</v>
      </c>
      <c r="G474" s="2">
        <v>46199</v>
      </c>
      <c r="H474" s="4">
        <v>1</v>
      </c>
      <c r="I474" s="2">
        <v>46199</v>
      </c>
      <c r="J474" t="s">
        <v>824</v>
      </c>
      <c r="K474">
        <v>634</v>
      </c>
      <c r="L474" t="s">
        <v>59</v>
      </c>
      <c r="M474" t="s">
        <v>386</v>
      </c>
      <c r="N474" s="1">
        <v>46204</v>
      </c>
      <c r="P474" t="s">
        <v>699</v>
      </c>
      <c r="Q474" t="s">
        <v>138</v>
      </c>
      <c r="R474" t="s">
        <v>55</v>
      </c>
      <c r="S474" s="1">
        <v>46191</v>
      </c>
      <c r="T474" s="1">
        <v>46204</v>
      </c>
      <c r="V474">
        <v>1</v>
      </c>
      <c r="W474">
        <v>1</v>
      </c>
      <c r="X474">
        <v>1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1</v>
      </c>
    </row>
    <row r="475" spans="1:33" x14ac:dyDescent="0.25">
      <c r="A475">
        <v>634</v>
      </c>
      <c r="B475" t="s">
        <v>902</v>
      </c>
      <c r="C475" t="s">
        <v>901</v>
      </c>
      <c r="D475" t="s">
        <v>98</v>
      </c>
      <c r="E475" t="s">
        <v>53</v>
      </c>
      <c r="F475" s="2">
        <v>46202</v>
      </c>
      <c r="G475" s="2">
        <v>46202</v>
      </c>
      <c r="H475" s="4">
        <v>0.15</v>
      </c>
      <c r="J475">
        <v>633</v>
      </c>
      <c r="K475">
        <v>635</v>
      </c>
      <c r="L475" t="s">
        <v>35</v>
      </c>
      <c r="M475" t="s">
        <v>538</v>
      </c>
      <c r="N475" s="1">
        <v>46205</v>
      </c>
      <c r="P475" t="s">
        <v>699</v>
      </c>
      <c r="Q475" t="s">
        <v>146</v>
      </c>
      <c r="R475" t="s">
        <v>55</v>
      </c>
      <c r="S475" s="1">
        <v>46205</v>
      </c>
      <c r="T475" s="1">
        <v>46205</v>
      </c>
      <c r="V475">
        <v>0.15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1</v>
      </c>
      <c r="AC475">
        <v>0</v>
      </c>
      <c r="AD475">
        <v>0</v>
      </c>
      <c r="AE475">
        <v>0</v>
      </c>
      <c r="AF475">
        <v>0</v>
      </c>
      <c r="AG475">
        <v>0</v>
      </c>
    </row>
    <row r="476" spans="1:33" x14ac:dyDescent="0.25">
      <c r="A476">
        <v>635</v>
      </c>
      <c r="B476" t="s">
        <v>903</v>
      </c>
      <c r="C476" t="s">
        <v>901</v>
      </c>
      <c r="D476" t="s">
        <v>102</v>
      </c>
      <c r="E476" t="s">
        <v>53</v>
      </c>
      <c r="F476" s="2">
        <v>46203</v>
      </c>
      <c r="G476" s="2">
        <v>46203</v>
      </c>
      <c r="H476" s="4">
        <v>0</v>
      </c>
      <c r="J476">
        <v>634</v>
      </c>
      <c r="K476">
        <v>636</v>
      </c>
      <c r="L476" t="s">
        <v>35</v>
      </c>
      <c r="M476" t="s">
        <v>159</v>
      </c>
      <c r="N476" s="1">
        <v>46209</v>
      </c>
      <c r="P476" t="s">
        <v>699</v>
      </c>
      <c r="Q476" t="s">
        <v>146</v>
      </c>
      <c r="R476" t="s">
        <v>55</v>
      </c>
      <c r="S476" s="1">
        <v>46206</v>
      </c>
      <c r="T476" s="1">
        <v>46209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1</v>
      </c>
      <c r="AE476">
        <v>0</v>
      </c>
      <c r="AF476">
        <v>0</v>
      </c>
      <c r="AG476">
        <v>0</v>
      </c>
    </row>
    <row r="477" spans="1:33" x14ac:dyDescent="0.25">
      <c r="A477">
        <v>636</v>
      </c>
      <c r="B477" t="s">
        <v>904</v>
      </c>
      <c r="C477" t="s">
        <v>901</v>
      </c>
      <c r="D477" t="s">
        <v>108</v>
      </c>
      <c r="E477" t="s">
        <v>53</v>
      </c>
      <c r="F477" s="2">
        <v>46204</v>
      </c>
      <c r="G477" s="2">
        <v>46204</v>
      </c>
      <c r="H477" s="4">
        <v>0</v>
      </c>
      <c r="J477">
        <v>635</v>
      </c>
      <c r="L477" t="s">
        <v>35</v>
      </c>
      <c r="M477" t="s">
        <v>541</v>
      </c>
      <c r="N477" s="1">
        <v>46210</v>
      </c>
      <c r="P477" t="s">
        <v>699</v>
      </c>
      <c r="Q477" t="s">
        <v>146</v>
      </c>
      <c r="R477" t="s">
        <v>55</v>
      </c>
      <c r="S477" s="1">
        <v>46210</v>
      </c>
      <c r="T477" s="1">
        <v>46210</v>
      </c>
      <c r="V477">
        <v>0</v>
      </c>
      <c r="W477">
        <v>0</v>
      </c>
      <c r="X477">
        <v>0</v>
      </c>
      <c r="Y477">
        <v>0</v>
      </c>
      <c r="Z477">
        <v>1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1</v>
      </c>
      <c r="AG477">
        <v>0</v>
      </c>
    </row>
    <row r="478" spans="1:33" x14ac:dyDescent="0.25">
      <c r="A478">
        <v>637</v>
      </c>
      <c r="B478" t="s">
        <v>905</v>
      </c>
      <c r="C478" t="s">
        <v>701</v>
      </c>
      <c r="D478" t="s">
        <v>906</v>
      </c>
      <c r="E478" t="s">
        <v>744</v>
      </c>
      <c r="F478" s="2">
        <v>46191</v>
      </c>
      <c r="G478" s="2">
        <v>46204</v>
      </c>
      <c r="H478" s="4">
        <v>0.72</v>
      </c>
      <c r="L478" t="s">
        <v>35</v>
      </c>
      <c r="M478" t="s">
        <v>386</v>
      </c>
      <c r="N478" s="1">
        <v>46210</v>
      </c>
      <c r="P478" t="s">
        <v>699</v>
      </c>
      <c r="Q478" t="s">
        <v>138</v>
      </c>
      <c r="R478" t="s">
        <v>55</v>
      </c>
      <c r="S478" s="1">
        <v>46191</v>
      </c>
      <c r="T478" s="1">
        <v>46210</v>
      </c>
      <c r="V478">
        <v>0.72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</row>
    <row r="479" spans="1:33" x14ac:dyDescent="0.25">
      <c r="A479">
        <v>638</v>
      </c>
      <c r="B479" t="s">
        <v>907</v>
      </c>
      <c r="C479" t="s">
        <v>908</v>
      </c>
      <c r="D479" t="s">
        <v>94</v>
      </c>
      <c r="E479" t="s">
        <v>815</v>
      </c>
      <c r="F479" s="2">
        <v>46191</v>
      </c>
      <c r="G479" s="2">
        <v>46199</v>
      </c>
      <c r="H479" s="4">
        <v>1</v>
      </c>
      <c r="I479" s="2">
        <v>46199</v>
      </c>
      <c r="J479" t="s">
        <v>824</v>
      </c>
      <c r="K479">
        <v>639</v>
      </c>
      <c r="L479" t="s">
        <v>59</v>
      </c>
      <c r="M479" t="s">
        <v>386</v>
      </c>
      <c r="N479" s="1">
        <v>46204</v>
      </c>
      <c r="P479" t="s">
        <v>699</v>
      </c>
      <c r="Q479" t="s">
        <v>138</v>
      </c>
      <c r="R479" t="s">
        <v>55</v>
      </c>
      <c r="S479" s="1">
        <v>46191</v>
      </c>
      <c r="T479" s="1">
        <v>46204</v>
      </c>
      <c r="V479">
        <v>1</v>
      </c>
      <c r="W479">
        <v>1</v>
      </c>
      <c r="X479">
        <v>1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1</v>
      </c>
    </row>
    <row r="480" spans="1:33" x14ac:dyDescent="0.25">
      <c r="A480">
        <v>639</v>
      </c>
      <c r="B480" t="s">
        <v>909</v>
      </c>
      <c r="C480" t="s">
        <v>908</v>
      </c>
      <c r="D480" t="s">
        <v>98</v>
      </c>
      <c r="E480" t="s">
        <v>53</v>
      </c>
      <c r="F480" s="2">
        <v>46202</v>
      </c>
      <c r="G480" s="2">
        <v>46202</v>
      </c>
      <c r="H480" s="4">
        <v>0.15</v>
      </c>
      <c r="J480">
        <v>638</v>
      </c>
      <c r="K480">
        <v>640</v>
      </c>
      <c r="L480" t="s">
        <v>35</v>
      </c>
      <c r="M480" t="s">
        <v>538</v>
      </c>
      <c r="N480" s="1">
        <v>46205</v>
      </c>
      <c r="P480" t="s">
        <v>699</v>
      </c>
      <c r="Q480" t="s">
        <v>146</v>
      </c>
      <c r="R480" t="s">
        <v>55</v>
      </c>
      <c r="S480" s="1">
        <v>46205</v>
      </c>
      <c r="T480" s="1">
        <v>46205</v>
      </c>
      <c r="V480">
        <v>0.15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1</v>
      </c>
      <c r="AC480">
        <v>0</v>
      </c>
      <c r="AD480">
        <v>0</v>
      </c>
      <c r="AE480">
        <v>0</v>
      </c>
      <c r="AF480">
        <v>0</v>
      </c>
      <c r="AG480">
        <v>0</v>
      </c>
    </row>
    <row r="481" spans="1:33" x14ac:dyDescent="0.25">
      <c r="A481">
        <v>640</v>
      </c>
      <c r="B481" t="s">
        <v>910</v>
      </c>
      <c r="C481" t="s">
        <v>908</v>
      </c>
      <c r="D481" t="s">
        <v>102</v>
      </c>
      <c r="E481" t="s">
        <v>53</v>
      </c>
      <c r="F481" s="2">
        <v>46203</v>
      </c>
      <c r="G481" s="2">
        <v>46203</v>
      </c>
      <c r="H481" s="4">
        <v>0</v>
      </c>
      <c r="J481">
        <v>639</v>
      </c>
      <c r="K481">
        <v>641</v>
      </c>
      <c r="L481" t="s">
        <v>35</v>
      </c>
      <c r="M481" t="s">
        <v>159</v>
      </c>
      <c r="N481" s="1">
        <v>46209</v>
      </c>
      <c r="P481" t="s">
        <v>699</v>
      </c>
      <c r="Q481" t="s">
        <v>146</v>
      </c>
      <c r="R481" t="s">
        <v>55</v>
      </c>
      <c r="S481" s="1">
        <v>46206</v>
      </c>
      <c r="T481" s="1">
        <v>46209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1</v>
      </c>
      <c r="AE481">
        <v>0</v>
      </c>
      <c r="AF481">
        <v>0</v>
      </c>
      <c r="AG481">
        <v>0</v>
      </c>
    </row>
    <row r="482" spans="1:33" x14ac:dyDescent="0.25">
      <c r="A482">
        <v>641</v>
      </c>
      <c r="B482" t="s">
        <v>911</v>
      </c>
      <c r="C482" t="s">
        <v>908</v>
      </c>
      <c r="D482" t="s">
        <v>108</v>
      </c>
      <c r="E482" t="s">
        <v>53</v>
      </c>
      <c r="F482" s="2">
        <v>46204</v>
      </c>
      <c r="G482" s="2">
        <v>46204</v>
      </c>
      <c r="H482" s="4">
        <v>0</v>
      </c>
      <c r="J482">
        <v>640</v>
      </c>
      <c r="L482" t="s">
        <v>35</v>
      </c>
      <c r="M482" t="s">
        <v>541</v>
      </c>
      <c r="N482" s="1">
        <v>46210</v>
      </c>
      <c r="P482" t="s">
        <v>699</v>
      </c>
      <c r="Q482" t="s">
        <v>146</v>
      </c>
      <c r="R482" t="s">
        <v>55</v>
      </c>
      <c r="S482" s="1">
        <v>46210</v>
      </c>
      <c r="T482" s="1">
        <v>46210</v>
      </c>
      <c r="V482">
        <v>0</v>
      </c>
      <c r="W482">
        <v>0</v>
      </c>
      <c r="X482">
        <v>0</v>
      </c>
      <c r="Y482">
        <v>0</v>
      </c>
      <c r="Z482">
        <v>1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1</v>
      </c>
      <c r="AG482">
        <v>0</v>
      </c>
    </row>
    <row r="483" spans="1:33" x14ac:dyDescent="0.25">
      <c r="A483">
        <v>642</v>
      </c>
      <c r="B483" t="s">
        <v>912</v>
      </c>
      <c r="C483" t="s">
        <v>701</v>
      </c>
      <c r="D483" t="s">
        <v>913</v>
      </c>
      <c r="E483" t="s">
        <v>744</v>
      </c>
      <c r="F483" s="2">
        <v>46188</v>
      </c>
      <c r="G483" s="2">
        <v>46199</v>
      </c>
      <c r="H483" s="4">
        <v>0.72</v>
      </c>
      <c r="L483" t="s">
        <v>35</v>
      </c>
      <c r="M483" t="s">
        <v>386</v>
      </c>
      <c r="N483" s="1">
        <v>46210</v>
      </c>
      <c r="P483" t="s">
        <v>699</v>
      </c>
      <c r="Q483" t="s">
        <v>138</v>
      </c>
      <c r="R483" t="s">
        <v>55</v>
      </c>
      <c r="S483" s="1">
        <v>46191</v>
      </c>
      <c r="T483" s="1">
        <v>46210</v>
      </c>
      <c r="V483">
        <v>0.72</v>
      </c>
      <c r="W483">
        <v>0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</row>
    <row r="484" spans="1:33" x14ac:dyDescent="0.25">
      <c r="A484">
        <v>643</v>
      </c>
      <c r="B484" t="s">
        <v>914</v>
      </c>
      <c r="C484" t="s">
        <v>915</v>
      </c>
      <c r="D484" t="s">
        <v>94</v>
      </c>
      <c r="E484" t="s">
        <v>815</v>
      </c>
      <c r="F484" s="2">
        <v>46188</v>
      </c>
      <c r="G484" s="2">
        <v>46196</v>
      </c>
      <c r="H484" s="4">
        <v>1</v>
      </c>
      <c r="I484" s="2">
        <v>46196</v>
      </c>
      <c r="J484" t="s">
        <v>824</v>
      </c>
      <c r="K484">
        <v>644</v>
      </c>
      <c r="L484" t="s">
        <v>59</v>
      </c>
      <c r="M484" t="s">
        <v>386</v>
      </c>
      <c r="N484" s="1">
        <v>46204</v>
      </c>
      <c r="P484" t="s">
        <v>699</v>
      </c>
      <c r="Q484" t="s">
        <v>138</v>
      </c>
      <c r="R484" t="s">
        <v>55</v>
      </c>
      <c r="S484" s="1">
        <v>46191</v>
      </c>
      <c r="T484" s="1">
        <v>46204</v>
      </c>
      <c r="V484">
        <v>1</v>
      </c>
      <c r="W484">
        <v>1</v>
      </c>
      <c r="X484">
        <v>1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1</v>
      </c>
    </row>
    <row r="485" spans="1:33" x14ac:dyDescent="0.25">
      <c r="A485">
        <v>644</v>
      </c>
      <c r="B485" t="s">
        <v>916</v>
      </c>
      <c r="C485" t="s">
        <v>915</v>
      </c>
      <c r="D485" t="s">
        <v>98</v>
      </c>
      <c r="E485" t="s">
        <v>53</v>
      </c>
      <c r="F485" s="2">
        <v>46197</v>
      </c>
      <c r="G485" s="2">
        <v>46197</v>
      </c>
      <c r="H485" s="4">
        <v>0.15</v>
      </c>
      <c r="J485">
        <v>643</v>
      </c>
      <c r="K485">
        <v>645</v>
      </c>
      <c r="L485" t="s">
        <v>35</v>
      </c>
      <c r="M485" t="s">
        <v>538</v>
      </c>
      <c r="N485" s="1">
        <v>46205</v>
      </c>
      <c r="P485" t="s">
        <v>699</v>
      </c>
      <c r="Q485" t="s">
        <v>146</v>
      </c>
      <c r="R485" t="s">
        <v>55</v>
      </c>
      <c r="S485" s="1">
        <v>46205</v>
      </c>
      <c r="T485" s="1">
        <v>46205</v>
      </c>
      <c r="V485">
        <v>0.15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1</v>
      </c>
      <c r="AC485">
        <v>0</v>
      </c>
      <c r="AD485">
        <v>0</v>
      </c>
      <c r="AE485">
        <v>0</v>
      </c>
      <c r="AF485">
        <v>0</v>
      </c>
      <c r="AG485">
        <v>0</v>
      </c>
    </row>
    <row r="486" spans="1:33" x14ac:dyDescent="0.25">
      <c r="A486">
        <v>645</v>
      </c>
      <c r="B486" t="s">
        <v>917</v>
      </c>
      <c r="C486" t="s">
        <v>915</v>
      </c>
      <c r="D486" t="s">
        <v>102</v>
      </c>
      <c r="E486" t="s">
        <v>53</v>
      </c>
      <c r="F486" s="2">
        <v>46198</v>
      </c>
      <c r="G486" s="2">
        <v>46198</v>
      </c>
      <c r="H486" s="4">
        <v>0</v>
      </c>
      <c r="J486">
        <v>644</v>
      </c>
      <c r="K486">
        <v>646</v>
      </c>
      <c r="L486" t="s">
        <v>35</v>
      </c>
      <c r="M486" t="s">
        <v>159</v>
      </c>
      <c r="N486" s="1">
        <v>46209</v>
      </c>
      <c r="P486" t="s">
        <v>699</v>
      </c>
      <c r="Q486" t="s">
        <v>146</v>
      </c>
      <c r="R486" t="s">
        <v>55</v>
      </c>
      <c r="S486" s="1">
        <v>46206</v>
      </c>
      <c r="T486" s="1">
        <v>46209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1</v>
      </c>
      <c r="AE486">
        <v>0</v>
      </c>
      <c r="AF486">
        <v>0</v>
      </c>
      <c r="AG486">
        <v>0</v>
      </c>
    </row>
    <row r="487" spans="1:33" x14ac:dyDescent="0.25">
      <c r="A487">
        <v>646</v>
      </c>
      <c r="B487" t="s">
        <v>918</v>
      </c>
      <c r="C487" t="s">
        <v>915</v>
      </c>
      <c r="D487" t="s">
        <v>108</v>
      </c>
      <c r="E487" t="s">
        <v>53</v>
      </c>
      <c r="F487" s="2">
        <v>46199</v>
      </c>
      <c r="G487" s="2">
        <v>46199</v>
      </c>
      <c r="H487" s="4">
        <v>0</v>
      </c>
      <c r="J487">
        <v>645</v>
      </c>
      <c r="L487" t="s">
        <v>35</v>
      </c>
      <c r="M487" t="s">
        <v>541</v>
      </c>
      <c r="N487" s="1">
        <v>46210</v>
      </c>
      <c r="P487" t="s">
        <v>699</v>
      </c>
      <c r="Q487" t="s">
        <v>146</v>
      </c>
      <c r="R487" t="s">
        <v>55</v>
      </c>
      <c r="S487" s="1">
        <v>46210</v>
      </c>
      <c r="T487" s="1">
        <v>46210</v>
      </c>
      <c r="V487">
        <v>0</v>
      </c>
      <c r="W487">
        <v>0</v>
      </c>
      <c r="X487">
        <v>0</v>
      </c>
      <c r="Y487">
        <v>0</v>
      </c>
      <c r="Z487">
        <v>1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1</v>
      </c>
      <c r="AG487">
        <v>0</v>
      </c>
    </row>
    <row r="488" spans="1:33" x14ac:dyDescent="0.25">
      <c r="A488">
        <v>647</v>
      </c>
      <c r="B488" t="s">
        <v>919</v>
      </c>
      <c r="C488" t="s">
        <v>701</v>
      </c>
      <c r="D488" t="s">
        <v>920</v>
      </c>
      <c r="E488" t="s">
        <v>744</v>
      </c>
      <c r="F488" s="2">
        <v>46188</v>
      </c>
      <c r="G488" s="2">
        <v>46199</v>
      </c>
      <c r="H488" s="4">
        <v>0.72</v>
      </c>
      <c r="L488" t="s">
        <v>35</v>
      </c>
      <c r="M488" t="s">
        <v>386</v>
      </c>
      <c r="N488" s="1">
        <v>46210</v>
      </c>
      <c r="P488" t="s">
        <v>699</v>
      </c>
      <c r="Q488" t="s">
        <v>138</v>
      </c>
      <c r="R488" t="s">
        <v>55</v>
      </c>
      <c r="S488" s="1">
        <v>46191</v>
      </c>
      <c r="T488" s="1">
        <v>46210</v>
      </c>
      <c r="V488">
        <v>0.72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</row>
    <row r="489" spans="1:33" x14ac:dyDescent="0.25">
      <c r="A489">
        <v>648</v>
      </c>
      <c r="B489" t="s">
        <v>921</v>
      </c>
      <c r="C489" t="s">
        <v>922</v>
      </c>
      <c r="D489" t="s">
        <v>94</v>
      </c>
      <c r="E489" t="s">
        <v>815</v>
      </c>
      <c r="F489" s="2">
        <v>46188</v>
      </c>
      <c r="G489" s="2">
        <v>46196</v>
      </c>
      <c r="H489" s="4">
        <v>1</v>
      </c>
      <c r="I489" s="2">
        <v>46196</v>
      </c>
      <c r="J489" t="s">
        <v>824</v>
      </c>
      <c r="K489">
        <v>649</v>
      </c>
      <c r="L489" t="s">
        <v>59</v>
      </c>
      <c r="M489" t="s">
        <v>386</v>
      </c>
      <c r="N489" s="1">
        <v>46204</v>
      </c>
      <c r="P489" t="s">
        <v>699</v>
      </c>
      <c r="Q489" t="s">
        <v>138</v>
      </c>
      <c r="R489" t="s">
        <v>55</v>
      </c>
      <c r="S489" s="1">
        <v>46191</v>
      </c>
      <c r="T489" s="1">
        <v>46204</v>
      </c>
      <c r="V489">
        <v>1</v>
      </c>
      <c r="W489">
        <v>1</v>
      </c>
      <c r="X489">
        <v>1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1</v>
      </c>
    </row>
    <row r="490" spans="1:33" x14ac:dyDescent="0.25">
      <c r="A490">
        <v>649</v>
      </c>
      <c r="B490" t="s">
        <v>923</v>
      </c>
      <c r="C490" t="s">
        <v>922</v>
      </c>
      <c r="D490" t="s">
        <v>98</v>
      </c>
      <c r="E490" t="s">
        <v>53</v>
      </c>
      <c r="F490" s="2">
        <v>46197</v>
      </c>
      <c r="G490" s="2">
        <v>46197</v>
      </c>
      <c r="H490" s="4">
        <v>0.15</v>
      </c>
      <c r="J490">
        <v>648</v>
      </c>
      <c r="K490">
        <v>650</v>
      </c>
      <c r="L490" t="s">
        <v>35</v>
      </c>
      <c r="M490" t="s">
        <v>538</v>
      </c>
      <c r="N490" s="1">
        <v>46205</v>
      </c>
      <c r="P490" t="s">
        <v>699</v>
      </c>
      <c r="Q490" t="s">
        <v>146</v>
      </c>
      <c r="R490" t="s">
        <v>55</v>
      </c>
      <c r="S490" s="1">
        <v>46205</v>
      </c>
      <c r="T490" s="1">
        <v>46205</v>
      </c>
      <c r="V490">
        <v>0.15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1</v>
      </c>
      <c r="AC490">
        <v>0</v>
      </c>
      <c r="AD490">
        <v>0</v>
      </c>
      <c r="AE490">
        <v>0</v>
      </c>
      <c r="AF490">
        <v>0</v>
      </c>
      <c r="AG490">
        <v>0</v>
      </c>
    </row>
    <row r="491" spans="1:33" x14ac:dyDescent="0.25">
      <c r="A491">
        <v>650</v>
      </c>
      <c r="B491" t="s">
        <v>924</v>
      </c>
      <c r="C491" t="s">
        <v>922</v>
      </c>
      <c r="D491" t="s">
        <v>102</v>
      </c>
      <c r="E491" t="s">
        <v>53</v>
      </c>
      <c r="F491" s="2">
        <v>46198</v>
      </c>
      <c r="G491" s="2">
        <v>46198</v>
      </c>
      <c r="H491" s="4">
        <v>0</v>
      </c>
      <c r="J491">
        <v>649</v>
      </c>
      <c r="K491">
        <v>651</v>
      </c>
      <c r="L491" t="s">
        <v>35</v>
      </c>
      <c r="M491" t="s">
        <v>159</v>
      </c>
      <c r="N491" s="1">
        <v>46209</v>
      </c>
      <c r="P491" t="s">
        <v>699</v>
      </c>
      <c r="Q491" t="s">
        <v>146</v>
      </c>
      <c r="R491" t="s">
        <v>55</v>
      </c>
      <c r="S491" s="1">
        <v>46206</v>
      </c>
      <c r="T491" s="1">
        <v>46209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1</v>
      </c>
      <c r="AE491">
        <v>0</v>
      </c>
      <c r="AF491">
        <v>0</v>
      </c>
      <c r="AG491">
        <v>0</v>
      </c>
    </row>
    <row r="492" spans="1:33" x14ac:dyDescent="0.25">
      <c r="A492">
        <v>651</v>
      </c>
      <c r="B492" t="s">
        <v>925</v>
      </c>
      <c r="C492" t="s">
        <v>922</v>
      </c>
      <c r="D492" t="s">
        <v>108</v>
      </c>
      <c r="E492" t="s">
        <v>53</v>
      </c>
      <c r="F492" s="2">
        <v>46199</v>
      </c>
      <c r="G492" s="2">
        <v>46199</v>
      </c>
      <c r="H492" s="4">
        <v>0</v>
      </c>
      <c r="J492">
        <v>650</v>
      </c>
      <c r="L492" t="s">
        <v>35</v>
      </c>
      <c r="M492" t="s">
        <v>541</v>
      </c>
      <c r="N492" s="1">
        <v>46210</v>
      </c>
      <c r="P492" t="s">
        <v>699</v>
      </c>
      <c r="Q492" t="s">
        <v>146</v>
      </c>
      <c r="R492" t="s">
        <v>55</v>
      </c>
      <c r="S492" s="1">
        <v>46210</v>
      </c>
      <c r="T492" s="1">
        <v>46210</v>
      </c>
      <c r="V492">
        <v>0</v>
      </c>
      <c r="W492">
        <v>0</v>
      </c>
      <c r="X492">
        <v>0</v>
      </c>
      <c r="Y492">
        <v>0</v>
      </c>
      <c r="Z492">
        <v>1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1</v>
      </c>
      <c r="AG492">
        <v>0</v>
      </c>
    </row>
    <row r="493" spans="1:33" x14ac:dyDescent="0.25">
      <c r="A493">
        <v>652</v>
      </c>
      <c r="B493" t="s">
        <v>926</v>
      </c>
      <c r="C493" t="s">
        <v>701</v>
      </c>
      <c r="D493" t="s">
        <v>927</v>
      </c>
      <c r="E493" t="s">
        <v>744</v>
      </c>
      <c r="F493" s="2">
        <v>46188</v>
      </c>
      <c r="G493" s="2">
        <v>46199</v>
      </c>
      <c r="H493" s="4">
        <v>0.72</v>
      </c>
      <c r="L493" t="s">
        <v>35</v>
      </c>
      <c r="M493" t="s">
        <v>386</v>
      </c>
      <c r="N493" s="1">
        <v>46210</v>
      </c>
      <c r="P493" t="s">
        <v>699</v>
      </c>
      <c r="Q493" t="s">
        <v>138</v>
      </c>
      <c r="R493" t="s">
        <v>55</v>
      </c>
      <c r="S493" s="1">
        <v>46191</v>
      </c>
      <c r="T493" s="1">
        <v>46210</v>
      </c>
      <c r="U493" t="s">
        <v>320</v>
      </c>
      <c r="V493">
        <v>0.72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</row>
    <row r="494" spans="1:33" x14ac:dyDescent="0.25">
      <c r="A494">
        <v>653</v>
      </c>
      <c r="B494" t="s">
        <v>928</v>
      </c>
      <c r="C494" t="s">
        <v>929</v>
      </c>
      <c r="D494" t="s">
        <v>94</v>
      </c>
      <c r="E494" t="s">
        <v>815</v>
      </c>
      <c r="F494" s="2">
        <v>46188</v>
      </c>
      <c r="G494" s="2">
        <v>46196</v>
      </c>
      <c r="H494" s="4">
        <v>1</v>
      </c>
      <c r="I494" s="2">
        <v>46196</v>
      </c>
      <c r="J494" t="s">
        <v>824</v>
      </c>
      <c r="K494">
        <v>654</v>
      </c>
      <c r="L494" t="s">
        <v>59</v>
      </c>
      <c r="M494" t="s">
        <v>386</v>
      </c>
      <c r="N494" s="1">
        <v>46204</v>
      </c>
      <c r="P494" t="s">
        <v>699</v>
      </c>
      <c r="Q494" t="s">
        <v>138</v>
      </c>
      <c r="R494" t="s">
        <v>55</v>
      </c>
      <c r="S494" s="1">
        <v>46191</v>
      </c>
      <c r="T494" s="1">
        <v>46204</v>
      </c>
      <c r="V494">
        <v>1</v>
      </c>
      <c r="W494">
        <v>1</v>
      </c>
      <c r="X494">
        <v>1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1</v>
      </c>
    </row>
    <row r="495" spans="1:33" x14ac:dyDescent="0.25">
      <c r="A495">
        <v>654</v>
      </c>
      <c r="B495" t="s">
        <v>930</v>
      </c>
      <c r="C495" t="s">
        <v>929</v>
      </c>
      <c r="D495" t="s">
        <v>98</v>
      </c>
      <c r="E495" t="s">
        <v>53</v>
      </c>
      <c r="F495" s="2">
        <v>46197</v>
      </c>
      <c r="G495" s="2">
        <v>46197</v>
      </c>
      <c r="H495" s="4">
        <v>0.15</v>
      </c>
      <c r="J495">
        <v>653</v>
      </c>
      <c r="K495">
        <v>655</v>
      </c>
      <c r="L495" t="s">
        <v>35</v>
      </c>
      <c r="M495" t="s">
        <v>538</v>
      </c>
      <c r="N495" s="1">
        <v>46205</v>
      </c>
      <c r="P495" t="s">
        <v>699</v>
      </c>
      <c r="Q495" t="s">
        <v>146</v>
      </c>
      <c r="R495" t="s">
        <v>55</v>
      </c>
      <c r="S495" s="1">
        <v>46205</v>
      </c>
      <c r="T495" s="1">
        <v>46205</v>
      </c>
      <c r="V495">
        <v>0.15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1</v>
      </c>
      <c r="AC495">
        <v>0</v>
      </c>
      <c r="AD495">
        <v>0</v>
      </c>
      <c r="AE495">
        <v>0</v>
      </c>
      <c r="AF495">
        <v>0</v>
      </c>
      <c r="AG495">
        <v>0</v>
      </c>
    </row>
    <row r="496" spans="1:33" x14ac:dyDescent="0.25">
      <c r="A496">
        <v>655</v>
      </c>
      <c r="B496" t="s">
        <v>931</v>
      </c>
      <c r="C496" t="s">
        <v>929</v>
      </c>
      <c r="D496" t="s">
        <v>102</v>
      </c>
      <c r="E496" t="s">
        <v>53</v>
      </c>
      <c r="F496" s="2">
        <v>46198</v>
      </c>
      <c r="G496" s="2">
        <v>46198</v>
      </c>
      <c r="H496" s="4">
        <v>0</v>
      </c>
      <c r="J496">
        <v>654</v>
      </c>
      <c r="K496">
        <v>656</v>
      </c>
      <c r="L496" t="s">
        <v>35</v>
      </c>
      <c r="M496" t="s">
        <v>159</v>
      </c>
      <c r="N496" s="1">
        <v>46209</v>
      </c>
      <c r="P496" t="s">
        <v>699</v>
      </c>
      <c r="Q496" t="s">
        <v>146</v>
      </c>
      <c r="R496" t="s">
        <v>55</v>
      </c>
      <c r="S496" s="1">
        <v>46206</v>
      </c>
      <c r="T496" s="1">
        <v>46209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1</v>
      </c>
      <c r="AE496">
        <v>0</v>
      </c>
      <c r="AF496">
        <v>0</v>
      </c>
      <c r="AG496">
        <v>0</v>
      </c>
    </row>
    <row r="497" spans="1:33" x14ac:dyDescent="0.25">
      <c r="A497">
        <v>656</v>
      </c>
      <c r="B497" t="s">
        <v>932</v>
      </c>
      <c r="C497" t="s">
        <v>929</v>
      </c>
      <c r="D497" t="s">
        <v>108</v>
      </c>
      <c r="E497" t="s">
        <v>53</v>
      </c>
      <c r="F497" s="2">
        <v>46199</v>
      </c>
      <c r="G497" s="2">
        <v>46199</v>
      </c>
      <c r="H497" s="4">
        <v>0</v>
      </c>
      <c r="J497">
        <v>655</v>
      </c>
      <c r="L497" t="s">
        <v>35</v>
      </c>
      <c r="M497" t="s">
        <v>541</v>
      </c>
      <c r="N497" s="1">
        <v>46210</v>
      </c>
      <c r="P497" t="s">
        <v>699</v>
      </c>
      <c r="Q497" t="s">
        <v>146</v>
      </c>
      <c r="R497" t="s">
        <v>55</v>
      </c>
      <c r="S497" s="1">
        <v>46210</v>
      </c>
      <c r="T497" s="1">
        <v>46210</v>
      </c>
      <c r="V497">
        <v>0</v>
      </c>
      <c r="W497">
        <v>0</v>
      </c>
      <c r="X497">
        <v>0</v>
      </c>
      <c r="Y497">
        <v>0</v>
      </c>
      <c r="Z497">
        <v>1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1</v>
      </c>
      <c r="AG497">
        <v>0</v>
      </c>
    </row>
    <row r="498" spans="1:33" x14ac:dyDescent="0.25">
      <c r="A498">
        <v>657</v>
      </c>
      <c r="B498" t="s">
        <v>933</v>
      </c>
      <c r="C498" t="s">
        <v>701</v>
      </c>
      <c r="D498" t="s">
        <v>934</v>
      </c>
      <c r="E498" t="s">
        <v>744</v>
      </c>
      <c r="F498" s="2">
        <v>46188</v>
      </c>
      <c r="G498" s="2">
        <v>46199</v>
      </c>
      <c r="H498" s="4">
        <v>0.72</v>
      </c>
      <c r="L498" t="s">
        <v>35</v>
      </c>
      <c r="M498" t="s">
        <v>386</v>
      </c>
      <c r="N498" s="1">
        <v>46210</v>
      </c>
      <c r="P498" t="s">
        <v>699</v>
      </c>
      <c r="Q498" t="s">
        <v>138</v>
      </c>
      <c r="R498" t="s">
        <v>55</v>
      </c>
      <c r="S498" s="1">
        <v>46191</v>
      </c>
      <c r="T498" s="1">
        <v>46210</v>
      </c>
      <c r="U498" t="s">
        <v>320</v>
      </c>
      <c r="V498">
        <v>0.72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</row>
    <row r="499" spans="1:33" x14ac:dyDescent="0.25">
      <c r="A499">
        <v>658</v>
      </c>
      <c r="B499" t="s">
        <v>935</v>
      </c>
      <c r="C499" t="s">
        <v>936</v>
      </c>
      <c r="D499" t="s">
        <v>94</v>
      </c>
      <c r="E499" t="s">
        <v>815</v>
      </c>
      <c r="F499" s="2">
        <v>46188</v>
      </c>
      <c r="G499" s="2">
        <v>46196</v>
      </c>
      <c r="H499" s="4">
        <v>1</v>
      </c>
      <c r="I499" s="2">
        <v>46196</v>
      </c>
      <c r="J499" t="s">
        <v>824</v>
      </c>
      <c r="K499">
        <v>659</v>
      </c>
      <c r="L499" t="s">
        <v>59</v>
      </c>
      <c r="M499" t="s">
        <v>386</v>
      </c>
      <c r="N499" s="1">
        <v>46204</v>
      </c>
      <c r="P499" t="s">
        <v>699</v>
      </c>
      <c r="Q499" t="s">
        <v>138</v>
      </c>
      <c r="R499" t="s">
        <v>55</v>
      </c>
      <c r="S499" s="1">
        <v>46191</v>
      </c>
      <c r="T499" s="1">
        <v>46204</v>
      </c>
      <c r="V499">
        <v>1</v>
      </c>
      <c r="W499">
        <v>1</v>
      </c>
      <c r="X499">
        <v>1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1</v>
      </c>
    </row>
    <row r="500" spans="1:33" x14ac:dyDescent="0.25">
      <c r="A500">
        <v>659</v>
      </c>
      <c r="B500" t="s">
        <v>937</v>
      </c>
      <c r="C500" t="s">
        <v>936</v>
      </c>
      <c r="D500" t="s">
        <v>98</v>
      </c>
      <c r="E500" t="s">
        <v>53</v>
      </c>
      <c r="F500" s="2">
        <v>46197</v>
      </c>
      <c r="G500" s="2">
        <v>46197</v>
      </c>
      <c r="H500" s="4">
        <v>0.15</v>
      </c>
      <c r="J500">
        <v>658</v>
      </c>
      <c r="K500">
        <v>660</v>
      </c>
      <c r="L500" t="s">
        <v>35</v>
      </c>
      <c r="M500" t="s">
        <v>538</v>
      </c>
      <c r="N500" s="1">
        <v>46205</v>
      </c>
      <c r="P500" t="s">
        <v>699</v>
      </c>
      <c r="Q500" t="s">
        <v>146</v>
      </c>
      <c r="R500" t="s">
        <v>55</v>
      </c>
      <c r="S500" s="1">
        <v>46205</v>
      </c>
      <c r="T500" s="1">
        <v>46205</v>
      </c>
      <c r="V500">
        <v>0.15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1</v>
      </c>
      <c r="AC500">
        <v>0</v>
      </c>
      <c r="AD500">
        <v>0</v>
      </c>
      <c r="AE500">
        <v>0</v>
      </c>
      <c r="AF500">
        <v>0</v>
      </c>
      <c r="AG500">
        <v>0</v>
      </c>
    </row>
    <row r="501" spans="1:33" x14ac:dyDescent="0.25">
      <c r="A501">
        <v>660</v>
      </c>
      <c r="B501" t="s">
        <v>938</v>
      </c>
      <c r="C501" t="s">
        <v>936</v>
      </c>
      <c r="D501" t="s">
        <v>102</v>
      </c>
      <c r="E501" t="s">
        <v>53</v>
      </c>
      <c r="F501" s="2">
        <v>46198</v>
      </c>
      <c r="G501" s="2">
        <v>46198</v>
      </c>
      <c r="H501" s="4">
        <v>0</v>
      </c>
      <c r="J501">
        <v>659</v>
      </c>
      <c r="K501">
        <v>661</v>
      </c>
      <c r="L501" t="s">
        <v>35</v>
      </c>
      <c r="M501" t="s">
        <v>159</v>
      </c>
      <c r="N501" s="1">
        <v>46209</v>
      </c>
      <c r="P501" t="s">
        <v>699</v>
      </c>
      <c r="Q501" t="s">
        <v>146</v>
      </c>
      <c r="R501" t="s">
        <v>55</v>
      </c>
      <c r="S501" s="1">
        <v>46206</v>
      </c>
      <c r="T501" s="1">
        <v>46209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1</v>
      </c>
      <c r="AE501">
        <v>0</v>
      </c>
      <c r="AF501">
        <v>0</v>
      </c>
      <c r="AG501">
        <v>0</v>
      </c>
    </row>
    <row r="502" spans="1:33" x14ac:dyDescent="0.25">
      <c r="A502">
        <v>661</v>
      </c>
      <c r="B502" t="s">
        <v>939</v>
      </c>
      <c r="C502" t="s">
        <v>936</v>
      </c>
      <c r="D502" t="s">
        <v>108</v>
      </c>
      <c r="E502" t="s">
        <v>53</v>
      </c>
      <c r="F502" s="2">
        <v>46199</v>
      </c>
      <c r="G502" s="2">
        <v>46199</v>
      </c>
      <c r="H502" s="4">
        <v>0</v>
      </c>
      <c r="J502">
        <v>660</v>
      </c>
      <c r="L502" t="s">
        <v>35</v>
      </c>
      <c r="M502" t="s">
        <v>541</v>
      </c>
      <c r="N502" s="1">
        <v>46210</v>
      </c>
      <c r="P502" t="s">
        <v>699</v>
      </c>
      <c r="Q502" t="s">
        <v>146</v>
      </c>
      <c r="R502" t="s">
        <v>55</v>
      </c>
      <c r="S502" s="1">
        <v>46210</v>
      </c>
      <c r="T502" s="1">
        <v>46210</v>
      </c>
      <c r="V502">
        <v>0</v>
      </c>
      <c r="W502">
        <v>0</v>
      </c>
      <c r="X502">
        <v>0</v>
      </c>
      <c r="Y502">
        <v>0</v>
      </c>
      <c r="Z502">
        <v>1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1</v>
      </c>
      <c r="AG502">
        <v>0</v>
      </c>
    </row>
    <row r="503" spans="1:33" x14ac:dyDescent="0.25">
      <c r="A503">
        <v>662</v>
      </c>
      <c r="B503" t="s">
        <v>940</v>
      </c>
      <c r="C503" t="s">
        <v>701</v>
      </c>
      <c r="D503" t="s">
        <v>941</v>
      </c>
      <c r="E503" t="s">
        <v>744</v>
      </c>
      <c r="F503" s="2">
        <v>46188</v>
      </c>
      <c r="G503" s="2">
        <v>46199</v>
      </c>
      <c r="H503" s="4">
        <v>0.72</v>
      </c>
      <c r="L503" t="s">
        <v>35</v>
      </c>
      <c r="M503" t="s">
        <v>386</v>
      </c>
      <c r="N503" s="1">
        <v>46210</v>
      </c>
      <c r="P503" t="s">
        <v>699</v>
      </c>
      <c r="Q503" t="s">
        <v>138</v>
      </c>
      <c r="R503" t="s">
        <v>55</v>
      </c>
      <c r="S503" s="1">
        <v>46191</v>
      </c>
      <c r="T503" s="1">
        <v>46210</v>
      </c>
      <c r="U503" t="s">
        <v>320</v>
      </c>
      <c r="V503">
        <v>0.72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0</v>
      </c>
    </row>
    <row r="504" spans="1:33" x14ac:dyDescent="0.25">
      <c r="A504">
        <v>663</v>
      </c>
      <c r="B504" t="s">
        <v>942</v>
      </c>
      <c r="C504" t="s">
        <v>943</v>
      </c>
      <c r="D504" t="s">
        <v>94</v>
      </c>
      <c r="E504" t="s">
        <v>815</v>
      </c>
      <c r="F504" s="2">
        <v>46188</v>
      </c>
      <c r="G504" s="2">
        <v>46196</v>
      </c>
      <c r="H504" s="4">
        <v>1</v>
      </c>
      <c r="I504" s="2">
        <v>46196</v>
      </c>
      <c r="J504" t="s">
        <v>824</v>
      </c>
      <c r="K504">
        <v>664</v>
      </c>
      <c r="L504" t="s">
        <v>59</v>
      </c>
      <c r="M504" t="s">
        <v>386</v>
      </c>
      <c r="N504" s="1">
        <v>46204</v>
      </c>
      <c r="P504" t="s">
        <v>699</v>
      </c>
      <c r="Q504" t="s">
        <v>138</v>
      </c>
      <c r="R504" t="s">
        <v>55</v>
      </c>
      <c r="S504" s="1">
        <v>46191</v>
      </c>
      <c r="T504" s="1">
        <v>46204</v>
      </c>
      <c r="V504">
        <v>1</v>
      </c>
      <c r="W504">
        <v>1</v>
      </c>
      <c r="X504">
        <v>1</v>
      </c>
      <c r="Y504">
        <v>0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0</v>
      </c>
      <c r="AF504">
        <v>0</v>
      </c>
      <c r="AG504">
        <v>1</v>
      </c>
    </row>
    <row r="505" spans="1:33" x14ac:dyDescent="0.25">
      <c r="A505">
        <v>664</v>
      </c>
      <c r="B505" t="s">
        <v>944</v>
      </c>
      <c r="C505" t="s">
        <v>943</v>
      </c>
      <c r="D505" t="s">
        <v>98</v>
      </c>
      <c r="E505" t="s">
        <v>53</v>
      </c>
      <c r="F505" s="2">
        <v>46197</v>
      </c>
      <c r="G505" s="2">
        <v>46197</v>
      </c>
      <c r="H505" s="4">
        <v>0.15</v>
      </c>
      <c r="J505">
        <v>663</v>
      </c>
      <c r="K505">
        <v>665</v>
      </c>
      <c r="L505" t="s">
        <v>35</v>
      </c>
      <c r="M505" t="s">
        <v>538</v>
      </c>
      <c r="N505" s="1">
        <v>46205</v>
      </c>
      <c r="P505" t="s">
        <v>699</v>
      </c>
      <c r="Q505" t="s">
        <v>146</v>
      </c>
      <c r="R505" t="s">
        <v>55</v>
      </c>
      <c r="S505" s="1">
        <v>46205</v>
      </c>
      <c r="T505" s="1">
        <v>46205</v>
      </c>
      <c r="V505">
        <v>0.15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1</v>
      </c>
      <c r="AC505">
        <v>0</v>
      </c>
      <c r="AD505">
        <v>0</v>
      </c>
      <c r="AE505">
        <v>0</v>
      </c>
      <c r="AF505">
        <v>0</v>
      </c>
      <c r="AG505">
        <v>0</v>
      </c>
    </row>
    <row r="506" spans="1:33" x14ac:dyDescent="0.25">
      <c r="A506">
        <v>665</v>
      </c>
      <c r="B506" t="s">
        <v>945</v>
      </c>
      <c r="C506" t="s">
        <v>943</v>
      </c>
      <c r="D506" t="s">
        <v>102</v>
      </c>
      <c r="E506" t="s">
        <v>53</v>
      </c>
      <c r="F506" s="2">
        <v>46198</v>
      </c>
      <c r="G506" s="2">
        <v>46198</v>
      </c>
      <c r="H506" s="4">
        <v>0</v>
      </c>
      <c r="J506">
        <v>664</v>
      </c>
      <c r="K506">
        <v>666</v>
      </c>
      <c r="L506" t="s">
        <v>35</v>
      </c>
      <c r="M506" t="s">
        <v>159</v>
      </c>
      <c r="N506" s="1">
        <v>46209</v>
      </c>
      <c r="P506" t="s">
        <v>699</v>
      </c>
      <c r="Q506" t="s">
        <v>146</v>
      </c>
      <c r="R506" t="s">
        <v>55</v>
      </c>
      <c r="S506" s="1">
        <v>46206</v>
      </c>
      <c r="T506" s="1">
        <v>46209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1</v>
      </c>
      <c r="AE506">
        <v>0</v>
      </c>
      <c r="AF506">
        <v>0</v>
      </c>
      <c r="AG506">
        <v>0</v>
      </c>
    </row>
    <row r="507" spans="1:33" x14ac:dyDescent="0.25">
      <c r="A507">
        <v>666</v>
      </c>
      <c r="B507" t="s">
        <v>946</v>
      </c>
      <c r="C507" t="s">
        <v>943</v>
      </c>
      <c r="D507" t="s">
        <v>108</v>
      </c>
      <c r="E507" t="s">
        <v>53</v>
      </c>
      <c r="F507" s="2">
        <v>46199</v>
      </c>
      <c r="G507" s="2">
        <v>46199</v>
      </c>
      <c r="H507" s="4">
        <v>0</v>
      </c>
      <c r="J507">
        <v>665</v>
      </c>
      <c r="L507" t="s">
        <v>35</v>
      </c>
      <c r="M507" t="s">
        <v>541</v>
      </c>
      <c r="N507" s="1">
        <v>46210</v>
      </c>
      <c r="P507" t="s">
        <v>699</v>
      </c>
      <c r="Q507" t="s">
        <v>146</v>
      </c>
      <c r="R507" t="s">
        <v>55</v>
      </c>
      <c r="S507" s="1">
        <v>46210</v>
      </c>
      <c r="T507" s="1">
        <v>46210</v>
      </c>
      <c r="V507">
        <v>0</v>
      </c>
      <c r="W507">
        <v>0</v>
      </c>
      <c r="X507">
        <v>0</v>
      </c>
      <c r="Y507">
        <v>0</v>
      </c>
      <c r="Z507">
        <v>1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1</v>
      </c>
      <c r="AG507">
        <v>0</v>
      </c>
    </row>
    <row r="508" spans="1:33" x14ac:dyDescent="0.25">
      <c r="A508">
        <v>667</v>
      </c>
      <c r="B508" t="s">
        <v>947</v>
      </c>
      <c r="C508" t="s">
        <v>701</v>
      </c>
      <c r="D508" t="s">
        <v>948</v>
      </c>
      <c r="E508" t="s">
        <v>744</v>
      </c>
      <c r="F508" s="2">
        <v>46188</v>
      </c>
      <c r="G508" s="2">
        <v>46199</v>
      </c>
      <c r="H508" s="4">
        <v>0.72</v>
      </c>
      <c r="L508" t="s">
        <v>35</v>
      </c>
      <c r="M508" t="s">
        <v>386</v>
      </c>
      <c r="N508" s="1">
        <v>46210</v>
      </c>
      <c r="P508" t="s">
        <v>699</v>
      </c>
      <c r="Q508" t="s">
        <v>138</v>
      </c>
      <c r="R508" t="s">
        <v>55</v>
      </c>
      <c r="S508" s="1">
        <v>46191</v>
      </c>
      <c r="T508" s="1">
        <v>46210</v>
      </c>
      <c r="U508" t="s">
        <v>320</v>
      </c>
      <c r="V508">
        <v>0.72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</row>
    <row r="509" spans="1:33" x14ac:dyDescent="0.25">
      <c r="A509">
        <v>668</v>
      </c>
      <c r="B509" t="s">
        <v>949</v>
      </c>
      <c r="C509" t="s">
        <v>950</v>
      </c>
      <c r="D509" t="s">
        <v>94</v>
      </c>
      <c r="E509" t="s">
        <v>815</v>
      </c>
      <c r="F509" s="2">
        <v>46188</v>
      </c>
      <c r="G509" s="2">
        <v>46196</v>
      </c>
      <c r="H509" s="4">
        <v>1</v>
      </c>
      <c r="I509" s="2">
        <v>46196</v>
      </c>
      <c r="J509" t="s">
        <v>824</v>
      </c>
      <c r="K509">
        <v>669</v>
      </c>
      <c r="L509" t="s">
        <v>59</v>
      </c>
      <c r="M509" t="s">
        <v>386</v>
      </c>
      <c r="N509" s="1">
        <v>46204</v>
      </c>
      <c r="P509" t="s">
        <v>699</v>
      </c>
      <c r="Q509" t="s">
        <v>138</v>
      </c>
      <c r="R509" t="s">
        <v>55</v>
      </c>
      <c r="S509" s="1">
        <v>46191</v>
      </c>
      <c r="T509" s="1">
        <v>46204</v>
      </c>
      <c r="V509">
        <v>1</v>
      </c>
      <c r="W509">
        <v>1</v>
      </c>
      <c r="X509">
        <v>1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1</v>
      </c>
    </row>
    <row r="510" spans="1:33" x14ac:dyDescent="0.25">
      <c r="A510">
        <v>669</v>
      </c>
      <c r="B510" t="s">
        <v>951</v>
      </c>
      <c r="C510" t="s">
        <v>950</v>
      </c>
      <c r="D510" t="s">
        <v>98</v>
      </c>
      <c r="E510" t="s">
        <v>53</v>
      </c>
      <c r="F510" s="2">
        <v>46197</v>
      </c>
      <c r="G510" s="2">
        <v>46197</v>
      </c>
      <c r="H510" s="4">
        <v>0.15</v>
      </c>
      <c r="J510">
        <v>668</v>
      </c>
      <c r="K510">
        <v>670</v>
      </c>
      <c r="L510" t="s">
        <v>35</v>
      </c>
      <c r="M510" t="s">
        <v>538</v>
      </c>
      <c r="N510" s="1">
        <v>46205</v>
      </c>
      <c r="P510" t="s">
        <v>699</v>
      </c>
      <c r="Q510" t="s">
        <v>146</v>
      </c>
      <c r="R510" t="s">
        <v>55</v>
      </c>
      <c r="S510" s="1">
        <v>46205</v>
      </c>
      <c r="T510" s="1">
        <v>46205</v>
      </c>
      <c r="V510">
        <v>0.15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1</v>
      </c>
      <c r="AC510">
        <v>0</v>
      </c>
      <c r="AD510">
        <v>0</v>
      </c>
      <c r="AE510">
        <v>0</v>
      </c>
      <c r="AF510">
        <v>0</v>
      </c>
      <c r="AG510">
        <v>0</v>
      </c>
    </row>
    <row r="511" spans="1:33" x14ac:dyDescent="0.25">
      <c r="A511">
        <v>670</v>
      </c>
      <c r="B511" t="s">
        <v>952</v>
      </c>
      <c r="C511" t="s">
        <v>950</v>
      </c>
      <c r="D511" t="s">
        <v>102</v>
      </c>
      <c r="E511" t="s">
        <v>53</v>
      </c>
      <c r="F511" s="2">
        <v>46198</v>
      </c>
      <c r="G511" s="2">
        <v>46198</v>
      </c>
      <c r="H511" s="4">
        <v>0</v>
      </c>
      <c r="J511">
        <v>669</v>
      </c>
      <c r="K511">
        <v>671</v>
      </c>
      <c r="L511" t="s">
        <v>35</v>
      </c>
      <c r="M511" t="s">
        <v>159</v>
      </c>
      <c r="N511" s="1">
        <v>46209</v>
      </c>
      <c r="P511" t="s">
        <v>699</v>
      </c>
      <c r="Q511" t="s">
        <v>146</v>
      </c>
      <c r="R511" t="s">
        <v>55</v>
      </c>
      <c r="S511" s="1">
        <v>46206</v>
      </c>
      <c r="T511" s="1">
        <v>46209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1</v>
      </c>
      <c r="AE511">
        <v>0</v>
      </c>
      <c r="AF511">
        <v>0</v>
      </c>
      <c r="AG511">
        <v>0</v>
      </c>
    </row>
    <row r="512" spans="1:33" x14ac:dyDescent="0.25">
      <c r="A512">
        <v>671</v>
      </c>
      <c r="B512" t="s">
        <v>953</v>
      </c>
      <c r="C512" t="s">
        <v>950</v>
      </c>
      <c r="D512" t="s">
        <v>108</v>
      </c>
      <c r="E512" t="s">
        <v>53</v>
      </c>
      <c r="F512" s="2">
        <v>46199</v>
      </c>
      <c r="G512" s="2">
        <v>46199</v>
      </c>
      <c r="H512" s="4">
        <v>0</v>
      </c>
      <c r="J512">
        <v>670</v>
      </c>
      <c r="L512" t="s">
        <v>35</v>
      </c>
      <c r="M512" t="s">
        <v>541</v>
      </c>
      <c r="N512" s="1">
        <v>46210</v>
      </c>
      <c r="P512" t="s">
        <v>699</v>
      </c>
      <c r="Q512" t="s">
        <v>146</v>
      </c>
      <c r="R512" t="s">
        <v>55</v>
      </c>
      <c r="S512" s="1">
        <v>46210</v>
      </c>
      <c r="T512" s="1">
        <v>46210</v>
      </c>
      <c r="V512">
        <v>0</v>
      </c>
      <c r="W512">
        <v>0</v>
      </c>
      <c r="X512">
        <v>0</v>
      </c>
      <c r="Y512">
        <v>0</v>
      </c>
      <c r="Z512">
        <v>1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1</v>
      </c>
      <c r="AG512">
        <v>0</v>
      </c>
    </row>
    <row r="513" spans="1:33" x14ac:dyDescent="0.25">
      <c r="A513">
        <v>672</v>
      </c>
      <c r="B513" t="s">
        <v>954</v>
      </c>
      <c r="C513" t="s">
        <v>701</v>
      </c>
      <c r="D513" t="s">
        <v>955</v>
      </c>
      <c r="E513" t="s">
        <v>744</v>
      </c>
      <c r="F513" s="2">
        <v>46188</v>
      </c>
      <c r="G513" s="2">
        <v>46199</v>
      </c>
      <c r="H513" s="4">
        <v>0.72</v>
      </c>
      <c r="L513" t="s">
        <v>35</v>
      </c>
      <c r="M513" t="s">
        <v>386</v>
      </c>
      <c r="N513" s="1">
        <v>46210</v>
      </c>
      <c r="P513" t="s">
        <v>699</v>
      </c>
      <c r="Q513" t="s">
        <v>138</v>
      </c>
      <c r="R513" t="s">
        <v>55</v>
      </c>
      <c r="S513" s="1">
        <v>46191</v>
      </c>
      <c r="T513" s="1">
        <v>46210</v>
      </c>
      <c r="U513" t="s">
        <v>320</v>
      </c>
      <c r="V513">
        <v>0.72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</row>
    <row r="514" spans="1:33" x14ac:dyDescent="0.25">
      <c r="A514">
        <v>673</v>
      </c>
      <c r="B514" t="s">
        <v>956</v>
      </c>
      <c r="C514" t="s">
        <v>957</v>
      </c>
      <c r="D514" t="s">
        <v>94</v>
      </c>
      <c r="E514" t="s">
        <v>815</v>
      </c>
      <c r="F514" s="2">
        <v>46188</v>
      </c>
      <c r="G514" s="2">
        <v>46196</v>
      </c>
      <c r="H514" s="4">
        <v>1</v>
      </c>
      <c r="I514" s="2">
        <v>46196</v>
      </c>
      <c r="J514" t="s">
        <v>824</v>
      </c>
      <c r="K514">
        <v>674</v>
      </c>
      <c r="L514" t="s">
        <v>59</v>
      </c>
      <c r="M514" t="s">
        <v>386</v>
      </c>
      <c r="N514" s="1">
        <v>46204</v>
      </c>
      <c r="P514" t="s">
        <v>699</v>
      </c>
      <c r="Q514" t="s">
        <v>138</v>
      </c>
      <c r="R514" t="s">
        <v>55</v>
      </c>
      <c r="S514" s="1">
        <v>46191</v>
      </c>
      <c r="T514" s="1">
        <v>46204</v>
      </c>
      <c r="V514">
        <v>1</v>
      </c>
      <c r="W514">
        <v>1</v>
      </c>
      <c r="X514">
        <v>1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1</v>
      </c>
    </row>
    <row r="515" spans="1:33" x14ac:dyDescent="0.25">
      <c r="A515">
        <v>674</v>
      </c>
      <c r="B515" t="s">
        <v>958</v>
      </c>
      <c r="C515" t="s">
        <v>957</v>
      </c>
      <c r="D515" t="s">
        <v>98</v>
      </c>
      <c r="E515" t="s">
        <v>53</v>
      </c>
      <c r="F515" s="2">
        <v>46197</v>
      </c>
      <c r="G515" s="2">
        <v>46197</v>
      </c>
      <c r="H515" s="4">
        <v>0.15</v>
      </c>
      <c r="J515">
        <v>673</v>
      </c>
      <c r="K515">
        <v>675</v>
      </c>
      <c r="L515" t="s">
        <v>35</v>
      </c>
      <c r="M515" t="s">
        <v>538</v>
      </c>
      <c r="N515" s="1">
        <v>46205</v>
      </c>
      <c r="P515" t="s">
        <v>699</v>
      </c>
      <c r="Q515" t="s">
        <v>146</v>
      </c>
      <c r="R515" t="s">
        <v>55</v>
      </c>
      <c r="S515" s="1">
        <v>46205</v>
      </c>
      <c r="T515" s="1">
        <v>46205</v>
      </c>
      <c r="V515">
        <v>0.15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1</v>
      </c>
      <c r="AC515">
        <v>0</v>
      </c>
      <c r="AD515">
        <v>0</v>
      </c>
      <c r="AE515">
        <v>0</v>
      </c>
      <c r="AF515">
        <v>0</v>
      </c>
      <c r="AG515">
        <v>0</v>
      </c>
    </row>
    <row r="516" spans="1:33" x14ac:dyDescent="0.25">
      <c r="A516">
        <v>675</v>
      </c>
      <c r="B516" t="s">
        <v>959</v>
      </c>
      <c r="C516" t="s">
        <v>957</v>
      </c>
      <c r="D516" t="s">
        <v>102</v>
      </c>
      <c r="E516" t="s">
        <v>53</v>
      </c>
      <c r="F516" s="2">
        <v>46198</v>
      </c>
      <c r="G516" s="2">
        <v>46198</v>
      </c>
      <c r="H516" s="4">
        <v>0</v>
      </c>
      <c r="J516">
        <v>674</v>
      </c>
      <c r="K516">
        <v>676</v>
      </c>
      <c r="L516" t="s">
        <v>35</v>
      </c>
      <c r="M516" t="s">
        <v>159</v>
      </c>
      <c r="N516" s="1">
        <v>46209</v>
      </c>
      <c r="P516" t="s">
        <v>699</v>
      </c>
      <c r="Q516" t="s">
        <v>146</v>
      </c>
      <c r="R516" t="s">
        <v>55</v>
      </c>
      <c r="S516" s="1">
        <v>46206</v>
      </c>
      <c r="T516" s="1">
        <v>46209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1</v>
      </c>
      <c r="AE516">
        <v>0</v>
      </c>
      <c r="AF516">
        <v>0</v>
      </c>
      <c r="AG516">
        <v>0</v>
      </c>
    </row>
    <row r="517" spans="1:33" x14ac:dyDescent="0.25">
      <c r="A517">
        <v>676</v>
      </c>
      <c r="B517" t="s">
        <v>960</v>
      </c>
      <c r="C517" t="s">
        <v>957</v>
      </c>
      <c r="D517" t="s">
        <v>108</v>
      </c>
      <c r="E517" t="s">
        <v>53</v>
      </c>
      <c r="F517" s="2">
        <v>46199</v>
      </c>
      <c r="G517" s="2">
        <v>46199</v>
      </c>
      <c r="H517" s="4">
        <v>0</v>
      </c>
      <c r="J517">
        <v>675</v>
      </c>
      <c r="L517" t="s">
        <v>35</v>
      </c>
      <c r="M517" t="s">
        <v>541</v>
      </c>
      <c r="N517" s="1">
        <v>46210</v>
      </c>
      <c r="P517" t="s">
        <v>699</v>
      </c>
      <c r="Q517" t="s">
        <v>146</v>
      </c>
      <c r="R517" t="s">
        <v>55</v>
      </c>
      <c r="S517" s="1">
        <v>46210</v>
      </c>
      <c r="T517" s="1">
        <v>46210</v>
      </c>
      <c r="V517">
        <v>0</v>
      </c>
      <c r="W517">
        <v>0</v>
      </c>
      <c r="X517">
        <v>0</v>
      </c>
      <c r="Y517">
        <v>0</v>
      </c>
      <c r="Z517">
        <v>1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1</v>
      </c>
      <c r="AG517">
        <v>0</v>
      </c>
    </row>
    <row r="518" spans="1:33" x14ac:dyDescent="0.25">
      <c r="A518">
        <v>677</v>
      </c>
      <c r="B518" t="s">
        <v>961</v>
      </c>
      <c r="C518" t="s">
        <v>701</v>
      </c>
      <c r="D518" t="s">
        <v>962</v>
      </c>
      <c r="E518" t="s">
        <v>963</v>
      </c>
      <c r="F518" s="2">
        <v>46192</v>
      </c>
      <c r="G518" s="2">
        <v>46205</v>
      </c>
      <c r="H518" s="4">
        <v>0.72</v>
      </c>
      <c r="L518" t="s">
        <v>35</v>
      </c>
      <c r="M518" t="s">
        <v>386</v>
      </c>
      <c r="N518" s="1">
        <v>46210</v>
      </c>
      <c r="P518" t="s">
        <v>699</v>
      </c>
      <c r="Q518" t="s">
        <v>138</v>
      </c>
      <c r="R518" t="s">
        <v>55</v>
      </c>
      <c r="S518" s="1">
        <v>46191</v>
      </c>
      <c r="T518" s="1">
        <v>46210</v>
      </c>
      <c r="U518" t="s">
        <v>320</v>
      </c>
      <c r="V518">
        <v>0.72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</row>
    <row r="519" spans="1:33" x14ac:dyDescent="0.25">
      <c r="A519">
        <v>678</v>
      </c>
      <c r="B519" t="s">
        <v>964</v>
      </c>
      <c r="C519" t="s">
        <v>965</v>
      </c>
      <c r="D519" t="s">
        <v>94</v>
      </c>
      <c r="E519" t="s">
        <v>815</v>
      </c>
      <c r="F519" s="2">
        <v>46192</v>
      </c>
      <c r="G519" s="2">
        <v>46202</v>
      </c>
      <c r="H519" s="4">
        <v>1</v>
      </c>
      <c r="I519" s="2">
        <v>46202</v>
      </c>
      <c r="J519" t="s">
        <v>824</v>
      </c>
      <c r="K519">
        <v>679</v>
      </c>
      <c r="L519" t="s">
        <v>59</v>
      </c>
      <c r="M519" t="s">
        <v>386</v>
      </c>
      <c r="N519" s="1">
        <v>46204</v>
      </c>
      <c r="P519" t="s">
        <v>699</v>
      </c>
      <c r="Q519" t="s">
        <v>138</v>
      </c>
      <c r="R519" t="s">
        <v>55</v>
      </c>
      <c r="S519" s="1">
        <v>46191</v>
      </c>
      <c r="T519" s="1">
        <v>46204</v>
      </c>
      <c r="V519">
        <v>1</v>
      </c>
      <c r="W519">
        <v>1</v>
      </c>
      <c r="X519">
        <v>1</v>
      </c>
      <c r="Y519">
        <v>0</v>
      </c>
      <c r="Z519">
        <v>0</v>
      </c>
      <c r="AA519">
        <v>0</v>
      </c>
      <c r="AB519">
        <v>0</v>
      </c>
      <c r="AC519">
        <v>0</v>
      </c>
      <c r="AD519">
        <v>0</v>
      </c>
      <c r="AE519">
        <v>0</v>
      </c>
      <c r="AF519">
        <v>0</v>
      </c>
      <c r="AG519">
        <v>1</v>
      </c>
    </row>
    <row r="520" spans="1:33" x14ac:dyDescent="0.25">
      <c r="A520">
        <v>679</v>
      </c>
      <c r="B520" t="s">
        <v>966</v>
      </c>
      <c r="C520" t="s">
        <v>965</v>
      </c>
      <c r="D520" t="s">
        <v>98</v>
      </c>
      <c r="E520" t="s">
        <v>53</v>
      </c>
      <c r="F520" s="2">
        <v>46197</v>
      </c>
      <c r="G520" s="2">
        <v>46203</v>
      </c>
      <c r="H520" s="4">
        <v>0.15</v>
      </c>
      <c r="J520">
        <v>678</v>
      </c>
      <c r="K520">
        <v>680</v>
      </c>
      <c r="L520" t="s">
        <v>35</v>
      </c>
      <c r="M520" t="s">
        <v>538</v>
      </c>
      <c r="N520" s="1">
        <v>46205</v>
      </c>
      <c r="P520" t="s">
        <v>699</v>
      </c>
      <c r="Q520" t="s">
        <v>146</v>
      </c>
      <c r="R520" t="s">
        <v>55</v>
      </c>
      <c r="S520" s="1">
        <v>46205</v>
      </c>
      <c r="T520" s="1">
        <v>46205</v>
      </c>
      <c r="V520">
        <v>0.15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>
        <v>0</v>
      </c>
    </row>
    <row r="521" spans="1:33" x14ac:dyDescent="0.25">
      <c r="A521">
        <v>680</v>
      </c>
      <c r="B521" t="s">
        <v>967</v>
      </c>
      <c r="C521" t="s">
        <v>965</v>
      </c>
      <c r="D521" t="s">
        <v>102</v>
      </c>
      <c r="E521" t="s">
        <v>53</v>
      </c>
      <c r="F521" s="2">
        <v>46203</v>
      </c>
      <c r="G521" s="2">
        <v>46204</v>
      </c>
      <c r="H521" s="4">
        <v>0</v>
      </c>
      <c r="J521">
        <v>679</v>
      </c>
      <c r="K521">
        <v>681</v>
      </c>
      <c r="L521" t="s">
        <v>35</v>
      </c>
      <c r="M521" t="s">
        <v>159</v>
      </c>
      <c r="N521" s="1">
        <v>46209</v>
      </c>
      <c r="P521" t="s">
        <v>699</v>
      </c>
      <c r="Q521" t="s">
        <v>146</v>
      </c>
      <c r="R521" t="s">
        <v>55</v>
      </c>
      <c r="S521" s="1">
        <v>46206</v>
      </c>
      <c r="T521" s="1">
        <v>46209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  <c r="AC521">
        <v>0</v>
      </c>
      <c r="AD521">
        <v>1</v>
      </c>
      <c r="AE521">
        <v>0</v>
      </c>
      <c r="AF521">
        <v>0</v>
      </c>
      <c r="AG521">
        <v>0</v>
      </c>
    </row>
    <row r="522" spans="1:33" x14ac:dyDescent="0.25">
      <c r="A522">
        <v>681</v>
      </c>
      <c r="B522" t="s">
        <v>968</v>
      </c>
      <c r="C522" t="s">
        <v>965</v>
      </c>
      <c r="D522" t="s">
        <v>108</v>
      </c>
      <c r="E522" t="s">
        <v>53</v>
      </c>
      <c r="F522" s="2">
        <v>46204</v>
      </c>
      <c r="G522" s="2">
        <v>46205</v>
      </c>
      <c r="H522" s="4">
        <v>0</v>
      </c>
      <c r="J522">
        <v>680</v>
      </c>
      <c r="L522" t="s">
        <v>35</v>
      </c>
      <c r="M522" t="s">
        <v>541</v>
      </c>
      <c r="N522" s="1">
        <v>46210</v>
      </c>
      <c r="P522" t="s">
        <v>699</v>
      </c>
      <c r="Q522" t="s">
        <v>146</v>
      </c>
      <c r="R522" t="s">
        <v>55</v>
      </c>
      <c r="S522" s="1">
        <v>46210</v>
      </c>
      <c r="T522" s="1">
        <v>46210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0</v>
      </c>
      <c r="AC522">
        <v>0</v>
      </c>
      <c r="AD522">
        <v>0</v>
      </c>
      <c r="AE522">
        <v>0</v>
      </c>
      <c r="AF522">
        <v>1</v>
      </c>
      <c r="AG522">
        <v>0</v>
      </c>
    </row>
    <row r="523" spans="1:33" x14ac:dyDescent="0.25">
      <c r="A523">
        <v>682</v>
      </c>
      <c r="B523" t="s">
        <v>969</v>
      </c>
      <c r="C523" t="s">
        <v>701</v>
      </c>
      <c r="D523" t="s">
        <v>970</v>
      </c>
      <c r="E523" t="s">
        <v>963</v>
      </c>
      <c r="F523" s="2">
        <v>46192</v>
      </c>
      <c r="G523" s="2">
        <v>46205</v>
      </c>
      <c r="H523" s="4">
        <v>0.72</v>
      </c>
      <c r="L523" t="s">
        <v>35</v>
      </c>
      <c r="M523" t="s">
        <v>386</v>
      </c>
      <c r="N523" s="1">
        <v>46210</v>
      </c>
      <c r="P523" t="s">
        <v>699</v>
      </c>
      <c r="Q523" t="s">
        <v>138</v>
      </c>
      <c r="R523" t="s">
        <v>55</v>
      </c>
      <c r="S523" s="1">
        <v>46191</v>
      </c>
      <c r="T523" s="1">
        <v>46210</v>
      </c>
      <c r="U523" t="s">
        <v>320</v>
      </c>
      <c r="V523">
        <v>0.72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0</v>
      </c>
      <c r="AF523">
        <v>0</v>
      </c>
      <c r="AG523">
        <v>0</v>
      </c>
    </row>
    <row r="524" spans="1:33" x14ac:dyDescent="0.25">
      <c r="A524">
        <v>683</v>
      </c>
      <c r="B524" t="s">
        <v>971</v>
      </c>
      <c r="C524" t="s">
        <v>972</v>
      </c>
      <c r="D524" t="s">
        <v>94</v>
      </c>
      <c r="E524" t="s">
        <v>815</v>
      </c>
      <c r="F524" s="2">
        <v>46192</v>
      </c>
      <c r="G524" s="2">
        <v>46202</v>
      </c>
      <c r="H524" s="4">
        <v>1</v>
      </c>
      <c r="I524" s="2">
        <v>46202</v>
      </c>
      <c r="J524" t="s">
        <v>824</v>
      </c>
      <c r="K524">
        <v>684</v>
      </c>
      <c r="L524" t="s">
        <v>59</v>
      </c>
      <c r="M524" t="s">
        <v>386</v>
      </c>
      <c r="N524" s="1">
        <v>46204</v>
      </c>
      <c r="P524" t="s">
        <v>699</v>
      </c>
      <c r="Q524" t="s">
        <v>138</v>
      </c>
      <c r="R524" t="s">
        <v>55</v>
      </c>
      <c r="S524" s="1">
        <v>46191</v>
      </c>
      <c r="T524" s="1">
        <v>46204</v>
      </c>
      <c r="V524">
        <v>1</v>
      </c>
      <c r="W524">
        <v>1</v>
      </c>
      <c r="X524">
        <v>1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  <c r="AG524">
        <v>1</v>
      </c>
    </row>
    <row r="525" spans="1:33" x14ac:dyDescent="0.25">
      <c r="A525">
        <v>684</v>
      </c>
      <c r="B525" t="s">
        <v>973</v>
      </c>
      <c r="C525" t="s">
        <v>972</v>
      </c>
      <c r="D525" t="s">
        <v>98</v>
      </c>
      <c r="E525" t="s">
        <v>53</v>
      </c>
      <c r="F525" s="2">
        <v>46197</v>
      </c>
      <c r="G525" s="2">
        <v>46203</v>
      </c>
      <c r="H525" s="4">
        <v>0.15</v>
      </c>
      <c r="J525">
        <v>683</v>
      </c>
      <c r="K525">
        <v>685</v>
      </c>
      <c r="L525" t="s">
        <v>35</v>
      </c>
      <c r="M525" t="s">
        <v>538</v>
      </c>
      <c r="N525" s="1">
        <v>46205</v>
      </c>
      <c r="P525" t="s">
        <v>699</v>
      </c>
      <c r="Q525" t="s">
        <v>146</v>
      </c>
      <c r="R525" t="s">
        <v>55</v>
      </c>
      <c r="S525" s="1">
        <v>46205</v>
      </c>
      <c r="T525" s="1">
        <v>46205</v>
      </c>
      <c r="V525">
        <v>0.15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1</v>
      </c>
      <c r="AC525">
        <v>0</v>
      </c>
      <c r="AD525">
        <v>0</v>
      </c>
      <c r="AE525">
        <v>0</v>
      </c>
      <c r="AF525">
        <v>0</v>
      </c>
      <c r="AG525">
        <v>0</v>
      </c>
    </row>
    <row r="526" spans="1:33" x14ac:dyDescent="0.25">
      <c r="A526">
        <v>685</v>
      </c>
      <c r="B526" t="s">
        <v>974</v>
      </c>
      <c r="C526" t="s">
        <v>972</v>
      </c>
      <c r="D526" t="s">
        <v>102</v>
      </c>
      <c r="E526" t="s">
        <v>53</v>
      </c>
      <c r="F526" s="2">
        <v>46203</v>
      </c>
      <c r="G526" s="2">
        <v>46204</v>
      </c>
      <c r="H526" s="4">
        <v>0</v>
      </c>
      <c r="J526">
        <v>684</v>
      </c>
      <c r="K526">
        <v>686</v>
      </c>
      <c r="L526" t="s">
        <v>35</v>
      </c>
      <c r="M526" t="s">
        <v>159</v>
      </c>
      <c r="N526" s="1">
        <v>46209</v>
      </c>
      <c r="P526" t="s">
        <v>699</v>
      </c>
      <c r="Q526" t="s">
        <v>146</v>
      </c>
      <c r="R526" t="s">
        <v>55</v>
      </c>
      <c r="S526" s="1">
        <v>46206</v>
      </c>
      <c r="T526" s="1">
        <v>46209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1</v>
      </c>
      <c r="AE526">
        <v>0</v>
      </c>
      <c r="AF526">
        <v>0</v>
      </c>
      <c r="AG526">
        <v>0</v>
      </c>
    </row>
    <row r="527" spans="1:33" x14ac:dyDescent="0.25">
      <c r="A527">
        <v>686</v>
      </c>
      <c r="B527" t="s">
        <v>975</v>
      </c>
      <c r="C527" t="s">
        <v>972</v>
      </c>
      <c r="D527" t="s">
        <v>108</v>
      </c>
      <c r="E527" t="s">
        <v>53</v>
      </c>
      <c r="F527" s="2">
        <v>46204</v>
      </c>
      <c r="G527" s="2">
        <v>46205</v>
      </c>
      <c r="H527" s="4">
        <v>0</v>
      </c>
      <c r="J527">
        <v>685</v>
      </c>
      <c r="L527" t="s">
        <v>35</v>
      </c>
      <c r="M527" t="s">
        <v>541</v>
      </c>
      <c r="N527" s="1">
        <v>46210</v>
      </c>
      <c r="P527" t="s">
        <v>699</v>
      </c>
      <c r="Q527" t="s">
        <v>146</v>
      </c>
      <c r="R527" t="s">
        <v>55</v>
      </c>
      <c r="S527" s="1">
        <v>46210</v>
      </c>
      <c r="T527" s="1">
        <v>46210</v>
      </c>
      <c r="V527">
        <v>0</v>
      </c>
      <c r="W527">
        <v>0</v>
      </c>
      <c r="X527">
        <v>0</v>
      </c>
      <c r="Y527">
        <v>0</v>
      </c>
      <c r="Z527">
        <v>1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1</v>
      </c>
      <c r="AG527">
        <v>0</v>
      </c>
    </row>
    <row r="528" spans="1:33" x14ac:dyDescent="0.25">
      <c r="A528">
        <v>687</v>
      </c>
      <c r="B528" t="s">
        <v>976</v>
      </c>
      <c r="C528" t="s">
        <v>701</v>
      </c>
      <c r="D528" t="s">
        <v>977</v>
      </c>
      <c r="E528" t="s">
        <v>963</v>
      </c>
      <c r="F528" s="2">
        <v>46192</v>
      </c>
      <c r="G528" s="2">
        <v>46205</v>
      </c>
      <c r="H528" s="4">
        <v>0.72</v>
      </c>
      <c r="L528" t="s">
        <v>35</v>
      </c>
      <c r="M528" t="s">
        <v>386</v>
      </c>
      <c r="N528" s="1">
        <v>46210</v>
      </c>
      <c r="P528" t="s">
        <v>699</v>
      </c>
      <c r="Q528" t="s">
        <v>138</v>
      </c>
      <c r="R528" t="s">
        <v>55</v>
      </c>
      <c r="S528" s="1">
        <v>46191</v>
      </c>
      <c r="T528" s="1">
        <v>46210</v>
      </c>
      <c r="U528" t="s">
        <v>320</v>
      </c>
      <c r="V528">
        <v>0.72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</row>
    <row r="529" spans="1:33" x14ac:dyDescent="0.25">
      <c r="A529">
        <v>688</v>
      </c>
      <c r="B529" t="s">
        <v>978</v>
      </c>
      <c r="C529" t="s">
        <v>979</v>
      </c>
      <c r="D529" t="s">
        <v>94</v>
      </c>
      <c r="E529" t="s">
        <v>815</v>
      </c>
      <c r="F529" s="2">
        <v>46192</v>
      </c>
      <c r="G529" s="2">
        <v>46202</v>
      </c>
      <c r="H529" s="4">
        <v>1</v>
      </c>
      <c r="I529" s="2">
        <v>46202</v>
      </c>
      <c r="J529" t="s">
        <v>824</v>
      </c>
      <c r="K529">
        <v>689</v>
      </c>
      <c r="L529" t="s">
        <v>59</v>
      </c>
      <c r="M529" t="s">
        <v>386</v>
      </c>
      <c r="N529" s="1">
        <v>46204</v>
      </c>
      <c r="P529" t="s">
        <v>699</v>
      </c>
      <c r="Q529" t="s">
        <v>138</v>
      </c>
      <c r="R529" t="s">
        <v>55</v>
      </c>
      <c r="S529" s="1">
        <v>46191</v>
      </c>
      <c r="T529" s="1">
        <v>46204</v>
      </c>
      <c r="V529">
        <v>1</v>
      </c>
      <c r="W529">
        <v>1</v>
      </c>
      <c r="X529">
        <v>1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1</v>
      </c>
    </row>
    <row r="530" spans="1:33" x14ac:dyDescent="0.25">
      <c r="A530">
        <v>689</v>
      </c>
      <c r="B530" t="s">
        <v>980</v>
      </c>
      <c r="C530" t="s">
        <v>979</v>
      </c>
      <c r="D530" t="s">
        <v>98</v>
      </c>
      <c r="E530" t="s">
        <v>53</v>
      </c>
      <c r="F530" s="2">
        <v>46197</v>
      </c>
      <c r="G530" s="2">
        <v>46203</v>
      </c>
      <c r="H530" s="4">
        <v>0.15</v>
      </c>
      <c r="J530">
        <v>688</v>
      </c>
      <c r="K530">
        <v>690</v>
      </c>
      <c r="L530" t="s">
        <v>35</v>
      </c>
      <c r="M530" t="s">
        <v>538</v>
      </c>
      <c r="N530" s="1">
        <v>46205</v>
      </c>
      <c r="P530" t="s">
        <v>699</v>
      </c>
      <c r="Q530" t="s">
        <v>146</v>
      </c>
      <c r="R530" t="s">
        <v>55</v>
      </c>
      <c r="S530" s="1">
        <v>46205</v>
      </c>
      <c r="T530" s="1">
        <v>46205</v>
      </c>
      <c r="V530">
        <v>0.15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1</v>
      </c>
      <c r="AC530">
        <v>0</v>
      </c>
      <c r="AD530">
        <v>0</v>
      </c>
      <c r="AE530">
        <v>0</v>
      </c>
      <c r="AF530">
        <v>0</v>
      </c>
      <c r="AG530">
        <v>0</v>
      </c>
    </row>
    <row r="531" spans="1:33" x14ac:dyDescent="0.25">
      <c r="A531">
        <v>690</v>
      </c>
      <c r="B531" t="s">
        <v>981</v>
      </c>
      <c r="C531" t="s">
        <v>979</v>
      </c>
      <c r="D531" t="s">
        <v>102</v>
      </c>
      <c r="E531" t="s">
        <v>53</v>
      </c>
      <c r="F531" s="2">
        <v>46203</v>
      </c>
      <c r="G531" s="2">
        <v>46204</v>
      </c>
      <c r="H531" s="4">
        <v>0</v>
      </c>
      <c r="J531">
        <v>689</v>
      </c>
      <c r="K531">
        <v>691</v>
      </c>
      <c r="L531" t="s">
        <v>35</v>
      </c>
      <c r="M531" t="s">
        <v>159</v>
      </c>
      <c r="N531" s="1">
        <v>46209</v>
      </c>
      <c r="P531" t="s">
        <v>699</v>
      </c>
      <c r="Q531" t="s">
        <v>146</v>
      </c>
      <c r="R531" t="s">
        <v>55</v>
      </c>
      <c r="S531" s="1">
        <v>46206</v>
      </c>
      <c r="T531" s="1">
        <v>46209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1</v>
      </c>
      <c r="AE531">
        <v>0</v>
      </c>
      <c r="AF531">
        <v>0</v>
      </c>
      <c r="AG531">
        <v>0</v>
      </c>
    </row>
    <row r="532" spans="1:33" x14ac:dyDescent="0.25">
      <c r="A532">
        <v>691</v>
      </c>
      <c r="B532" t="s">
        <v>982</v>
      </c>
      <c r="C532" t="s">
        <v>979</v>
      </c>
      <c r="D532" t="s">
        <v>108</v>
      </c>
      <c r="E532" t="s">
        <v>53</v>
      </c>
      <c r="F532" s="2">
        <v>46204</v>
      </c>
      <c r="G532" s="2">
        <v>46205</v>
      </c>
      <c r="H532" s="4">
        <v>0</v>
      </c>
      <c r="J532">
        <v>690</v>
      </c>
      <c r="L532" t="s">
        <v>35</v>
      </c>
      <c r="M532" t="s">
        <v>541</v>
      </c>
      <c r="N532" s="1">
        <v>46210</v>
      </c>
      <c r="P532" t="s">
        <v>699</v>
      </c>
      <c r="Q532" t="s">
        <v>146</v>
      </c>
      <c r="R532" t="s">
        <v>55</v>
      </c>
      <c r="S532" s="1">
        <v>46210</v>
      </c>
      <c r="T532" s="1">
        <v>46210</v>
      </c>
      <c r="V532">
        <v>0</v>
      </c>
      <c r="W532">
        <v>0</v>
      </c>
      <c r="X532">
        <v>0</v>
      </c>
      <c r="Y532">
        <v>0</v>
      </c>
      <c r="Z532">
        <v>1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1</v>
      </c>
      <c r="AG532">
        <v>0</v>
      </c>
    </row>
    <row r="533" spans="1:33" x14ac:dyDescent="0.25">
      <c r="A533">
        <v>692</v>
      </c>
      <c r="B533" t="s">
        <v>983</v>
      </c>
      <c r="C533" t="s">
        <v>701</v>
      </c>
      <c r="D533" t="s">
        <v>984</v>
      </c>
      <c r="E533" t="s">
        <v>963</v>
      </c>
      <c r="F533" s="2">
        <v>46192</v>
      </c>
      <c r="G533" s="2">
        <v>46205</v>
      </c>
      <c r="H533" s="4">
        <v>0.72</v>
      </c>
      <c r="L533" t="s">
        <v>35</v>
      </c>
      <c r="M533" t="s">
        <v>386</v>
      </c>
      <c r="N533" s="1">
        <v>46210</v>
      </c>
      <c r="P533" t="s">
        <v>699</v>
      </c>
      <c r="Q533" t="s">
        <v>138</v>
      </c>
      <c r="R533" t="s">
        <v>55</v>
      </c>
      <c r="S533" s="1">
        <v>46191</v>
      </c>
      <c r="T533" s="1">
        <v>46210</v>
      </c>
      <c r="U533" t="s">
        <v>320</v>
      </c>
      <c r="V533">
        <v>0.72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</row>
    <row r="534" spans="1:33" x14ac:dyDescent="0.25">
      <c r="A534">
        <v>693</v>
      </c>
      <c r="B534" t="s">
        <v>985</v>
      </c>
      <c r="C534" t="s">
        <v>986</v>
      </c>
      <c r="D534" t="s">
        <v>94</v>
      </c>
      <c r="E534" t="s">
        <v>815</v>
      </c>
      <c r="F534" s="2">
        <v>46192</v>
      </c>
      <c r="G534" s="2">
        <v>46202</v>
      </c>
      <c r="H534" s="4">
        <v>1</v>
      </c>
      <c r="I534" s="2">
        <v>46202</v>
      </c>
      <c r="J534" t="s">
        <v>824</v>
      </c>
      <c r="K534">
        <v>694</v>
      </c>
      <c r="L534" t="s">
        <v>59</v>
      </c>
      <c r="M534" t="s">
        <v>386</v>
      </c>
      <c r="N534" s="1">
        <v>46204</v>
      </c>
      <c r="P534" t="s">
        <v>699</v>
      </c>
      <c r="Q534" t="s">
        <v>138</v>
      </c>
      <c r="R534" t="s">
        <v>55</v>
      </c>
      <c r="S534" s="1">
        <v>46191</v>
      </c>
      <c r="T534" s="1">
        <v>46204</v>
      </c>
      <c r="V534">
        <v>1</v>
      </c>
      <c r="W534">
        <v>1</v>
      </c>
      <c r="X534">
        <v>1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1</v>
      </c>
    </row>
    <row r="535" spans="1:33" x14ac:dyDescent="0.25">
      <c r="A535">
        <v>694</v>
      </c>
      <c r="B535" t="s">
        <v>987</v>
      </c>
      <c r="C535" t="s">
        <v>986</v>
      </c>
      <c r="D535" t="s">
        <v>98</v>
      </c>
      <c r="E535" t="s">
        <v>53</v>
      </c>
      <c r="F535" s="2">
        <v>46197</v>
      </c>
      <c r="G535" s="2">
        <v>46203</v>
      </c>
      <c r="H535" s="4">
        <v>0.15</v>
      </c>
      <c r="J535">
        <v>693</v>
      </c>
      <c r="K535">
        <v>695</v>
      </c>
      <c r="L535" t="s">
        <v>35</v>
      </c>
      <c r="M535" t="s">
        <v>538</v>
      </c>
      <c r="N535" s="1">
        <v>46205</v>
      </c>
      <c r="P535" t="s">
        <v>699</v>
      </c>
      <c r="Q535" t="s">
        <v>146</v>
      </c>
      <c r="R535" t="s">
        <v>55</v>
      </c>
      <c r="S535" s="1">
        <v>46205</v>
      </c>
      <c r="T535" s="1">
        <v>46205</v>
      </c>
      <c r="V535">
        <v>0.15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1</v>
      </c>
      <c r="AC535">
        <v>0</v>
      </c>
      <c r="AD535">
        <v>0</v>
      </c>
      <c r="AE535">
        <v>0</v>
      </c>
      <c r="AF535">
        <v>0</v>
      </c>
      <c r="AG535">
        <v>0</v>
      </c>
    </row>
    <row r="536" spans="1:33" x14ac:dyDescent="0.25">
      <c r="A536">
        <v>695</v>
      </c>
      <c r="B536" t="s">
        <v>988</v>
      </c>
      <c r="C536" t="s">
        <v>986</v>
      </c>
      <c r="D536" t="s">
        <v>102</v>
      </c>
      <c r="E536" t="s">
        <v>53</v>
      </c>
      <c r="F536" s="2">
        <v>46203</v>
      </c>
      <c r="G536" s="2">
        <v>46204</v>
      </c>
      <c r="H536" s="4">
        <v>0</v>
      </c>
      <c r="J536">
        <v>694</v>
      </c>
      <c r="K536">
        <v>696</v>
      </c>
      <c r="L536" t="s">
        <v>35</v>
      </c>
      <c r="M536" t="s">
        <v>159</v>
      </c>
      <c r="N536" s="1">
        <v>46209</v>
      </c>
      <c r="P536" t="s">
        <v>699</v>
      </c>
      <c r="Q536" t="s">
        <v>146</v>
      </c>
      <c r="R536" t="s">
        <v>55</v>
      </c>
      <c r="S536" s="1">
        <v>46206</v>
      </c>
      <c r="T536" s="1">
        <v>46209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1</v>
      </c>
      <c r="AE536">
        <v>0</v>
      </c>
      <c r="AF536">
        <v>0</v>
      </c>
      <c r="AG536">
        <v>0</v>
      </c>
    </row>
    <row r="537" spans="1:33" x14ac:dyDescent="0.25">
      <c r="A537">
        <v>696</v>
      </c>
      <c r="B537" t="s">
        <v>989</v>
      </c>
      <c r="C537" t="s">
        <v>986</v>
      </c>
      <c r="D537" t="s">
        <v>108</v>
      </c>
      <c r="E537" t="s">
        <v>53</v>
      </c>
      <c r="F537" s="2">
        <v>46204</v>
      </c>
      <c r="G537" s="2">
        <v>46205</v>
      </c>
      <c r="H537" s="4">
        <v>0</v>
      </c>
      <c r="J537">
        <v>695</v>
      </c>
      <c r="L537" t="s">
        <v>35</v>
      </c>
      <c r="M537" t="s">
        <v>541</v>
      </c>
      <c r="N537" s="1">
        <v>46210</v>
      </c>
      <c r="P537" t="s">
        <v>699</v>
      </c>
      <c r="Q537" t="s">
        <v>146</v>
      </c>
      <c r="R537" t="s">
        <v>55</v>
      </c>
      <c r="S537" s="1">
        <v>46210</v>
      </c>
      <c r="T537" s="1">
        <v>46210</v>
      </c>
      <c r="V537">
        <v>0</v>
      </c>
      <c r="W537">
        <v>0</v>
      </c>
      <c r="X537">
        <v>0</v>
      </c>
      <c r="Y537">
        <v>0</v>
      </c>
      <c r="Z537">
        <v>1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1</v>
      </c>
      <c r="AG537">
        <v>0</v>
      </c>
    </row>
    <row r="538" spans="1:33" x14ac:dyDescent="0.25">
      <c r="A538">
        <v>697</v>
      </c>
      <c r="B538" t="s">
        <v>990</v>
      </c>
      <c r="C538" t="s">
        <v>701</v>
      </c>
      <c r="D538" t="s">
        <v>991</v>
      </c>
      <c r="E538" t="s">
        <v>625</v>
      </c>
      <c r="F538" s="2">
        <v>46203</v>
      </c>
      <c r="G538" s="2">
        <v>46216</v>
      </c>
      <c r="H538" s="4">
        <v>0</v>
      </c>
      <c r="L538" t="s">
        <v>35</v>
      </c>
      <c r="M538" t="s">
        <v>422</v>
      </c>
      <c r="N538" s="1">
        <v>46209</v>
      </c>
      <c r="P538" t="s">
        <v>699</v>
      </c>
      <c r="Q538" t="s">
        <v>138</v>
      </c>
      <c r="R538" t="s">
        <v>55</v>
      </c>
      <c r="S538" s="1">
        <v>46199</v>
      </c>
      <c r="T538" s="1">
        <v>46209</v>
      </c>
      <c r="U538" t="s">
        <v>320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</row>
    <row r="539" spans="1:33" x14ac:dyDescent="0.25">
      <c r="A539">
        <v>698</v>
      </c>
      <c r="B539" t="s">
        <v>992</v>
      </c>
      <c r="C539" t="s">
        <v>993</v>
      </c>
      <c r="D539" t="s">
        <v>94</v>
      </c>
      <c r="E539" t="s">
        <v>556</v>
      </c>
      <c r="F539" s="2">
        <v>46203</v>
      </c>
      <c r="G539" s="2">
        <v>46206</v>
      </c>
      <c r="H539" s="4">
        <v>0</v>
      </c>
      <c r="J539" t="s">
        <v>994</v>
      </c>
      <c r="K539" t="s">
        <v>995</v>
      </c>
      <c r="L539" t="s">
        <v>35</v>
      </c>
      <c r="M539" t="s">
        <v>422</v>
      </c>
      <c r="N539" s="1">
        <v>46203</v>
      </c>
      <c r="P539" t="s">
        <v>699</v>
      </c>
      <c r="Q539" t="s">
        <v>138</v>
      </c>
      <c r="R539" t="s">
        <v>55</v>
      </c>
      <c r="S539" s="1">
        <v>46199</v>
      </c>
      <c r="T539" s="1">
        <v>46203</v>
      </c>
      <c r="V539">
        <v>0</v>
      </c>
      <c r="W539">
        <v>1</v>
      </c>
      <c r="X539">
        <v>0</v>
      </c>
      <c r="Y539">
        <v>1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</row>
    <row r="540" spans="1:33" x14ac:dyDescent="0.25">
      <c r="A540">
        <v>699</v>
      </c>
      <c r="B540" t="s">
        <v>996</v>
      </c>
      <c r="C540" t="s">
        <v>993</v>
      </c>
      <c r="D540" t="s">
        <v>98</v>
      </c>
      <c r="E540" t="s">
        <v>53</v>
      </c>
      <c r="F540" s="2">
        <v>46209</v>
      </c>
      <c r="G540" s="2">
        <v>46209</v>
      </c>
      <c r="H540" s="4">
        <v>0</v>
      </c>
      <c r="J540">
        <v>698</v>
      </c>
      <c r="K540">
        <v>700</v>
      </c>
      <c r="L540" t="s">
        <v>144</v>
      </c>
      <c r="M540" t="s">
        <v>426</v>
      </c>
      <c r="N540" s="1">
        <v>46204</v>
      </c>
      <c r="P540" t="s">
        <v>699</v>
      </c>
      <c r="Q540" t="s">
        <v>146</v>
      </c>
      <c r="R540" t="s">
        <v>55</v>
      </c>
      <c r="S540" s="1">
        <v>46204</v>
      </c>
      <c r="T540" s="1">
        <v>46204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0</v>
      </c>
    </row>
    <row r="541" spans="1:33" x14ac:dyDescent="0.25">
      <c r="A541">
        <v>700</v>
      </c>
      <c r="B541" t="s">
        <v>997</v>
      </c>
      <c r="C541" t="s">
        <v>993</v>
      </c>
      <c r="D541" t="s">
        <v>102</v>
      </c>
      <c r="E541" t="s">
        <v>121</v>
      </c>
      <c r="F541" s="2">
        <v>46210</v>
      </c>
      <c r="G541" s="2">
        <v>46211</v>
      </c>
      <c r="H541" s="4">
        <v>0</v>
      </c>
      <c r="J541">
        <v>699</v>
      </c>
      <c r="K541">
        <v>701</v>
      </c>
      <c r="L541" t="s">
        <v>144</v>
      </c>
      <c r="M541" t="s">
        <v>538</v>
      </c>
      <c r="N541" s="1">
        <v>46206</v>
      </c>
      <c r="P541" t="s">
        <v>699</v>
      </c>
      <c r="Q541" t="s">
        <v>146</v>
      </c>
      <c r="R541" t="s">
        <v>55</v>
      </c>
      <c r="S541" s="1">
        <v>46205</v>
      </c>
      <c r="T541" s="1">
        <v>46206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0</v>
      </c>
    </row>
    <row r="542" spans="1:33" x14ac:dyDescent="0.25">
      <c r="A542">
        <v>701</v>
      </c>
      <c r="B542" t="s">
        <v>998</v>
      </c>
      <c r="C542" t="s">
        <v>993</v>
      </c>
      <c r="D542" t="s">
        <v>108</v>
      </c>
      <c r="E542" t="s">
        <v>53</v>
      </c>
      <c r="F542" s="2">
        <v>46216</v>
      </c>
      <c r="G542" s="2">
        <v>46216</v>
      </c>
      <c r="H542" s="4">
        <v>0</v>
      </c>
      <c r="J542">
        <v>700</v>
      </c>
      <c r="L542" t="s">
        <v>144</v>
      </c>
      <c r="M542" t="s">
        <v>161</v>
      </c>
      <c r="N542" s="1">
        <v>46209</v>
      </c>
      <c r="P542" t="s">
        <v>699</v>
      </c>
      <c r="Q542" t="s">
        <v>151</v>
      </c>
      <c r="R542" t="s">
        <v>55</v>
      </c>
      <c r="S542" s="1">
        <v>46209</v>
      </c>
      <c r="T542" s="1">
        <v>46209</v>
      </c>
      <c r="V542">
        <v>0</v>
      </c>
      <c r="W542">
        <v>0</v>
      </c>
      <c r="X542">
        <v>0</v>
      </c>
      <c r="Y542">
        <v>0</v>
      </c>
      <c r="Z542">
        <v>1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</row>
    <row r="543" spans="1:33" x14ac:dyDescent="0.25">
      <c r="A543">
        <v>702</v>
      </c>
      <c r="B543" t="s">
        <v>999</v>
      </c>
      <c r="C543" t="s">
        <v>701</v>
      </c>
      <c r="D543" t="s">
        <v>1000</v>
      </c>
      <c r="E543" t="s">
        <v>625</v>
      </c>
      <c r="F543" s="2">
        <v>46203</v>
      </c>
      <c r="G543" s="2">
        <v>46216</v>
      </c>
      <c r="H543" s="4">
        <v>0</v>
      </c>
      <c r="L543" t="s">
        <v>35</v>
      </c>
      <c r="M543" t="s">
        <v>422</v>
      </c>
      <c r="N543" s="1">
        <v>46209</v>
      </c>
      <c r="P543" t="s">
        <v>699</v>
      </c>
      <c r="Q543" t="s">
        <v>138</v>
      </c>
      <c r="R543" t="s">
        <v>55</v>
      </c>
      <c r="S543" s="1">
        <v>46199</v>
      </c>
      <c r="T543" s="1">
        <v>46209</v>
      </c>
      <c r="U543" t="s">
        <v>320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</row>
    <row r="544" spans="1:33" x14ac:dyDescent="0.25">
      <c r="A544">
        <v>703</v>
      </c>
      <c r="B544" t="s">
        <v>1001</v>
      </c>
      <c r="C544" t="s">
        <v>1002</v>
      </c>
      <c r="D544" t="s">
        <v>94</v>
      </c>
      <c r="E544" t="s">
        <v>556</v>
      </c>
      <c r="F544" s="2">
        <v>46203</v>
      </c>
      <c r="G544" s="2">
        <v>46206</v>
      </c>
      <c r="H544" s="4">
        <v>0</v>
      </c>
      <c r="J544" t="s">
        <v>994</v>
      </c>
      <c r="K544" t="s">
        <v>1003</v>
      </c>
      <c r="L544" t="s">
        <v>35</v>
      </c>
      <c r="M544" t="s">
        <v>422</v>
      </c>
      <c r="N544" s="1">
        <v>46203</v>
      </c>
      <c r="P544" t="s">
        <v>699</v>
      </c>
      <c r="Q544" t="s">
        <v>138</v>
      </c>
      <c r="R544" t="s">
        <v>55</v>
      </c>
      <c r="S544" s="1">
        <v>46199</v>
      </c>
      <c r="T544" s="1">
        <v>46203</v>
      </c>
      <c r="V544">
        <v>0</v>
      </c>
      <c r="W544">
        <v>1</v>
      </c>
      <c r="X544">
        <v>0</v>
      </c>
      <c r="Y544">
        <v>1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0</v>
      </c>
    </row>
    <row r="545" spans="1:33" x14ac:dyDescent="0.25">
      <c r="A545">
        <v>704</v>
      </c>
      <c r="B545" t="s">
        <v>1004</v>
      </c>
      <c r="C545" t="s">
        <v>1002</v>
      </c>
      <c r="D545" t="s">
        <v>98</v>
      </c>
      <c r="E545" t="s">
        <v>53</v>
      </c>
      <c r="F545" s="2">
        <v>46209</v>
      </c>
      <c r="G545" s="2">
        <v>46209</v>
      </c>
      <c r="H545" s="4">
        <v>0</v>
      </c>
      <c r="J545">
        <v>703</v>
      </c>
      <c r="K545">
        <v>705</v>
      </c>
      <c r="L545" t="s">
        <v>144</v>
      </c>
      <c r="M545" t="s">
        <v>426</v>
      </c>
      <c r="N545" s="1">
        <v>46204</v>
      </c>
      <c r="P545" t="s">
        <v>699</v>
      </c>
      <c r="Q545" t="s">
        <v>146</v>
      </c>
      <c r="R545" t="s">
        <v>55</v>
      </c>
      <c r="S545" s="1">
        <v>46204</v>
      </c>
      <c r="T545" s="1">
        <v>46204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</row>
    <row r="546" spans="1:33" x14ac:dyDescent="0.25">
      <c r="A546">
        <v>705</v>
      </c>
      <c r="B546" t="s">
        <v>1005</v>
      </c>
      <c r="C546" t="s">
        <v>1002</v>
      </c>
      <c r="D546" t="s">
        <v>102</v>
      </c>
      <c r="E546" t="s">
        <v>121</v>
      </c>
      <c r="F546" s="2">
        <v>46210</v>
      </c>
      <c r="G546" s="2">
        <v>46211</v>
      </c>
      <c r="H546" s="4">
        <v>0</v>
      </c>
      <c r="J546">
        <v>704</v>
      </c>
      <c r="K546">
        <v>706</v>
      </c>
      <c r="L546" t="s">
        <v>144</v>
      </c>
      <c r="M546" t="s">
        <v>538</v>
      </c>
      <c r="N546" s="1">
        <v>46206</v>
      </c>
      <c r="P546" t="s">
        <v>699</v>
      </c>
      <c r="Q546" t="s">
        <v>146</v>
      </c>
      <c r="R546" t="s">
        <v>55</v>
      </c>
      <c r="S546" s="1">
        <v>46205</v>
      </c>
      <c r="T546" s="1">
        <v>46206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  <c r="AG546">
        <v>0</v>
      </c>
    </row>
    <row r="547" spans="1:33" x14ac:dyDescent="0.25">
      <c r="A547">
        <v>706</v>
      </c>
      <c r="B547" t="s">
        <v>1006</v>
      </c>
      <c r="C547" t="s">
        <v>1002</v>
      </c>
      <c r="D547" t="s">
        <v>108</v>
      </c>
      <c r="E547" t="s">
        <v>53</v>
      </c>
      <c r="F547" s="2">
        <v>46216</v>
      </c>
      <c r="G547" s="2">
        <v>46216</v>
      </c>
      <c r="H547" s="4">
        <v>0</v>
      </c>
      <c r="J547">
        <v>705</v>
      </c>
      <c r="L547" t="s">
        <v>144</v>
      </c>
      <c r="M547" t="s">
        <v>161</v>
      </c>
      <c r="N547" s="1">
        <v>46209</v>
      </c>
      <c r="P547" t="s">
        <v>699</v>
      </c>
      <c r="Q547" t="s">
        <v>151</v>
      </c>
      <c r="R547" t="s">
        <v>55</v>
      </c>
      <c r="S547" s="1">
        <v>46209</v>
      </c>
      <c r="T547" s="1">
        <v>46209</v>
      </c>
      <c r="V547">
        <v>0</v>
      </c>
      <c r="W547">
        <v>0</v>
      </c>
      <c r="X547">
        <v>0</v>
      </c>
      <c r="Y547">
        <v>0</v>
      </c>
      <c r="Z547">
        <v>1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0</v>
      </c>
      <c r="AG547">
        <v>0</v>
      </c>
    </row>
    <row r="548" spans="1:33" x14ac:dyDescent="0.25">
      <c r="A548">
        <v>707</v>
      </c>
      <c r="B548" t="s">
        <v>1007</v>
      </c>
      <c r="C548" t="s">
        <v>701</v>
      </c>
      <c r="D548" t="s">
        <v>1008</v>
      </c>
      <c r="E548" t="s">
        <v>625</v>
      </c>
      <c r="F548" s="2">
        <v>46202</v>
      </c>
      <c r="G548" s="2">
        <v>46211</v>
      </c>
      <c r="H548" s="4">
        <v>0.5</v>
      </c>
      <c r="L548" t="s">
        <v>131</v>
      </c>
      <c r="M548" t="s">
        <v>422</v>
      </c>
      <c r="N548" s="1">
        <v>46209</v>
      </c>
      <c r="P548" t="s">
        <v>699</v>
      </c>
      <c r="Q548" t="s">
        <v>138</v>
      </c>
      <c r="R548" t="s">
        <v>55</v>
      </c>
      <c r="S548" s="1">
        <v>46199</v>
      </c>
      <c r="T548" s="1">
        <v>46209</v>
      </c>
      <c r="V548">
        <v>0.5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</row>
    <row r="549" spans="1:33" x14ac:dyDescent="0.25">
      <c r="A549">
        <v>708</v>
      </c>
      <c r="B549" t="s">
        <v>1009</v>
      </c>
      <c r="C549" t="s">
        <v>1010</v>
      </c>
      <c r="D549" t="s">
        <v>94</v>
      </c>
      <c r="E549" t="s">
        <v>556</v>
      </c>
      <c r="F549" s="2">
        <v>46202</v>
      </c>
      <c r="G549" s="2">
        <v>46205</v>
      </c>
      <c r="H549" s="4">
        <v>1</v>
      </c>
      <c r="I549" s="2">
        <v>46205</v>
      </c>
      <c r="J549" t="s">
        <v>994</v>
      </c>
      <c r="K549" t="s">
        <v>1011</v>
      </c>
      <c r="L549" t="s">
        <v>59</v>
      </c>
      <c r="M549" t="s">
        <v>422</v>
      </c>
      <c r="N549" s="1">
        <v>46203</v>
      </c>
      <c r="P549" t="s">
        <v>699</v>
      </c>
      <c r="Q549" t="s">
        <v>138</v>
      </c>
      <c r="R549" t="s">
        <v>55</v>
      </c>
      <c r="S549" s="1">
        <v>46199</v>
      </c>
      <c r="T549" s="1">
        <v>46203</v>
      </c>
      <c r="V549">
        <v>1</v>
      </c>
      <c r="W549">
        <v>1</v>
      </c>
      <c r="X549">
        <v>1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  <c r="AG549">
        <v>1</v>
      </c>
    </row>
    <row r="550" spans="1:33" x14ac:dyDescent="0.25">
      <c r="A550">
        <v>709</v>
      </c>
      <c r="B550" t="s">
        <v>1012</v>
      </c>
      <c r="C550" t="s">
        <v>1010</v>
      </c>
      <c r="D550" t="s">
        <v>98</v>
      </c>
      <c r="E550" t="s">
        <v>53</v>
      </c>
      <c r="F550" s="2">
        <v>46206</v>
      </c>
      <c r="G550" s="2">
        <v>46206</v>
      </c>
      <c r="H550" s="4">
        <v>0</v>
      </c>
      <c r="J550">
        <v>708</v>
      </c>
      <c r="K550">
        <v>710</v>
      </c>
      <c r="L550" t="s">
        <v>131</v>
      </c>
      <c r="M550" t="s">
        <v>426</v>
      </c>
      <c r="N550" s="1">
        <v>46204</v>
      </c>
      <c r="P550" t="s">
        <v>699</v>
      </c>
      <c r="Q550" t="s">
        <v>146</v>
      </c>
      <c r="R550" t="s">
        <v>55</v>
      </c>
      <c r="S550" s="1">
        <v>46204</v>
      </c>
      <c r="T550" s="1">
        <v>46204</v>
      </c>
      <c r="V550">
        <v>0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</row>
    <row r="551" spans="1:33" x14ac:dyDescent="0.25">
      <c r="A551">
        <v>710</v>
      </c>
      <c r="B551" t="s">
        <v>1013</v>
      </c>
      <c r="C551" t="s">
        <v>1010</v>
      </c>
      <c r="D551" t="s">
        <v>102</v>
      </c>
      <c r="E551" t="s">
        <v>121</v>
      </c>
      <c r="F551" s="2">
        <v>46209</v>
      </c>
      <c r="G551" s="2">
        <v>46210</v>
      </c>
      <c r="H551" s="4">
        <v>0</v>
      </c>
      <c r="J551">
        <v>709</v>
      </c>
      <c r="K551">
        <v>711</v>
      </c>
      <c r="L551" t="s">
        <v>144</v>
      </c>
      <c r="M551" t="s">
        <v>538</v>
      </c>
      <c r="N551" s="1">
        <v>46206</v>
      </c>
      <c r="P551" t="s">
        <v>699</v>
      </c>
      <c r="Q551" t="s">
        <v>146</v>
      </c>
      <c r="R551" t="s">
        <v>55</v>
      </c>
      <c r="S551" s="1">
        <v>46205</v>
      </c>
      <c r="T551" s="1">
        <v>46206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</row>
    <row r="552" spans="1:33" x14ac:dyDescent="0.25">
      <c r="A552">
        <v>711</v>
      </c>
      <c r="B552" t="s">
        <v>1014</v>
      </c>
      <c r="C552" t="s">
        <v>1010</v>
      </c>
      <c r="D552" t="s">
        <v>108</v>
      </c>
      <c r="E552" t="s">
        <v>53</v>
      </c>
      <c r="F552" s="2">
        <v>46211</v>
      </c>
      <c r="G552" s="2">
        <v>46211</v>
      </c>
      <c r="H552" s="4">
        <v>0</v>
      </c>
      <c r="J552">
        <v>710</v>
      </c>
      <c r="L552" t="s">
        <v>144</v>
      </c>
      <c r="M552" t="s">
        <v>161</v>
      </c>
      <c r="N552" s="1">
        <v>46209</v>
      </c>
      <c r="P552" t="s">
        <v>699</v>
      </c>
      <c r="Q552" t="s">
        <v>146</v>
      </c>
      <c r="R552" t="s">
        <v>55</v>
      </c>
      <c r="S552" s="1">
        <v>46209</v>
      </c>
      <c r="T552" s="1">
        <v>46209</v>
      </c>
      <c r="V552">
        <v>0</v>
      </c>
      <c r="W552">
        <v>0</v>
      </c>
      <c r="X552">
        <v>0</v>
      </c>
      <c r="Y552">
        <v>0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</row>
    <row r="553" spans="1:33" x14ac:dyDescent="0.25">
      <c r="A553">
        <v>712</v>
      </c>
      <c r="B553" t="s">
        <v>1015</v>
      </c>
      <c r="C553" t="s">
        <v>73</v>
      </c>
      <c r="D553" t="s">
        <v>1016</v>
      </c>
      <c r="E553" t="s">
        <v>1017</v>
      </c>
      <c r="F553" s="2">
        <v>46202</v>
      </c>
      <c r="G553" s="2">
        <v>46227</v>
      </c>
      <c r="H553" s="4">
        <v>0.04</v>
      </c>
      <c r="L553" t="s">
        <v>131</v>
      </c>
      <c r="M553" t="s">
        <v>223</v>
      </c>
      <c r="N553" s="1">
        <v>46211</v>
      </c>
      <c r="P553" t="s">
        <v>1018</v>
      </c>
      <c r="Q553" t="s">
        <v>146</v>
      </c>
      <c r="R553" t="s">
        <v>55</v>
      </c>
      <c r="S553" s="1">
        <v>46195</v>
      </c>
      <c r="T553" s="1">
        <v>46211</v>
      </c>
      <c r="V553">
        <v>0.04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</row>
    <row r="554" spans="1:33" x14ac:dyDescent="0.25">
      <c r="A554">
        <v>713</v>
      </c>
      <c r="B554" t="s">
        <v>1019</v>
      </c>
      <c r="C554" t="s">
        <v>1020</v>
      </c>
      <c r="D554" t="s">
        <v>1021</v>
      </c>
      <c r="E554" t="s">
        <v>1022</v>
      </c>
      <c r="F554" s="2">
        <v>46202</v>
      </c>
      <c r="G554" s="2">
        <v>46225</v>
      </c>
      <c r="H554" s="4">
        <v>0.06</v>
      </c>
      <c r="L554" t="s">
        <v>131</v>
      </c>
      <c r="M554" t="s">
        <v>223</v>
      </c>
      <c r="N554" s="1">
        <v>46210</v>
      </c>
      <c r="P554" t="s">
        <v>1018</v>
      </c>
      <c r="Q554" t="s">
        <v>146</v>
      </c>
      <c r="R554" t="s">
        <v>55</v>
      </c>
      <c r="S554" s="1">
        <v>46195</v>
      </c>
      <c r="T554" s="1">
        <v>46210</v>
      </c>
      <c r="V554">
        <v>0.06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</row>
    <row r="555" spans="1:33" x14ac:dyDescent="0.25">
      <c r="A555">
        <v>714</v>
      </c>
      <c r="B555" t="s">
        <v>1023</v>
      </c>
      <c r="C555" t="s">
        <v>1024</v>
      </c>
      <c r="D555" t="s">
        <v>94</v>
      </c>
      <c r="E555" t="s">
        <v>628</v>
      </c>
      <c r="F555" s="2">
        <v>46202</v>
      </c>
      <c r="G555" s="2">
        <v>46220</v>
      </c>
      <c r="H555" s="4">
        <v>0.1</v>
      </c>
      <c r="J555">
        <v>351</v>
      </c>
      <c r="K555" t="s">
        <v>1025</v>
      </c>
      <c r="L555" t="s">
        <v>131</v>
      </c>
      <c r="M555" t="s">
        <v>223</v>
      </c>
      <c r="N555" s="1">
        <v>46204</v>
      </c>
      <c r="P555" t="s">
        <v>1018</v>
      </c>
      <c r="Q555" t="s">
        <v>146</v>
      </c>
      <c r="R555" t="s">
        <v>55</v>
      </c>
      <c r="S555" s="1">
        <v>46195</v>
      </c>
      <c r="T555" s="1">
        <v>46204</v>
      </c>
      <c r="V555">
        <v>0.1</v>
      </c>
      <c r="W555">
        <v>1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</row>
    <row r="556" spans="1:33" x14ac:dyDescent="0.25">
      <c r="A556">
        <v>715</v>
      </c>
      <c r="B556" t="s">
        <v>1026</v>
      </c>
      <c r="C556" t="s">
        <v>1024</v>
      </c>
      <c r="D556" t="s">
        <v>98</v>
      </c>
      <c r="E556" t="s">
        <v>53</v>
      </c>
      <c r="F556" s="2">
        <v>46220</v>
      </c>
      <c r="G556" s="2">
        <v>46223</v>
      </c>
      <c r="H556" s="4">
        <v>0</v>
      </c>
      <c r="J556">
        <v>714</v>
      </c>
      <c r="K556">
        <v>716</v>
      </c>
      <c r="L556" t="s">
        <v>144</v>
      </c>
      <c r="M556" t="s">
        <v>538</v>
      </c>
      <c r="N556" s="1">
        <v>46205</v>
      </c>
      <c r="P556" t="s">
        <v>1018</v>
      </c>
      <c r="Q556" t="s">
        <v>151</v>
      </c>
      <c r="R556" t="s">
        <v>55</v>
      </c>
      <c r="S556" s="1">
        <v>46205</v>
      </c>
      <c r="T556" s="1">
        <v>46205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</row>
    <row r="557" spans="1:33" x14ac:dyDescent="0.25">
      <c r="A557">
        <v>716</v>
      </c>
      <c r="B557" t="s">
        <v>1027</v>
      </c>
      <c r="C557" t="s">
        <v>1024</v>
      </c>
      <c r="D557" t="s">
        <v>102</v>
      </c>
      <c r="E557" t="s">
        <v>53</v>
      </c>
      <c r="F557" s="2">
        <v>46223</v>
      </c>
      <c r="G557" s="2">
        <v>46224</v>
      </c>
      <c r="H557" s="4">
        <v>0</v>
      </c>
      <c r="J557">
        <v>715</v>
      </c>
      <c r="K557">
        <v>717</v>
      </c>
      <c r="L557" t="s">
        <v>144</v>
      </c>
      <c r="M557" t="s">
        <v>159</v>
      </c>
      <c r="N557" s="1">
        <v>46209</v>
      </c>
      <c r="P557" t="s">
        <v>1018</v>
      </c>
      <c r="Q557" t="s">
        <v>151</v>
      </c>
      <c r="R557" t="s">
        <v>55</v>
      </c>
      <c r="S557" s="1">
        <v>46206</v>
      </c>
      <c r="T557" s="1">
        <v>46209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</row>
    <row r="558" spans="1:33" x14ac:dyDescent="0.25">
      <c r="A558">
        <v>717</v>
      </c>
      <c r="B558" t="s">
        <v>1028</v>
      </c>
      <c r="C558" t="s">
        <v>1024</v>
      </c>
      <c r="D558" t="s">
        <v>108</v>
      </c>
      <c r="E558" t="s">
        <v>53</v>
      </c>
      <c r="F558" s="2">
        <v>46224</v>
      </c>
      <c r="G558" s="2">
        <v>46225</v>
      </c>
      <c r="H558" s="4">
        <v>0</v>
      </c>
      <c r="J558">
        <v>716</v>
      </c>
      <c r="L558" t="s">
        <v>144</v>
      </c>
      <c r="M558" t="s">
        <v>541</v>
      </c>
      <c r="N558" s="1">
        <v>46210</v>
      </c>
      <c r="P558" t="s">
        <v>1018</v>
      </c>
      <c r="Q558" t="s">
        <v>151</v>
      </c>
      <c r="R558" t="s">
        <v>55</v>
      </c>
      <c r="S558" s="1">
        <v>46210</v>
      </c>
      <c r="T558" s="1">
        <v>46210</v>
      </c>
      <c r="V558">
        <v>0</v>
      </c>
      <c r="W558">
        <v>0</v>
      </c>
      <c r="X558">
        <v>0</v>
      </c>
      <c r="Y558">
        <v>0</v>
      </c>
      <c r="Z558">
        <v>1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0</v>
      </c>
      <c r="AG558">
        <v>0</v>
      </c>
    </row>
    <row r="559" spans="1:33" x14ac:dyDescent="0.25">
      <c r="A559">
        <v>718</v>
      </c>
      <c r="B559" t="s">
        <v>1029</v>
      </c>
      <c r="C559" t="s">
        <v>1020</v>
      </c>
      <c r="D559" t="s">
        <v>1030</v>
      </c>
      <c r="E559" t="s">
        <v>640</v>
      </c>
      <c r="F559" s="2">
        <v>46220</v>
      </c>
      <c r="G559" s="2">
        <v>46227</v>
      </c>
      <c r="H559" s="4">
        <v>0</v>
      </c>
      <c r="L559" t="s">
        <v>144</v>
      </c>
      <c r="M559" t="s">
        <v>538</v>
      </c>
      <c r="N559" s="1">
        <v>46211</v>
      </c>
      <c r="P559" t="s">
        <v>1018</v>
      </c>
      <c r="Q559" t="s">
        <v>151</v>
      </c>
      <c r="R559" t="s">
        <v>55</v>
      </c>
      <c r="S559" s="1">
        <v>46205</v>
      </c>
      <c r="T559" s="1">
        <v>46211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0</v>
      </c>
    </row>
    <row r="560" spans="1:33" x14ac:dyDescent="0.25">
      <c r="A560">
        <v>719</v>
      </c>
      <c r="B560" t="s">
        <v>1031</v>
      </c>
      <c r="C560" t="s">
        <v>1032</v>
      </c>
      <c r="D560" t="s">
        <v>94</v>
      </c>
      <c r="E560" t="s">
        <v>53</v>
      </c>
      <c r="F560" s="2">
        <v>46220</v>
      </c>
      <c r="G560" s="2">
        <v>46223</v>
      </c>
      <c r="H560" s="4">
        <v>0</v>
      </c>
      <c r="J560">
        <v>714</v>
      </c>
      <c r="K560">
        <v>720</v>
      </c>
      <c r="L560" t="s">
        <v>144</v>
      </c>
      <c r="M560" t="s">
        <v>538</v>
      </c>
      <c r="N560" s="1">
        <v>46205</v>
      </c>
      <c r="P560" t="s">
        <v>1018</v>
      </c>
      <c r="Q560" t="s">
        <v>151</v>
      </c>
      <c r="R560" t="s">
        <v>55</v>
      </c>
      <c r="S560" s="1">
        <v>46205</v>
      </c>
      <c r="T560" s="1">
        <v>46205</v>
      </c>
      <c r="V560">
        <v>0</v>
      </c>
      <c r="W560">
        <v>1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</row>
    <row r="561" spans="1:33" x14ac:dyDescent="0.25">
      <c r="A561">
        <v>720</v>
      </c>
      <c r="B561" t="s">
        <v>1033</v>
      </c>
      <c r="C561" t="s">
        <v>1032</v>
      </c>
      <c r="D561" t="s">
        <v>98</v>
      </c>
      <c r="E561" t="s">
        <v>53</v>
      </c>
      <c r="F561" s="2">
        <v>46223</v>
      </c>
      <c r="G561" s="2">
        <v>46224</v>
      </c>
      <c r="H561" s="4">
        <v>0</v>
      </c>
      <c r="J561">
        <v>719</v>
      </c>
      <c r="K561">
        <v>721</v>
      </c>
      <c r="L561" t="s">
        <v>144</v>
      </c>
      <c r="M561" t="s">
        <v>159</v>
      </c>
      <c r="N561" s="1">
        <v>46206</v>
      </c>
      <c r="P561" t="s">
        <v>1018</v>
      </c>
      <c r="Q561" t="s">
        <v>151</v>
      </c>
      <c r="R561" t="s">
        <v>55</v>
      </c>
      <c r="S561" s="1">
        <v>46206</v>
      </c>
      <c r="T561" s="1">
        <v>46206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</row>
    <row r="562" spans="1:33" x14ac:dyDescent="0.25">
      <c r="A562">
        <v>721</v>
      </c>
      <c r="B562" t="s">
        <v>1034</v>
      </c>
      <c r="C562" t="s">
        <v>1032</v>
      </c>
      <c r="D562" t="s">
        <v>102</v>
      </c>
      <c r="E562" t="s">
        <v>121</v>
      </c>
      <c r="F562" s="2">
        <v>46224</v>
      </c>
      <c r="G562" s="2">
        <v>46226</v>
      </c>
      <c r="H562" s="4">
        <v>0</v>
      </c>
      <c r="J562">
        <v>720</v>
      </c>
      <c r="K562">
        <v>722</v>
      </c>
      <c r="L562" t="s">
        <v>144</v>
      </c>
      <c r="M562" t="s">
        <v>161</v>
      </c>
      <c r="N562" s="1">
        <v>46210</v>
      </c>
      <c r="P562" t="s">
        <v>1018</v>
      </c>
      <c r="Q562" t="s">
        <v>151</v>
      </c>
      <c r="R562" t="s">
        <v>55</v>
      </c>
      <c r="S562" s="1">
        <v>46209</v>
      </c>
      <c r="T562" s="1">
        <v>46210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</row>
    <row r="563" spans="1:33" x14ac:dyDescent="0.25">
      <c r="A563">
        <v>722</v>
      </c>
      <c r="B563" t="s">
        <v>1035</v>
      </c>
      <c r="C563" t="s">
        <v>1032</v>
      </c>
      <c r="D563" t="s">
        <v>108</v>
      </c>
      <c r="E563" t="s">
        <v>53</v>
      </c>
      <c r="F563" s="2">
        <v>46226</v>
      </c>
      <c r="G563" s="2">
        <v>46227</v>
      </c>
      <c r="H563" s="4">
        <v>0</v>
      </c>
      <c r="J563">
        <v>721</v>
      </c>
      <c r="L563" t="s">
        <v>144</v>
      </c>
      <c r="M563" t="s">
        <v>163</v>
      </c>
      <c r="N563" s="1">
        <v>46211</v>
      </c>
      <c r="P563" t="s">
        <v>1018</v>
      </c>
      <c r="Q563" t="s">
        <v>193</v>
      </c>
      <c r="R563" t="s">
        <v>55</v>
      </c>
      <c r="S563" s="1">
        <v>46211</v>
      </c>
      <c r="T563" s="1">
        <v>46211</v>
      </c>
      <c r="V563">
        <v>0</v>
      </c>
      <c r="W563">
        <v>0</v>
      </c>
      <c r="X563">
        <v>0</v>
      </c>
      <c r="Y563">
        <v>0</v>
      </c>
      <c r="Z563">
        <v>1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</row>
    <row r="564" spans="1:33" x14ac:dyDescent="0.25">
      <c r="A564">
        <v>36</v>
      </c>
      <c r="B564" t="s">
        <v>1036</v>
      </c>
      <c r="C564" t="s">
        <v>134</v>
      </c>
      <c r="D564" t="s">
        <v>1037</v>
      </c>
      <c r="E564" t="s">
        <v>815</v>
      </c>
      <c r="F564" s="2">
        <v>46189</v>
      </c>
      <c r="G564" s="2">
        <v>46197</v>
      </c>
      <c r="H564" s="4">
        <v>0</v>
      </c>
      <c r="L564" t="s">
        <v>144</v>
      </c>
      <c r="M564" t="s">
        <v>294</v>
      </c>
      <c r="N564" s="1">
        <v>46192</v>
      </c>
      <c r="P564" t="s">
        <v>132</v>
      </c>
      <c r="Q564" t="s">
        <v>676</v>
      </c>
      <c r="R564" t="s">
        <v>55</v>
      </c>
      <c r="S564" s="1">
        <v>46184</v>
      </c>
      <c r="T564" s="1">
        <v>46192</v>
      </c>
      <c r="U564" t="s">
        <v>1038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</row>
    <row r="565" spans="1:33" x14ac:dyDescent="0.25">
      <c r="A565">
        <v>194</v>
      </c>
      <c r="B565" t="s">
        <v>1039</v>
      </c>
      <c r="C565" t="s">
        <v>407</v>
      </c>
      <c r="D565" t="s">
        <v>1040</v>
      </c>
      <c r="E565" t="s">
        <v>815</v>
      </c>
      <c r="F565" s="2">
        <v>46204</v>
      </c>
      <c r="G565" s="2">
        <v>46212</v>
      </c>
      <c r="H565" s="4">
        <v>0</v>
      </c>
      <c r="L565" t="s">
        <v>144</v>
      </c>
      <c r="M565" t="s">
        <v>155</v>
      </c>
      <c r="N565" s="1">
        <v>46211</v>
      </c>
      <c r="P565" t="s">
        <v>405</v>
      </c>
      <c r="Q565" t="s">
        <v>676</v>
      </c>
      <c r="R565" t="s">
        <v>39</v>
      </c>
      <c r="S565" s="1">
        <v>46203</v>
      </c>
      <c r="T565" s="1">
        <v>46211</v>
      </c>
      <c r="U565" t="s">
        <v>1038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</row>
    <row r="566" spans="1:33" x14ac:dyDescent="0.25">
      <c r="A566">
        <v>199</v>
      </c>
      <c r="B566" t="s">
        <v>1041</v>
      </c>
      <c r="C566" t="s">
        <v>407</v>
      </c>
      <c r="D566" t="s">
        <v>1042</v>
      </c>
      <c r="E566" t="s">
        <v>815</v>
      </c>
      <c r="F566" s="2">
        <v>46197</v>
      </c>
      <c r="G566" s="2">
        <v>46205</v>
      </c>
      <c r="H566" s="4">
        <v>0</v>
      </c>
      <c r="L566" t="s">
        <v>144</v>
      </c>
      <c r="M566" t="s">
        <v>418</v>
      </c>
      <c r="N566" s="1">
        <v>46204</v>
      </c>
      <c r="P566" t="s">
        <v>405</v>
      </c>
      <c r="Q566" t="s">
        <v>676</v>
      </c>
      <c r="R566" t="s">
        <v>39</v>
      </c>
      <c r="S566" s="1">
        <v>46196</v>
      </c>
      <c r="T566" s="1">
        <v>46204</v>
      </c>
      <c r="U566" t="s">
        <v>1038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</row>
    <row r="567" spans="1:33" x14ac:dyDescent="0.25">
      <c r="A567">
        <v>204</v>
      </c>
      <c r="B567" t="s">
        <v>1043</v>
      </c>
      <c r="C567" t="s">
        <v>407</v>
      </c>
      <c r="D567" t="s">
        <v>1044</v>
      </c>
      <c r="E567" t="s">
        <v>815</v>
      </c>
      <c r="F567" s="2">
        <v>46197</v>
      </c>
      <c r="G567" s="2">
        <v>46205</v>
      </c>
      <c r="H567" s="4">
        <v>0</v>
      </c>
      <c r="L567" t="s">
        <v>144</v>
      </c>
      <c r="M567" t="s">
        <v>418</v>
      </c>
      <c r="N567" s="1">
        <v>46204</v>
      </c>
      <c r="P567" t="s">
        <v>405</v>
      </c>
      <c r="Q567" t="s">
        <v>676</v>
      </c>
      <c r="R567" t="s">
        <v>55</v>
      </c>
      <c r="S567" s="1">
        <v>46196</v>
      </c>
      <c r="T567" s="1">
        <v>46204</v>
      </c>
      <c r="U567" t="s">
        <v>1038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</row>
    <row r="568" spans="1:33" x14ac:dyDescent="0.25">
      <c r="A568">
        <v>214</v>
      </c>
      <c r="B568" t="s">
        <v>1045</v>
      </c>
      <c r="C568" t="s">
        <v>407</v>
      </c>
      <c r="D568" t="s">
        <v>1046</v>
      </c>
      <c r="E568" t="s">
        <v>815</v>
      </c>
      <c r="F568" s="2">
        <v>46192</v>
      </c>
      <c r="G568" s="2">
        <v>46202</v>
      </c>
      <c r="H568" s="4">
        <v>0</v>
      </c>
      <c r="L568" t="s">
        <v>144</v>
      </c>
      <c r="M568" t="s">
        <v>386</v>
      </c>
      <c r="N568" s="1">
        <v>46199</v>
      </c>
      <c r="P568" t="s">
        <v>405</v>
      </c>
      <c r="Q568" t="s">
        <v>676</v>
      </c>
      <c r="R568" t="s">
        <v>39</v>
      </c>
      <c r="S568" s="1">
        <v>46191</v>
      </c>
      <c r="T568" s="1">
        <v>46199</v>
      </c>
      <c r="U568" t="s">
        <v>1038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</row>
    <row r="569" spans="1:33" x14ac:dyDescent="0.25">
      <c r="A569">
        <v>224</v>
      </c>
      <c r="B569" t="s">
        <v>1047</v>
      </c>
      <c r="C569" t="s">
        <v>407</v>
      </c>
      <c r="D569" t="s">
        <v>1048</v>
      </c>
      <c r="E569" t="s">
        <v>103</v>
      </c>
      <c r="F569" s="2">
        <v>46176</v>
      </c>
      <c r="G569" s="2">
        <v>46183</v>
      </c>
      <c r="H569" s="4">
        <v>0</v>
      </c>
      <c r="L569" t="s">
        <v>144</v>
      </c>
      <c r="M569" t="s">
        <v>187</v>
      </c>
      <c r="N569" s="1">
        <v>46169</v>
      </c>
      <c r="P569" t="s">
        <v>405</v>
      </c>
      <c r="Q569" t="s">
        <v>676</v>
      </c>
      <c r="R569" t="s">
        <v>55</v>
      </c>
      <c r="S569" s="1">
        <v>46162</v>
      </c>
      <c r="T569" s="1">
        <v>46169</v>
      </c>
      <c r="U569" t="s">
        <v>1038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</row>
    <row r="570" spans="1:33" x14ac:dyDescent="0.25">
      <c r="A570">
        <v>264</v>
      </c>
      <c r="B570" t="s">
        <v>467</v>
      </c>
      <c r="C570" t="s">
        <v>407</v>
      </c>
      <c r="D570" t="s">
        <v>1049</v>
      </c>
      <c r="E570" t="s">
        <v>1050</v>
      </c>
      <c r="F570" s="2">
        <v>46171</v>
      </c>
      <c r="G570" s="2">
        <v>46190</v>
      </c>
      <c r="H570" s="4">
        <v>0</v>
      </c>
      <c r="L570" t="s">
        <v>144</v>
      </c>
      <c r="M570" t="s">
        <v>145</v>
      </c>
      <c r="N570" s="1">
        <v>46189</v>
      </c>
      <c r="P570" t="s">
        <v>405</v>
      </c>
      <c r="Q570" t="s">
        <v>676</v>
      </c>
      <c r="R570" t="s">
        <v>55</v>
      </c>
      <c r="S570" s="1">
        <v>46170</v>
      </c>
      <c r="T570" s="1">
        <v>46189</v>
      </c>
      <c r="U570" t="s">
        <v>1038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</row>
    <row r="571" spans="1:33" x14ac:dyDescent="0.25">
      <c r="A571">
        <v>285</v>
      </c>
      <c r="B571" t="s">
        <v>1051</v>
      </c>
      <c r="C571" t="s">
        <v>521</v>
      </c>
      <c r="D571" t="s">
        <v>1052</v>
      </c>
      <c r="E571" t="s">
        <v>103</v>
      </c>
      <c r="F571" s="2">
        <v>46199</v>
      </c>
      <c r="G571" s="2">
        <v>46206</v>
      </c>
      <c r="H571" s="4">
        <v>0</v>
      </c>
      <c r="L571" t="s">
        <v>144</v>
      </c>
      <c r="M571" t="s">
        <v>422</v>
      </c>
      <c r="N571" s="1">
        <v>46206</v>
      </c>
      <c r="P571" t="s">
        <v>519</v>
      </c>
      <c r="Q571" t="s">
        <v>676</v>
      </c>
      <c r="R571" t="s">
        <v>55</v>
      </c>
      <c r="S571" s="1">
        <v>46199</v>
      </c>
      <c r="T571" s="1">
        <v>46206</v>
      </c>
      <c r="U571" t="s">
        <v>1038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</row>
    <row r="572" spans="1:33" x14ac:dyDescent="0.25">
      <c r="A572">
        <v>356</v>
      </c>
      <c r="B572" t="s">
        <v>1053</v>
      </c>
      <c r="C572" t="s">
        <v>638</v>
      </c>
      <c r="D572" t="s">
        <v>1054</v>
      </c>
      <c r="E572" t="s">
        <v>1055</v>
      </c>
      <c r="F572" s="2">
        <v>46188</v>
      </c>
      <c r="G572" s="2">
        <v>46202</v>
      </c>
      <c r="H572" s="4">
        <v>0</v>
      </c>
      <c r="L572" t="s">
        <v>144</v>
      </c>
      <c r="M572" t="s">
        <v>296</v>
      </c>
      <c r="N572" s="1">
        <v>46202</v>
      </c>
      <c r="P572" t="s">
        <v>636</v>
      </c>
      <c r="Q572" t="s">
        <v>676</v>
      </c>
      <c r="R572" t="s">
        <v>55</v>
      </c>
      <c r="S572" s="1">
        <v>46188</v>
      </c>
      <c r="T572" s="1">
        <v>46202</v>
      </c>
      <c r="U572" t="s">
        <v>1038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</row>
    <row r="573" spans="1:33" x14ac:dyDescent="0.25">
      <c r="A573">
        <v>366</v>
      </c>
      <c r="B573" t="s">
        <v>1056</v>
      </c>
      <c r="C573" t="s">
        <v>638</v>
      </c>
      <c r="D573" t="s">
        <v>1057</v>
      </c>
      <c r="E573" t="s">
        <v>815</v>
      </c>
      <c r="F573" s="2">
        <v>46195</v>
      </c>
      <c r="G573" s="2">
        <v>46203</v>
      </c>
      <c r="H573" s="4">
        <v>0</v>
      </c>
      <c r="L573" t="s">
        <v>144</v>
      </c>
      <c r="M573" t="s">
        <v>296</v>
      </c>
      <c r="N573" s="1">
        <v>46196</v>
      </c>
      <c r="P573" t="s">
        <v>636</v>
      </c>
      <c r="Q573" t="s">
        <v>676</v>
      </c>
      <c r="R573" t="s">
        <v>55</v>
      </c>
      <c r="S573" s="1">
        <v>46188</v>
      </c>
      <c r="T573" s="1">
        <v>46196</v>
      </c>
      <c r="U573" t="s">
        <v>1038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</row>
    <row r="574" spans="1:33" x14ac:dyDescent="0.25">
      <c r="A574">
        <v>376</v>
      </c>
      <c r="B574" t="s">
        <v>1058</v>
      </c>
      <c r="C574" t="s">
        <v>638</v>
      </c>
      <c r="D574" t="s">
        <v>1059</v>
      </c>
      <c r="E574" t="s">
        <v>103</v>
      </c>
      <c r="F574" s="2">
        <v>46203</v>
      </c>
      <c r="G574" s="2">
        <v>46210</v>
      </c>
      <c r="H574" s="4">
        <v>0</v>
      </c>
      <c r="L574" t="s">
        <v>144</v>
      </c>
      <c r="M574" t="s">
        <v>155</v>
      </c>
      <c r="N574" s="1">
        <v>46210</v>
      </c>
      <c r="P574" t="s">
        <v>636</v>
      </c>
      <c r="Q574" t="s">
        <v>676</v>
      </c>
      <c r="R574" t="s">
        <v>55</v>
      </c>
      <c r="S574" s="1">
        <v>46203</v>
      </c>
      <c r="T574" s="1">
        <v>46210</v>
      </c>
      <c r="U574" t="s">
        <v>1038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</row>
    <row r="575" spans="1:33" x14ac:dyDescent="0.25">
      <c r="A575">
        <v>381</v>
      </c>
      <c r="B575" t="s">
        <v>1060</v>
      </c>
      <c r="C575" t="s">
        <v>638</v>
      </c>
      <c r="D575" t="s">
        <v>1061</v>
      </c>
      <c r="E575" t="s">
        <v>628</v>
      </c>
      <c r="F575" s="2">
        <v>46205</v>
      </c>
      <c r="G575" s="2">
        <v>46211</v>
      </c>
      <c r="H575" s="4">
        <v>0</v>
      </c>
      <c r="L575" t="s">
        <v>144</v>
      </c>
      <c r="M575" t="s">
        <v>538</v>
      </c>
      <c r="N575" s="1">
        <v>46211</v>
      </c>
      <c r="P575" t="s">
        <v>636</v>
      </c>
      <c r="Q575" t="s">
        <v>676</v>
      </c>
      <c r="R575" t="s">
        <v>55</v>
      </c>
      <c r="S575" s="1">
        <v>46205</v>
      </c>
      <c r="T575" s="1">
        <v>46211</v>
      </c>
      <c r="U575" t="s">
        <v>1038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0</v>
      </c>
      <c r="AG575">
        <v>0</v>
      </c>
    </row>
    <row r="576" spans="1:33" x14ac:dyDescent="0.25">
      <c r="A576">
        <v>401</v>
      </c>
      <c r="B576" t="s">
        <v>1062</v>
      </c>
      <c r="C576" t="s">
        <v>638</v>
      </c>
      <c r="D576" t="s">
        <v>1063</v>
      </c>
      <c r="E576" t="s">
        <v>815</v>
      </c>
      <c r="F576" s="2">
        <v>46178</v>
      </c>
      <c r="G576" s="2">
        <v>46188</v>
      </c>
      <c r="H576" s="4">
        <v>0</v>
      </c>
      <c r="L576" t="s">
        <v>144</v>
      </c>
      <c r="M576" t="s">
        <v>148</v>
      </c>
      <c r="N576" s="1">
        <v>46181</v>
      </c>
      <c r="P576" t="s">
        <v>636</v>
      </c>
      <c r="Q576" t="s">
        <v>676</v>
      </c>
      <c r="R576" t="s">
        <v>55</v>
      </c>
      <c r="S576" s="1">
        <v>46171</v>
      </c>
      <c r="T576" s="1">
        <v>46181</v>
      </c>
      <c r="U576" t="s">
        <v>1038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0</v>
      </c>
      <c r="AG576">
        <v>0</v>
      </c>
    </row>
    <row r="577" spans="1:33" x14ac:dyDescent="0.25">
      <c r="A577">
        <v>411</v>
      </c>
      <c r="B577" t="s">
        <v>1064</v>
      </c>
      <c r="C577" t="s">
        <v>638</v>
      </c>
      <c r="D577" t="s">
        <v>1065</v>
      </c>
      <c r="E577" t="s">
        <v>815</v>
      </c>
      <c r="F577" s="2">
        <v>46183</v>
      </c>
      <c r="G577" s="2">
        <v>46191</v>
      </c>
      <c r="H577" s="4">
        <v>0</v>
      </c>
      <c r="L577" t="s">
        <v>144</v>
      </c>
      <c r="M577" t="s">
        <v>218</v>
      </c>
      <c r="N577" s="1">
        <v>46184</v>
      </c>
      <c r="P577" t="s">
        <v>636</v>
      </c>
      <c r="Q577" t="s">
        <v>676</v>
      </c>
      <c r="R577" t="s">
        <v>55</v>
      </c>
      <c r="S577" s="1">
        <v>46176</v>
      </c>
      <c r="T577" s="1">
        <v>46184</v>
      </c>
      <c r="U577" t="s">
        <v>1038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0</v>
      </c>
      <c r="AG577">
        <v>0</v>
      </c>
    </row>
    <row r="578" spans="1:33" x14ac:dyDescent="0.25">
      <c r="A578">
        <v>432</v>
      </c>
      <c r="B578" t="s">
        <v>717</v>
      </c>
      <c r="C578" t="s">
        <v>701</v>
      </c>
      <c r="D578" t="s">
        <v>1066</v>
      </c>
      <c r="E578" t="s">
        <v>103</v>
      </c>
      <c r="F578" s="2">
        <v>46195</v>
      </c>
      <c r="G578" s="2">
        <v>46202</v>
      </c>
      <c r="H578" s="4">
        <v>0</v>
      </c>
      <c r="L578" t="s">
        <v>144</v>
      </c>
      <c r="M578" t="s">
        <v>296</v>
      </c>
      <c r="N578" s="1">
        <v>46196</v>
      </c>
      <c r="P578" t="s">
        <v>699</v>
      </c>
      <c r="Q578" t="s">
        <v>676</v>
      </c>
      <c r="R578" t="s">
        <v>55</v>
      </c>
      <c r="S578" s="1">
        <v>46188</v>
      </c>
      <c r="T578" s="1">
        <v>46196</v>
      </c>
      <c r="U578" t="s">
        <v>1038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</row>
    <row r="579" spans="1:33" x14ac:dyDescent="0.25">
      <c r="A579">
        <v>437</v>
      </c>
      <c r="B579" t="s">
        <v>1067</v>
      </c>
      <c r="C579" t="s">
        <v>701</v>
      </c>
      <c r="D579" t="s">
        <v>1068</v>
      </c>
      <c r="E579" t="s">
        <v>103</v>
      </c>
      <c r="F579" s="2">
        <v>46202</v>
      </c>
      <c r="G579" s="2">
        <v>46209</v>
      </c>
      <c r="H579" s="4">
        <v>0</v>
      </c>
      <c r="L579" t="s">
        <v>144</v>
      </c>
      <c r="M579" t="s">
        <v>418</v>
      </c>
      <c r="N579" s="1">
        <v>46204</v>
      </c>
      <c r="P579" t="s">
        <v>699</v>
      </c>
      <c r="Q579" t="s">
        <v>676</v>
      </c>
      <c r="R579" t="s">
        <v>55</v>
      </c>
      <c r="S579" s="1">
        <v>46196</v>
      </c>
      <c r="T579" s="1">
        <v>46204</v>
      </c>
      <c r="U579" t="s">
        <v>1038</v>
      </c>
      <c r="V579">
        <v>0</v>
      </c>
      <c r="W579">
        <v>0</v>
      </c>
      <c r="X579">
        <v>0</v>
      </c>
      <c r="Y579">
        <v>0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</row>
    <row r="580" spans="1:33" x14ac:dyDescent="0.25">
      <c r="A580">
        <v>487</v>
      </c>
      <c r="B580" t="s">
        <v>786</v>
      </c>
      <c r="C580" t="s">
        <v>701</v>
      </c>
      <c r="D580" t="s">
        <v>1069</v>
      </c>
      <c r="E580" t="s">
        <v>103</v>
      </c>
      <c r="F580" s="2">
        <v>46202</v>
      </c>
      <c r="G580" s="2">
        <v>46209</v>
      </c>
      <c r="H580" s="4">
        <v>0</v>
      </c>
      <c r="L580" t="s">
        <v>144</v>
      </c>
      <c r="M580" t="s">
        <v>418</v>
      </c>
      <c r="N580" s="1">
        <v>46204</v>
      </c>
      <c r="P580" t="s">
        <v>699</v>
      </c>
      <c r="Q580" t="s">
        <v>676</v>
      </c>
      <c r="R580" t="s">
        <v>55</v>
      </c>
      <c r="S580" s="1">
        <v>46196</v>
      </c>
      <c r="T580" s="1">
        <v>46204</v>
      </c>
      <c r="U580" t="s">
        <v>1038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</row>
    <row r="581" spans="1:33" x14ac:dyDescent="0.25">
      <c r="A581">
        <v>492</v>
      </c>
      <c r="B581" t="s">
        <v>1070</v>
      </c>
      <c r="C581" t="s">
        <v>701</v>
      </c>
      <c r="D581" t="s">
        <v>1071</v>
      </c>
      <c r="E581" t="s">
        <v>103</v>
      </c>
      <c r="F581" s="2">
        <v>46202</v>
      </c>
      <c r="G581" s="2">
        <v>46209</v>
      </c>
      <c r="H581" s="4">
        <v>0</v>
      </c>
      <c r="L581" t="s">
        <v>144</v>
      </c>
      <c r="M581" t="s">
        <v>418</v>
      </c>
      <c r="N581" s="1">
        <v>46204</v>
      </c>
      <c r="P581" t="s">
        <v>699</v>
      </c>
      <c r="Q581" t="s">
        <v>676</v>
      </c>
      <c r="R581" t="s">
        <v>55</v>
      </c>
      <c r="S581" s="1">
        <v>46196</v>
      </c>
      <c r="T581" s="1">
        <v>46204</v>
      </c>
      <c r="U581" t="s">
        <v>1038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</row>
  </sheetData>
  <pageMargins left="0.75" right="0.75" top="1" bottom="1" header="0.5" footer="0.5"/>
  <headerFooter>
    <oddFooter>&amp;C_x000D_&amp;1#&amp;"Aptos"&amp;11&amp;K000000 BV_C2_Internal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4"/>
  <sheetViews>
    <sheetView zoomScale="70" zoomScaleNormal="70" workbookViewId="0">
      <selection activeCell="G32" sqref="G32"/>
    </sheetView>
  </sheetViews>
  <sheetFormatPr defaultColWidth="21.5703125" defaultRowHeight="15" x14ac:dyDescent="0.25"/>
  <cols>
    <col min="1" max="1" width="35.85546875" style="17" bestFit="1" customWidth="1"/>
    <col min="2" max="16384" width="21.5703125" style="17"/>
  </cols>
  <sheetData>
    <row r="1" spans="1:8" x14ac:dyDescent="0.25">
      <c r="A1" s="17" t="s">
        <v>1072</v>
      </c>
      <c r="B1" s="17">
        <v>108</v>
      </c>
    </row>
    <row r="2" spans="1:8" x14ac:dyDescent="0.25">
      <c r="A2" s="17" t="s">
        <v>1073</v>
      </c>
      <c r="B2" s="18">
        <v>0.5092592592592593</v>
      </c>
    </row>
    <row r="3" spans="1:8" ht="30" x14ac:dyDescent="0.25">
      <c r="A3" s="17" t="s">
        <v>15</v>
      </c>
      <c r="B3" s="17" t="s">
        <v>22</v>
      </c>
      <c r="C3" s="17" t="s">
        <v>23</v>
      </c>
      <c r="D3" s="17" t="s">
        <v>1074</v>
      </c>
      <c r="E3" s="17" t="s">
        <v>26</v>
      </c>
      <c r="F3" s="17" t="s">
        <v>28</v>
      </c>
      <c r="G3" s="17" t="s">
        <v>30</v>
      </c>
      <c r="H3" s="17" t="s">
        <v>1075</v>
      </c>
    </row>
    <row r="4" spans="1:8" x14ac:dyDescent="0.25">
      <c r="A4" s="17" t="s">
        <v>699</v>
      </c>
      <c r="B4" s="17">
        <v>42</v>
      </c>
      <c r="C4" s="17">
        <v>33</v>
      </c>
      <c r="D4" s="18">
        <v>0.7857142857142857</v>
      </c>
      <c r="E4" s="17">
        <v>3</v>
      </c>
      <c r="F4" s="17">
        <v>0</v>
      </c>
      <c r="G4" s="17">
        <v>0</v>
      </c>
      <c r="H4" s="18">
        <v>0</v>
      </c>
    </row>
    <row r="5" spans="1:8" x14ac:dyDescent="0.25">
      <c r="A5" s="17" t="s">
        <v>1018</v>
      </c>
      <c r="B5" s="17">
        <v>2</v>
      </c>
      <c r="C5" s="17">
        <v>0</v>
      </c>
      <c r="D5" s="18">
        <v>0</v>
      </c>
      <c r="E5" s="17">
        <v>0</v>
      </c>
      <c r="F5" s="17">
        <v>0</v>
      </c>
      <c r="G5" s="17">
        <v>0</v>
      </c>
      <c r="H5" s="18">
        <v>0</v>
      </c>
    </row>
    <row r="6" spans="1:8" x14ac:dyDescent="0.25">
      <c r="A6" s="17" t="s">
        <v>132</v>
      </c>
      <c r="B6" s="17">
        <v>3</v>
      </c>
      <c r="C6" s="17">
        <v>1</v>
      </c>
      <c r="D6" s="18">
        <v>0.33333333333333331</v>
      </c>
      <c r="E6" s="17">
        <v>1</v>
      </c>
      <c r="F6" s="17">
        <v>0</v>
      </c>
      <c r="G6" s="17">
        <v>0</v>
      </c>
      <c r="H6" s="18">
        <v>0</v>
      </c>
    </row>
    <row r="7" spans="1:8" x14ac:dyDescent="0.25">
      <c r="A7" s="17" t="s">
        <v>636</v>
      </c>
      <c r="B7" s="17">
        <v>5</v>
      </c>
      <c r="C7" s="17">
        <v>2</v>
      </c>
      <c r="D7" s="18">
        <v>0.4</v>
      </c>
      <c r="E7" s="17">
        <v>2</v>
      </c>
      <c r="F7" s="17">
        <v>0</v>
      </c>
      <c r="G7" s="17">
        <v>0</v>
      </c>
      <c r="H7" s="18">
        <v>0</v>
      </c>
    </row>
    <row r="8" spans="1:8" x14ac:dyDescent="0.25">
      <c r="A8" s="17" t="s">
        <v>519</v>
      </c>
      <c r="B8" s="17">
        <v>14</v>
      </c>
      <c r="C8" s="17">
        <v>0</v>
      </c>
      <c r="D8" s="18">
        <v>0</v>
      </c>
      <c r="E8" s="17">
        <v>0</v>
      </c>
      <c r="F8" s="17">
        <v>0</v>
      </c>
      <c r="G8" s="17">
        <v>0</v>
      </c>
      <c r="H8" s="18">
        <v>0</v>
      </c>
    </row>
    <row r="9" spans="1:8" x14ac:dyDescent="0.25">
      <c r="A9" s="17" t="s">
        <v>37</v>
      </c>
      <c r="B9" s="17">
        <v>0</v>
      </c>
      <c r="C9" s="17">
        <v>0</v>
      </c>
      <c r="D9" s="18">
        <v>0</v>
      </c>
      <c r="E9" s="17">
        <v>0</v>
      </c>
      <c r="F9" s="17">
        <v>0</v>
      </c>
      <c r="G9" s="17">
        <v>0</v>
      </c>
      <c r="H9" s="18">
        <v>0</v>
      </c>
    </row>
    <row r="10" spans="1:8" x14ac:dyDescent="0.25">
      <c r="A10" s="17" t="s">
        <v>49</v>
      </c>
      <c r="B10" s="17">
        <v>0</v>
      </c>
      <c r="C10" s="17">
        <v>0</v>
      </c>
      <c r="D10" s="18">
        <v>0</v>
      </c>
      <c r="E10" s="17">
        <v>0</v>
      </c>
      <c r="F10" s="17">
        <v>0</v>
      </c>
      <c r="G10" s="17">
        <v>0</v>
      </c>
      <c r="H10" s="18">
        <v>0</v>
      </c>
    </row>
    <row r="11" spans="1:8" x14ac:dyDescent="0.25">
      <c r="A11" s="17" t="s">
        <v>197</v>
      </c>
      <c r="B11" s="17">
        <v>25</v>
      </c>
      <c r="C11" s="17">
        <v>15</v>
      </c>
      <c r="D11" s="18">
        <v>0.6</v>
      </c>
      <c r="E11" s="17">
        <v>4</v>
      </c>
      <c r="F11" s="17">
        <v>1</v>
      </c>
      <c r="G11" s="17">
        <v>1</v>
      </c>
      <c r="H11" s="18">
        <v>0.04</v>
      </c>
    </row>
    <row r="12" spans="1:8" x14ac:dyDescent="0.25">
      <c r="A12" s="17" t="s">
        <v>81</v>
      </c>
      <c r="B12" s="17">
        <v>0</v>
      </c>
      <c r="C12" s="17">
        <v>0</v>
      </c>
      <c r="D12" s="18">
        <v>0</v>
      </c>
      <c r="E12" s="17">
        <v>0</v>
      </c>
      <c r="F12" s="17">
        <v>0</v>
      </c>
      <c r="G12" s="17">
        <v>0</v>
      </c>
      <c r="H12" s="18">
        <v>0</v>
      </c>
    </row>
    <row r="13" spans="1:8" x14ac:dyDescent="0.25">
      <c r="A13" s="17" t="s">
        <v>88</v>
      </c>
      <c r="B13" s="17">
        <v>2</v>
      </c>
      <c r="C13" s="17">
        <v>2</v>
      </c>
      <c r="D13" s="18">
        <v>1</v>
      </c>
      <c r="E13" s="17">
        <v>2</v>
      </c>
      <c r="F13" s="17">
        <v>2</v>
      </c>
      <c r="G13" s="17">
        <v>2</v>
      </c>
      <c r="H13" s="18">
        <v>1</v>
      </c>
    </row>
    <row r="14" spans="1:8" x14ac:dyDescent="0.25">
      <c r="A14" s="17" t="s">
        <v>178</v>
      </c>
      <c r="B14" s="17">
        <v>1</v>
      </c>
      <c r="C14" s="17">
        <v>1</v>
      </c>
      <c r="D14" s="18">
        <v>1</v>
      </c>
      <c r="E14" s="17">
        <v>1</v>
      </c>
      <c r="F14" s="17">
        <v>0</v>
      </c>
      <c r="G14" s="17">
        <v>0</v>
      </c>
      <c r="H14" s="18">
        <v>0</v>
      </c>
    </row>
    <row r="15" spans="1:8" x14ac:dyDescent="0.25">
      <c r="A15" s="17" t="s">
        <v>405</v>
      </c>
      <c r="B15" s="17">
        <v>14</v>
      </c>
      <c r="C15" s="17">
        <v>1</v>
      </c>
      <c r="D15" s="18">
        <v>7.1428571428571425E-2</v>
      </c>
      <c r="E15" s="17">
        <v>1</v>
      </c>
      <c r="F15" s="17">
        <v>0</v>
      </c>
      <c r="G15" s="17">
        <v>0</v>
      </c>
      <c r="H15" s="18">
        <v>0</v>
      </c>
    </row>
    <row r="16" spans="1:8" x14ac:dyDescent="0.25">
      <c r="A16" s="17" t="s">
        <v>1091</v>
      </c>
      <c r="B16" s="17">
        <f>SUBTOTAL(109,Tabela7[Emissão inicial total])</f>
        <v>108</v>
      </c>
      <c r="C16" s="17">
        <f>SUBTOTAL(109,Tabela7[Emissão inicial concluída])</f>
        <v>55</v>
      </c>
      <c r="D16" s="18"/>
      <c r="E16" s="17">
        <f>SUBTOTAL(109,Tabela7[Avaliação do cliente concluída])</f>
        <v>14</v>
      </c>
      <c r="F16" s="17">
        <f>SUBTOTAL(109,Tabela7[Atendimento de comentário concluído])</f>
        <v>3</v>
      </c>
      <c r="G16" s="17">
        <f>SUBTOTAL(109,Tabela7[Aprovação concluída])</f>
        <v>3</v>
      </c>
      <c r="H16" s="18"/>
    </row>
    <row r="21" spans="1:5" ht="30" x14ac:dyDescent="0.25">
      <c r="A21" s="17" t="s">
        <v>15</v>
      </c>
      <c r="B21" s="17" t="s">
        <v>24</v>
      </c>
      <c r="C21" s="17" t="s">
        <v>27</v>
      </c>
      <c r="D21" s="17" t="s">
        <v>29</v>
      </c>
      <c r="E21" s="17" t="s">
        <v>31</v>
      </c>
    </row>
    <row r="22" spans="1:5" x14ac:dyDescent="0.25">
      <c r="A22" s="17" t="s">
        <v>699</v>
      </c>
      <c r="B22" s="17">
        <v>9</v>
      </c>
      <c r="C22" s="17">
        <v>31</v>
      </c>
      <c r="D22" s="17">
        <v>34</v>
      </c>
      <c r="E22" s="17">
        <v>33</v>
      </c>
    </row>
    <row r="23" spans="1:5" x14ac:dyDescent="0.25">
      <c r="A23" s="17" t="s">
        <v>1018</v>
      </c>
      <c r="B23" s="17">
        <v>0</v>
      </c>
      <c r="C23" s="17">
        <v>0</v>
      </c>
      <c r="D23" s="17">
        <v>0</v>
      </c>
      <c r="E23" s="17">
        <v>0</v>
      </c>
    </row>
    <row r="24" spans="1:5" x14ac:dyDescent="0.25">
      <c r="A24" s="17" t="s">
        <v>132</v>
      </c>
      <c r="B24" s="17">
        <v>0</v>
      </c>
      <c r="C24" s="17">
        <v>0</v>
      </c>
      <c r="D24" s="17">
        <v>0</v>
      </c>
      <c r="E24" s="17">
        <v>0</v>
      </c>
    </row>
    <row r="25" spans="1:5" x14ac:dyDescent="0.25">
      <c r="A25" s="17" t="s">
        <v>636</v>
      </c>
      <c r="B25" s="17">
        <v>0</v>
      </c>
      <c r="C25" s="17">
        <v>0</v>
      </c>
      <c r="D25" s="17">
        <v>2</v>
      </c>
      <c r="E25" s="17">
        <v>2</v>
      </c>
    </row>
    <row r="26" spans="1:5" x14ac:dyDescent="0.25">
      <c r="A26" s="17" t="s">
        <v>519</v>
      </c>
      <c r="B26" s="17">
        <v>1</v>
      </c>
      <c r="C26" s="17">
        <v>0</v>
      </c>
      <c r="D26" s="17">
        <v>0</v>
      </c>
      <c r="E26" s="17">
        <v>0</v>
      </c>
    </row>
    <row r="27" spans="1:5" x14ac:dyDescent="0.25">
      <c r="A27" s="17" t="s">
        <v>37</v>
      </c>
      <c r="B27" s="17">
        <v>0</v>
      </c>
      <c r="C27" s="17">
        <v>0</v>
      </c>
      <c r="D27" s="17">
        <v>0</v>
      </c>
      <c r="E27" s="17">
        <v>0</v>
      </c>
    </row>
    <row r="28" spans="1:5" x14ac:dyDescent="0.25">
      <c r="A28" s="17" t="s">
        <v>49</v>
      </c>
      <c r="B28" s="17">
        <v>0</v>
      </c>
      <c r="C28" s="17">
        <v>0</v>
      </c>
      <c r="D28" s="17">
        <v>0</v>
      </c>
      <c r="E28" s="17">
        <v>0</v>
      </c>
    </row>
    <row r="29" spans="1:5" x14ac:dyDescent="0.25">
      <c r="A29" s="17" t="s">
        <v>197</v>
      </c>
      <c r="B29" s="17">
        <v>1</v>
      </c>
      <c r="C29" s="17">
        <v>12</v>
      </c>
      <c r="D29" s="17">
        <v>9</v>
      </c>
      <c r="E29" s="17">
        <v>8</v>
      </c>
    </row>
    <row r="30" spans="1:5" x14ac:dyDescent="0.25">
      <c r="A30" s="17" t="s">
        <v>81</v>
      </c>
      <c r="B30" s="17">
        <v>0</v>
      </c>
      <c r="C30" s="17">
        <v>0</v>
      </c>
      <c r="D30" s="17">
        <v>0</v>
      </c>
      <c r="E30" s="17">
        <v>0</v>
      </c>
    </row>
    <row r="31" spans="1:5" x14ac:dyDescent="0.25">
      <c r="A31" s="17" t="s">
        <v>88</v>
      </c>
      <c r="B31" s="17">
        <v>0</v>
      </c>
      <c r="C31" s="17">
        <v>0</v>
      </c>
      <c r="D31" s="17">
        <v>0</v>
      </c>
      <c r="E31" s="17">
        <v>0</v>
      </c>
    </row>
    <row r="32" spans="1:5" x14ac:dyDescent="0.25">
      <c r="A32" s="17" t="s">
        <v>178</v>
      </c>
      <c r="B32" s="17">
        <v>0</v>
      </c>
      <c r="C32" s="17">
        <v>0</v>
      </c>
      <c r="D32" s="17">
        <v>1</v>
      </c>
      <c r="E32" s="17">
        <v>0</v>
      </c>
    </row>
    <row r="33" spans="1:5" x14ac:dyDescent="0.25">
      <c r="A33" s="17" t="s">
        <v>405</v>
      </c>
      <c r="B33" s="17">
        <v>1</v>
      </c>
      <c r="C33" s="17">
        <v>0</v>
      </c>
      <c r="D33" s="17">
        <v>1</v>
      </c>
      <c r="E33" s="17">
        <v>1</v>
      </c>
    </row>
    <row r="34" spans="1:5" x14ac:dyDescent="0.25">
      <c r="A34" s="17" t="s">
        <v>1091</v>
      </c>
      <c r="B34" s="17">
        <f>SUBTOTAL(109,Tabela8[Emissão Inicial Atrasada])</f>
        <v>12</v>
      </c>
      <c r="C34" s="17">
        <f>SUBTOTAL(109,Tabela8[Avaliação Cliente Atrasada])</f>
        <v>43</v>
      </c>
      <c r="D34" s="17">
        <f>SUBTOTAL(109,Tabela8[Atendimento Atrasado])</f>
        <v>47</v>
      </c>
      <c r="E34" s="17">
        <f>SUBTOTAL(109,Tabela8[Aprovação Atrasada])</f>
        <v>44</v>
      </c>
    </row>
  </sheetData>
  <pageMargins left="0.75" right="0.75" top="1" bottom="1" header="0.5" footer="0.5"/>
  <headerFooter>
    <oddFooter>&amp;C_x000D_&amp;1#&amp;"Aptos"&amp;11&amp;K000000 BV_C2_Internal</oddFooter>
  </headerFooter>
  <drawing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16"/>
  <sheetViews>
    <sheetView topLeftCell="K1" workbookViewId="0">
      <selection activeCell="AE8" sqref="AE8"/>
    </sheetView>
  </sheetViews>
  <sheetFormatPr defaultColWidth="12.42578125" defaultRowHeight="15" x14ac:dyDescent="0.25"/>
  <cols>
    <col min="1" max="1" width="12.42578125" style="11"/>
    <col min="2" max="16384" width="12.42578125" style="12"/>
  </cols>
  <sheetData>
    <row r="1" spans="1:15" ht="60" x14ac:dyDescent="0.25">
      <c r="A1" s="11" t="s">
        <v>1076</v>
      </c>
      <c r="B1" s="12" t="s">
        <v>1077</v>
      </c>
      <c r="C1" s="12" t="s">
        <v>1078</v>
      </c>
      <c r="D1" s="12" t="s">
        <v>1079</v>
      </c>
      <c r="E1" s="12" t="s">
        <v>1080</v>
      </c>
      <c r="F1" s="12" t="s">
        <v>1081</v>
      </c>
      <c r="G1" s="12" t="s">
        <v>1082</v>
      </c>
      <c r="H1" s="12" t="s">
        <v>1083</v>
      </c>
      <c r="I1" s="12" t="s">
        <v>1084</v>
      </c>
      <c r="J1" s="12" t="s">
        <v>1085</v>
      </c>
      <c r="K1" s="12" t="s">
        <v>1086</v>
      </c>
      <c r="L1" s="12" t="s">
        <v>1087</v>
      </c>
      <c r="M1" s="12" t="s">
        <v>1088</v>
      </c>
      <c r="N1" s="12" t="s">
        <v>1089</v>
      </c>
      <c r="O1" s="12" t="s">
        <v>1090</v>
      </c>
    </row>
    <row r="2" spans="1:15" x14ac:dyDescent="0.25">
      <c r="A2" s="11">
        <v>46101</v>
      </c>
      <c r="B2" s="12">
        <v>0</v>
      </c>
      <c r="C2" s="12">
        <v>0</v>
      </c>
      <c r="D2" s="12">
        <v>0</v>
      </c>
      <c r="E2" s="12">
        <v>0</v>
      </c>
      <c r="F2" s="12">
        <v>0</v>
      </c>
      <c r="G2" s="12">
        <v>0</v>
      </c>
      <c r="H2" s="12">
        <v>0</v>
      </c>
      <c r="I2" s="12">
        <v>0</v>
      </c>
      <c r="J2" s="13">
        <v>0</v>
      </c>
      <c r="K2" s="13">
        <v>0</v>
      </c>
      <c r="L2" s="12">
        <v>0</v>
      </c>
      <c r="M2" s="13">
        <v>0</v>
      </c>
      <c r="N2" s="13">
        <v>0</v>
      </c>
      <c r="O2" s="12">
        <v>0</v>
      </c>
    </row>
    <row r="3" spans="1:15" x14ac:dyDescent="0.25">
      <c r="A3" s="11">
        <v>46102</v>
      </c>
      <c r="B3" s="12">
        <v>0</v>
      </c>
      <c r="C3" s="12">
        <v>0</v>
      </c>
      <c r="D3" s="12">
        <v>0</v>
      </c>
      <c r="E3" s="12">
        <v>0</v>
      </c>
      <c r="F3" s="12">
        <v>0</v>
      </c>
      <c r="G3" s="12">
        <v>0</v>
      </c>
      <c r="H3" s="12">
        <v>0</v>
      </c>
      <c r="I3" s="12">
        <v>0</v>
      </c>
      <c r="J3" s="13">
        <v>0</v>
      </c>
      <c r="K3" s="13">
        <v>0</v>
      </c>
      <c r="L3" s="12">
        <v>0</v>
      </c>
      <c r="M3" s="13">
        <v>0</v>
      </c>
      <c r="N3" s="13">
        <v>0</v>
      </c>
      <c r="O3" s="12">
        <v>0</v>
      </c>
    </row>
    <row r="4" spans="1:15" x14ac:dyDescent="0.25">
      <c r="A4" s="11">
        <v>46103</v>
      </c>
      <c r="B4" s="12">
        <v>0</v>
      </c>
      <c r="C4" s="12">
        <v>0</v>
      </c>
      <c r="D4" s="12">
        <v>0</v>
      </c>
      <c r="E4" s="12">
        <v>0</v>
      </c>
      <c r="F4" s="12">
        <v>0</v>
      </c>
      <c r="G4" s="12">
        <v>0</v>
      </c>
      <c r="H4" s="12">
        <v>0</v>
      </c>
      <c r="I4" s="12">
        <v>0</v>
      </c>
      <c r="J4" s="13">
        <v>0</v>
      </c>
      <c r="K4" s="13">
        <v>0</v>
      </c>
      <c r="L4" s="12">
        <v>0</v>
      </c>
      <c r="M4" s="13">
        <v>0</v>
      </c>
      <c r="N4" s="13">
        <v>0</v>
      </c>
      <c r="O4" s="12">
        <v>0</v>
      </c>
    </row>
    <row r="5" spans="1:15" x14ac:dyDescent="0.25">
      <c r="A5" s="11">
        <v>46104</v>
      </c>
      <c r="B5" s="12">
        <v>0</v>
      </c>
      <c r="C5" s="12">
        <v>0</v>
      </c>
      <c r="D5" s="12">
        <v>0</v>
      </c>
      <c r="E5" s="12">
        <v>0</v>
      </c>
      <c r="F5" s="12">
        <v>0</v>
      </c>
      <c r="G5" s="12">
        <v>0</v>
      </c>
      <c r="H5" s="12">
        <v>0</v>
      </c>
      <c r="I5" s="12">
        <v>0</v>
      </c>
      <c r="J5" s="13">
        <v>0</v>
      </c>
      <c r="K5" s="13">
        <v>0</v>
      </c>
      <c r="L5" s="12">
        <v>0</v>
      </c>
      <c r="M5" s="13">
        <v>0</v>
      </c>
      <c r="N5" s="13">
        <v>0</v>
      </c>
      <c r="O5" s="12">
        <v>0</v>
      </c>
    </row>
    <row r="6" spans="1:15" x14ac:dyDescent="0.25">
      <c r="A6" s="11">
        <v>46105</v>
      </c>
      <c r="B6" s="12">
        <v>0</v>
      </c>
      <c r="C6" s="12">
        <v>0</v>
      </c>
      <c r="D6" s="12">
        <v>0</v>
      </c>
      <c r="E6" s="12">
        <v>0</v>
      </c>
      <c r="F6" s="12">
        <v>0</v>
      </c>
      <c r="G6" s="12">
        <v>0</v>
      </c>
      <c r="H6" s="12">
        <v>0</v>
      </c>
      <c r="I6" s="12">
        <v>0</v>
      </c>
      <c r="J6" s="13">
        <v>0</v>
      </c>
      <c r="K6" s="13">
        <v>0</v>
      </c>
      <c r="L6" s="12">
        <v>0</v>
      </c>
      <c r="M6" s="13">
        <v>0</v>
      </c>
      <c r="N6" s="13">
        <v>0</v>
      </c>
      <c r="O6" s="12">
        <v>0</v>
      </c>
    </row>
    <row r="7" spans="1:15" x14ac:dyDescent="0.25">
      <c r="A7" s="11">
        <v>46106</v>
      </c>
      <c r="B7" s="12">
        <v>0</v>
      </c>
      <c r="C7" s="12">
        <v>0</v>
      </c>
      <c r="D7" s="12">
        <v>0</v>
      </c>
      <c r="E7" s="12">
        <v>0</v>
      </c>
      <c r="F7" s="12">
        <v>0</v>
      </c>
      <c r="G7" s="12">
        <v>0</v>
      </c>
      <c r="H7" s="12">
        <v>0</v>
      </c>
      <c r="I7" s="12">
        <v>0</v>
      </c>
      <c r="J7" s="13">
        <v>0</v>
      </c>
      <c r="K7" s="13">
        <v>0</v>
      </c>
      <c r="L7" s="12">
        <v>0</v>
      </c>
      <c r="M7" s="13">
        <v>0</v>
      </c>
      <c r="N7" s="13">
        <v>0</v>
      </c>
      <c r="O7" s="12">
        <v>0</v>
      </c>
    </row>
    <row r="8" spans="1:15" x14ac:dyDescent="0.25">
      <c r="A8" s="11">
        <v>46107</v>
      </c>
      <c r="B8" s="12">
        <v>0</v>
      </c>
      <c r="C8" s="12">
        <v>0</v>
      </c>
      <c r="D8" s="12">
        <v>0</v>
      </c>
      <c r="E8" s="12">
        <v>0</v>
      </c>
      <c r="F8" s="12">
        <v>0</v>
      </c>
      <c r="G8" s="12">
        <v>0</v>
      </c>
      <c r="H8" s="12">
        <v>0</v>
      </c>
      <c r="I8" s="12">
        <v>0</v>
      </c>
      <c r="J8" s="13">
        <v>0</v>
      </c>
      <c r="K8" s="13">
        <v>0</v>
      </c>
      <c r="L8" s="12">
        <v>0</v>
      </c>
      <c r="M8" s="13">
        <v>0</v>
      </c>
      <c r="N8" s="13">
        <v>0</v>
      </c>
      <c r="O8" s="12">
        <v>0</v>
      </c>
    </row>
    <row r="9" spans="1:15" x14ac:dyDescent="0.25">
      <c r="A9" s="11">
        <v>46108</v>
      </c>
      <c r="B9" s="12">
        <v>0</v>
      </c>
      <c r="C9" s="12">
        <v>0</v>
      </c>
      <c r="D9" s="12">
        <v>0</v>
      </c>
      <c r="E9" s="12">
        <v>0</v>
      </c>
      <c r="F9" s="12">
        <v>0</v>
      </c>
      <c r="G9" s="12">
        <v>0</v>
      </c>
      <c r="H9" s="12">
        <v>0</v>
      </c>
      <c r="I9" s="12">
        <v>0</v>
      </c>
      <c r="J9" s="13">
        <v>0</v>
      </c>
      <c r="K9" s="13">
        <v>0</v>
      </c>
      <c r="L9" s="12">
        <v>0</v>
      </c>
      <c r="M9" s="13">
        <v>0</v>
      </c>
      <c r="N9" s="13">
        <v>0</v>
      </c>
      <c r="O9" s="12">
        <v>0</v>
      </c>
    </row>
    <row r="10" spans="1:15" x14ac:dyDescent="0.25">
      <c r="A10" s="11">
        <v>46109</v>
      </c>
      <c r="B10" s="12">
        <v>0</v>
      </c>
      <c r="C10" s="12">
        <v>0</v>
      </c>
      <c r="D10" s="12">
        <v>0</v>
      </c>
      <c r="E10" s="12">
        <v>0</v>
      </c>
      <c r="F10" s="12">
        <v>0</v>
      </c>
      <c r="G10" s="12">
        <v>0</v>
      </c>
      <c r="H10" s="12">
        <v>0</v>
      </c>
      <c r="I10" s="12">
        <v>0</v>
      </c>
      <c r="J10" s="13">
        <v>0</v>
      </c>
      <c r="K10" s="13">
        <v>0</v>
      </c>
      <c r="L10" s="12">
        <v>0</v>
      </c>
      <c r="M10" s="13">
        <v>0</v>
      </c>
      <c r="N10" s="13">
        <v>0</v>
      </c>
      <c r="O10" s="12">
        <v>0</v>
      </c>
    </row>
    <row r="11" spans="1:15" x14ac:dyDescent="0.25">
      <c r="A11" s="11">
        <v>46110</v>
      </c>
      <c r="B11" s="12">
        <v>0</v>
      </c>
      <c r="C11" s="12">
        <v>0</v>
      </c>
      <c r="D11" s="12">
        <v>0</v>
      </c>
      <c r="E11" s="12">
        <v>0</v>
      </c>
      <c r="F11" s="12">
        <v>0</v>
      </c>
      <c r="G11" s="12">
        <v>0</v>
      </c>
      <c r="H11" s="12">
        <v>0</v>
      </c>
      <c r="I11" s="12">
        <v>0</v>
      </c>
      <c r="J11" s="13">
        <v>0</v>
      </c>
      <c r="K11" s="13">
        <v>0</v>
      </c>
      <c r="L11" s="12">
        <v>0</v>
      </c>
      <c r="M11" s="13">
        <v>0</v>
      </c>
      <c r="N11" s="13">
        <v>0</v>
      </c>
      <c r="O11" s="12">
        <v>0</v>
      </c>
    </row>
    <row r="12" spans="1:15" x14ac:dyDescent="0.25">
      <c r="A12" s="11">
        <v>46111</v>
      </c>
      <c r="B12" s="12">
        <v>0</v>
      </c>
      <c r="C12" s="12">
        <v>0</v>
      </c>
      <c r="D12" s="12">
        <v>0</v>
      </c>
      <c r="E12" s="12">
        <v>0</v>
      </c>
      <c r="F12" s="12">
        <v>0</v>
      </c>
      <c r="G12" s="12">
        <v>0</v>
      </c>
      <c r="H12" s="12">
        <v>0</v>
      </c>
      <c r="I12" s="12">
        <v>0</v>
      </c>
      <c r="J12" s="13">
        <v>0</v>
      </c>
      <c r="K12" s="13">
        <v>0</v>
      </c>
      <c r="L12" s="12">
        <v>0</v>
      </c>
      <c r="M12" s="13">
        <v>0</v>
      </c>
      <c r="N12" s="13">
        <v>0</v>
      </c>
      <c r="O12" s="12">
        <v>0</v>
      </c>
    </row>
    <row r="13" spans="1:15" x14ac:dyDescent="0.25">
      <c r="A13" s="11">
        <v>46112</v>
      </c>
      <c r="B13" s="12">
        <v>0</v>
      </c>
      <c r="C13" s="12">
        <v>0</v>
      </c>
      <c r="D13" s="12">
        <v>0</v>
      </c>
      <c r="E13" s="12">
        <v>0</v>
      </c>
      <c r="F13" s="12">
        <v>0</v>
      </c>
      <c r="G13" s="12">
        <v>0</v>
      </c>
      <c r="H13" s="12">
        <v>0</v>
      </c>
      <c r="I13" s="12">
        <v>0</v>
      </c>
      <c r="J13" s="13">
        <v>0</v>
      </c>
      <c r="K13" s="13">
        <v>0</v>
      </c>
      <c r="L13" s="12">
        <v>0</v>
      </c>
      <c r="M13" s="13">
        <v>0</v>
      </c>
      <c r="N13" s="13">
        <v>0</v>
      </c>
      <c r="O13" s="12">
        <v>0</v>
      </c>
    </row>
    <row r="14" spans="1:15" x14ac:dyDescent="0.25">
      <c r="A14" s="11">
        <v>46113</v>
      </c>
      <c r="B14" s="12">
        <v>0</v>
      </c>
      <c r="C14" s="12">
        <v>0</v>
      </c>
      <c r="D14" s="12">
        <v>0</v>
      </c>
      <c r="E14" s="12">
        <v>0</v>
      </c>
      <c r="F14" s="12">
        <v>0</v>
      </c>
      <c r="G14" s="12">
        <v>0</v>
      </c>
      <c r="H14" s="12">
        <v>0</v>
      </c>
      <c r="I14" s="12">
        <v>0</v>
      </c>
      <c r="J14" s="13">
        <v>0</v>
      </c>
      <c r="K14" s="13">
        <v>0</v>
      </c>
      <c r="L14" s="12">
        <v>0</v>
      </c>
      <c r="M14" s="13">
        <v>0</v>
      </c>
      <c r="N14" s="13">
        <v>0</v>
      </c>
      <c r="O14" s="12">
        <v>0</v>
      </c>
    </row>
    <row r="15" spans="1:15" x14ac:dyDescent="0.25">
      <c r="A15" s="11">
        <v>46114</v>
      </c>
      <c r="B15" s="12">
        <v>0</v>
      </c>
      <c r="C15" s="12">
        <v>0</v>
      </c>
      <c r="D15" s="12">
        <v>0</v>
      </c>
      <c r="E15" s="12">
        <v>0</v>
      </c>
      <c r="F15" s="12">
        <v>0</v>
      </c>
      <c r="G15" s="12">
        <v>0</v>
      </c>
      <c r="H15" s="12">
        <v>0</v>
      </c>
      <c r="I15" s="12">
        <v>0</v>
      </c>
      <c r="J15" s="13">
        <v>0</v>
      </c>
      <c r="K15" s="13">
        <v>0</v>
      </c>
      <c r="L15" s="12">
        <v>0</v>
      </c>
      <c r="M15" s="13">
        <v>0</v>
      </c>
      <c r="N15" s="13">
        <v>0</v>
      </c>
      <c r="O15" s="12">
        <v>0</v>
      </c>
    </row>
    <row r="16" spans="1:15" x14ac:dyDescent="0.25">
      <c r="A16" s="11">
        <v>46115</v>
      </c>
      <c r="B16" s="12">
        <v>0</v>
      </c>
      <c r="C16" s="12">
        <v>0</v>
      </c>
      <c r="D16" s="12">
        <v>0</v>
      </c>
      <c r="E16" s="12">
        <v>0</v>
      </c>
      <c r="F16" s="12">
        <v>0</v>
      </c>
      <c r="G16" s="12">
        <v>0</v>
      </c>
      <c r="H16" s="12">
        <v>0</v>
      </c>
      <c r="I16" s="12">
        <v>0</v>
      </c>
      <c r="J16" s="13">
        <v>0</v>
      </c>
      <c r="K16" s="13">
        <v>0</v>
      </c>
      <c r="L16" s="12">
        <v>0</v>
      </c>
      <c r="M16" s="13">
        <v>0</v>
      </c>
      <c r="N16" s="13">
        <v>0</v>
      </c>
      <c r="O16" s="12">
        <v>0</v>
      </c>
    </row>
    <row r="17" spans="1:15" x14ac:dyDescent="0.25">
      <c r="A17" s="11">
        <v>46116</v>
      </c>
      <c r="B17" s="12">
        <v>0</v>
      </c>
      <c r="C17" s="12">
        <v>0</v>
      </c>
      <c r="D17" s="12">
        <v>0</v>
      </c>
      <c r="E17" s="12">
        <v>0</v>
      </c>
      <c r="F17" s="12">
        <v>0</v>
      </c>
      <c r="G17" s="12">
        <v>0</v>
      </c>
      <c r="H17" s="12">
        <v>0</v>
      </c>
      <c r="I17" s="12">
        <v>0</v>
      </c>
      <c r="J17" s="13">
        <v>0</v>
      </c>
      <c r="K17" s="13">
        <v>0</v>
      </c>
      <c r="L17" s="12">
        <v>0</v>
      </c>
      <c r="M17" s="13">
        <v>0</v>
      </c>
      <c r="N17" s="13">
        <v>0</v>
      </c>
      <c r="O17" s="12">
        <v>0</v>
      </c>
    </row>
    <row r="18" spans="1:15" x14ac:dyDescent="0.25">
      <c r="A18" s="11">
        <v>46117</v>
      </c>
      <c r="B18" s="12">
        <v>0</v>
      </c>
      <c r="C18" s="12">
        <v>0</v>
      </c>
      <c r="D18" s="12">
        <v>0</v>
      </c>
      <c r="E18" s="12">
        <v>0</v>
      </c>
      <c r="F18" s="12">
        <v>0</v>
      </c>
      <c r="G18" s="12">
        <v>0</v>
      </c>
      <c r="H18" s="12">
        <v>0</v>
      </c>
      <c r="I18" s="12">
        <v>0</v>
      </c>
      <c r="J18" s="13">
        <v>0</v>
      </c>
      <c r="K18" s="13">
        <v>0</v>
      </c>
      <c r="L18" s="12">
        <v>0</v>
      </c>
      <c r="M18" s="13">
        <v>0</v>
      </c>
      <c r="N18" s="13">
        <v>0</v>
      </c>
      <c r="O18" s="12">
        <v>0</v>
      </c>
    </row>
    <row r="19" spans="1:15" x14ac:dyDescent="0.25">
      <c r="A19" s="11">
        <v>46118</v>
      </c>
      <c r="B19" s="12">
        <v>0</v>
      </c>
      <c r="C19" s="12">
        <v>0</v>
      </c>
      <c r="D19" s="12">
        <v>0</v>
      </c>
      <c r="E19" s="12">
        <v>0</v>
      </c>
      <c r="F19" s="12">
        <v>0</v>
      </c>
      <c r="G19" s="12">
        <v>0</v>
      </c>
      <c r="H19" s="12">
        <v>0</v>
      </c>
      <c r="I19" s="12">
        <v>0</v>
      </c>
      <c r="J19" s="13">
        <v>0</v>
      </c>
      <c r="K19" s="13">
        <v>0</v>
      </c>
      <c r="L19" s="12">
        <v>0</v>
      </c>
      <c r="M19" s="13">
        <v>0</v>
      </c>
      <c r="N19" s="13">
        <v>0</v>
      </c>
      <c r="O19" s="12">
        <v>0</v>
      </c>
    </row>
    <row r="20" spans="1:15" x14ac:dyDescent="0.25">
      <c r="A20" s="11">
        <v>46119</v>
      </c>
      <c r="B20" s="12">
        <v>0</v>
      </c>
      <c r="C20" s="12">
        <v>0</v>
      </c>
      <c r="D20" s="12">
        <v>0</v>
      </c>
      <c r="E20" s="12">
        <v>0</v>
      </c>
      <c r="F20" s="12">
        <v>0</v>
      </c>
      <c r="G20" s="12">
        <v>0</v>
      </c>
      <c r="H20" s="12">
        <v>0</v>
      </c>
      <c r="I20" s="12">
        <v>0</v>
      </c>
      <c r="J20" s="13">
        <v>0</v>
      </c>
      <c r="K20" s="13">
        <v>0</v>
      </c>
      <c r="L20" s="12">
        <v>0</v>
      </c>
      <c r="M20" s="13">
        <v>0</v>
      </c>
      <c r="N20" s="13">
        <v>0</v>
      </c>
      <c r="O20" s="12">
        <v>0</v>
      </c>
    </row>
    <row r="21" spans="1:15" x14ac:dyDescent="0.25">
      <c r="A21" s="11">
        <v>46120</v>
      </c>
      <c r="B21" s="12">
        <v>0</v>
      </c>
      <c r="C21" s="12">
        <v>0</v>
      </c>
      <c r="D21" s="12">
        <v>0</v>
      </c>
      <c r="E21" s="12">
        <v>0</v>
      </c>
      <c r="F21" s="12">
        <v>0</v>
      </c>
      <c r="G21" s="12">
        <v>0</v>
      </c>
      <c r="H21" s="12">
        <v>0</v>
      </c>
      <c r="I21" s="12">
        <v>0</v>
      </c>
      <c r="J21" s="13">
        <v>0</v>
      </c>
      <c r="K21" s="13">
        <v>0</v>
      </c>
      <c r="L21" s="12">
        <v>0</v>
      </c>
      <c r="M21" s="13">
        <v>0</v>
      </c>
      <c r="N21" s="13">
        <v>0</v>
      </c>
      <c r="O21" s="12">
        <v>0</v>
      </c>
    </row>
    <row r="22" spans="1:15" x14ac:dyDescent="0.25">
      <c r="A22" s="11">
        <v>46121</v>
      </c>
      <c r="B22" s="12">
        <v>0</v>
      </c>
      <c r="C22" s="12">
        <v>0</v>
      </c>
      <c r="D22" s="12">
        <v>0</v>
      </c>
      <c r="E22" s="12">
        <v>0</v>
      </c>
      <c r="F22" s="12">
        <v>0</v>
      </c>
      <c r="G22" s="12">
        <v>0</v>
      </c>
      <c r="H22" s="12">
        <v>0</v>
      </c>
      <c r="I22" s="12">
        <v>0</v>
      </c>
      <c r="J22" s="13">
        <v>0</v>
      </c>
      <c r="K22" s="13">
        <v>0</v>
      </c>
      <c r="L22" s="12">
        <v>0</v>
      </c>
      <c r="M22" s="13">
        <v>0</v>
      </c>
      <c r="N22" s="13">
        <v>0</v>
      </c>
      <c r="O22" s="12">
        <v>0</v>
      </c>
    </row>
    <row r="23" spans="1:15" x14ac:dyDescent="0.25">
      <c r="A23" s="11">
        <v>46122</v>
      </c>
      <c r="B23" s="12">
        <v>0</v>
      </c>
      <c r="C23" s="12">
        <v>0</v>
      </c>
      <c r="D23" s="12">
        <v>0</v>
      </c>
      <c r="E23" s="12">
        <v>0</v>
      </c>
      <c r="F23" s="12">
        <v>0</v>
      </c>
      <c r="G23" s="12">
        <v>0</v>
      </c>
      <c r="H23" s="12">
        <v>0</v>
      </c>
      <c r="I23" s="12">
        <v>0</v>
      </c>
      <c r="J23" s="13">
        <v>0</v>
      </c>
      <c r="K23" s="13">
        <v>0</v>
      </c>
      <c r="L23" s="12">
        <v>0</v>
      </c>
      <c r="M23" s="13">
        <v>0</v>
      </c>
      <c r="N23" s="13">
        <v>0</v>
      </c>
      <c r="O23" s="12">
        <v>0</v>
      </c>
    </row>
    <row r="24" spans="1:15" x14ac:dyDescent="0.25">
      <c r="A24" s="11">
        <v>46123</v>
      </c>
      <c r="B24" s="12">
        <v>0</v>
      </c>
      <c r="C24" s="12">
        <v>0</v>
      </c>
      <c r="D24" s="12">
        <v>0</v>
      </c>
      <c r="E24" s="12">
        <v>0</v>
      </c>
      <c r="F24" s="12">
        <v>0</v>
      </c>
      <c r="G24" s="12">
        <v>0</v>
      </c>
      <c r="H24" s="12">
        <v>0</v>
      </c>
      <c r="I24" s="12">
        <v>0</v>
      </c>
      <c r="J24" s="13">
        <v>0</v>
      </c>
      <c r="K24" s="13">
        <v>0</v>
      </c>
      <c r="L24" s="12">
        <v>0</v>
      </c>
      <c r="M24" s="13">
        <v>0</v>
      </c>
      <c r="N24" s="13">
        <v>0</v>
      </c>
      <c r="O24" s="12">
        <v>0</v>
      </c>
    </row>
    <row r="25" spans="1:15" x14ac:dyDescent="0.25">
      <c r="A25" s="11">
        <v>46124</v>
      </c>
      <c r="B25" s="12">
        <v>0</v>
      </c>
      <c r="C25" s="12">
        <v>0</v>
      </c>
      <c r="D25" s="12">
        <v>0</v>
      </c>
      <c r="E25" s="12">
        <v>0</v>
      </c>
      <c r="F25" s="12">
        <v>0</v>
      </c>
      <c r="G25" s="12">
        <v>0</v>
      </c>
      <c r="H25" s="12">
        <v>0</v>
      </c>
      <c r="I25" s="12">
        <v>0</v>
      </c>
      <c r="J25" s="13">
        <v>0</v>
      </c>
      <c r="K25" s="13">
        <v>0</v>
      </c>
      <c r="L25" s="12">
        <v>0</v>
      </c>
      <c r="M25" s="13">
        <v>0</v>
      </c>
      <c r="N25" s="13">
        <v>0</v>
      </c>
      <c r="O25" s="12">
        <v>0</v>
      </c>
    </row>
    <row r="26" spans="1:15" x14ac:dyDescent="0.25">
      <c r="A26" s="11">
        <v>46125</v>
      </c>
      <c r="B26" s="12">
        <v>0</v>
      </c>
      <c r="C26" s="12">
        <v>0</v>
      </c>
      <c r="D26" s="12">
        <v>0</v>
      </c>
      <c r="E26" s="12">
        <v>0</v>
      </c>
      <c r="F26" s="12">
        <v>0</v>
      </c>
      <c r="G26" s="12">
        <v>0</v>
      </c>
      <c r="H26" s="12">
        <v>0</v>
      </c>
      <c r="I26" s="12">
        <v>0</v>
      </c>
      <c r="J26" s="13">
        <v>0</v>
      </c>
      <c r="K26" s="13">
        <v>0</v>
      </c>
      <c r="L26" s="12">
        <v>0</v>
      </c>
      <c r="M26" s="13">
        <v>0</v>
      </c>
      <c r="N26" s="13">
        <v>0</v>
      </c>
      <c r="O26" s="12">
        <v>0</v>
      </c>
    </row>
    <row r="27" spans="1:15" x14ac:dyDescent="0.25">
      <c r="A27" s="11">
        <v>46126</v>
      </c>
      <c r="B27" s="12">
        <v>0</v>
      </c>
      <c r="C27" s="12">
        <v>0</v>
      </c>
      <c r="D27" s="12">
        <v>0</v>
      </c>
      <c r="E27" s="12">
        <v>0</v>
      </c>
      <c r="F27" s="12">
        <v>0</v>
      </c>
      <c r="G27" s="12">
        <v>0</v>
      </c>
      <c r="H27" s="12">
        <v>0</v>
      </c>
      <c r="I27" s="12">
        <v>0</v>
      </c>
      <c r="J27" s="13">
        <v>0</v>
      </c>
      <c r="K27" s="13">
        <v>0</v>
      </c>
      <c r="L27" s="12">
        <v>0</v>
      </c>
      <c r="M27" s="13">
        <v>0</v>
      </c>
      <c r="N27" s="13">
        <v>0</v>
      </c>
      <c r="O27" s="12">
        <v>0</v>
      </c>
    </row>
    <row r="28" spans="1:15" x14ac:dyDescent="0.25">
      <c r="A28" s="11">
        <v>46127</v>
      </c>
      <c r="B28" s="12">
        <v>0</v>
      </c>
      <c r="C28" s="12">
        <v>0</v>
      </c>
      <c r="D28" s="12">
        <v>0</v>
      </c>
      <c r="E28" s="12">
        <v>0</v>
      </c>
      <c r="F28" s="12">
        <v>0</v>
      </c>
      <c r="G28" s="12">
        <v>0</v>
      </c>
      <c r="H28" s="12">
        <v>0</v>
      </c>
      <c r="I28" s="12">
        <v>0</v>
      </c>
      <c r="J28" s="13">
        <v>0</v>
      </c>
      <c r="K28" s="13">
        <v>0</v>
      </c>
      <c r="L28" s="12">
        <v>0</v>
      </c>
      <c r="M28" s="13">
        <v>0</v>
      </c>
      <c r="N28" s="13">
        <v>0</v>
      </c>
      <c r="O28" s="12">
        <v>0</v>
      </c>
    </row>
    <row r="29" spans="1:15" x14ac:dyDescent="0.25">
      <c r="A29" s="11">
        <v>46128</v>
      </c>
      <c r="B29" s="12">
        <v>0</v>
      </c>
      <c r="C29" s="12">
        <v>0</v>
      </c>
      <c r="D29" s="12">
        <v>0</v>
      </c>
      <c r="E29" s="12">
        <v>0</v>
      </c>
      <c r="F29" s="12">
        <v>0</v>
      </c>
      <c r="G29" s="12">
        <v>0</v>
      </c>
      <c r="H29" s="12">
        <v>0</v>
      </c>
      <c r="I29" s="12">
        <v>0</v>
      </c>
      <c r="J29" s="13">
        <v>0</v>
      </c>
      <c r="K29" s="13">
        <v>0</v>
      </c>
      <c r="L29" s="12">
        <v>0</v>
      </c>
      <c r="M29" s="13">
        <v>0</v>
      </c>
      <c r="N29" s="13">
        <v>0</v>
      </c>
      <c r="O29" s="12">
        <v>0</v>
      </c>
    </row>
    <row r="30" spans="1:15" x14ac:dyDescent="0.25">
      <c r="A30" s="11">
        <v>46129</v>
      </c>
      <c r="B30" s="12">
        <v>0</v>
      </c>
      <c r="C30" s="12">
        <v>0</v>
      </c>
      <c r="D30" s="12">
        <v>0</v>
      </c>
      <c r="E30" s="12">
        <v>0</v>
      </c>
      <c r="F30" s="12">
        <v>0</v>
      </c>
      <c r="G30" s="12">
        <v>0</v>
      </c>
      <c r="H30" s="12">
        <v>0</v>
      </c>
      <c r="I30" s="12">
        <v>0</v>
      </c>
      <c r="J30" s="13">
        <v>0</v>
      </c>
      <c r="K30" s="13">
        <v>0</v>
      </c>
      <c r="L30" s="12">
        <v>0</v>
      </c>
      <c r="M30" s="13">
        <v>0</v>
      </c>
      <c r="N30" s="13">
        <v>0</v>
      </c>
      <c r="O30" s="12">
        <v>0</v>
      </c>
    </row>
    <row r="31" spans="1:15" x14ac:dyDescent="0.25">
      <c r="A31" s="11">
        <v>46130</v>
      </c>
      <c r="B31" s="12">
        <v>0</v>
      </c>
      <c r="C31" s="12">
        <v>0</v>
      </c>
      <c r="D31" s="12">
        <v>0</v>
      </c>
      <c r="E31" s="12">
        <v>0</v>
      </c>
      <c r="F31" s="12">
        <v>0</v>
      </c>
      <c r="G31" s="12">
        <v>0</v>
      </c>
      <c r="H31" s="12">
        <v>0</v>
      </c>
      <c r="I31" s="12">
        <v>0</v>
      </c>
      <c r="J31" s="13">
        <v>0</v>
      </c>
      <c r="K31" s="13">
        <v>0</v>
      </c>
      <c r="L31" s="12">
        <v>0</v>
      </c>
      <c r="M31" s="13">
        <v>0</v>
      </c>
      <c r="N31" s="13">
        <v>0</v>
      </c>
      <c r="O31" s="12">
        <v>0</v>
      </c>
    </row>
    <row r="32" spans="1:15" x14ac:dyDescent="0.25">
      <c r="A32" s="11">
        <v>46131</v>
      </c>
      <c r="B32" s="12">
        <v>0</v>
      </c>
      <c r="C32" s="12">
        <v>0</v>
      </c>
      <c r="D32" s="12">
        <v>0</v>
      </c>
      <c r="E32" s="12">
        <v>0</v>
      </c>
      <c r="F32" s="12">
        <v>0</v>
      </c>
      <c r="G32" s="12">
        <v>0</v>
      </c>
      <c r="H32" s="12">
        <v>0</v>
      </c>
      <c r="I32" s="12">
        <v>0</v>
      </c>
      <c r="J32" s="13">
        <v>0</v>
      </c>
      <c r="K32" s="13">
        <v>0</v>
      </c>
      <c r="L32" s="12">
        <v>0</v>
      </c>
      <c r="M32" s="13">
        <v>0</v>
      </c>
      <c r="N32" s="13">
        <v>0</v>
      </c>
      <c r="O32" s="12">
        <v>0</v>
      </c>
    </row>
    <row r="33" spans="1:15" x14ac:dyDescent="0.25">
      <c r="A33" s="11">
        <v>46132</v>
      </c>
      <c r="B33" s="12">
        <v>0</v>
      </c>
      <c r="C33" s="12">
        <v>0</v>
      </c>
      <c r="D33" s="12">
        <v>0</v>
      </c>
      <c r="E33" s="12">
        <v>0</v>
      </c>
      <c r="F33" s="12">
        <v>0</v>
      </c>
      <c r="G33" s="12">
        <v>0</v>
      </c>
      <c r="H33" s="12">
        <v>0</v>
      </c>
      <c r="I33" s="12">
        <v>0</v>
      </c>
      <c r="J33" s="13">
        <v>0</v>
      </c>
      <c r="K33" s="13">
        <v>0</v>
      </c>
      <c r="L33" s="12">
        <v>0</v>
      </c>
      <c r="M33" s="13">
        <v>0</v>
      </c>
      <c r="N33" s="13">
        <v>0</v>
      </c>
      <c r="O33" s="12">
        <v>0</v>
      </c>
    </row>
    <row r="34" spans="1:15" x14ac:dyDescent="0.25">
      <c r="A34" s="11">
        <v>46133</v>
      </c>
      <c r="B34" s="12">
        <v>0</v>
      </c>
      <c r="C34" s="12">
        <v>0</v>
      </c>
      <c r="D34" s="12">
        <v>0</v>
      </c>
      <c r="E34" s="12">
        <v>0</v>
      </c>
      <c r="F34" s="12">
        <v>0</v>
      </c>
      <c r="G34" s="12">
        <v>0</v>
      </c>
      <c r="H34" s="12">
        <v>0</v>
      </c>
      <c r="I34" s="12">
        <v>0</v>
      </c>
      <c r="J34" s="13">
        <v>0</v>
      </c>
      <c r="K34" s="13">
        <v>0</v>
      </c>
      <c r="L34" s="12">
        <v>0</v>
      </c>
      <c r="M34" s="13">
        <v>0</v>
      </c>
      <c r="N34" s="13">
        <v>0</v>
      </c>
      <c r="O34" s="12">
        <v>0</v>
      </c>
    </row>
    <row r="35" spans="1:15" x14ac:dyDescent="0.25">
      <c r="A35" s="11">
        <v>46134</v>
      </c>
      <c r="B35" s="12">
        <v>0</v>
      </c>
      <c r="C35" s="12">
        <v>0</v>
      </c>
      <c r="D35" s="12">
        <v>0</v>
      </c>
      <c r="E35" s="12">
        <v>0</v>
      </c>
      <c r="F35" s="12">
        <v>0</v>
      </c>
      <c r="G35" s="12">
        <v>0</v>
      </c>
      <c r="H35" s="12">
        <v>0</v>
      </c>
      <c r="I35" s="12">
        <v>0</v>
      </c>
      <c r="J35" s="13">
        <v>0</v>
      </c>
      <c r="K35" s="13">
        <v>0</v>
      </c>
      <c r="L35" s="12">
        <v>0</v>
      </c>
      <c r="M35" s="13">
        <v>0</v>
      </c>
      <c r="N35" s="13">
        <v>0</v>
      </c>
      <c r="O35" s="12">
        <v>0</v>
      </c>
    </row>
    <row r="36" spans="1:15" x14ac:dyDescent="0.25">
      <c r="A36" s="11">
        <v>46135</v>
      </c>
      <c r="B36" s="12">
        <v>0</v>
      </c>
      <c r="C36" s="12">
        <v>0</v>
      </c>
      <c r="D36" s="12">
        <v>0</v>
      </c>
      <c r="E36" s="12">
        <v>0</v>
      </c>
      <c r="F36" s="12">
        <v>0</v>
      </c>
      <c r="G36" s="12">
        <v>0</v>
      </c>
      <c r="H36" s="12">
        <v>0</v>
      </c>
      <c r="I36" s="12">
        <v>0</v>
      </c>
      <c r="J36" s="13">
        <v>0</v>
      </c>
      <c r="K36" s="13">
        <v>0</v>
      </c>
      <c r="L36" s="12">
        <v>0</v>
      </c>
      <c r="M36" s="13">
        <v>0</v>
      </c>
      <c r="N36" s="13">
        <v>0</v>
      </c>
      <c r="O36" s="12">
        <v>0</v>
      </c>
    </row>
    <row r="37" spans="1:15" x14ac:dyDescent="0.25">
      <c r="A37" s="11">
        <v>46136</v>
      </c>
      <c r="B37" s="12">
        <v>0</v>
      </c>
      <c r="C37" s="12">
        <v>0</v>
      </c>
      <c r="D37" s="12">
        <v>0</v>
      </c>
      <c r="E37" s="12">
        <v>0</v>
      </c>
      <c r="F37" s="12">
        <v>0</v>
      </c>
      <c r="G37" s="12">
        <v>0</v>
      </c>
      <c r="H37" s="12">
        <v>0</v>
      </c>
      <c r="I37" s="12">
        <v>0</v>
      </c>
      <c r="J37" s="13">
        <v>0</v>
      </c>
      <c r="K37" s="13">
        <v>0</v>
      </c>
      <c r="L37" s="12">
        <v>0</v>
      </c>
      <c r="M37" s="13">
        <v>0</v>
      </c>
      <c r="N37" s="13">
        <v>0</v>
      </c>
      <c r="O37" s="12">
        <v>0</v>
      </c>
    </row>
    <row r="38" spans="1:15" x14ac:dyDescent="0.25">
      <c r="A38" s="11">
        <v>46137</v>
      </c>
      <c r="B38" s="12">
        <v>0</v>
      </c>
      <c r="C38" s="12">
        <v>0</v>
      </c>
      <c r="D38" s="12">
        <v>0</v>
      </c>
      <c r="E38" s="12">
        <v>0</v>
      </c>
      <c r="F38" s="12">
        <v>0</v>
      </c>
      <c r="G38" s="12">
        <v>0</v>
      </c>
      <c r="H38" s="12">
        <v>0</v>
      </c>
      <c r="I38" s="12">
        <v>0</v>
      </c>
      <c r="J38" s="13">
        <v>0</v>
      </c>
      <c r="K38" s="13">
        <v>0</v>
      </c>
      <c r="L38" s="12">
        <v>0</v>
      </c>
      <c r="M38" s="13">
        <v>0</v>
      </c>
      <c r="N38" s="13">
        <v>0</v>
      </c>
      <c r="O38" s="12">
        <v>0</v>
      </c>
    </row>
    <row r="39" spans="1:15" x14ac:dyDescent="0.25">
      <c r="A39" s="11">
        <v>46138</v>
      </c>
      <c r="B39" s="12">
        <v>0</v>
      </c>
      <c r="C39" s="12">
        <v>0</v>
      </c>
      <c r="D39" s="12">
        <v>0</v>
      </c>
      <c r="E39" s="12">
        <v>0</v>
      </c>
      <c r="F39" s="12">
        <v>0</v>
      </c>
      <c r="G39" s="12">
        <v>0</v>
      </c>
      <c r="H39" s="12">
        <v>0</v>
      </c>
      <c r="I39" s="12">
        <v>0</v>
      </c>
      <c r="J39" s="13">
        <v>0</v>
      </c>
      <c r="K39" s="13">
        <v>0</v>
      </c>
      <c r="L39" s="12">
        <v>0</v>
      </c>
      <c r="M39" s="13">
        <v>0</v>
      </c>
      <c r="N39" s="13">
        <v>0</v>
      </c>
      <c r="O39" s="12">
        <v>0</v>
      </c>
    </row>
    <row r="40" spans="1:15" x14ac:dyDescent="0.25">
      <c r="A40" s="11">
        <v>46139</v>
      </c>
      <c r="B40" s="12">
        <v>0</v>
      </c>
      <c r="C40" s="12">
        <v>0</v>
      </c>
      <c r="D40" s="12">
        <v>0</v>
      </c>
      <c r="E40" s="12">
        <v>0</v>
      </c>
      <c r="F40" s="12">
        <v>0</v>
      </c>
      <c r="G40" s="12">
        <v>0</v>
      </c>
      <c r="H40" s="12">
        <v>0</v>
      </c>
      <c r="I40" s="12">
        <v>0</v>
      </c>
      <c r="J40" s="13">
        <v>0</v>
      </c>
      <c r="K40" s="13">
        <v>0</v>
      </c>
      <c r="L40" s="12">
        <v>0</v>
      </c>
      <c r="M40" s="13">
        <v>0</v>
      </c>
      <c r="N40" s="13">
        <v>0</v>
      </c>
      <c r="O40" s="12">
        <v>0</v>
      </c>
    </row>
    <row r="41" spans="1:15" x14ac:dyDescent="0.25">
      <c r="A41" s="11">
        <v>46140</v>
      </c>
      <c r="B41" s="12">
        <v>0</v>
      </c>
      <c r="C41" s="12">
        <v>0</v>
      </c>
      <c r="D41" s="12">
        <v>0</v>
      </c>
      <c r="E41" s="12">
        <v>0</v>
      </c>
      <c r="F41" s="12">
        <v>0</v>
      </c>
      <c r="G41" s="12">
        <v>0</v>
      </c>
      <c r="H41" s="12">
        <v>0</v>
      </c>
      <c r="I41" s="12">
        <v>0</v>
      </c>
      <c r="J41" s="13">
        <v>0</v>
      </c>
      <c r="K41" s="13">
        <v>0</v>
      </c>
      <c r="L41" s="12">
        <v>0</v>
      </c>
      <c r="M41" s="13">
        <v>0</v>
      </c>
      <c r="N41" s="13">
        <v>0</v>
      </c>
      <c r="O41" s="12">
        <v>0</v>
      </c>
    </row>
    <row r="42" spans="1:15" x14ac:dyDescent="0.25">
      <c r="A42" s="11">
        <v>46141</v>
      </c>
      <c r="B42" s="12">
        <v>2</v>
      </c>
      <c r="C42" s="12">
        <v>2</v>
      </c>
      <c r="D42" s="12">
        <v>2</v>
      </c>
      <c r="E42" s="12">
        <v>2</v>
      </c>
      <c r="F42" s="12">
        <v>0</v>
      </c>
      <c r="G42" s="12">
        <v>0</v>
      </c>
      <c r="H42" s="12">
        <v>0</v>
      </c>
      <c r="I42" s="12">
        <v>0</v>
      </c>
      <c r="J42" s="13">
        <v>1.8518518518518521E-2</v>
      </c>
      <c r="K42" s="13">
        <v>1.8518518518518521E-2</v>
      </c>
      <c r="L42" s="12">
        <v>0</v>
      </c>
      <c r="M42" s="13">
        <v>0</v>
      </c>
      <c r="N42" s="13">
        <v>0</v>
      </c>
      <c r="O42" s="12">
        <v>0</v>
      </c>
    </row>
    <row r="43" spans="1:15" x14ac:dyDescent="0.25">
      <c r="A43" s="11">
        <v>46142</v>
      </c>
      <c r="B43" s="12">
        <v>0</v>
      </c>
      <c r="C43" s="12">
        <v>2</v>
      </c>
      <c r="D43" s="12">
        <v>0</v>
      </c>
      <c r="E43" s="12">
        <v>2</v>
      </c>
      <c r="F43" s="12">
        <v>0</v>
      </c>
      <c r="G43" s="12">
        <v>0</v>
      </c>
      <c r="H43" s="12">
        <v>0</v>
      </c>
      <c r="I43" s="12">
        <v>0</v>
      </c>
      <c r="J43" s="13">
        <v>1.8518518518518521E-2</v>
      </c>
      <c r="K43" s="13">
        <v>1.8518518518518521E-2</v>
      </c>
      <c r="L43" s="12">
        <v>0</v>
      </c>
      <c r="M43" s="13">
        <v>0</v>
      </c>
      <c r="N43" s="13">
        <v>0</v>
      </c>
      <c r="O43" s="12">
        <v>0</v>
      </c>
    </row>
    <row r="44" spans="1:15" x14ac:dyDescent="0.25">
      <c r="A44" s="11">
        <v>46143</v>
      </c>
      <c r="B44" s="12">
        <v>0</v>
      </c>
      <c r="C44" s="12">
        <v>2</v>
      </c>
      <c r="D44" s="12">
        <v>0</v>
      </c>
      <c r="E44" s="12">
        <v>2</v>
      </c>
      <c r="F44" s="12">
        <v>0</v>
      </c>
      <c r="G44" s="12">
        <v>0</v>
      </c>
      <c r="H44" s="12">
        <v>0</v>
      </c>
      <c r="I44" s="12">
        <v>0</v>
      </c>
      <c r="J44" s="13">
        <v>1.8518518518518521E-2</v>
      </c>
      <c r="K44" s="13">
        <v>1.8518518518518521E-2</v>
      </c>
      <c r="L44" s="12">
        <v>0</v>
      </c>
      <c r="M44" s="13">
        <v>0</v>
      </c>
      <c r="N44" s="13">
        <v>0</v>
      </c>
      <c r="O44" s="12">
        <v>0</v>
      </c>
    </row>
    <row r="45" spans="1:15" x14ac:dyDescent="0.25">
      <c r="A45" s="11">
        <v>46144</v>
      </c>
      <c r="B45" s="12">
        <v>0</v>
      </c>
      <c r="C45" s="12">
        <v>2</v>
      </c>
      <c r="D45" s="12">
        <v>0</v>
      </c>
      <c r="E45" s="12">
        <v>2</v>
      </c>
      <c r="F45" s="12">
        <v>0</v>
      </c>
      <c r="G45" s="12">
        <v>0</v>
      </c>
      <c r="H45" s="12">
        <v>0</v>
      </c>
      <c r="I45" s="12">
        <v>0</v>
      </c>
      <c r="J45" s="13">
        <v>1.8518518518518521E-2</v>
      </c>
      <c r="K45" s="13">
        <v>1.8518518518518521E-2</v>
      </c>
      <c r="L45" s="12">
        <v>0</v>
      </c>
      <c r="M45" s="13">
        <v>0</v>
      </c>
      <c r="N45" s="13">
        <v>0</v>
      </c>
      <c r="O45" s="12">
        <v>0</v>
      </c>
    </row>
    <row r="46" spans="1:15" x14ac:dyDescent="0.25">
      <c r="A46" s="11">
        <v>46145</v>
      </c>
      <c r="B46" s="12">
        <v>0</v>
      </c>
      <c r="C46" s="12">
        <v>2</v>
      </c>
      <c r="D46" s="12">
        <v>0</v>
      </c>
      <c r="E46" s="12">
        <v>2</v>
      </c>
      <c r="F46" s="12">
        <v>0</v>
      </c>
      <c r="G46" s="12">
        <v>0</v>
      </c>
      <c r="H46" s="12">
        <v>0</v>
      </c>
      <c r="I46" s="12">
        <v>0</v>
      </c>
      <c r="J46" s="13">
        <v>1.8518518518518521E-2</v>
      </c>
      <c r="K46" s="13">
        <v>1.8518518518518521E-2</v>
      </c>
      <c r="L46" s="12">
        <v>0</v>
      </c>
      <c r="M46" s="13">
        <v>0</v>
      </c>
      <c r="N46" s="13">
        <v>0</v>
      </c>
      <c r="O46" s="12">
        <v>0</v>
      </c>
    </row>
    <row r="47" spans="1:15" x14ac:dyDescent="0.25">
      <c r="A47" s="11">
        <v>46146</v>
      </c>
      <c r="B47" s="12">
        <v>1</v>
      </c>
      <c r="C47" s="12">
        <v>3</v>
      </c>
      <c r="D47" s="12">
        <v>1</v>
      </c>
      <c r="E47" s="12">
        <v>3</v>
      </c>
      <c r="F47" s="12">
        <v>0</v>
      </c>
      <c r="G47" s="12">
        <v>0</v>
      </c>
      <c r="H47" s="12">
        <v>0</v>
      </c>
      <c r="I47" s="12">
        <v>0</v>
      </c>
      <c r="J47" s="13">
        <v>2.777777777777778E-2</v>
      </c>
      <c r="K47" s="13">
        <v>2.777777777777778E-2</v>
      </c>
      <c r="L47" s="12">
        <v>0</v>
      </c>
      <c r="M47" s="13">
        <v>0</v>
      </c>
      <c r="N47" s="13">
        <v>0</v>
      </c>
      <c r="O47" s="12">
        <v>0</v>
      </c>
    </row>
    <row r="48" spans="1:15" x14ac:dyDescent="0.25">
      <c r="A48" s="11">
        <v>46147</v>
      </c>
      <c r="B48" s="12">
        <v>0</v>
      </c>
      <c r="C48" s="12">
        <v>3</v>
      </c>
      <c r="D48" s="12">
        <v>0</v>
      </c>
      <c r="E48" s="12">
        <v>3</v>
      </c>
      <c r="F48" s="12">
        <v>0</v>
      </c>
      <c r="G48" s="12">
        <v>0</v>
      </c>
      <c r="H48" s="12">
        <v>0</v>
      </c>
      <c r="I48" s="12">
        <v>0</v>
      </c>
      <c r="J48" s="13">
        <v>2.777777777777778E-2</v>
      </c>
      <c r="K48" s="13">
        <v>2.777777777777778E-2</v>
      </c>
      <c r="L48" s="12">
        <v>0</v>
      </c>
      <c r="M48" s="13">
        <v>0</v>
      </c>
      <c r="N48" s="13">
        <v>0</v>
      </c>
      <c r="O48" s="12">
        <v>0</v>
      </c>
    </row>
    <row r="49" spans="1:15" x14ac:dyDescent="0.25">
      <c r="A49" s="11">
        <v>46148</v>
      </c>
      <c r="B49" s="12">
        <v>0</v>
      </c>
      <c r="C49" s="12">
        <v>3</v>
      </c>
      <c r="D49" s="12">
        <v>0</v>
      </c>
      <c r="E49" s="12">
        <v>3</v>
      </c>
      <c r="F49" s="12">
        <v>0</v>
      </c>
      <c r="G49" s="12">
        <v>0</v>
      </c>
      <c r="H49" s="12">
        <v>0</v>
      </c>
      <c r="I49" s="12">
        <v>0</v>
      </c>
      <c r="J49" s="13">
        <v>2.777777777777778E-2</v>
      </c>
      <c r="K49" s="13">
        <v>2.777777777777778E-2</v>
      </c>
      <c r="L49" s="12">
        <v>0</v>
      </c>
      <c r="M49" s="13">
        <v>0</v>
      </c>
      <c r="N49" s="13">
        <v>0</v>
      </c>
      <c r="O49" s="12">
        <v>0</v>
      </c>
    </row>
    <row r="50" spans="1:15" x14ac:dyDescent="0.25">
      <c r="A50" s="11">
        <v>46149</v>
      </c>
      <c r="B50" s="12">
        <v>0</v>
      </c>
      <c r="C50" s="12">
        <v>3</v>
      </c>
      <c r="D50" s="12">
        <v>0</v>
      </c>
      <c r="E50" s="12">
        <v>3</v>
      </c>
      <c r="F50" s="12">
        <v>0</v>
      </c>
      <c r="G50" s="12">
        <v>0</v>
      </c>
      <c r="H50" s="12">
        <v>0</v>
      </c>
      <c r="I50" s="12">
        <v>0</v>
      </c>
      <c r="J50" s="13">
        <v>2.777777777777778E-2</v>
      </c>
      <c r="K50" s="13">
        <v>2.777777777777778E-2</v>
      </c>
      <c r="L50" s="12">
        <v>0</v>
      </c>
      <c r="M50" s="13">
        <v>0</v>
      </c>
      <c r="N50" s="13">
        <v>0</v>
      </c>
      <c r="O50" s="12">
        <v>0</v>
      </c>
    </row>
    <row r="51" spans="1:15" x14ac:dyDescent="0.25">
      <c r="A51" s="11">
        <v>46150</v>
      </c>
      <c r="B51" s="12">
        <v>0</v>
      </c>
      <c r="C51" s="12">
        <v>3</v>
      </c>
      <c r="D51" s="12">
        <v>0</v>
      </c>
      <c r="E51" s="12">
        <v>3</v>
      </c>
      <c r="F51" s="12">
        <v>0</v>
      </c>
      <c r="G51" s="12">
        <v>0</v>
      </c>
      <c r="H51" s="12">
        <v>0</v>
      </c>
      <c r="I51" s="12">
        <v>0</v>
      </c>
      <c r="J51" s="13">
        <v>2.777777777777778E-2</v>
      </c>
      <c r="K51" s="13">
        <v>2.777777777777778E-2</v>
      </c>
      <c r="L51" s="12">
        <v>0</v>
      </c>
      <c r="M51" s="13">
        <v>0</v>
      </c>
      <c r="N51" s="13">
        <v>0</v>
      </c>
      <c r="O51" s="12">
        <v>0</v>
      </c>
    </row>
    <row r="52" spans="1:15" x14ac:dyDescent="0.25">
      <c r="A52" s="11">
        <v>46151</v>
      </c>
      <c r="B52" s="12">
        <v>0</v>
      </c>
      <c r="C52" s="12">
        <v>3</v>
      </c>
      <c r="D52" s="12">
        <v>0</v>
      </c>
      <c r="E52" s="12">
        <v>3</v>
      </c>
      <c r="F52" s="12">
        <v>0</v>
      </c>
      <c r="G52" s="12">
        <v>0</v>
      </c>
      <c r="H52" s="12">
        <v>0</v>
      </c>
      <c r="I52" s="12">
        <v>0</v>
      </c>
      <c r="J52" s="13">
        <v>2.777777777777778E-2</v>
      </c>
      <c r="K52" s="13">
        <v>2.777777777777778E-2</v>
      </c>
      <c r="L52" s="12">
        <v>0</v>
      </c>
      <c r="M52" s="13">
        <v>0</v>
      </c>
      <c r="N52" s="13">
        <v>0</v>
      </c>
      <c r="O52" s="12">
        <v>0</v>
      </c>
    </row>
    <row r="53" spans="1:15" x14ac:dyDescent="0.25">
      <c r="A53" s="11">
        <v>46152</v>
      </c>
      <c r="B53" s="12">
        <v>0</v>
      </c>
      <c r="C53" s="12">
        <v>3</v>
      </c>
      <c r="D53" s="12">
        <v>0</v>
      </c>
      <c r="E53" s="12">
        <v>3</v>
      </c>
      <c r="F53" s="12">
        <v>0</v>
      </c>
      <c r="G53" s="12">
        <v>0</v>
      </c>
      <c r="H53" s="12">
        <v>0</v>
      </c>
      <c r="I53" s="12">
        <v>0</v>
      </c>
      <c r="J53" s="13">
        <v>2.777777777777778E-2</v>
      </c>
      <c r="K53" s="13">
        <v>2.777777777777778E-2</v>
      </c>
      <c r="L53" s="12">
        <v>0</v>
      </c>
      <c r="M53" s="13">
        <v>0</v>
      </c>
      <c r="N53" s="13">
        <v>0</v>
      </c>
      <c r="O53" s="12">
        <v>0</v>
      </c>
    </row>
    <row r="54" spans="1:15" x14ac:dyDescent="0.25">
      <c r="A54" s="11">
        <v>46153</v>
      </c>
      <c r="B54" s="12">
        <v>0</v>
      </c>
      <c r="C54" s="12">
        <v>3</v>
      </c>
      <c r="D54" s="12">
        <v>0</v>
      </c>
      <c r="E54" s="12">
        <v>3</v>
      </c>
      <c r="F54" s="12">
        <v>0</v>
      </c>
      <c r="G54" s="12">
        <v>0</v>
      </c>
      <c r="H54" s="12">
        <v>0</v>
      </c>
      <c r="I54" s="12">
        <v>0</v>
      </c>
      <c r="J54" s="13">
        <v>2.777777777777778E-2</v>
      </c>
      <c r="K54" s="13">
        <v>2.777777777777778E-2</v>
      </c>
      <c r="L54" s="12">
        <v>0</v>
      </c>
      <c r="M54" s="13">
        <v>0</v>
      </c>
      <c r="N54" s="13">
        <v>0</v>
      </c>
      <c r="O54" s="12">
        <v>0</v>
      </c>
    </row>
    <row r="55" spans="1:15" x14ac:dyDescent="0.25">
      <c r="A55" s="11">
        <v>46154</v>
      </c>
      <c r="B55" s="12">
        <v>0</v>
      </c>
      <c r="C55" s="12">
        <v>3</v>
      </c>
      <c r="D55" s="12">
        <v>0</v>
      </c>
      <c r="E55" s="12">
        <v>3</v>
      </c>
      <c r="F55" s="12">
        <v>0</v>
      </c>
      <c r="G55" s="12">
        <v>0</v>
      </c>
      <c r="H55" s="12">
        <v>0</v>
      </c>
      <c r="I55" s="12">
        <v>0</v>
      </c>
      <c r="J55" s="13">
        <v>2.777777777777778E-2</v>
      </c>
      <c r="K55" s="13">
        <v>2.777777777777778E-2</v>
      </c>
      <c r="L55" s="12">
        <v>0</v>
      </c>
      <c r="M55" s="13">
        <v>0</v>
      </c>
      <c r="N55" s="13">
        <v>0</v>
      </c>
      <c r="O55" s="12">
        <v>0</v>
      </c>
    </row>
    <row r="56" spans="1:15" x14ac:dyDescent="0.25">
      <c r="A56" s="11">
        <v>46155</v>
      </c>
      <c r="B56" s="12">
        <v>0</v>
      </c>
      <c r="C56" s="12">
        <v>3</v>
      </c>
      <c r="D56" s="12">
        <v>0</v>
      </c>
      <c r="E56" s="12">
        <v>3</v>
      </c>
      <c r="F56" s="12">
        <v>0</v>
      </c>
      <c r="G56" s="12">
        <v>0</v>
      </c>
      <c r="H56" s="12">
        <v>0</v>
      </c>
      <c r="I56" s="12">
        <v>0</v>
      </c>
      <c r="J56" s="13">
        <v>2.777777777777778E-2</v>
      </c>
      <c r="K56" s="13">
        <v>2.777777777777778E-2</v>
      </c>
      <c r="L56" s="12">
        <v>0</v>
      </c>
      <c r="M56" s="13">
        <v>0</v>
      </c>
      <c r="N56" s="13">
        <v>0</v>
      </c>
      <c r="O56" s="12">
        <v>0</v>
      </c>
    </row>
    <row r="57" spans="1:15" x14ac:dyDescent="0.25">
      <c r="A57" s="11">
        <v>46156</v>
      </c>
      <c r="B57" s="12">
        <v>0</v>
      </c>
      <c r="C57" s="12">
        <v>3</v>
      </c>
      <c r="D57" s="12">
        <v>0</v>
      </c>
      <c r="E57" s="12">
        <v>3</v>
      </c>
      <c r="F57" s="12">
        <v>0</v>
      </c>
      <c r="G57" s="12">
        <v>0</v>
      </c>
      <c r="H57" s="12">
        <v>0</v>
      </c>
      <c r="I57" s="12">
        <v>0</v>
      </c>
      <c r="J57" s="13">
        <v>2.777777777777778E-2</v>
      </c>
      <c r="K57" s="13">
        <v>2.777777777777778E-2</v>
      </c>
      <c r="L57" s="12">
        <v>0</v>
      </c>
      <c r="M57" s="13">
        <v>0</v>
      </c>
      <c r="N57" s="13">
        <v>0</v>
      </c>
      <c r="O57" s="12">
        <v>0</v>
      </c>
    </row>
    <row r="58" spans="1:15" x14ac:dyDescent="0.25">
      <c r="A58" s="11">
        <v>46157</v>
      </c>
      <c r="B58" s="12">
        <v>0</v>
      </c>
      <c r="C58" s="12">
        <v>3</v>
      </c>
      <c r="D58" s="12">
        <v>0</v>
      </c>
      <c r="E58" s="12">
        <v>3</v>
      </c>
      <c r="F58" s="12">
        <v>0</v>
      </c>
      <c r="G58" s="12">
        <v>0</v>
      </c>
      <c r="H58" s="12">
        <v>0</v>
      </c>
      <c r="I58" s="12">
        <v>0</v>
      </c>
      <c r="J58" s="13">
        <v>2.777777777777778E-2</v>
      </c>
      <c r="K58" s="13">
        <v>2.777777777777778E-2</v>
      </c>
      <c r="L58" s="12">
        <v>0</v>
      </c>
      <c r="M58" s="13">
        <v>0</v>
      </c>
      <c r="N58" s="13">
        <v>0</v>
      </c>
      <c r="O58" s="12">
        <v>0</v>
      </c>
    </row>
    <row r="59" spans="1:15" x14ac:dyDescent="0.25">
      <c r="A59" s="11">
        <v>46158</v>
      </c>
      <c r="B59" s="12">
        <v>0</v>
      </c>
      <c r="C59" s="12">
        <v>3</v>
      </c>
      <c r="D59" s="12">
        <v>0</v>
      </c>
      <c r="E59" s="12">
        <v>3</v>
      </c>
      <c r="F59" s="12">
        <v>0</v>
      </c>
      <c r="G59" s="12">
        <v>0</v>
      </c>
      <c r="H59" s="12">
        <v>0</v>
      </c>
      <c r="I59" s="12">
        <v>0</v>
      </c>
      <c r="J59" s="13">
        <v>2.777777777777778E-2</v>
      </c>
      <c r="K59" s="13">
        <v>2.777777777777778E-2</v>
      </c>
      <c r="L59" s="12">
        <v>0</v>
      </c>
      <c r="M59" s="13">
        <v>0</v>
      </c>
      <c r="N59" s="13">
        <v>0</v>
      </c>
      <c r="O59" s="12">
        <v>0</v>
      </c>
    </row>
    <row r="60" spans="1:15" x14ac:dyDescent="0.25">
      <c r="A60" s="11">
        <v>46159</v>
      </c>
      <c r="B60" s="12">
        <v>0</v>
      </c>
      <c r="C60" s="12">
        <v>3</v>
      </c>
      <c r="D60" s="12">
        <v>0</v>
      </c>
      <c r="E60" s="12">
        <v>3</v>
      </c>
      <c r="F60" s="12">
        <v>0</v>
      </c>
      <c r="G60" s="12">
        <v>0</v>
      </c>
      <c r="H60" s="12">
        <v>0</v>
      </c>
      <c r="I60" s="12">
        <v>0</v>
      </c>
      <c r="J60" s="13">
        <v>2.777777777777778E-2</v>
      </c>
      <c r="K60" s="13">
        <v>2.777777777777778E-2</v>
      </c>
      <c r="L60" s="12">
        <v>0</v>
      </c>
      <c r="M60" s="13">
        <v>0</v>
      </c>
      <c r="N60" s="13">
        <v>0</v>
      </c>
      <c r="O60" s="12">
        <v>0</v>
      </c>
    </row>
    <row r="61" spans="1:15" x14ac:dyDescent="0.25">
      <c r="A61" s="11">
        <v>46160</v>
      </c>
      <c r="B61" s="12">
        <v>0</v>
      </c>
      <c r="C61" s="12">
        <v>3</v>
      </c>
      <c r="D61" s="12">
        <v>0</v>
      </c>
      <c r="E61" s="12">
        <v>3</v>
      </c>
      <c r="F61" s="12">
        <v>0</v>
      </c>
      <c r="G61" s="12">
        <v>0</v>
      </c>
      <c r="H61" s="12">
        <v>0</v>
      </c>
      <c r="I61" s="12">
        <v>0</v>
      </c>
      <c r="J61" s="13">
        <v>2.777777777777778E-2</v>
      </c>
      <c r="K61" s="13">
        <v>2.777777777777778E-2</v>
      </c>
      <c r="L61" s="12">
        <v>0</v>
      </c>
      <c r="M61" s="13">
        <v>0</v>
      </c>
      <c r="N61" s="13">
        <v>0</v>
      </c>
      <c r="O61" s="12">
        <v>0</v>
      </c>
    </row>
    <row r="62" spans="1:15" x14ac:dyDescent="0.25">
      <c r="A62" s="11">
        <v>46161</v>
      </c>
      <c r="B62" s="12">
        <v>1</v>
      </c>
      <c r="C62" s="12">
        <v>4</v>
      </c>
      <c r="D62" s="12">
        <v>0</v>
      </c>
      <c r="E62" s="12">
        <v>3</v>
      </c>
      <c r="F62" s="12">
        <v>2</v>
      </c>
      <c r="G62" s="12">
        <v>0</v>
      </c>
      <c r="H62" s="12">
        <v>2</v>
      </c>
      <c r="I62" s="12">
        <v>0</v>
      </c>
      <c r="J62" s="13">
        <v>3.7037037037037028E-2</v>
      </c>
      <c r="K62" s="13">
        <v>2.777777777777778E-2</v>
      </c>
      <c r="L62" s="12">
        <v>-1</v>
      </c>
      <c r="M62" s="13">
        <v>1.8518518518518521E-2</v>
      </c>
      <c r="N62" s="13">
        <v>0</v>
      </c>
      <c r="O62" s="12">
        <v>-1</v>
      </c>
    </row>
    <row r="63" spans="1:15" x14ac:dyDescent="0.25">
      <c r="A63" s="11">
        <v>46162</v>
      </c>
      <c r="B63" s="12">
        <v>1</v>
      </c>
      <c r="C63" s="12">
        <v>5</v>
      </c>
      <c r="D63" s="12">
        <v>0</v>
      </c>
      <c r="E63" s="12">
        <v>3</v>
      </c>
      <c r="F63" s="12">
        <v>0</v>
      </c>
      <c r="G63" s="12">
        <v>0</v>
      </c>
      <c r="H63" s="12">
        <v>2</v>
      </c>
      <c r="I63" s="12">
        <v>0</v>
      </c>
      <c r="J63" s="13">
        <v>4.6296296296296287E-2</v>
      </c>
      <c r="K63" s="13">
        <v>2.777777777777778E-2</v>
      </c>
      <c r="L63" s="12">
        <v>-1</v>
      </c>
      <c r="M63" s="13">
        <v>1.8518518518518521E-2</v>
      </c>
      <c r="N63" s="13">
        <v>0</v>
      </c>
      <c r="O63" s="12">
        <v>-1</v>
      </c>
    </row>
    <row r="64" spans="1:15" x14ac:dyDescent="0.25">
      <c r="A64" s="11">
        <v>46163</v>
      </c>
      <c r="B64" s="12">
        <v>4</v>
      </c>
      <c r="C64" s="12">
        <v>9</v>
      </c>
      <c r="D64" s="12">
        <v>0</v>
      </c>
      <c r="E64" s="12">
        <v>3</v>
      </c>
      <c r="F64" s="12">
        <v>0</v>
      </c>
      <c r="G64" s="12">
        <v>0</v>
      </c>
      <c r="H64" s="12">
        <v>2</v>
      </c>
      <c r="I64" s="12">
        <v>0</v>
      </c>
      <c r="J64" s="13">
        <v>8.3333333333333329E-2</v>
      </c>
      <c r="K64" s="13">
        <v>2.777777777777778E-2</v>
      </c>
      <c r="L64" s="12">
        <v>-1</v>
      </c>
      <c r="M64" s="13">
        <v>1.8518518518518521E-2</v>
      </c>
      <c r="N64" s="13">
        <v>0</v>
      </c>
      <c r="O64" s="12">
        <v>-1</v>
      </c>
    </row>
    <row r="65" spans="1:15" x14ac:dyDescent="0.25">
      <c r="A65" s="11">
        <v>46164</v>
      </c>
      <c r="B65" s="12">
        <v>0</v>
      </c>
      <c r="C65" s="12">
        <v>9</v>
      </c>
      <c r="D65" s="12">
        <v>0</v>
      </c>
      <c r="E65" s="12">
        <v>3</v>
      </c>
      <c r="F65" s="12">
        <v>0</v>
      </c>
      <c r="G65" s="12">
        <v>0</v>
      </c>
      <c r="H65" s="12">
        <v>2</v>
      </c>
      <c r="I65" s="12">
        <v>0</v>
      </c>
      <c r="J65" s="13">
        <v>8.3333333333333329E-2</v>
      </c>
      <c r="K65" s="13">
        <v>2.777777777777778E-2</v>
      </c>
      <c r="L65" s="12">
        <v>-1</v>
      </c>
      <c r="M65" s="13">
        <v>1.8518518518518521E-2</v>
      </c>
      <c r="N65" s="13">
        <v>0</v>
      </c>
      <c r="O65" s="12">
        <v>-1</v>
      </c>
    </row>
    <row r="66" spans="1:15" x14ac:dyDescent="0.25">
      <c r="A66" s="11">
        <v>46165</v>
      </c>
      <c r="B66" s="12">
        <v>0</v>
      </c>
      <c r="C66" s="12">
        <v>9</v>
      </c>
      <c r="D66" s="12">
        <v>0</v>
      </c>
      <c r="E66" s="12">
        <v>3</v>
      </c>
      <c r="F66" s="12">
        <v>0</v>
      </c>
      <c r="G66" s="12">
        <v>0</v>
      </c>
      <c r="H66" s="12">
        <v>2</v>
      </c>
      <c r="I66" s="12">
        <v>0</v>
      </c>
      <c r="J66" s="13">
        <v>8.3333333333333329E-2</v>
      </c>
      <c r="K66" s="13">
        <v>2.777777777777778E-2</v>
      </c>
      <c r="L66" s="12">
        <v>-1</v>
      </c>
      <c r="M66" s="13">
        <v>1.8518518518518521E-2</v>
      </c>
      <c r="N66" s="13">
        <v>0</v>
      </c>
      <c r="O66" s="12">
        <v>-1</v>
      </c>
    </row>
    <row r="67" spans="1:15" x14ac:dyDescent="0.25">
      <c r="A67" s="11">
        <v>46166</v>
      </c>
      <c r="B67" s="12">
        <v>0</v>
      </c>
      <c r="C67" s="12">
        <v>9</v>
      </c>
      <c r="D67" s="12">
        <v>0</v>
      </c>
      <c r="E67" s="12">
        <v>3</v>
      </c>
      <c r="F67" s="12">
        <v>0</v>
      </c>
      <c r="G67" s="12">
        <v>0</v>
      </c>
      <c r="H67" s="12">
        <v>2</v>
      </c>
      <c r="I67" s="12">
        <v>0</v>
      </c>
      <c r="J67" s="13">
        <v>8.3333333333333329E-2</v>
      </c>
      <c r="K67" s="13">
        <v>2.777777777777778E-2</v>
      </c>
      <c r="L67" s="12">
        <v>-1</v>
      </c>
      <c r="M67" s="13">
        <v>1.8518518518518521E-2</v>
      </c>
      <c r="N67" s="13">
        <v>0</v>
      </c>
      <c r="O67" s="12">
        <v>-1</v>
      </c>
    </row>
    <row r="68" spans="1:15" x14ac:dyDescent="0.25">
      <c r="A68" s="11">
        <v>46167</v>
      </c>
      <c r="B68" s="12">
        <v>1</v>
      </c>
      <c r="C68" s="12">
        <v>10</v>
      </c>
      <c r="D68" s="12">
        <v>0</v>
      </c>
      <c r="E68" s="12">
        <v>3</v>
      </c>
      <c r="F68" s="12">
        <v>1</v>
      </c>
      <c r="G68" s="12">
        <v>0</v>
      </c>
      <c r="H68" s="12">
        <v>3</v>
      </c>
      <c r="I68" s="12">
        <v>0</v>
      </c>
      <c r="J68" s="13">
        <v>9.2592592592592587E-2</v>
      </c>
      <c r="K68" s="13">
        <v>2.777777777777778E-2</v>
      </c>
      <c r="L68" s="12">
        <v>-1</v>
      </c>
      <c r="M68" s="13">
        <v>2.777777777777778E-2</v>
      </c>
      <c r="N68" s="13">
        <v>0</v>
      </c>
      <c r="O68" s="12">
        <v>-1</v>
      </c>
    </row>
    <row r="69" spans="1:15" x14ac:dyDescent="0.25">
      <c r="A69" s="11">
        <v>46168</v>
      </c>
      <c r="B69" s="12">
        <v>1</v>
      </c>
      <c r="C69" s="12">
        <v>11</v>
      </c>
      <c r="D69" s="12">
        <v>1</v>
      </c>
      <c r="E69" s="12">
        <v>4</v>
      </c>
      <c r="F69" s="12">
        <v>1</v>
      </c>
      <c r="G69" s="12">
        <v>0</v>
      </c>
      <c r="H69" s="12">
        <v>4</v>
      </c>
      <c r="I69" s="12">
        <v>0</v>
      </c>
      <c r="J69" s="13">
        <v>0.1018518518518518</v>
      </c>
      <c r="K69" s="13">
        <v>3.7037037037037028E-2</v>
      </c>
      <c r="L69" s="12">
        <v>-1</v>
      </c>
      <c r="M69" s="13">
        <v>3.7037037037037028E-2</v>
      </c>
      <c r="N69" s="13">
        <v>0</v>
      </c>
      <c r="O69" s="12">
        <v>-1</v>
      </c>
    </row>
    <row r="70" spans="1:15" x14ac:dyDescent="0.25">
      <c r="A70" s="11">
        <v>46169</v>
      </c>
      <c r="B70" s="12">
        <v>2</v>
      </c>
      <c r="C70" s="12">
        <v>13</v>
      </c>
      <c r="D70" s="12">
        <v>1</v>
      </c>
      <c r="E70" s="12">
        <v>5</v>
      </c>
      <c r="F70" s="12">
        <v>4</v>
      </c>
      <c r="G70" s="12">
        <v>0</v>
      </c>
      <c r="H70" s="12">
        <v>8</v>
      </c>
      <c r="I70" s="12">
        <v>0</v>
      </c>
      <c r="J70" s="13">
        <v>0.12037037037037041</v>
      </c>
      <c r="K70" s="13">
        <v>4.6296296296296287E-2</v>
      </c>
      <c r="L70" s="12">
        <v>-1</v>
      </c>
      <c r="M70" s="13">
        <v>7.407407407407407E-2</v>
      </c>
      <c r="N70" s="13">
        <v>0</v>
      </c>
      <c r="O70" s="12">
        <v>-1</v>
      </c>
    </row>
    <row r="71" spans="1:15" x14ac:dyDescent="0.25">
      <c r="A71" s="11">
        <v>46170</v>
      </c>
      <c r="B71" s="12">
        <v>1</v>
      </c>
      <c r="C71" s="12">
        <v>14</v>
      </c>
      <c r="D71" s="12">
        <v>0</v>
      </c>
      <c r="E71" s="12">
        <v>5</v>
      </c>
      <c r="F71" s="12">
        <v>0</v>
      </c>
      <c r="G71" s="12">
        <v>1</v>
      </c>
      <c r="H71" s="12">
        <v>8</v>
      </c>
      <c r="I71" s="12">
        <v>1</v>
      </c>
      <c r="J71" s="13">
        <v>0.12962962962962959</v>
      </c>
      <c r="K71" s="13">
        <v>4.6296296296296287E-2</v>
      </c>
      <c r="L71" s="12">
        <v>-1</v>
      </c>
      <c r="M71" s="13">
        <v>7.407407407407407E-2</v>
      </c>
      <c r="N71" s="13">
        <v>9.2592592592592587E-3</v>
      </c>
      <c r="O71" s="12">
        <v>-1</v>
      </c>
    </row>
    <row r="72" spans="1:15" x14ac:dyDescent="0.25">
      <c r="A72" s="11">
        <v>46171</v>
      </c>
      <c r="B72" s="12">
        <v>0</v>
      </c>
      <c r="C72" s="12">
        <v>14</v>
      </c>
      <c r="D72" s="12">
        <v>1</v>
      </c>
      <c r="E72" s="12">
        <v>6</v>
      </c>
      <c r="F72" s="12">
        <v>1</v>
      </c>
      <c r="G72" s="12">
        <v>0</v>
      </c>
      <c r="H72" s="12">
        <v>9</v>
      </c>
      <c r="I72" s="12">
        <v>1</v>
      </c>
      <c r="J72" s="13">
        <v>0.12962962962962959</v>
      </c>
      <c r="K72" s="13">
        <v>5.5555555555555552E-2</v>
      </c>
      <c r="L72" s="12">
        <v>-1</v>
      </c>
      <c r="M72" s="13">
        <v>8.3333333333333329E-2</v>
      </c>
      <c r="N72" s="13">
        <v>9.2592592592592587E-3</v>
      </c>
      <c r="O72" s="12">
        <v>-1</v>
      </c>
    </row>
    <row r="73" spans="1:15" x14ac:dyDescent="0.25">
      <c r="A73" s="11">
        <v>46172</v>
      </c>
      <c r="B73" s="12">
        <v>0</v>
      </c>
      <c r="C73" s="12">
        <v>14</v>
      </c>
      <c r="D73" s="12">
        <v>0</v>
      </c>
      <c r="E73" s="12">
        <v>6</v>
      </c>
      <c r="F73" s="12">
        <v>0</v>
      </c>
      <c r="G73" s="12">
        <v>0</v>
      </c>
      <c r="H73" s="12">
        <v>9</v>
      </c>
      <c r="I73" s="12">
        <v>1</v>
      </c>
      <c r="J73" s="13">
        <v>0.12962962962962959</v>
      </c>
      <c r="K73" s="13">
        <v>5.5555555555555552E-2</v>
      </c>
      <c r="L73" s="12">
        <v>-1</v>
      </c>
      <c r="M73" s="13">
        <v>8.3333333333333329E-2</v>
      </c>
      <c r="N73" s="13">
        <v>9.2592592592592587E-3</v>
      </c>
      <c r="O73" s="12">
        <v>-1</v>
      </c>
    </row>
    <row r="74" spans="1:15" x14ac:dyDescent="0.25">
      <c r="A74" s="11">
        <v>46173</v>
      </c>
      <c r="B74" s="12">
        <v>0</v>
      </c>
      <c r="C74" s="12">
        <v>14</v>
      </c>
      <c r="D74" s="12">
        <v>0</v>
      </c>
      <c r="E74" s="12">
        <v>6</v>
      </c>
      <c r="F74" s="12">
        <v>0</v>
      </c>
      <c r="G74" s="12">
        <v>0</v>
      </c>
      <c r="H74" s="12">
        <v>9</v>
      </c>
      <c r="I74" s="12">
        <v>1</v>
      </c>
      <c r="J74" s="13">
        <v>0.12962962962962959</v>
      </c>
      <c r="K74" s="13">
        <v>5.5555555555555552E-2</v>
      </c>
      <c r="L74" s="12">
        <v>-1</v>
      </c>
      <c r="M74" s="13">
        <v>8.3333333333333329E-2</v>
      </c>
      <c r="N74" s="13">
        <v>9.2592592592592587E-3</v>
      </c>
      <c r="O74" s="12">
        <v>-1</v>
      </c>
    </row>
    <row r="75" spans="1:15" x14ac:dyDescent="0.25">
      <c r="A75" s="11">
        <v>46174</v>
      </c>
      <c r="B75" s="12">
        <v>2</v>
      </c>
      <c r="C75" s="12">
        <v>16</v>
      </c>
      <c r="D75" s="12">
        <v>0</v>
      </c>
      <c r="E75" s="12">
        <v>6</v>
      </c>
      <c r="F75" s="12">
        <v>1</v>
      </c>
      <c r="G75" s="12">
        <v>1</v>
      </c>
      <c r="H75" s="12">
        <v>10</v>
      </c>
      <c r="I75" s="12">
        <v>2</v>
      </c>
      <c r="J75" s="13">
        <v>0.14814814814814811</v>
      </c>
      <c r="K75" s="13">
        <v>5.5555555555555552E-2</v>
      </c>
      <c r="L75" s="12">
        <v>-1</v>
      </c>
      <c r="M75" s="13">
        <v>9.2592592592592587E-2</v>
      </c>
      <c r="N75" s="13">
        <v>1.8518518518518521E-2</v>
      </c>
      <c r="O75" s="12">
        <v>-1</v>
      </c>
    </row>
    <row r="76" spans="1:15" x14ac:dyDescent="0.25">
      <c r="A76" s="11">
        <v>46175</v>
      </c>
      <c r="B76" s="12">
        <v>0</v>
      </c>
      <c r="C76" s="12">
        <v>16</v>
      </c>
      <c r="D76" s="12">
        <v>0</v>
      </c>
      <c r="E76" s="12">
        <v>6</v>
      </c>
      <c r="F76" s="12">
        <v>2</v>
      </c>
      <c r="G76" s="12">
        <v>1</v>
      </c>
      <c r="H76" s="12">
        <v>12</v>
      </c>
      <c r="I76" s="12">
        <v>3</v>
      </c>
      <c r="J76" s="13">
        <v>0.14814814814814811</v>
      </c>
      <c r="K76" s="13">
        <v>5.5555555555555552E-2</v>
      </c>
      <c r="L76" s="12">
        <v>-1</v>
      </c>
      <c r="M76" s="13">
        <v>0.1111111111111111</v>
      </c>
      <c r="N76" s="13">
        <v>2.777777777777778E-2</v>
      </c>
      <c r="O76" s="12">
        <v>-1</v>
      </c>
    </row>
    <row r="77" spans="1:15" x14ac:dyDescent="0.25">
      <c r="A77" s="11">
        <v>46176</v>
      </c>
      <c r="B77" s="12">
        <v>0</v>
      </c>
      <c r="C77" s="12">
        <v>16</v>
      </c>
      <c r="D77" s="12">
        <v>1</v>
      </c>
      <c r="E77" s="12">
        <v>7</v>
      </c>
      <c r="F77" s="12">
        <v>1</v>
      </c>
      <c r="G77" s="12">
        <v>0</v>
      </c>
      <c r="H77" s="12">
        <v>13</v>
      </c>
      <c r="I77" s="12">
        <v>3</v>
      </c>
      <c r="J77" s="13">
        <v>0.14814814814814811</v>
      </c>
      <c r="K77" s="13">
        <v>6.4814814814814811E-2</v>
      </c>
      <c r="L77" s="12">
        <v>-1</v>
      </c>
      <c r="M77" s="13">
        <v>0.12037037037037041</v>
      </c>
      <c r="N77" s="13">
        <v>2.777777777777778E-2</v>
      </c>
      <c r="O77" s="12">
        <v>-1</v>
      </c>
    </row>
    <row r="78" spans="1:15" x14ac:dyDescent="0.25">
      <c r="A78" s="11">
        <v>46177</v>
      </c>
      <c r="B78" s="12">
        <v>11</v>
      </c>
      <c r="C78" s="12">
        <v>27</v>
      </c>
      <c r="D78" s="12">
        <v>0</v>
      </c>
      <c r="E78" s="12">
        <v>7</v>
      </c>
      <c r="F78" s="12">
        <v>0</v>
      </c>
      <c r="G78" s="12">
        <v>0</v>
      </c>
      <c r="H78" s="12">
        <v>13</v>
      </c>
      <c r="I78" s="12">
        <v>3</v>
      </c>
      <c r="J78" s="13">
        <v>0.25</v>
      </c>
      <c r="K78" s="13">
        <v>6.4814814814814811E-2</v>
      </c>
      <c r="L78" s="12">
        <v>-1</v>
      </c>
      <c r="M78" s="13">
        <v>0.12037037037037041</v>
      </c>
      <c r="N78" s="13">
        <v>2.777777777777778E-2</v>
      </c>
      <c r="O78" s="12">
        <v>-1</v>
      </c>
    </row>
    <row r="79" spans="1:15" x14ac:dyDescent="0.25">
      <c r="A79" s="11">
        <v>46178</v>
      </c>
      <c r="B79" s="12">
        <v>0</v>
      </c>
      <c r="C79" s="12">
        <v>27</v>
      </c>
      <c r="D79" s="12">
        <v>0</v>
      </c>
      <c r="E79" s="12">
        <v>7</v>
      </c>
      <c r="F79" s="12">
        <v>2</v>
      </c>
      <c r="G79" s="12">
        <v>0</v>
      </c>
      <c r="H79" s="12">
        <v>15</v>
      </c>
      <c r="I79" s="12">
        <v>3</v>
      </c>
      <c r="J79" s="13">
        <v>0.25</v>
      </c>
      <c r="K79" s="13">
        <v>6.4814814814814811E-2</v>
      </c>
      <c r="L79" s="12">
        <v>-1</v>
      </c>
      <c r="M79" s="13">
        <v>0.1388888888888889</v>
      </c>
      <c r="N79" s="13">
        <v>2.777777777777778E-2</v>
      </c>
      <c r="O79" s="12">
        <v>-1</v>
      </c>
    </row>
    <row r="80" spans="1:15" x14ac:dyDescent="0.25">
      <c r="A80" s="11">
        <v>46179</v>
      </c>
      <c r="B80" s="12">
        <v>0</v>
      </c>
      <c r="C80" s="12">
        <v>27</v>
      </c>
      <c r="D80" s="12">
        <v>0</v>
      </c>
      <c r="E80" s="12">
        <v>7</v>
      </c>
      <c r="F80" s="12">
        <v>0</v>
      </c>
      <c r="G80" s="12">
        <v>0</v>
      </c>
      <c r="H80" s="12">
        <v>15</v>
      </c>
      <c r="I80" s="12">
        <v>3</v>
      </c>
      <c r="J80" s="13">
        <v>0.25</v>
      </c>
      <c r="K80" s="13">
        <v>6.4814814814814811E-2</v>
      </c>
      <c r="L80" s="12">
        <v>-1</v>
      </c>
      <c r="M80" s="13">
        <v>0.1388888888888889</v>
      </c>
      <c r="N80" s="13">
        <v>2.777777777777778E-2</v>
      </c>
      <c r="O80" s="12">
        <v>-1</v>
      </c>
    </row>
    <row r="81" spans="1:15" x14ac:dyDescent="0.25">
      <c r="A81" s="11">
        <v>46180</v>
      </c>
      <c r="B81" s="12">
        <v>0</v>
      </c>
      <c r="C81" s="12">
        <v>27</v>
      </c>
      <c r="D81" s="12">
        <v>0</v>
      </c>
      <c r="E81" s="12">
        <v>7</v>
      </c>
      <c r="F81" s="12">
        <v>0</v>
      </c>
      <c r="G81" s="12">
        <v>0</v>
      </c>
      <c r="H81" s="12">
        <v>15</v>
      </c>
      <c r="I81" s="12">
        <v>3</v>
      </c>
      <c r="J81" s="13">
        <v>0.25</v>
      </c>
      <c r="K81" s="13">
        <v>6.4814814814814811E-2</v>
      </c>
      <c r="L81" s="12">
        <v>-1</v>
      </c>
      <c r="M81" s="13">
        <v>0.1388888888888889</v>
      </c>
      <c r="N81" s="13">
        <v>2.777777777777778E-2</v>
      </c>
      <c r="O81" s="12">
        <v>-1</v>
      </c>
    </row>
    <row r="82" spans="1:15" x14ac:dyDescent="0.25">
      <c r="A82" s="11">
        <v>46181</v>
      </c>
      <c r="B82" s="12">
        <v>0</v>
      </c>
      <c r="C82" s="12">
        <v>27</v>
      </c>
      <c r="D82" s="12">
        <v>0</v>
      </c>
      <c r="E82" s="12">
        <v>7</v>
      </c>
      <c r="F82" s="12">
        <v>0</v>
      </c>
      <c r="G82" s="12">
        <v>0</v>
      </c>
      <c r="H82" s="12">
        <v>15</v>
      </c>
      <c r="I82" s="12">
        <v>3</v>
      </c>
      <c r="J82" s="13">
        <v>0.25</v>
      </c>
      <c r="K82" s="13">
        <v>6.4814814814814811E-2</v>
      </c>
      <c r="L82" s="12">
        <v>-1</v>
      </c>
      <c r="M82" s="13">
        <v>0.1388888888888889</v>
      </c>
      <c r="N82" s="13">
        <v>2.777777777777778E-2</v>
      </c>
      <c r="O82" s="12">
        <v>-1</v>
      </c>
    </row>
    <row r="83" spans="1:15" x14ac:dyDescent="0.25">
      <c r="A83" s="11">
        <v>46182</v>
      </c>
      <c r="B83" s="12">
        <v>10</v>
      </c>
      <c r="C83" s="12">
        <v>37</v>
      </c>
      <c r="D83" s="12">
        <v>0</v>
      </c>
      <c r="E83" s="12">
        <v>7</v>
      </c>
      <c r="F83" s="12">
        <v>0</v>
      </c>
      <c r="G83" s="12">
        <v>0</v>
      </c>
      <c r="H83" s="12">
        <v>15</v>
      </c>
      <c r="I83" s="12">
        <v>3</v>
      </c>
      <c r="J83" s="13">
        <v>0.34259259259259262</v>
      </c>
      <c r="K83" s="13">
        <v>6.4814814814814811E-2</v>
      </c>
      <c r="L83" s="12">
        <v>-1</v>
      </c>
      <c r="M83" s="13">
        <v>0.1388888888888889</v>
      </c>
      <c r="N83" s="13">
        <v>2.777777777777778E-2</v>
      </c>
      <c r="O83" s="12">
        <v>-1</v>
      </c>
    </row>
    <row r="84" spans="1:15" x14ac:dyDescent="0.25">
      <c r="A84" s="11">
        <v>46183</v>
      </c>
      <c r="B84" s="12">
        <v>0</v>
      </c>
      <c r="C84" s="12">
        <v>37</v>
      </c>
      <c r="D84" s="12">
        <v>0</v>
      </c>
      <c r="E84" s="12">
        <v>7</v>
      </c>
      <c r="F84" s="12">
        <v>11</v>
      </c>
      <c r="G84" s="12">
        <v>0</v>
      </c>
      <c r="H84" s="12">
        <v>26</v>
      </c>
      <c r="I84" s="12">
        <v>3</v>
      </c>
      <c r="J84" s="13">
        <v>0.34259259259259262</v>
      </c>
      <c r="K84" s="13">
        <v>6.4814814814814811E-2</v>
      </c>
      <c r="L84" s="12">
        <v>-1</v>
      </c>
      <c r="M84" s="13">
        <v>0.2407407407407407</v>
      </c>
      <c r="N84" s="13">
        <v>2.777777777777778E-2</v>
      </c>
      <c r="O84" s="12">
        <v>-1</v>
      </c>
    </row>
    <row r="85" spans="1:15" x14ac:dyDescent="0.25">
      <c r="A85" s="11">
        <v>46184</v>
      </c>
      <c r="B85" s="12">
        <v>4</v>
      </c>
      <c r="C85" s="12">
        <v>41</v>
      </c>
      <c r="D85" s="12">
        <v>0</v>
      </c>
      <c r="E85" s="12">
        <v>7</v>
      </c>
      <c r="F85" s="12">
        <v>0</v>
      </c>
      <c r="G85" s="12">
        <v>0</v>
      </c>
      <c r="H85" s="12">
        <v>26</v>
      </c>
      <c r="I85" s="12">
        <v>3</v>
      </c>
      <c r="J85" s="13">
        <v>0.37962962962962971</v>
      </c>
      <c r="K85" s="13">
        <v>6.4814814814814811E-2</v>
      </c>
      <c r="L85" s="12">
        <v>-1</v>
      </c>
      <c r="M85" s="13">
        <v>0.2407407407407407</v>
      </c>
      <c r="N85" s="13">
        <v>2.777777777777778E-2</v>
      </c>
      <c r="O85" s="12">
        <v>-1</v>
      </c>
    </row>
    <row r="86" spans="1:15" x14ac:dyDescent="0.25">
      <c r="A86" s="11">
        <v>46185</v>
      </c>
      <c r="B86" s="12">
        <v>2</v>
      </c>
      <c r="C86" s="12">
        <v>43</v>
      </c>
      <c r="D86" s="12">
        <v>4</v>
      </c>
      <c r="E86" s="12">
        <v>11</v>
      </c>
      <c r="F86" s="12">
        <v>0</v>
      </c>
      <c r="G86" s="12">
        <v>0</v>
      </c>
      <c r="H86" s="12">
        <v>26</v>
      </c>
      <c r="I86" s="12">
        <v>3</v>
      </c>
      <c r="J86" s="13">
        <v>0.39814814814814808</v>
      </c>
      <c r="K86" s="13">
        <v>0.1018518518518518</v>
      </c>
      <c r="L86" s="12">
        <v>-1</v>
      </c>
      <c r="M86" s="13">
        <v>0.2407407407407407</v>
      </c>
      <c r="N86" s="13">
        <v>2.777777777777778E-2</v>
      </c>
      <c r="O86" s="12">
        <v>-1</v>
      </c>
    </row>
    <row r="87" spans="1:15" x14ac:dyDescent="0.25">
      <c r="A87" s="11">
        <v>46186</v>
      </c>
      <c r="B87" s="12">
        <v>0</v>
      </c>
      <c r="C87" s="12">
        <v>43</v>
      </c>
      <c r="D87" s="12">
        <v>0</v>
      </c>
      <c r="E87" s="12">
        <v>11</v>
      </c>
      <c r="F87" s="12">
        <v>0</v>
      </c>
      <c r="G87" s="12">
        <v>0</v>
      </c>
      <c r="H87" s="12">
        <v>26</v>
      </c>
      <c r="I87" s="12">
        <v>3</v>
      </c>
      <c r="J87" s="13">
        <v>0.39814814814814808</v>
      </c>
      <c r="K87" s="13">
        <v>0.1018518518518518</v>
      </c>
      <c r="L87" s="12">
        <v>-1</v>
      </c>
      <c r="M87" s="13">
        <v>0.2407407407407407</v>
      </c>
      <c r="N87" s="13">
        <v>2.777777777777778E-2</v>
      </c>
      <c r="O87" s="12">
        <v>-1</v>
      </c>
    </row>
    <row r="88" spans="1:15" x14ac:dyDescent="0.25">
      <c r="A88" s="11">
        <v>46187</v>
      </c>
      <c r="B88" s="12">
        <v>0</v>
      </c>
      <c r="C88" s="12">
        <v>43</v>
      </c>
      <c r="D88" s="12">
        <v>0</v>
      </c>
      <c r="E88" s="12">
        <v>11</v>
      </c>
      <c r="F88" s="12">
        <v>0</v>
      </c>
      <c r="G88" s="12">
        <v>0</v>
      </c>
      <c r="H88" s="12">
        <v>26</v>
      </c>
      <c r="I88" s="12">
        <v>3</v>
      </c>
      <c r="J88" s="13">
        <v>0.39814814814814808</v>
      </c>
      <c r="K88" s="13">
        <v>0.1018518518518518</v>
      </c>
      <c r="L88" s="12">
        <v>-1</v>
      </c>
      <c r="M88" s="13">
        <v>0.2407407407407407</v>
      </c>
      <c r="N88" s="13">
        <v>2.777777777777778E-2</v>
      </c>
      <c r="O88" s="12">
        <v>-1</v>
      </c>
    </row>
    <row r="89" spans="1:15" x14ac:dyDescent="0.25">
      <c r="A89" s="11">
        <v>46188</v>
      </c>
      <c r="B89" s="12">
        <v>0</v>
      </c>
      <c r="C89" s="12">
        <v>43</v>
      </c>
      <c r="D89" s="12">
        <v>0</v>
      </c>
      <c r="E89" s="12">
        <v>11</v>
      </c>
      <c r="F89" s="12">
        <v>10</v>
      </c>
      <c r="G89" s="12">
        <v>0</v>
      </c>
      <c r="H89" s="12">
        <v>36</v>
      </c>
      <c r="I89" s="12">
        <v>3</v>
      </c>
      <c r="J89" s="13">
        <v>0.39814814814814808</v>
      </c>
      <c r="K89" s="13">
        <v>0.1018518518518518</v>
      </c>
      <c r="L89" s="12">
        <v>-1</v>
      </c>
      <c r="M89" s="13">
        <v>0.33333333333333331</v>
      </c>
      <c r="N89" s="13">
        <v>2.777777777777778E-2</v>
      </c>
      <c r="O89" s="12">
        <v>-1</v>
      </c>
    </row>
    <row r="90" spans="1:15" x14ac:dyDescent="0.25">
      <c r="A90" s="11">
        <v>46189</v>
      </c>
      <c r="B90" s="12">
        <v>3</v>
      </c>
      <c r="C90" s="12">
        <v>46</v>
      </c>
      <c r="D90" s="12">
        <v>4</v>
      </c>
      <c r="E90" s="12">
        <v>15</v>
      </c>
      <c r="F90" s="12">
        <v>1</v>
      </c>
      <c r="G90" s="12">
        <v>0</v>
      </c>
      <c r="H90" s="12">
        <v>37</v>
      </c>
      <c r="I90" s="12">
        <v>3</v>
      </c>
      <c r="J90" s="13">
        <v>0.42592592592592587</v>
      </c>
      <c r="K90" s="13">
        <v>0.1388888888888889</v>
      </c>
      <c r="L90" s="12">
        <v>-1</v>
      </c>
      <c r="M90" s="13">
        <v>0.34259259259259262</v>
      </c>
      <c r="N90" s="13">
        <v>2.777777777777778E-2</v>
      </c>
      <c r="O90" s="12">
        <v>-1</v>
      </c>
    </row>
    <row r="91" spans="1:15" x14ac:dyDescent="0.25">
      <c r="A91" s="11">
        <v>46190</v>
      </c>
      <c r="B91" s="12">
        <v>1</v>
      </c>
      <c r="C91" s="12">
        <v>47</v>
      </c>
      <c r="D91" s="12">
        <v>0</v>
      </c>
      <c r="E91" s="12">
        <v>15</v>
      </c>
      <c r="F91" s="12">
        <v>4</v>
      </c>
      <c r="G91" s="12">
        <v>0</v>
      </c>
      <c r="H91" s="12">
        <v>41</v>
      </c>
      <c r="I91" s="12">
        <v>3</v>
      </c>
      <c r="J91" s="13">
        <v>0.43518518518518517</v>
      </c>
      <c r="K91" s="13">
        <v>0.1388888888888889</v>
      </c>
      <c r="L91" s="12">
        <v>-1</v>
      </c>
      <c r="M91" s="13">
        <v>0.37962962962962971</v>
      </c>
      <c r="N91" s="13">
        <v>2.777777777777778E-2</v>
      </c>
      <c r="O91" s="12">
        <v>-1</v>
      </c>
    </row>
    <row r="92" spans="1:15" x14ac:dyDescent="0.25">
      <c r="A92" s="11">
        <v>46191</v>
      </c>
      <c r="B92" s="12">
        <v>0</v>
      </c>
      <c r="C92" s="12">
        <v>47</v>
      </c>
      <c r="D92" s="12">
        <v>1</v>
      </c>
      <c r="E92" s="12">
        <v>16</v>
      </c>
      <c r="F92" s="12">
        <v>2</v>
      </c>
      <c r="G92" s="12">
        <v>0</v>
      </c>
      <c r="H92" s="12">
        <v>43</v>
      </c>
      <c r="I92" s="12">
        <v>3</v>
      </c>
      <c r="J92" s="13">
        <v>0.43518518518518517</v>
      </c>
      <c r="K92" s="13">
        <v>0.14814814814814811</v>
      </c>
      <c r="L92" s="12">
        <v>-1</v>
      </c>
      <c r="M92" s="13">
        <v>0.39814814814814808</v>
      </c>
      <c r="N92" s="13">
        <v>2.777777777777778E-2</v>
      </c>
      <c r="O92" s="12">
        <v>-1</v>
      </c>
    </row>
    <row r="93" spans="1:15" x14ac:dyDescent="0.25">
      <c r="A93" s="11">
        <v>46192</v>
      </c>
      <c r="B93" s="12">
        <v>2</v>
      </c>
      <c r="C93" s="12">
        <v>49</v>
      </c>
      <c r="D93" s="12">
        <v>3</v>
      </c>
      <c r="E93" s="12">
        <v>19</v>
      </c>
      <c r="F93" s="12">
        <v>0</v>
      </c>
      <c r="G93" s="12">
        <v>0</v>
      </c>
      <c r="H93" s="12">
        <v>43</v>
      </c>
      <c r="I93" s="12">
        <v>3</v>
      </c>
      <c r="J93" s="13">
        <v>0.45370370370370372</v>
      </c>
      <c r="K93" s="13">
        <v>0.1759259259259259</v>
      </c>
      <c r="L93" s="12">
        <v>-1</v>
      </c>
      <c r="M93" s="13">
        <v>0.39814814814814808</v>
      </c>
      <c r="N93" s="13">
        <v>2.777777777777778E-2</v>
      </c>
      <c r="O93" s="12">
        <v>-1</v>
      </c>
    </row>
    <row r="94" spans="1:15" x14ac:dyDescent="0.25">
      <c r="A94" s="11">
        <v>46193</v>
      </c>
      <c r="B94" s="12">
        <v>0</v>
      </c>
      <c r="C94" s="12">
        <v>49</v>
      </c>
      <c r="D94" s="12">
        <v>0</v>
      </c>
      <c r="E94" s="12">
        <v>19</v>
      </c>
      <c r="F94" s="12">
        <v>0</v>
      </c>
      <c r="G94" s="12">
        <v>0</v>
      </c>
      <c r="H94" s="12">
        <v>43</v>
      </c>
      <c r="I94" s="12">
        <v>3</v>
      </c>
      <c r="J94" s="13">
        <v>0.45370370370370372</v>
      </c>
      <c r="K94" s="13">
        <v>0.1759259259259259</v>
      </c>
      <c r="L94" s="12">
        <v>-1</v>
      </c>
      <c r="M94" s="13">
        <v>0.39814814814814808</v>
      </c>
      <c r="N94" s="13">
        <v>2.777777777777778E-2</v>
      </c>
      <c r="O94" s="12">
        <v>-1</v>
      </c>
    </row>
    <row r="95" spans="1:15" x14ac:dyDescent="0.25">
      <c r="A95" s="11">
        <v>46194</v>
      </c>
      <c r="B95" s="12">
        <v>0</v>
      </c>
      <c r="C95" s="12">
        <v>49</v>
      </c>
      <c r="D95" s="12">
        <v>0</v>
      </c>
      <c r="E95" s="12">
        <v>19</v>
      </c>
      <c r="F95" s="12">
        <v>0</v>
      </c>
      <c r="G95" s="12">
        <v>0</v>
      </c>
      <c r="H95" s="12">
        <v>43</v>
      </c>
      <c r="I95" s="12">
        <v>3</v>
      </c>
      <c r="J95" s="13">
        <v>0.45370370370370372</v>
      </c>
      <c r="K95" s="13">
        <v>0.1759259259259259</v>
      </c>
      <c r="L95" s="12">
        <v>-1</v>
      </c>
      <c r="M95" s="13">
        <v>0.39814814814814808</v>
      </c>
      <c r="N95" s="13">
        <v>2.777777777777778E-2</v>
      </c>
      <c r="O95" s="12">
        <v>-1</v>
      </c>
    </row>
    <row r="96" spans="1:15" x14ac:dyDescent="0.25">
      <c r="A96" s="11">
        <v>46195</v>
      </c>
      <c r="B96" s="12">
        <v>1</v>
      </c>
      <c r="C96" s="12">
        <v>50</v>
      </c>
      <c r="D96" s="12">
        <v>0</v>
      </c>
      <c r="E96" s="12">
        <v>19</v>
      </c>
      <c r="F96" s="12">
        <v>3</v>
      </c>
      <c r="G96" s="12">
        <v>0</v>
      </c>
      <c r="H96" s="12">
        <v>46</v>
      </c>
      <c r="I96" s="12">
        <v>3</v>
      </c>
      <c r="J96" s="13">
        <v>0.46296296296296302</v>
      </c>
      <c r="K96" s="13">
        <v>0.1759259259259259</v>
      </c>
      <c r="L96" s="12">
        <v>-1</v>
      </c>
      <c r="M96" s="13">
        <v>0.42592592592592587</v>
      </c>
      <c r="N96" s="13">
        <v>2.777777777777778E-2</v>
      </c>
      <c r="O96" s="12">
        <v>-1</v>
      </c>
    </row>
    <row r="97" spans="1:15" x14ac:dyDescent="0.25">
      <c r="A97" s="11">
        <v>46196</v>
      </c>
      <c r="B97" s="12">
        <v>0</v>
      </c>
      <c r="C97" s="12">
        <v>50</v>
      </c>
      <c r="D97" s="12">
        <v>11</v>
      </c>
      <c r="E97" s="12">
        <v>30</v>
      </c>
      <c r="F97" s="12">
        <v>1</v>
      </c>
      <c r="G97" s="12">
        <v>0</v>
      </c>
      <c r="H97" s="12">
        <v>47</v>
      </c>
      <c r="I97" s="12">
        <v>3</v>
      </c>
      <c r="J97" s="13">
        <v>0.46296296296296302</v>
      </c>
      <c r="K97" s="13">
        <v>0.27777777777777779</v>
      </c>
      <c r="L97" s="12">
        <v>-1</v>
      </c>
      <c r="M97" s="13">
        <v>0.43518518518518517</v>
      </c>
      <c r="N97" s="13">
        <v>2.777777777777778E-2</v>
      </c>
      <c r="O97" s="12">
        <v>-1</v>
      </c>
    </row>
    <row r="98" spans="1:15" x14ac:dyDescent="0.25">
      <c r="A98" s="11">
        <v>46197</v>
      </c>
      <c r="B98" s="12">
        <v>0</v>
      </c>
      <c r="C98" s="12">
        <v>50</v>
      </c>
      <c r="D98" s="12">
        <v>9</v>
      </c>
      <c r="E98" s="12">
        <v>39</v>
      </c>
      <c r="F98" s="12">
        <v>0</v>
      </c>
      <c r="G98" s="12">
        <v>0</v>
      </c>
      <c r="H98" s="12">
        <v>47</v>
      </c>
      <c r="I98" s="12">
        <v>3</v>
      </c>
      <c r="J98" s="13">
        <v>0.46296296296296302</v>
      </c>
      <c r="K98" s="13">
        <v>0.3611111111111111</v>
      </c>
      <c r="L98" s="12">
        <v>-1</v>
      </c>
      <c r="M98" s="13">
        <v>0.43518518518518517</v>
      </c>
      <c r="N98" s="13">
        <v>2.777777777777778E-2</v>
      </c>
      <c r="O98" s="12">
        <v>-1</v>
      </c>
    </row>
    <row r="99" spans="1:15" x14ac:dyDescent="0.25">
      <c r="A99" s="11">
        <v>46198</v>
      </c>
      <c r="B99" s="12">
        <v>2</v>
      </c>
      <c r="C99" s="12">
        <v>52</v>
      </c>
      <c r="D99" s="12">
        <v>1</v>
      </c>
      <c r="E99" s="12">
        <v>40</v>
      </c>
      <c r="F99" s="12">
        <v>2</v>
      </c>
      <c r="G99" s="12">
        <v>0</v>
      </c>
      <c r="H99" s="12">
        <v>49</v>
      </c>
      <c r="I99" s="12">
        <v>3</v>
      </c>
      <c r="J99" s="13">
        <v>0.48148148148148151</v>
      </c>
      <c r="K99" s="13">
        <v>0.37037037037037029</v>
      </c>
      <c r="L99" s="12">
        <v>-1</v>
      </c>
      <c r="M99" s="13">
        <v>0.45370370370370372</v>
      </c>
      <c r="N99" s="13">
        <v>2.777777777777778E-2</v>
      </c>
      <c r="O99" s="12">
        <v>-1</v>
      </c>
    </row>
    <row r="100" spans="1:15" x14ac:dyDescent="0.25">
      <c r="A100" s="11">
        <v>46199</v>
      </c>
      <c r="B100" s="12">
        <v>1</v>
      </c>
      <c r="C100" s="12">
        <v>53</v>
      </c>
      <c r="D100" s="12">
        <v>4</v>
      </c>
      <c r="E100" s="12">
        <v>44</v>
      </c>
      <c r="F100" s="12">
        <v>1</v>
      </c>
      <c r="G100" s="12">
        <v>0</v>
      </c>
      <c r="H100" s="12">
        <v>50</v>
      </c>
      <c r="I100" s="12">
        <v>3</v>
      </c>
      <c r="J100" s="13">
        <v>0.49074074074074081</v>
      </c>
      <c r="K100" s="13">
        <v>0.40740740740740738</v>
      </c>
      <c r="L100" s="12">
        <v>-1</v>
      </c>
      <c r="M100" s="13">
        <v>0.46296296296296302</v>
      </c>
      <c r="N100" s="13">
        <v>2.777777777777778E-2</v>
      </c>
      <c r="O100" s="12">
        <v>-1</v>
      </c>
    </row>
    <row r="101" spans="1:15" x14ac:dyDescent="0.25">
      <c r="A101" s="11">
        <v>46200</v>
      </c>
      <c r="B101" s="12">
        <v>0</v>
      </c>
      <c r="C101" s="12">
        <v>53</v>
      </c>
      <c r="D101" s="12">
        <v>0</v>
      </c>
      <c r="E101" s="12">
        <v>44</v>
      </c>
      <c r="F101" s="12">
        <v>0</v>
      </c>
      <c r="G101" s="12">
        <v>0</v>
      </c>
      <c r="H101" s="12">
        <v>50</v>
      </c>
      <c r="I101" s="12">
        <v>3</v>
      </c>
      <c r="J101" s="13">
        <v>0.49074074074074081</v>
      </c>
      <c r="K101" s="13">
        <v>0.40740740740740738</v>
      </c>
      <c r="L101" s="12">
        <v>-1</v>
      </c>
      <c r="M101" s="13">
        <v>0.46296296296296302</v>
      </c>
      <c r="N101" s="13">
        <v>2.777777777777778E-2</v>
      </c>
      <c r="O101" s="12">
        <v>-1</v>
      </c>
    </row>
    <row r="102" spans="1:15" x14ac:dyDescent="0.25">
      <c r="A102" s="11">
        <v>46201</v>
      </c>
      <c r="B102" s="12">
        <v>0</v>
      </c>
      <c r="C102" s="12">
        <v>53</v>
      </c>
      <c r="D102" s="12">
        <v>0</v>
      </c>
      <c r="E102" s="12">
        <v>44</v>
      </c>
      <c r="F102" s="12">
        <v>0</v>
      </c>
      <c r="G102" s="12">
        <v>0</v>
      </c>
      <c r="H102" s="12">
        <v>50</v>
      </c>
      <c r="I102" s="12">
        <v>3</v>
      </c>
      <c r="J102" s="13">
        <v>0.49074074074074081</v>
      </c>
      <c r="K102" s="13">
        <v>0.40740740740740738</v>
      </c>
      <c r="L102" s="12">
        <v>-1</v>
      </c>
      <c r="M102" s="13">
        <v>0.46296296296296302</v>
      </c>
      <c r="N102" s="13">
        <v>2.777777777777778E-2</v>
      </c>
      <c r="O102" s="12">
        <v>-1</v>
      </c>
    </row>
    <row r="103" spans="1:15" x14ac:dyDescent="0.25">
      <c r="A103" s="11">
        <v>46202</v>
      </c>
      <c r="B103" s="12">
        <v>1</v>
      </c>
      <c r="C103" s="12">
        <v>54</v>
      </c>
      <c r="D103" s="12">
        <v>4</v>
      </c>
      <c r="E103" s="12">
        <v>48</v>
      </c>
      <c r="F103" s="12">
        <v>0</v>
      </c>
      <c r="G103" s="12">
        <v>0</v>
      </c>
      <c r="H103" s="12">
        <v>50</v>
      </c>
      <c r="I103" s="12">
        <v>3</v>
      </c>
      <c r="J103" s="13">
        <v>0.5</v>
      </c>
      <c r="K103" s="13">
        <v>0.44444444444444442</v>
      </c>
      <c r="L103" s="12">
        <v>-1</v>
      </c>
      <c r="M103" s="13">
        <v>0.46296296296296302</v>
      </c>
      <c r="N103" s="13">
        <v>2.777777777777778E-2</v>
      </c>
      <c r="O103" s="12">
        <v>-1</v>
      </c>
    </row>
    <row r="104" spans="1:15" x14ac:dyDescent="0.25">
      <c r="A104" s="11">
        <v>46203</v>
      </c>
      <c r="B104" s="12">
        <v>3</v>
      </c>
      <c r="C104" s="12">
        <v>57</v>
      </c>
      <c r="D104" s="12">
        <v>0</v>
      </c>
      <c r="E104" s="12">
        <v>48</v>
      </c>
      <c r="F104" s="12">
        <v>0</v>
      </c>
      <c r="G104" s="12">
        <v>0</v>
      </c>
      <c r="H104" s="12">
        <v>50</v>
      </c>
      <c r="I104" s="12">
        <v>3</v>
      </c>
      <c r="J104" s="13">
        <v>0.52777777777777779</v>
      </c>
      <c r="K104" s="13">
        <v>0.44444444444444442</v>
      </c>
      <c r="L104" s="12">
        <v>-1</v>
      </c>
      <c r="M104" s="13">
        <v>0.46296296296296302</v>
      </c>
      <c r="N104" s="13">
        <v>2.777777777777778E-2</v>
      </c>
      <c r="O104" s="12">
        <v>-1</v>
      </c>
    </row>
    <row r="105" spans="1:15" x14ac:dyDescent="0.25">
      <c r="A105" s="11">
        <v>46204</v>
      </c>
      <c r="B105" s="12">
        <v>29</v>
      </c>
      <c r="C105" s="12">
        <v>86</v>
      </c>
      <c r="D105" s="12">
        <v>6</v>
      </c>
      <c r="E105" s="12">
        <v>54</v>
      </c>
      <c r="F105" s="12">
        <v>2</v>
      </c>
      <c r="G105" s="12">
        <v>0</v>
      </c>
      <c r="H105" s="12">
        <v>52</v>
      </c>
      <c r="I105" s="12">
        <v>3</v>
      </c>
      <c r="J105" s="13">
        <v>0.79629629629629628</v>
      </c>
      <c r="K105" s="13">
        <v>0.5</v>
      </c>
      <c r="L105" s="12">
        <v>-1</v>
      </c>
      <c r="M105" s="13">
        <v>0.48148148148148151</v>
      </c>
      <c r="N105" s="13">
        <v>2.777777777777778E-2</v>
      </c>
      <c r="O105" s="12">
        <v>-1</v>
      </c>
    </row>
    <row r="106" spans="1:15" x14ac:dyDescent="0.25">
      <c r="A106" s="11">
        <v>46205</v>
      </c>
      <c r="B106" s="12">
        <v>22</v>
      </c>
      <c r="C106" s="12">
        <v>108</v>
      </c>
      <c r="D106" s="12">
        <v>1</v>
      </c>
      <c r="E106" s="12">
        <v>55</v>
      </c>
      <c r="F106" s="12">
        <v>1</v>
      </c>
      <c r="G106" s="12">
        <v>0</v>
      </c>
      <c r="H106" s="12">
        <v>53</v>
      </c>
      <c r="I106" s="12">
        <v>3</v>
      </c>
      <c r="J106" s="13">
        <v>1</v>
      </c>
      <c r="K106" s="13">
        <v>0.5092592592592593</v>
      </c>
      <c r="L106" s="12">
        <v>-1</v>
      </c>
      <c r="M106" s="13">
        <v>0.49074074074074081</v>
      </c>
      <c r="N106" s="13">
        <v>2.777777777777778E-2</v>
      </c>
      <c r="O106" s="12">
        <v>-1</v>
      </c>
    </row>
    <row r="107" spans="1:15" x14ac:dyDescent="0.25">
      <c r="A107" s="14">
        <v>46206</v>
      </c>
      <c r="B107" s="15">
        <v>0</v>
      </c>
      <c r="C107" s="15">
        <v>108</v>
      </c>
      <c r="D107" s="15">
        <v>0</v>
      </c>
      <c r="E107" s="15">
        <v>55</v>
      </c>
      <c r="F107" s="15">
        <v>1</v>
      </c>
      <c r="G107" s="15">
        <v>0</v>
      </c>
      <c r="H107" s="15">
        <v>54</v>
      </c>
      <c r="I107" s="15">
        <v>3</v>
      </c>
      <c r="J107" s="16">
        <v>1</v>
      </c>
      <c r="K107" s="16">
        <v>0.5092592592592593</v>
      </c>
      <c r="L107" s="15">
        <v>-1</v>
      </c>
      <c r="M107" s="16">
        <v>0.5</v>
      </c>
      <c r="N107" s="16">
        <v>2.777777777777778E-2</v>
      </c>
      <c r="O107" s="15">
        <v>-1</v>
      </c>
    </row>
    <row r="108" spans="1:15" x14ac:dyDescent="0.25">
      <c r="A108" s="11">
        <v>46207</v>
      </c>
      <c r="B108" s="12">
        <v>0</v>
      </c>
      <c r="C108" s="12">
        <v>108</v>
      </c>
      <c r="D108" s="12">
        <v>0</v>
      </c>
      <c r="F108" s="12">
        <v>0</v>
      </c>
      <c r="G108" s="12">
        <v>0</v>
      </c>
      <c r="H108" s="12">
        <v>54</v>
      </c>
      <c r="J108" s="13">
        <v>1</v>
      </c>
      <c r="K108" s="13">
        <v>0.5092592592592593</v>
      </c>
      <c r="L108" s="12">
        <v>-1</v>
      </c>
      <c r="M108" s="13">
        <v>0.5</v>
      </c>
      <c r="N108" s="13">
        <v>2.777777777777778E-2</v>
      </c>
      <c r="O108" s="12">
        <v>-1</v>
      </c>
    </row>
    <row r="109" spans="1:15" x14ac:dyDescent="0.25">
      <c r="A109" s="11">
        <v>46208</v>
      </c>
      <c r="B109" s="12">
        <v>0</v>
      </c>
      <c r="C109" s="12">
        <v>108</v>
      </c>
      <c r="D109" s="12">
        <v>0</v>
      </c>
      <c r="F109" s="12">
        <v>0</v>
      </c>
      <c r="G109" s="12">
        <v>0</v>
      </c>
      <c r="H109" s="12">
        <v>54</v>
      </c>
      <c r="J109" s="13">
        <v>1</v>
      </c>
      <c r="K109" s="13">
        <v>0.5092592592592593</v>
      </c>
      <c r="L109" s="12">
        <v>-1</v>
      </c>
      <c r="M109" s="13">
        <v>0.5</v>
      </c>
      <c r="N109" s="13">
        <v>2.777777777777778E-2</v>
      </c>
      <c r="O109" s="12">
        <v>-1</v>
      </c>
    </row>
    <row r="110" spans="1:15" x14ac:dyDescent="0.25">
      <c r="A110" s="11">
        <v>46209</v>
      </c>
      <c r="B110" s="12">
        <v>0</v>
      </c>
      <c r="C110" s="12">
        <v>108</v>
      </c>
      <c r="D110" s="12">
        <v>0</v>
      </c>
      <c r="F110" s="12">
        <v>3</v>
      </c>
      <c r="G110" s="12">
        <v>0</v>
      </c>
      <c r="H110" s="12">
        <v>57</v>
      </c>
      <c r="J110" s="13">
        <v>1</v>
      </c>
      <c r="K110" s="13">
        <v>0.5092592592592593</v>
      </c>
      <c r="L110" s="12">
        <v>-1</v>
      </c>
      <c r="M110" s="13">
        <v>0.52777777777777779</v>
      </c>
      <c r="N110" s="13">
        <v>2.777777777777778E-2</v>
      </c>
      <c r="O110" s="12">
        <v>-1</v>
      </c>
    </row>
    <row r="111" spans="1:15" x14ac:dyDescent="0.25">
      <c r="A111" s="11">
        <v>46210</v>
      </c>
      <c r="B111" s="12">
        <v>0</v>
      </c>
      <c r="C111" s="12">
        <v>108</v>
      </c>
      <c r="D111" s="12">
        <v>0</v>
      </c>
      <c r="F111" s="12">
        <v>29</v>
      </c>
      <c r="G111" s="12">
        <v>0</v>
      </c>
      <c r="H111" s="12">
        <v>86</v>
      </c>
      <c r="J111" s="13">
        <v>1</v>
      </c>
      <c r="K111" s="13">
        <v>0.5092592592592593</v>
      </c>
      <c r="L111" s="12">
        <v>-1</v>
      </c>
      <c r="M111" s="13">
        <v>0.79629629629629628</v>
      </c>
      <c r="N111" s="13">
        <v>2.777777777777778E-2</v>
      </c>
      <c r="O111" s="12">
        <v>-1</v>
      </c>
    </row>
    <row r="112" spans="1:15" x14ac:dyDescent="0.25">
      <c r="A112" s="11">
        <v>46211</v>
      </c>
      <c r="B112" s="12">
        <v>0</v>
      </c>
      <c r="C112" s="12">
        <v>108</v>
      </c>
      <c r="D112" s="12">
        <v>0</v>
      </c>
      <c r="F112" s="12">
        <v>22</v>
      </c>
      <c r="G112" s="12">
        <v>0</v>
      </c>
      <c r="H112" s="12">
        <v>108</v>
      </c>
      <c r="J112" s="13">
        <v>1</v>
      </c>
      <c r="K112" s="13">
        <v>0.5092592592592593</v>
      </c>
      <c r="L112" s="12">
        <v>-1</v>
      </c>
      <c r="M112" s="13">
        <v>1</v>
      </c>
      <c r="N112" s="13">
        <v>2.777777777777778E-2</v>
      </c>
      <c r="O112" s="12">
        <v>-1</v>
      </c>
    </row>
    <row r="114" spans="12:15" x14ac:dyDescent="0.25">
      <c r="L114" s="12">
        <v>1</v>
      </c>
      <c r="O114" s="12">
        <v>1</v>
      </c>
    </row>
    <row r="115" spans="12:15" x14ac:dyDescent="0.25">
      <c r="L115" s="12">
        <v>0</v>
      </c>
      <c r="O115" s="12">
        <v>0</v>
      </c>
    </row>
    <row r="116" spans="12:15" x14ac:dyDescent="0.25">
      <c r="L116" s="12">
        <v>-1</v>
      </c>
      <c r="O116" s="12">
        <v>-1</v>
      </c>
    </row>
  </sheetData>
  <pageMargins left="0.75" right="0.75" top="1" bottom="1" header="0.5" footer="0.5"/>
  <headerFooter>
    <oddFooter>&amp;C_x000D_&amp;1#&amp;"Aptos"&amp;11&amp;K000000 BV_C2_Internal</oddFooter>
  </headerFooter>
  <drawing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6BF1557A-DB94-4539-A332-383382EB5086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L1:L116</xm:sqref>
        </x14:conditionalFormatting>
        <x14:conditionalFormatting xmlns:xm="http://schemas.microsoft.com/office/excel/2006/main">
          <x14:cfRule type="iconSet" priority="2" id="{5B2FFF32-43E2-4F07-93CE-7C4B206CE9BD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O1:O116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86"/>
  <sheetViews>
    <sheetView workbookViewId="0">
      <selection activeCell="D11" sqref="D11"/>
    </sheetView>
  </sheetViews>
  <sheetFormatPr defaultRowHeight="15" x14ac:dyDescent="0.25"/>
  <cols>
    <col min="1" max="1" width="7.28515625" style="6" bestFit="1" customWidth="1"/>
    <col min="2" max="2" width="10.28515625" style="6" bestFit="1" customWidth="1"/>
    <col min="3" max="3" width="30.42578125" style="6" bestFit="1" customWidth="1"/>
    <col min="4" max="4" width="31.5703125" style="6" bestFit="1" customWidth="1"/>
    <col min="5" max="5" width="12.7109375" style="6" bestFit="1" customWidth="1"/>
    <col min="6" max="6" width="10.7109375" style="10" bestFit="1" customWidth="1"/>
    <col min="7" max="7" width="13" style="10" bestFit="1" customWidth="1"/>
    <col min="8" max="8" width="16" style="4" bestFit="1" customWidth="1"/>
    <col min="9" max="9" width="16.85546875" style="10" bestFit="1" customWidth="1"/>
    <col min="10" max="10" width="18.42578125" style="6" bestFit="1" customWidth="1"/>
    <col min="11" max="11" width="121" style="6" bestFit="1" customWidth="1"/>
    <col min="12" max="12" width="11" style="6" bestFit="1" customWidth="1"/>
    <col min="13" max="13" width="25.7109375" style="6" bestFit="1" customWidth="1"/>
    <col min="14" max="14" width="28.140625" style="6" bestFit="1" customWidth="1"/>
    <col min="15" max="15" width="23.5703125" style="6" bestFit="1" customWidth="1"/>
    <col min="16" max="16" width="32.140625" style="6" bestFit="1" customWidth="1"/>
    <col min="17" max="17" width="10.85546875" style="6" bestFit="1" customWidth="1"/>
    <col min="18" max="18" width="11.140625" style="6" bestFit="1" customWidth="1"/>
    <col min="19" max="19" width="18.28515625" style="6" bestFit="1" customWidth="1"/>
    <col min="20" max="20" width="19.28515625" style="6" bestFit="1" customWidth="1"/>
    <col min="21" max="21" width="16.42578125" style="6" bestFit="1" customWidth="1"/>
    <col min="22" max="22" width="11.85546875" style="6" bestFit="1" customWidth="1"/>
    <col min="23" max="23" width="23.28515625" style="6" bestFit="1" customWidth="1"/>
    <col min="24" max="24" width="27.7109375" style="6" bestFit="1" customWidth="1"/>
    <col min="25" max="25" width="27" style="6" bestFit="1" customWidth="1"/>
    <col min="26" max="26" width="19.5703125" style="6" bestFit="1" customWidth="1"/>
    <col min="27" max="27" width="32.7109375" style="6" bestFit="1" customWidth="1"/>
    <col min="28" max="28" width="29.42578125" style="6" bestFit="1" customWidth="1"/>
    <col min="29" max="29" width="40.5703125" style="6" bestFit="1" customWidth="1"/>
    <col min="30" max="30" width="26.140625" style="6" bestFit="1" customWidth="1"/>
    <col min="31" max="31" width="24" style="6" bestFit="1" customWidth="1"/>
    <col min="32" max="32" width="23.28515625" style="6" bestFit="1" customWidth="1"/>
    <col min="33" max="33" width="14.5703125" style="6" bestFit="1" customWidth="1"/>
    <col min="34" max="16384" width="9.140625" style="6"/>
  </cols>
  <sheetData>
    <row r="1" spans="1:33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10" t="s">
        <v>5</v>
      </c>
      <c r="G1" s="10" t="s">
        <v>6</v>
      </c>
      <c r="H1" s="4" t="s">
        <v>7</v>
      </c>
      <c r="I1" s="10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</row>
    <row r="2" spans="1:33" x14ac:dyDescent="0.25">
      <c r="A2" s="6">
        <v>5</v>
      </c>
      <c r="B2" s="6" t="s">
        <v>56</v>
      </c>
      <c r="C2" s="6" t="s">
        <v>51</v>
      </c>
      <c r="D2" s="6" t="s">
        <v>57</v>
      </c>
      <c r="E2" s="6" t="s">
        <v>53</v>
      </c>
      <c r="F2" s="10">
        <v>46161</v>
      </c>
      <c r="G2" s="10">
        <v>46161</v>
      </c>
      <c r="H2" s="4">
        <v>1</v>
      </c>
      <c r="I2" s="10">
        <v>46161</v>
      </c>
      <c r="K2" s="6" t="s">
        <v>58</v>
      </c>
      <c r="L2" s="6" t="s">
        <v>59</v>
      </c>
      <c r="M2" s="6" t="s">
        <v>44</v>
      </c>
      <c r="N2" s="9">
        <v>46161</v>
      </c>
      <c r="P2" s="6" t="s">
        <v>49</v>
      </c>
      <c r="Q2" s="6" t="s">
        <v>45</v>
      </c>
      <c r="R2" s="6" t="s">
        <v>55</v>
      </c>
      <c r="S2" s="9">
        <v>46161</v>
      </c>
      <c r="T2" s="9">
        <v>46161</v>
      </c>
      <c r="V2" s="6">
        <v>1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6">
        <v>0</v>
      </c>
      <c r="AD2" s="6">
        <v>0</v>
      </c>
      <c r="AE2" s="6">
        <v>0</v>
      </c>
      <c r="AF2" s="6">
        <v>0</v>
      </c>
      <c r="AG2" s="6">
        <v>0</v>
      </c>
    </row>
    <row r="3" spans="1:33" x14ac:dyDescent="0.25">
      <c r="A3" s="6">
        <v>6</v>
      </c>
      <c r="B3" s="6" t="s">
        <v>60</v>
      </c>
      <c r="C3" s="6" t="s">
        <v>51</v>
      </c>
      <c r="D3" s="6" t="s">
        <v>61</v>
      </c>
      <c r="E3" s="6" t="s">
        <v>53</v>
      </c>
      <c r="F3" s="10">
        <v>46164</v>
      </c>
      <c r="G3" s="10">
        <v>46164</v>
      </c>
      <c r="H3" s="4">
        <v>1</v>
      </c>
      <c r="I3" s="10">
        <v>46164</v>
      </c>
      <c r="K3" s="6">
        <v>206</v>
      </c>
      <c r="L3" s="6" t="s">
        <v>59</v>
      </c>
      <c r="M3" s="6" t="s">
        <v>62</v>
      </c>
      <c r="N3" s="9">
        <v>46164</v>
      </c>
      <c r="P3" s="6" t="s">
        <v>49</v>
      </c>
      <c r="Q3" s="6" t="s">
        <v>45</v>
      </c>
      <c r="R3" s="6" t="s">
        <v>55</v>
      </c>
      <c r="S3" s="9">
        <v>46164</v>
      </c>
      <c r="T3" s="9">
        <v>46164</v>
      </c>
      <c r="V3" s="6">
        <v>1</v>
      </c>
      <c r="W3" s="6">
        <v>0</v>
      </c>
      <c r="X3" s="6">
        <v>0</v>
      </c>
      <c r="Y3" s="6">
        <v>0</v>
      </c>
      <c r="Z3" s="6">
        <v>0</v>
      </c>
      <c r="AA3" s="6">
        <v>0</v>
      </c>
      <c r="AB3" s="6">
        <v>0</v>
      </c>
      <c r="AC3" s="6">
        <v>0</v>
      </c>
      <c r="AD3" s="6">
        <v>0</v>
      </c>
      <c r="AE3" s="6">
        <v>0</v>
      </c>
      <c r="AF3" s="6">
        <v>0</v>
      </c>
      <c r="AG3" s="6">
        <v>0</v>
      </c>
    </row>
    <row r="4" spans="1:33" x14ac:dyDescent="0.25">
      <c r="A4" s="6">
        <v>7</v>
      </c>
      <c r="B4" s="6" t="s">
        <v>63</v>
      </c>
      <c r="C4" s="6" t="s">
        <v>51</v>
      </c>
      <c r="D4" s="6" t="s">
        <v>64</v>
      </c>
      <c r="E4" s="6" t="s">
        <v>53</v>
      </c>
      <c r="F4" s="10">
        <v>46178</v>
      </c>
      <c r="G4" s="10">
        <v>46178</v>
      </c>
      <c r="H4" s="4">
        <v>1</v>
      </c>
      <c r="I4" s="10">
        <v>46178</v>
      </c>
      <c r="K4" s="6">
        <v>413</v>
      </c>
      <c r="L4" s="6" t="s">
        <v>59</v>
      </c>
      <c r="M4" s="6" t="s">
        <v>62</v>
      </c>
      <c r="N4" s="9">
        <v>46164</v>
      </c>
      <c r="P4" s="6" t="s">
        <v>49</v>
      </c>
      <c r="Q4" s="6" t="s">
        <v>65</v>
      </c>
      <c r="R4" s="6" t="s">
        <v>55</v>
      </c>
      <c r="S4" s="9">
        <v>46164</v>
      </c>
      <c r="T4" s="9">
        <v>46164</v>
      </c>
      <c r="V4" s="6">
        <v>1</v>
      </c>
      <c r="W4" s="6">
        <v>0</v>
      </c>
      <c r="X4" s="6">
        <v>0</v>
      </c>
      <c r="Y4" s="6">
        <v>0</v>
      </c>
      <c r="Z4" s="6">
        <v>0</v>
      </c>
      <c r="AA4" s="6">
        <v>0</v>
      </c>
      <c r="AB4" s="6">
        <v>0</v>
      </c>
      <c r="AC4" s="6">
        <v>0</v>
      </c>
      <c r="AD4" s="6">
        <v>0</v>
      </c>
      <c r="AE4" s="6">
        <v>0</v>
      </c>
      <c r="AF4" s="6">
        <v>0</v>
      </c>
      <c r="AG4" s="6">
        <v>0</v>
      </c>
    </row>
    <row r="5" spans="1:33" x14ac:dyDescent="0.25">
      <c r="A5" s="6">
        <v>11</v>
      </c>
      <c r="B5" s="6" t="s">
        <v>72</v>
      </c>
      <c r="C5" s="6" t="s">
        <v>73</v>
      </c>
      <c r="D5" s="6" t="s">
        <v>74</v>
      </c>
      <c r="E5" s="6" t="s">
        <v>75</v>
      </c>
      <c r="F5" s="10">
        <v>46139</v>
      </c>
      <c r="G5" s="10">
        <v>46139</v>
      </c>
      <c r="H5" s="4">
        <v>1</v>
      </c>
      <c r="I5" s="10">
        <v>46139</v>
      </c>
      <c r="K5" s="6" t="s">
        <v>76</v>
      </c>
      <c r="L5" s="6" t="s">
        <v>59</v>
      </c>
      <c r="M5" s="6" t="s">
        <v>36</v>
      </c>
      <c r="N5" s="9">
        <v>46139</v>
      </c>
      <c r="P5" s="6" t="s">
        <v>37</v>
      </c>
      <c r="Q5" s="6" t="s">
        <v>38</v>
      </c>
      <c r="R5" s="6" t="s">
        <v>55</v>
      </c>
      <c r="S5" s="9">
        <v>46139</v>
      </c>
      <c r="T5" s="9">
        <v>46139</v>
      </c>
      <c r="V5" s="6">
        <v>1</v>
      </c>
      <c r="W5" s="6">
        <v>0</v>
      </c>
      <c r="X5" s="6">
        <v>0</v>
      </c>
      <c r="Y5" s="6">
        <v>0</v>
      </c>
      <c r="Z5" s="6">
        <v>0</v>
      </c>
      <c r="AA5" s="6">
        <v>0</v>
      </c>
      <c r="AB5" s="6">
        <v>0</v>
      </c>
      <c r="AC5" s="6">
        <v>0</v>
      </c>
      <c r="AD5" s="6">
        <v>0</v>
      </c>
      <c r="AE5" s="6">
        <v>0</v>
      </c>
      <c r="AF5" s="6">
        <v>0</v>
      </c>
      <c r="AG5" s="6">
        <v>0</v>
      </c>
    </row>
    <row r="6" spans="1:33" x14ac:dyDescent="0.25">
      <c r="A6" s="6">
        <v>12</v>
      </c>
      <c r="B6" s="6" t="s">
        <v>77</v>
      </c>
      <c r="C6" s="6" t="s">
        <v>73</v>
      </c>
      <c r="D6" s="6" t="s">
        <v>78</v>
      </c>
      <c r="E6" s="6" t="s">
        <v>79</v>
      </c>
      <c r="F6" s="10">
        <v>46141</v>
      </c>
      <c r="G6" s="10">
        <v>46141</v>
      </c>
      <c r="H6" s="4">
        <v>1</v>
      </c>
      <c r="I6" s="10">
        <v>46141</v>
      </c>
      <c r="L6" s="6" t="s">
        <v>59</v>
      </c>
      <c r="M6" s="6" t="s">
        <v>80</v>
      </c>
      <c r="N6" s="9">
        <v>46141</v>
      </c>
      <c r="P6" s="6" t="s">
        <v>81</v>
      </c>
      <c r="Q6" s="6" t="s">
        <v>38</v>
      </c>
      <c r="R6" s="6" t="s">
        <v>55</v>
      </c>
      <c r="S6" s="9">
        <v>46141</v>
      </c>
      <c r="T6" s="9">
        <v>46141</v>
      </c>
      <c r="V6" s="6">
        <v>1</v>
      </c>
      <c r="W6" s="6">
        <v>0</v>
      </c>
      <c r="X6" s="6">
        <v>0</v>
      </c>
      <c r="Y6" s="6">
        <v>0</v>
      </c>
      <c r="Z6" s="6">
        <v>0</v>
      </c>
      <c r="AA6" s="6">
        <v>0</v>
      </c>
      <c r="AB6" s="6">
        <v>0</v>
      </c>
      <c r="AC6" s="6">
        <v>0</v>
      </c>
      <c r="AD6" s="6">
        <v>0</v>
      </c>
      <c r="AE6" s="6">
        <v>0</v>
      </c>
      <c r="AF6" s="6">
        <v>0</v>
      </c>
      <c r="AG6" s="6">
        <v>0</v>
      </c>
    </row>
    <row r="7" spans="1:33" x14ac:dyDescent="0.25">
      <c r="A7" s="6">
        <v>13</v>
      </c>
      <c r="B7" s="6" t="s">
        <v>82</v>
      </c>
      <c r="C7" s="6" t="s">
        <v>83</v>
      </c>
      <c r="D7" s="6" t="s">
        <v>84</v>
      </c>
      <c r="E7" s="6" t="s">
        <v>75</v>
      </c>
      <c r="F7" s="10">
        <v>46141</v>
      </c>
      <c r="G7" s="10">
        <v>46141</v>
      </c>
      <c r="H7" s="4">
        <v>1</v>
      </c>
      <c r="I7" s="10">
        <v>46141</v>
      </c>
      <c r="L7" s="6" t="s">
        <v>59</v>
      </c>
      <c r="M7" s="6" t="s">
        <v>80</v>
      </c>
      <c r="N7" s="9">
        <v>46141</v>
      </c>
      <c r="P7" s="6" t="s">
        <v>81</v>
      </c>
      <c r="Q7" s="6" t="s">
        <v>38</v>
      </c>
      <c r="R7" s="6" t="s">
        <v>55</v>
      </c>
      <c r="S7" s="9">
        <v>46141</v>
      </c>
      <c r="T7" s="9">
        <v>46141</v>
      </c>
      <c r="V7" s="6">
        <v>1</v>
      </c>
      <c r="W7" s="6">
        <v>0</v>
      </c>
      <c r="X7" s="6">
        <v>0</v>
      </c>
      <c r="Y7" s="6">
        <v>0</v>
      </c>
      <c r="Z7" s="6">
        <v>0</v>
      </c>
      <c r="AA7" s="6">
        <v>0</v>
      </c>
      <c r="AB7" s="6">
        <v>0</v>
      </c>
      <c r="AC7" s="6">
        <v>0</v>
      </c>
      <c r="AD7" s="6">
        <v>0</v>
      </c>
      <c r="AE7" s="6">
        <v>0</v>
      </c>
      <c r="AF7" s="6">
        <v>0</v>
      </c>
      <c r="AG7" s="6">
        <v>0</v>
      </c>
    </row>
    <row r="8" spans="1:33" x14ac:dyDescent="0.25">
      <c r="A8" s="6">
        <v>14</v>
      </c>
      <c r="B8" s="6" t="s">
        <v>85</v>
      </c>
      <c r="C8" s="6" t="s">
        <v>73</v>
      </c>
      <c r="D8" s="6" t="s">
        <v>86</v>
      </c>
      <c r="E8" s="6" t="s">
        <v>87</v>
      </c>
      <c r="F8" s="10">
        <v>46139</v>
      </c>
      <c r="G8" s="10">
        <v>46174</v>
      </c>
      <c r="H8" s="4">
        <v>1</v>
      </c>
      <c r="I8" s="10">
        <v>46174</v>
      </c>
      <c r="L8" s="6" t="s">
        <v>59</v>
      </c>
      <c r="M8" s="6" t="s">
        <v>36</v>
      </c>
      <c r="N8" s="9">
        <v>46161</v>
      </c>
      <c r="P8" s="6" t="s">
        <v>88</v>
      </c>
      <c r="Q8" s="6" t="s">
        <v>38</v>
      </c>
      <c r="R8" s="6" t="s">
        <v>55</v>
      </c>
      <c r="S8" s="9">
        <v>46139</v>
      </c>
      <c r="T8" s="9">
        <v>46161</v>
      </c>
      <c r="V8" s="6">
        <v>1</v>
      </c>
      <c r="W8" s="6">
        <v>0</v>
      </c>
      <c r="X8" s="6">
        <v>0</v>
      </c>
      <c r="Y8" s="6">
        <v>0</v>
      </c>
      <c r="Z8" s="6">
        <v>0</v>
      </c>
      <c r="AA8" s="6">
        <v>0</v>
      </c>
      <c r="AB8" s="6">
        <v>0</v>
      </c>
      <c r="AC8" s="6">
        <v>0</v>
      </c>
      <c r="AD8" s="6">
        <v>0</v>
      </c>
      <c r="AE8" s="6">
        <v>0</v>
      </c>
      <c r="AF8" s="6">
        <v>0</v>
      </c>
      <c r="AG8" s="6">
        <v>0</v>
      </c>
    </row>
    <row r="9" spans="1:33" x14ac:dyDescent="0.25">
      <c r="A9" s="6">
        <v>15</v>
      </c>
      <c r="B9" s="6" t="s">
        <v>89</v>
      </c>
      <c r="C9" s="6" t="s">
        <v>90</v>
      </c>
      <c r="D9" s="6" t="s">
        <v>91</v>
      </c>
      <c r="E9" s="6" t="s">
        <v>43</v>
      </c>
      <c r="F9" s="10">
        <v>46139</v>
      </c>
      <c r="G9" s="10">
        <v>46170</v>
      </c>
      <c r="H9" s="4">
        <v>1</v>
      </c>
      <c r="I9" s="10">
        <v>46170</v>
      </c>
      <c r="L9" s="6" t="s">
        <v>59</v>
      </c>
      <c r="M9" s="6" t="s">
        <v>36</v>
      </c>
      <c r="N9" s="9">
        <v>46161</v>
      </c>
      <c r="P9" s="6" t="s">
        <v>88</v>
      </c>
      <c r="Q9" s="6" t="s">
        <v>38</v>
      </c>
      <c r="R9" s="6" t="s">
        <v>55</v>
      </c>
      <c r="S9" s="9">
        <v>46139</v>
      </c>
      <c r="T9" s="9">
        <v>46161</v>
      </c>
      <c r="V9" s="6">
        <v>1</v>
      </c>
      <c r="W9" s="6">
        <v>0</v>
      </c>
      <c r="X9" s="6">
        <v>0</v>
      </c>
      <c r="Y9" s="6">
        <v>0</v>
      </c>
      <c r="Z9" s="6">
        <v>0</v>
      </c>
      <c r="AA9" s="6">
        <v>0</v>
      </c>
      <c r="AB9" s="6">
        <v>0</v>
      </c>
      <c r="AC9" s="6">
        <v>0</v>
      </c>
      <c r="AD9" s="6">
        <v>0</v>
      </c>
      <c r="AE9" s="6">
        <v>0</v>
      </c>
      <c r="AF9" s="6">
        <v>0</v>
      </c>
      <c r="AG9" s="6">
        <v>0</v>
      </c>
    </row>
    <row r="10" spans="1:33" x14ac:dyDescent="0.25">
      <c r="A10" s="6">
        <v>16</v>
      </c>
      <c r="B10" s="6" t="s">
        <v>92</v>
      </c>
      <c r="C10" s="6" t="s">
        <v>93</v>
      </c>
      <c r="D10" s="6" t="s">
        <v>94</v>
      </c>
      <c r="E10" s="6" t="s">
        <v>95</v>
      </c>
      <c r="F10" s="10">
        <v>46139</v>
      </c>
      <c r="G10" s="10">
        <v>46141</v>
      </c>
      <c r="H10" s="4">
        <v>1</v>
      </c>
      <c r="I10" s="10">
        <v>46141</v>
      </c>
      <c r="J10" s="6">
        <v>11</v>
      </c>
      <c r="K10" s="6" t="s">
        <v>96</v>
      </c>
      <c r="L10" s="6" t="s">
        <v>59</v>
      </c>
      <c r="M10" s="6" t="s">
        <v>36</v>
      </c>
      <c r="N10" s="9">
        <v>46141</v>
      </c>
      <c r="P10" s="6" t="s">
        <v>88</v>
      </c>
      <c r="Q10" s="6" t="s">
        <v>38</v>
      </c>
      <c r="R10" s="6" t="s">
        <v>55</v>
      </c>
      <c r="S10" s="9">
        <v>46139</v>
      </c>
      <c r="T10" s="9">
        <v>46141</v>
      </c>
      <c r="V10" s="6">
        <v>1</v>
      </c>
      <c r="W10" s="6">
        <v>1</v>
      </c>
      <c r="X10" s="6">
        <v>1</v>
      </c>
      <c r="Y10" s="6">
        <v>0</v>
      </c>
      <c r="Z10" s="6">
        <v>0</v>
      </c>
      <c r="AA10" s="6">
        <v>0</v>
      </c>
      <c r="AB10" s="6">
        <v>0</v>
      </c>
      <c r="AC10" s="6">
        <v>0</v>
      </c>
      <c r="AD10" s="6">
        <v>0</v>
      </c>
      <c r="AE10" s="6">
        <v>0</v>
      </c>
      <c r="AF10" s="6">
        <v>0</v>
      </c>
      <c r="AG10" s="6">
        <v>1</v>
      </c>
    </row>
    <row r="11" spans="1:33" x14ac:dyDescent="0.25">
      <c r="A11" s="6">
        <v>17</v>
      </c>
      <c r="B11" s="6" t="s">
        <v>97</v>
      </c>
      <c r="C11" s="6" t="s">
        <v>93</v>
      </c>
      <c r="D11" s="6" t="s">
        <v>98</v>
      </c>
      <c r="E11" s="6" t="s">
        <v>53</v>
      </c>
      <c r="F11" s="10">
        <v>46142</v>
      </c>
      <c r="G11" s="10">
        <v>46142</v>
      </c>
      <c r="H11" s="4">
        <v>1</v>
      </c>
      <c r="I11" s="10">
        <v>46142</v>
      </c>
      <c r="J11" s="6">
        <v>16</v>
      </c>
      <c r="K11" s="6" t="s">
        <v>99</v>
      </c>
      <c r="L11" s="6" t="s">
        <v>59</v>
      </c>
      <c r="M11" s="6" t="s">
        <v>100</v>
      </c>
      <c r="N11" s="9">
        <v>46142</v>
      </c>
      <c r="P11" s="6" t="s">
        <v>88</v>
      </c>
      <c r="Q11" s="6" t="s">
        <v>38</v>
      </c>
      <c r="R11" s="6" t="s">
        <v>55</v>
      </c>
      <c r="S11" s="9">
        <v>46142</v>
      </c>
      <c r="T11" s="9">
        <v>46142</v>
      </c>
      <c r="V11" s="6">
        <v>1</v>
      </c>
      <c r="W11" s="6">
        <v>0</v>
      </c>
      <c r="X11" s="6">
        <v>0</v>
      </c>
      <c r="Y11" s="6">
        <v>0</v>
      </c>
      <c r="Z11" s="6">
        <v>0</v>
      </c>
      <c r="AA11" s="6">
        <v>1</v>
      </c>
      <c r="AB11" s="6">
        <v>0</v>
      </c>
      <c r="AC11" s="6">
        <v>0</v>
      </c>
      <c r="AD11" s="6">
        <v>0</v>
      </c>
      <c r="AE11" s="6">
        <v>0</v>
      </c>
      <c r="AF11" s="6">
        <v>0</v>
      </c>
      <c r="AG11" s="6">
        <v>0</v>
      </c>
    </row>
    <row r="12" spans="1:33" x14ac:dyDescent="0.25">
      <c r="A12" s="6">
        <v>18</v>
      </c>
      <c r="B12" s="6" t="s">
        <v>101</v>
      </c>
      <c r="C12" s="6" t="s">
        <v>93</v>
      </c>
      <c r="D12" s="6" t="s">
        <v>102</v>
      </c>
      <c r="E12" s="6" t="s">
        <v>103</v>
      </c>
      <c r="F12" s="10">
        <v>46148</v>
      </c>
      <c r="G12" s="10">
        <v>46155</v>
      </c>
      <c r="H12" s="4">
        <v>1</v>
      </c>
      <c r="I12" s="10">
        <v>46155</v>
      </c>
      <c r="J12" s="6" t="s">
        <v>104</v>
      </c>
      <c r="K12" s="6" t="s">
        <v>105</v>
      </c>
      <c r="L12" s="6" t="s">
        <v>59</v>
      </c>
      <c r="M12" s="6" t="s">
        <v>106</v>
      </c>
      <c r="N12" s="9">
        <v>46155</v>
      </c>
      <c r="P12" s="6" t="s">
        <v>88</v>
      </c>
      <c r="Q12" s="6" t="s">
        <v>38</v>
      </c>
      <c r="R12" s="6" t="s">
        <v>55</v>
      </c>
      <c r="S12" s="9">
        <v>46148</v>
      </c>
      <c r="T12" s="9">
        <v>46155</v>
      </c>
      <c r="V12" s="6">
        <v>1</v>
      </c>
      <c r="W12" s="6">
        <v>0</v>
      </c>
      <c r="X12" s="6">
        <v>0</v>
      </c>
      <c r="Y12" s="6">
        <v>0</v>
      </c>
      <c r="Z12" s="6">
        <v>0</v>
      </c>
      <c r="AA12" s="6">
        <v>0</v>
      </c>
      <c r="AB12" s="6">
        <v>0</v>
      </c>
      <c r="AC12" s="6">
        <v>1</v>
      </c>
      <c r="AD12" s="6">
        <v>0</v>
      </c>
      <c r="AE12" s="6">
        <v>0</v>
      </c>
      <c r="AF12" s="6">
        <v>0</v>
      </c>
      <c r="AG12" s="6">
        <v>0</v>
      </c>
    </row>
    <row r="13" spans="1:33" x14ac:dyDescent="0.25">
      <c r="A13" s="6">
        <v>19</v>
      </c>
      <c r="B13" s="6" t="s">
        <v>107</v>
      </c>
      <c r="C13" s="6" t="s">
        <v>93</v>
      </c>
      <c r="D13" s="6" t="s">
        <v>108</v>
      </c>
      <c r="E13" s="6" t="s">
        <v>53</v>
      </c>
      <c r="F13" s="10">
        <v>46170</v>
      </c>
      <c r="G13" s="10">
        <v>46170</v>
      </c>
      <c r="H13" s="4">
        <v>1</v>
      </c>
      <c r="I13" s="10">
        <v>46170</v>
      </c>
      <c r="J13" s="6" t="s">
        <v>109</v>
      </c>
      <c r="L13" s="6" t="s">
        <v>59</v>
      </c>
      <c r="M13" s="6" t="s">
        <v>44</v>
      </c>
      <c r="N13" s="9">
        <v>46161</v>
      </c>
      <c r="P13" s="6" t="s">
        <v>88</v>
      </c>
      <c r="Q13" s="6" t="s">
        <v>110</v>
      </c>
      <c r="R13" s="6" t="s">
        <v>55</v>
      </c>
      <c r="S13" s="9">
        <v>46161</v>
      </c>
      <c r="T13" s="9">
        <v>46161</v>
      </c>
      <c r="V13" s="6">
        <v>1</v>
      </c>
      <c r="W13" s="6">
        <v>0</v>
      </c>
      <c r="X13" s="6">
        <v>0</v>
      </c>
      <c r="Y13" s="6">
        <v>0</v>
      </c>
      <c r="Z13" s="6">
        <v>1</v>
      </c>
      <c r="AA13" s="6">
        <v>0</v>
      </c>
      <c r="AB13" s="6">
        <v>0</v>
      </c>
      <c r="AC13" s="6">
        <v>0</v>
      </c>
      <c r="AD13" s="6">
        <v>0</v>
      </c>
      <c r="AE13" s="6">
        <v>1</v>
      </c>
      <c r="AF13" s="6">
        <v>0</v>
      </c>
      <c r="AG13" s="6">
        <v>0</v>
      </c>
    </row>
    <row r="14" spans="1:33" x14ac:dyDescent="0.25">
      <c r="A14" s="6">
        <v>20</v>
      </c>
      <c r="B14" s="6" t="s">
        <v>111</v>
      </c>
      <c r="C14" s="6" t="s">
        <v>90</v>
      </c>
      <c r="D14" s="6" t="s">
        <v>112</v>
      </c>
      <c r="E14" s="6" t="s">
        <v>113</v>
      </c>
      <c r="F14" s="10">
        <v>46142</v>
      </c>
      <c r="G14" s="10">
        <v>46174</v>
      </c>
      <c r="H14" s="4">
        <v>1</v>
      </c>
      <c r="I14" s="10">
        <v>46174</v>
      </c>
      <c r="L14" s="6" t="s">
        <v>59</v>
      </c>
      <c r="M14" s="6" t="s">
        <v>100</v>
      </c>
      <c r="N14" s="9">
        <v>46161</v>
      </c>
      <c r="P14" s="6" t="s">
        <v>88</v>
      </c>
      <c r="Q14" s="6" t="s">
        <v>38</v>
      </c>
      <c r="R14" s="6" t="s">
        <v>55</v>
      </c>
      <c r="S14" s="9">
        <v>46142</v>
      </c>
      <c r="T14" s="9">
        <v>46161</v>
      </c>
      <c r="V14" s="6">
        <v>1</v>
      </c>
      <c r="W14" s="6">
        <v>0</v>
      </c>
      <c r="X14" s="6">
        <v>0</v>
      </c>
      <c r="Y14" s="6">
        <v>0</v>
      </c>
      <c r="Z14" s="6">
        <v>0</v>
      </c>
      <c r="AA14" s="6">
        <v>0</v>
      </c>
      <c r="AB14" s="6">
        <v>0</v>
      </c>
      <c r="AC14" s="6">
        <v>0</v>
      </c>
      <c r="AD14" s="6">
        <v>0</v>
      </c>
      <c r="AE14" s="6">
        <v>0</v>
      </c>
      <c r="AF14" s="6">
        <v>0</v>
      </c>
      <c r="AG14" s="6">
        <v>0</v>
      </c>
    </row>
    <row r="15" spans="1:33" x14ac:dyDescent="0.25">
      <c r="A15" s="6">
        <v>21</v>
      </c>
      <c r="B15" s="6" t="s">
        <v>114</v>
      </c>
      <c r="C15" s="6" t="s">
        <v>115</v>
      </c>
      <c r="D15" s="6" t="s">
        <v>94</v>
      </c>
      <c r="E15" s="6" t="s">
        <v>95</v>
      </c>
      <c r="F15" s="10">
        <v>46142</v>
      </c>
      <c r="G15" s="10">
        <v>46146</v>
      </c>
      <c r="H15" s="4">
        <v>1</v>
      </c>
      <c r="I15" s="10">
        <v>46146</v>
      </c>
      <c r="J15" s="6">
        <v>16</v>
      </c>
      <c r="K15" s="6" t="s">
        <v>116</v>
      </c>
      <c r="L15" s="6" t="s">
        <v>59</v>
      </c>
      <c r="M15" s="6" t="s">
        <v>100</v>
      </c>
      <c r="N15" s="9">
        <v>46146</v>
      </c>
      <c r="P15" s="6" t="s">
        <v>88</v>
      </c>
      <c r="Q15" s="6" t="s">
        <v>38</v>
      </c>
      <c r="R15" s="6" t="s">
        <v>55</v>
      </c>
      <c r="S15" s="9">
        <v>46142</v>
      </c>
      <c r="T15" s="9">
        <v>46146</v>
      </c>
      <c r="V15" s="6">
        <v>1</v>
      </c>
      <c r="W15" s="6">
        <v>1</v>
      </c>
      <c r="X15" s="6">
        <v>1</v>
      </c>
      <c r="Y15" s="6">
        <v>0</v>
      </c>
      <c r="Z15" s="6">
        <v>0</v>
      </c>
      <c r="AA15" s="6">
        <v>0</v>
      </c>
      <c r="AB15" s="6">
        <v>0</v>
      </c>
      <c r="AC15" s="6">
        <v>0</v>
      </c>
      <c r="AD15" s="6">
        <v>0</v>
      </c>
      <c r="AE15" s="6">
        <v>0</v>
      </c>
      <c r="AF15" s="6">
        <v>0</v>
      </c>
      <c r="AG15" s="6">
        <v>1</v>
      </c>
    </row>
    <row r="16" spans="1:33" x14ac:dyDescent="0.25">
      <c r="A16" s="6">
        <v>22</v>
      </c>
      <c r="B16" s="6" t="s">
        <v>117</v>
      </c>
      <c r="C16" s="6" t="s">
        <v>115</v>
      </c>
      <c r="D16" s="6" t="s">
        <v>98</v>
      </c>
      <c r="E16" s="6" t="s">
        <v>53</v>
      </c>
      <c r="F16" s="10">
        <v>46147</v>
      </c>
      <c r="G16" s="10">
        <v>46147</v>
      </c>
      <c r="H16" s="4">
        <v>1</v>
      </c>
      <c r="I16" s="10">
        <v>46147</v>
      </c>
      <c r="J16" s="6">
        <v>21</v>
      </c>
      <c r="K16" s="6" t="s">
        <v>118</v>
      </c>
      <c r="L16" s="6" t="s">
        <v>59</v>
      </c>
      <c r="M16" s="6" t="s">
        <v>119</v>
      </c>
      <c r="N16" s="9">
        <v>46147</v>
      </c>
      <c r="P16" s="6" t="s">
        <v>88</v>
      </c>
      <c r="Q16" s="6" t="s">
        <v>38</v>
      </c>
      <c r="R16" s="6" t="s">
        <v>55</v>
      </c>
      <c r="S16" s="9">
        <v>46147</v>
      </c>
      <c r="T16" s="9">
        <v>46147</v>
      </c>
      <c r="V16" s="6">
        <v>1</v>
      </c>
      <c r="W16" s="6">
        <v>0</v>
      </c>
      <c r="X16" s="6">
        <v>0</v>
      </c>
      <c r="Y16" s="6">
        <v>0</v>
      </c>
      <c r="Z16" s="6">
        <v>0</v>
      </c>
      <c r="AA16" s="6">
        <v>1</v>
      </c>
      <c r="AB16" s="6">
        <v>0</v>
      </c>
      <c r="AC16" s="6">
        <v>0</v>
      </c>
      <c r="AD16" s="6">
        <v>0</v>
      </c>
      <c r="AE16" s="6">
        <v>0</v>
      </c>
      <c r="AF16" s="6">
        <v>0</v>
      </c>
      <c r="AG16" s="6">
        <v>0</v>
      </c>
    </row>
    <row r="17" spans="1:33" x14ac:dyDescent="0.25">
      <c r="A17" s="6">
        <v>23</v>
      </c>
      <c r="B17" s="6" t="s">
        <v>120</v>
      </c>
      <c r="C17" s="6" t="s">
        <v>115</v>
      </c>
      <c r="D17" s="6" t="s">
        <v>102</v>
      </c>
      <c r="E17" s="6" t="s">
        <v>121</v>
      </c>
      <c r="F17" s="10">
        <v>46155</v>
      </c>
      <c r="G17" s="10">
        <v>46160</v>
      </c>
      <c r="H17" s="4">
        <v>1</v>
      </c>
      <c r="I17" s="10">
        <v>46160</v>
      </c>
      <c r="J17" s="6" t="s">
        <v>122</v>
      </c>
      <c r="K17" s="6" t="s">
        <v>123</v>
      </c>
      <c r="L17" s="6" t="s">
        <v>59</v>
      </c>
      <c r="M17" s="6" t="s">
        <v>124</v>
      </c>
      <c r="N17" s="9">
        <v>46160</v>
      </c>
      <c r="P17" s="6" t="s">
        <v>88</v>
      </c>
      <c r="Q17" s="6" t="s">
        <v>125</v>
      </c>
      <c r="R17" s="6" t="s">
        <v>55</v>
      </c>
      <c r="S17" s="9">
        <v>46155</v>
      </c>
      <c r="T17" s="9">
        <v>46160</v>
      </c>
      <c r="V17" s="6">
        <v>1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0</v>
      </c>
      <c r="AC17" s="6">
        <v>1</v>
      </c>
      <c r="AD17" s="6">
        <v>0</v>
      </c>
      <c r="AE17" s="6">
        <v>0</v>
      </c>
      <c r="AF17" s="6">
        <v>0</v>
      </c>
      <c r="AG17" s="6">
        <v>0</v>
      </c>
    </row>
    <row r="18" spans="1:33" x14ac:dyDescent="0.25">
      <c r="A18" s="6">
        <v>24</v>
      </c>
      <c r="B18" s="6" t="s">
        <v>126</v>
      </c>
      <c r="C18" s="6" t="s">
        <v>115</v>
      </c>
      <c r="D18" s="6" t="s">
        <v>108</v>
      </c>
      <c r="E18" s="6" t="s">
        <v>53</v>
      </c>
      <c r="F18" s="10">
        <v>46171</v>
      </c>
      <c r="G18" s="10">
        <v>46174</v>
      </c>
      <c r="H18" s="4">
        <v>1</v>
      </c>
      <c r="I18" s="10">
        <v>46174</v>
      </c>
      <c r="J18" s="6" t="s">
        <v>127</v>
      </c>
      <c r="L18" s="6" t="s">
        <v>59</v>
      </c>
      <c r="M18" s="6" t="s">
        <v>128</v>
      </c>
      <c r="N18" s="9">
        <v>46161</v>
      </c>
      <c r="P18" s="6" t="s">
        <v>88</v>
      </c>
      <c r="Q18" s="6" t="s">
        <v>110</v>
      </c>
      <c r="R18" s="6" t="s">
        <v>55</v>
      </c>
      <c r="S18" s="9">
        <v>46160</v>
      </c>
      <c r="T18" s="9">
        <v>46161</v>
      </c>
      <c r="V18" s="6">
        <v>1</v>
      </c>
      <c r="W18" s="6">
        <v>0</v>
      </c>
      <c r="X18" s="6">
        <v>0</v>
      </c>
      <c r="Y18" s="6">
        <v>0</v>
      </c>
      <c r="Z18" s="6">
        <v>1</v>
      </c>
      <c r="AA18" s="6">
        <v>0</v>
      </c>
      <c r="AB18" s="6">
        <v>0</v>
      </c>
      <c r="AC18" s="6">
        <v>0</v>
      </c>
      <c r="AD18" s="6">
        <v>0</v>
      </c>
      <c r="AE18" s="6">
        <v>1</v>
      </c>
      <c r="AF18" s="6">
        <v>0</v>
      </c>
      <c r="AG18" s="6">
        <v>0</v>
      </c>
    </row>
    <row r="19" spans="1:33" x14ac:dyDescent="0.25">
      <c r="A19" s="6">
        <v>47</v>
      </c>
      <c r="B19" s="6" t="s">
        <v>166</v>
      </c>
      <c r="C19" s="6" t="s">
        <v>167</v>
      </c>
      <c r="D19" s="6" t="s">
        <v>94</v>
      </c>
      <c r="E19" s="6" t="s">
        <v>95</v>
      </c>
      <c r="F19" s="10">
        <v>46139</v>
      </c>
      <c r="G19" s="10">
        <v>46141</v>
      </c>
      <c r="H19" s="4">
        <v>1</v>
      </c>
      <c r="I19" s="10">
        <v>46141</v>
      </c>
      <c r="J19" s="6">
        <v>11</v>
      </c>
      <c r="K19" s="6">
        <v>48</v>
      </c>
      <c r="L19" s="6" t="s">
        <v>59</v>
      </c>
      <c r="M19" s="6" t="s">
        <v>36</v>
      </c>
      <c r="N19" s="9">
        <v>46141</v>
      </c>
      <c r="P19" s="6" t="s">
        <v>132</v>
      </c>
      <c r="Q19" s="6" t="s">
        <v>38</v>
      </c>
      <c r="R19" s="6" t="s">
        <v>55</v>
      </c>
      <c r="S19" s="9">
        <v>46139</v>
      </c>
      <c r="T19" s="9">
        <v>46141</v>
      </c>
      <c r="V19" s="6">
        <v>1</v>
      </c>
      <c r="W19" s="6">
        <v>1</v>
      </c>
      <c r="X19" s="6">
        <v>1</v>
      </c>
      <c r="Y19" s="6">
        <v>0</v>
      </c>
      <c r="Z19" s="6">
        <v>0</v>
      </c>
      <c r="AA19" s="6">
        <v>0</v>
      </c>
      <c r="AB19" s="6">
        <v>0</v>
      </c>
      <c r="AC19" s="6">
        <v>0</v>
      </c>
      <c r="AD19" s="6">
        <v>0</v>
      </c>
      <c r="AE19" s="6">
        <v>0</v>
      </c>
      <c r="AF19" s="6">
        <v>0</v>
      </c>
      <c r="AG19" s="6">
        <v>1</v>
      </c>
    </row>
    <row r="20" spans="1:33" x14ac:dyDescent="0.25">
      <c r="A20" s="6">
        <v>48</v>
      </c>
      <c r="B20" s="6" t="s">
        <v>168</v>
      </c>
      <c r="C20" s="6" t="s">
        <v>167</v>
      </c>
      <c r="D20" s="6" t="s">
        <v>98</v>
      </c>
      <c r="E20" s="6" t="s">
        <v>53</v>
      </c>
      <c r="F20" s="10">
        <v>46142</v>
      </c>
      <c r="G20" s="10">
        <v>46142</v>
      </c>
      <c r="H20" s="4">
        <v>1</v>
      </c>
      <c r="I20" s="10">
        <v>46142</v>
      </c>
      <c r="J20" s="6">
        <v>47</v>
      </c>
      <c r="K20" s="6" t="s">
        <v>169</v>
      </c>
      <c r="L20" s="6" t="s">
        <v>59</v>
      </c>
      <c r="M20" s="6" t="s">
        <v>100</v>
      </c>
      <c r="N20" s="9">
        <v>46142</v>
      </c>
      <c r="P20" s="6" t="s">
        <v>132</v>
      </c>
      <c r="Q20" s="6" t="s">
        <v>38</v>
      </c>
      <c r="R20" s="6" t="s">
        <v>55</v>
      </c>
      <c r="S20" s="9">
        <v>46142</v>
      </c>
      <c r="T20" s="9">
        <v>46142</v>
      </c>
      <c r="V20" s="6">
        <v>1</v>
      </c>
      <c r="W20" s="6">
        <v>0</v>
      </c>
      <c r="X20" s="6">
        <v>0</v>
      </c>
      <c r="Y20" s="6">
        <v>0</v>
      </c>
      <c r="Z20" s="6">
        <v>0</v>
      </c>
      <c r="AA20" s="6">
        <v>1</v>
      </c>
      <c r="AB20" s="6">
        <v>0</v>
      </c>
      <c r="AC20" s="6">
        <v>0</v>
      </c>
      <c r="AD20" s="6">
        <v>0</v>
      </c>
      <c r="AE20" s="6">
        <v>0</v>
      </c>
      <c r="AF20" s="6">
        <v>0</v>
      </c>
      <c r="AG20" s="6">
        <v>0</v>
      </c>
    </row>
    <row r="21" spans="1:33" x14ac:dyDescent="0.25">
      <c r="A21" s="6">
        <v>63</v>
      </c>
      <c r="B21" s="6" t="s">
        <v>182</v>
      </c>
      <c r="C21" s="6" t="s">
        <v>183</v>
      </c>
      <c r="D21" s="6" t="s">
        <v>94</v>
      </c>
      <c r="E21" s="6" t="s">
        <v>53</v>
      </c>
      <c r="F21" s="10">
        <v>46191</v>
      </c>
      <c r="G21" s="10">
        <v>46191</v>
      </c>
      <c r="H21" s="4">
        <v>1</v>
      </c>
      <c r="I21" s="10">
        <v>46191</v>
      </c>
      <c r="J21" s="6" t="s">
        <v>184</v>
      </c>
      <c r="K21" s="6" t="s">
        <v>185</v>
      </c>
      <c r="L21" s="6" t="s">
        <v>59</v>
      </c>
      <c r="M21" s="6" t="s">
        <v>44</v>
      </c>
      <c r="N21" s="9">
        <v>46161</v>
      </c>
      <c r="P21" s="6" t="s">
        <v>178</v>
      </c>
      <c r="Q21" s="6" t="s">
        <v>138</v>
      </c>
      <c r="R21" s="6" t="s">
        <v>55</v>
      </c>
      <c r="S21" s="9">
        <v>46161</v>
      </c>
      <c r="T21" s="9">
        <v>46161</v>
      </c>
      <c r="V21" s="6">
        <v>1</v>
      </c>
      <c r="W21" s="6">
        <v>1</v>
      </c>
      <c r="X21" s="6">
        <v>1</v>
      </c>
      <c r="Y21" s="6">
        <v>0</v>
      </c>
      <c r="Z21" s="6">
        <v>0</v>
      </c>
      <c r="AA21" s="6">
        <v>0</v>
      </c>
      <c r="AB21" s="6">
        <v>0</v>
      </c>
      <c r="AC21" s="6">
        <v>0</v>
      </c>
      <c r="AD21" s="6">
        <v>0</v>
      </c>
      <c r="AE21" s="6">
        <v>0</v>
      </c>
      <c r="AF21" s="6">
        <v>0</v>
      </c>
      <c r="AG21" s="6">
        <v>1</v>
      </c>
    </row>
    <row r="22" spans="1:33" x14ac:dyDescent="0.25">
      <c r="A22" s="6">
        <v>64</v>
      </c>
      <c r="B22" s="6" t="s">
        <v>186</v>
      </c>
      <c r="C22" s="6" t="s">
        <v>183</v>
      </c>
      <c r="D22" s="6" t="s">
        <v>98</v>
      </c>
      <c r="E22" s="6" t="s">
        <v>53</v>
      </c>
      <c r="F22" s="10">
        <v>46192</v>
      </c>
      <c r="G22" s="10">
        <v>46192</v>
      </c>
      <c r="H22" s="4">
        <v>1</v>
      </c>
      <c r="I22" s="10">
        <v>46192</v>
      </c>
      <c r="J22" s="6">
        <v>63</v>
      </c>
      <c r="K22" s="6">
        <v>65</v>
      </c>
      <c r="L22" s="6" t="s">
        <v>59</v>
      </c>
      <c r="M22" s="6" t="s">
        <v>187</v>
      </c>
      <c r="N22" s="9">
        <v>46162</v>
      </c>
      <c r="P22" s="6" t="s">
        <v>178</v>
      </c>
      <c r="Q22" s="6" t="s">
        <v>138</v>
      </c>
      <c r="R22" s="6" t="s">
        <v>55</v>
      </c>
      <c r="S22" s="9">
        <v>46162</v>
      </c>
      <c r="T22" s="9">
        <v>46162</v>
      </c>
      <c r="V22" s="6">
        <v>1</v>
      </c>
      <c r="W22" s="6">
        <v>0</v>
      </c>
      <c r="X22" s="6">
        <v>0</v>
      </c>
      <c r="Y22" s="6">
        <v>0</v>
      </c>
      <c r="Z22" s="6">
        <v>0</v>
      </c>
      <c r="AA22" s="6">
        <v>1</v>
      </c>
      <c r="AB22" s="6">
        <v>0</v>
      </c>
      <c r="AC22" s="6">
        <v>0</v>
      </c>
      <c r="AD22" s="6">
        <v>0</v>
      </c>
      <c r="AE22" s="6">
        <v>0</v>
      </c>
      <c r="AF22" s="6">
        <v>0</v>
      </c>
      <c r="AG22" s="6">
        <v>0</v>
      </c>
    </row>
    <row r="23" spans="1:33" x14ac:dyDescent="0.25">
      <c r="A23" s="6">
        <v>78</v>
      </c>
      <c r="B23" s="6" t="s">
        <v>198</v>
      </c>
      <c r="C23" s="6" t="s">
        <v>199</v>
      </c>
      <c r="D23" s="6" t="s">
        <v>200</v>
      </c>
      <c r="E23" s="6" t="s">
        <v>201</v>
      </c>
      <c r="F23" s="10">
        <v>46168</v>
      </c>
      <c r="G23" s="10">
        <v>46175</v>
      </c>
      <c r="H23" s="4">
        <v>1</v>
      </c>
      <c r="I23" s="10">
        <v>46175</v>
      </c>
      <c r="L23" s="6" t="s">
        <v>59</v>
      </c>
      <c r="M23" s="6" t="s">
        <v>44</v>
      </c>
      <c r="N23" s="9">
        <v>46168</v>
      </c>
      <c r="P23" s="6" t="s">
        <v>197</v>
      </c>
      <c r="Q23" s="6" t="s">
        <v>110</v>
      </c>
      <c r="R23" s="6" t="s">
        <v>55</v>
      </c>
      <c r="S23" s="9">
        <v>46161</v>
      </c>
      <c r="T23" s="9">
        <v>46168</v>
      </c>
      <c r="V23" s="6">
        <v>1</v>
      </c>
      <c r="W23" s="6">
        <v>0</v>
      </c>
      <c r="X23" s="6">
        <v>0</v>
      </c>
      <c r="Y23" s="6">
        <v>0</v>
      </c>
      <c r="Z23" s="6">
        <v>0</v>
      </c>
      <c r="AA23" s="6">
        <v>0</v>
      </c>
      <c r="AB23" s="6">
        <v>0</v>
      </c>
      <c r="AC23" s="6">
        <v>0</v>
      </c>
      <c r="AD23" s="6">
        <v>0</v>
      </c>
      <c r="AE23" s="6">
        <v>0</v>
      </c>
      <c r="AF23" s="6">
        <v>0</v>
      </c>
      <c r="AG23" s="6">
        <v>0</v>
      </c>
    </row>
    <row r="24" spans="1:33" x14ac:dyDescent="0.25">
      <c r="A24" s="6">
        <v>79</v>
      </c>
      <c r="B24" s="6" t="s">
        <v>202</v>
      </c>
      <c r="C24" s="6" t="s">
        <v>203</v>
      </c>
      <c r="D24" s="6" t="s">
        <v>94</v>
      </c>
      <c r="E24" s="6" t="s">
        <v>121</v>
      </c>
      <c r="F24" s="10">
        <v>46168</v>
      </c>
      <c r="G24" s="10">
        <v>46169</v>
      </c>
      <c r="H24" s="4">
        <v>1</v>
      </c>
      <c r="I24" s="10">
        <v>46169</v>
      </c>
      <c r="J24" s="6" t="s">
        <v>204</v>
      </c>
      <c r="K24" s="6" t="s">
        <v>205</v>
      </c>
      <c r="L24" s="6" t="s">
        <v>59</v>
      </c>
      <c r="M24" s="6" t="s">
        <v>44</v>
      </c>
      <c r="N24" s="9">
        <v>46162</v>
      </c>
      <c r="P24" s="6" t="s">
        <v>197</v>
      </c>
      <c r="Q24" s="6" t="s">
        <v>110</v>
      </c>
      <c r="R24" s="6" t="s">
        <v>55</v>
      </c>
      <c r="S24" s="9">
        <v>46161</v>
      </c>
      <c r="T24" s="9">
        <v>46162</v>
      </c>
      <c r="V24" s="6">
        <v>1</v>
      </c>
      <c r="W24" s="6">
        <v>1</v>
      </c>
      <c r="X24" s="6">
        <v>1</v>
      </c>
      <c r="Y24" s="6">
        <v>0</v>
      </c>
      <c r="Z24" s="6">
        <v>0</v>
      </c>
      <c r="AA24" s="6">
        <v>0</v>
      </c>
      <c r="AB24" s="6">
        <v>0</v>
      </c>
      <c r="AC24" s="6">
        <v>0</v>
      </c>
      <c r="AD24" s="6">
        <v>0</v>
      </c>
      <c r="AE24" s="6">
        <v>0</v>
      </c>
      <c r="AF24" s="6">
        <v>0</v>
      </c>
      <c r="AG24" s="6">
        <v>1</v>
      </c>
    </row>
    <row r="25" spans="1:33" x14ac:dyDescent="0.25">
      <c r="A25" s="6">
        <v>80</v>
      </c>
      <c r="B25" s="6" t="s">
        <v>206</v>
      </c>
      <c r="C25" s="6" t="s">
        <v>203</v>
      </c>
      <c r="D25" s="6" t="s">
        <v>98</v>
      </c>
      <c r="E25" s="6" t="s">
        <v>53</v>
      </c>
      <c r="F25" s="10">
        <v>46170</v>
      </c>
      <c r="G25" s="10">
        <v>46170</v>
      </c>
      <c r="H25" s="4">
        <v>1</v>
      </c>
      <c r="I25" s="10">
        <v>46170</v>
      </c>
      <c r="J25" s="6">
        <v>79</v>
      </c>
      <c r="K25" s="6">
        <v>81</v>
      </c>
      <c r="L25" s="6" t="s">
        <v>59</v>
      </c>
      <c r="M25" s="6" t="s">
        <v>190</v>
      </c>
      <c r="N25" s="9">
        <v>46163</v>
      </c>
      <c r="P25" s="6" t="s">
        <v>197</v>
      </c>
      <c r="Q25" s="6" t="s">
        <v>110</v>
      </c>
      <c r="R25" s="6" t="s">
        <v>55</v>
      </c>
      <c r="S25" s="9">
        <v>46163</v>
      </c>
      <c r="T25" s="9">
        <v>46163</v>
      </c>
      <c r="V25" s="6">
        <v>1</v>
      </c>
      <c r="W25" s="6">
        <v>0</v>
      </c>
      <c r="X25" s="6">
        <v>0</v>
      </c>
      <c r="Y25" s="6">
        <v>0</v>
      </c>
      <c r="Z25" s="6">
        <v>0</v>
      </c>
      <c r="AA25" s="6">
        <v>1</v>
      </c>
      <c r="AB25" s="6">
        <v>0</v>
      </c>
      <c r="AC25" s="6">
        <v>0</v>
      </c>
      <c r="AD25" s="6">
        <v>0</v>
      </c>
      <c r="AE25" s="6">
        <v>0</v>
      </c>
      <c r="AF25" s="6">
        <v>0</v>
      </c>
      <c r="AG25" s="6">
        <v>0</v>
      </c>
    </row>
    <row r="26" spans="1:33" x14ac:dyDescent="0.25">
      <c r="A26" s="6">
        <v>81</v>
      </c>
      <c r="B26" s="6" t="s">
        <v>207</v>
      </c>
      <c r="C26" s="6" t="s">
        <v>203</v>
      </c>
      <c r="D26" s="6" t="s">
        <v>102</v>
      </c>
      <c r="E26" s="6" t="s">
        <v>121</v>
      </c>
      <c r="F26" s="10">
        <v>46171</v>
      </c>
      <c r="G26" s="10">
        <v>46174</v>
      </c>
      <c r="H26" s="4">
        <v>1</v>
      </c>
      <c r="I26" s="10">
        <v>46174</v>
      </c>
      <c r="J26" s="6">
        <v>80</v>
      </c>
      <c r="K26" s="6" t="s">
        <v>208</v>
      </c>
      <c r="L26" s="6" t="s">
        <v>59</v>
      </c>
      <c r="M26" s="6" t="s">
        <v>62</v>
      </c>
      <c r="N26" s="9">
        <v>46167</v>
      </c>
      <c r="P26" s="6" t="s">
        <v>197</v>
      </c>
      <c r="Q26" s="6" t="s">
        <v>110</v>
      </c>
      <c r="R26" s="6" t="s">
        <v>55</v>
      </c>
      <c r="S26" s="9">
        <v>46164</v>
      </c>
      <c r="T26" s="9">
        <v>46167</v>
      </c>
      <c r="V26" s="6">
        <v>1</v>
      </c>
      <c r="W26" s="6">
        <v>0</v>
      </c>
      <c r="X26" s="6">
        <v>0</v>
      </c>
      <c r="Y26" s="6">
        <v>0</v>
      </c>
      <c r="Z26" s="6">
        <v>0</v>
      </c>
      <c r="AA26" s="6">
        <v>0</v>
      </c>
      <c r="AB26" s="6">
        <v>0</v>
      </c>
      <c r="AC26" s="6">
        <v>1</v>
      </c>
      <c r="AD26" s="6">
        <v>0</v>
      </c>
      <c r="AE26" s="6">
        <v>0</v>
      </c>
      <c r="AF26" s="6">
        <v>0</v>
      </c>
      <c r="AG26" s="6">
        <v>0</v>
      </c>
    </row>
    <row r="27" spans="1:33" x14ac:dyDescent="0.25">
      <c r="A27" s="6">
        <v>82</v>
      </c>
      <c r="B27" s="6" t="s">
        <v>209</v>
      </c>
      <c r="C27" s="6" t="s">
        <v>203</v>
      </c>
      <c r="D27" s="6" t="s">
        <v>108</v>
      </c>
      <c r="E27" s="6" t="s">
        <v>53</v>
      </c>
      <c r="F27" s="10">
        <v>46175</v>
      </c>
      <c r="G27" s="10">
        <v>46175</v>
      </c>
      <c r="H27" s="4">
        <v>1</v>
      </c>
      <c r="I27" s="10">
        <v>46175</v>
      </c>
      <c r="J27" s="6">
        <v>81</v>
      </c>
      <c r="L27" s="6" t="s">
        <v>59</v>
      </c>
      <c r="M27" s="6" t="s">
        <v>210</v>
      </c>
      <c r="N27" s="9">
        <v>46168</v>
      </c>
      <c r="P27" s="6" t="s">
        <v>197</v>
      </c>
      <c r="Q27" s="6" t="s">
        <v>211</v>
      </c>
      <c r="R27" s="6" t="s">
        <v>55</v>
      </c>
      <c r="S27" s="9">
        <v>46168</v>
      </c>
      <c r="T27" s="9">
        <v>46168</v>
      </c>
      <c r="V27" s="6">
        <v>1</v>
      </c>
      <c r="W27" s="6">
        <v>0</v>
      </c>
      <c r="X27" s="6">
        <v>0</v>
      </c>
      <c r="Y27" s="6">
        <v>0</v>
      </c>
      <c r="Z27" s="6">
        <v>1</v>
      </c>
      <c r="AA27" s="6">
        <v>0</v>
      </c>
      <c r="AB27" s="6">
        <v>0</v>
      </c>
      <c r="AC27" s="6">
        <v>0</v>
      </c>
      <c r="AD27" s="6">
        <v>0</v>
      </c>
      <c r="AE27" s="6">
        <v>1</v>
      </c>
      <c r="AF27" s="6">
        <v>0</v>
      </c>
      <c r="AG27" s="6">
        <v>0</v>
      </c>
    </row>
    <row r="28" spans="1:33" x14ac:dyDescent="0.25">
      <c r="A28" s="6">
        <v>134</v>
      </c>
      <c r="B28" s="6" t="s">
        <v>288</v>
      </c>
      <c r="C28" s="6" t="s">
        <v>289</v>
      </c>
      <c r="D28" s="6" t="s">
        <v>94</v>
      </c>
      <c r="E28" s="6" t="s">
        <v>290</v>
      </c>
      <c r="F28" s="10">
        <v>46195</v>
      </c>
      <c r="G28" s="10">
        <v>46204</v>
      </c>
      <c r="H28" s="4">
        <v>1</v>
      </c>
      <c r="I28" s="10">
        <v>46204</v>
      </c>
      <c r="J28" s="6">
        <v>185</v>
      </c>
      <c r="K28" s="6">
        <v>135</v>
      </c>
      <c r="L28" s="6" t="s">
        <v>59</v>
      </c>
      <c r="M28" s="6" t="s">
        <v>148</v>
      </c>
      <c r="N28" s="9">
        <v>46182</v>
      </c>
      <c r="P28" s="6" t="s">
        <v>197</v>
      </c>
      <c r="Q28" s="6" t="s">
        <v>138</v>
      </c>
      <c r="R28" s="6" t="s">
        <v>55</v>
      </c>
      <c r="S28" s="9">
        <v>46171</v>
      </c>
      <c r="T28" s="9">
        <v>46182</v>
      </c>
      <c r="V28" s="6">
        <v>1</v>
      </c>
      <c r="W28" s="6">
        <v>1</v>
      </c>
      <c r="X28" s="6">
        <v>1</v>
      </c>
      <c r="Y28" s="6">
        <v>0</v>
      </c>
      <c r="Z28" s="6">
        <v>0</v>
      </c>
      <c r="AA28" s="6">
        <v>0</v>
      </c>
      <c r="AB28" s="6">
        <v>0</v>
      </c>
      <c r="AC28" s="6">
        <v>0</v>
      </c>
      <c r="AD28" s="6">
        <v>0</v>
      </c>
      <c r="AE28" s="6">
        <v>0</v>
      </c>
      <c r="AF28" s="6">
        <v>0</v>
      </c>
      <c r="AG28" s="6">
        <v>1</v>
      </c>
    </row>
    <row r="29" spans="1:33" x14ac:dyDescent="0.25">
      <c r="A29" s="6">
        <v>139</v>
      </c>
      <c r="B29" s="6" t="s">
        <v>299</v>
      </c>
      <c r="C29" s="6" t="s">
        <v>300</v>
      </c>
      <c r="D29" s="6" t="s">
        <v>94</v>
      </c>
      <c r="E29" s="6" t="s">
        <v>290</v>
      </c>
      <c r="F29" s="10">
        <v>46195</v>
      </c>
      <c r="G29" s="10">
        <v>46204</v>
      </c>
      <c r="H29" s="4">
        <v>1</v>
      </c>
      <c r="I29" s="10">
        <v>46204</v>
      </c>
      <c r="J29" s="6">
        <v>185</v>
      </c>
      <c r="K29" s="6">
        <v>140</v>
      </c>
      <c r="L29" s="6" t="s">
        <v>59</v>
      </c>
      <c r="M29" s="6" t="s">
        <v>148</v>
      </c>
      <c r="N29" s="9">
        <v>46182</v>
      </c>
      <c r="P29" s="6" t="s">
        <v>197</v>
      </c>
      <c r="Q29" s="6" t="s">
        <v>138</v>
      </c>
      <c r="R29" s="6" t="s">
        <v>55</v>
      </c>
      <c r="S29" s="9">
        <v>46171</v>
      </c>
      <c r="T29" s="9">
        <v>46182</v>
      </c>
      <c r="V29" s="6">
        <v>1</v>
      </c>
      <c r="W29" s="6">
        <v>1</v>
      </c>
      <c r="X29" s="6">
        <v>1</v>
      </c>
      <c r="Y29" s="6">
        <v>0</v>
      </c>
      <c r="Z29" s="6">
        <v>0</v>
      </c>
      <c r="AA29" s="6">
        <v>0</v>
      </c>
      <c r="AB29" s="6">
        <v>0</v>
      </c>
      <c r="AC29" s="6">
        <v>0</v>
      </c>
      <c r="AD29" s="6">
        <v>0</v>
      </c>
      <c r="AE29" s="6">
        <v>0</v>
      </c>
      <c r="AF29" s="6">
        <v>0</v>
      </c>
      <c r="AG29" s="6">
        <v>1</v>
      </c>
    </row>
    <row r="30" spans="1:33" x14ac:dyDescent="0.25">
      <c r="A30" s="6">
        <v>144</v>
      </c>
      <c r="B30" s="6" t="s">
        <v>306</v>
      </c>
      <c r="C30" s="6" t="s">
        <v>307</v>
      </c>
      <c r="D30" s="6" t="s">
        <v>94</v>
      </c>
      <c r="E30" s="6" t="s">
        <v>290</v>
      </c>
      <c r="F30" s="10">
        <v>46195</v>
      </c>
      <c r="G30" s="10">
        <v>46204</v>
      </c>
      <c r="H30" s="4">
        <v>1</v>
      </c>
      <c r="I30" s="10">
        <v>46204</v>
      </c>
      <c r="J30" s="6">
        <v>185</v>
      </c>
      <c r="K30" s="6">
        <v>145</v>
      </c>
      <c r="L30" s="6" t="s">
        <v>59</v>
      </c>
      <c r="M30" s="6" t="s">
        <v>148</v>
      </c>
      <c r="N30" s="9">
        <v>46182</v>
      </c>
      <c r="P30" s="6" t="s">
        <v>197</v>
      </c>
      <c r="Q30" s="6" t="s">
        <v>138</v>
      </c>
      <c r="R30" s="6" t="s">
        <v>55</v>
      </c>
      <c r="S30" s="9">
        <v>46171</v>
      </c>
      <c r="T30" s="9">
        <v>46182</v>
      </c>
      <c r="V30" s="6">
        <v>1</v>
      </c>
      <c r="W30" s="6">
        <v>1</v>
      </c>
      <c r="X30" s="6">
        <v>1</v>
      </c>
      <c r="Y30" s="6">
        <v>0</v>
      </c>
      <c r="Z30" s="6">
        <v>0</v>
      </c>
      <c r="AA30" s="6">
        <v>0</v>
      </c>
      <c r="AB30" s="6">
        <v>0</v>
      </c>
      <c r="AC30" s="6">
        <v>0</v>
      </c>
      <c r="AD30" s="6">
        <v>0</v>
      </c>
      <c r="AE30" s="6">
        <v>0</v>
      </c>
      <c r="AF30" s="6">
        <v>0</v>
      </c>
      <c r="AG30" s="6">
        <v>1</v>
      </c>
    </row>
    <row r="31" spans="1:33" x14ac:dyDescent="0.25">
      <c r="A31" s="6">
        <v>149</v>
      </c>
      <c r="B31" s="6" t="s">
        <v>313</v>
      </c>
      <c r="C31" s="6" t="s">
        <v>314</v>
      </c>
      <c r="D31" s="6" t="s">
        <v>94</v>
      </c>
      <c r="E31" s="6" t="s">
        <v>290</v>
      </c>
      <c r="F31" s="10">
        <v>46195</v>
      </c>
      <c r="G31" s="10">
        <v>46204</v>
      </c>
      <c r="H31" s="4">
        <v>1</v>
      </c>
      <c r="I31" s="10">
        <v>46204</v>
      </c>
      <c r="J31" s="6">
        <v>185</v>
      </c>
      <c r="K31" s="6">
        <v>150</v>
      </c>
      <c r="L31" s="6" t="s">
        <v>59</v>
      </c>
      <c r="M31" s="6" t="s">
        <v>148</v>
      </c>
      <c r="N31" s="9">
        <v>46182</v>
      </c>
      <c r="P31" s="6" t="s">
        <v>197</v>
      </c>
      <c r="Q31" s="6" t="s">
        <v>138</v>
      </c>
      <c r="R31" s="6" t="s">
        <v>55</v>
      </c>
      <c r="S31" s="9">
        <v>46171</v>
      </c>
      <c r="T31" s="9">
        <v>46182</v>
      </c>
      <c r="V31" s="6">
        <v>1</v>
      </c>
      <c r="W31" s="6">
        <v>1</v>
      </c>
      <c r="X31" s="6">
        <v>1</v>
      </c>
      <c r="Y31" s="6">
        <v>0</v>
      </c>
      <c r="Z31" s="6">
        <v>0</v>
      </c>
      <c r="AA31" s="6">
        <v>0</v>
      </c>
      <c r="AB31" s="6">
        <v>0</v>
      </c>
      <c r="AC31" s="6">
        <v>0</v>
      </c>
      <c r="AD31" s="6">
        <v>0</v>
      </c>
      <c r="AE31" s="6">
        <v>0</v>
      </c>
      <c r="AF31" s="6">
        <v>0</v>
      </c>
      <c r="AG31" s="6">
        <v>1</v>
      </c>
    </row>
    <row r="32" spans="1:33" x14ac:dyDescent="0.25">
      <c r="A32" s="6">
        <v>154</v>
      </c>
      <c r="B32" s="6" t="s">
        <v>321</v>
      </c>
      <c r="C32" s="6" t="s">
        <v>322</v>
      </c>
      <c r="D32" s="6" t="s">
        <v>94</v>
      </c>
      <c r="E32" s="6" t="s">
        <v>290</v>
      </c>
      <c r="F32" s="10">
        <v>46195</v>
      </c>
      <c r="G32" s="10">
        <v>46204</v>
      </c>
      <c r="H32" s="4">
        <v>1</v>
      </c>
      <c r="I32" s="10">
        <v>46204</v>
      </c>
      <c r="J32" s="6">
        <v>185</v>
      </c>
      <c r="K32" s="6">
        <v>155</v>
      </c>
      <c r="L32" s="6" t="s">
        <v>59</v>
      </c>
      <c r="M32" s="6" t="s">
        <v>148</v>
      </c>
      <c r="N32" s="9">
        <v>46182</v>
      </c>
      <c r="P32" s="6" t="s">
        <v>197</v>
      </c>
      <c r="Q32" s="6" t="s">
        <v>138</v>
      </c>
      <c r="R32" s="6" t="s">
        <v>55</v>
      </c>
      <c r="S32" s="9">
        <v>46171</v>
      </c>
      <c r="T32" s="9">
        <v>46182</v>
      </c>
      <c r="V32" s="6">
        <v>1</v>
      </c>
      <c r="W32" s="6">
        <v>1</v>
      </c>
      <c r="X32" s="6">
        <v>1</v>
      </c>
      <c r="Y32" s="6">
        <v>0</v>
      </c>
      <c r="Z32" s="6">
        <v>0</v>
      </c>
      <c r="AA32" s="6">
        <v>0</v>
      </c>
      <c r="AB32" s="6">
        <v>0</v>
      </c>
      <c r="AC32" s="6">
        <v>0</v>
      </c>
      <c r="AD32" s="6">
        <v>0</v>
      </c>
      <c r="AE32" s="6">
        <v>0</v>
      </c>
      <c r="AF32" s="6">
        <v>0</v>
      </c>
      <c r="AG32" s="6">
        <v>1</v>
      </c>
    </row>
    <row r="33" spans="1:33" x14ac:dyDescent="0.25">
      <c r="A33" s="6">
        <v>159</v>
      </c>
      <c r="B33" s="6" t="s">
        <v>328</v>
      </c>
      <c r="C33" s="6" t="s">
        <v>329</v>
      </c>
      <c r="D33" s="6" t="s">
        <v>94</v>
      </c>
      <c r="E33" s="6" t="s">
        <v>290</v>
      </c>
      <c r="F33" s="10">
        <v>46195</v>
      </c>
      <c r="G33" s="10">
        <v>46204</v>
      </c>
      <c r="H33" s="4">
        <v>1</v>
      </c>
      <c r="I33" s="10">
        <v>46204</v>
      </c>
      <c r="J33" s="6">
        <v>185</v>
      </c>
      <c r="K33" s="6">
        <v>160</v>
      </c>
      <c r="L33" s="6" t="s">
        <v>59</v>
      </c>
      <c r="M33" s="6" t="s">
        <v>148</v>
      </c>
      <c r="N33" s="9">
        <v>46182</v>
      </c>
      <c r="P33" s="6" t="s">
        <v>197</v>
      </c>
      <c r="Q33" s="6" t="s">
        <v>138</v>
      </c>
      <c r="R33" s="6" t="s">
        <v>55</v>
      </c>
      <c r="S33" s="9">
        <v>46171</v>
      </c>
      <c r="T33" s="9">
        <v>46182</v>
      </c>
      <c r="V33" s="6">
        <v>1</v>
      </c>
      <c r="W33" s="6">
        <v>1</v>
      </c>
      <c r="X33" s="6">
        <v>1</v>
      </c>
      <c r="Y33" s="6">
        <v>0</v>
      </c>
      <c r="Z33" s="6">
        <v>0</v>
      </c>
      <c r="AA33" s="6">
        <v>0</v>
      </c>
      <c r="AB33" s="6">
        <v>0</v>
      </c>
      <c r="AC33" s="6">
        <v>0</v>
      </c>
      <c r="AD33" s="6">
        <v>0</v>
      </c>
      <c r="AE33" s="6">
        <v>0</v>
      </c>
      <c r="AF33" s="6">
        <v>0</v>
      </c>
      <c r="AG33" s="6">
        <v>1</v>
      </c>
    </row>
    <row r="34" spans="1:33" x14ac:dyDescent="0.25">
      <c r="A34" s="6">
        <v>164</v>
      </c>
      <c r="B34" s="6" t="s">
        <v>336</v>
      </c>
      <c r="C34" s="6" t="s">
        <v>337</v>
      </c>
      <c r="D34" s="6" t="s">
        <v>94</v>
      </c>
      <c r="E34" s="6" t="s">
        <v>338</v>
      </c>
      <c r="F34" s="10">
        <v>46174</v>
      </c>
      <c r="G34" s="10">
        <v>46189</v>
      </c>
      <c r="H34" s="4">
        <v>1</v>
      </c>
      <c r="I34" s="10">
        <v>46189</v>
      </c>
      <c r="J34" s="6">
        <v>185</v>
      </c>
      <c r="K34" s="6" t="s">
        <v>339</v>
      </c>
      <c r="L34" s="6" t="s">
        <v>59</v>
      </c>
      <c r="M34" s="6" t="s">
        <v>148</v>
      </c>
      <c r="N34" s="9">
        <v>46184</v>
      </c>
      <c r="P34" s="6" t="s">
        <v>197</v>
      </c>
      <c r="Q34" s="6" t="s">
        <v>211</v>
      </c>
      <c r="R34" s="6" t="s">
        <v>55</v>
      </c>
      <c r="S34" s="9">
        <v>46171</v>
      </c>
      <c r="T34" s="9">
        <v>46184</v>
      </c>
      <c r="V34" s="6">
        <v>1</v>
      </c>
      <c r="W34" s="6">
        <v>1</v>
      </c>
      <c r="X34" s="6">
        <v>1</v>
      </c>
      <c r="Y34" s="6">
        <v>0</v>
      </c>
      <c r="Z34" s="6">
        <v>0</v>
      </c>
      <c r="AA34" s="6">
        <v>0</v>
      </c>
      <c r="AB34" s="6">
        <v>0</v>
      </c>
      <c r="AC34" s="6">
        <v>0</v>
      </c>
      <c r="AD34" s="6">
        <v>0</v>
      </c>
      <c r="AE34" s="6">
        <v>0</v>
      </c>
      <c r="AF34" s="6">
        <v>0</v>
      </c>
      <c r="AG34" s="6">
        <v>1</v>
      </c>
    </row>
    <row r="35" spans="1:33" x14ac:dyDescent="0.25">
      <c r="A35" s="6">
        <v>165</v>
      </c>
      <c r="B35" s="6" t="s">
        <v>340</v>
      </c>
      <c r="C35" s="6" t="s">
        <v>337</v>
      </c>
      <c r="D35" s="6" t="s">
        <v>98</v>
      </c>
      <c r="E35" s="6" t="s">
        <v>53</v>
      </c>
      <c r="F35" s="10">
        <v>46190</v>
      </c>
      <c r="G35" s="10">
        <v>46190</v>
      </c>
      <c r="H35" s="4">
        <v>1</v>
      </c>
      <c r="I35" s="10">
        <v>46190</v>
      </c>
      <c r="J35" s="6">
        <v>164</v>
      </c>
      <c r="K35" s="6">
        <v>166</v>
      </c>
      <c r="L35" s="6" t="s">
        <v>59</v>
      </c>
      <c r="M35" s="6" t="s">
        <v>172</v>
      </c>
      <c r="N35" s="9">
        <v>46185</v>
      </c>
      <c r="P35" s="6" t="s">
        <v>197</v>
      </c>
      <c r="Q35" s="6" t="s">
        <v>138</v>
      </c>
      <c r="R35" s="6" t="s">
        <v>55</v>
      </c>
      <c r="S35" s="9">
        <v>46185</v>
      </c>
      <c r="T35" s="9">
        <v>46185</v>
      </c>
      <c r="V35" s="6">
        <v>1</v>
      </c>
      <c r="W35" s="6">
        <v>0</v>
      </c>
      <c r="X35" s="6">
        <v>0</v>
      </c>
      <c r="Y35" s="6">
        <v>0</v>
      </c>
      <c r="Z35" s="6">
        <v>0</v>
      </c>
      <c r="AA35" s="6">
        <v>1</v>
      </c>
      <c r="AB35" s="6">
        <v>0</v>
      </c>
      <c r="AC35" s="6">
        <v>0</v>
      </c>
      <c r="AD35" s="6">
        <v>0</v>
      </c>
      <c r="AE35" s="6">
        <v>0</v>
      </c>
      <c r="AF35" s="6">
        <v>0</v>
      </c>
      <c r="AG35" s="6">
        <v>0</v>
      </c>
    </row>
    <row r="36" spans="1:33" x14ac:dyDescent="0.25">
      <c r="A36" s="6">
        <v>169</v>
      </c>
      <c r="B36" s="6" t="s">
        <v>346</v>
      </c>
      <c r="C36" s="6" t="s">
        <v>347</v>
      </c>
      <c r="D36" s="6" t="s">
        <v>94</v>
      </c>
      <c r="E36" s="6" t="s">
        <v>338</v>
      </c>
      <c r="F36" s="10">
        <v>46174</v>
      </c>
      <c r="G36" s="10">
        <v>46189</v>
      </c>
      <c r="H36" s="4">
        <v>1</v>
      </c>
      <c r="I36" s="10">
        <v>46189</v>
      </c>
      <c r="J36" s="6">
        <v>185</v>
      </c>
      <c r="K36" s="6" t="s">
        <v>348</v>
      </c>
      <c r="L36" s="6" t="s">
        <v>59</v>
      </c>
      <c r="M36" s="6" t="s">
        <v>148</v>
      </c>
      <c r="N36" s="9">
        <v>46184</v>
      </c>
      <c r="P36" s="6" t="s">
        <v>197</v>
      </c>
      <c r="Q36" s="6" t="s">
        <v>211</v>
      </c>
      <c r="R36" s="6" t="s">
        <v>55</v>
      </c>
      <c r="S36" s="9">
        <v>46171</v>
      </c>
      <c r="T36" s="9">
        <v>46184</v>
      </c>
      <c r="V36" s="6">
        <v>1</v>
      </c>
      <c r="W36" s="6">
        <v>1</v>
      </c>
      <c r="X36" s="6">
        <v>1</v>
      </c>
      <c r="Y36" s="6">
        <v>0</v>
      </c>
      <c r="Z36" s="6">
        <v>0</v>
      </c>
      <c r="AA36" s="6">
        <v>0</v>
      </c>
      <c r="AB36" s="6">
        <v>0</v>
      </c>
      <c r="AC36" s="6">
        <v>0</v>
      </c>
      <c r="AD36" s="6">
        <v>0</v>
      </c>
      <c r="AE36" s="6">
        <v>0</v>
      </c>
      <c r="AF36" s="6">
        <v>0</v>
      </c>
      <c r="AG36" s="6">
        <v>1</v>
      </c>
    </row>
    <row r="37" spans="1:33" x14ac:dyDescent="0.25">
      <c r="A37" s="6">
        <v>174</v>
      </c>
      <c r="B37" s="6" t="s">
        <v>354</v>
      </c>
      <c r="C37" s="6" t="s">
        <v>355</v>
      </c>
      <c r="D37" s="6" t="s">
        <v>94</v>
      </c>
      <c r="E37" s="6" t="s">
        <v>338</v>
      </c>
      <c r="F37" s="10">
        <v>46174</v>
      </c>
      <c r="G37" s="10">
        <v>46189</v>
      </c>
      <c r="H37" s="4">
        <v>1</v>
      </c>
      <c r="I37" s="10">
        <v>46189</v>
      </c>
      <c r="J37" s="6">
        <v>185</v>
      </c>
      <c r="K37" s="6" t="s">
        <v>356</v>
      </c>
      <c r="L37" s="6" t="s">
        <v>59</v>
      </c>
      <c r="M37" s="6" t="s">
        <v>148</v>
      </c>
      <c r="N37" s="9">
        <v>46184</v>
      </c>
      <c r="P37" s="6" t="s">
        <v>197</v>
      </c>
      <c r="Q37" s="6" t="s">
        <v>211</v>
      </c>
      <c r="R37" s="6" t="s">
        <v>55</v>
      </c>
      <c r="S37" s="9">
        <v>46171</v>
      </c>
      <c r="T37" s="9">
        <v>46184</v>
      </c>
      <c r="V37" s="6">
        <v>1</v>
      </c>
      <c r="W37" s="6">
        <v>1</v>
      </c>
      <c r="X37" s="6">
        <v>1</v>
      </c>
      <c r="Y37" s="6">
        <v>0</v>
      </c>
      <c r="Z37" s="6">
        <v>0</v>
      </c>
      <c r="AA37" s="6">
        <v>0</v>
      </c>
      <c r="AB37" s="6">
        <v>0</v>
      </c>
      <c r="AC37" s="6">
        <v>0</v>
      </c>
      <c r="AD37" s="6">
        <v>0</v>
      </c>
      <c r="AE37" s="6">
        <v>0</v>
      </c>
      <c r="AF37" s="6">
        <v>0</v>
      </c>
      <c r="AG37" s="6">
        <v>1</v>
      </c>
    </row>
    <row r="38" spans="1:33" x14ac:dyDescent="0.25">
      <c r="A38" s="6">
        <v>175</v>
      </c>
      <c r="B38" s="6" t="s">
        <v>357</v>
      </c>
      <c r="C38" s="6" t="s">
        <v>355</v>
      </c>
      <c r="D38" s="6" t="s">
        <v>98</v>
      </c>
      <c r="E38" s="6" t="s">
        <v>53</v>
      </c>
      <c r="F38" s="10">
        <v>46190</v>
      </c>
      <c r="G38" s="10">
        <v>46190</v>
      </c>
      <c r="H38" s="4">
        <v>1</v>
      </c>
      <c r="I38" s="10">
        <v>46190</v>
      </c>
      <c r="J38" s="6">
        <v>174</v>
      </c>
      <c r="K38" s="6">
        <v>176</v>
      </c>
      <c r="L38" s="6" t="s">
        <v>59</v>
      </c>
      <c r="M38" s="6" t="s">
        <v>172</v>
      </c>
      <c r="N38" s="9">
        <v>46185</v>
      </c>
      <c r="P38" s="6" t="s">
        <v>197</v>
      </c>
      <c r="Q38" s="6" t="s">
        <v>138</v>
      </c>
      <c r="R38" s="6" t="s">
        <v>55</v>
      </c>
      <c r="S38" s="9">
        <v>46185</v>
      </c>
      <c r="T38" s="9">
        <v>46185</v>
      </c>
      <c r="V38" s="6">
        <v>1</v>
      </c>
      <c r="W38" s="6">
        <v>0</v>
      </c>
      <c r="X38" s="6">
        <v>0</v>
      </c>
      <c r="Y38" s="6">
        <v>0</v>
      </c>
      <c r="Z38" s="6">
        <v>0</v>
      </c>
      <c r="AA38" s="6">
        <v>1</v>
      </c>
      <c r="AB38" s="6">
        <v>0</v>
      </c>
      <c r="AC38" s="6">
        <v>0</v>
      </c>
      <c r="AD38" s="6">
        <v>0</v>
      </c>
      <c r="AE38" s="6">
        <v>0</v>
      </c>
      <c r="AF38" s="6">
        <v>0</v>
      </c>
      <c r="AG38" s="6">
        <v>0</v>
      </c>
    </row>
    <row r="39" spans="1:33" x14ac:dyDescent="0.25">
      <c r="A39" s="6">
        <v>179</v>
      </c>
      <c r="B39" s="6" t="s">
        <v>362</v>
      </c>
      <c r="C39" s="6" t="s">
        <v>363</v>
      </c>
      <c r="D39" s="6" t="s">
        <v>94</v>
      </c>
      <c r="E39" s="6" t="s">
        <v>338</v>
      </c>
      <c r="F39" s="10">
        <v>46174</v>
      </c>
      <c r="G39" s="10">
        <v>46189</v>
      </c>
      <c r="H39" s="4">
        <v>1</v>
      </c>
      <c r="I39" s="10">
        <v>46189</v>
      </c>
      <c r="J39" s="6">
        <v>185</v>
      </c>
      <c r="K39" s="6" t="s">
        <v>364</v>
      </c>
      <c r="L39" s="6" t="s">
        <v>59</v>
      </c>
      <c r="M39" s="6" t="s">
        <v>148</v>
      </c>
      <c r="N39" s="9">
        <v>46184</v>
      </c>
      <c r="P39" s="6" t="s">
        <v>197</v>
      </c>
      <c r="Q39" s="6" t="s">
        <v>211</v>
      </c>
      <c r="R39" s="6" t="s">
        <v>55</v>
      </c>
      <c r="S39" s="9">
        <v>46171</v>
      </c>
      <c r="T39" s="9">
        <v>46184</v>
      </c>
      <c r="V39" s="6">
        <v>1</v>
      </c>
      <c r="W39" s="6">
        <v>1</v>
      </c>
      <c r="X39" s="6">
        <v>1</v>
      </c>
      <c r="Y39" s="6">
        <v>0</v>
      </c>
      <c r="Z39" s="6">
        <v>0</v>
      </c>
      <c r="AA39" s="6">
        <v>0</v>
      </c>
      <c r="AB39" s="6">
        <v>0</v>
      </c>
      <c r="AC39" s="6">
        <v>0</v>
      </c>
      <c r="AD39" s="6">
        <v>0</v>
      </c>
      <c r="AE39" s="6">
        <v>0</v>
      </c>
      <c r="AF39" s="6">
        <v>0</v>
      </c>
      <c r="AG39" s="6">
        <v>1</v>
      </c>
    </row>
    <row r="40" spans="1:33" x14ac:dyDescent="0.25">
      <c r="A40" s="6">
        <v>184</v>
      </c>
      <c r="B40" s="6" t="s">
        <v>370</v>
      </c>
      <c r="C40" s="6" t="s">
        <v>371</v>
      </c>
      <c r="D40" s="6" t="s">
        <v>94</v>
      </c>
      <c r="E40" s="6" t="s">
        <v>290</v>
      </c>
      <c r="F40" s="10">
        <v>46157</v>
      </c>
      <c r="G40" s="10">
        <v>46168</v>
      </c>
      <c r="H40" s="4">
        <v>1</v>
      </c>
      <c r="I40" s="10">
        <v>46168</v>
      </c>
      <c r="J40" s="6" t="s">
        <v>372</v>
      </c>
      <c r="K40" s="6" t="s">
        <v>373</v>
      </c>
      <c r="L40" s="6" t="s">
        <v>59</v>
      </c>
      <c r="M40" s="6" t="s">
        <v>44</v>
      </c>
      <c r="N40" s="9">
        <v>46169</v>
      </c>
      <c r="P40" s="6" t="s">
        <v>197</v>
      </c>
      <c r="Q40" s="6" t="s">
        <v>125</v>
      </c>
      <c r="R40" s="6" t="s">
        <v>55</v>
      </c>
      <c r="S40" s="9">
        <v>46161</v>
      </c>
      <c r="T40" s="9">
        <v>46169</v>
      </c>
      <c r="V40" s="6">
        <v>1</v>
      </c>
      <c r="W40" s="6">
        <v>1</v>
      </c>
      <c r="X40" s="6">
        <v>1</v>
      </c>
      <c r="Y40" s="6">
        <v>0</v>
      </c>
      <c r="Z40" s="6">
        <v>0</v>
      </c>
      <c r="AA40" s="6">
        <v>0</v>
      </c>
      <c r="AB40" s="6">
        <v>0</v>
      </c>
      <c r="AC40" s="6">
        <v>0</v>
      </c>
      <c r="AD40" s="6">
        <v>0</v>
      </c>
      <c r="AE40" s="6">
        <v>0</v>
      </c>
      <c r="AF40" s="6">
        <v>0</v>
      </c>
      <c r="AG40" s="6">
        <v>1</v>
      </c>
    </row>
    <row r="41" spans="1:33" x14ac:dyDescent="0.25">
      <c r="A41" s="6">
        <v>185</v>
      </c>
      <c r="B41" s="6" t="s">
        <v>374</v>
      </c>
      <c r="C41" s="6" t="s">
        <v>371</v>
      </c>
      <c r="D41" s="6" t="s">
        <v>98</v>
      </c>
      <c r="E41" s="6" t="s">
        <v>53</v>
      </c>
      <c r="F41" s="10">
        <v>46171</v>
      </c>
      <c r="G41" s="10">
        <v>46171</v>
      </c>
      <c r="H41" s="4">
        <v>1</v>
      </c>
      <c r="I41" s="10">
        <v>46171</v>
      </c>
      <c r="J41" s="6">
        <v>184</v>
      </c>
      <c r="K41" s="6" t="s">
        <v>375</v>
      </c>
      <c r="L41" s="6" t="s">
        <v>59</v>
      </c>
      <c r="M41" s="6" t="s">
        <v>145</v>
      </c>
      <c r="N41" s="9">
        <v>46170</v>
      </c>
      <c r="P41" s="6" t="s">
        <v>197</v>
      </c>
      <c r="Q41" s="6" t="s">
        <v>110</v>
      </c>
      <c r="R41" s="6" t="s">
        <v>55</v>
      </c>
      <c r="S41" s="9">
        <v>46170</v>
      </c>
      <c r="T41" s="9">
        <v>46170</v>
      </c>
      <c r="V41" s="6">
        <v>1</v>
      </c>
      <c r="W41" s="6">
        <v>0</v>
      </c>
      <c r="X41" s="6">
        <v>0</v>
      </c>
      <c r="Y41" s="6">
        <v>0</v>
      </c>
      <c r="Z41" s="6">
        <v>0</v>
      </c>
      <c r="AA41" s="6">
        <v>1</v>
      </c>
      <c r="AB41" s="6">
        <v>0</v>
      </c>
      <c r="AC41" s="6">
        <v>0</v>
      </c>
      <c r="AD41" s="6">
        <v>0</v>
      </c>
      <c r="AE41" s="6">
        <v>0</v>
      </c>
      <c r="AF41" s="6">
        <v>0</v>
      </c>
      <c r="AG41" s="6">
        <v>0</v>
      </c>
    </row>
    <row r="42" spans="1:33" x14ac:dyDescent="0.25">
      <c r="A42" s="6">
        <v>189</v>
      </c>
      <c r="B42" s="6" t="s">
        <v>381</v>
      </c>
      <c r="C42" s="6" t="s">
        <v>382</v>
      </c>
      <c r="D42" s="6" t="s">
        <v>94</v>
      </c>
      <c r="E42" s="6" t="s">
        <v>95</v>
      </c>
      <c r="F42" s="10">
        <v>46190</v>
      </c>
      <c r="G42" s="10">
        <v>46192</v>
      </c>
      <c r="H42" s="4">
        <v>1</v>
      </c>
      <c r="I42" s="10">
        <v>46192</v>
      </c>
      <c r="J42" s="6" t="s">
        <v>383</v>
      </c>
      <c r="K42" s="6">
        <v>190</v>
      </c>
      <c r="L42" s="6" t="s">
        <v>59</v>
      </c>
      <c r="M42" s="6" t="s">
        <v>172</v>
      </c>
      <c r="N42" s="9">
        <v>46189</v>
      </c>
      <c r="P42" s="6" t="s">
        <v>197</v>
      </c>
      <c r="Q42" s="6" t="s">
        <v>138</v>
      </c>
      <c r="R42" s="6" t="s">
        <v>55</v>
      </c>
      <c r="S42" s="9">
        <v>46185</v>
      </c>
      <c r="T42" s="9">
        <v>46189</v>
      </c>
      <c r="V42" s="6">
        <v>1</v>
      </c>
      <c r="W42" s="6">
        <v>1</v>
      </c>
      <c r="X42" s="6">
        <v>1</v>
      </c>
      <c r="Y42" s="6">
        <v>0</v>
      </c>
      <c r="Z42" s="6">
        <v>0</v>
      </c>
      <c r="AA42" s="6">
        <v>0</v>
      </c>
      <c r="AB42" s="6">
        <v>0</v>
      </c>
      <c r="AC42" s="6">
        <v>0</v>
      </c>
      <c r="AD42" s="6">
        <v>0</v>
      </c>
      <c r="AE42" s="6">
        <v>0</v>
      </c>
      <c r="AF42" s="6">
        <v>0</v>
      </c>
      <c r="AG42" s="6">
        <v>1</v>
      </c>
    </row>
    <row r="43" spans="1:33" x14ac:dyDescent="0.25">
      <c r="A43" s="6">
        <v>194</v>
      </c>
      <c r="B43" s="6" t="s">
        <v>390</v>
      </c>
      <c r="C43" s="6" t="s">
        <v>391</v>
      </c>
      <c r="D43" s="6" t="s">
        <v>94</v>
      </c>
      <c r="E43" s="6" t="s">
        <v>95</v>
      </c>
      <c r="F43" s="10">
        <v>46190</v>
      </c>
      <c r="G43" s="10">
        <v>46192</v>
      </c>
      <c r="H43" s="4">
        <v>1</v>
      </c>
      <c r="I43" s="10">
        <v>46192</v>
      </c>
      <c r="J43" s="6" t="s">
        <v>383</v>
      </c>
      <c r="K43" s="6">
        <v>195</v>
      </c>
      <c r="L43" s="6" t="s">
        <v>59</v>
      </c>
      <c r="M43" s="6" t="s">
        <v>172</v>
      </c>
      <c r="N43" s="9">
        <v>46189</v>
      </c>
      <c r="P43" s="6" t="s">
        <v>197</v>
      </c>
      <c r="Q43" s="6" t="s">
        <v>138</v>
      </c>
      <c r="R43" s="6" t="s">
        <v>55</v>
      </c>
      <c r="S43" s="9">
        <v>46185</v>
      </c>
      <c r="T43" s="9">
        <v>46189</v>
      </c>
      <c r="V43" s="6">
        <v>1</v>
      </c>
      <c r="W43" s="6">
        <v>1</v>
      </c>
      <c r="X43" s="6">
        <v>1</v>
      </c>
      <c r="Y43" s="6">
        <v>0</v>
      </c>
      <c r="Z43" s="6">
        <v>0</v>
      </c>
      <c r="AA43" s="6">
        <v>0</v>
      </c>
      <c r="AB43" s="6">
        <v>0</v>
      </c>
      <c r="AC43" s="6">
        <v>0</v>
      </c>
      <c r="AD43" s="6">
        <v>0</v>
      </c>
      <c r="AE43" s="6">
        <v>0</v>
      </c>
      <c r="AF43" s="6">
        <v>0</v>
      </c>
      <c r="AG43" s="6">
        <v>1</v>
      </c>
    </row>
    <row r="44" spans="1:33" x14ac:dyDescent="0.25">
      <c r="A44" s="6">
        <v>199</v>
      </c>
      <c r="B44" s="6" t="s">
        <v>397</v>
      </c>
      <c r="C44" s="6" t="s">
        <v>398</v>
      </c>
      <c r="D44" s="6" t="s">
        <v>94</v>
      </c>
      <c r="E44" s="6" t="s">
        <v>95</v>
      </c>
      <c r="F44" s="10">
        <v>46190</v>
      </c>
      <c r="G44" s="10">
        <v>46192</v>
      </c>
      <c r="H44" s="4">
        <v>1</v>
      </c>
      <c r="I44" s="10">
        <v>46192</v>
      </c>
      <c r="J44" s="6" t="s">
        <v>383</v>
      </c>
      <c r="K44" s="6">
        <v>200</v>
      </c>
      <c r="L44" s="6" t="s">
        <v>59</v>
      </c>
      <c r="M44" s="6" t="s">
        <v>172</v>
      </c>
      <c r="N44" s="9">
        <v>46189</v>
      </c>
      <c r="P44" s="6" t="s">
        <v>197</v>
      </c>
      <c r="Q44" s="6" t="s">
        <v>138</v>
      </c>
      <c r="R44" s="6" t="s">
        <v>55</v>
      </c>
      <c r="S44" s="9">
        <v>46185</v>
      </c>
      <c r="T44" s="9">
        <v>46189</v>
      </c>
      <c r="V44" s="6">
        <v>1</v>
      </c>
      <c r="W44" s="6">
        <v>1</v>
      </c>
      <c r="X44" s="6">
        <v>1</v>
      </c>
      <c r="Y44" s="6">
        <v>0</v>
      </c>
      <c r="Z44" s="6">
        <v>0</v>
      </c>
      <c r="AA44" s="6">
        <v>0</v>
      </c>
      <c r="AB44" s="6">
        <v>0</v>
      </c>
      <c r="AC44" s="6">
        <v>0</v>
      </c>
      <c r="AD44" s="6">
        <v>0</v>
      </c>
      <c r="AE44" s="6">
        <v>0</v>
      </c>
      <c r="AF44" s="6">
        <v>0</v>
      </c>
      <c r="AG44" s="6">
        <v>1</v>
      </c>
    </row>
    <row r="45" spans="1:33" x14ac:dyDescent="0.25">
      <c r="A45" s="6">
        <v>245</v>
      </c>
      <c r="B45" s="6" t="s">
        <v>429</v>
      </c>
      <c r="C45" s="6" t="s">
        <v>430</v>
      </c>
      <c r="D45" s="6" t="s">
        <v>94</v>
      </c>
      <c r="E45" s="6" t="s">
        <v>95</v>
      </c>
      <c r="F45" s="10">
        <v>46183</v>
      </c>
      <c r="G45" s="10">
        <v>46185</v>
      </c>
      <c r="H45" s="4">
        <v>1</v>
      </c>
      <c r="I45" s="10">
        <v>46185</v>
      </c>
      <c r="J45" s="6" t="s">
        <v>431</v>
      </c>
      <c r="K45" s="6" t="s">
        <v>432</v>
      </c>
      <c r="L45" s="6" t="s">
        <v>59</v>
      </c>
      <c r="M45" s="6" t="s">
        <v>187</v>
      </c>
      <c r="N45" s="9">
        <v>46163</v>
      </c>
      <c r="P45" s="6" t="s">
        <v>405</v>
      </c>
      <c r="Q45" s="6" t="s">
        <v>65</v>
      </c>
      <c r="R45" s="6" t="s">
        <v>55</v>
      </c>
      <c r="S45" s="9">
        <v>46162</v>
      </c>
      <c r="T45" s="9">
        <v>46163</v>
      </c>
      <c r="V45" s="6">
        <v>1</v>
      </c>
      <c r="W45" s="6">
        <v>1</v>
      </c>
      <c r="X45" s="6">
        <v>1</v>
      </c>
      <c r="Y45" s="6">
        <v>0</v>
      </c>
      <c r="Z45" s="6">
        <v>0</v>
      </c>
      <c r="AA45" s="6">
        <v>0</v>
      </c>
      <c r="AB45" s="6">
        <v>0</v>
      </c>
      <c r="AC45" s="6">
        <v>0</v>
      </c>
      <c r="AD45" s="6">
        <v>0</v>
      </c>
      <c r="AE45" s="6">
        <v>0</v>
      </c>
      <c r="AF45" s="6">
        <v>0</v>
      </c>
      <c r="AG45" s="6">
        <v>1</v>
      </c>
    </row>
    <row r="46" spans="1:33" x14ac:dyDescent="0.25">
      <c r="A46" s="6">
        <v>246</v>
      </c>
      <c r="B46" s="6" t="s">
        <v>433</v>
      </c>
      <c r="C46" s="6" t="s">
        <v>430</v>
      </c>
      <c r="D46" s="6" t="s">
        <v>98</v>
      </c>
      <c r="E46" s="6" t="s">
        <v>53</v>
      </c>
      <c r="F46" s="10">
        <v>46188</v>
      </c>
      <c r="G46" s="10">
        <v>46188</v>
      </c>
      <c r="H46" s="4">
        <v>1</v>
      </c>
      <c r="I46" s="10">
        <v>46188</v>
      </c>
      <c r="J46" s="6">
        <v>245</v>
      </c>
      <c r="K46" s="6">
        <v>247</v>
      </c>
      <c r="L46" s="6" t="s">
        <v>59</v>
      </c>
      <c r="M46" s="6" t="s">
        <v>62</v>
      </c>
      <c r="N46" s="9">
        <v>46164</v>
      </c>
      <c r="P46" s="6" t="s">
        <v>405</v>
      </c>
      <c r="Q46" s="6" t="s">
        <v>138</v>
      </c>
      <c r="R46" s="6" t="s">
        <v>55</v>
      </c>
      <c r="S46" s="9">
        <v>46164</v>
      </c>
      <c r="T46" s="9">
        <v>46164</v>
      </c>
      <c r="V46" s="6">
        <v>1</v>
      </c>
      <c r="W46" s="6">
        <v>0</v>
      </c>
      <c r="X46" s="6">
        <v>0</v>
      </c>
      <c r="Y46" s="6">
        <v>0</v>
      </c>
      <c r="Z46" s="6">
        <v>0</v>
      </c>
      <c r="AA46" s="6">
        <v>1</v>
      </c>
      <c r="AB46" s="6">
        <v>0</v>
      </c>
      <c r="AC46" s="6">
        <v>0</v>
      </c>
      <c r="AD46" s="6">
        <v>0</v>
      </c>
      <c r="AE46" s="6">
        <v>0</v>
      </c>
      <c r="AF46" s="6">
        <v>0</v>
      </c>
      <c r="AG46" s="6">
        <v>0</v>
      </c>
    </row>
    <row r="47" spans="1:33" x14ac:dyDescent="0.25">
      <c r="A47" s="6">
        <v>422</v>
      </c>
      <c r="B47" s="6" t="s">
        <v>641</v>
      </c>
      <c r="C47" s="6" t="s">
        <v>642</v>
      </c>
      <c r="D47" s="6" t="s">
        <v>94</v>
      </c>
      <c r="E47" s="6" t="s">
        <v>121</v>
      </c>
      <c r="F47" s="10">
        <v>46175</v>
      </c>
      <c r="G47" s="10">
        <v>46176</v>
      </c>
      <c r="H47" s="4">
        <v>1</v>
      </c>
      <c r="I47" s="10">
        <v>46176</v>
      </c>
      <c r="J47" s="6" t="s">
        <v>643</v>
      </c>
      <c r="K47" s="6" t="s">
        <v>644</v>
      </c>
      <c r="L47" s="6" t="s">
        <v>59</v>
      </c>
      <c r="M47" s="6" t="s">
        <v>210</v>
      </c>
      <c r="N47" s="9">
        <v>46170</v>
      </c>
      <c r="P47" s="6" t="s">
        <v>636</v>
      </c>
      <c r="Q47" s="6" t="s">
        <v>211</v>
      </c>
      <c r="R47" s="6" t="s">
        <v>55</v>
      </c>
      <c r="S47" s="9">
        <v>46168</v>
      </c>
      <c r="T47" s="9">
        <v>46170</v>
      </c>
      <c r="V47" s="6">
        <v>1</v>
      </c>
      <c r="W47" s="6">
        <v>1</v>
      </c>
      <c r="X47" s="6">
        <v>1</v>
      </c>
      <c r="Y47" s="6">
        <v>0</v>
      </c>
      <c r="Z47" s="6">
        <v>0</v>
      </c>
      <c r="AA47" s="6">
        <v>0</v>
      </c>
      <c r="AB47" s="6">
        <v>0</v>
      </c>
      <c r="AC47" s="6">
        <v>0</v>
      </c>
      <c r="AD47" s="6">
        <v>0</v>
      </c>
      <c r="AE47" s="6">
        <v>0</v>
      </c>
      <c r="AF47" s="6">
        <v>0</v>
      </c>
      <c r="AG47" s="6">
        <v>1</v>
      </c>
    </row>
    <row r="48" spans="1:33" x14ac:dyDescent="0.25">
      <c r="A48" s="6">
        <v>423</v>
      </c>
      <c r="B48" s="6" t="s">
        <v>645</v>
      </c>
      <c r="C48" s="6" t="s">
        <v>642</v>
      </c>
      <c r="D48" s="6" t="s">
        <v>98</v>
      </c>
      <c r="E48" s="6" t="s">
        <v>53</v>
      </c>
      <c r="F48" s="10">
        <v>46182</v>
      </c>
      <c r="G48" s="10">
        <v>46182</v>
      </c>
      <c r="H48" s="4">
        <v>1</v>
      </c>
      <c r="I48" s="10">
        <v>46182</v>
      </c>
      <c r="J48" s="6">
        <v>422</v>
      </c>
      <c r="K48" s="6">
        <v>424</v>
      </c>
      <c r="L48" s="6" t="s">
        <v>59</v>
      </c>
      <c r="M48" s="6" t="s">
        <v>148</v>
      </c>
      <c r="N48" s="9">
        <v>46171</v>
      </c>
      <c r="P48" s="6" t="s">
        <v>636</v>
      </c>
      <c r="Q48" s="6" t="s">
        <v>65</v>
      </c>
      <c r="R48" s="6" t="s">
        <v>55</v>
      </c>
      <c r="S48" s="9">
        <v>46171</v>
      </c>
      <c r="T48" s="9">
        <v>46171</v>
      </c>
      <c r="V48" s="6">
        <v>1</v>
      </c>
      <c r="W48" s="6">
        <v>0</v>
      </c>
      <c r="X48" s="6">
        <v>0</v>
      </c>
      <c r="Y48" s="6">
        <v>0</v>
      </c>
      <c r="Z48" s="6">
        <v>0</v>
      </c>
      <c r="AA48" s="6">
        <v>1</v>
      </c>
      <c r="AB48" s="6">
        <v>0</v>
      </c>
      <c r="AC48" s="6">
        <v>0</v>
      </c>
      <c r="AD48" s="6">
        <v>0</v>
      </c>
      <c r="AE48" s="6">
        <v>0</v>
      </c>
      <c r="AF48" s="6">
        <v>0</v>
      </c>
      <c r="AG48" s="6">
        <v>0</v>
      </c>
    </row>
    <row r="49" spans="1:33" x14ac:dyDescent="0.25">
      <c r="A49" s="6">
        <v>432</v>
      </c>
      <c r="B49" s="6" t="s">
        <v>653</v>
      </c>
      <c r="C49" s="6" t="s">
        <v>654</v>
      </c>
      <c r="D49" s="6" t="s">
        <v>94</v>
      </c>
      <c r="E49" s="6" t="s">
        <v>121</v>
      </c>
      <c r="F49" s="10">
        <v>46170</v>
      </c>
      <c r="G49" s="10">
        <v>46171</v>
      </c>
      <c r="H49" s="4">
        <v>1</v>
      </c>
      <c r="I49" s="10">
        <v>46171</v>
      </c>
      <c r="J49" s="6" t="s">
        <v>655</v>
      </c>
      <c r="K49" s="6" t="s">
        <v>656</v>
      </c>
      <c r="L49" s="6" t="s">
        <v>59</v>
      </c>
      <c r="M49" s="6" t="s">
        <v>190</v>
      </c>
      <c r="N49" s="9">
        <v>46167</v>
      </c>
      <c r="P49" s="6" t="s">
        <v>636</v>
      </c>
      <c r="Q49" s="6" t="s">
        <v>110</v>
      </c>
      <c r="R49" s="6" t="s">
        <v>55</v>
      </c>
      <c r="S49" s="9">
        <v>46163</v>
      </c>
      <c r="T49" s="9">
        <v>46167</v>
      </c>
      <c r="V49" s="6">
        <v>1</v>
      </c>
      <c r="W49" s="6">
        <v>1</v>
      </c>
      <c r="X49" s="6">
        <v>1</v>
      </c>
      <c r="Y49" s="6">
        <v>0</v>
      </c>
      <c r="Z49" s="6">
        <v>0</v>
      </c>
      <c r="AA49" s="6">
        <v>0</v>
      </c>
      <c r="AB49" s="6">
        <v>0</v>
      </c>
      <c r="AC49" s="6">
        <v>0</v>
      </c>
      <c r="AD49" s="6">
        <v>0</v>
      </c>
      <c r="AE49" s="6">
        <v>0</v>
      </c>
      <c r="AF49" s="6">
        <v>0</v>
      </c>
      <c r="AG49" s="6">
        <v>1</v>
      </c>
    </row>
    <row r="50" spans="1:33" x14ac:dyDescent="0.25">
      <c r="A50" s="6">
        <v>433</v>
      </c>
      <c r="B50" s="6" t="s">
        <v>657</v>
      </c>
      <c r="C50" s="6" t="s">
        <v>654</v>
      </c>
      <c r="D50" s="6" t="s">
        <v>98</v>
      </c>
      <c r="E50" s="6" t="s">
        <v>53</v>
      </c>
      <c r="F50" s="10">
        <v>46175</v>
      </c>
      <c r="G50" s="10">
        <v>46175</v>
      </c>
      <c r="H50" s="4">
        <v>1</v>
      </c>
      <c r="I50" s="10">
        <v>46175</v>
      </c>
      <c r="J50" s="6">
        <v>432</v>
      </c>
      <c r="K50" s="6">
        <v>434</v>
      </c>
      <c r="L50" s="6" t="s">
        <v>59</v>
      </c>
      <c r="M50" s="6" t="s">
        <v>210</v>
      </c>
      <c r="N50" s="9">
        <v>46168</v>
      </c>
      <c r="P50" s="6" t="s">
        <v>636</v>
      </c>
      <c r="Q50" s="6" t="s">
        <v>211</v>
      </c>
      <c r="R50" s="6" t="s">
        <v>55</v>
      </c>
      <c r="S50" s="9">
        <v>46168</v>
      </c>
      <c r="T50" s="9">
        <v>46168</v>
      </c>
      <c r="V50" s="6">
        <v>1</v>
      </c>
      <c r="W50" s="6">
        <v>0</v>
      </c>
      <c r="X50" s="6">
        <v>0</v>
      </c>
      <c r="Y50" s="6">
        <v>0</v>
      </c>
      <c r="Z50" s="6">
        <v>0</v>
      </c>
      <c r="AA50" s="6">
        <v>1</v>
      </c>
      <c r="AB50" s="6">
        <v>0</v>
      </c>
      <c r="AC50" s="6">
        <v>0</v>
      </c>
      <c r="AD50" s="6">
        <v>0</v>
      </c>
      <c r="AE50" s="6">
        <v>0</v>
      </c>
      <c r="AF50" s="6">
        <v>0</v>
      </c>
      <c r="AG50" s="6">
        <v>0</v>
      </c>
    </row>
    <row r="51" spans="1:33" x14ac:dyDescent="0.25">
      <c r="A51" s="6">
        <v>513</v>
      </c>
      <c r="B51" s="6" t="s">
        <v>736</v>
      </c>
      <c r="C51" s="6" t="s">
        <v>737</v>
      </c>
      <c r="D51" s="6" t="s">
        <v>94</v>
      </c>
      <c r="E51" s="6" t="s">
        <v>103</v>
      </c>
      <c r="F51" s="10">
        <v>46174</v>
      </c>
      <c r="G51" s="10">
        <v>46185</v>
      </c>
      <c r="H51" s="4">
        <v>1</v>
      </c>
      <c r="I51" s="10">
        <v>46185</v>
      </c>
      <c r="J51" s="6" t="s">
        <v>738</v>
      </c>
      <c r="K51" s="6">
        <v>514</v>
      </c>
      <c r="L51" s="6" t="s">
        <v>59</v>
      </c>
      <c r="M51" s="6" t="s">
        <v>187</v>
      </c>
      <c r="N51" s="9">
        <v>46163</v>
      </c>
      <c r="P51" s="6" t="s">
        <v>699</v>
      </c>
      <c r="Q51" s="6" t="s">
        <v>211</v>
      </c>
      <c r="R51" s="6" t="s">
        <v>55</v>
      </c>
      <c r="S51" s="9">
        <v>46162</v>
      </c>
      <c r="T51" s="9">
        <v>46163</v>
      </c>
      <c r="V51" s="6">
        <v>1</v>
      </c>
      <c r="W51" s="6">
        <v>1</v>
      </c>
      <c r="X51" s="6">
        <v>1</v>
      </c>
      <c r="Y51" s="6">
        <v>0</v>
      </c>
      <c r="Z51" s="6">
        <v>0</v>
      </c>
      <c r="AA51" s="6">
        <v>0</v>
      </c>
      <c r="AB51" s="6">
        <v>0</v>
      </c>
      <c r="AC51" s="6">
        <v>0</v>
      </c>
      <c r="AD51" s="6">
        <v>0</v>
      </c>
      <c r="AE51" s="6">
        <v>0</v>
      </c>
      <c r="AF51" s="6">
        <v>0</v>
      </c>
      <c r="AG51" s="6">
        <v>1</v>
      </c>
    </row>
    <row r="52" spans="1:33" x14ac:dyDescent="0.25">
      <c r="A52" s="6">
        <v>514</v>
      </c>
      <c r="B52" s="6" t="s">
        <v>739</v>
      </c>
      <c r="C52" s="6" t="s">
        <v>737</v>
      </c>
      <c r="D52" s="6" t="s">
        <v>98</v>
      </c>
      <c r="E52" s="6" t="s">
        <v>53</v>
      </c>
      <c r="F52" s="10">
        <v>46188</v>
      </c>
      <c r="G52" s="10">
        <v>46188</v>
      </c>
      <c r="H52" s="4">
        <v>1</v>
      </c>
      <c r="I52" s="10">
        <v>46188</v>
      </c>
      <c r="J52" s="6">
        <v>513</v>
      </c>
      <c r="K52" s="6">
        <v>515</v>
      </c>
      <c r="L52" s="6" t="s">
        <v>59</v>
      </c>
      <c r="M52" s="6" t="s">
        <v>62</v>
      </c>
      <c r="N52" s="9">
        <v>46164</v>
      </c>
      <c r="P52" s="6" t="s">
        <v>699</v>
      </c>
      <c r="Q52" s="6" t="s">
        <v>138</v>
      </c>
      <c r="R52" s="6" t="s">
        <v>55</v>
      </c>
      <c r="S52" s="9">
        <v>46164</v>
      </c>
      <c r="T52" s="9">
        <v>46164</v>
      </c>
      <c r="V52" s="6">
        <v>1</v>
      </c>
      <c r="W52" s="6">
        <v>0</v>
      </c>
      <c r="X52" s="6">
        <v>0</v>
      </c>
      <c r="Y52" s="6">
        <v>0</v>
      </c>
      <c r="Z52" s="6">
        <v>0</v>
      </c>
      <c r="AA52" s="6">
        <v>1</v>
      </c>
      <c r="AB52" s="6">
        <v>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</row>
    <row r="53" spans="1:33" x14ac:dyDescent="0.25">
      <c r="A53" s="6">
        <v>518</v>
      </c>
      <c r="B53" s="6" t="s">
        <v>745</v>
      </c>
      <c r="C53" s="6" t="s">
        <v>746</v>
      </c>
      <c r="D53" s="6" t="s">
        <v>94</v>
      </c>
      <c r="E53" s="6" t="s">
        <v>103</v>
      </c>
      <c r="F53" s="10">
        <v>46176</v>
      </c>
      <c r="G53" s="10">
        <v>46185</v>
      </c>
      <c r="H53" s="4">
        <v>1</v>
      </c>
      <c r="I53" s="10">
        <v>46185</v>
      </c>
      <c r="J53" s="6" t="s">
        <v>738</v>
      </c>
      <c r="K53" s="6" t="s">
        <v>747</v>
      </c>
      <c r="L53" s="6" t="s">
        <v>59</v>
      </c>
      <c r="M53" s="6" t="s">
        <v>187</v>
      </c>
      <c r="N53" s="9">
        <v>46163</v>
      </c>
      <c r="P53" s="6" t="s">
        <v>699</v>
      </c>
      <c r="Q53" s="6" t="s">
        <v>211</v>
      </c>
      <c r="R53" s="6" t="s">
        <v>55</v>
      </c>
      <c r="S53" s="9">
        <v>46162</v>
      </c>
      <c r="T53" s="9">
        <v>46163</v>
      </c>
      <c r="V53" s="6">
        <v>1</v>
      </c>
      <c r="W53" s="6">
        <v>1</v>
      </c>
      <c r="X53" s="6">
        <v>1</v>
      </c>
      <c r="Y53" s="6">
        <v>0</v>
      </c>
      <c r="Z53" s="6">
        <v>0</v>
      </c>
      <c r="AA53" s="6">
        <v>0</v>
      </c>
      <c r="AB53" s="6">
        <v>0</v>
      </c>
      <c r="AC53" s="6">
        <v>0</v>
      </c>
      <c r="AD53" s="6">
        <v>0</v>
      </c>
      <c r="AE53" s="6">
        <v>0</v>
      </c>
      <c r="AF53" s="6">
        <v>0</v>
      </c>
      <c r="AG53" s="6">
        <v>1</v>
      </c>
    </row>
    <row r="54" spans="1:33" x14ac:dyDescent="0.25">
      <c r="A54" s="6">
        <v>519</v>
      </c>
      <c r="B54" s="6" t="s">
        <v>748</v>
      </c>
      <c r="C54" s="6" t="s">
        <v>746</v>
      </c>
      <c r="D54" s="6" t="s">
        <v>98</v>
      </c>
      <c r="E54" s="6" t="s">
        <v>53</v>
      </c>
      <c r="F54" s="10">
        <v>46188</v>
      </c>
      <c r="G54" s="10">
        <v>46188</v>
      </c>
      <c r="H54" s="4">
        <v>1</v>
      </c>
      <c r="I54" s="10">
        <v>46188</v>
      </c>
      <c r="J54" s="6">
        <v>518</v>
      </c>
      <c r="K54" s="6">
        <v>520</v>
      </c>
      <c r="L54" s="6" t="s">
        <v>59</v>
      </c>
      <c r="M54" s="6" t="s">
        <v>62</v>
      </c>
      <c r="N54" s="9">
        <v>46164</v>
      </c>
      <c r="P54" s="6" t="s">
        <v>699</v>
      </c>
      <c r="Q54" s="6" t="s">
        <v>138</v>
      </c>
      <c r="R54" s="6" t="s">
        <v>55</v>
      </c>
      <c r="S54" s="9">
        <v>46164</v>
      </c>
      <c r="T54" s="9">
        <v>46164</v>
      </c>
      <c r="V54" s="6">
        <v>1</v>
      </c>
      <c r="W54" s="6">
        <v>0</v>
      </c>
      <c r="X54" s="6">
        <v>0</v>
      </c>
      <c r="Y54" s="6">
        <v>0</v>
      </c>
      <c r="Z54" s="6">
        <v>0</v>
      </c>
      <c r="AA54" s="6">
        <v>1</v>
      </c>
      <c r="AB54" s="6">
        <v>0</v>
      </c>
      <c r="AC54" s="6">
        <v>0</v>
      </c>
      <c r="AD54" s="6">
        <v>0</v>
      </c>
      <c r="AE54" s="6">
        <v>0</v>
      </c>
      <c r="AF54" s="6">
        <v>0</v>
      </c>
      <c r="AG54" s="6">
        <v>0</v>
      </c>
    </row>
    <row r="55" spans="1:33" x14ac:dyDescent="0.25">
      <c r="A55" s="6">
        <v>523</v>
      </c>
      <c r="B55" s="6" t="s">
        <v>753</v>
      </c>
      <c r="C55" s="6" t="s">
        <v>754</v>
      </c>
      <c r="D55" s="6" t="s">
        <v>94</v>
      </c>
      <c r="E55" s="6" t="s">
        <v>103</v>
      </c>
      <c r="F55" s="10">
        <v>46176</v>
      </c>
      <c r="G55" s="10">
        <v>46185</v>
      </c>
      <c r="H55" s="4">
        <v>1</v>
      </c>
      <c r="I55" s="10">
        <v>46185</v>
      </c>
      <c r="J55" s="6" t="s">
        <v>738</v>
      </c>
      <c r="K55" s="6">
        <v>524</v>
      </c>
      <c r="L55" s="6" t="s">
        <v>59</v>
      </c>
      <c r="M55" s="6" t="s">
        <v>187</v>
      </c>
      <c r="N55" s="9">
        <v>46163</v>
      </c>
      <c r="P55" s="6" t="s">
        <v>699</v>
      </c>
      <c r="Q55" s="6" t="s">
        <v>211</v>
      </c>
      <c r="R55" s="6" t="s">
        <v>55</v>
      </c>
      <c r="S55" s="9">
        <v>46162</v>
      </c>
      <c r="T55" s="9">
        <v>46163</v>
      </c>
      <c r="V55" s="6">
        <v>1</v>
      </c>
      <c r="W55" s="6">
        <v>1</v>
      </c>
      <c r="X55" s="6">
        <v>1</v>
      </c>
      <c r="Y55" s="6">
        <v>0</v>
      </c>
      <c r="Z55" s="6">
        <v>0</v>
      </c>
      <c r="AA55" s="6">
        <v>0</v>
      </c>
      <c r="AB55" s="6">
        <v>0</v>
      </c>
      <c r="AC55" s="6">
        <v>0</v>
      </c>
      <c r="AD55" s="6">
        <v>0</v>
      </c>
      <c r="AE55" s="6">
        <v>0</v>
      </c>
      <c r="AF55" s="6">
        <v>0</v>
      </c>
      <c r="AG55" s="6">
        <v>1</v>
      </c>
    </row>
    <row r="56" spans="1:33" x14ac:dyDescent="0.25">
      <c r="A56" s="6">
        <v>524</v>
      </c>
      <c r="B56" s="6" t="s">
        <v>755</v>
      </c>
      <c r="C56" s="6" t="s">
        <v>754</v>
      </c>
      <c r="D56" s="6" t="s">
        <v>98</v>
      </c>
      <c r="E56" s="6" t="s">
        <v>53</v>
      </c>
      <c r="F56" s="10">
        <v>46188</v>
      </c>
      <c r="G56" s="10">
        <v>46188</v>
      </c>
      <c r="H56" s="4">
        <v>1</v>
      </c>
      <c r="I56" s="10">
        <v>46188</v>
      </c>
      <c r="J56" s="6">
        <v>523</v>
      </c>
      <c r="K56" s="6">
        <v>525</v>
      </c>
      <c r="L56" s="6" t="s">
        <v>59</v>
      </c>
      <c r="M56" s="6" t="s">
        <v>62</v>
      </c>
      <c r="N56" s="9">
        <v>46164</v>
      </c>
      <c r="P56" s="6" t="s">
        <v>699</v>
      </c>
      <c r="Q56" s="6" t="s">
        <v>138</v>
      </c>
      <c r="R56" s="6" t="s">
        <v>55</v>
      </c>
      <c r="S56" s="9">
        <v>46164</v>
      </c>
      <c r="T56" s="9">
        <v>46164</v>
      </c>
      <c r="V56" s="6">
        <v>1</v>
      </c>
      <c r="W56" s="6">
        <v>0</v>
      </c>
      <c r="X56" s="6">
        <v>0</v>
      </c>
      <c r="Y56" s="6">
        <v>0</v>
      </c>
      <c r="Z56" s="6">
        <v>0</v>
      </c>
      <c r="AA56" s="6">
        <v>1</v>
      </c>
      <c r="AB56" s="6">
        <v>0</v>
      </c>
      <c r="AC56" s="6">
        <v>0</v>
      </c>
      <c r="AD56" s="6">
        <v>0</v>
      </c>
      <c r="AE56" s="6">
        <v>0</v>
      </c>
      <c r="AF56" s="6">
        <v>0</v>
      </c>
      <c r="AG56" s="6">
        <v>0</v>
      </c>
    </row>
    <row r="57" spans="1:33" x14ac:dyDescent="0.25">
      <c r="A57" s="6">
        <v>528</v>
      </c>
      <c r="B57" s="6" t="s">
        <v>760</v>
      </c>
      <c r="C57" s="6" t="s">
        <v>761</v>
      </c>
      <c r="D57" s="6" t="s">
        <v>94</v>
      </c>
      <c r="E57" s="6" t="s">
        <v>556</v>
      </c>
      <c r="F57" s="10">
        <v>46195</v>
      </c>
      <c r="G57" s="10">
        <v>46198</v>
      </c>
      <c r="H57" s="4">
        <v>1</v>
      </c>
      <c r="I57" s="10">
        <v>46198</v>
      </c>
      <c r="J57" s="6">
        <v>483</v>
      </c>
      <c r="K57" s="6">
        <v>529</v>
      </c>
      <c r="L57" s="6" t="s">
        <v>59</v>
      </c>
      <c r="M57" s="6" t="s">
        <v>436</v>
      </c>
      <c r="N57" s="9">
        <v>46182</v>
      </c>
      <c r="P57" s="6" t="s">
        <v>699</v>
      </c>
      <c r="Q57" s="6" t="s">
        <v>146</v>
      </c>
      <c r="R57" s="6" t="s">
        <v>55</v>
      </c>
      <c r="S57" s="9">
        <v>46169</v>
      </c>
      <c r="T57" s="9">
        <v>46182</v>
      </c>
      <c r="V57" s="6">
        <v>1</v>
      </c>
      <c r="W57" s="6">
        <v>1</v>
      </c>
      <c r="X57" s="6">
        <v>1</v>
      </c>
      <c r="Y57" s="6">
        <v>0</v>
      </c>
      <c r="Z57" s="6">
        <v>0</v>
      </c>
      <c r="AA57" s="6">
        <v>0</v>
      </c>
      <c r="AB57" s="6">
        <v>0</v>
      </c>
      <c r="AC57" s="6">
        <v>0</v>
      </c>
      <c r="AD57" s="6">
        <v>0</v>
      </c>
      <c r="AE57" s="6">
        <v>0</v>
      </c>
      <c r="AF57" s="6">
        <v>0</v>
      </c>
      <c r="AG57" s="6">
        <v>1</v>
      </c>
    </row>
    <row r="58" spans="1:33" x14ac:dyDescent="0.25">
      <c r="A58" s="6">
        <v>533</v>
      </c>
      <c r="B58" s="6" t="s">
        <v>767</v>
      </c>
      <c r="C58" s="6" t="s">
        <v>768</v>
      </c>
      <c r="D58" s="6" t="s">
        <v>94</v>
      </c>
      <c r="E58" s="6" t="s">
        <v>556</v>
      </c>
      <c r="F58" s="10">
        <v>46192</v>
      </c>
      <c r="G58" s="10">
        <v>46197</v>
      </c>
      <c r="H58" s="4">
        <v>1</v>
      </c>
      <c r="I58" s="10">
        <v>46197</v>
      </c>
      <c r="J58" s="6">
        <v>483</v>
      </c>
      <c r="K58" s="6">
        <v>534</v>
      </c>
      <c r="L58" s="6" t="s">
        <v>59</v>
      </c>
      <c r="M58" s="6" t="s">
        <v>436</v>
      </c>
      <c r="N58" s="9">
        <v>46182</v>
      </c>
      <c r="P58" s="6" t="s">
        <v>699</v>
      </c>
      <c r="Q58" s="6" t="s">
        <v>138</v>
      </c>
      <c r="R58" s="6" t="s">
        <v>55</v>
      </c>
      <c r="S58" s="9">
        <v>46169</v>
      </c>
      <c r="T58" s="9">
        <v>46182</v>
      </c>
      <c r="V58" s="6">
        <v>1</v>
      </c>
      <c r="W58" s="6">
        <v>1</v>
      </c>
      <c r="X58" s="6">
        <v>1</v>
      </c>
      <c r="Y58" s="6">
        <v>0</v>
      </c>
      <c r="Z58" s="6">
        <v>0</v>
      </c>
      <c r="AA58" s="6">
        <v>0</v>
      </c>
      <c r="AB58" s="6">
        <v>0</v>
      </c>
      <c r="AC58" s="6">
        <v>0</v>
      </c>
      <c r="AD58" s="6">
        <v>0</v>
      </c>
      <c r="AE58" s="6">
        <v>0</v>
      </c>
      <c r="AF58" s="6">
        <v>0</v>
      </c>
      <c r="AG58" s="6">
        <v>1</v>
      </c>
    </row>
    <row r="59" spans="1:33" x14ac:dyDescent="0.25">
      <c r="A59" s="6">
        <v>538</v>
      </c>
      <c r="B59" s="6" t="s">
        <v>774</v>
      </c>
      <c r="C59" s="6" t="s">
        <v>775</v>
      </c>
      <c r="D59" s="6" t="s">
        <v>94</v>
      </c>
      <c r="E59" s="6" t="s">
        <v>95</v>
      </c>
      <c r="F59" s="10">
        <v>46197</v>
      </c>
      <c r="G59" s="10">
        <v>46199</v>
      </c>
      <c r="H59" s="4">
        <v>1</v>
      </c>
      <c r="I59" s="10">
        <v>46199</v>
      </c>
      <c r="J59" s="6">
        <v>483</v>
      </c>
      <c r="K59" s="6">
        <v>539</v>
      </c>
      <c r="L59" s="6" t="s">
        <v>59</v>
      </c>
      <c r="M59" s="6" t="s">
        <v>436</v>
      </c>
      <c r="N59" s="9">
        <v>46182</v>
      </c>
      <c r="P59" s="6" t="s">
        <v>699</v>
      </c>
      <c r="Q59" s="6" t="s">
        <v>146</v>
      </c>
      <c r="R59" s="6" t="s">
        <v>55</v>
      </c>
      <c r="S59" s="9">
        <v>46169</v>
      </c>
      <c r="T59" s="9">
        <v>46182</v>
      </c>
      <c r="V59" s="6">
        <v>1</v>
      </c>
      <c r="W59" s="6">
        <v>1</v>
      </c>
      <c r="X59" s="6">
        <v>1</v>
      </c>
      <c r="Y59" s="6">
        <v>0</v>
      </c>
      <c r="Z59" s="6">
        <v>0</v>
      </c>
      <c r="AA59" s="6">
        <v>0</v>
      </c>
      <c r="AB59" s="6">
        <v>0</v>
      </c>
      <c r="AC59" s="6">
        <v>0</v>
      </c>
      <c r="AD59" s="6">
        <v>0</v>
      </c>
      <c r="AE59" s="6">
        <v>0</v>
      </c>
      <c r="AF59" s="6">
        <v>0</v>
      </c>
      <c r="AG59" s="6">
        <v>1</v>
      </c>
    </row>
    <row r="60" spans="1:33" x14ac:dyDescent="0.25">
      <c r="A60" s="6">
        <v>543</v>
      </c>
      <c r="B60" s="6" t="s">
        <v>781</v>
      </c>
      <c r="C60" s="6" t="s">
        <v>782</v>
      </c>
      <c r="D60" s="6" t="s">
        <v>94</v>
      </c>
      <c r="E60" s="6" t="s">
        <v>556</v>
      </c>
      <c r="F60" s="10">
        <v>46192</v>
      </c>
      <c r="G60" s="10">
        <v>46197</v>
      </c>
      <c r="H60" s="4">
        <v>1</v>
      </c>
      <c r="I60" s="10">
        <v>46197</v>
      </c>
      <c r="J60" s="6">
        <v>483</v>
      </c>
      <c r="K60" s="6">
        <v>544</v>
      </c>
      <c r="L60" s="6" t="s">
        <v>59</v>
      </c>
      <c r="M60" s="6" t="s">
        <v>436</v>
      </c>
      <c r="N60" s="9">
        <v>46182</v>
      </c>
      <c r="P60" s="6" t="s">
        <v>699</v>
      </c>
      <c r="Q60" s="6" t="s">
        <v>138</v>
      </c>
      <c r="R60" s="6" t="s">
        <v>55</v>
      </c>
      <c r="S60" s="9">
        <v>46169</v>
      </c>
      <c r="T60" s="9">
        <v>46182</v>
      </c>
      <c r="V60" s="6">
        <v>1</v>
      </c>
      <c r="W60" s="6">
        <v>1</v>
      </c>
      <c r="X60" s="6">
        <v>1</v>
      </c>
      <c r="Y60" s="6">
        <v>0</v>
      </c>
      <c r="Z60" s="6">
        <v>0</v>
      </c>
      <c r="AA60" s="6">
        <v>0</v>
      </c>
      <c r="AB60" s="6">
        <v>0</v>
      </c>
      <c r="AC60" s="6">
        <v>0</v>
      </c>
      <c r="AD60" s="6">
        <v>0</v>
      </c>
      <c r="AE60" s="6">
        <v>0</v>
      </c>
      <c r="AF60" s="6">
        <v>0</v>
      </c>
      <c r="AG60" s="6">
        <v>1</v>
      </c>
    </row>
    <row r="61" spans="1:33" x14ac:dyDescent="0.25">
      <c r="A61" s="6">
        <v>573</v>
      </c>
      <c r="B61" s="6" t="s">
        <v>813</v>
      </c>
      <c r="C61" s="6" t="s">
        <v>814</v>
      </c>
      <c r="D61" s="6" t="s">
        <v>94</v>
      </c>
      <c r="E61" s="6" t="s">
        <v>815</v>
      </c>
      <c r="F61" s="10">
        <v>46188</v>
      </c>
      <c r="G61" s="10">
        <v>46196</v>
      </c>
      <c r="H61" s="4">
        <v>1</v>
      </c>
      <c r="I61" s="10">
        <v>46196</v>
      </c>
      <c r="K61" s="6" t="s">
        <v>816</v>
      </c>
      <c r="L61" s="6" t="s">
        <v>59</v>
      </c>
      <c r="M61" s="6" t="s">
        <v>386</v>
      </c>
      <c r="N61" s="9">
        <v>46204</v>
      </c>
      <c r="P61" s="6" t="s">
        <v>699</v>
      </c>
      <c r="Q61" s="6" t="s">
        <v>138</v>
      </c>
      <c r="R61" s="6" t="s">
        <v>55</v>
      </c>
      <c r="S61" s="9">
        <v>46191</v>
      </c>
      <c r="T61" s="9">
        <v>46204</v>
      </c>
      <c r="V61" s="6">
        <v>1</v>
      </c>
      <c r="W61" s="6">
        <v>1</v>
      </c>
      <c r="X61" s="6">
        <v>1</v>
      </c>
      <c r="Y61" s="6">
        <v>0</v>
      </c>
      <c r="Z61" s="6">
        <v>0</v>
      </c>
      <c r="AA61" s="6">
        <v>0</v>
      </c>
      <c r="AB61" s="6">
        <v>0</v>
      </c>
      <c r="AC61" s="6">
        <v>0</v>
      </c>
      <c r="AD61" s="6">
        <v>0</v>
      </c>
      <c r="AE61" s="6">
        <v>0</v>
      </c>
      <c r="AF61" s="6">
        <v>0</v>
      </c>
      <c r="AG61" s="6">
        <v>1</v>
      </c>
    </row>
    <row r="62" spans="1:33" x14ac:dyDescent="0.25">
      <c r="A62" s="6">
        <v>578</v>
      </c>
      <c r="B62" s="6" t="s">
        <v>822</v>
      </c>
      <c r="C62" s="6" t="s">
        <v>823</v>
      </c>
      <c r="D62" s="6" t="s">
        <v>94</v>
      </c>
      <c r="E62" s="6" t="s">
        <v>815</v>
      </c>
      <c r="F62" s="10">
        <v>46189</v>
      </c>
      <c r="G62" s="10">
        <v>46197</v>
      </c>
      <c r="H62" s="4">
        <v>1</v>
      </c>
      <c r="I62" s="10">
        <v>46197</v>
      </c>
      <c r="J62" s="6" t="s">
        <v>824</v>
      </c>
      <c r="K62" s="6">
        <v>579</v>
      </c>
      <c r="L62" s="6" t="s">
        <v>59</v>
      </c>
      <c r="M62" s="6" t="s">
        <v>386</v>
      </c>
      <c r="N62" s="9">
        <v>46204</v>
      </c>
      <c r="P62" s="6" t="s">
        <v>699</v>
      </c>
      <c r="Q62" s="6" t="s">
        <v>138</v>
      </c>
      <c r="R62" s="6" t="s">
        <v>55</v>
      </c>
      <c r="S62" s="9">
        <v>46191</v>
      </c>
      <c r="T62" s="9">
        <v>46204</v>
      </c>
      <c r="V62" s="6">
        <v>1</v>
      </c>
      <c r="W62" s="6">
        <v>1</v>
      </c>
      <c r="X62" s="6">
        <v>1</v>
      </c>
      <c r="Y62" s="6">
        <v>0</v>
      </c>
      <c r="Z62" s="6">
        <v>0</v>
      </c>
      <c r="AA62" s="6">
        <v>0</v>
      </c>
      <c r="AB62" s="6">
        <v>0</v>
      </c>
      <c r="AC62" s="6">
        <v>0</v>
      </c>
      <c r="AD62" s="6">
        <v>0</v>
      </c>
      <c r="AE62" s="6">
        <v>0</v>
      </c>
      <c r="AF62" s="6">
        <v>0</v>
      </c>
      <c r="AG62" s="6">
        <v>1</v>
      </c>
    </row>
    <row r="63" spans="1:33" x14ac:dyDescent="0.25">
      <c r="A63" s="6">
        <v>583</v>
      </c>
      <c r="B63" s="6" t="s">
        <v>830</v>
      </c>
      <c r="C63" s="6" t="s">
        <v>831</v>
      </c>
      <c r="D63" s="6" t="s">
        <v>94</v>
      </c>
      <c r="E63" s="6" t="s">
        <v>815</v>
      </c>
      <c r="F63" s="10">
        <v>46189</v>
      </c>
      <c r="G63" s="10">
        <v>46197</v>
      </c>
      <c r="H63" s="4">
        <v>1</v>
      </c>
      <c r="I63" s="10">
        <v>46197</v>
      </c>
      <c r="J63" s="6" t="s">
        <v>824</v>
      </c>
      <c r="K63" s="6">
        <v>584</v>
      </c>
      <c r="L63" s="6" t="s">
        <v>59</v>
      </c>
      <c r="M63" s="6" t="s">
        <v>386</v>
      </c>
      <c r="N63" s="9">
        <v>46204</v>
      </c>
      <c r="P63" s="6" t="s">
        <v>699</v>
      </c>
      <c r="Q63" s="6" t="s">
        <v>138</v>
      </c>
      <c r="R63" s="6" t="s">
        <v>55</v>
      </c>
      <c r="S63" s="9">
        <v>46191</v>
      </c>
      <c r="T63" s="9">
        <v>46204</v>
      </c>
      <c r="V63" s="6">
        <v>1</v>
      </c>
      <c r="W63" s="6">
        <v>1</v>
      </c>
      <c r="X63" s="6">
        <v>1</v>
      </c>
      <c r="Y63" s="6">
        <v>0</v>
      </c>
      <c r="Z63" s="6">
        <v>0</v>
      </c>
      <c r="AA63" s="6">
        <v>0</v>
      </c>
      <c r="AB63" s="6">
        <v>0</v>
      </c>
      <c r="AC63" s="6">
        <v>0</v>
      </c>
      <c r="AD63" s="6">
        <v>0</v>
      </c>
      <c r="AE63" s="6">
        <v>0</v>
      </c>
      <c r="AF63" s="6">
        <v>0</v>
      </c>
      <c r="AG63" s="6">
        <v>1</v>
      </c>
    </row>
    <row r="64" spans="1:33" x14ac:dyDescent="0.25">
      <c r="A64" s="6">
        <v>588</v>
      </c>
      <c r="B64" s="6" t="s">
        <v>837</v>
      </c>
      <c r="C64" s="6" t="s">
        <v>838</v>
      </c>
      <c r="D64" s="6" t="s">
        <v>94</v>
      </c>
      <c r="E64" s="6" t="s">
        <v>815</v>
      </c>
      <c r="F64" s="10">
        <v>46189</v>
      </c>
      <c r="G64" s="10">
        <v>46197</v>
      </c>
      <c r="H64" s="4">
        <v>1</v>
      </c>
      <c r="I64" s="10">
        <v>46197</v>
      </c>
      <c r="J64" s="6" t="s">
        <v>824</v>
      </c>
      <c r="K64" s="6">
        <v>589</v>
      </c>
      <c r="L64" s="6" t="s">
        <v>59</v>
      </c>
      <c r="M64" s="6" t="s">
        <v>386</v>
      </c>
      <c r="N64" s="9">
        <v>46204</v>
      </c>
      <c r="P64" s="6" t="s">
        <v>699</v>
      </c>
      <c r="Q64" s="6" t="s">
        <v>138</v>
      </c>
      <c r="R64" s="6" t="s">
        <v>55</v>
      </c>
      <c r="S64" s="9">
        <v>46191</v>
      </c>
      <c r="T64" s="9">
        <v>46204</v>
      </c>
      <c r="V64" s="6">
        <v>1</v>
      </c>
      <c r="W64" s="6">
        <v>1</v>
      </c>
      <c r="X64" s="6">
        <v>1</v>
      </c>
      <c r="Y64" s="6">
        <v>0</v>
      </c>
      <c r="Z64" s="6">
        <v>0</v>
      </c>
      <c r="AA64" s="6">
        <v>0</v>
      </c>
      <c r="AB64" s="6">
        <v>0</v>
      </c>
      <c r="AC64" s="6">
        <v>0</v>
      </c>
      <c r="AD64" s="6">
        <v>0</v>
      </c>
      <c r="AE64" s="6">
        <v>0</v>
      </c>
      <c r="AF64" s="6">
        <v>0</v>
      </c>
      <c r="AG64" s="6">
        <v>1</v>
      </c>
    </row>
    <row r="65" spans="1:33" x14ac:dyDescent="0.25">
      <c r="A65" s="6">
        <v>593</v>
      </c>
      <c r="B65" s="6" t="s">
        <v>844</v>
      </c>
      <c r="C65" s="6" t="s">
        <v>845</v>
      </c>
      <c r="D65" s="6" t="s">
        <v>94</v>
      </c>
      <c r="E65" s="6" t="s">
        <v>815</v>
      </c>
      <c r="F65" s="10">
        <v>46189</v>
      </c>
      <c r="G65" s="10">
        <v>46197</v>
      </c>
      <c r="H65" s="4">
        <v>1</v>
      </c>
      <c r="I65" s="10">
        <v>46197</v>
      </c>
      <c r="J65" s="6" t="s">
        <v>824</v>
      </c>
      <c r="K65" s="6">
        <v>594</v>
      </c>
      <c r="L65" s="6" t="s">
        <v>59</v>
      </c>
      <c r="M65" s="6" t="s">
        <v>386</v>
      </c>
      <c r="N65" s="9">
        <v>46204</v>
      </c>
      <c r="P65" s="6" t="s">
        <v>699</v>
      </c>
      <c r="Q65" s="6" t="s">
        <v>138</v>
      </c>
      <c r="R65" s="6" t="s">
        <v>55</v>
      </c>
      <c r="S65" s="9">
        <v>46191</v>
      </c>
      <c r="T65" s="9">
        <v>46204</v>
      </c>
      <c r="V65" s="6">
        <v>1</v>
      </c>
      <c r="W65" s="6">
        <v>1</v>
      </c>
      <c r="X65" s="6">
        <v>1</v>
      </c>
      <c r="Y65" s="6">
        <v>0</v>
      </c>
      <c r="Z65" s="6">
        <v>0</v>
      </c>
      <c r="AA65" s="6">
        <v>0</v>
      </c>
      <c r="AB65" s="6">
        <v>0</v>
      </c>
      <c r="AC65" s="6">
        <v>0</v>
      </c>
      <c r="AD65" s="6">
        <v>0</v>
      </c>
      <c r="AE65" s="6">
        <v>0</v>
      </c>
      <c r="AF65" s="6">
        <v>0</v>
      </c>
      <c r="AG65" s="6">
        <v>1</v>
      </c>
    </row>
    <row r="66" spans="1:33" x14ac:dyDescent="0.25">
      <c r="A66" s="6">
        <v>598</v>
      </c>
      <c r="B66" s="6" t="s">
        <v>851</v>
      </c>
      <c r="C66" s="6" t="s">
        <v>852</v>
      </c>
      <c r="D66" s="6" t="s">
        <v>94</v>
      </c>
      <c r="E66" s="6" t="s">
        <v>815</v>
      </c>
      <c r="F66" s="10">
        <v>46189</v>
      </c>
      <c r="G66" s="10">
        <v>46197</v>
      </c>
      <c r="H66" s="4">
        <v>1</v>
      </c>
      <c r="I66" s="10">
        <v>46197</v>
      </c>
      <c r="J66" s="6" t="s">
        <v>824</v>
      </c>
      <c r="K66" s="6">
        <v>599</v>
      </c>
      <c r="L66" s="6" t="s">
        <v>59</v>
      </c>
      <c r="M66" s="6" t="s">
        <v>386</v>
      </c>
      <c r="N66" s="9">
        <v>46204</v>
      </c>
      <c r="P66" s="6" t="s">
        <v>699</v>
      </c>
      <c r="Q66" s="6" t="s">
        <v>138</v>
      </c>
      <c r="R66" s="6" t="s">
        <v>55</v>
      </c>
      <c r="S66" s="9">
        <v>46191</v>
      </c>
      <c r="T66" s="9">
        <v>46204</v>
      </c>
      <c r="V66" s="6">
        <v>1</v>
      </c>
      <c r="W66" s="6">
        <v>1</v>
      </c>
      <c r="X66" s="6">
        <v>1</v>
      </c>
      <c r="Y66" s="6">
        <v>0</v>
      </c>
      <c r="Z66" s="6">
        <v>0</v>
      </c>
      <c r="AA66" s="6">
        <v>0</v>
      </c>
      <c r="AB66" s="6">
        <v>0</v>
      </c>
      <c r="AC66" s="6">
        <v>0</v>
      </c>
      <c r="AD66" s="6">
        <v>0</v>
      </c>
      <c r="AE66" s="6">
        <v>0</v>
      </c>
      <c r="AF66" s="6">
        <v>0</v>
      </c>
      <c r="AG66" s="6">
        <v>1</v>
      </c>
    </row>
    <row r="67" spans="1:33" x14ac:dyDescent="0.25">
      <c r="A67" s="6">
        <v>603</v>
      </c>
      <c r="B67" s="6" t="s">
        <v>858</v>
      </c>
      <c r="C67" s="6" t="s">
        <v>859</v>
      </c>
      <c r="D67" s="6" t="s">
        <v>94</v>
      </c>
      <c r="E67" s="6" t="s">
        <v>815</v>
      </c>
      <c r="F67" s="10">
        <v>46189</v>
      </c>
      <c r="G67" s="10">
        <v>46197</v>
      </c>
      <c r="H67" s="4">
        <v>1</v>
      </c>
      <c r="I67" s="10">
        <v>46197</v>
      </c>
      <c r="J67" s="6" t="s">
        <v>824</v>
      </c>
      <c r="K67" s="6">
        <v>604</v>
      </c>
      <c r="L67" s="6" t="s">
        <v>59</v>
      </c>
      <c r="M67" s="6" t="s">
        <v>386</v>
      </c>
      <c r="N67" s="9">
        <v>46204</v>
      </c>
      <c r="P67" s="6" t="s">
        <v>699</v>
      </c>
      <c r="Q67" s="6" t="s">
        <v>138</v>
      </c>
      <c r="R67" s="6" t="s">
        <v>55</v>
      </c>
      <c r="S67" s="9">
        <v>46191</v>
      </c>
      <c r="T67" s="9">
        <v>46204</v>
      </c>
      <c r="V67" s="6">
        <v>1</v>
      </c>
      <c r="W67" s="6">
        <v>1</v>
      </c>
      <c r="X67" s="6">
        <v>1</v>
      </c>
      <c r="Y67" s="6">
        <v>0</v>
      </c>
      <c r="Z67" s="6">
        <v>0</v>
      </c>
      <c r="AA67" s="6">
        <v>0</v>
      </c>
      <c r="AB67" s="6">
        <v>0</v>
      </c>
      <c r="AC67" s="6">
        <v>0</v>
      </c>
      <c r="AD67" s="6">
        <v>0</v>
      </c>
      <c r="AE67" s="6">
        <v>0</v>
      </c>
      <c r="AF67" s="6">
        <v>0</v>
      </c>
      <c r="AG67" s="6">
        <v>1</v>
      </c>
    </row>
    <row r="68" spans="1:33" x14ac:dyDescent="0.25">
      <c r="A68" s="6">
        <v>608</v>
      </c>
      <c r="B68" s="6" t="s">
        <v>865</v>
      </c>
      <c r="C68" s="6" t="s">
        <v>866</v>
      </c>
      <c r="D68" s="6" t="s">
        <v>94</v>
      </c>
      <c r="E68" s="6" t="s">
        <v>815</v>
      </c>
      <c r="F68" s="10">
        <v>46189</v>
      </c>
      <c r="G68" s="10">
        <v>46197</v>
      </c>
      <c r="H68" s="4">
        <v>1</v>
      </c>
      <c r="I68" s="10">
        <v>46197</v>
      </c>
      <c r="J68" s="6" t="s">
        <v>824</v>
      </c>
      <c r="K68" s="6">
        <v>609</v>
      </c>
      <c r="L68" s="6" t="s">
        <v>59</v>
      </c>
      <c r="M68" s="6" t="s">
        <v>386</v>
      </c>
      <c r="N68" s="9">
        <v>46204</v>
      </c>
      <c r="P68" s="6" t="s">
        <v>699</v>
      </c>
      <c r="Q68" s="6" t="s">
        <v>138</v>
      </c>
      <c r="R68" s="6" t="s">
        <v>55</v>
      </c>
      <c r="S68" s="9">
        <v>46191</v>
      </c>
      <c r="T68" s="9">
        <v>46204</v>
      </c>
      <c r="V68" s="6">
        <v>1</v>
      </c>
      <c r="W68" s="6">
        <v>1</v>
      </c>
      <c r="X68" s="6">
        <v>1</v>
      </c>
      <c r="Y68" s="6">
        <v>0</v>
      </c>
      <c r="Z68" s="6">
        <v>0</v>
      </c>
      <c r="AA68" s="6">
        <v>0</v>
      </c>
      <c r="AB68" s="6">
        <v>0</v>
      </c>
      <c r="AC68" s="6">
        <v>0</v>
      </c>
      <c r="AD68" s="6">
        <v>0</v>
      </c>
      <c r="AE68" s="6">
        <v>0</v>
      </c>
      <c r="AF68" s="6">
        <v>0</v>
      </c>
      <c r="AG68" s="6">
        <v>1</v>
      </c>
    </row>
    <row r="69" spans="1:33" x14ac:dyDescent="0.25">
      <c r="A69" s="6">
        <v>613</v>
      </c>
      <c r="B69" s="6" t="s">
        <v>872</v>
      </c>
      <c r="C69" s="6" t="s">
        <v>873</v>
      </c>
      <c r="D69" s="6" t="s">
        <v>94</v>
      </c>
      <c r="E69" s="6" t="s">
        <v>815</v>
      </c>
      <c r="F69" s="10">
        <v>46188</v>
      </c>
      <c r="G69" s="10">
        <v>46196</v>
      </c>
      <c r="H69" s="4">
        <v>1</v>
      </c>
      <c r="I69" s="10">
        <v>46196</v>
      </c>
      <c r="J69" s="6" t="s">
        <v>824</v>
      </c>
      <c r="K69" s="6">
        <v>614</v>
      </c>
      <c r="L69" s="6" t="s">
        <v>59</v>
      </c>
      <c r="M69" s="6" t="s">
        <v>386</v>
      </c>
      <c r="N69" s="9">
        <v>46204</v>
      </c>
      <c r="P69" s="6" t="s">
        <v>699</v>
      </c>
      <c r="Q69" s="6" t="s">
        <v>138</v>
      </c>
      <c r="R69" s="6" t="s">
        <v>55</v>
      </c>
      <c r="S69" s="9">
        <v>46191</v>
      </c>
      <c r="T69" s="9">
        <v>46204</v>
      </c>
      <c r="V69" s="6">
        <v>1</v>
      </c>
      <c r="W69" s="6">
        <v>1</v>
      </c>
      <c r="X69" s="6">
        <v>1</v>
      </c>
      <c r="Y69" s="6">
        <v>0</v>
      </c>
      <c r="Z69" s="6">
        <v>0</v>
      </c>
      <c r="AA69" s="6">
        <v>0</v>
      </c>
      <c r="AB69" s="6">
        <v>0</v>
      </c>
      <c r="AC69" s="6">
        <v>0</v>
      </c>
      <c r="AD69" s="6">
        <v>0</v>
      </c>
      <c r="AE69" s="6">
        <v>0</v>
      </c>
      <c r="AF69" s="6">
        <v>0</v>
      </c>
      <c r="AG69" s="6">
        <v>1</v>
      </c>
    </row>
    <row r="70" spans="1:33" x14ac:dyDescent="0.25">
      <c r="A70" s="6">
        <v>618</v>
      </c>
      <c r="B70" s="6" t="s">
        <v>879</v>
      </c>
      <c r="C70" s="6" t="s">
        <v>880</v>
      </c>
      <c r="D70" s="6" t="s">
        <v>94</v>
      </c>
      <c r="E70" s="6" t="s">
        <v>815</v>
      </c>
      <c r="F70" s="10">
        <v>46188</v>
      </c>
      <c r="G70" s="10">
        <v>46196</v>
      </c>
      <c r="H70" s="4">
        <v>1</v>
      </c>
      <c r="I70" s="10">
        <v>46196</v>
      </c>
      <c r="J70" s="6" t="s">
        <v>824</v>
      </c>
      <c r="K70" s="6">
        <v>619</v>
      </c>
      <c r="L70" s="6" t="s">
        <v>59</v>
      </c>
      <c r="M70" s="6" t="s">
        <v>386</v>
      </c>
      <c r="N70" s="9">
        <v>46204</v>
      </c>
      <c r="P70" s="6" t="s">
        <v>699</v>
      </c>
      <c r="Q70" s="6" t="s">
        <v>138</v>
      </c>
      <c r="R70" s="6" t="s">
        <v>55</v>
      </c>
      <c r="S70" s="9">
        <v>46191</v>
      </c>
      <c r="T70" s="9">
        <v>46204</v>
      </c>
      <c r="V70" s="6">
        <v>1</v>
      </c>
      <c r="W70" s="6">
        <v>1</v>
      </c>
      <c r="X70" s="6">
        <v>1</v>
      </c>
      <c r="Y70" s="6">
        <v>0</v>
      </c>
      <c r="Z70" s="6">
        <v>0</v>
      </c>
      <c r="AA70" s="6">
        <v>0</v>
      </c>
      <c r="AB70" s="6">
        <v>0</v>
      </c>
      <c r="AC70" s="6">
        <v>0</v>
      </c>
      <c r="AD70" s="6">
        <v>0</v>
      </c>
      <c r="AE70" s="6">
        <v>0</v>
      </c>
      <c r="AF70" s="6">
        <v>0</v>
      </c>
      <c r="AG70" s="6">
        <v>1</v>
      </c>
    </row>
    <row r="71" spans="1:33" x14ac:dyDescent="0.25">
      <c r="A71" s="6">
        <v>623</v>
      </c>
      <c r="B71" s="6" t="s">
        <v>886</v>
      </c>
      <c r="C71" s="6" t="s">
        <v>887</v>
      </c>
      <c r="D71" s="6" t="s">
        <v>94</v>
      </c>
      <c r="E71" s="6" t="s">
        <v>815</v>
      </c>
      <c r="F71" s="10">
        <v>46188</v>
      </c>
      <c r="G71" s="10">
        <v>46196</v>
      </c>
      <c r="H71" s="4">
        <v>1</v>
      </c>
      <c r="I71" s="10">
        <v>46196</v>
      </c>
      <c r="J71" s="6" t="s">
        <v>824</v>
      </c>
      <c r="K71" s="6">
        <v>624</v>
      </c>
      <c r="L71" s="6" t="s">
        <v>59</v>
      </c>
      <c r="M71" s="6" t="s">
        <v>386</v>
      </c>
      <c r="N71" s="9">
        <v>46204</v>
      </c>
      <c r="P71" s="6" t="s">
        <v>699</v>
      </c>
      <c r="Q71" s="6" t="s">
        <v>138</v>
      </c>
      <c r="R71" s="6" t="s">
        <v>55</v>
      </c>
      <c r="S71" s="9">
        <v>46191</v>
      </c>
      <c r="T71" s="9">
        <v>46204</v>
      </c>
      <c r="V71" s="6">
        <v>1</v>
      </c>
      <c r="W71" s="6">
        <v>1</v>
      </c>
      <c r="X71" s="6">
        <v>1</v>
      </c>
      <c r="Y71" s="6">
        <v>0</v>
      </c>
      <c r="Z71" s="6">
        <v>0</v>
      </c>
      <c r="AA71" s="6">
        <v>0</v>
      </c>
      <c r="AB71" s="6">
        <v>0</v>
      </c>
      <c r="AC71" s="6">
        <v>0</v>
      </c>
      <c r="AD71" s="6">
        <v>0</v>
      </c>
      <c r="AE71" s="6">
        <v>0</v>
      </c>
      <c r="AF71" s="6">
        <v>0</v>
      </c>
      <c r="AG71" s="6">
        <v>1</v>
      </c>
    </row>
    <row r="72" spans="1:33" x14ac:dyDescent="0.25">
      <c r="A72" s="6">
        <v>628</v>
      </c>
      <c r="B72" s="6" t="s">
        <v>893</v>
      </c>
      <c r="C72" s="6" t="s">
        <v>894</v>
      </c>
      <c r="D72" s="6" t="s">
        <v>94</v>
      </c>
      <c r="E72" s="6" t="s">
        <v>815</v>
      </c>
      <c r="F72" s="10">
        <v>46191</v>
      </c>
      <c r="G72" s="10">
        <v>46199</v>
      </c>
      <c r="H72" s="4">
        <v>1</v>
      </c>
      <c r="I72" s="10">
        <v>46199</v>
      </c>
      <c r="J72" s="6" t="s">
        <v>824</v>
      </c>
      <c r="K72" s="6">
        <v>629</v>
      </c>
      <c r="L72" s="6" t="s">
        <v>59</v>
      </c>
      <c r="M72" s="6" t="s">
        <v>386</v>
      </c>
      <c r="N72" s="9">
        <v>46204</v>
      </c>
      <c r="P72" s="6" t="s">
        <v>699</v>
      </c>
      <c r="Q72" s="6" t="s">
        <v>138</v>
      </c>
      <c r="R72" s="6" t="s">
        <v>55</v>
      </c>
      <c r="S72" s="9">
        <v>46191</v>
      </c>
      <c r="T72" s="9">
        <v>46204</v>
      </c>
      <c r="V72" s="6">
        <v>1</v>
      </c>
      <c r="W72" s="6">
        <v>1</v>
      </c>
      <c r="X72" s="6">
        <v>1</v>
      </c>
      <c r="Y72" s="6">
        <v>0</v>
      </c>
      <c r="Z72" s="6">
        <v>0</v>
      </c>
      <c r="AA72" s="6">
        <v>0</v>
      </c>
      <c r="AB72" s="6">
        <v>0</v>
      </c>
      <c r="AC72" s="6">
        <v>0</v>
      </c>
      <c r="AD72" s="6">
        <v>0</v>
      </c>
      <c r="AE72" s="6">
        <v>0</v>
      </c>
      <c r="AF72" s="6">
        <v>0</v>
      </c>
      <c r="AG72" s="6">
        <v>1</v>
      </c>
    </row>
    <row r="73" spans="1:33" x14ac:dyDescent="0.25">
      <c r="A73" s="6">
        <v>633</v>
      </c>
      <c r="B73" s="6" t="s">
        <v>900</v>
      </c>
      <c r="C73" s="6" t="s">
        <v>901</v>
      </c>
      <c r="D73" s="6" t="s">
        <v>94</v>
      </c>
      <c r="E73" s="6" t="s">
        <v>815</v>
      </c>
      <c r="F73" s="10">
        <v>46191</v>
      </c>
      <c r="G73" s="10">
        <v>46199</v>
      </c>
      <c r="H73" s="4">
        <v>1</v>
      </c>
      <c r="I73" s="10">
        <v>46199</v>
      </c>
      <c r="J73" s="6" t="s">
        <v>824</v>
      </c>
      <c r="K73" s="6">
        <v>634</v>
      </c>
      <c r="L73" s="6" t="s">
        <v>59</v>
      </c>
      <c r="M73" s="6" t="s">
        <v>386</v>
      </c>
      <c r="N73" s="9">
        <v>46204</v>
      </c>
      <c r="P73" s="6" t="s">
        <v>699</v>
      </c>
      <c r="Q73" s="6" t="s">
        <v>138</v>
      </c>
      <c r="R73" s="6" t="s">
        <v>55</v>
      </c>
      <c r="S73" s="9">
        <v>46191</v>
      </c>
      <c r="T73" s="9">
        <v>46204</v>
      </c>
      <c r="V73" s="6">
        <v>1</v>
      </c>
      <c r="W73" s="6">
        <v>1</v>
      </c>
      <c r="X73" s="6">
        <v>1</v>
      </c>
      <c r="Y73" s="6">
        <v>0</v>
      </c>
      <c r="Z73" s="6">
        <v>0</v>
      </c>
      <c r="AA73" s="6">
        <v>0</v>
      </c>
      <c r="AB73" s="6">
        <v>0</v>
      </c>
      <c r="AC73" s="6">
        <v>0</v>
      </c>
      <c r="AD73" s="6">
        <v>0</v>
      </c>
      <c r="AE73" s="6">
        <v>0</v>
      </c>
      <c r="AF73" s="6">
        <v>0</v>
      </c>
      <c r="AG73" s="6">
        <v>1</v>
      </c>
    </row>
    <row r="74" spans="1:33" x14ac:dyDescent="0.25">
      <c r="A74" s="6">
        <v>638</v>
      </c>
      <c r="B74" s="6" t="s">
        <v>907</v>
      </c>
      <c r="C74" s="6" t="s">
        <v>908</v>
      </c>
      <c r="D74" s="6" t="s">
        <v>94</v>
      </c>
      <c r="E74" s="6" t="s">
        <v>815</v>
      </c>
      <c r="F74" s="10">
        <v>46191</v>
      </c>
      <c r="G74" s="10">
        <v>46199</v>
      </c>
      <c r="H74" s="4">
        <v>1</v>
      </c>
      <c r="I74" s="10">
        <v>46199</v>
      </c>
      <c r="J74" s="6" t="s">
        <v>824</v>
      </c>
      <c r="K74" s="6">
        <v>639</v>
      </c>
      <c r="L74" s="6" t="s">
        <v>59</v>
      </c>
      <c r="M74" s="6" t="s">
        <v>386</v>
      </c>
      <c r="N74" s="9">
        <v>46204</v>
      </c>
      <c r="P74" s="6" t="s">
        <v>699</v>
      </c>
      <c r="Q74" s="6" t="s">
        <v>138</v>
      </c>
      <c r="R74" s="6" t="s">
        <v>55</v>
      </c>
      <c r="S74" s="9">
        <v>46191</v>
      </c>
      <c r="T74" s="9">
        <v>46204</v>
      </c>
      <c r="V74" s="6">
        <v>1</v>
      </c>
      <c r="W74" s="6">
        <v>1</v>
      </c>
      <c r="X74" s="6">
        <v>1</v>
      </c>
      <c r="Y74" s="6">
        <v>0</v>
      </c>
      <c r="Z74" s="6">
        <v>0</v>
      </c>
      <c r="AA74" s="6">
        <v>0</v>
      </c>
      <c r="AB74" s="6">
        <v>0</v>
      </c>
      <c r="AC74" s="6">
        <v>0</v>
      </c>
      <c r="AD74" s="6">
        <v>0</v>
      </c>
      <c r="AE74" s="6">
        <v>0</v>
      </c>
      <c r="AF74" s="6">
        <v>0</v>
      </c>
      <c r="AG74" s="6">
        <v>1</v>
      </c>
    </row>
    <row r="75" spans="1:33" x14ac:dyDescent="0.25">
      <c r="A75" s="6">
        <v>643</v>
      </c>
      <c r="B75" s="6" t="s">
        <v>914</v>
      </c>
      <c r="C75" s="6" t="s">
        <v>915</v>
      </c>
      <c r="D75" s="6" t="s">
        <v>94</v>
      </c>
      <c r="E75" s="6" t="s">
        <v>815</v>
      </c>
      <c r="F75" s="10">
        <v>46188</v>
      </c>
      <c r="G75" s="10">
        <v>46196</v>
      </c>
      <c r="H75" s="4">
        <v>1</v>
      </c>
      <c r="I75" s="10">
        <v>46196</v>
      </c>
      <c r="J75" s="6" t="s">
        <v>824</v>
      </c>
      <c r="K75" s="6">
        <v>644</v>
      </c>
      <c r="L75" s="6" t="s">
        <v>59</v>
      </c>
      <c r="M75" s="6" t="s">
        <v>386</v>
      </c>
      <c r="N75" s="9">
        <v>46204</v>
      </c>
      <c r="P75" s="6" t="s">
        <v>699</v>
      </c>
      <c r="Q75" s="6" t="s">
        <v>138</v>
      </c>
      <c r="R75" s="6" t="s">
        <v>55</v>
      </c>
      <c r="S75" s="9">
        <v>46191</v>
      </c>
      <c r="T75" s="9">
        <v>46204</v>
      </c>
      <c r="V75" s="6">
        <v>1</v>
      </c>
      <c r="W75" s="6">
        <v>1</v>
      </c>
      <c r="X75" s="6">
        <v>1</v>
      </c>
      <c r="Y75" s="6">
        <v>0</v>
      </c>
      <c r="Z75" s="6">
        <v>0</v>
      </c>
      <c r="AA75" s="6">
        <v>0</v>
      </c>
      <c r="AB75" s="6">
        <v>0</v>
      </c>
      <c r="AC75" s="6">
        <v>0</v>
      </c>
      <c r="AD75" s="6">
        <v>0</v>
      </c>
      <c r="AE75" s="6">
        <v>0</v>
      </c>
      <c r="AF75" s="6">
        <v>0</v>
      </c>
      <c r="AG75" s="6">
        <v>1</v>
      </c>
    </row>
    <row r="76" spans="1:33" x14ac:dyDescent="0.25">
      <c r="A76" s="6">
        <v>648</v>
      </c>
      <c r="B76" s="6" t="s">
        <v>921</v>
      </c>
      <c r="C76" s="6" t="s">
        <v>922</v>
      </c>
      <c r="D76" s="6" t="s">
        <v>94</v>
      </c>
      <c r="E76" s="6" t="s">
        <v>815</v>
      </c>
      <c r="F76" s="10">
        <v>46188</v>
      </c>
      <c r="G76" s="10">
        <v>46196</v>
      </c>
      <c r="H76" s="4">
        <v>1</v>
      </c>
      <c r="I76" s="10">
        <v>46196</v>
      </c>
      <c r="J76" s="6" t="s">
        <v>824</v>
      </c>
      <c r="K76" s="6">
        <v>649</v>
      </c>
      <c r="L76" s="6" t="s">
        <v>59</v>
      </c>
      <c r="M76" s="6" t="s">
        <v>386</v>
      </c>
      <c r="N76" s="9">
        <v>46204</v>
      </c>
      <c r="P76" s="6" t="s">
        <v>699</v>
      </c>
      <c r="Q76" s="6" t="s">
        <v>138</v>
      </c>
      <c r="R76" s="6" t="s">
        <v>55</v>
      </c>
      <c r="S76" s="9">
        <v>46191</v>
      </c>
      <c r="T76" s="9">
        <v>46204</v>
      </c>
      <c r="V76" s="6">
        <v>1</v>
      </c>
      <c r="W76" s="6">
        <v>1</v>
      </c>
      <c r="X76" s="6">
        <v>1</v>
      </c>
      <c r="Y76" s="6">
        <v>0</v>
      </c>
      <c r="Z76" s="6">
        <v>0</v>
      </c>
      <c r="AA76" s="6">
        <v>0</v>
      </c>
      <c r="AB76" s="6">
        <v>0</v>
      </c>
      <c r="AC76" s="6">
        <v>0</v>
      </c>
      <c r="AD76" s="6">
        <v>0</v>
      </c>
      <c r="AE76" s="6">
        <v>0</v>
      </c>
      <c r="AF76" s="6">
        <v>0</v>
      </c>
      <c r="AG76" s="6">
        <v>1</v>
      </c>
    </row>
    <row r="77" spans="1:33" x14ac:dyDescent="0.25">
      <c r="A77" s="6">
        <v>653</v>
      </c>
      <c r="B77" s="6" t="s">
        <v>928</v>
      </c>
      <c r="C77" s="6" t="s">
        <v>929</v>
      </c>
      <c r="D77" s="6" t="s">
        <v>94</v>
      </c>
      <c r="E77" s="6" t="s">
        <v>815</v>
      </c>
      <c r="F77" s="10">
        <v>46188</v>
      </c>
      <c r="G77" s="10">
        <v>46196</v>
      </c>
      <c r="H77" s="4">
        <v>1</v>
      </c>
      <c r="I77" s="10">
        <v>46196</v>
      </c>
      <c r="J77" s="6" t="s">
        <v>824</v>
      </c>
      <c r="K77" s="6">
        <v>654</v>
      </c>
      <c r="L77" s="6" t="s">
        <v>59</v>
      </c>
      <c r="M77" s="6" t="s">
        <v>386</v>
      </c>
      <c r="N77" s="9">
        <v>46204</v>
      </c>
      <c r="P77" s="6" t="s">
        <v>699</v>
      </c>
      <c r="Q77" s="6" t="s">
        <v>138</v>
      </c>
      <c r="R77" s="6" t="s">
        <v>55</v>
      </c>
      <c r="S77" s="9">
        <v>46191</v>
      </c>
      <c r="T77" s="9">
        <v>46204</v>
      </c>
      <c r="V77" s="6">
        <v>1</v>
      </c>
      <c r="W77" s="6">
        <v>1</v>
      </c>
      <c r="X77" s="6">
        <v>1</v>
      </c>
      <c r="Y77" s="6">
        <v>0</v>
      </c>
      <c r="Z77" s="6">
        <v>0</v>
      </c>
      <c r="AA77" s="6">
        <v>0</v>
      </c>
      <c r="AB77" s="6">
        <v>0</v>
      </c>
      <c r="AC77" s="6">
        <v>0</v>
      </c>
      <c r="AD77" s="6">
        <v>0</v>
      </c>
      <c r="AE77" s="6">
        <v>0</v>
      </c>
      <c r="AF77" s="6">
        <v>0</v>
      </c>
      <c r="AG77" s="6">
        <v>1</v>
      </c>
    </row>
    <row r="78" spans="1:33" x14ac:dyDescent="0.25">
      <c r="A78" s="6">
        <v>658</v>
      </c>
      <c r="B78" s="6" t="s">
        <v>935</v>
      </c>
      <c r="C78" s="6" t="s">
        <v>936</v>
      </c>
      <c r="D78" s="6" t="s">
        <v>94</v>
      </c>
      <c r="E78" s="6" t="s">
        <v>815</v>
      </c>
      <c r="F78" s="10">
        <v>46188</v>
      </c>
      <c r="G78" s="10">
        <v>46196</v>
      </c>
      <c r="H78" s="4">
        <v>1</v>
      </c>
      <c r="I78" s="10">
        <v>46196</v>
      </c>
      <c r="J78" s="6" t="s">
        <v>824</v>
      </c>
      <c r="K78" s="6">
        <v>659</v>
      </c>
      <c r="L78" s="6" t="s">
        <v>59</v>
      </c>
      <c r="M78" s="6" t="s">
        <v>386</v>
      </c>
      <c r="N78" s="9">
        <v>46204</v>
      </c>
      <c r="P78" s="6" t="s">
        <v>699</v>
      </c>
      <c r="Q78" s="6" t="s">
        <v>138</v>
      </c>
      <c r="R78" s="6" t="s">
        <v>55</v>
      </c>
      <c r="S78" s="9">
        <v>46191</v>
      </c>
      <c r="T78" s="9">
        <v>46204</v>
      </c>
      <c r="V78" s="6">
        <v>1</v>
      </c>
      <c r="W78" s="6">
        <v>1</v>
      </c>
      <c r="X78" s="6">
        <v>1</v>
      </c>
      <c r="Y78" s="6">
        <v>0</v>
      </c>
      <c r="Z78" s="6">
        <v>0</v>
      </c>
      <c r="AA78" s="6">
        <v>0</v>
      </c>
      <c r="AB78" s="6">
        <v>0</v>
      </c>
      <c r="AC78" s="6">
        <v>0</v>
      </c>
      <c r="AD78" s="6">
        <v>0</v>
      </c>
      <c r="AE78" s="6">
        <v>0</v>
      </c>
      <c r="AF78" s="6">
        <v>0</v>
      </c>
      <c r="AG78" s="6">
        <v>1</v>
      </c>
    </row>
    <row r="79" spans="1:33" x14ac:dyDescent="0.25">
      <c r="A79" s="6">
        <v>663</v>
      </c>
      <c r="B79" s="6" t="s">
        <v>942</v>
      </c>
      <c r="C79" s="6" t="s">
        <v>943</v>
      </c>
      <c r="D79" s="6" t="s">
        <v>94</v>
      </c>
      <c r="E79" s="6" t="s">
        <v>815</v>
      </c>
      <c r="F79" s="10">
        <v>46188</v>
      </c>
      <c r="G79" s="10">
        <v>46196</v>
      </c>
      <c r="H79" s="4">
        <v>1</v>
      </c>
      <c r="I79" s="10">
        <v>46196</v>
      </c>
      <c r="J79" s="6" t="s">
        <v>824</v>
      </c>
      <c r="K79" s="6">
        <v>664</v>
      </c>
      <c r="L79" s="6" t="s">
        <v>59</v>
      </c>
      <c r="M79" s="6" t="s">
        <v>386</v>
      </c>
      <c r="N79" s="9">
        <v>46204</v>
      </c>
      <c r="P79" s="6" t="s">
        <v>699</v>
      </c>
      <c r="Q79" s="6" t="s">
        <v>138</v>
      </c>
      <c r="R79" s="6" t="s">
        <v>55</v>
      </c>
      <c r="S79" s="9">
        <v>46191</v>
      </c>
      <c r="T79" s="9">
        <v>46204</v>
      </c>
      <c r="V79" s="6">
        <v>1</v>
      </c>
      <c r="W79" s="6">
        <v>1</v>
      </c>
      <c r="X79" s="6">
        <v>1</v>
      </c>
      <c r="Y79" s="6">
        <v>0</v>
      </c>
      <c r="Z79" s="6">
        <v>0</v>
      </c>
      <c r="AA79" s="6">
        <v>0</v>
      </c>
      <c r="AB79" s="6">
        <v>0</v>
      </c>
      <c r="AC79" s="6">
        <v>0</v>
      </c>
      <c r="AD79" s="6">
        <v>0</v>
      </c>
      <c r="AE79" s="6">
        <v>0</v>
      </c>
      <c r="AF79" s="6">
        <v>0</v>
      </c>
      <c r="AG79" s="6">
        <v>1</v>
      </c>
    </row>
    <row r="80" spans="1:33" x14ac:dyDescent="0.25">
      <c r="A80" s="6">
        <v>668</v>
      </c>
      <c r="B80" s="6" t="s">
        <v>949</v>
      </c>
      <c r="C80" s="6" t="s">
        <v>950</v>
      </c>
      <c r="D80" s="6" t="s">
        <v>94</v>
      </c>
      <c r="E80" s="6" t="s">
        <v>815</v>
      </c>
      <c r="F80" s="10">
        <v>46188</v>
      </c>
      <c r="G80" s="10">
        <v>46196</v>
      </c>
      <c r="H80" s="4">
        <v>1</v>
      </c>
      <c r="I80" s="10">
        <v>46196</v>
      </c>
      <c r="J80" s="6" t="s">
        <v>824</v>
      </c>
      <c r="K80" s="6">
        <v>669</v>
      </c>
      <c r="L80" s="6" t="s">
        <v>59</v>
      </c>
      <c r="M80" s="6" t="s">
        <v>386</v>
      </c>
      <c r="N80" s="9">
        <v>46204</v>
      </c>
      <c r="P80" s="6" t="s">
        <v>699</v>
      </c>
      <c r="Q80" s="6" t="s">
        <v>138</v>
      </c>
      <c r="R80" s="6" t="s">
        <v>55</v>
      </c>
      <c r="S80" s="9">
        <v>46191</v>
      </c>
      <c r="T80" s="9">
        <v>46204</v>
      </c>
      <c r="V80" s="6">
        <v>1</v>
      </c>
      <c r="W80" s="6">
        <v>1</v>
      </c>
      <c r="X80" s="6">
        <v>1</v>
      </c>
      <c r="Y80" s="6">
        <v>0</v>
      </c>
      <c r="Z80" s="6">
        <v>0</v>
      </c>
      <c r="AA80" s="6">
        <v>0</v>
      </c>
      <c r="AB80" s="6">
        <v>0</v>
      </c>
      <c r="AC80" s="6">
        <v>0</v>
      </c>
      <c r="AD80" s="6">
        <v>0</v>
      </c>
      <c r="AE80" s="6">
        <v>0</v>
      </c>
      <c r="AF80" s="6">
        <v>0</v>
      </c>
      <c r="AG80" s="6">
        <v>1</v>
      </c>
    </row>
    <row r="81" spans="1:33" x14ac:dyDescent="0.25">
      <c r="A81" s="6">
        <v>673</v>
      </c>
      <c r="B81" s="6" t="s">
        <v>956</v>
      </c>
      <c r="C81" s="6" t="s">
        <v>957</v>
      </c>
      <c r="D81" s="6" t="s">
        <v>94</v>
      </c>
      <c r="E81" s="6" t="s">
        <v>815</v>
      </c>
      <c r="F81" s="10">
        <v>46188</v>
      </c>
      <c r="G81" s="10">
        <v>46196</v>
      </c>
      <c r="H81" s="4">
        <v>1</v>
      </c>
      <c r="I81" s="10">
        <v>46196</v>
      </c>
      <c r="J81" s="6" t="s">
        <v>824</v>
      </c>
      <c r="K81" s="6">
        <v>674</v>
      </c>
      <c r="L81" s="6" t="s">
        <v>59</v>
      </c>
      <c r="M81" s="6" t="s">
        <v>386</v>
      </c>
      <c r="N81" s="9">
        <v>46204</v>
      </c>
      <c r="P81" s="6" t="s">
        <v>699</v>
      </c>
      <c r="Q81" s="6" t="s">
        <v>138</v>
      </c>
      <c r="R81" s="6" t="s">
        <v>55</v>
      </c>
      <c r="S81" s="9">
        <v>46191</v>
      </c>
      <c r="T81" s="9">
        <v>46204</v>
      </c>
      <c r="V81" s="6">
        <v>1</v>
      </c>
      <c r="W81" s="6">
        <v>1</v>
      </c>
      <c r="X81" s="6">
        <v>1</v>
      </c>
      <c r="Y81" s="6">
        <v>0</v>
      </c>
      <c r="Z81" s="6">
        <v>0</v>
      </c>
      <c r="AA81" s="6">
        <v>0</v>
      </c>
      <c r="AB81" s="6">
        <v>0</v>
      </c>
      <c r="AC81" s="6">
        <v>0</v>
      </c>
      <c r="AD81" s="6">
        <v>0</v>
      </c>
      <c r="AE81" s="6">
        <v>0</v>
      </c>
      <c r="AF81" s="6">
        <v>0</v>
      </c>
      <c r="AG81" s="6">
        <v>1</v>
      </c>
    </row>
    <row r="82" spans="1:33" x14ac:dyDescent="0.25">
      <c r="A82" s="6">
        <v>678</v>
      </c>
      <c r="B82" s="6" t="s">
        <v>964</v>
      </c>
      <c r="C82" s="6" t="s">
        <v>965</v>
      </c>
      <c r="D82" s="6" t="s">
        <v>94</v>
      </c>
      <c r="E82" s="6" t="s">
        <v>815</v>
      </c>
      <c r="F82" s="10">
        <v>46192</v>
      </c>
      <c r="G82" s="10">
        <v>46202</v>
      </c>
      <c r="H82" s="4">
        <v>1</v>
      </c>
      <c r="I82" s="10">
        <v>46202</v>
      </c>
      <c r="J82" s="6" t="s">
        <v>824</v>
      </c>
      <c r="K82" s="6">
        <v>679</v>
      </c>
      <c r="L82" s="6" t="s">
        <v>59</v>
      </c>
      <c r="M82" s="6" t="s">
        <v>386</v>
      </c>
      <c r="N82" s="9">
        <v>46204</v>
      </c>
      <c r="P82" s="6" t="s">
        <v>699</v>
      </c>
      <c r="Q82" s="6" t="s">
        <v>138</v>
      </c>
      <c r="R82" s="6" t="s">
        <v>55</v>
      </c>
      <c r="S82" s="9">
        <v>46191</v>
      </c>
      <c r="T82" s="9">
        <v>46204</v>
      </c>
      <c r="V82" s="6">
        <v>1</v>
      </c>
      <c r="W82" s="6">
        <v>1</v>
      </c>
      <c r="X82" s="6">
        <v>1</v>
      </c>
      <c r="Y82" s="6">
        <v>0</v>
      </c>
      <c r="Z82" s="6">
        <v>0</v>
      </c>
      <c r="AA82" s="6">
        <v>0</v>
      </c>
      <c r="AB82" s="6">
        <v>0</v>
      </c>
      <c r="AC82" s="6">
        <v>0</v>
      </c>
      <c r="AD82" s="6">
        <v>0</v>
      </c>
      <c r="AE82" s="6">
        <v>0</v>
      </c>
      <c r="AF82" s="6">
        <v>0</v>
      </c>
      <c r="AG82" s="6">
        <v>1</v>
      </c>
    </row>
    <row r="83" spans="1:33" x14ac:dyDescent="0.25">
      <c r="A83" s="6">
        <v>683</v>
      </c>
      <c r="B83" s="6" t="s">
        <v>971</v>
      </c>
      <c r="C83" s="6" t="s">
        <v>972</v>
      </c>
      <c r="D83" s="6" t="s">
        <v>94</v>
      </c>
      <c r="E83" s="6" t="s">
        <v>815</v>
      </c>
      <c r="F83" s="10">
        <v>46192</v>
      </c>
      <c r="G83" s="10">
        <v>46202</v>
      </c>
      <c r="H83" s="4">
        <v>1</v>
      </c>
      <c r="I83" s="10">
        <v>46202</v>
      </c>
      <c r="J83" s="6" t="s">
        <v>824</v>
      </c>
      <c r="K83" s="6">
        <v>684</v>
      </c>
      <c r="L83" s="6" t="s">
        <v>59</v>
      </c>
      <c r="M83" s="6" t="s">
        <v>386</v>
      </c>
      <c r="N83" s="9">
        <v>46204</v>
      </c>
      <c r="P83" s="6" t="s">
        <v>699</v>
      </c>
      <c r="Q83" s="6" t="s">
        <v>138</v>
      </c>
      <c r="R83" s="6" t="s">
        <v>55</v>
      </c>
      <c r="S83" s="9">
        <v>46191</v>
      </c>
      <c r="T83" s="9">
        <v>46204</v>
      </c>
      <c r="V83" s="6">
        <v>1</v>
      </c>
      <c r="W83" s="6">
        <v>1</v>
      </c>
      <c r="X83" s="6">
        <v>1</v>
      </c>
      <c r="Y83" s="6">
        <v>0</v>
      </c>
      <c r="Z83" s="6">
        <v>0</v>
      </c>
      <c r="AA83" s="6">
        <v>0</v>
      </c>
      <c r="AB83" s="6">
        <v>0</v>
      </c>
      <c r="AC83" s="6">
        <v>0</v>
      </c>
      <c r="AD83" s="6">
        <v>0</v>
      </c>
      <c r="AE83" s="6">
        <v>0</v>
      </c>
      <c r="AF83" s="6">
        <v>0</v>
      </c>
      <c r="AG83" s="6">
        <v>1</v>
      </c>
    </row>
    <row r="84" spans="1:33" x14ac:dyDescent="0.25">
      <c r="A84" s="6">
        <v>688</v>
      </c>
      <c r="B84" s="6" t="s">
        <v>978</v>
      </c>
      <c r="C84" s="6" t="s">
        <v>979</v>
      </c>
      <c r="D84" s="6" t="s">
        <v>94</v>
      </c>
      <c r="E84" s="6" t="s">
        <v>815</v>
      </c>
      <c r="F84" s="10">
        <v>46192</v>
      </c>
      <c r="G84" s="10">
        <v>46202</v>
      </c>
      <c r="H84" s="4">
        <v>1</v>
      </c>
      <c r="I84" s="10">
        <v>46202</v>
      </c>
      <c r="J84" s="6" t="s">
        <v>824</v>
      </c>
      <c r="K84" s="6">
        <v>689</v>
      </c>
      <c r="L84" s="6" t="s">
        <v>59</v>
      </c>
      <c r="M84" s="6" t="s">
        <v>386</v>
      </c>
      <c r="N84" s="9">
        <v>46204</v>
      </c>
      <c r="P84" s="6" t="s">
        <v>699</v>
      </c>
      <c r="Q84" s="6" t="s">
        <v>138</v>
      </c>
      <c r="R84" s="6" t="s">
        <v>55</v>
      </c>
      <c r="S84" s="9">
        <v>46191</v>
      </c>
      <c r="T84" s="9">
        <v>46204</v>
      </c>
      <c r="V84" s="6">
        <v>1</v>
      </c>
      <c r="W84" s="6">
        <v>1</v>
      </c>
      <c r="X84" s="6">
        <v>1</v>
      </c>
      <c r="Y84" s="6">
        <v>0</v>
      </c>
      <c r="Z84" s="6">
        <v>0</v>
      </c>
      <c r="AA84" s="6">
        <v>0</v>
      </c>
      <c r="AB84" s="6">
        <v>0</v>
      </c>
      <c r="AC84" s="6">
        <v>0</v>
      </c>
      <c r="AD84" s="6">
        <v>0</v>
      </c>
      <c r="AE84" s="6">
        <v>0</v>
      </c>
      <c r="AF84" s="6">
        <v>0</v>
      </c>
      <c r="AG84" s="6">
        <v>1</v>
      </c>
    </row>
    <row r="85" spans="1:33" x14ac:dyDescent="0.25">
      <c r="A85" s="6">
        <v>693</v>
      </c>
      <c r="B85" s="6" t="s">
        <v>985</v>
      </c>
      <c r="C85" s="6" t="s">
        <v>986</v>
      </c>
      <c r="D85" s="6" t="s">
        <v>94</v>
      </c>
      <c r="E85" s="6" t="s">
        <v>815</v>
      </c>
      <c r="F85" s="10">
        <v>46192</v>
      </c>
      <c r="G85" s="10">
        <v>46202</v>
      </c>
      <c r="H85" s="4">
        <v>1</v>
      </c>
      <c r="I85" s="10">
        <v>46202</v>
      </c>
      <c r="J85" s="6" t="s">
        <v>824</v>
      </c>
      <c r="K85" s="6">
        <v>694</v>
      </c>
      <c r="L85" s="6" t="s">
        <v>59</v>
      </c>
      <c r="M85" s="6" t="s">
        <v>386</v>
      </c>
      <c r="N85" s="9">
        <v>46204</v>
      </c>
      <c r="P85" s="6" t="s">
        <v>699</v>
      </c>
      <c r="Q85" s="6" t="s">
        <v>138</v>
      </c>
      <c r="R85" s="6" t="s">
        <v>55</v>
      </c>
      <c r="S85" s="9">
        <v>46191</v>
      </c>
      <c r="T85" s="9">
        <v>46204</v>
      </c>
      <c r="V85" s="6">
        <v>1</v>
      </c>
      <c r="W85" s="6">
        <v>1</v>
      </c>
      <c r="X85" s="6">
        <v>1</v>
      </c>
      <c r="Y85" s="6">
        <v>0</v>
      </c>
      <c r="Z85" s="6">
        <v>0</v>
      </c>
      <c r="AA85" s="6">
        <v>0</v>
      </c>
      <c r="AB85" s="6">
        <v>0</v>
      </c>
      <c r="AC85" s="6">
        <v>0</v>
      </c>
      <c r="AD85" s="6">
        <v>0</v>
      </c>
      <c r="AE85" s="6">
        <v>0</v>
      </c>
      <c r="AF85" s="6">
        <v>0</v>
      </c>
      <c r="AG85" s="6">
        <v>1</v>
      </c>
    </row>
    <row r="86" spans="1:33" x14ac:dyDescent="0.25">
      <c r="A86" s="6">
        <v>708</v>
      </c>
      <c r="B86" s="6" t="s">
        <v>1009</v>
      </c>
      <c r="C86" s="6" t="s">
        <v>1010</v>
      </c>
      <c r="D86" s="6" t="s">
        <v>94</v>
      </c>
      <c r="E86" s="6" t="s">
        <v>556</v>
      </c>
      <c r="F86" s="10">
        <v>46202</v>
      </c>
      <c r="G86" s="10">
        <v>46205</v>
      </c>
      <c r="H86" s="4">
        <v>1</v>
      </c>
      <c r="I86" s="10">
        <v>46205</v>
      </c>
      <c r="J86" s="6" t="s">
        <v>994</v>
      </c>
      <c r="K86" s="6" t="s">
        <v>1011</v>
      </c>
      <c r="L86" s="6" t="s">
        <v>59</v>
      </c>
      <c r="M86" s="6" t="s">
        <v>422</v>
      </c>
      <c r="N86" s="9">
        <v>46203</v>
      </c>
      <c r="P86" s="6" t="s">
        <v>699</v>
      </c>
      <c r="Q86" s="6" t="s">
        <v>138</v>
      </c>
      <c r="R86" s="6" t="s">
        <v>55</v>
      </c>
      <c r="S86" s="9">
        <v>46199</v>
      </c>
      <c r="T86" s="9">
        <v>46203</v>
      </c>
      <c r="V86" s="6">
        <v>1</v>
      </c>
      <c r="W86" s="6">
        <v>1</v>
      </c>
      <c r="X86" s="6">
        <v>1</v>
      </c>
      <c r="Y86" s="6">
        <v>0</v>
      </c>
      <c r="Z86" s="6">
        <v>0</v>
      </c>
      <c r="AA86" s="6">
        <v>0</v>
      </c>
      <c r="AB86" s="6">
        <v>0</v>
      </c>
      <c r="AC86" s="6">
        <v>0</v>
      </c>
      <c r="AD86" s="6">
        <v>0</v>
      </c>
      <c r="AE86" s="6">
        <v>0</v>
      </c>
      <c r="AF86" s="6">
        <v>0</v>
      </c>
      <c r="AG86" s="6">
        <v>1</v>
      </c>
    </row>
  </sheetData>
  <pageMargins left="0.75" right="0.75" top="1" bottom="1" header="0.5" footer="0.5"/>
  <headerFooter>
    <oddFooter>&amp;C_x000D_&amp;1#&amp;"Aptos"&amp;11&amp;K000000 BV_C2_Internal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215"/>
  <sheetViews>
    <sheetView workbookViewId="0">
      <selection activeCell="H220" sqref="H220"/>
    </sheetView>
  </sheetViews>
  <sheetFormatPr defaultRowHeight="15" x14ac:dyDescent="0.25"/>
  <cols>
    <col min="1" max="1" width="7.28515625" style="5" bestFit="1" customWidth="1"/>
    <col min="2" max="2" width="10.28515625" style="5" bestFit="1" customWidth="1"/>
    <col min="3" max="3" width="30.42578125" style="5" bestFit="1" customWidth="1"/>
    <col min="4" max="4" width="34.5703125" style="5" bestFit="1" customWidth="1"/>
    <col min="5" max="5" width="12.7109375" style="5" bestFit="1" customWidth="1"/>
    <col min="6" max="6" width="10.7109375" style="8" bestFit="1" customWidth="1"/>
    <col min="7" max="7" width="13" style="8" bestFit="1" customWidth="1"/>
    <col min="8" max="8" width="16" style="3" bestFit="1" customWidth="1"/>
    <col min="9" max="9" width="16.85546875" style="5" bestFit="1" customWidth="1"/>
    <col min="10" max="10" width="37.42578125" style="5" bestFit="1" customWidth="1"/>
    <col min="11" max="11" width="40.7109375" style="5" bestFit="1" customWidth="1"/>
    <col min="12" max="12" width="12.42578125" style="5" bestFit="1" customWidth="1"/>
    <col min="13" max="13" width="25.7109375" style="5" bestFit="1" customWidth="1"/>
    <col min="14" max="14" width="28.140625" style="5" bestFit="1" customWidth="1"/>
    <col min="15" max="15" width="23.5703125" style="5" bestFit="1" customWidth="1"/>
    <col min="16" max="16" width="32.140625" style="5" bestFit="1" customWidth="1"/>
    <col min="17" max="17" width="14.5703125" style="5" bestFit="1" customWidth="1"/>
    <col min="18" max="18" width="11.140625" style="5" bestFit="1" customWidth="1"/>
    <col min="19" max="19" width="18.28515625" style="5" bestFit="1" customWidth="1"/>
    <col min="20" max="20" width="19.28515625" style="5" bestFit="1" customWidth="1"/>
    <col min="21" max="21" width="16.42578125" style="5" bestFit="1" customWidth="1"/>
    <col min="22" max="22" width="11.85546875" style="5" bestFit="1" customWidth="1"/>
    <col min="23" max="23" width="23.28515625" style="5" bestFit="1" customWidth="1"/>
    <col min="24" max="24" width="27.7109375" style="5" bestFit="1" customWidth="1"/>
    <col min="25" max="25" width="27" style="5" bestFit="1" customWidth="1"/>
    <col min="26" max="26" width="19.5703125" style="5" bestFit="1" customWidth="1"/>
    <col min="27" max="27" width="32.7109375" style="5" bestFit="1" customWidth="1"/>
    <col min="28" max="28" width="29.42578125" style="5" bestFit="1" customWidth="1"/>
    <col min="29" max="29" width="40.5703125" style="5" bestFit="1" customWidth="1"/>
    <col min="30" max="30" width="26.140625" style="5" bestFit="1" customWidth="1"/>
    <col min="31" max="31" width="24" style="5" bestFit="1" customWidth="1"/>
    <col min="32" max="32" width="23.28515625" style="5" bestFit="1" customWidth="1"/>
    <col min="33" max="33" width="14.5703125" style="5" bestFit="1" customWidth="1"/>
    <col min="34" max="16384" width="9.140625" style="5"/>
  </cols>
  <sheetData>
    <row r="1" spans="1:33" x14ac:dyDescent="0.2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8" t="s">
        <v>5</v>
      </c>
      <c r="G1" s="8" t="s">
        <v>6</v>
      </c>
      <c r="H1" s="3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5" t="s">
        <v>24</v>
      </c>
      <c r="Z1" s="5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5" t="s">
        <v>30</v>
      </c>
      <c r="AF1" s="5" t="s">
        <v>31</v>
      </c>
      <c r="AG1" s="5" t="s">
        <v>32</v>
      </c>
    </row>
    <row r="2" spans="1:33" hidden="1" x14ac:dyDescent="0.25">
      <c r="A2" s="5">
        <v>2</v>
      </c>
      <c r="B2" s="5" t="s">
        <v>40</v>
      </c>
      <c r="C2" s="5" t="s">
        <v>41</v>
      </c>
      <c r="D2" s="5" t="s">
        <v>42</v>
      </c>
      <c r="E2" s="5" t="s">
        <v>43</v>
      </c>
      <c r="F2" s="8">
        <v>46161</v>
      </c>
      <c r="G2" s="8">
        <v>46196</v>
      </c>
      <c r="H2" s="3">
        <v>0.5</v>
      </c>
      <c r="L2" s="5" t="s">
        <v>35</v>
      </c>
      <c r="M2" s="5" t="s">
        <v>44</v>
      </c>
      <c r="N2" s="7">
        <v>46164</v>
      </c>
      <c r="P2" s="5" t="s">
        <v>37</v>
      </c>
      <c r="Q2" s="5" t="s">
        <v>45</v>
      </c>
      <c r="R2" s="5" t="s">
        <v>39</v>
      </c>
      <c r="S2" s="7">
        <v>46161</v>
      </c>
      <c r="T2" s="7">
        <v>46164</v>
      </c>
      <c r="V2" s="5">
        <v>0.5</v>
      </c>
      <c r="W2" s="5">
        <v>0</v>
      </c>
      <c r="X2" s="5">
        <v>0</v>
      </c>
      <c r="Y2" s="5">
        <v>0</v>
      </c>
      <c r="Z2" s="5">
        <v>0</v>
      </c>
      <c r="AA2" s="5">
        <v>0</v>
      </c>
      <c r="AB2" s="5">
        <v>0</v>
      </c>
      <c r="AC2" s="5">
        <v>0</v>
      </c>
      <c r="AD2" s="5">
        <v>0</v>
      </c>
      <c r="AE2" s="5">
        <v>0</v>
      </c>
      <c r="AF2" s="5">
        <v>0</v>
      </c>
      <c r="AG2" s="5">
        <v>0</v>
      </c>
    </row>
    <row r="3" spans="1:33" hidden="1" x14ac:dyDescent="0.25">
      <c r="A3" s="5">
        <v>3</v>
      </c>
      <c r="B3" s="5" t="s">
        <v>46</v>
      </c>
      <c r="C3" s="5" t="s">
        <v>47</v>
      </c>
      <c r="D3" s="5" t="s">
        <v>48</v>
      </c>
      <c r="E3" s="5" t="s">
        <v>43</v>
      </c>
      <c r="F3" s="8">
        <v>46161</v>
      </c>
      <c r="G3" s="8">
        <v>46196</v>
      </c>
      <c r="H3" s="3">
        <v>0.5</v>
      </c>
      <c r="L3" s="5" t="s">
        <v>35</v>
      </c>
      <c r="M3" s="5" t="s">
        <v>44</v>
      </c>
      <c r="N3" s="7">
        <v>46164</v>
      </c>
      <c r="P3" s="5" t="s">
        <v>49</v>
      </c>
      <c r="Q3" s="5" t="s">
        <v>45</v>
      </c>
      <c r="R3" s="5" t="s">
        <v>39</v>
      </c>
      <c r="S3" s="7">
        <v>46161</v>
      </c>
      <c r="T3" s="7">
        <v>46164</v>
      </c>
      <c r="V3" s="5">
        <v>0.5</v>
      </c>
      <c r="W3" s="5">
        <v>0</v>
      </c>
      <c r="X3" s="5">
        <v>0</v>
      </c>
      <c r="Y3" s="5">
        <v>0</v>
      </c>
      <c r="Z3" s="5">
        <v>0</v>
      </c>
      <c r="AA3" s="5">
        <v>0</v>
      </c>
      <c r="AB3" s="5">
        <v>0</v>
      </c>
      <c r="AC3" s="5">
        <v>0</v>
      </c>
      <c r="AD3" s="5">
        <v>0</v>
      </c>
      <c r="AE3" s="5">
        <v>0</v>
      </c>
      <c r="AF3" s="5">
        <v>0</v>
      </c>
      <c r="AG3" s="5">
        <v>0</v>
      </c>
    </row>
    <row r="4" spans="1:33" hidden="1" x14ac:dyDescent="0.25">
      <c r="A4" s="5">
        <v>4</v>
      </c>
      <c r="B4" s="5" t="s">
        <v>50</v>
      </c>
      <c r="C4" s="5" t="s">
        <v>51</v>
      </c>
      <c r="D4" s="5" t="s">
        <v>52</v>
      </c>
      <c r="E4" s="5" t="s">
        <v>53</v>
      </c>
      <c r="F4" s="8">
        <v>46178</v>
      </c>
      <c r="G4" s="8">
        <v>46178</v>
      </c>
      <c r="H4" s="3">
        <v>0</v>
      </c>
      <c r="K4" s="5" t="s">
        <v>54</v>
      </c>
      <c r="L4" s="5" t="s">
        <v>35</v>
      </c>
      <c r="M4" s="5" t="s">
        <v>44</v>
      </c>
      <c r="N4" s="7">
        <v>46161</v>
      </c>
      <c r="P4" s="5" t="s">
        <v>49</v>
      </c>
      <c r="Q4" s="5" t="s">
        <v>38</v>
      </c>
      <c r="R4" s="5" t="s">
        <v>55</v>
      </c>
      <c r="S4" s="7">
        <v>46161</v>
      </c>
      <c r="T4" s="7">
        <v>46161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  <c r="AB4" s="5">
        <v>0</v>
      </c>
      <c r="AC4" s="5">
        <v>0</v>
      </c>
      <c r="AD4" s="5">
        <v>0</v>
      </c>
      <c r="AE4" s="5">
        <v>0</v>
      </c>
      <c r="AF4" s="5">
        <v>0</v>
      </c>
      <c r="AG4" s="5">
        <v>0</v>
      </c>
    </row>
    <row r="5" spans="1:33" hidden="1" x14ac:dyDescent="0.25">
      <c r="A5" s="5">
        <v>8</v>
      </c>
      <c r="B5" s="5" t="s">
        <v>66</v>
      </c>
      <c r="C5" s="5" t="s">
        <v>51</v>
      </c>
      <c r="D5" s="5" t="s">
        <v>67</v>
      </c>
      <c r="E5" s="5" t="s">
        <v>53</v>
      </c>
      <c r="F5" s="8">
        <v>46178</v>
      </c>
      <c r="G5" s="8">
        <v>46178</v>
      </c>
      <c r="H5" s="3">
        <v>0</v>
      </c>
      <c r="K5" s="5">
        <v>478</v>
      </c>
      <c r="L5" s="5" t="s">
        <v>35</v>
      </c>
      <c r="M5" s="5" t="s">
        <v>62</v>
      </c>
      <c r="N5" s="7">
        <v>46164</v>
      </c>
      <c r="P5" s="5" t="s">
        <v>49</v>
      </c>
      <c r="Q5" s="5" t="s">
        <v>65</v>
      </c>
      <c r="R5" s="5" t="s">
        <v>55</v>
      </c>
      <c r="S5" s="7">
        <v>46164</v>
      </c>
      <c r="T5" s="7">
        <v>46164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  <c r="AB5" s="5">
        <v>0</v>
      </c>
      <c r="AC5" s="5">
        <v>0</v>
      </c>
      <c r="AD5" s="5">
        <v>0</v>
      </c>
      <c r="AE5" s="5">
        <v>0</v>
      </c>
      <c r="AF5" s="5">
        <v>0</v>
      </c>
      <c r="AG5" s="5">
        <v>0</v>
      </c>
    </row>
    <row r="6" spans="1:33" hidden="1" x14ac:dyDescent="0.25">
      <c r="A6" s="5">
        <v>9</v>
      </c>
      <c r="B6" s="5" t="s">
        <v>68</v>
      </c>
      <c r="C6" s="5" t="s">
        <v>51</v>
      </c>
      <c r="D6" s="5" t="s">
        <v>69</v>
      </c>
      <c r="E6" s="5" t="s">
        <v>53</v>
      </c>
      <c r="F6" s="8">
        <v>46196</v>
      </c>
      <c r="G6" s="8">
        <v>46196</v>
      </c>
      <c r="H6" s="3">
        <v>0</v>
      </c>
      <c r="K6" s="5">
        <v>332</v>
      </c>
      <c r="L6" s="5" t="s">
        <v>35</v>
      </c>
      <c r="M6" s="5" t="s">
        <v>62</v>
      </c>
      <c r="N6" s="7">
        <v>46164</v>
      </c>
      <c r="P6" s="5" t="s">
        <v>49</v>
      </c>
      <c r="Q6" s="5" t="s">
        <v>38</v>
      </c>
      <c r="R6" s="5" t="s">
        <v>55</v>
      </c>
      <c r="S6" s="7">
        <v>46164</v>
      </c>
      <c r="T6" s="7">
        <v>46164</v>
      </c>
      <c r="V6" s="5">
        <v>0</v>
      </c>
      <c r="W6" s="5">
        <v>0</v>
      </c>
      <c r="X6" s="5">
        <v>0</v>
      </c>
      <c r="Y6" s="5">
        <v>0</v>
      </c>
      <c r="Z6" s="5">
        <v>0</v>
      </c>
      <c r="AA6" s="5">
        <v>0</v>
      </c>
      <c r="AB6" s="5">
        <v>0</v>
      </c>
      <c r="AC6" s="5">
        <v>0</v>
      </c>
      <c r="AD6" s="5">
        <v>0</v>
      </c>
      <c r="AE6" s="5">
        <v>0</v>
      </c>
      <c r="AF6" s="5">
        <v>0</v>
      </c>
      <c r="AG6" s="5">
        <v>0</v>
      </c>
    </row>
    <row r="7" spans="1:33" x14ac:dyDescent="0.25">
      <c r="A7" s="5">
        <v>32</v>
      </c>
      <c r="B7" s="5" t="s">
        <v>139</v>
      </c>
      <c r="C7" s="5" t="s">
        <v>140</v>
      </c>
      <c r="D7" s="5" t="s">
        <v>94</v>
      </c>
      <c r="E7" s="5" t="s">
        <v>95</v>
      </c>
      <c r="F7" s="8">
        <v>46204</v>
      </c>
      <c r="G7" s="8">
        <v>46206</v>
      </c>
      <c r="H7" s="3">
        <v>0.8</v>
      </c>
      <c r="J7" s="5" t="s">
        <v>141</v>
      </c>
      <c r="K7" s="5" t="s">
        <v>142</v>
      </c>
      <c r="L7" s="5" t="s">
        <v>131</v>
      </c>
      <c r="M7" s="5" t="s">
        <v>137</v>
      </c>
      <c r="N7" s="7">
        <v>46169</v>
      </c>
      <c r="P7" s="5" t="s">
        <v>132</v>
      </c>
      <c r="Q7" s="5" t="s">
        <v>138</v>
      </c>
      <c r="R7" s="5" t="s">
        <v>55</v>
      </c>
      <c r="S7" s="7">
        <v>46167</v>
      </c>
      <c r="T7" s="7">
        <v>46169</v>
      </c>
      <c r="V7" s="5">
        <v>0.8</v>
      </c>
      <c r="W7" s="5">
        <v>1</v>
      </c>
      <c r="X7" s="5">
        <v>0</v>
      </c>
      <c r="Y7" s="5">
        <v>0</v>
      </c>
      <c r="Z7" s="5">
        <v>0</v>
      </c>
      <c r="AA7" s="5">
        <v>0</v>
      </c>
      <c r="AB7" s="5">
        <v>0</v>
      </c>
      <c r="AC7" s="5">
        <v>0</v>
      </c>
      <c r="AD7" s="5">
        <v>0</v>
      </c>
      <c r="AE7" s="5">
        <v>0</v>
      </c>
      <c r="AF7" s="5">
        <v>0</v>
      </c>
      <c r="AG7" s="5">
        <v>0</v>
      </c>
    </row>
    <row r="8" spans="1:33" hidden="1" x14ac:dyDescent="0.25">
      <c r="A8" s="5">
        <v>65</v>
      </c>
      <c r="B8" s="5" t="s">
        <v>188</v>
      </c>
      <c r="C8" s="5" t="s">
        <v>183</v>
      </c>
      <c r="D8" s="5" t="s">
        <v>102</v>
      </c>
      <c r="E8" s="5" t="s">
        <v>121</v>
      </c>
      <c r="F8" s="8">
        <v>46203</v>
      </c>
      <c r="G8" s="8">
        <v>46204</v>
      </c>
      <c r="H8" s="3">
        <v>0.5</v>
      </c>
      <c r="J8" s="5">
        <v>64</v>
      </c>
      <c r="K8" s="5" t="s">
        <v>189</v>
      </c>
      <c r="L8" s="5" t="s">
        <v>35</v>
      </c>
      <c r="M8" s="5" t="s">
        <v>190</v>
      </c>
      <c r="N8" s="7">
        <v>46164</v>
      </c>
      <c r="P8" s="5" t="s">
        <v>178</v>
      </c>
      <c r="Q8" s="5" t="s">
        <v>151</v>
      </c>
      <c r="R8" s="5" t="s">
        <v>55</v>
      </c>
      <c r="S8" s="7">
        <v>46163</v>
      </c>
      <c r="T8" s="7">
        <v>46164</v>
      </c>
      <c r="V8" s="5">
        <v>0.5</v>
      </c>
      <c r="W8" s="5">
        <v>0</v>
      </c>
      <c r="X8" s="5">
        <v>0</v>
      </c>
      <c r="Y8" s="5">
        <v>0</v>
      </c>
      <c r="Z8" s="5">
        <v>0</v>
      </c>
      <c r="AA8" s="5">
        <v>0</v>
      </c>
      <c r="AB8" s="5">
        <v>0</v>
      </c>
      <c r="AC8" s="5">
        <v>0</v>
      </c>
      <c r="AD8" s="5">
        <v>1</v>
      </c>
      <c r="AE8" s="5">
        <v>0</v>
      </c>
      <c r="AF8" s="5">
        <v>0</v>
      </c>
      <c r="AG8" s="5">
        <v>0</v>
      </c>
    </row>
    <row r="9" spans="1:33" hidden="1" x14ac:dyDescent="0.25">
      <c r="A9" s="5">
        <v>83</v>
      </c>
      <c r="B9" s="5" t="s">
        <v>212</v>
      </c>
      <c r="C9" s="5" t="s">
        <v>199</v>
      </c>
      <c r="D9" s="5" t="s">
        <v>213</v>
      </c>
      <c r="E9" s="5" t="s">
        <v>136</v>
      </c>
      <c r="F9" s="8">
        <v>46198</v>
      </c>
      <c r="G9" s="8">
        <v>46206</v>
      </c>
      <c r="H9" s="3">
        <v>0</v>
      </c>
      <c r="L9" s="5" t="s">
        <v>35</v>
      </c>
      <c r="M9" s="5" t="s">
        <v>145</v>
      </c>
      <c r="N9" s="7">
        <v>46178</v>
      </c>
      <c r="P9" s="5" t="s">
        <v>197</v>
      </c>
      <c r="Q9" s="5" t="s">
        <v>138</v>
      </c>
      <c r="R9" s="5" t="s">
        <v>55</v>
      </c>
      <c r="S9" s="7">
        <v>46170</v>
      </c>
      <c r="T9" s="7">
        <v>46178</v>
      </c>
      <c r="V9" s="5">
        <v>0</v>
      </c>
      <c r="W9" s="5">
        <v>0</v>
      </c>
      <c r="X9" s="5">
        <v>0</v>
      </c>
      <c r="Y9" s="5">
        <v>0</v>
      </c>
      <c r="Z9" s="5">
        <v>0</v>
      </c>
      <c r="AA9" s="5">
        <v>0</v>
      </c>
      <c r="AB9" s="5">
        <v>0</v>
      </c>
      <c r="AC9" s="5">
        <v>0</v>
      </c>
      <c r="AD9" s="5">
        <v>0</v>
      </c>
      <c r="AE9" s="5">
        <v>0</v>
      </c>
      <c r="AF9" s="5">
        <v>0</v>
      </c>
      <c r="AG9" s="5">
        <v>0</v>
      </c>
    </row>
    <row r="10" spans="1:33" x14ac:dyDescent="0.25">
      <c r="A10" s="5">
        <v>84</v>
      </c>
      <c r="B10" s="5" t="s">
        <v>214</v>
      </c>
      <c r="C10" s="5" t="s">
        <v>215</v>
      </c>
      <c r="D10" s="5" t="s">
        <v>94</v>
      </c>
      <c r="E10" s="5" t="s">
        <v>95</v>
      </c>
      <c r="F10" s="8">
        <v>46198</v>
      </c>
      <c r="G10" s="8">
        <v>46202</v>
      </c>
      <c r="H10" s="3">
        <v>0</v>
      </c>
      <c r="J10" s="5">
        <v>74</v>
      </c>
      <c r="K10" s="5">
        <v>85</v>
      </c>
      <c r="L10" s="5" t="s">
        <v>35</v>
      </c>
      <c r="M10" s="5" t="s">
        <v>145</v>
      </c>
      <c r="N10" s="7">
        <v>46174</v>
      </c>
      <c r="P10" s="5" t="s">
        <v>197</v>
      </c>
      <c r="Q10" s="5" t="s">
        <v>138</v>
      </c>
      <c r="R10" s="5" t="s">
        <v>55</v>
      </c>
      <c r="S10" s="7">
        <v>46170</v>
      </c>
      <c r="T10" s="7">
        <v>46174</v>
      </c>
      <c r="V10" s="5">
        <v>0</v>
      </c>
      <c r="W10" s="5">
        <v>1</v>
      </c>
      <c r="X10" s="5">
        <v>0</v>
      </c>
      <c r="Y10" s="5">
        <v>1</v>
      </c>
      <c r="Z10" s="5">
        <v>0</v>
      </c>
      <c r="AA10" s="5">
        <v>0</v>
      </c>
      <c r="AB10" s="5">
        <v>0</v>
      </c>
      <c r="AC10" s="5">
        <v>0</v>
      </c>
      <c r="AD10" s="5">
        <v>0</v>
      </c>
      <c r="AE10" s="5">
        <v>0</v>
      </c>
      <c r="AF10" s="5">
        <v>0</v>
      </c>
      <c r="AG10" s="5">
        <v>0</v>
      </c>
    </row>
    <row r="11" spans="1:33" hidden="1" x14ac:dyDescent="0.25">
      <c r="A11" s="5">
        <v>85</v>
      </c>
      <c r="B11" s="5" t="s">
        <v>216</v>
      </c>
      <c r="C11" s="5" t="s">
        <v>215</v>
      </c>
      <c r="D11" s="5" t="s">
        <v>98</v>
      </c>
      <c r="E11" s="5" t="s">
        <v>53</v>
      </c>
      <c r="F11" s="8">
        <v>46203</v>
      </c>
      <c r="G11" s="8">
        <v>46203</v>
      </c>
      <c r="H11" s="3">
        <v>0</v>
      </c>
      <c r="J11" s="5">
        <v>84</v>
      </c>
      <c r="K11" s="5">
        <v>86</v>
      </c>
      <c r="L11" s="5" t="s">
        <v>35</v>
      </c>
      <c r="M11" s="5" t="s">
        <v>150</v>
      </c>
      <c r="N11" s="7">
        <v>46175</v>
      </c>
      <c r="P11" s="5" t="s">
        <v>197</v>
      </c>
      <c r="Q11" s="5" t="s">
        <v>146</v>
      </c>
      <c r="R11" s="5" t="s">
        <v>55</v>
      </c>
      <c r="S11" s="7">
        <v>46175</v>
      </c>
      <c r="T11" s="7">
        <v>46175</v>
      </c>
      <c r="V11" s="5">
        <v>0</v>
      </c>
      <c r="W11" s="5">
        <v>0</v>
      </c>
      <c r="X11" s="5">
        <v>0</v>
      </c>
      <c r="Y11" s="5">
        <v>0</v>
      </c>
      <c r="Z11" s="5">
        <v>0</v>
      </c>
      <c r="AA11" s="5">
        <v>0</v>
      </c>
      <c r="AB11" s="5">
        <v>1</v>
      </c>
      <c r="AC11" s="5">
        <v>0</v>
      </c>
      <c r="AD11" s="5">
        <v>0</v>
      </c>
      <c r="AE11" s="5">
        <v>0</v>
      </c>
      <c r="AF11" s="5">
        <v>0</v>
      </c>
      <c r="AG11" s="5">
        <v>0</v>
      </c>
    </row>
    <row r="12" spans="1:33" hidden="1" x14ac:dyDescent="0.25">
      <c r="A12" s="5">
        <v>86</v>
      </c>
      <c r="B12" s="5" t="s">
        <v>217</v>
      </c>
      <c r="C12" s="5" t="s">
        <v>215</v>
      </c>
      <c r="D12" s="5" t="s">
        <v>102</v>
      </c>
      <c r="E12" s="5" t="s">
        <v>121</v>
      </c>
      <c r="F12" s="8">
        <v>46204</v>
      </c>
      <c r="G12" s="8">
        <v>46205</v>
      </c>
      <c r="H12" s="3">
        <v>0</v>
      </c>
      <c r="J12" s="5">
        <v>85</v>
      </c>
      <c r="K12" s="5">
        <v>87</v>
      </c>
      <c r="L12" s="5" t="s">
        <v>35</v>
      </c>
      <c r="M12" s="5" t="s">
        <v>218</v>
      </c>
      <c r="N12" s="7">
        <v>46177</v>
      </c>
      <c r="P12" s="5" t="s">
        <v>197</v>
      </c>
      <c r="Q12" s="5" t="s">
        <v>146</v>
      </c>
      <c r="R12" s="5" t="s">
        <v>55</v>
      </c>
      <c r="S12" s="7">
        <v>46176</v>
      </c>
      <c r="T12" s="7">
        <v>46177</v>
      </c>
      <c r="V12" s="5">
        <v>0</v>
      </c>
      <c r="W12" s="5">
        <v>0</v>
      </c>
      <c r="X12" s="5">
        <v>0</v>
      </c>
      <c r="Y12" s="5">
        <v>0</v>
      </c>
      <c r="Z12" s="5">
        <v>0</v>
      </c>
      <c r="AA12" s="5">
        <v>0</v>
      </c>
      <c r="AB12" s="5">
        <v>0</v>
      </c>
      <c r="AC12" s="5">
        <v>0</v>
      </c>
      <c r="AD12" s="5">
        <v>1</v>
      </c>
      <c r="AE12" s="5">
        <v>0</v>
      </c>
      <c r="AF12" s="5">
        <v>0</v>
      </c>
      <c r="AG12" s="5">
        <v>0</v>
      </c>
    </row>
    <row r="13" spans="1:33" hidden="1" x14ac:dyDescent="0.25">
      <c r="A13" s="5">
        <v>87</v>
      </c>
      <c r="B13" s="5" t="s">
        <v>219</v>
      </c>
      <c r="C13" s="5" t="s">
        <v>215</v>
      </c>
      <c r="D13" s="5" t="s">
        <v>108</v>
      </c>
      <c r="E13" s="5" t="s">
        <v>53</v>
      </c>
      <c r="F13" s="8">
        <v>46206</v>
      </c>
      <c r="G13" s="8">
        <v>46206</v>
      </c>
      <c r="H13" s="3">
        <v>0</v>
      </c>
      <c r="J13" s="5">
        <v>86</v>
      </c>
      <c r="L13" s="5" t="s">
        <v>131</v>
      </c>
      <c r="M13" s="5" t="s">
        <v>220</v>
      </c>
      <c r="N13" s="7">
        <v>46178</v>
      </c>
      <c r="P13" s="5" t="s">
        <v>197</v>
      </c>
      <c r="Q13" s="5" t="s">
        <v>146</v>
      </c>
      <c r="R13" s="5" t="s">
        <v>55</v>
      </c>
      <c r="S13" s="7">
        <v>46178</v>
      </c>
      <c r="T13" s="7">
        <v>46178</v>
      </c>
      <c r="V13" s="5">
        <v>0</v>
      </c>
      <c r="W13" s="5">
        <v>0</v>
      </c>
      <c r="X13" s="5">
        <v>0</v>
      </c>
      <c r="Y13" s="5">
        <v>0</v>
      </c>
      <c r="Z13" s="5">
        <v>1</v>
      </c>
      <c r="AA13" s="5">
        <v>0</v>
      </c>
      <c r="AB13" s="5">
        <v>0</v>
      </c>
      <c r="AC13" s="5">
        <v>0</v>
      </c>
      <c r="AD13" s="5">
        <v>0</v>
      </c>
      <c r="AE13" s="5">
        <v>0</v>
      </c>
      <c r="AF13" s="5">
        <v>0</v>
      </c>
      <c r="AG13" s="5">
        <v>0</v>
      </c>
    </row>
    <row r="14" spans="1:33" hidden="1" x14ac:dyDescent="0.25">
      <c r="A14" s="5">
        <v>135</v>
      </c>
      <c r="B14" s="5" t="s">
        <v>291</v>
      </c>
      <c r="C14" s="5" t="s">
        <v>289</v>
      </c>
      <c r="D14" s="5" t="s">
        <v>98</v>
      </c>
      <c r="E14" s="5" t="s">
        <v>53</v>
      </c>
      <c r="F14" s="8">
        <v>46205</v>
      </c>
      <c r="G14" s="8">
        <v>46205</v>
      </c>
      <c r="H14" s="3">
        <v>0</v>
      </c>
      <c r="J14" s="5">
        <v>134</v>
      </c>
      <c r="K14" s="5">
        <v>136</v>
      </c>
      <c r="L14" s="5" t="s">
        <v>35</v>
      </c>
      <c r="M14" s="5" t="s">
        <v>292</v>
      </c>
      <c r="N14" s="7">
        <v>46183</v>
      </c>
      <c r="P14" s="5" t="s">
        <v>197</v>
      </c>
      <c r="Q14" s="5" t="s">
        <v>146</v>
      </c>
      <c r="R14" s="5" t="s">
        <v>55</v>
      </c>
      <c r="S14" s="7">
        <v>46183</v>
      </c>
      <c r="T14" s="7">
        <v>46183</v>
      </c>
      <c r="V14" s="5">
        <v>0</v>
      </c>
      <c r="W14" s="5">
        <v>0</v>
      </c>
      <c r="X14" s="5">
        <v>0</v>
      </c>
      <c r="Y14" s="5">
        <v>0</v>
      </c>
      <c r="Z14" s="5">
        <v>0</v>
      </c>
      <c r="AA14" s="5">
        <v>0</v>
      </c>
      <c r="AB14" s="5">
        <v>1</v>
      </c>
      <c r="AC14" s="5">
        <v>0</v>
      </c>
      <c r="AD14" s="5">
        <v>0</v>
      </c>
      <c r="AE14" s="5">
        <v>0</v>
      </c>
      <c r="AF14" s="5">
        <v>0</v>
      </c>
      <c r="AG14" s="5">
        <v>0</v>
      </c>
    </row>
    <row r="15" spans="1:33" hidden="1" x14ac:dyDescent="0.25">
      <c r="A15" s="5">
        <v>140</v>
      </c>
      <c r="B15" s="5" t="s">
        <v>301</v>
      </c>
      <c r="C15" s="5" t="s">
        <v>300</v>
      </c>
      <c r="D15" s="5" t="s">
        <v>98</v>
      </c>
      <c r="E15" s="5" t="s">
        <v>53</v>
      </c>
      <c r="F15" s="8">
        <v>46205</v>
      </c>
      <c r="G15" s="8">
        <v>46205</v>
      </c>
      <c r="H15" s="3">
        <v>0</v>
      </c>
      <c r="J15" s="5">
        <v>139</v>
      </c>
      <c r="K15" s="5">
        <v>141</v>
      </c>
      <c r="L15" s="5" t="s">
        <v>35</v>
      </c>
      <c r="M15" s="5" t="s">
        <v>292</v>
      </c>
      <c r="N15" s="7">
        <v>46183</v>
      </c>
      <c r="P15" s="5" t="s">
        <v>197</v>
      </c>
      <c r="Q15" s="5" t="s">
        <v>146</v>
      </c>
      <c r="R15" s="5" t="s">
        <v>55</v>
      </c>
      <c r="S15" s="7">
        <v>46183</v>
      </c>
      <c r="T15" s="7">
        <v>46183</v>
      </c>
      <c r="V15" s="5">
        <v>0</v>
      </c>
      <c r="W15" s="5">
        <v>0</v>
      </c>
      <c r="X15" s="5">
        <v>0</v>
      </c>
      <c r="Y15" s="5">
        <v>0</v>
      </c>
      <c r="Z15" s="5">
        <v>0</v>
      </c>
      <c r="AA15" s="5">
        <v>0</v>
      </c>
      <c r="AB15" s="5">
        <v>1</v>
      </c>
      <c r="AC15" s="5">
        <v>0</v>
      </c>
      <c r="AD15" s="5">
        <v>0</v>
      </c>
      <c r="AE15" s="5">
        <v>0</v>
      </c>
      <c r="AF15" s="5">
        <v>0</v>
      </c>
      <c r="AG15" s="5">
        <v>0</v>
      </c>
    </row>
    <row r="16" spans="1:33" hidden="1" x14ac:dyDescent="0.25">
      <c r="A16" s="5">
        <v>145</v>
      </c>
      <c r="B16" s="5" t="s">
        <v>308</v>
      </c>
      <c r="C16" s="5" t="s">
        <v>307</v>
      </c>
      <c r="D16" s="5" t="s">
        <v>98</v>
      </c>
      <c r="E16" s="5" t="s">
        <v>53</v>
      </c>
      <c r="F16" s="8">
        <v>46205</v>
      </c>
      <c r="G16" s="8">
        <v>46205</v>
      </c>
      <c r="H16" s="3">
        <v>0</v>
      </c>
      <c r="J16" s="5">
        <v>144</v>
      </c>
      <c r="K16" s="5">
        <v>146</v>
      </c>
      <c r="L16" s="5" t="s">
        <v>35</v>
      </c>
      <c r="M16" s="5" t="s">
        <v>292</v>
      </c>
      <c r="N16" s="7">
        <v>46183</v>
      </c>
      <c r="P16" s="5" t="s">
        <v>197</v>
      </c>
      <c r="Q16" s="5" t="s">
        <v>146</v>
      </c>
      <c r="R16" s="5" t="s">
        <v>55</v>
      </c>
      <c r="S16" s="7">
        <v>46183</v>
      </c>
      <c r="T16" s="7">
        <v>46183</v>
      </c>
      <c r="V16" s="5">
        <v>0</v>
      </c>
      <c r="W16" s="5">
        <v>0</v>
      </c>
      <c r="X16" s="5">
        <v>0</v>
      </c>
      <c r="Y16" s="5">
        <v>0</v>
      </c>
      <c r="Z16" s="5">
        <v>0</v>
      </c>
      <c r="AA16" s="5">
        <v>0</v>
      </c>
      <c r="AB16" s="5">
        <v>1</v>
      </c>
      <c r="AC16" s="5">
        <v>0</v>
      </c>
      <c r="AD16" s="5">
        <v>0</v>
      </c>
      <c r="AE16" s="5">
        <v>0</v>
      </c>
      <c r="AF16" s="5">
        <v>0</v>
      </c>
      <c r="AG16" s="5">
        <v>0</v>
      </c>
    </row>
    <row r="17" spans="1:33" hidden="1" x14ac:dyDescent="0.25">
      <c r="A17" s="5">
        <v>150</v>
      </c>
      <c r="B17" s="5" t="s">
        <v>315</v>
      </c>
      <c r="C17" s="5" t="s">
        <v>314</v>
      </c>
      <c r="D17" s="5" t="s">
        <v>98</v>
      </c>
      <c r="E17" s="5" t="s">
        <v>53</v>
      </c>
      <c r="F17" s="8">
        <v>46205</v>
      </c>
      <c r="G17" s="8">
        <v>46205</v>
      </c>
      <c r="H17" s="3">
        <v>0</v>
      </c>
      <c r="J17" s="5">
        <v>149</v>
      </c>
      <c r="K17" s="5">
        <v>151</v>
      </c>
      <c r="L17" s="5" t="s">
        <v>35</v>
      </c>
      <c r="M17" s="5" t="s">
        <v>292</v>
      </c>
      <c r="N17" s="7">
        <v>46183</v>
      </c>
      <c r="P17" s="5" t="s">
        <v>197</v>
      </c>
      <c r="Q17" s="5" t="s">
        <v>146</v>
      </c>
      <c r="R17" s="5" t="s">
        <v>55</v>
      </c>
      <c r="S17" s="7">
        <v>46183</v>
      </c>
      <c r="T17" s="7">
        <v>46183</v>
      </c>
      <c r="V17" s="5">
        <v>0</v>
      </c>
      <c r="W17" s="5">
        <v>0</v>
      </c>
      <c r="X17" s="5">
        <v>0</v>
      </c>
      <c r="Y17" s="5">
        <v>0</v>
      </c>
      <c r="Z17" s="5">
        <v>0</v>
      </c>
      <c r="AA17" s="5">
        <v>0</v>
      </c>
      <c r="AB17" s="5">
        <v>1</v>
      </c>
      <c r="AC17" s="5">
        <v>0</v>
      </c>
      <c r="AD17" s="5">
        <v>0</v>
      </c>
      <c r="AE17" s="5">
        <v>0</v>
      </c>
      <c r="AF17" s="5">
        <v>0</v>
      </c>
      <c r="AG17" s="5">
        <v>0</v>
      </c>
    </row>
    <row r="18" spans="1:33" hidden="1" x14ac:dyDescent="0.25">
      <c r="A18" s="5">
        <v>155</v>
      </c>
      <c r="B18" s="5" t="s">
        <v>323</v>
      </c>
      <c r="C18" s="5" t="s">
        <v>322</v>
      </c>
      <c r="D18" s="5" t="s">
        <v>98</v>
      </c>
      <c r="E18" s="5" t="s">
        <v>53</v>
      </c>
      <c r="F18" s="8">
        <v>46205</v>
      </c>
      <c r="G18" s="8">
        <v>46205</v>
      </c>
      <c r="H18" s="3">
        <v>0</v>
      </c>
      <c r="J18" s="5">
        <v>154</v>
      </c>
      <c r="K18" s="5">
        <v>156</v>
      </c>
      <c r="L18" s="5" t="s">
        <v>35</v>
      </c>
      <c r="M18" s="5" t="s">
        <v>292</v>
      </c>
      <c r="N18" s="7">
        <v>46183</v>
      </c>
      <c r="P18" s="5" t="s">
        <v>197</v>
      </c>
      <c r="Q18" s="5" t="s">
        <v>146</v>
      </c>
      <c r="R18" s="5" t="s">
        <v>55</v>
      </c>
      <c r="S18" s="7">
        <v>46183</v>
      </c>
      <c r="T18" s="7">
        <v>46183</v>
      </c>
      <c r="V18" s="5">
        <v>0</v>
      </c>
      <c r="W18" s="5">
        <v>0</v>
      </c>
      <c r="X18" s="5">
        <v>0</v>
      </c>
      <c r="Y18" s="5">
        <v>0</v>
      </c>
      <c r="Z18" s="5">
        <v>0</v>
      </c>
      <c r="AA18" s="5">
        <v>0</v>
      </c>
      <c r="AB18" s="5">
        <v>1</v>
      </c>
      <c r="AC18" s="5">
        <v>0</v>
      </c>
      <c r="AD18" s="5">
        <v>0</v>
      </c>
      <c r="AE18" s="5">
        <v>0</v>
      </c>
      <c r="AF18" s="5">
        <v>0</v>
      </c>
      <c r="AG18" s="5">
        <v>0</v>
      </c>
    </row>
    <row r="19" spans="1:33" hidden="1" x14ac:dyDescent="0.25">
      <c r="A19" s="5">
        <v>160</v>
      </c>
      <c r="B19" s="5" t="s">
        <v>330</v>
      </c>
      <c r="C19" s="5" t="s">
        <v>329</v>
      </c>
      <c r="D19" s="5" t="s">
        <v>98</v>
      </c>
      <c r="E19" s="5" t="s">
        <v>53</v>
      </c>
      <c r="F19" s="8">
        <v>46205</v>
      </c>
      <c r="G19" s="8">
        <v>46205</v>
      </c>
      <c r="H19" s="3">
        <v>0</v>
      </c>
      <c r="J19" s="5">
        <v>159</v>
      </c>
      <c r="K19" s="5">
        <v>161</v>
      </c>
      <c r="L19" s="5" t="s">
        <v>35</v>
      </c>
      <c r="M19" s="5" t="s">
        <v>292</v>
      </c>
      <c r="N19" s="7">
        <v>46183</v>
      </c>
      <c r="P19" s="5" t="s">
        <v>197</v>
      </c>
      <c r="Q19" s="5" t="s">
        <v>146</v>
      </c>
      <c r="R19" s="5" t="s">
        <v>55</v>
      </c>
      <c r="S19" s="7">
        <v>46183</v>
      </c>
      <c r="T19" s="7">
        <v>46183</v>
      </c>
      <c r="V19" s="5">
        <v>0</v>
      </c>
      <c r="W19" s="5">
        <v>0</v>
      </c>
      <c r="X19" s="5">
        <v>0</v>
      </c>
      <c r="Y19" s="5">
        <v>0</v>
      </c>
      <c r="Z19" s="5">
        <v>0</v>
      </c>
      <c r="AA19" s="5">
        <v>0</v>
      </c>
      <c r="AB19" s="5">
        <v>1</v>
      </c>
      <c r="AC19" s="5">
        <v>0</v>
      </c>
      <c r="AD19" s="5">
        <v>0</v>
      </c>
      <c r="AE19" s="5">
        <v>0</v>
      </c>
      <c r="AF19" s="5">
        <v>0</v>
      </c>
      <c r="AG19" s="5">
        <v>0</v>
      </c>
    </row>
    <row r="20" spans="1:33" hidden="1" x14ac:dyDescent="0.25">
      <c r="A20" s="5">
        <v>163</v>
      </c>
      <c r="B20" s="5" t="s">
        <v>333</v>
      </c>
      <c r="C20" s="5" t="s">
        <v>199</v>
      </c>
      <c r="D20" s="5" t="s">
        <v>334</v>
      </c>
      <c r="E20" s="5" t="s">
        <v>335</v>
      </c>
      <c r="F20" s="8">
        <v>46174</v>
      </c>
      <c r="G20" s="8">
        <v>46195</v>
      </c>
      <c r="H20" s="3">
        <v>0.86</v>
      </c>
      <c r="L20" s="5" t="s">
        <v>35</v>
      </c>
      <c r="M20" s="5" t="s">
        <v>148</v>
      </c>
      <c r="N20" s="7">
        <v>46190</v>
      </c>
      <c r="P20" s="5" t="s">
        <v>197</v>
      </c>
      <c r="Q20" s="5" t="s">
        <v>211</v>
      </c>
      <c r="R20" s="5" t="s">
        <v>55</v>
      </c>
      <c r="S20" s="7">
        <v>46171</v>
      </c>
      <c r="T20" s="7">
        <v>46190</v>
      </c>
      <c r="V20" s="5">
        <v>0.86</v>
      </c>
      <c r="W20" s="5">
        <v>0</v>
      </c>
      <c r="X20" s="5">
        <v>0</v>
      </c>
      <c r="Y20" s="5">
        <v>0</v>
      </c>
      <c r="Z20" s="5">
        <v>0</v>
      </c>
      <c r="AA20" s="5">
        <v>0</v>
      </c>
      <c r="AB20" s="5">
        <v>0</v>
      </c>
      <c r="AC20" s="5">
        <v>0</v>
      </c>
      <c r="AD20" s="5">
        <v>0</v>
      </c>
      <c r="AE20" s="5">
        <v>0</v>
      </c>
      <c r="AF20" s="5">
        <v>0</v>
      </c>
      <c r="AG20" s="5">
        <v>0</v>
      </c>
    </row>
    <row r="21" spans="1:33" hidden="1" x14ac:dyDescent="0.25">
      <c r="A21" s="5">
        <v>166</v>
      </c>
      <c r="B21" s="5" t="s">
        <v>341</v>
      </c>
      <c r="C21" s="5" t="s">
        <v>337</v>
      </c>
      <c r="D21" s="5" t="s">
        <v>102</v>
      </c>
      <c r="E21" s="5" t="s">
        <v>121</v>
      </c>
      <c r="F21" s="8">
        <v>46191</v>
      </c>
      <c r="G21" s="8">
        <v>46192</v>
      </c>
      <c r="H21" s="3">
        <v>0.5</v>
      </c>
      <c r="J21" s="5">
        <v>165</v>
      </c>
      <c r="K21" s="5">
        <v>167</v>
      </c>
      <c r="L21" s="5" t="s">
        <v>35</v>
      </c>
      <c r="M21" s="5" t="s">
        <v>296</v>
      </c>
      <c r="N21" s="7">
        <v>46189</v>
      </c>
      <c r="P21" s="5" t="s">
        <v>197</v>
      </c>
      <c r="Q21" s="5" t="s">
        <v>138</v>
      </c>
      <c r="R21" s="5" t="s">
        <v>55</v>
      </c>
      <c r="S21" s="7">
        <v>46188</v>
      </c>
      <c r="T21" s="7">
        <v>46189</v>
      </c>
      <c r="V21" s="5">
        <v>0.5</v>
      </c>
      <c r="W21" s="5">
        <v>0</v>
      </c>
      <c r="X21" s="5">
        <v>0</v>
      </c>
      <c r="Y21" s="5">
        <v>0</v>
      </c>
      <c r="Z21" s="5">
        <v>0</v>
      </c>
      <c r="AA21" s="5">
        <v>0</v>
      </c>
      <c r="AB21" s="5">
        <v>0</v>
      </c>
      <c r="AC21" s="5">
        <v>0</v>
      </c>
      <c r="AD21" s="5">
        <v>1</v>
      </c>
      <c r="AE21" s="5">
        <v>0</v>
      </c>
      <c r="AF21" s="5">
        <v>0</v>
      </c>
      <c r="AG21" s="5">
        <v>0</v>
      </c>
    </row>
    <row r="22" spans="1:33" hidden="1" x14ac:dyDescent="0.25">
      <c r="A22" s="5">
        <v>167</v>
      </c>
      <c r="B22" s="5" t="s">
        <v>342</v>
      </c>
      <c r="C22" s="5" t="s">
        <v>337</v>
      </c>
      <c r="D22" s="5" t="s">
        <v>108</v>
      </c>
      <c r="E22" s="5" t="s">
        <v>53</v>
      </c>
      <c r="F22" s="8">
        <v>46195</v>
      </c>
      <c r="G22" s="8">
        <v>46195</v>
      </c>
      <c r="H22" s="3">
        <v>0</v>
      </c>
      <c r="J22" s="5">
        <v>166</v>
      </c>
      <c r="L22" s="5" t="s">
        <v>35</v>
      </c>
      <c r="M22" s="5" t="s">
        <v>343</v>
      </c>
      <c r="N22" s="7">
        <v>46190</v>
      </c>
      <c r="P22" s="5" t="s">
        <v>197</v>
      </c>
      <c r="Q22" s="5" t="s">
        <v>146</v>
      </c>
      <c r="R22" s="5" t="s">
        <v>55</v>
      </c>
      <c r="S22" s="7">
        <v>46190</v>
      </c>
      <c r="T22" s="7">
        <v>46190</v>
      </c>
      <c r="V22" s="5">
        <v>0</v>
      </c>
      <c r="W22" s="5">
        <v>0</v>
      </c>
      <c r="X22" s="5">
        <v>0</v>
      </c>
      <c r="Y22" s="5">
        <v>0</v>
      </c>
      <c r="Z22" s="5">
        <v>1</v>
      </c>
      <c r="AA22" s="5">
        <v>0</v>
      </c>
      <c r="AB22" s="5">
        <v>0</v>
      </c>
      <c r="AC22" s="5">
        <v>0</v>
      </c>
      <c r="AD22" s="5">
        <v>0</v>
      </c>
      <c r="AE22" s="5">
        <v>0</v>
      </c>
      <c r="AF22" s="5">
        <v>1</v>
      </c>
      <c r="AG22" s="5">
        <v>0</v>
      </c>
    </row>
    <row r="23" spans="1:33" hidden="1" x14ac:dyDescent="0.25">
      <c r="A23" s="5">
        <v>168</v>
      </c>
      <c r="B23" s="5" t="s">
        <v>344</v>
      </c>
      <c r="C23" s="5" t="s">
        <v>199</v>
      </c>
      <c r="D23" s="5" t="s">
        <v>345</v>
      </c>
      <c r="E23" s="5" t="s">
        <v>335</v>
      </c>
      <c r="F23" s="8">
        <v>46174</v>
      </c>
      <c r="G23" s="8">
        <v>46195</v>
      </c>
      <c r="H23" s="3">
        <v>0.75</v>
      </c>
      <c r="L23" s="5" t="s">
        <v>35</v>
      </c>
      <c r="M23" s="5" t="s">
        <v>148</v>
      </c>
      <c r="N23" s="7">
        <v>46190</v>
      </c>
      <c r="P23" s="5" t="s">
        <v>197</v>
      </c>
      <c r="Q23" s="5" t="s">
        <v>211</v>
      </c>
      <c r="R23" s="5" t="s">
        <v>55</v>
      </c>
      <c r="S23" s="7">
        <v>46171</v>
      </c>
      <c r="T23" s="7">
        <v>46190</v>
      </c>
      <c r="U23" s="5" t="s">
        <v>320</v>
      </c>
      <c r="V23" s="5">
        <v>0.75</v>
      </c>
      <c r="W23" s="5">
        <v>0</v>
      </c>
      <c r="X23" s="5">
        <v>0</v>
      </c>
      <c r="Y23" s="5">
        <v>0</v>
      </c>
      <c r="Z23" s="5">
        <v>0</v>
      </c>
      <c r="AA23" s="5">
        <v>0</v>
      </c>
      <c r="AB23" s="5">
        <v>0</v>
      </c>
      <c r="AC23" s="5">
        <v>0</v>
      </c>
      <c r="AD23" s="5">
        <v>0</v>
      </c>
      <c r="AE23" s="5">
        <v>0</v>
      </c>
      <c r="AF23" s="5">
        <v>0</v>
      </c>
      <c r="AG23" s="5">
        <v>0</v>
      </c>
    </row>
    <row r="24" spans="1:33" hidden="1" x14ac:dyDescent="0.25">
      <c r="A24" s="5">
        <v>170</v>
      </c>
      <c r="B24" s="5" t="s">
        <v>349</v>
      </c>
      <c r="C24" s="5" t="s">
        <v>347</v>
      </c>
      <c r="D24" s="5" t="s">
        <v>98</v>
      </c>
      <c r="E24" s="5" t="s">
        <v>53</v>
      </c>
      <c r="F24" s="8">
        <v>46190</v>
      </c>
      <c r="G24" s="8">
        <v>46190</v>
      </c>
      <c r="H24" s="3">
        <v>0.5</v>
      </c>
      <c r="J24" s="5">
        <v>169</v>
      </c>
      <c r="K24" s="5">
        <v>171</v>
      </c>
      <c r="L24" s="5" t="s">
        <v>35</v>
      </c>
      <c r="M24" s="5" t="s">
        <v>172</v>
      </c>
      <c r="N24" s="7">
        <v>46185</v>
      </c>
      <c r="P24" s="5" t="s">
        <v>197</v>
      </c>
      <c r="Q24" s="5" t="s">
        <v>138</v>
      </c>
      <c r="R24" s="5" t="s">
        <v>55</v>
      </c>
      <c r="S24" s="7">
        <v>46185</v>
      </c>
      <c r="T24" s="7">
        <v>46185</v>
      </c>
      <c r="V24" s="5">
        <v>0.5</v>
      </c>
      <c r="W24" s="5">
        <v>0</v>
      </c>
      <c r="X24" s="5">
        <v>0</v>
      </c>
      <c r="Y24" s="5">
        <v>0</v>
      </c>
      <c r="Z24" s="5">
        <v>0</v>
      </c>
      <c r="AA24" s="5">
        <v>0</v>
      </c>
      <c r="AB24" s="5">
        <v>1</v>
      </c>
      <c r="AC24" s="5">
        <v>0</v>
      </c>
      <c r="AD24" s="5">
        <v>0</v>
      </c>
      <c r="AE24" s="5">
        <v>0</v>
      </c>
      <c r="AF24" s="5">
        <v>0</v>
      </c>
      <c r="AG24" s="5">
        <v>0</v>
      </c>
    </row>
    <row r="25" spans="1:33" hidden="1" x14ac:dyDescent="0.25">
      <c r="A25" s="5">
        <v>171</v>
      </c>
      <c r="B25" s="5" t="s">
        <v>350</v>
      </c>
      <c r="C25" s="5" t="s">
        <v>347</v>
      </c>
      <c r="D25" s="5" t="s">
        <v>102</v>
      </c>
      <c r="E25" s="5" t="s">
        <v>121</v>
      </c>
      <c r="F25" s="8">
        <v>46191</v>
      </c>
      <c r="G25" s="8">
        <v>46192</v>
      </c>
      <c r="H25" s="3">
        <v>0</v>
      </c>
      <c r="J25" s="5">
        <v>170</v>
      </c>
      <c r="K25" s="5">
        <v>172</v>
      </c>
      <c r="L25" s="5" t="s">
        <v>35</v>
      </c>
      <c r="M25" s="5" t="s">
        <v>296</v>
      </c>
      <c r="N25" s="7">
        <v>46189</v>
      </c>
      <c r="P25" s="5" t="s">
        <v>197</v>
      </c>
      <c r="Q25" s="5" t="s">
        <v>138</v>
      </c>
      <c r="R25" s="5" t="s">
        <v>55</v>
      </c>
      <c r="S25" s="7">
        <v>46188</v>
      </c>
      <c r="T25" s="7">
        <v>46189</v>
      </c>
      <c r="V25" s="5">
        <v>0</v>
      </c>
      <c r="W25" s="5">
        <v>0</v>
      </c>
      <c r="X25" s="5">
        <v>0</v>
      </c>
      <c r="Y25" s="5">
        <v>0</v>
      </c>
      <c r="Z25" s="5">
        <v>0</v>
      </c>
      <c r="AA25" s="5">
        <v>0</v>
      </c>
      <c r="AB25" s="5">
        <v>0</v>
      </c>
      <c r="AC25" s="5">
        <v>0</v>
      </c>
      <c r="AD25" s="5">
        <v>1</v>
      </c>
      <c r="AE25" s="5">
        <v>0</v>
      </c>
      <c r="AF25" s="5">
        <v>0</v>
      </c>
      <c r="AG25" s="5">
        <v>0</v>
      </c>
    </row>
    <row r="26" spans="1:33" hidden="1" x14ac:dyDescent="0.25">
      <c r="A26" s="5">
        <v>172</v>
      </c>
      <c r="B26" s="5" t="s">
        <v>351</v>
      </c>
      <c r="C26" s="5" t="s">
        <v>347</v>
      </c>
      <c r="D26" s="5" t="s">
        <v>108</v>
      </c>
      <c r="E26" s="5" t="s">
        <v>53</v>
      </c>
      <c r="F26" s="8">
        <v>46195</v>
      </c>
      <c r="G26" s="8">
        <v>46195</v>
      </c>
      <c r="H26" s="3">
        <v>0</v>
      </c>
      <c r="J26" s="5">
        <v>171</v>
      </c>
      <c r="L26" s="5" t="s">
        <v>35</v>
      </c>
      <c r="M26" s="5" t="s">
        <v>343</v>
      </c>
      <c r="N26" s="7">
        <v>46190</v>
      </c>
      <c r="P26" s="5" t="s">
        <v>197</v>
      </c>
      <c r="Q26" s="5" t="s">
        <v>146</v>
      </c>
      <c r="R26" s="5" t="s">
        <v>55</v>
      </c>
      <c r="S26" s="7">
        <v>46190</v>
      </c>
      <c r="T26" s="7">
        <v>46190</v>
      </c>
      <c r="V26" s="5">
        <v>0</v>
      </c>
      <c r="W26" s="5">
        <v>0</v>
      </c>
      <c r="X26" s="5">
        <v>0</v>
      </c>
      <c r="Y26" s="5">
        <v>0</v>
      </c>
      <c r="Z26" s="5">
        <v>1</v>
      </c>
      <c r="AA26" s="5">
        <v>0</v>
      </c>
      <c r="AB26" s="5">
        <v>0</v>
      </c>
      <c r="AC26" s="5">
        <v>0</v>
      </c>
      <c r="AD26" s="5">
        <v>0</v>
      </c>
      <c r="AE26" s="5">
        <v>0</v>
      </c>
      <c r="AF26" s="5">
        <v>1</v>
      </c>
      <c r="AG26" s="5">
        <v>0</v>
      </c>
    </row>
    <row r="27" spans="1:33" hidden="1" x14ac:dyDescent="0.25">
      <c r="A27" s="5">
        <v>173</v>
      </c>
      <c r="B27" s="5" t="s">
        <v>352</v>
      </c>
      <c r="C27" s="5" t="s">
        <v>199</v>
      </c>
      <c r="D27" s="5" t="s">
        <v>353</v>
      </c>
      <c r="E27" s="5" t="s">
        <v>335</v>
      </c>
      <c r="F27" s="8">
        <v>46174</v>
      </c>
      <c r="G27" s="8">
        <v>46195</v>
      </c>
      <c r="H27" s="3">
        <v>0.86</v>
      </c>
      <c r="L27" s="5" t="s">
        <v>35</v>
      </c>
      <c r="M27" s="5" t="s">
        <v>148</v>
      </c>
      <c r="N27" s="7">
        <v>46190</v>
      </c>
      <c r="P27" s="5" t="s">
        <v>197</v>
      </c>
      <c r="Q27" s="5" t="s">
        <v>211</v>
      </c>
      <c r="R27" s="5" t="s">
        <v>55</v>
      </c>
      <c r="S27" s="7">
        <v>46171</v>
      </c>
      <c r="T27" s="7">
        <v>46190</v>
      </c>
      <c r="U27" s="5" t="s">
        <v>320</v>
      </c>
      <c r="V27" s="5">
        <v>0.86</v>
      </c>
      <c r="W27" s="5">
        <v>0</v>
      </c>
      <c r="X27" s="5">
        <v>0</v>
      </c>
      <c r="Y27" s="5">
        <v>0</v>
      </c>
      <c r="Z27" s="5">
        <v>0</v>
      </c>
      <c r="AA27" s="5">
        <v>0</v>
      </c>
      <c r="AB27" s="5">
        <v>0</v>
      </c>
      <c r="AC27" s="5">
        <v>0</v>
      </c>
      <c r="AD27" s="5">
        <v>0</v>
      </c>
      <c r="AE27" s="5">
        <v>0</v>
      </c>
      <c r="AF27" s="5">
        <v>0</v>
      </c>
      <c r="AG27" s="5">
        <v>0</v>
      </c>
    </row>
    <row r="28" spans="1:33" hidden="1" x14ac:dyDescent="0.25">
      <c r="A28" s="5">
        <v>176</v>
      </c>
      <c r="B28" s="5" t="s">
        <v>358</v>
      </c>
      <c r="C28" s="5" t="s">
        <v>355</v>
      </c>
      <c r="D28" s="5" t="s">
        <v>102</v>
      </c>
      <c r="E28" s="5" t="s">
        <v>121</v>
      </c>
      <c r="F28" s="8">
        <v>46191</v>
      </c>
      <c r="G28" s="8">
        <v>46192</v>
      </c>
      <c r="H28" s="3">
        <v>0.5</v>
      </c>
      <c r="J28" s="5">
        <v>175</v>
      </c>
      <c r="K28" s="5">
        <v>177</v>
      </c>
      <c r="L28" s="5" t="s">
        <v>35</v>
      </c>
      <c r="M28" s="5" t="s">
        <v>296</v>
      </c>
      <c r="N28" s="7">
        <v>46189</v>
      </c>
      <c r="P28" s="5" t="s">
        <v>197</v>
      </c>
      <c r="Q28" s="5" t="s">
        <v>138</v>
      </c>
      <c r="R28" s="5" t="s">
        <v>55</v>
      </c>
      <c r="S28" s="7">
        <v>46188</v>
      </c>
      <c r="T28" s="7">
        <v>46189</v>
      </c>
      <c r="V28" s="5">
        <v>0.5</v>
      </c>
      <c r="W28" s="5">
        <v>0</v>
      </c>
      <c r="X28" s="5">
        <v>0</v>
      </c>
      <c r="Y28" s="5">
        <v>0</v>
      </c>
      <c r="Z28" s="5">
        <v>0</v>
      </c>
      <c r="AA28" s="5">
        <v>0</v>
      </c>
      <c r="AB28" s="5">
        <v>0</v>
      </c>
      <c r="AC28" s="5">
        <v>0</v>
      </c>
      <c r="AD28" s="5">
        <v>1</v>
      </c>
      <c r="AE28" s="5">
        <v>0</v>
      </c>
      <c r="AF28" s="5">
        <v>0</v>
      </c>
      <c r="AG28" s="5">
        <v>0</v>
      </c>
    </row>
    <row r="29" spans="1:33" hidden="1" x14ac:dyDescent="0.25">
      <c r="A29" s="5">
        <v>177</v>
      </c>
      <c r="B29" s="5" t="s">
        <v>359</v>
      </c>
      <c r="C29" s="5" t="s">
        <v>355</v>
      </c>
      <c r="D29" s="5" t="s">
        <v>108</v>
      </c>
      <c r="E29" s="5" t="s">
        <v>53</v>
      </c>
      <c r="F29" s="8">
        <v>46195</v>
      </c>
      <c r="G29" s="8">
        <v>46195</v>
      </c>
      <c r="H29" s="3">
        <v>0</v>
      </c>
      <c r="J29" s="5">
        <v>176</v>
      </c>
      <c r="L29" s="5" t="s">
        <v>35</v>
      </c>
      <c r="M29" s="5" t="s">
        <v>343</v>
      </c>
      <c r="N29" s="7">
        <v>46190</v>
      </c>
      <c r="P29" s="5" t="s">
        <v>197</v>
      </c>
      <c r="Q29" s="5" t="s">
        <v>146</v>
      </c>
      <c r="R29" s="5" t="s">
        <v>55</v>
      </c>
      <c r="S29" s="7">
        <v>46190</v>
      </c>
      <c r="T29" s="7">
        <v>46190</v>
      </c>
      <c r="V29" s="5">
        <v>0</v>
      </c>
      <c r="W29" s="5">
        <v>0</v>
      </c>
      <c r="X29" s="5">
        <v>0</v>
      </c>
      <c r="Y29" s="5">
        <v>0</v>
      </c>
      <c r="Z29" s="5">
        <v>1</v>
      </c>
      <c r="AA29" s="5">
        <v>0</v>
      </c>
      <c r="AB29" s="5">
        <v>0</v>
      </c>
      <c r="AC29" s="5">
        <v>0</v>
      </c>
      <c r="AD29" s="5">
        <v>0</v>
      </c>
      <c r="AE29" s="5">
        <v>0</v>
      </c>
      <c r="AF29" s="5">
        <v>1</v>
      </c>
      <c r="AG29" s="5">
        <v>0</v>
      </c>
    </row>
    <row r="30" spans="1:33" hidden="1" x14ac:dyDescent="0.25">
      <c r="A30" s="5">
        <v>178</v>
      </c>
      <c r="B30" s="5" t="s">
        <v>360</v>
      </c>
      <c r="C30" s="5" t="s">
        <v>199</v>
      </c>
      <c r="D30" s="5" t="s">
        <v>361</v>
      </c>
      <c r="E30" s="5" t="s">
        <v>335</v>
      </c>
      <c r="F30" s="8">
        <v>46174</v>
      </c>
      <c r="G30" s="8">
        <v>46195</v>
      </c>
      <c r="H30" s="3">
        <v>0.75</v>
      </c>
      <c r="L30" s="5" t="s">
        <v>35</v>
      </c>
      <c r="M30" s="5" t="s">
        <v>148</v>
      </c>
      <c r="N30" s="7">
        <v>46190</v>
      </c>
      <c r="P30" s="5" t="s">
        <v>197</v>
      </c>
      <c r="Q30" s="5" t="s">
        <v>211</v>
      </c>
      <c r="R30" s="5" t="s">
        <v>55</v>
      </c>
      <c r="S30" s="7">
        <v>46171</v>
      </c>
      <c r="T30" s="7">
        <v>46190</v>
      </c>
      <c r="U30" s="5" t="s">
        <v>320</v>
      </c>
      <c r="V30" s="5">
        <v>0.75</v>
      </c>
      <c r="W30" s="5">
        <v>0</v>
      </c>
      <c r="X30" s="5">
        <v>0</v>
      </c>
      <c r="Y30" s="5">
        <v>0</v>
      </c>
      <c r="Z30" s="5">
        <v>0</v>
      </c>
      <c r="AA30" s="5">
        <v>0</v>
      </c>
      <c r="AB30" s="5">
        <v>0</v>
      </c>
      <c r="AC30" s="5">
        <v>0</v>
      </c>
      <c r="AD30" s="5">
        <v>0</v>
      </c>
      <c r="AE30" s="5">
        <v>0</v>
      </c>
      <c r="AF30" s="5">
        <v>0</v>
      </c>
      <c r="AG30" s="5">
        <v>0</v>
      </c>
    </row>
    <row r="31" spans="1:33" hidden="1" x14ac:dyDescent="0.25">
      <c r="A31" s="5">
        <v>180</v>
      </c>
      <c r="B31" s="5" t="s">
        <v>365</v>
      </c>
      <c r="C31" s="5" t="s">
        <v>363</v>
      </c>
      <c r="D31" s="5" t="s">
        <v>98</v>
      </c>
      <c r="E31" s="5" t="s">
        <v>53</v>
      </c>
      <c r="F31" s="8">
        <v>46190</v>
      </c>
      <c r="G31" s="8">
        <v>46190</v>
      </c>
      <c r="H31" s="3">
        <v>0.5</v>
      </c>
      <c r="J31" s="5">
        <v>179</v>
      </c>
      <c r="K31" s="5">
        <v>181</v>
      </c>
      <c r="L31" s="5" t="s">
        <v>35</v>
      </c>
      <c r="M31" s="5" t="s">
        <v>172</v>
      </c>
      <c r="N31" s="7">
        <v>46185</v>
      </c>
      <c r="P31" s="5" t="s">
        <v>197</v>
      </c>
      <c r="Q31" s="5" t="s">
        <v>138</v>
      </c>
      <c r="R31" s="5" t="s">
        <v>55</v>
      </c>
      <c r="S31" s="7">
        <v>46185</v>
      </c>
      <c r="T31" s="7">
        <v>46185</v>
      </c>
      <c r="V31" s="5">
        <v>0.5</v>
      </c>
      <c r="W31" s="5">
        <v>0</v>
      </c>
      <c r="X31" s="5">
        <v>0</v>
      </c>
      <c r="Y31" s="5">
        <v>0</v>
      </c>
      <c r="Z31" s="5">
        <v>0</v>
      </c>
      <c r="AA31" s="5">
        <v>0</v>
      </c>
      <c r="AB31" s="5">
        <v>1</v>
      </c>
      <c r="AC31" s="5">
        <v>0</v>
      </c>
      <c r="AD31" s="5">
        <v>0</v>
      </c>
      <c r="AE31" s="5">
        <v>0</v>
      </c>
      <c r="AF31" s="5">
        <v>0</v>
      </c>
      <c r="AG31" s="5">
        <v>0</v>
      </c>
    </row>
    <row r="32" spans="1:33" hidden="1" x14ac:dyDescent="0.25">
      <c r="A32" s="5">
        <v>181</v>
      </c>
      <c r="B32" s="5" t="s">
        <v>366</v>
      </c>
      <c r="C32" s="5" t="s">
        <v>363</v>
      </c>
      <c r="D32" s="5" t="s">
        <v>102</v>
      </c>
      <c r="E32" s="5" t="s">
        <v>121</v>
      </c>
      <c r="F32" s="8">
        <v>46191</v>
      </c>
      <c r="G32" s="8">
        <v>46192</v>
      </c>
      <c r="H32" s="3">
        <v>0</v>
      </c>
      <c r="J32" s="5">
        <v>180</v>
      </c>
      <c r="K32" s="5">
        <v>182</v>
      </c>
      <c r="L32" s="5" t="s">
        <v>35</v>
      </c>
      <c r="M32" s="5" t="s">
        <v>296</v>
      </c>
      <c r="N32" s="7">
        <v>46189</v>
      </c>
      <c r="P32" s="5" t="s">
        <v>197</v>
      </c>
      <c r="Q32" s="5" t="s">
        <v>138</v>
      </c>
      <c r="R32" s="5" t="s">
        <v>55</v>
      </c>
      <c r="S32" s="7">
        <v>46188</v>
      </c>
      <c r="T32" s="7">
        <v>46189</v>
      </c>
      <c r="V32" s="5">
        <v>0</v>
      </c>
      <c r="W32" s="5">
        <v>0</v>
      </c>
      <c r="X32" s="5">
        <v>0</v>
      </c>
      <c r="Y32" s="5">
        <v>0</v>
      </c>
      <c r="Z32" s="5">
        <v>0</v>
      </c>
      <c r="AA32" s="5">
        <v>0</v>
      </c>
      <c r="AB32" s="5">
        <v>0</v>
      </c>
      <c r="AC32" s="5">
        <v>0</v>
      </c>
      <c r="AD32" s="5">
        <v>1</v>
      </c>
      <c r="AE32" s="5">
        <v>0</v>
      </c>
      <c r="AF32" s="5">
        <v>0</v>
      </c>
      <c r="AG32" s="5">
        <v>0</v>
      </c>
    </row>
    <row r="33" spans="1:33" hidden="1" x14ac:dyDescent="0.25">
      <c r="A33" s="5">
        <v>182</v>
      </c>
      <c r="B33" s="5" t="s">
        <v>367</v>
      </c>
      <c r="C33" s="5" t="s">
        <v>363</v>
      </c>
      <c r="D33" s="5" t="s">
        <v>108</v>
      </c>
      <c r="E33" s="5" t="s">
        <v>53</v>
      </c>
      <c r="F33" s="8">
        <v>46195</v>
      </c>
      <c r="G33" s="8">
        <v>46195</v>
      </c>
      <c r="H33" s="3">
        <v>0</v>
      </c>
      <c r="J33" s="5">
        <v>181</v>
      </c>
      <c r="L33" s="5" t="s">
        <v>35</v>
      </c>
      <c r="M33" s="5" t="s">
        <v>343</v>
      </c>
      <c r="N33" s="7">
        <v>46190</v>
      </c>
      <c r="P33" s="5" t="s">
        <v>197</v>
      </c>
      <c r="Q33" s="5" t="s">
        <v>146</v>
      </c>
      <c r="R33" s="5" t="s">
        <v>55</v>
      </c>
      <c r="S33" s="7">
        <v>46190</v>
      </c>
      <c r="T33" s="7">
        <v>46190</v>
      </c>
      <c r="V33" s="5">
        <v>0</v>
      </c>
      <c r="W33" s="5">
        <v>0</v>
      </c>
      <c r="X33" s="5">
        <v>0</v>
      </c>
      <c r="Y33" s="5">
        <v>0</v>
      </c>
      <c r="Z33" s="5">
        <v>1</v>
      </c>
      <c r="AA33" s="5">
        <v>0</v>
      </c>
      <c r="AB33" s="5">
        <v>0</v>
      </c>
      <c r="AC33" s="5">
        <v>0</v>
      </c>
      <c r="AD33" s="5">
        <v>0</v>
      </c>
      <c r="AE33" s="5">
        <v>0</v>
      </c>
      <c r="AF33" s="5">
        <v>1</v>
      </c>
      <c r="AG33" s="5">
        <v>0</v>
      </c>
    </row>
    <row r="34" spans="1:33" hidden="1" x14ac:dyDescent="0.25">
      <c r="A34" s="5">
        <v>183</v>
      </c>
      <c r="B34" s="5" t="s">
        <v>368</v>
      </c>
      <c r="C34" s="5" t="s">
        <v>199</v>
      </c>
      <c r="D34" s="5" t="s">
        <v>369</v>
      </c>
      <c r="E34" s="5" t="s">
        <v>335</v>
      </c>
      <c r="F34" s="8">
        <v>46157</v>
      </c>
      <c r="G34" s="8">
        <v>46176</v>
      </c>
      <c r="H34" s="3">
        <v>0.92</v>
      </c>
      <c r="L34" s="5" t="s">
        <v>35</v>
      </c>
      <c r="M34" s="5" t="s">
        <v>44</v>
      </c>
      <c r="N34" s="7">
        <v>46175</v>
      </c>
      <c r="P34" s="5" t="s">
        <v>197</v>
      </c>
      <c r="Q34" s="5" t="s">
        <v>125</v>
      </c>
      <c r="R34" s="5" t="s">
        <v>55</v>
      </c>
      <c r="S34" s="7">
        <v>46161</v>
      </c>
      <c r="T34" s="7">
        <v>46175</v>
      </c>
      <c r="V34" s="5">
        <v>0.92</v>
      </c>
      <c r="W34" s="5">
        <v>0</v>
      </c>
      <c r="X34" s="5">
        <v>0</v>
      </c>
      <c r="Y34" s="5">
        <v>0</v>
      </c>
      <c r="Z34" s="5">
        <v>0</v>
      </c>
      <c r="AA34" s="5">
        <v>0</v>
      </c>
      <c r="AB34" s="5">
        <v>0</v>
      </c>
      <c r="AC34" s="5">
        <v>0</v>
      </c>
      <c r="AD34" s="5">
        <v>0</v>
      </c>
      <c r="AE34" s="5">
        <v>0</v>
      </c>
      <c r="AF34" s="5">
        <v>0</v>
      </c>
      <c r="AG34" s="5">
        <v>0</v>
      </c>
    </row>
    <row r="35" spans="1:33" hidden="1" x14ac:dyDescent="0.25">
      <c r="A35" s="5">
        <v>186</v>
      </c>
      <c r="B35" s="5" t="s">
        <v>376</v>
      </c>
      <c r="C35" s="5" t="s">
        <v>371</v>
      </c>
      <c r="D35" s="5" t="s">
        <v>102</v>
      </c>
      <c r="E35" s="5" t="s">
        <v>121</v>
      </c>
      <c r="F35" s="8">
        <v>46174</v>
      </c>
      <c r="G35" s="8">
        <v>46175</v>
      </c>
      <c r="H35" s="3">
        <v>0.75</v>
      </c>
      <c r="J35" s="5">
        <v>185</v>
      </c>
      <c r="K35" s="5" t="s">
        <v>377</v>
      </c>
      <c r="L35" s="5" t="s">
        <v>35</v>
      </c>
      <c r="M35" s="5" t="s">
        <v>148</v>
      </c>
      <c r="N35" s="7">
        <v>46174</v>
      </c>
      <c r="P35" s="5" t="s">
        <v>197</v>
      </c>
      <c r="Q35" s="5" t="s">
        <v>211</v>
      </c>
      <c r="R35" s="5" t="s">
        <v>55</v>
      </c>
      <c r="S35" s="7">
        <v>46171</v>
      </c>
      <c r="T35" s="7">
        <v>46174</v>
      </c>
      <c r="V35" s="5">
        <v>0.75</v>
      </c>
      <c r="W35" s="5">
        <v>0</v>
      </c>
      <c r="X35" s="5">
        <v>0</v>
      </c>
      <c r="Y35" s="5">
        <v>0</v>
      </c>
      <c r="Z35" s="5">
        <v>0</v>
      </c>
      <c r="AA35" s="5">
        <v>0</v>
      </c>
      <c r="AB35" s="5">
        <v>0</v>
      </c>
      <c r="AC35" s="5">
        <v>0</v>
      </c>
      <c r="AD35" s="5">
        <v>1</v>
      </c>
      <c r="AE35" s="5">
        <v>0</v>
      </c>
      <c r="AF35" s="5">
        <v>0</v>
      </c>
      <c r="AG35" s="5">
        <v>0</v>
      </c>
    </row>
    <row r="36" spans="1:33" hidden="1" x14ac:dyDescent="0.25">
      <c r="A36" s="5">
        <v>187</v>
      </c>
      <c r="B36" s="5" t="s">
        <v>378</v>
      </c>
      <c r="C36" s="5" t="s">
        <v>371</v>
      </c>
      <c r="D36" s="5" t="s">
        <v>108</v>
      </c>
      <c r="E36" s="5" t="s">
        <v>53</v>
      </c>
      <c r="F36" s="8">
        <v>46176</v>
      </c>
      <c r="G36" s="8">
        <v>46176</v>
      </c>
      <c r="H36" s="3">
        <v>0.5</v>
      </c>
      <c r="J36" s="5">
        <v>186</v>
      </c>
      <c r="L36" s="5" t="s">
        <v>35</v>
      </c>
      <c r="M36" s="5" t="s">
        <v>150</v>
      </c>
      <c r="N36" s="7">
        <v>46175</v>
      </c>
      <c r="P36" s="5" t="s">
        <v>197</v>
      </c>
      <c r="Q36" s="5" t="s">
        <v>211</v>
      </c>
      <c r="R36" s="5" t="s">
        <v>55</v>
      </c>
      <c r="S36" s="7">
        <v>46175</v>
      </c>
      <c r="T36" s="7">
        <v>46175</v>
      </c>
      <c r="V36" s="5">
        <v>0.5</v>
      </c>
      <c r="W36" s="5">
        <v>0</v>
      </c>
      <c r="X36" s="5">
        <v>0</v>
      </c>
      <c r="Y36" s="5">
        <v>0</v>
      </c>
      <c r="Z36" s="5">
        <v>1</v>
      </c>
      <c r="AA36" s="5">
        <v>0</v>
      </c>
      <c r="AB36" s="5">
        <v>0</v>
      </c>
      <c r="AC36" s="5">
        <v>0</v>
      </c>
      <c r="AD36" s="5">
        <v>0</v>
      </c>
      <c r="AE36" s="5">
        <v>0</v>
      </c>
      <c r="AF36" s="5">
        <v>1</v>
      </c>
      <c r="AG36" s="5">
        <v>0</v>
      </c>
    </row>
    <row r="37" spans="1:33" hidden="1" x14ac:dyDescent="0.25">
      <c r="A37" s="5">
        <v>188</v>
      </c>
      <c r="B37" s="5" t="s">
        <v>379</v>
      </c>
      <c r="C37" s="5" t="s">
        <v>199</v>
      </c>
      <c r="D37" s="5" t="s">
        <v>380</v>
      </c>
      <c r="E37" s="5" t="s">
        <v>136</v>
      </c>
      <c r="F37" s="8">
        <v>46190</v>
      </c>
      <c r="G37" s="8">
        <v>46198</v>
      </c>
      <c r="H37" s="3">
        <v>0.43</v>
      </c>
      <c r="L37" s="5" t="s">
        <v>35</v>
      </c>
      <c r="M37" s="5" t="s">
        <v>172</v>
      </c>
      <c r="N37" s="7">
        <v>46195</v>
      </c>
      <c r="P37" s="5" t="s">
        <v>197</v>
      </c>
      <c r="Q37" s="5" t="s">
        <v>138</v>
      </c>
      <c r="R37" s="5" t="s">
        <v>55</v>
      </c>
      <c r="S37" s="7">
        <v>46185</v>
      </c>
      <c r="T37" s="7">
        <v>46195</v>
      </c>
      <c r="V37" s="5">
        <v>0.43</v>
      </c>
      <c r="W37" s="5">
        <v>0</v>
      </c>
      <c r="X37" s="5">
        <v>0</v>
      </c>
      <c r="Y37" s="5">
        <v>0</v>
      </c>
      <c r="Z37" s="5">
        <v>0</v>
      </c>
      <c r="AA37" s="5">
        <v>0</v>
      </c>
      <c r="AB37" s="5">
        <v>0</v>
      </c>
      <c r="AC37" s="5">
        <v>0</v>
      </c>
      <c r="AD37" s="5">
        <v>0</v>
      </c>
      <c r="AE37" s="5">
        <v>0</v>
      </c>
      <c r="AF37" s="5">
        <v>0</v>
      </c>
      <c r="AG37" s="5">
        <v>0</v>
      </c>
    </row>
    <row r="38" spans="1:33" hidden="1" x14ac:dyDescent="0.25">
      <c r="A38" s="5">
        <v>190</v>
      </c>
      <c r="B38" s="5" t="s">
        <v>384</v>
      </c>
      <c r="C38" s="5" t="s">
        <v>382</v>
      </c>
      <c r="D38" s="5" t="s">
        <v>98</v>
      </c>
      <c r="E38" s="5" t="s">
        <v>53</v>
      </c>
      <c r="F38" s="8">
        <v>46195</v>
      </c>
      <c r="G38" s="8">
        <v>46195</v>
      </c>
      <c r="H38" s="3">
        <v>0</v>
      </c>
      <c r="J38" s="5">
        <v>189</v>
      </c>
      <c r="K38" s="5">
        <v>191</v>
      </c>
      <c r="L38" s="5" t="s">
        <v>35</v>
      </c>
      <c r="M38" s="5" t="s">
        <v>343</v>
      </c>
      <c r="N38" s="7">
        <v>46190</v>
      </c>
      <c r="P38" s="5" t="s">
        <v>197</v>
      </c>
      <c r="Q38" s="5" t="s">
        <v>146</v>
      </c>
      <c r="R38" s="5" t="s">
        <v>55</v>
      </c>
      <c r="S38" s="7">
        <v>46190</v>
      </c>
      <c r="T38" s="7">
        <v>46190</v>
      </c>
      <c r="V38" s="5">
        <v>0</v>
      </c>
      <c r="W38" s="5">
        <v>0</v>
      </c>
      <c r="X38" s="5">
        <v>0</v>
      </c>
      <c r="Y38" s="5">
        <v>0</v>
      </c>
      <c r="Z38" s="5">
        <v>0</v>
      </c>
      <c r="AA38" s="5">
        <v>0</v>
      </c>
      <c r="AB38" s="5">
        <v>1</v>
      </c>
      <c r="AC38" s="5">
        <v>0</v>
      </c>
      <c r="AD38" s="5">
        <v>0</v>
      </c>
      <c r="AE38" s="5">
        <v>0</v>
      </c>
      <c r="AF38" s="5">
        <v>0</v>
      </c>
      <c r="AG38" s="5">
        <v>0</v>
      </c>
    </row>
    <row r="39" spans="1:33" hidden="1" x14ac:dyDescent="0.25">
      <c r="A39" s="5">
        <v>191</v>
      </c>
      <c r="B39" s="5" t="s">
        <v>385</v>
      </c>
      <c r="C39" s="5" t="s">
        <v>382</v>
      </c>
      <c r="D39" s="5" t="s">
        <v>102</v>
      </c>
      <c r="E39" s="5" t="s">
        <v>121</v>
      </c>
      <c r="F39" s="8">
        <v>46196</v>
      </c>
      <c r="G39" s="8">
        <v>46197</v>
      </c>
      <c r="H39" s="3">
        <v>0</v>
      </c>
      <c r="J39" s="5">
        <v>190</v>
      </c>
      <c r="K39" s="5">
        <v>192</v>
      </c>
      <c r="L39" s="5" t="s">
        <v>35</v>
      </c>
      <c r="M39" s="5" t="s">
        <v>386</v>
      </c>
      <c r="N39" s="7">
        <v>46192</v>
      </c>
      <c r="P39" s="5" t="s">
        <v>197</v>
      </c>
      <c r="Q39" s="5" t="s">
        <v>146</v>
      </c>
      <c r="R39" s="5" t="s">
        <v>55</v>
      </c>
      <c r="S39" s="7">
        <v>46191</v>
      </c>
      <c r="T39" s="7">
        <v>46192</v>
      </c>
      <c r="V39" s="5">
        <v>0</v>
      </c>
      <c r="W39" s="5">
        <v>0</v>
      </c>
      <c r="X39" s="5">
        <v>0</v>
      </c>
      <c r="Y39" s="5">
        <v>0</v>
      </c>
      <c r="Z39" s="5">
        <v>0</v>
      </c>
      <c r="AA39" s="5">
        <v>0</v>
      </c>
      <c r="AB39" s="5">
        <v>0</v>
      </c>
      <c r="AC39" s="5">
        <v>0</v>
      </c>
      <c r="AD39" s="5">
        <v>1</v>
      </c>
      <c r="AE39" s="5">
        <v>0</v>
      </c>
      <c r="AF39" s="5">
        <v>0</v>
      </c>
      <c r="AG39" s="5">
        <v>0</v>
      </c>
    </row>
    <row r="40" spans="1:33" hidden="1" x14ac:dyDescent="0.25">
      <c r="A40" s="5">
        <v>192</v>
      </c>
      <c r="B40" s="5" t="s">
        <v>387</v>
      </c>
      <c r="C40" s="5" t="s">
        <v>382</v>
      </c>
      <c r="D40" s="5" t="s">
        <v>108</v>
      </c>
      <c r="E40" s="5" t="s">
        <v>53</v>
      </c>
      <c r="F40" s="8">
        <v>46198</v>
      </c>
      <c r="G40" s="8">
        <v>46198</v>
      </c>
      <c r="H40" s="3">
        <v>0</v>
      </c>
      <c r="J40" s="5">
        <v>191</v>
      </c>
      <c r="L40" s="5" t="s">
        <v>35</v>
      </c>
      <c r="M40" s="5" t="s">
        <v>223</v>
      </c>
      <c r="N40" s="7">
        <v>46195</v>
      </c>
      <c r="P40" s="5" t="s">
        <v>197</v>
      </c>
      <c r="Q40" s="5" t="s">
        <v>146</v>
      </c>
      <c r="R40" s="5" t="s">
        <v>55</v>
      </c>
      <c r="S40" s="7">
        <v>46195</v>
      </c>
      <c r="T40" s="7">
        <v>46195</v>
      </c>
      <c r="V40" s="5">
        <v>0</v>
      </c>
      <c r="W40" s="5">
        <v>0</v>
      </c>
      <c r="X40" s="5">
        <v>0</v>
      </c>
      <c r="Y40" s="5">
        <v>0</v>
      </c>
      <c r="Z40" s="5">
        <v>1</v>
      </c>
      <c r="AA40" s="5">
        <v>0</v>
      </c>
      <c r="AB40" s="5">
        <v>0</v>
      </c>
      <c r="AC40" s="5">
        <v>0</v>
      </c>
      <c r="AD40" s="5">
        <v>0</v>
      </c>
      <c r="AE40" s="5">
        <v>0</v>
      </c>
      <c r="AF40" s="5">
        <v>1</v>
      </c>
      <c r="AG40" s="5">
        <v>0</v>
      </c>
    </row>
    <row r="41" spans="1:33" hidden="1" x14ac:dyDescent="0.25">
      <c r="A41" s="5">
        <v>193</v>
      </c>
      <c r="B41" s="5" t="s">
        <v>388</v>
      </c>
      <c r="C41" s="5" t="s">
        <v>199</v>
      </c>
      <c r="D41" s="5" t="s">
        <v>389</v>
      </c>
      <c r="E41" s="5" t="s">
        <v>136</v>
      </c>
      <c r="F41" s="8">
        <v>46190</v>
      </c>
      <c r="G41" s="8">
        <v>46198</v>
      </c>
      <c r="H41" s="3">
        <v>0.5</v>
      </c>
      <c r="L41" s="5" t="s">
        <v>35</v>
      </c>
      <c r="M41" s="5" t="s">
        <v>172</v>
      </c>
      <c r="N41" s="7">
        <v>46195</v>
      </c>
      <c r="P41" s="5" t="s">
        <v>197</v>
      </c>
      <c r="Q41" s="5" t="s">
        <v>138</v>
      </c>
      <c r="R41" s="5" t="s">
        <v>55</v>
      </c>
      <c r="S41" s="7">
        <v>46185</v>
      </c>
      <c r="T41" s="7">
        <v>46195</v>
      </c>
      <c r="V41" s="5">
        <v>0.5</v>
      </c>
      <c r="W41" s="5">
        <v>0</v>
      </c>
      <c r="X41" s="5">
        <v>0</v>
      </c>
      <c r="Y41" s="5">
        <v>0</v>
      </c>
      <c r="Z41" s="5">
        <v>0</v>
      </c>
      <c r="AA41" s="5">
        <v>0</v>
      </c>
      <c r="AB41" s="5">
        <v>0</v>
      </c>
      <c r="AC41" s="5">
        <v>0</v>
      </c>
      <c r="AD41" s="5">
        <v>0</v>
      </c>
      <c r="AE41" s="5">
        <v>0</v>
      </c>
      <c r="AF41" s="5">
        <v>0</v>
      </c>
      <c r="AG41" s="5">
        <v>0</v>
      </c>
    </row>
    <row r="42" spans="1:33" hidden="1" x14ac:dyDescent="0.25">
      <c r="A42" s="5">
        <v>195</v>
      </c>
      <c r="B42" s="5" t="s">
        <v>392</v>
      </c>
      <c r="C42" s="5" t="s">
        <v>391</v>
      </c>
      <c r="D42" s="5" t="s">
        <v>98</v>
      </c>
      <c r="E42" s="5" t="s">
        <v>53</v>
      </c>
      <c r="F42" s="8">
        <v>46195</v>
      </c>
      <c r="G42" s="8">
        <v>46195</v>
      </c>
      <c r="H42" s="3">
        <v>0.5</v>
      </c>
      <c r="J42" s="5">
        <v>194</v>
      </c>
      <c r="K42" s="5">
        <v>196</v>
      </c>
      <c r="L42" s="5" t="s">
        <v>35</v>
      </c>
      <c r="M42" s="5" t="s">
        <v>343</v>
      </c>
      <c r="N42" s="7">
        <v>46190</v>
      </c>
      <c r="P42" s="5" t="s">
        <v>197</v>
      </c>
      <c r="Q42" s="5" t="s">
        <v>146</v>
      </c>
      <c r="R42" s="5" t="s">
        <v>55</v>
      </c>
      <c r="S42" s="7">
        <v>46190</v>
      </c>
      <c r="T42" s="7">
        <v>46190</v>
      </c>
      <c r="V42" s="5">
        <v>0.5</v>
      </c>
      <c r="W42" s="5">
        <v>0</v>
      </c>
      <c r="X42" s="5">
        <v>0</v>
      </c>
      <c r="Y42" s="5">
        <v>0</v>
      </c>
      <c r="Z42" s="5">
        <v>0</v>
      </c>
      <c r="AA42" s="5">
        <v>0</v>
      </c>
      <c r="AB42" s="5">
        <v>1</v>
      </c>
      <c r="AC42" s="5">
        <v>0</v>
      </c>
      <c r="AD42" s="5">
        <v>0</v>
      </c>
      <c r="AE42" s="5">
        <v>0</v>
      </c>
      <c r="AF42" s="5">
        <v>0</v>
      </c>
      <c r="AG42" s="5">
        <v>0</v>
      </c>
    </row>
    <row r="43" spans="1:33" hidden="1" x14ac:dyDescent="0.25">
      <c r="A43" s="5">
        <v>196</v>
      </c>
      <c r="B43" s="5" t="s">
        <v>393</v>
      </c>
      <c r="C43" s="5" t="s">
        <v>391</v>
      </c>
      <c r="D43" s="5" t="s">
        <v>102</v>
      </c>
      <c r="E43" s="5" t="s">
        <v>121</v>
      </c>
      <c r="F43" s="8">
        <v>46196</v>
      </c>
      <c r="G43" s="8">
        <v>46197</v>
      </c>
      <c r="H43" s="3">
        <v>0</v>
      </c>
      <c r="J43" s="5">
        <v>195</v>
      </c>
      <c r="K43" s="5">
        <v>197</v>
      </c>
      <c r="L43" s="5" t="s">
        <v>35</v>
      </c>
      <c r="M43" s="5" t="s">
        <v>386</v>
      </c>
      <c r="N43" s="7">
        <v>46192</v>
      </c>
      <c r="P43" s="5" t="s">
        <v>197</v>
      </c>
      <c r="Q43" s="5" t="s">
        <v>146</v>
      </c>
      <c r="R43" s="5" t="s">
        <v>55</v>
      </c>
      <c r="S43" s="7">
        <v>46191</v>
      </c>
      <c r="T43" s="7">
        <v>46192</v>
      </c>
      <c r="V43" s="5">
        <v>0</v>
      </c>
      <c r="W43" s="5">
        <v>0</v>
      </c>
      <c r="X43" s="5">
        <v>0</v>
      </c>
      <c r="Y43" s="5">
        <v>0</v>
      </c>
      <c r="Z43" s="5">
        <v>0</v>
      </c>
      <c r="AA43" s="5">
        <v>0</v>
      </c>
      <c r="AB43" s="5">
        <v>0</v>
      </c>
      <c r="AC43" s="5">
        <v>0</v>
      </c>
      <c r="AD43" s="5">
        <v>1</v>
      </c>
      <c r="AE43" s="5">
        <v>0</v>
      </c>
      <c r="AF43" s="5">
        <v>0</v>
      </c>
      <c r="AG43" s="5">
        <v>0</v>
      </c>
    </row>
    <row r="44" spans="1:33" hidden="1" x14ac:dyDescent="0.25">
      <c r="A44" s="5">
        <v>197</v>
      </c>
      <c r="B44" s="5" t="s">
        <v>394</v>
      </c>
      <c r="C44" s="5" t="s">
        <v>391</v>
      </c>
      <c r="D44" s="5" t="s">
        <v>108</v>
      </c>
      <c r="E44" s="5" t="s">
        <v>53</v>
      </c>
      <c r="F44" s="8">
        <v>46198</v>
      </c>
      <c r="G44" s="8">
        <v>46198</v>
      </c>
      <c r="H44" s="3">
        <v>0</v>
      </c>
      <c r="J44" s="5">
        <v>196</v>
      </c>
      <c r="L44" s="5" t="s">
        <v>35</v>
      </c>
      <c r="M44" s="5" t="s">
        <v>223</v>
      </c>
      <c r="N44" s="7">
        <v>46195</v>
      </c>
      <c r="P44" s="5" t="s">
        <v>197</v>
      </c>
      <c r="Q44" s="5" t="s">
        <v>146</v>
      </c>
      <c r="R44" s="5" t="s">
        <v>55</v>
      </c>
      <c r="S44" s="7">
        <v>46195</v>
      </c>
      <c r="T44" s="7">
        <v>46195</v>
      </c>
      <c r="V44" s="5">
        <v>0</v>
      </c>
      <c r="W44" s="5">
        <v>0</v>
      </c>
      <c r="X44" s="5">
        <v>0</v>
      </c>
      <c r="Y44" s="5">
        <v>0</v>
      </c>
      <c r="Z44" s="5">
        <v>1</v>
      </c>
      <c r="AA44" s="5">
        <v>0</v>
      </c>
      <c r="AB44" s="5">
        <v>0</v>
      </c>
      <c r="AC44" s="5">
        <v>0</v>
      </c>
      <c r="AD44" s="5">
        <v>0</v>
      </c>
      <c r="AE44" s="5">
        <v>0</v>
      </c>
      <c r="AF44" s="5">
        <v>1</v>
      </c>
      <c r="AG44" s="5">
        <v>0</v>
      </c>
    </row>
    <row r="45" spans="1:33" hidden="1" x14ac:dyDescent="0.25">
      <c r="A45" s="5">
        <v>198</v>
      </c>
      <c r="B45" s="5" t="s">
        <v>395</v>
      </c>
      <c r="C45" s="5" t="s">
        <v>199</v>
      </c>
      <c r="D45" s="5" t="s">
        <v>396</v>
      </c>
      <c r="E45" s="5" t="s">
        <v>136</v>
      </c>
      <c r="F45" s="8">
        <v>46190</v>
      </c>
      <c r="G45" s="8">
        <v>46198</v>
      </c>
      <c r="H45" s="3">
        <v>0.43</v>
      </c>
      <c r="L45" s="5" t="s">
        <v>35</v>
      </c>
      <c r="M45" s="5" t="s">
        <v>172</v>
      </c>
      <c r="N45" s="7">
        <v>46195</v>
      </c>
      <c r="P45" s="5" t="s">
        <v>197</v>
      </c>
      <c r="Q45" s="5" t="s">
        <v>138</v>
      </c>
      <c r="R45" s="5" t="s">
        <v>55</v>
      </c>
      <c r="S45" s="7">
        <v>46185</v>
      </c>
      <c r="T45" s="7">
        <v>46195</v>
      </c>
      <c r="V45" s="5">
        <v>0.43</v>
      </c>
      <c r="W45" s="5">
        <v>0</v>
      </c>
      <c r="X45" s="5">
        <v>0</v>
      </c>
      <c r="Y45" s="5">
        <v>0</v>
      </c>
      <c r="Z45" s="5">
        <v>0</v>
      </c>
      <c r="AA45" s="5">
        <v>0</v>
      </c>
      <c r="AB45" s="5">
        <v>0</v>
      </c>
      <c r="AC45" s="5">
        <v>0</v>
      </c>
      <c r="AD45" s="5">
        <v>0</v>
      </c>
      <c r="AE45" s="5">
        <v>0</v>
      </c>
      <c r="AF45" s="5">
        <v>0</v>
      </c>
      <c r="AG45" s="5">
        <v>0</v>
      </c>
    </row>
    <row r="46" spans="1:33" hidden="1" x14ac:dyDescent="0.25">
      <c r="A46" s="5">
        <v>200</v>
      </c>
      <c r="B46" s="5" t="s">
        <v>399</v>
      </c>
      <c r="C46" s="5" t="s">
        <v>398</v>
      </c>
      <c r="D46" s="5" t="s">
        <v>98</v>
      </c>
      <c r="E46" s="5" t="s">
        <v>53</v>
      </c>
      <c r="F46" s="8">
        <v>46195</v>
      </c>
      <c r="G46" s="8">
        <v>46195</v>
      </c>
      <c r="H46" s="3">
        <v>0</v>
      </c>
      <c r="J46" s="5">
        <v>199</v>
      </c>
      <c r="K46" s="5">
        <v>201</v>
      </c>
      <c r="L46" s="5" t="s">
        <v>35</v>
      </c>
      <c r="M46" s="5" t="s">
        <v>343</v>
      </c>
      <c r="N46" s="7">
        <v>46190</v>
      </c>
      <c r="P46" s="5" t="s">
        <v>197</v>
      </c>
      <c r="Q46" s="5" t="s">
        <v>146</v>
      </c>
      <c r="R46" s="5" t="s">
        <v>55</v>
      </c>
      <c r="S46" s="7">
        <v>46190</v>
      </c>
      <c r="T46" s="7">
        <v>46190</v>
      </c>
      <c r="V46" s="5">
        <v>0</v>
      </c>
      <c r="W46" s="5">
        <v>0</v>
      </c>
      <c r="X46" s="5">
        <v>0</v>
      </c>
      <c r="Y46" s="5">
        <v>0</v>
      </c>
      <c r="Z46" s="5">
        <v>0</v>
      </c>
      <c r="AA46" s="5">
        <v>0</v>
      </c>
      <c r="AB46" s="5">
        <v>1</v>
      </c>
      <c r="AC46" s="5">
        <v>0</v>
      </c>
      <c r="AD46" s="5">
        <v>0</v>
      </c>
      <c r="AE46" s="5">
        <v>0</v>
      </c>
      <c r="AF46" s="5">
        <v>0</v>
      </c>
      <c r="AG46" s="5">
        <v>0</v>
      </c>
    </row>
    <row r="47" spans="1:33" hidden="1" x14ac:dyDescent="0.25">
      <c r="A47" s="5">
        <v>201</v>
      </c>
      <c r="B47" s="5" t="s">
        <v>400</v>
      </c>
      <c r="C47" s="5" t="s">
        <v>398</v>
      </c>
      <c r="D47" s="5" t="s">
        <v>102</v>
      </c>
      <c r="E47" s="5" t="s">
        <v>121</v>
      </c>
      <c r="F47" s="8">
        <v>46196</v>
      </c>
      <c r="G47" s="8">
        <v>46197</v>
      </c>
      <c r="H47" s="3">
        <v>0</v>
      </c>
      <c r="J47" s="5">
        <v>200</v>
      </c>
      <c r="K47" s="5">
        <v>202</v>
      </c>
      <c r="L47" s="5" t="s">
        <v>35</v>
      </c>
      <c r="M47" s="5" t="s">
        <v>386</v>
      </c>
      <c r="N47" s="7">
        <v>46192</v>
      </c>
      <c r="P47" s="5" t="s">
        <v>197</v>
      </c>
      <c r="Q47" s="5" t="s">
        <v>146</v>
      </c>
      <c r="R47" s="5" t="s">
        <v>55</v>
      </c>
      <c r="S47" s="7">
        <v>46191</v>
      </c>
      <c r="T47" s="7">
        <v>46192</v>
      </c>
      <c r="V47" s="5">
        <v>0</v>
      </c>
      <c r="W47" s="5">
        <v>0</v>
      </c>
      <c r="X47" s="5">
        <v>0</v>
      </c>
      <c r="Y47" s="5">
        <v>0</v>
      </c>
      <c r="Z47" s="5">
        <v>0</v>
      </c>
      <c r="AA47" s="5">
        <v>0</v>
      </c>
      <c r="AB47" s="5">
        <v>0</v>
      </c>
      <c r="AC47" s="5">
        <v>0</v>
      </c>
      <c r="AD47" s="5">
        <v>1</v>
      </c>
      <c r="AE47" s="5">
        <v>0</v>
      </c>
      <c r="AF47" s="5">
        <v>0</v>
      </c>
      <c r="AG47" s="5">
        <v>0</v>
      </c>
    </row>
    <row r="48" spans="1:33" hidden="1" x14ac:dyDescent="0.25">
      <c r="A48" s="5">
        <v>202</v>
      </c>
      <c r="B48" s="5" t="s">
        <v>401</v>
      </c>
      <c r="C48" s="5" t="s">
        <v>398</v>
      </c>
      <c r="D48" s="5" t="s">
        <v>108</v>
      </c>
      <c r="E48" s="5" t="s">
        <v>53</v>
      </c>
      <c r="F48" s="8">
        <v>46198</v>
      </c>
      <c r="G48" s="8">
        <v>46198</v>
      </c>
      <c r="H48" s="3">
        <v>0</v>
      </c>
      <c r="J48" s="5">
        <v>201</v>
      </c>
      <c r="L48" s="5" t="s">
        <v>35</v>
      </c>
      <c r="M48" s="5" t="s">
        <v>223</v>
      </c>
      <c r="N48" s="7">
        <v>46195</v>
      </c>
      <c r="P48" s="5" t="s">
        <v>197</v>
      </c>
      <c r="Q48" s="5" t="s">
        <v>146</v>
      </c>
      <c r="R48" s="5" t="s">
        <v>55</v>
      </c>
      <c r="S48" s="7">
        <v>46195</v>
      </c>
      <c r="T48" s="7">
        <v>46195</v>
      </c>
      <c r="V48" s="5">
        <v>0</v>
      </c>
      <c r="W48" s="5">
        <v>0</v>
      </c>
      <c r="X48" s="5">
        <v>0</v>
      </c>
      <c r="Y48" s="5">
        <v>0</v>
      </c>
      <c r="Z48" s="5">
        <v>1</v>
      </c>
      <c r="AA48" s="5">
        <v>0</v>
      </c>
      <c r="AB48" s="5">
        <v>0</v>
      </c>
      <c r="AC48" s="5">
        <v>0</v>
      </c>
      <c r="AD48" s="5">
        <v>0</v>
      </c>
      <c r="AE48" s="5">
        <v>0</v>
      </c>
      <c r="AF48" s="5">
        <v>1</v>
      </c>
      <c r="AG48" s="5">
        <v>0</v>
      </c>
    </row>
    <row r="49" spans="1:33" x14ac:dyDescent="0.25">
      <c r="A49" s="5">
        <v>215</v>
      </c>
      <c r="B49" s="5" t="s">
        <v>409</v>
      </c>
      <c r="C49" s="5" t="s">
        <v>410</v>
      </c>
      <c r="D49" s="5" t="s">
        <v>94</v>
      </c>
      <c r="E49" s="5" t="s">
        <v>95</v>
      </c>
      <c r="F49" s="8">
        <v>46203</v>
      </c>
      <c r="G49" s="8">
        <v>46205</v>
      </c>
      <c r="H49" s="3">
        <v>0.9</v>
      </c>
      <c r="J49" s="5" t="s">
        <v>411</v>
      </c>
      <c r="K49" s="5">
        <v>216</v>
      </c>
      <c r="L49" s="5" t="s">
        <v>35</v>
      </c>
      <c r="M49" s="5" t="s">
        <v>145</v>
      </c>
      <c r="N49" s="7">
        <v>46174</v>
      </c>
      <c r="P49" s="5" t="s">
        <v>405</v>
      </c>
      <c r="Q49" s="5" t="s">
        <v>146</v>
      </c>
      <c r="R49" s="5" t="s">
        <v>55</v>
      </c>
      <c r="S49" s="7">
        <v>46170</v>
      </c>
      <c r="T49" s="7">
        <v>46174</v>
      </c>
      <c r="V49" s="5">
        <v>0.9</v>
      </c>
      <c r="W49" s="5">
        <v>1</v>
      </c>
      <c r="X49" s="5">
        <v>0</v>
      </c>
      <c r="Y49" s="5">
        <v>1</v>
      </c>
      <c r="Z49" s="5">
        <v>0</v>
      </c>
      <c r="AA49" s="5">
        <v>0</v>
      </c>
      <c r="AB49" s="5">
        <v>0</v>
      </c>
      <c r="AC49" s="5">
        <v>0</v>
      </c>
      <c r="AD49" s="5">
        <v>0</v>
      </c>
      <c r="AE49" s="5">
        <v>0</v>
      </c>
      <c r="AF49" s="5">
        <v>0</v>
      </c>
      <c r="AG49" s="5">
        <v>0</v>
      </c>
    </row>
    <row r="50" spans="1:33" hidden="1" x14ac:dyDescent="0.25">
      <c r="A50" s="5">
        <v>216</v>
      </c>
      <c r="B50" s="5" t="s">
        <v>412</v>
      </c>
      <c r="C50" s="5" t="s">
        <v>410</v>
      </c>
      <c r="D50" s="5" t="s">
        <v>98</v>
      </c>
      <c r="E50" s="5" t="s">
        <v>53</v>
      </c>
      <c r="F50" s="8">
        <v>46206</v>
      </c>
      <c r="G50" s="8">
        <v>46206</v>
      </c>
      <c r="H50" s="3">
        <v>0</v>
      </c>
      <c r="J50" s="5">
        <v>215</v>
      </c>
      <c r="K50" s="5" t="s">
        <v>413</v>
      </c>
      <c r="L50" s="5" t="s">
        <v>131</v>
      </c>
      <c r="M50" s="5" t="s">
        <v>150</v>
      </c>
      <c r="N50" s="7">
        <v>46175</v>
      </c>
      <c r="P50" s="5" t="s">
        <v>405</v>
      </c>
      <c r="Q50" s="5" t="s">
        <v>151</v>
      </c>
      <c r="R50" s="5" t="s">
        <v>55</v>
      </c>
      <c r="S50" s="7">
        <v>46175</v>
      </c>
      <c r="T50" s="7">
        <v>46175</v>
      </c>
      <c r="V50" s="5">
        <v>0</v>
      </c>
      <c r="W50" s="5">
        <v>0</v>
      </c>
      <c r="X50" s="5">
        <v>0</v>
      </c>
      <c r="Y50" s="5">
        <v>0</v>
      </c>
      <c r="Z50" s="5">
        <v>0</v>
      </c>
      <c r="AA50" s="5">
        <v>0</v>
      </c>
      <c r="AB50" s="5">
        <v>0</v>
      </c>
      <c r="AC50" s="5">
        <v>0</v>
      </c>
      <c r="AD50" s="5">
        <v>0</v>
      </c>
      <c r="AE50" s="5">
        <v>0</v>
      </c>
      <c r="AF50" s="5">
        <v>0</v>
      </c>
      <c r="AG50" s="5">
        <v>0</v>
      </c>
    </row>
    <row r="51" spans="1:33" hidden="1" x14ac:dyDescent="0.25">
      <c r="A51" s="5">
        <v>244</v>
      </c>
      <c r="B51" s="5" t="s">
        <v>427</v>
      </c>
      <c r="C51" s="5" t="s">
        <v>407</v>
      </c>
      <c r="D51" s="5" t="s">
        <v>428</v>
      </c>
      <c r="E51" s="5" t="s">
        <v>136</v>
      </c>
      <c r="F51" s="8">
        <v>46183</v>
      </c>
      <c r="G51" s="8">
        <v>46191</v>
      </c>
      <c r="H51" s="3">
        <v>0.71</v>
      </c>
      <c r="L51" s="5" t="s">
        <v>35</v>
      </c>
      <c r="M51" s="5" t="s">
        <v>187</v>
      </c>
      <c r="N51" s="7">
        <v>46169</v>
      </c>
      <c r="P51" s="5" t="s">
        <v>405</v>
      </c>
      <c r="Q51" s="5" t="s">
        <v>65</v>
      </c>
      <c r="R51" s="5" t="s">
        <v>55</v>
      </c>
      <c r="S51" s="7">
        <v>46162</v>
      </c>
      <c r="T51" s="7">
        <v>46169</v>
      </c>
      <c r="V51" s="5">
        <v>0.71</v>
      </c>
      <c r="W51" s="5">
        <v>0</v>
      </c>
      <c r="X51" s="5">
        <v>0</v>
      </c>
      <c r="Y51" s="5">
        <v>0</v>
      </c>
      <c r="Z51" s="5">
        <v>0</v>
      </c>
      <c r="AA51" s="5">
        <v>0</v>
      </c>
      <c r="AB51" s="5">
        <v>0</v>
      </c>
      <c r="AC51" s="5">
        <v>0</v>
      </c>
      <c r="AD51" s="5">
        <v>0</v>
      </c>
      <c r="AE51" s="5">
        <v>0</v>
      </c>
      <c r="AF51" s="5">
        <v>0</v>
      </c>
      <c r="AG51" s="5">
        <v>0</v>
      </c>
    </row>
    <row r="52" spans="1:33" hidden="1" x14ac:dyDescent="0.25">
      <c r="A52" s="5">
        <v>247</v>
      </c>
      <c r="B52" s="5" t="s">
        <v>434</v>
      </c>
      <c r="C52" s="5" t="s">
        <v>430</v>
      </c>
      <c r="D52" s="5" t="s">
        <v>102</v>
      </c>
      <c r="E52" s="5" t="s">
        <v>121</v>
      </c>
      <c r="F52" s="8">
        <v>46189</v>
      </c>
      <c r="G52" s="8">
        <v>46190</v>
      </c>
      <c r="H52" s="3">
        <v>0.5</v>
      </c>
      <c r="J52" s="5">
        <v>246</v>
      </c>
      <c r="K52" s="5">
        <v>248</v>
      </c>
      <c r="L52" s="5" t="s">
        <v>35</v>
      </c>
      <c r="M52" s="5" t="s">
        <v>137</v>
      </c>
      <c r="N52" s="7">
        <v>46168</v>
      </c>
      <c r="P52" s="5" t="s">
        <v>405</v>
      </c>
      <c r="Q52" s="5" t="s">
        <v>138</v>
      </c>
      <c r="R52" s="5" t="s">
        <v>55</v>
      </c>
      <c r="S52" s="7">
        <v>46167</v>
      </c>
      <c r="T52" s="7">
        <v>46168</v>
      </c>
      <c r="V52" s="5">
        <v>0.5</v>
      </c>
      <c r="W52" s="5">
        <v>0</v>
      </c>
      <c r="X52" s="5">
        <v>0</v>
      </c>
      <c r="Y52" s="5">
        <v>0</v>
      </c>
      <c r="Z52" s="5">
        <v>0</v>
      </c>
      <c r="AA52" s="5">
        <v>0</v>
      </c>
      <c r="AB52" s="5">
        <v>0</v>
      </c>
      <c r="AC52" s="5">
        <v>0</v>
      </c>
      <c r="AD52" s="5">
        <v>1</v>
      </c>
      <c r="AE52" s="5">
        <v>0</v>
      </c>
      <c r="AF52" s="5">
        <v>0</v>
      </c>
      <c r="AG52" s="5">
        <v>0</v>
      </c>
    </row>
    <row r="53" spans="1:33" hidden="1" x14ac:dyDescent="0.25">
      <c r="A53" s="5">
        <v>248</v>
      </c>
      <c r="B53" s="5" t="s">
        <v>435</v>
      </c>
      <c r="C53" s="5" t="s">
        <v>430</v>
      </c>
      <c r="D53" s="5" t="s">
        <v>108</v>
      </c>
      <c r="E53" s="5" t="s">
        <v>53</v>
      </c>
      <c r="F53" s="8">
        <v>46191</v>
      </c>
      <c r="G53" s="8">
        <v>46191</v>
      </c>
      <c r="H53" s="3">
        <v>0</v>
      </c>
      <c r="J53" s="5">
        <v>247</v>
      </c>
      <c r="L53" s="5" t="s">
        <v>35</v>
      </c>
      <c r="M53" s="5" t="s">
        <v>436</v>
      </c>
      <c r="N53" s="7">
        <v>46169</v>
      </c>
      <c r="P53" s="5" t="s">
        <v>405</v>
      </c>
      <c r="Q53" s="5" t="s">
        <v>138</v>
      </c>
      <c r="R53" s="5" t="s">
        <v>55</v>
      </c>
      <c r="S53" s="7">
        <v>46169</v>
      </c>
      <c r="T53" s="7">
        <v>46169</v>
      </c>
      <c r="V53" s="5">
        <v>0</v>
      </c>
      <c r="W53" s="5">
        <v>0</v>
      </c>
      <c r="X53" s="5">
        <v>0</v>
      </c>
      <c r="Y53" s="5">
        <v>0</v>
      </c>
      <c r="Z53" s="5">
        <v>1</v>
      </c>
      <c r="AA53" s="5">
        <v>0</v>
      </c>
      <c r="AB53" s="5">
        <v>0</v>
      </c>
      <c r="AC53" s="5">
        <v>0</v>
      </c>
      <c r="AD53" s="5">
        <v>0</v>
      </c>
      <c r="AE53" s="5">
        <v>0</v>
      </c>
      <c r="AF53" s="5">
        <v>1</v>
      </c>
      <c r="AG53" s="5">
        <v>0</v>
      </c>
    </row>
    <row r="54" spans="1:33" hidden="1" x14ac:dyDescent="0.25">
      <c r="A54" s="5">
        <v>421</v>
      </c>
      <c r="B54" s="5" t="s">
        <v>637</v>
      </c>
      <c r="C54" s="5" t="s">
        <v>638</v>
      </c>
      <c r="D54" s="5" t="s">
        <v>639</v>
      </c>
      <c r="E54" s="5" t="s">
        <v>640</v>
      </c>
      <c r="F54" s="8">
        <v>46175</v>
      </c>
      <c r="G54" s="8">
        <v>46183</v>
      </c>
      <c r="H54" s="3">
        <v>0.7</v>
      </c>
      <c r="L54" s="5" t="s">
        <v>35</v>
      </c>
      <c r="M54" s="5" t="s">
        <v>210</v>
      </c>
      <c r="N54" s="7">
        <v>46176</v>
      </c>
      <c r="P54" s="5" t="s">
        <v>636</v>
      </c>
      <c r="Q54" s="5" t="s">
        <v>211</v>
      </c>
      <c r="R54" s="5" t="s">
        <v>55</v>
      </c>
      <c r="S54" s="7">
        <v>46168</v>
      </c>
      <c r="T54" s="7">
        <v>46176</v>
      </c>
      <c r="V54" s="5">
        <v>0.7</v>
      </c>
      <c r="W54" s="5">
        <v>0</v>
      </c>
      <c r="X54" s="5">
        <v>0</v>
      </c>
      <c r="Y54" s="5">
        <v>0</v>
      </c>
      <c r="Z54" s="5">
        <v>0</v>
      </c>
      <c r="AA54" s="5">
        <v>0</v>
      </c>
      <c r="AB54" s="5">
        <v>0</v>
      </c>
      <c r="AC54" s="5">
        <v>0</v>
      </c>
      <c r="AD54" s="5">
        <v>0</v>
      </c>
      <c r="AE54" s="5">
        <v>0</v>
      </c>
      <c r="AF54" s="5">
        <v>0</v>
      </c>
      <c r="AG54" s="5">
        <v>0</v>
      </c>
    </row>
    <row r="55" spans="1:33" hidden="1" x14ac:dyDescent="0.25">
      <c r="A55" s="5">
        <v>424</v>
      </c>
      <c r="B55" s="5" t="s">
        <v>646</v>
      </c>
      <c r="C55" s="5" t="s">
        <v>642</v>
      </c>
      <c r="D55" s="5" t="s">
        <v>102</v>
      </c>
      <c r="E55" s="5" t="s">
        <v>53</v>
      </c>
      <c r="F55" s="8">
        <v>46183</v>
      </c>
      <c r="G55" s="8">
        <v>46183</v>
      </c>
      <c r="H55" s="3">
        <v>0.5</v>
      </c>
      <c r="J55" s="5">
        <v>423</v>
      </c>
      <c r="K55" s="5" t="s">
        <v>647</v>
      </c>
      <c r="L55" s="5" t="s">
        <v>35</v>
      </c>
      <c r="M55" s="5" t="s">
        <v>648</v>
      </c>
      <c r="N55" s="7">
        <v>46175</v>
      </c>
      <c r="P55" s="5" t="s">
        <v>636</v>
      </c>
      <c r="Q55" s="5" t="s">
        <v>65</v>
      </c>
      <c r="R55" s="5" t="s">
        <v>55</v>
      </c>
      <c r="S55" s="7">
        <v>46174</v>
      </c>
      <c r="T55" s="7">
        <v>46175</v>
      </c>
      <c r="V55" s="5">
        <v>0.5</v>
      </c>
      <c r="W55" s="5">
        <v>0</v>
      </c>
      <c r="X55" s="5">
        <v>0</v>
      </c>
      <c r="Y55" s="5">
        <v>0</v>
      </c>
      <c r="Z55" s="5">
        <v>0</v>
      </c>
      <c r="AA55" s="5">
        <v>0</v>
      </c>
      <c r="AB55" s="5">
        <v>0</v>
      </c>
      <c r="AC55" s="5">
        <v>0</v>
      </c>
      <c r="AD55" s="5">
        <v>1</v>
      </c>
      <c r="AE55" s="5">
        <v>0</v>
      </c>
      <c r="AF55" s="5">
        <v>0</v>
      </c>
      <c r="AG55" s="5">
        <v>0</v>
      </c>
    </row>
    <row r="56" spans="1:33" hidden="1" x14ac:dyDescent="0.25">
      <c r="A56" s="5">
        <v>425</v>
      </c>
      <c r="B56" s="5" t="s">
        <v>649</v>
      </c>
      <c r="C56" s="5" t="s">
        <v>642</v>
      </c>
      <c r="D56" s="5" t="s">
        <v>108</v>
      </c>
      <c r="E56" s="5" t="s">
        <v>53</v>
      </c>
      <c r="F56" s="8">
        <v>46183</v>
      </c>
      <c r="G56" s="8">
        <v>46183</v>
      </c>
      <c r="H56" s="3">
        <v>0</v>
      </c>
      <c r="J56" s="5" t="s">
        <v>650</v>
      </c>
      <c r="L56" s="5" t="s">
        <v>35</v>
      </c>
      <c r="M56" s="5" t="s">
        <v>218</v>
      </c>
      <c r="N56" s="7">
        <v>46176</v>
      </c>
      <c r="P56" s="5" t="s">
        <v>636</v>
      </c>
      <c r="Q56" s="5" t="s">
        <v>65</v>
      </c>
      <c r="R56" s="5" t="s">
        <v>55</v>
      </c>
      <c r="S56" s="7">
        <v>46176</v>
      </c>
      <c r="T56" s="7">
        <v>46176</v>
      </c>
      <c r="V56" s="5">
        <v>0</v>
      </c>
      <c r="W56" s="5">
        <v>0</v>
      </c>
      <c r="X56" s="5">
        <v>0</v>
      </c>
      <c r="Y56" s="5">
        <v>0</v>
      </c>
      <c r="Z56" s="5">
        <v>1</v>
      </c>
      <c r="AA56" s="5">
        <v>0</v>
      </c>
      <c r="AB56" s="5">
        <v>0</v>
      </c>
      <c r="AC56" s="5">
        <v>0</v>
      </c>
      <c r="AD56" s="5">
        <v>0</v>
      </c>
      <c r="AE56" s="5">
        <v>0</v>
      </c>
      <c r="AF56" s="5">
        <v>1</v>
      </c>
      <c r="AG56" s="5">
        <v>0</v>
      </c>
    </row>
    <row r="57" spans="1:33" hidden="1" x14ac:dyDescent="0.25">
      <c r="A57" s="5">
        <v>431</v>
      </c>
      <c r="B57" s="5" t="s">
        <v>651</v>
      </c>
      <c r="C57" s="5" t="s">
        <v>638</v>
      </c>
      <c r="D57" s="5" t="s">
        <v>652</v>
      </c>
      <c r="E57" s="5" t="s">
        <v>640</v>
      </c>
      <c r="F57" s="8">
        <v>46170</v>
      </c>
      <c r="G57" s="8">
        <v>46176</v>
      </c>
      <c r="H57" s="3">
        <v>0.7</v>
      </c>
      <c r="L57" s="5" t="s">
        <v>35</v>
      </c>
      <c r="M57" s="5" t="s">
        <v>190</v>
      </c>
      <c r="N57" s="7">
        <v>46171</v>
      </c>
      <c r="P57" s="5" t="s">
        <v>636</v>
      </c>
      <c r="Q57" s="5" t="s">
        <v>110</v>
      </c>
      <c r="R57" s="5" t="s">
        <v>55</v>
      </c>
      <c r="S57" s="7">
        <v>46163</v>
      </c>
      <c r="T57" s="7">
        <v>46171</v>
      </c>
      <c r="V57" s="5">
        <v>0.7</v>
      </c>
      <c r="W57" s="5">
        <v>0</v>
      </c>
      <c r="X57" s="5">
        <v>0</v>
      </c>
      <c r="Y57" s="5">
        <v>0</v>
      </c>
      <c r="Z57" s="5">
        <v>0</v>
      </c>
      <c r="AA57" s="5">
        <v>0</v>
      </c>
      <c r="AB57" s="5">
        <v>0</v>
      </c>
      <c r="AC57" s="5">
        <v>0</v>
      </c>
      <c r="AD57" s="5">
        <v>0</v>
      </c>
      <c r="AE57" s="5">
        <v>0</v>
      </c>
      <c r="AF57" s="5">
        <v>0</v>
      </c>
      <c r="AG57" s="5">
        <v>0</v>
      </c>
    </row>
    <row r="58" spans="1:33" hidden="1" x14ac:dyDescent="0.25">
      <c r="A58" s="5">
        <v>434</v>
      </c>
      <c r="B58" s="5" t="s">
        <v>658</v>
      </c>
      <c r="C58" s="5" t="s">
        <v>654</v>
      </c>
      <c r="D58" s="5" t="s">
        <v>102</v>
      </c>
      <c r="E58" s="5" t="s">
        <v>53</v>
      </c>
      <c r="F58" s="8">
        <v>46176</v>
      </c>
      <c r="G58" s="8">
        <v>46176</v>
      </c>
      <c r="H58" s="3">
        <v>0.5</v>
      </c>
      <c r="J58" s="5">
        <v>433</v>
      </c>
      <c r="K58" s="5" t="s">
        <v>659</v>
      </c>
      <c r="L58" s="5" t="s">
        <v>35</v>
      </c>
      <c r="M58" s="5" t="s">
        <v>436</v>
      </c>
      <c r="N58" s="7">
        <v>46170</v>
      </c>
      <c r="P58" s="5" t="s">
        <v>636</v>
      </c>
      <c r="Q58" s="5" t="s">
        <v>211</v>
      </c>
      <c r="R58" s="5" t="s">
        <v>55</v>
      </c>
      <c r="S58" s="7">
        <v>46169</v>
      </c>
      <c r="T58" s="7">
        <v>46170</v>
      </c>
      <c r="V58" s="5">
        <v>0.5</v>
      </c>
      <c r="W58" s="5">
        <v>0</v>
      </c>
      <c r="X58" s="5">
        <v>0</v>
      </c>
      <c r="Y58" s="5">
        <v>0</v>
      </c>
      <c r="Z58" s="5">
        <v>0</v>
      </c>
      <c r="AA58" s="5">
        <v>0</v>
      </c>
      <c r="AB58" s="5">
        <v>0</v>
      </c>
      <c r="AC58" s="5">
        <v>0</v>
      </c>
      <c r="AD58" s="5">
        <v>1</v>
      </c>
      <c r="AE58" s="5">
        <v>0</v>
      </c>
      <c r="AF58" s="5">
        <v>0</v>
      </c>
      <c r="AG58" s="5">
        <v>0</v>
      </c>
    </row>
    <row r="59" spans="1:33" hidden="1" x14ac:dyDescent="0.25">
      <c r="A59" s="5">
        <v>435</v>
      </c>
      <c r="B59" s="5" t="s">
        <v>660</v>
      </c>
      <c r="C59" s="5" t="s">
        <v>654</v>
      </c>
      <c r="D59" s="5" t="s">
        <v>108</v>
      </c>
      <c r="E59" s="5" t="s">
        <v>53</v>
      </c>
      <c r="F59" s="8">
        <v>46176</v>
      </c>
      <c r="G59" s="8">
        <v>46176</v>
      </c>
      <c r="H59" s="3">
        <v>0</v>
      </c>
      <c r="J59" s="5" t="s">
        <v>661</v>
      </c>
      <c r="L59" s="5" t="s">
        <v>35</v>
      </c>
      <c r="M59" s="5" t="s">
        <v>148</v>
      </c>
      <c r="N59" s="7">
        <v>46171</v>
      </c>
      <c r="P59" s="5" t="s">
        <v>636</v>
      </c>
      <c r="Q59" s="5" t="s">
        <v>211</v>
      </c>
      <c r="R59" s="5" t="s">
        <v>55</v>
      </c>
      <c r="S59" s="7">
        <v>46171</v>
      </c>
      <c r="T59" s="7">
        <v>46171</v>
      </c>
      <c r="V59" s="5">
        <v>0</v>
      </c>
      <c r="W59" s="5">
        <v>0</v>
      </c>
      <c r="X59" s="5">
        <v>0</v>
      </c>
      <c r="Y59" s="5">
        <v>0</v>
      </c>
      <c r="Z59" s="5">
        <v>1</v>
      </c>
      <c r="AA59" s="5">
        <v>0</v>
      </c>
      <c r="AB59" s="5">
        <v>0</v>
      </c>
      <c r="AC59" s="5">
        <v>0</v>
      </c>
      <c r="AD59" s="5">
        <v>0</v>
      </c>
      <c r="AE59" s="5">
        <v>0</v>
      </c>
      <c r="AF59" s="5">
        <v>1</v>
      </c>
      <c r="AG59" s="5">
        <v>0</v>
      </c>
    </row>
    <row r="60" spans="1:33" x14ac:dyDescent="0.25">
      <c r="A60" s="5">
        <v>452</v>
      </c>
      <c r="B60" s="5" t="s">
        <v>664</v>
      </c>
      <c r="C60" s="5" t="s">
        <v>665</v>
      </c>
      <c r="D60" s="5" t="s">
        <v>94</v>
      </c>
      <c r="E60" s="5" t="s">
        <v>121</v>
      </c>
      <c r="F60" s="8">
        <v>46205</v>
      </c>
      <c r="G60" s="8">
        <v>46206</v>
      </c>
      <c r="H60" s="3">
        <v>0.7</v>
      </c>
      <c r="J60" s="5" t="s">
        <v>666</v>
      </c>
      <c r="K60" s="5" t="s">
        <v>667</v>
      </c>
      <c r="L60" s="5" t="s">
        <v>131</v>
      </c>
      <c r="M60" s="5" t="s">
        <v>444</v>
      </c>
      <c r="N60" s="7">
        <v>46185</v>
      </c>
      <c r="P60" s="5" t="s">
        <v>636</v>
      </c>
      <c r="Q60" s="5" t="s">
        <v>211</v>
      </c>
      <c r="R60" s="5" t="s">
        <v>55</v>
      </c>
      <c r="S60" s="7">
        <v>46181</v>
      </c>
      <c r="T60" s="7">
        <v>46185</v>
      </c>
      <c r="V60" s="5">
        <v>0.7</v>
      </c>
      <c r="W60" s="5">
        <v>1</v>
      </c>
      <c r="X60" s="5">
        <v>0</v>
      </c>
      <c r="Y60" s="5">
        <v>0</v>
      </c>
      <c r="Z60" s="5">
        <v>0</v>
      </c>
      <c r="AA60" s="5">
        <v>0</v>
      </c>
      <c r="AB60" s="5">
        <v>0</v>
      </c>
      <c r="AC60" s="5">
        <v>0</v>
      </c>
      <c r="AD60" s="5">
        <v>0</v>
      </c>
      <c r="AE60" s="5">
        <v>0</v>
      </c>
      <c r="AF60" s="5">
        <v>0</v>
      </c>
      <c r="AG60" s="5">
        <v>0</v>
      </c>
    </row>
    <row r="61" spans="1:33" x14ac:dyDescent="0.25">
      <c r="A61" s="5">
        <v>457</v>
      </c>
      <c r="B61" s="5" t="s">
        <v>677</v>
      </c>
      <c r="C61" s="5" t="s">
        <v>678</v>
      </c>
      <c r="D61" s="5" t="s">
        <v>94</v>
      </c>
      <c r="E61" s="5" t="s">
        <v>121</v>
      </c>
      <c r="F61" s="8">
        <v>46205</v>
      </c>
      <c r="G61" s="8">
        <v>46206</v>
      </c>
      <c r="H61" s="3">
        <v>0.7</v>
      </c>
      <c r="J61" s="5" t="s">
        <v>679</v>
      </c>
      <c r="K61" s="5">
        <v>458</v>
      </c>
      <c r="L61" s="5" t="s">
        <v>131</v>
      </c>
      <c r="M61" s="5" t="s">
        <v>675</v>
      </c>
      <c r="N61" s="7">
        <v>46199</v>
      </c>
      <c r="P61" s="5" t="s">
        <v>636</v>
      </c>
      <c r="Q61" s="5" t="s">
        <v>676</v>
      </c>
      <c r="R61" s="5" t="s">
        <v>55</v>
      </c>
      <c r="S61" s="7">
        <v>46197</v>
      </c>
      <c r="T61" s="7">
        <v>46199</v>
      </c>
      <c r="V61" s="5">
        <v>0.7</v>
      </c>
      <c r="W61" s="5">
        <v>1</v>
      </c>
      <c r="X61" s="5">
        <v>0</v>
      </c>
      <c r="Y61" s="5">
        <v>0</v>
      </c>
      <c r="Z61" s="5">
        <v>0</v>
      </c>
      <c r="AA61" s="5">
        <v>0</v>
      </c>
      <c r="AB61" s="5">
        <v>0</v>
      </c>
      <c r="AC61" s="5">
        <v>0</v>
      </c>
      <c r="AD61" s="5">
        <v>0</v>
      </c>
      <c r="AE61" s="5">
        <v>0</v>
      </c>
      <c r="AF61" s="5">
        <v>0</v>
      </c>
      <c r="AG61" s="5">
        <v>0</v>
      </c>
    </row>
    <row r="62" spans="1:33" hidden="1" x14ac:dyDescent="0.25">
      <c r="A62" s="5">
        <v>482</v>
      </c>
      <c r="B62" s="5" t="s">
        <v>700</v>
      </c>
      <c r="C62" s="5" t="s">
        <v>701</v>
      </c>
      <c r="D62" s="5" t="s">
        <v>702</v>
      </c>
      <c r="E62" s="5" t="s">
        <v>703</v>
      </c>
      <c r="F62" s="8">
        <v>46188</v>
      </c>
      <c r="G62" s="8">
        <v>46202</v>
      </c>
      <c r="H62" s="3">
        <v>0.5</v>
      </c>
      <c r="K62" s="5">
        <v>563</v>
      </c>
      <c r="L62" s="5" t="s">
        <v>35</v>
      </c>
      <c r="M62" s="5" t="s">
        <v>62</v>
      </c>
      <c r="N62" s="7">
        <v>46174</v>
      </c>
      <c r="P62" s="5" t="s">
        <v>699</v>
      </c>
      <c r="Q62" s="5" t="s">
        <v>138</v>
      </c>
      <c r="R62" s="5" t="s">
        <v>55</v>
      </c>
      <c r="S62" s="7">
        <v>46164</v>
      </c>
      <c r="T62" s="7">
        <v>46174</v>
      </c>
      <c r="V62" s="5">
        <v>0.5</v>
      </c>
      <c r="W62" s="5">
        <v>0</v>
      </c>
      <c r="X62" s="5">
        <v>0</v>
      </c>
      <c r="Y62" s="5">
        <v>0</v>
      </c>
      <c r="Z62" s="5">
        <v>0</v>
      </c>
      <c r="AA62" s="5">
        <v>0</v>
      </c>
      <c r="AB62" s="5">
        <v>0</v>
      </c>
      <c r="AC62" s="5">
        <v>0</v>
      </c>
      <c r="AD62" s="5">
        <v>0</v>
      </c>
      <c r="AE62" s="5">
        <v>0</v>
      </c>
      <c r="AF62" s="5">
        <v>0</v>
      </c>
      <c r="AG62" s="5">
        <v>0</v>
      </c>
    </row>
    <row r="63" spans="1:33" x14ac:dyDescent="0.25">
      <c r="A63" s="5">
        <v>483</v>
      </c>
      <c r="B63" s="5" t="s">
        <v>704</v>
      </c>
      <c r="C63" s="5" t="s">
        <v>705</v>
      </c>
      <c r="D63" s="5" t="s">
        <v>94</v>
      </c>
      <c r="E63" s="5" t="s">
        <v>628</v>
      </c>
      <c r="F63" s="8">
        <v>46188</v>
      </c>
      <c r="G63" s="8">
        <v>46193</v>
      </c>
      <c r="H63" s="3">
        <v>0.9</v>
      </c>
      <c r="J63" s="5">
        <v>518</v>
      </c>
      <c r="K63" s="5" t="s">
        <v>706</v>
      </c>
      <c r="L63" s="5" t="s">
        <v>35</v>
      </c>
      <c r="M63" s="5" t="s">
        <v>62</v>
      </c>
      <c r="N63" s="7">
        <v>46168</v>
      </c>
      <c r="P63" s="5" t="s">
        <v>699</v>
      </c>
      <c r="Q63" s="5" t="s">
        <v>138</v>
      </c>
      <c r="R63" s="5" t="s">
        <v>55</v>
      </c>
      <c r="S63" s="7">
        <v>46164</v>
      </c>
      <c r="T63" s="7">
        <v>46168</v>
      </c>
      <c r="V63" s="5">
        <v>0.9</v>
      </c>
      <c r="W63" s="5">
        <v>1</v>
      </c>
      <c r="X63" s="5">
        <v>0</v>
      </c>
      <c r="Y63" s="5">
        <v>1</v>
      </c>
      <c r="Z63" s="5">
        <v>0</v>
      </c>
      <c r="AA63" s="5">
        <v>0</v>
      </c>
      <c r="AB63" s="5">
        <v>0</v>
      </c>
      <c r="AC63" s="5">
        <v>0</v>
      </c>
      <c r="AD63" s="5">
        <v>0</v>
      </c>
      <c r="AE63" s="5">
        <v>0</v>
      </c>
      <c r="AF63" s="5">
        <v>0</v>
      </c>
      <c r="AG63" s="5">
        <v>0</v>
      </c>
    </row>
    <row r="64" spans="1:33" hidden="1" x14ac:dyDescent="0.25">
      <c r="A64" s="5">
        <v>484</v>
      </c>
      <c r="B64" s="5" t="s">
        <v>707</v>
      </c>
      <c r="C64" s="5" t="s">
        <v>705</v>
      </c>
      <c r="D64" s="5" t="s">
        <v>98</v>
      </c>
      <c r="E64" s="5" t="s">
        <v>53</v>
      </c>
      <c r="F64" s="8">
        <v>46195</v>
      </c>
      <c r="G64" s="8">
        <v>46195</v>
      </c>
      <c r="H64" s="3">
        <v>0</v>
      </c>
      <c r="J64" s="5">
        <v>483</v>
      </c>
      <c r="K64" s="5">
        <v>485</v>
      </c>
      <c r="L64" s="5" t="s">
        <v>35</v>
      </c>
      <c r="M64" s="5" t="s">
        <v>436</v>
      </c>
      <c r="N64" s="7">
        <v>46169</v>
      </c>
      <c r="P64" s="5" t="s">
        <v>699</v>
      </c>
      <c r="Q64" s="5" t="s">
        <v>146</v>
      </c>
      <c r="R64" s="5" t="s">
        <v>55</v>
      </c>
      <c r="S64" s="7">
        <v>46169</v>
      </c>
      <c r="T64" s="7">
        <v>46169</v>
      </c>
      <c r="V64" s="5">
        <v>0</v>
      </c>
      <c r="W64" s="5">
        <v>0</v>
      </c>
      <c r="X64" s="5">
        <v>0</v>
      </c>
      <c r="Y64" s="5">
        <v>0</v>
      </c>
      <c r="Z64" s="5">
        <v>0</v>
      </c>
      <c r="AA64" s="5">
        <v>0</v>
      </c>
      <c r="AB64" s="5">
        <v>1</v>
      </c>
      <c r="AC64" s="5">
        <v>0</v>
      </c>
      <c r="AD64" s="5">
        <v>0</v>
      </c>
      <c r="AE64" s="5">
        <v>0</v>
      </c>
      <c r="AF64" s="5">
        <v>0</v>
      </c>
      <c r="AG64" s="5">
        <v>0</v>
      </c>
    </row>
    <row r="65" spans="1:33" hidden="1" x14ac:dyDescent="0.25">
      <c r="A65" s="5">
        <v>485</v>
      </c>
      <c r="B65" s="5" t="s">
        <v>708</v>
      </c>
      <c r="C65" s="5" t="s">
        <v>705</v>
      </c>
      <c r="D65" s="5" t="s">
        <v>102</v>
      </c>
      <c r="E65" s="5" t="s">
        <v>121</v>
      </c>
      <c r="F65" s="8">
        <v>46196</v>
      </c>
      <c r="G65" s="8">
        <v>46197</v>
      </c>
      <c r="H65" s="3">
        <v>0</v>
      </c>
      <c r="J65" s="5">
        <v>484</v>
      </c>
      <c r="K65" s="5">
        <v>486</v>
      </c>
      <c r="L65" s="5" t="s">
        <v>35</v>
      </c>
      <c r="M65" s="5" t="s">
        <v>145</v>
      </c>
      <c r="N65" s="7">
        <v>46171</v>
      </c>
      <c r="P65" s="5" t="s">
        <v>699</v>
      </c>
      <c r="Q65" s="5" t="s">
        <v>146</v>
      </c>
      <c r="R65" s="5" t="s">
        <v>55</v>
      </c>
      <c r="S65" s="7">
        <v>46170</v>
      </c>
      <c r="T65" s="7">
        <v>46171</v>
      </c>
      <c r="V65" s="5">
        <v>0</v>
      </c>
      <c r="W65" s="5">
        <v>0</v>
      </c>
      <c r="X65" s="5">
        <v>0</v>
      </c>
      <c r="Y65" s="5">
        <v>0</v>
      </c>
      <c r="Z65" s="5">
        <v>0</v>
      </c>
      <c r="AA65" s="5">
        <v>0</v>
      </c>
      <c r="AB65" s="5">
        <v>0</v>
      </c>
      <c r="AC65" s="5">
        <v>0</v>
      </c>
      <c r="AD65" s="5">
        <v>1</v>
      </c>
      <c r="AE65" s="5">
        <v>0</v>
      </c>
      <c r="AF65" s="5">
        <v>0</v>
      </c>
      <c r="AG65" s="5">
        <v>0</v>
      </c>
    </row>
    <row r="66" spans="1:33" hidden="1" x14ac:dyDescent="0.25">
      <c r="A66" s="5">
        <v>486</v>
      </c>
      <c r="B66" s="5" t="s">
        <v>709</v>
      </c>
      <c r="C66" s="5" t="s">
        <v>705</v>
      </c>
      <c r="D66" s="5" t="s">
        <v>108</v>
      </c>
      <c r="E66" s="5" t="s">
        <v>53</v>
      </c>
      <c r="F66" s="8">
        <v>46202</v>
      </c>
      <c r="G66" s="8">
        <v>46202</v>
      </c>
      <c r="H66" s="3">
        <v>0</v>
      </c>
      <c r="J66" s="5">
        <v>485</v>
      </c>
      <c r="L66" s="5" t="s">
        <v>35</v>
      </c>
      <c r="M66" s="5" t="s">
        <v>648</v>
      </c>
      <c r="N66" s="7">
        <v>46174</v>
      </c>
      <c r="P66" s="5" t="s">
        <v>699</v>
      </c>
      <c r="Q66" s="5" t="s">
        <v>151</v>
      </c>
      <c r="R66" s="5" t="s">
        <v>55</v>
      </c>
      <c r="S66" s="7">
        <v>46174</v>
      </c>
      <c r="T66" s="7">
        <v>46174</v>
      </c>
      <c r="V66" s="5">
        <v>0</v>
      </c>
      <c r="W66" s="5">
        <v>0</v>
      </c>
      <c r="X66" s="5">
        <v>0</v>
      </c>
      <c r="Y66" s="5">
        <v>0</v>
      </c>
      <c r="Z66" s="5">
        <v>1</v>
      </c>
      <c r="AA66" s="5">
        <v>0</v>
      </c>
      <c r="AB66" s="5">
        <v>0</v>
      </c>
      <c r="AC66" s="5">
        <v>0</v>
      </c>
      <c r="AD66" s="5">
        <v>0</v>
      </c>
      <c r="AE66" s="5">
        <v>0</v>
      </c>
      <c r="AF66" s="5">
        <v>1</v>
      </c>
      <c r="AG66" s="5">
        <v>0</v>
      </c>
    </row>
    <row r="67" spans="1:33" x14ac:dyDescent="0.25">
      <c r="A67" s="5">
        <v>488</v>
      </c>
      <c r="B67" s="5" t="s">
        <v>712</v>
      </c>
      <c r="C67" s="5" t="s">
        <v>713</v>
      </c>
      <c r="D67" s="5" t="s">
        <v>94</v>
      </c>
      <c r="E67" s="5" t="s">
        <v>556</v>
      </c>
      <c r="F67" s="8">
        <v>46203</v>
      </c>
      <c r="G67" s="8">
        <v>46206</v>
      </c>
      <c r="H67" s="3">
        <v>0</v>
      </c>
      <c r="K67" s="5">
        <v>489</v>
      </c>
      <c r="L67" s="5" t="s">
        <v>35</v>
      </c>
      <c r="M67" s="5" t="s">
        <v>418</v>
      </c>
      <c r="N67" s="7">
        <v>46198</v>
      </c>
      <c r="P67" s="5" t="s">
        <v>699</v>
      </c>
      <c r="Q67" s="5" t="s">
        <v>146</v>
      </c>
      <c r="R67" s="5" t="s">
        <v>55</v>
      </c>
      <c r="S67" s="7">
        <v>46196</v>
      </c>
      <c r="T67" s="7">
        <v>46198</v>
      </c>
      <c r="V67" s="5">
        <v>0</v>
      </c>
      <c r="W67" s="5">
        <v>1</v>
      </c>
      <c r="X67" s="5">
        <v>0</v>
      </c>
      <c r="Y67" s="5">
        <v>1</v>
      </c>
      <c r="Z67" s="5">
        <v>0</v>
      </c>
      <c r="AA67" s="5">
        <v>0</v>
      </c>
      <c r="AB67" s="5">
        <v>0</v>
      </c>
      <c r="AC67" s="5">
        <v>0</v>
      </c>
      <c r="AD67" s="5">
        <v>0</v>
      </c>
      <c r="AE67" s="5">
        <v>0</v>
      </c>
      <c r="AF67" s="5">
        <v>0</v>
      </c>
      <c r="AG67" s="5">
        <v>0</v>
      </c>
    </row>
    <row r="68" spans="1:33" x14ac:dyDescent="0.25">
      <c r="A68" s="5">
        <v>493</v>
      </c>
      <c r="B68" s="5" t="s">
        <v>719</v>
      </c>
      <c r="C68" s="5" t="s">
        <v>720</v>
      </c>
      <c r="D68" s="5" t="s">
        <v>94</v>
      </c>
      <c r="E68" s="5" t="s">
        <v>556</v>
      </c>
      <c r="F68" s="8">
        <v>46203</v>
      </c>
      <c r="G68" s="8">
        <v>46206</v>
      </c>
      <c r="H68" s="3">
        <v>0</v>
      </c>
      <c r="J68" s="5">
        <v>548</v>
      </c>
      <c r="K68" s="5" t="s">
        <v>721</v>
      </c>
      <c r="L68" s="5" t="s">
        <v>35</v>
      </c>
      <c r="M68" s="5" t="s">
        <v>296</v>
      </c>
      <c r="N68" s="7">
        <v>46190</v>
      </c>
      <c r="P68" s="5" t="s">
        <v>699</v>
      </c>
      <c r="Q68" s="5" t="s">
        <v>146</v>
      </c>
      <c r="R68" s="5" t="s">
        <v>55</v>
      </c>
      <c r="S68" s="7">
        <v>46188</v>
      </c>
      <c r="T68" s="7">
        <v>46190</v>
      </c>
      <c r="V68" s="5">
        <v>0</v>
      </c>
      <c r="W68" s="5">
        <v>1</v>
      </c>
      <c r="X68" s="5">
        <v>0</v>
      </c>
      <c r="Y68" s="5">
        <v>1</v>
      </c>
      <c r="Z68" s="5">
        <v>0</v>
      </c>
      <c r="AA68" s="5">
        <v>0</v>
      </c>
      <c r="AB68" s="5">
        <v>0</v>
      </c>
      <c r="AC68" s="5">
        <v>0</v>
      </c>
      <c r="AD68" s="5">
        <v>0</v>
      </c>
      <c r="AE68" s="5">
        <v>0</v>
      </c>
      <c r="AF68" s="5">
        <v>0</v>
      </c>
      <c r="AG68" s="5">
        <v>0</v>
      </c>
    </row>
    <row r="69" spans="1:33" hidden="1" x14ac:dyDescent="0.25">
      <c r="A69" s="5">
        <v>512</v>
      </c>
      <c r="B69" s="5" t="s">
        <v>734</v>
      </c>
      <c r="C69" s="5" t="s">
        <v>701</v>
      </c>
      <c r="D69" s="5" t="s">
        <v>735</v>
      </c>
      <c r="E69" s="5" t="s">
        <v>287</v>
      </c>
      <c r="F69" s="8">
        <v>46174</v>
      </c>
      <c r="G69" s="8">
        <v>46191</v>
      </c>
      <c r="H69" s="3">
        <v>0.8</v>
      </c>
      <c r="L69" s="5" t="s">
        <v>35</v>
      </c>
      <c r="M69" s="5" t="s">
        <v>187</v>
      </c>
      <c r="N69" s="7">
        <v>46169</v>
      </c>
      <c r="P69" s="5" t="s">
        <v>699</v>
      </c>
      <c r="Q69" s="5" t="s">
        <v>211</v>
      </c>
      <c r="R69" s="5" t="s">
        <v>55</v>
      </c>
      <c r="S69" s="7">
        <v>46162</v>
      </c>
      <c r="T69" s="7">
        <v>46169</v>
      </c>
      <c r="V69" s="5">
        <v>0.8</v>
      </c>
      <c r="W69" s="5">
        <v>0</v>
      </c>
      <c r="X69" s="5">
        <v>0</v>
      </c>
      <c r="Y69" s="5">
        <v>0</v>
      </c>
      <c r="Z69" s="5">
        <v>0</v>
      </c>
      <c r="AA69" s="5">
        <v>0</v>
      </c>
      <c r="AB69" s="5">
        <v>0</v>
      </c>
      <c r="AC69" s="5">
        <v>0</v>
      </c>
      <c r="AD69" s="5">
        <v>0</v>
      </c>
      <c r="AE69" s="5">
        <v>0</v>
      </c>
      <c r="AF69" s="5">
        <v>0</v>
      </c>
      <c r="AG69" s="5">
        <v>0</v>
      </c>
    </row>
    <row r="70" spans="1:33" hidden="1" x14ac:dyDescent="0.25">
      <c r="A70" s="5">
        <v>515</v>
      </c>
      <c r="B70" s="5" t="s">
        <v>740</v>
      </c>
      <c r="C70" s="5" t="s">
        <v>737</v>
      </c>
      <c r="D70" s="5" t="s">
        <v>102</v>
      </c>
      <c r="E70" s="5" t="s">
        <v>121</v>
      </c>
      <c r="F70" s="8">
        <v>46189</v>
      </c>
      <c r="G70" s="8">
        <v>46190</v>
      </c>
      <c r="H70" s="3">
        <v>0.5</v>
      </c>
      <c r="J70" s="5">
        <v>514</v>
      </c>
      <c r="K70" s="5">
        <v>516</v>
      </c>
      <c r="L70" s="5" t="s">
        <v>35</v>
      </c>
      <c r="M70" s="5" t="s">
        <v>137</v>
      </c>
      <c r="N70" s="7">
        <v>46168</v>
      </c>
      <c r="P70" s="5" t="s">
        <v>699</v>
      </c>
      <c r="Q70" s="5" t="s">
        <v>138</v>
      </c>
      <c r="R70" s="5" t="s">
        <v>55</v>
      </c>
      <c r="S70" s="7">
        <v>46167</v>
      </c>
      <c r="T70" s="7">
        <v>46168</v>
      </c>
      <c r="V70" s="5">
        <v>0.5</v>
      </c>
      <c r="W70" s="5">
        <v>0</v>
      </c>
      <c r="X70" s="5">
        <v>0</v>
      </c>
      <c r="Y70" s="5">
        <v>0</v>
      </c>
      <c r="Z70" s="5">
        <v>0</v>
      </c>
      <c r="AA70" s="5">
        <v>0</v>
      </c>
      <c r="AB70" s="5">
        <v>0</v>
      </c>
      <c r="AC70" s="5">
        <v>0</v>
      </c>
      <c r="AD70" s="5">
        <v>1</v>
      </c>
      <c r="AE70" s="5">
        <v>0</v>
      </c>
      <c r="AF70" s="5">
        <v>0</v>
      </c>
      <c r="AG70" s="5">
        <v>0</v>
      </c>
    </row>
    <row r="71" spans="1:33" hidden="1" x14ac:dyDescent="0.25">
      <c r="A71" s="5">
        <v>516</v>
      </c>
      <c r="B71" s="5" t="s">
        <v>741</v>
      </c>
      <c r="C71" s="5" t="s">
        <v>737</v>
      </c>
      <c r="D71" s="5" t="s">
        <v>108</v>
      </c>
      <c r="E71" s="5" t="s">
        <v>53</v>
      </c>
      <c r="F71" s="8">
        <v>46191</v>
      </c>
      <c r="G71" s="8">
        <v>46191</v>
      </c>
      <c r="H71" s="3">
        <v>0</v>
      </c>
      <c r="J71" s="5">
        <v>515</v>
      </c>
      <c r="L71" s="5" t="s">
        <v>35</v>
      </c>
      <c r="M71" s="5" t="s">
        <v>436</v>
      </c>
      <c r="N71" s="7">
        <v>46169</v>
      </c>
      <c r="P71" s="5" t="s">
        <v>699</v>
      </c>
      <c r="Q71" s="5" t="s">
        <v>138</v>
      </c>
      <c r="R71" s="5" t="s">
        <v>55</v>
      </c>
      <c r="S71" s="7">
        <v>46169</v>
      </c>
      <c r="T71" s="7">
        <v>46169</v>
      </c>
      <c r="V71" s="5">
        <v>0</v>
      </c>
      <c r="W71" s="5">
        <v>0</v>
      </c>
      <c r="X71" s="5">
        <v>0</v>
      </c>
      <c r="Y71" s="5">
        <v>0</v>
      </c>
      <c r="Z71" s="5">
        <v>1</v>
      </c>
      <c r="AA71" s="5">
        <v>0</v>
      </c>
      <c r="AB71" s="5">
        <v>0</v>
      </c>
      <c r="AC71" s="5">
        <v>0</v>
      </c>
      <c r="AD71" s="5">
        <v>0</v>
      </c>
      <c r="AE71" s="5">
        <v>0</v>
      </c>
      <c r="AF71" s="5">
        <v>1</v>
      </c>
      <c r="AG71" s="5">
        <v>0</v>
      </c>
    </row>
    <row r="72" spans="1:33" hidden="1" x14ac:dyDescent="0.25">
      <c r="A72" s="5">
        <v>517</v>
      </c>
      <c r="B72" s="5" t="s">
        <v>742</v>
      </c>
      <c r="C72" s="5" t="s">
        <v>701</v>
      </c>
      <c r="D72" s="5" t="s">
        <v>743</v>
      </c>
      <c r="E72" s="5" t="s">
        <v>744</v>
      </c>
      <c r="F72" s="8">
        <v>46176</v>
      </c>
      <c r="G72" s="8">
        <v>46191</v>
      </c>
      <c r="H72" s="3">
        <v>0.8</v>
      </c>
      <c r="L72" s="5" t="s">
        <v>35</v>
      </c>
      <c r="M72" s="5" t="s">
        <v>187</v>
      </c>
      <c r="N72" s="7">
        <v>46169</v>
      </c>
      <c r="P72" s="5" t="s">
        <v>699</v>
      </c>
      <c r="Q72" s="5" t="s">
        <v>211</v>
      </c>
      <c r="R72" s="5" t="s">
        <v>55</v>
      </c>
      <c r="S72" s="7">
        <v>46162</v>
      </c>
      <c r="T72" s="7">
        <v>46169</v>
      </c>
      <c r="V72" s="5">
        <v>0.8</v>
      </c>
      <c r="W72" s="5">
        <v>0</v>
      </c>
      <c r="X72" s="5">
        <v>0</v>
      </c>
      <c r="Y72" s="5">
        <v>0</v>
      </c>
      <c r="Z72" s="5">
        <v>0</v>
      </c>
      <c r="AA72" s="5">
        <v>0</v>
      </c>
      <c r="AB72" s="5">
        <v>0</v>
      </c>
      <c r="AC72" s="5">
        <v>0</v>
      </c>
      <c r="AD72" s="5">
        <v>0</v>
      </c>
      <c r="AE72" s="5">
        <v>0</v>
      </c>
      <c r="AF72" s="5">
        <v>0</v>
      </c>
      <c r="AG72" s="5">
        <v>0</v>
      </c>
    </row>
    <row r="73" spans="1:33" hidden="1" x14ac:dyDescent="0.25">
      <c r="A73" s="5">
        <v>520</v>
      </c>
      <c r="B73" s="5" t="s">
        <v>749</v>
      </c>
      <c r="C73" s="5" t="s">
        <v>746</v>
      </c>
      <c r="D73" s="5" t="s">
        <v>102</v>
      </c>
      <c r="E73" s="5" t="s">
        <v>121</v>
      </c>
      <c r="F73" s="8">
        <v>46189</v>
      </c>
      <c r="G73" s="8">
        <v>46190</v>
      </c>
      <c r="H73" s="3">
        <v>0.5</v>
      </c>
      <c r="J73" s="5">
        <v>519</v>
      </c>
      <c r="K73" s="5">
        <v>521</v>
      </c>
      <c r="L73" s="5" t="s">
        <v>35</v>
      </c>
      <c r="M73" s="5" t="s">
        <v>137</v>
      </c>
      <c r="N73" s="7">
        <v>46168</v>
      </c>
      <c r="P73" s="5" t="s">
        <v>699</v>
      </c>
      <c r="Q73" s="5" t="s">
        <v>138</v>
      </c>
      <c r="R73" s="5" t="s">
        <v>55</v>
      </c>
      <c r="S73" s="7">
        <v>46167</v>
      </c>
      <c r="T73" s="7">
        <v>46168</v>
      </c>
      <c r="V73" s="5">
        <v>0.5</v>
      </c>
      <c r="W73" s="5">
        <v>0</v>
      </c>
      <c r="X73" s="5">
        <v>0</v>
      </c>
      <c r="Y73" s="5">
        <v>0</v>
      </c>
      <c r="Z73" s="5">
        <v>0</v>
      </c>
      <c r="AA73" s="5">
        <v>0</v>
      </c>
      <c r="AB73" s="5">
        <v>0</v>
      </c>
      <c r="AC73" s="5">
        <v>0</v>
      </c>
      <c r="AD73" s="5">
        <v>1</v>
      </c>
      <c r="AE73" s="5">
        <v>0</v>
      </c>
      <c r="AF73" s="5">
        <v>0</v>
      </c>
      <c r="AG73" s="5">
        <v>0</v>
      </c>
    </row>
    <row r="74" spans="1:33" hidden="1" x14ac:dyDescent="0.25">
      <c r="A74" s="5">
        <v>521</v>
      </c>
      <c r="B74" s="5" t="s">
        <v>750</v>
      </c>
      <c r="C74" s="5" t="s">
        <v>746</v>
      </c>
      <c r="D74" s="5" t="s">
        <v>108</v>
      </c>
      <c r="E74" s="5" t="s">
        <v>53</v>
      </c>
      <c r="F74" s="8">
        <v>46191</v>
      </c>
      <c r="G74" s="8">
        <v>46191</v>
      </c>
      <c r="H74" s="3">
        <v>0</v>
      </c>
      <c r="J74" s="5">
        <v>520</v>
      </c>
      <c r="L74" s="5" t="s">
        <v>35</v>
      </c>
      <c r="M74" s="5" t="s">
        <v>436</v>
      </c>
      <c r="N74" s="7">
        <v>46169</v>
      </c>
      <c r="P74" s="5" t="s">
        <v>699</v>
      </c>
      <c r="Q74" s="5" t="s">
        <v>138</v>
      </c>
      <c r="R74" s="5" t="s">
        <v>55</v>
      </c>
      <c r="S74" s="7">
        <v>46169</v>
      </c>
      <c r="T74" s="7">
        <v>46169</v>
      </c>
      <c r="V74" s="5">
        <v>0</v>
      </c>
      <c r="W74" s="5">
        <v>0</v>
      </c>
      <c r="X74" s="5">
        <v>0</v>
      </c>
      <c r="Y74" s="5">
        <v>0</v>
      </c>
      <c r="Z74" s="5">
        <v>1</v>
      </c>
      <c r="AA74" s="5">
        <v>0</v>
      </c>
      <c r="AB74" s="5">
        <v>0</v>
      </c>
      <c r="AC74" s="5">
        <v>0</v>
      </c>
      <c r="AD74" s="5">
        <v>0</v>
      </c>
      <c r="AE74" s="5">
        <v>0</v>
      </c>
      <c r="AF74" s="5">
        <v>1</v>
      </c>
      <c r="AG74" s="5">
        <v>0</v>
      </c>
    </row>
    <row r="75" spans="1:33" hidden="1" x14ac:dyDescent="0.25">
      <c r="A75" s="5">
        <v>522</v>
      </c>
      <c r="B75" s="5" t="s">
        <v>751</v>
      </c>
      <c r="C75" s="5" t="s">
        <v>701</v>
      </c>
      <c r="D75" s="5" t="s">
        <v>752</v>
      </c>
      <c r="E75" s="5" t="s">
        <v>744</v>
      </c>
      <c r="F75" s="8">
        <v>46176</v>
      </c>
      <c r="G75" s="8">
        <v>46191</v>
      </c>
      <c r="H75" s="3">
        <v>0.8</v>
      </c>
      <c r="L75" s="5" t="s">
        <v>35</v>
      </c>
      <c r="M75" s="5" t="s">
        <v>187</v>
      </c>
      <c r="N75" s="7">
        <v>46169</v>
      </c>
      <c r="P75" s="5" t="s">
        <v>699</v>
      </c>
      <c r="Q75" s="5" t="s">
        <v>211</v>
      </c>
      <c r="R75" s="5" t="s">
        <v>55</v>
      </c>
      <c r="S75" s="7">
        <v>46162</v>
      </c>
      <c r="T75" s="7">
        <v>46169</v>
      </c>
      <c r="V75" s="5">
        <v>0.8</v>
      </c>
      <c r="W75" s="5">
        <v>0</v>
      </c>
      <c r="X75" s="5">
        <v>0</v>
      </c>
      <c r="Y75" s="5">
        <v>0</v>
      </c>
      <c r="Z75" s="5">
        <v>0</v>
      </c>
      <c r="AA75" s="5">
        <v>0</v>
      </c>
      <c r="AB75" s="5">
        <v>0</v>
      </c>
      <c r="AC75" s="5">
        <v>0</v>
      </c>
      <c r="AD75" s="5">
        <v>0</v>
      </c>
      <c r="AE75" s="5">
        <v>0</v>
      </c>
      <c r="AF75" s="5">
        <v>0</v>
      </c>
      <c r="AG75" s="5">
        <v>0</v>
      </c>
    </row>
    <row r="76" spans="1:33" hidden="1" x14ac:dyDescent="0.25">
      <c r="A76" s="5">
        <v>525</v>
      </c>
      <c r="B76" s="5" t="s">
        <v>756</v>
      </c>
      <c r="C76" s="5" t="s">
        <v>754</v>
      </c>
      <c r="D76" s="5" t="s">
        <v>102</v>
      </c>
      <c r="E76" s="5" t="s">
        <v>121</v>
      </c>
      <c r="F76" s="8">
        <v>46189</v>
      </c>
      <c r="G76" s="8">
        <v>46190</v>
      </c>
      <c r="H76" s="3">
        <v>0.5</v>
      </c>
      <c r="J76" s="5">
        <v>524</v>
      </c>
      <c r="K76" s="5">
        <v>526</v>
      </c>
      <c r="L76" s="5" t="s">
        <v>35</v>
      </c>
      <c r="M76" s="5" t="s">
        <v>137</v>
      </c>
      <c r="N76" s="7">
        <v>46168</v>
      </c>
      <c r="P76" s="5" t="s">
        <v>699</v>
      </c>
      <c r="Q76" s="5" t="s">
        <v>138</v>
      </c>
      <c r="R76" s="5" t="s">
        <v>55</v>
      </c>
      <c r="S76" s="7">
        <v>46167</v>
      </c>
      <c r="T76" s="7">
        <v>46168</v>
      </c>
      <c r="V76" s="5">
        <v>0.5</v>
      </c>
      <c r="W76" s="5">
        <v>0</v>
      </c>
      <c r="X76" s="5">
        <v>0</v>
      </c>
      <c r="Y76" s="5">
        <v>0</v>
      </c>
      <c r="Z76" s="5">
        <v>0</v>
      </c>
      <c r="AA76" s="5">
        <v>0</v>
      </c>
      <c r="AB76" s="5">
        <v>0</v>
      </c>
      <c r="AC76" s="5">
        <v>0</v>
      </c>
      <c r="AD76" s="5">
        <v>1</v>
      </c>
      <c r="AE76" s="5">
        <v>0</v>
      </c>
      <c r="AF76" s="5">
        <v>0</v>
      </c>
      <c r="AG76" s="5">
        <v>0</v>
      </c>
    </row>
    <row r="77" spans="1:33" hidden="1" x14ac:dyDescent="0.25">
      <c r="A77" s="5">
        <v>526</v>
      </c>
      <c r="B77" s="5" t="s">
        <v>757</v>
      </c>
      <c r="C77" s="5" t="s">
        <v>754</v>
      </c>
      <c r="D77" s="5" t="s">
        <v>108</v>
      </c>
      <c r="E77" s="5" t="s">
        <v>53</v>
      </c>
      <c r="F77" s="8">
        <v>46191</v>
      </c>
      <c r="G77" s="8">
        <v>46191</v>
      </c>
      <c r="H77" s="3">
        <v>0</v>
      </c>
      <c r="J77" s="5">
        <v>525</v>
      </c>
      <c r="L77" s="5" t="s">
        <v>35</v>
      </c>
      <c r="M77" s="5" t="s">
        <v>436</v>
      </c>
      <c r="N77" s="7">
        <v>46169</v>
      </c>
      <c r="P77" s="5" t="s">
        <v>699</v>
      </c>
      <c r="Q77" s="5" t="s">
        <v>138</v>
      </c>
      <c r="R77" s="5" t="s">
        <v>55</v>
      </c>
      <c r="S77" s="7">
        <v>46169</v>
      </c>
      <c r="T77" s="7">
        <v>46169</v>
      </c>
      <c r="V77" s="5">
        <v>0</v>
      </c>
      <c r="W77" s="5">
        <v>0</v>
      </c>
      <c r="X77" s="5">
        <v>0</v>
      </c>
      <c r="Y77" s="5">
        <v>0</v>
      </c>
      <c r="Z77" s="5">
        <v>1</v>
      </c>
      <c r="AA77" s="5">
        <v>0</v>
      </c>
      <c r="AB77" s="5">
        <v>0</v>
      </c>
      <c r="AC77" s="5">
        <v>0</v>
      </c>
      <c r="AD77" s="5">
        <v>0</v>
      </c>
      <c r="AE77" s="5">
        <v>0</v>
      </c>
      <c r="AF77" s="5">
        <v>1</v>
      </c>
      <c r="AG77" s="5">
        <v>0</v>
      </c>
    </row>
    <row r="78" spans="1:33" hidden="1" x14ac:dyDescent="0.25">
      <c r="A78" s="5">
        <v>527</v>
      </c>
      <c r="B78" s="5" t="s">
        <v>758</v>
      </c>
      <c r="C78" s="5" t="s">
        <v>701</v>
      </c>
      <c r="D78" s="5" t="s">
        <v>759</v>
      </c>
      <c r="E78" s="5" t="s">
        <v>744</v>
      </c>
      <c r="F78" s="8">
        <v>46195</v>
      </c>
      <c r="G78" s="8">
        <v>46206</v>
      </c>
      <c r="H78" s="3">
        <v>0.56000000000000005</v>
      </c>
      <c r="L78" s="5" t="s">
        <v>35</v>
      </c>
      <c r="M78" s="5" t="s">
        <v>436</v>
      </c>
      <c r="N78" s="7">
        <v>46188</v>
      </c>
      <c r="P78" s="5" t="s">
        <v>699</v>
      </c>
      <c r="Q78" s="5" t="s">
        <v>146</v>
      </c>
      <c r="R78" s="5" t="s">
        <v>55</v>
      </c>
      <c r="S78" s="7">
        <v>46169</v>
      </c>
      <c r="T78" s="7">
        <v>46188</v>
      </c>
      <c r="V78" s="5">
        <v>0.56000000000000005</v>
      </c>
      <c r="W78" s="5">
        <v>0</v>
      </c>
      <c r="X78" s="5">
        <v>0</v>
      </c>
      <c r="Y78" s="5">
        <v>0</v>
      </c>
      <c r="Z78" s="5">
        <v>0</v>
      </c>
      <c r="AA78" s="5">
        <v>0</v>
      </c>
      <c r="AB78" s="5">
        <v>0</v>
      </c>
      <c r="AC78" s="5">
        <v>0</v>
      </c>
      <c r="AD78" s="5">
        <v>0</v>
      </c>
      <c r="AE78" s="5">
        <v>0</v>
      </c>
      <c r="AF78" s="5">
        <v>0</v>
      </c>
      <c r="AG78" s="5">
        <v>0</v>
      </c>
    </row>
    <row r="79" spans="1:33" hidden="1" x14ac:dyDescent="0.25">
      <c r="A79" s="5">
        <v>529</v>
      </c>
      <c r="B79" s="5" t="s">
        <v>762</v>
      </c>
      <c r="C79" s="5" t="s">
        <v>761</v>
      </c>
      <c r="D79" s="5" t="s">
        <v>98</v>
      </c>
      <c r="E79" s="5" t="s">
        <v>53</v>
      </c>
      <c r="F79" s="8">
        <v>46199</v>
      </c>
      <c r="G79" s="8">
        <v>46199</v>
      </c>
      <c r="H79" s="3">
        <v>0.5</v>
      </c>
      <c r="J79" s="5">
        <v>528</v>
      </c>
      <c r="K79" s="5">
        <v>530</v>
      </c>
      <c r="L79" s="5" t="s">
        <v>35</v>
      </c>
      <c r="M79" s="5" t="s">
        <v>292</v>
      </c>
      <c r="N79" s="7">
        <v>46183</v>
      </c>
      <c r="P79" s="5" t="s">
        <v>699</v>
      </c>
      <c r="Q79" s="5" t="s">
        <v>151</v>
      </c>
      <c r="R79" s="5" t="s">
        <v>55</v>
      </c>
      <c r="S79" s="7">
        <v>46183</v>
      </c>
      <c r="T79" s="7">
        <v>46183</v>
      </c>
      <c r="V79" s="5">
        <v>0.5</v>
      </c>
      <c r="W79" s="5">
        <v>0</v>
      </c>
      <c r="X79" s="5">
        <v>0</v>
      </c>
      <c r="Y79" s="5">
        <v>0</v>
      </c>
      <c r="Z79" s="5">
        <v>0</v>
      </c>
      <c r="AA79" s="5">
        <v>0</v>
      </c>
      <c r="AB79" s="5">
        <v>1</v>
      </c>
      <c r="AC79" s="5">
        <v>0</v>
      </c>
      <c r="AD79" s="5">
        <v>0</v>
      </c>
      <c r="AE79" s="5">
        <v>0</v>
      </c>
      <c r="AF79" s="5">
        <v>0</v>
      </c>
      <c r="AG79" s="5">
        <v>0</v>
      </c>
    </row>
    <row r="80" spans="1:33" hidden="1" x14ac:dyDescent="0.25">
      <c r="A80" s="5">
        <v>530</v>
      </c>
      <c r="B80" s="5" t="s">
        <v>763</v>
      </c>
      <c r="C80" s="5" t="s">
        <v>761</v>
      </c>
      <c r="D80" s="5" t="s">
        <v>102</v>
      </c>
      <c r="E80" s="5" t="s">
        <v>121</v>
      </c>
      <c r="F80" s="8">
        <v>46202</v>
      </c>
      <c r="G80" s="8">
        <v>46203</v>
      </c>
      <c r="H80" s="3">
        <v>0</v>
      </c>
      <c r="J80" s="5">
        <v>529</v>
      </c>
      <c r="K80" s="5">
        <v>531</v>
      </c>
      <c r="L80" s="5" t="s">
        <v>35</v>
      </c>
      <c r="M80" s="5" t="s">
        <v>294</v>
      </c>
      <c r="N80" s="7">
        <v>46185</v>
      </c>
      <c r="P80" s="5" t="s">
        <v>699</v>
      </c>
      <c r="Q80" s="5" t="s">
        <v>151</v>
      </c>
      <c r="R80" s="5" t="s">
        <v>55</v>
      </c>
      <c r="S80" s="7">
        <v>46184</v>
      </c>
      <c r="T80" s="7">
        <v>46185</v>
      </c>
      <c r="V80" s="5">
        <v>0</v>
      </c>
      <c r="W80" s="5">
        <v>0</v>
      </c>
      <c r="X80" s="5">
        <v>0</v>
      </c>
      <c r="Y80" s="5">
        <v>0</v>
      </c>
      <c r="Z80" s="5">
        <v>0</v>
      </c>
      <c r="AA80" s="5">
        <v>0</v>
      </c>
      <c r="AB80" s="5">
        <v>0</v>
      </c>
      <c r="AC80" s="5">
        <v>0</v>
      </c>
      <c r="AD80" s="5">
        <v>1</v>
      </c>
      <c r="AE80" s="5">
        <v>0</v>
      </c>
      <c r="AF80" s="5">
        <v>0</v>
      </c>
      <c r="AG80" s="5">
        <v>0</v>
      </c>
    </row>
    <row r="81" spans="1:33" hidden="1" x14ac:dyDescent="0.25">
      <c r="A81" s="5">
        <v>531</v>
      </c>
      <c r="B81" s="5" t="s">
        <v>764</v>
      </c>
      <c r="C81" s="5" t="s">
        <v>761</v>
      </c>
      <c r="D81" s="5" t="s">
        <v>108</v>
      </c>
      <c r="E81" s="5" t="s">
        <v>53</v>
      </c>
      <c r="F81" s="8">
        <v>46206</v>
      </c>
      <c r="G81" s="8">
        <v>46206</v>
      </c>
      <c r="H81" s="3">
        <v>0</v>
      </c>
      <c r="J81" s="5">
        <v>530</v>
      </c>
      <c r="L81" s="5" t="s">
        <v>131</v>
      </c>
      <c r="M81" s="5" t="s">
        <v>296</v>
      </c>
      <c r="N81" s="7">
        <v>46188</v>
      </c>
      <c r="P81" s="5" t="s">
        <v>699</v>
      </c>
      <c r="Q81" s="5" t="s">
        <v>151</v>
      </c>
      <c r="R81" s="5" t="s">
        <v>55</v>
      </c>
      <c r="S81" s="7">
        <v>46188</v>
      </c>
      <c r="T81" s="7">
        <v>46188</v>
      </c>
      <c r="V81" s="5">
        <v>0</v>
      </c>
      <c r="W81" s="5">
        <v>0</v>
      </c>
      <c r="X81" s="5">
        <v>0</v>
      </c>
      <c r="Y81" s="5">
        <v>0</v>
      </c>
      <c r="Z81" s="5">
        <v>1</v>
      </c>
      <c r="AA81" s="5">
        <v>0</v>
      </c>
      <c r="AB81" s="5">
        <v>0</v>
      </c>
      <c r="AC81" s="5">
        <v>0</v>
      </c>
      <c r="AD81" s="5">
        <v>0</v>
      </c>
      <c r="AE81" s="5">
        <v>0</v>
      </c>
      <c r="AF81" s="5">
        <v>0</v>
      </c>
      <c r="AG81" s="5">
        <v>0</v>
      </c>
    </row>
    <row r="82" spans="1:33" hidden="1" x14ac:dyDescent="0.25">
      <c r="A82" s="5">
        <v>532</v>
      </c>
      <c r="B82" s="5" t="s">
        <v>765</v>
      </c>
      <c r="C82" s="5" t="s">
        <v>701</v>
      </c>
      <c r="D82" s="5" t="s">
        <v>766</v>
      </c>
      <c r="E82" s="5" t="s">
        <v>744</v>
      </c>
      <c r="F82" s="8">
        <v>46192</v>
      </c>
      <c r="G82" s="8">
        <v>46205</v>
      </c>
      <c r="H82" s="3">
        <v>0.56000000000000005</v>
      </c>
      <c r="L82" s="5" t="s">
        <v>35</v>
      </c>
      <c r="M82" s="5" t="s">
        <v>436</v>
      </c>
      <c r="N82" s="7">
        <v>46188</v>
      </c>
      <c r="P82" s="5" t="s">
        <v>699</v>
      </c>
      <c r="Q82" s="5" t="s">
        <v>138</v>
      </c>
      <c r="R82" s="5" t="s">
        <v>55</v>
      </c>
      <c r="S82" s="7">
        <v>46169</v>
      </c>
      <c r="T82" s="7">
        <v>46188</v>
      </c>
      <c r="V82" s="5">
        <v>0.56000000000000005</v>
      </c>
      <c r="W82" s="5">
        <v>0</v>
      </c>
      <c r="X82" s="5">
        <v>0</v>
      </c>
      <c r="Y82" s="5">
        <v>0</v>
      </c>
      <c r="Z82" s="5">
        <v>0</v>
      </c>
      <c r="AA82" s="5">
        <v>0</v>
      </c>
      <c r="AB82" s="5">
        <v>0</v>
      </c>
      <c r="AC82" s="5">
        <v>0</v>
      </c>
      <c r="AD82" s="5">
        <v>0</v>
      </c>
      <c r="AE82" s="5">
        <v>0</v>
      </c>
      <c r="AF82" s="5">
        <v>0</v>
      </c>
      <c r="AG82" s="5">
        <v>0</v>
      </c>
    </row>
    <row r="83" spans="1:33" hidden="1" x14ac:dyDescent="0.25">
      <c r="A83" s="5">
        <v>534</v>
      </c>
      <c r="B83" s="5" t="s">
        <v>769</v>
      </c>
      <c r="C83" s="5" t="s">
        <v>768</v>
      </c>
      <c r="D83" s="5" t="s">
        <v>98</v>
      </c>
      <c r="E83" s="5" t="s">
        <v>53</v>
      </c>
      <c r="F83" s="8">
        <v>46198</v>
      </c>
      <c r="G83" s="8">
        <v>46198</v>
      </c>
      <c r="H83" s="3">
        <v>0.5</v>
      </c>
      <c r="J83" s="5">
        <v>533</v>
      </c>
      <c r="K83" s="5">
        <v>535</v>
      </c>
      <c r="L83" s="5" t="s">
        <v>35</v>
      </c>
      <c r="M83" s="5" t="s">
        <v>292</v>
      </c>
      <c r="N83" s="7">
        <v>46183</v>
      </c>
      <c r="P83" s="5" t="s">
        <v>699</v>
      </c>
      <c r="Q83" s="5" t="s">
        <v>146</v>
      </c>
      <c r="R83" s="5" t="s">
        <v>55</v>
      </c>
      <c r="S83" s="7">
        <v>46183</v>
      </c>
      <c r="T83" s="7">
        <v>46183</v>
      </c>
      <c r="V83" s="5">
        <v>0.5</v>
      </c>
      <c r="W83" s="5">
        <v>0</v>
      </c>
      <c r="X83" s="5">
        <v>0</v>
      </c>
      <c r="Y83" s="5">
        <v>0</v>
      </c>
      <c r="Z83" s="5">
        <v>0</v>
      </c>
      <c r="AA83" s="5">
        <v>0</v>
      </c>
      <c r="AB83" s="5">
        <v>1</v>
      </c>
      <c r="AC83" s="5">
        <v>0</v>
      </c>
      <c r="AD83" s="5">
        <v>0</v>
      </c>
      <c r="AE83" s="5">
        <v>0</v>
      </c>
      <c r="AF83" s="5">
        <v>0</v>
      </c>
      <c r="AG83" s="5">
        <v>0</v>
      </c>
    </row>
    <row r="84" spans="1:33" hidden="1" x14ac:dyDescent="0.25">
      <c r="A84" s="5">
        <v>535</v>
      </c>
      <c r="B84" s="5" t="s">
        <v>770</v>
      </c>
      <c r="C84" s="5" t="s">
        <v>768</v>
      </c>
      <c r="D84" s="5" t="s">
        <v>102</v>
      </c>
      <c r="E84" s="5" t="s">
        <v>121</v>
      </c>
      <c r="F84" s="8">
        <v>46199</v>
      </c>
      <c r="G84" s="8">
        <v>46202</v>
      </c>
      <c r="H84" s="3">
        <v>0</v>
      </c>
      <c r="J84" s="5">
        <v>534</v>
      </c>
      <c r="K84" s="5">
        <v>536</v>
      </c>
      <c r="L84" s="5" t="s">
        <v>35</v>
      </c>
      <c r="M84" s="5" t="s">
        <v>294</v>
      </c>
      <c r="N84" s="7">
        <v>46185</v>
      </c>
      <c r="P84" s="5" t="s">
        <v>699</v>
      </c>
      <c r="Q84" s="5" t="s">
        <v>146</v>
      </c>
      <c r="R84" s="5" t="s">
        <v>55</v>
      </c>
      <c r="S84" s="7">
        <v>46184</v>
      </c>
      <c r="T84" s="7">
        <v>46185</v>
      </c>
      <c r="V84" s="5">
        <v>0</v>
      </c>
      <c r="W84" s="5">
        <v>0</v>
      </c>
      <c r="X84" s="5">
        <v>0</v>
      </c>
      <c r="Y84" s="5">
        <v>0</v>
      </c>
      <c r="Z84" s="5">
        <v>0</v>
      </c>
      <c r="AA84" s="5">
        <v>0</v>
      </c>
      <c r="AB84" s="5">
        <v>0</v>
      </c>
      <c r="AC84" s="5">
        <v>0</v>
      </c>
      <c r="AD84" s="5">
        <v>1</v>
      </c>
      <c r="AE84" s="5">
        <v>0</v>
      </c>
      <c r="AF84" s="5">
        <v>0</v>
      </c>
      <c r="AG84" s="5">
        <v>0</v>
      </c>
    </row>
    <row r="85" spans="1:33" hidden="1" x14ac:dyDescent="0.25">
      <c r="A85" s="5">
        <v>536</v>
      </c>
      <c r="B85" s="5" t="s">
        <v>771</v>
      </c>
      <c r="C85" s="5" t="s">
        <v>768</v>
      </c>
      <c r="D85" s="5" t="s">
        <v>108</v>
      </c>
      <c r="E85" s="5" t="s">
        <v>53</v>
      </c>
      <c r="F85" s="8">
        <v>46205</v>
      </c>
      <c r="G85" s="8">
        <v>46205</v>
      </c>
      <c r="H85" s="3">
        <v>0</v>
      </c>
      <c r="J85" s="5">
        <v>535</v>
      </c>
      <c r="L85" s="5" t="s">
        <v>35</v>
      </c>
      <c r="M85" s="5" t="s">
        <v>296</v>
      </c>
      <c r="N85" s="7">
        <v>46188</v>
      </c>
      <c r="P85" s="5" t="s">
        <v>699</v>
      </c>
      <c r="Q85" s="5" t="s">
        <v>151</v>
      </c>
      <c r="R85" s="5" t="s">
        <v>55</v>
      </c>
      <c r="S85" s="7">
        <v>46188</v>
      </c>
      <c r="T85" s="7">
        <v>46188</v>
      </c>
      <c r="V85" s="5">
        <v>0</v>
      </c>
      <c r="W85" s="5">
        <v>0</v>
      </c>
      <c r="X85" s="5">
        <v>0</v>
      </c>
      <c r="Y85" s="5">
        <v>0</v>
      </c>
      <c r="Z85" s="5">
        <v>1</v>
      </c>
      <c r="AA85" s="5">
        <v>0</v>
      </c>
      <c r="AB85" s="5">
        <v>0</v>
      </c>
      <c r="AC85" s="5">
        <v>0</v>
      </c>
      <c r="AD85" s="5">
        <v>0</v>
      </c>
      <c r="AE85" s="5">
        <v>0</v>
      </c>
      <c r="AF85" s="5">
        <v>1</v>
      </c>
      <c r="AG85" s="5">
        <v>0</v>
      </c>
    </row>
    <row r="86" spans="1:33" hidden="1" x14ac:dyDescent="0.25">
      <c r="A86" s="5">
        <v>537</v>
      </c>
      <c r="B86" s="5" t="s">
        <v>772</v>
      </c>
      <c r="C86" s="5" t="s">
        <v>701</v>
      </c>
      <c r="D86" s="5" t="s">
        <v>773</v>
      </c>
      <c r="E86" s="5" t="s">
        <v>136</v>
      </c>
      <c r="F86" s="8">
        <v>46197</v>
      </c>
      <c r="G86" s="8">
        <v>46205</v>
      </c>
      <c r="H86" s="3">
        <v>0.5</v>
      </c>
      <c r="L86" s="5" t="s">
        <v>35</v>
      </c>
      <c r="M86" s="5" t="s">
        <v>436</v>
      </c>
      <c r="N86" s="7">
        <v>46188</v>
      </c>
      <c r="P86" s="5" t="s">
        <v>699</v>
      </c>
      <c r="Q86" s="5" t="s">
        <v>146</v>
      </c>
      <c r="R86" s="5" t="s">
        <v>55</v>
      </c>
      <c r="S86" s="7">
        <v>46169</v>
      </c>
      <c r="T86" s="7">
        <v>46188</v>
      </c>
      <c r="V86" s="5">
        <v>0.5</v>
      </c>
      <c r="W86" s="5">
        <v>0</v>
      </c>
      <c r="X86" s="5">
        <v>0</v>
      </c>
      <c r="Y86" s="5">
        <v>0</v>
      </c>
      <c r="Z86" s="5">
        <v>0</v>
      </c>
      <c r="AA86" s="5">
        <v>0</v>
      </c>
      <c r="AB86" s="5">
        <v>0</v>
      </c>
      <c r="AC86" s="5">
        <v>0</v>
      </c>
      <c r="AD86" s="5">
        <v>0</v>
      </c>
      <c r="AE86" s="5">
        <v>0</v>
      </c>
      <c r="AF86" s="5">
        <v>0</v>
      </c>
      <c r="AG86" s="5">
        <v>0</v>
      </c>
    </row>
    <row r="87" spans="1:33" hidden="1" x14ac:dyDescent="0.25">
      <c r="A87" s="5">
        <v>539</v>
      </c>
      <c r="B87" s="5" t="s">
        <v>776</v>
      </c>
      <c r="C87" s="5" t="s">
        <v>775</v>
      </c>
      <c r="D87" s="5" t="s">
        <v>98</v>
      </c>
      <c r="E87" s="5" t="s">
        <v>53</v>
      </c>
      <c r="F87" s="8">
        <v>46202</v>
      </c>
      <c r="G87" s="8">
        <v>46202</v>
      </c>
      <c r="H87" s="3">
        <v>0.5</v>
      </c>
      <c r="J87" s="5">
        <v>538</v>
      </c>
      <c r="K87" s="5">
        <v>540</v>
      </c>
      <c r="L87" s="5" t="s">
        <v>35</v>
      </c>
      <c r="M87" s="5" t="s">
        <v>292</v>
      </c>
      <c r="N87" s="7">
        <v>46183</v>
      </c>
      <c r="P87" s="5" t="s">
        <v>699</v>
      </c>
      <c r="Q87" s="5" t="s">
        <v>151</v>
      </c>
      <c r="R87" s="5" t="s">
        <v>55</v>
      </c>
      <c r="S87" s="7">
        <v>46183</v>
      </c>
      <c r="T87" s="7">
        <v>46183</v>
      </c>
      <c r="V87" s="5">
        <v>0.5</v>
      </c>
      <c r="W87" s="5">
        <v>0</v>
      </c>
      <c r="X87" s="5">
        <v>0</v>
      </c>
      <c r="Y87" s="5">
        <v>0</v>
      </c>
      <c r="Z87" s="5">
        <v>0</v>
      </c>
      <c r="AA87" s="5">
        <v>0</v>
      </c>
      <c r="AB87" s="5">
        <v>1</v>
      </c>
      <c r="AC87" s="5">
        <v>0</v>
      </c>
      <c r="AD87" s="5">
        <v>0</v>
      </c>
      <c r="AE87" s="5">
        <v>0</v>
      </c>
      <c r="AF87" s="5">
        <v>0</v>
      </c>
      <c r="AG87" s="5">
        <v>0</v>
      </c>
    </row>
    <row r="88" spans="1:33" hidden="1" x14ac:dyDescent="0.25">
      <c r="A88" s="5">
        <v>540</v>
      </c>
      <c r="B88" s="5" t="s">
        <v>777</v>
      </c>
      <c r="C88" s="5" t="s">
        <v>775</v>
      </c>
      <c r="D88" s="5" t="s">
        <v>102</v>
      </c>
      <c r="E88" s="5" t="s">
        <v>121</v>
      </c>
      <c r="F88" s="8">
        <v>46203</v>
      </c>
      <c r="G88" s="8">
        <v>46204</v>
      </c>
      <c r="H88" s="3">
        <v>0</v>
      </c>
      <c r="J88" s="5">
        <v>539</v>
      </c>
      <c r="K88" s="5">
        <v>541</v>
      </c>
      <c r="L88" s="5" t="s">
        <v>35</v>
      </c>
      <c r="M88" s="5" t="s">
        <v>294</v>
      </c>
      <c r="N88" s="7">
        <v>46185</v>
      </c>
      <c r="P88" s="5" t="s">
        <v>699</v>
      </c>
      <c r="Q88" s="5" t="s">
        <v>151</v>
      </c>
      <c r="R88" s="5" t="s">
        <v>55</v>
      </c>
      <c r="S88" s="7">
        <v>46184</v>
      </c>
      <c r="T88" s="7">
        <v>46185</v>
      </c>
      <c r="V88" s="5">
        <v>0</v>
      </c>
      <c r="W88" s="5">
        <v>0</v>
      </c>
      <c r="X88" s="5">
        <v>0</v>
      </c>
      <c r="Y88" s="5">
        <v>0</v>
      </c>
      <c r="Z88" s="5">
        <v>0</v>
      </c>
      <c r="AA88" s="5">
        <v>0</v>
      </c>
      <c r="AB88" s="5">
        <v>0</v>
      </c>
      <c r="AC88" s="5">
        <v>0</v>
      </c>
      <c r="AD88" s="5">
        <v>1</v>
      </c>
      <c r="AE88" s="5">
        <v>0</v>
      </c>
      <c r="AF88" s="5">
        <v>0</v>
      </c>
      <c r="AG88" s="5">
        <v>0</v>
      </c>
    </row>
    <row r="89" spans="1:33" hidden="1" x14ac:dyDescent="0.25">
      <c r="A89" s="5">
        <v>541</v>
      </c>
      <c r="B89" s="5" t="s">
        <v>778</v>
      </c>
      <c r="C89" s="5" t="s">
        <v>775</v>
      </c>
      <c r="D89" s="5" t="s">
        <v>108</v>
      </c>
      <c r="E89" s="5" t="s">
        <v>53</v>
      </c>
      <c r="F89" s="8">
        <v>46205</v>
      </c>
      <c r="G89" s="8">
        <v>46205</v>
      </c>
      <c r="H89" s="3">
        <v>0</v>
      </c>
      <c r="J89" s="5">
        <v>540</v>
      </c>
      <c r="L89" s="5" t="s">
        <v>35</v>
      </c>
      <c r="M89" s="5" t="s">
        <v>296</v>
      </c>
      <c r="N89" s="7">
        <v>46188</v>
      </c>
      <c r="P89" s="5" t="s">
        <v>699</v>
      </c>
      <c r="Q89" s="5" t="s">
        <v>151</v>
      </c>
      <c r="R89" s="5" t="s">
        <v>55</v>
      </c>
      <c r="S89" s="7">
        <v>46188</v>
      </c>
      <c r="T89" s="7">
        <v>46188</v>
      </c>
      <c r="V89" s="5">
        <v>0</v>
      </c>
      <c r="W89" s="5">
        <v>0</v>
      </c>
      <c r="X89" s="5">
        <v>0</v>
      </c>
      <c r="Y89" s="5">
        <v>0</v>
      </c>
      <c r="Z89" s="5">
        <v>1</v>
      </c>
      <c r="AA89" s="5">
        <v>0</v>
      </c>
      <c r="AB89" s="5">
        <v>0</v>
      </c>
      <c r="AC89" s="5">
        <v>0</v>
      </c>
      <c r="AD89" s="5">
        <v>0</v>
      </c>
      <c r="AE89" s="5">
        <v>0</v>
      </c>
      <c r="AF89" s="5">
        <v>1</v>
      </c>
      <c r="AG89" s="5">
        <v>0</v>
      </c>
    </row>
    <row r="90" spans="1:33" hidden="1" x14ac:dyDescent="0.25">
      <c r="A90" s="5">
        <v>542</v>
      </c>
      <c r="B90" s="5" t="s">
        <v>779</v>
      </c>
      <c r="C90" s="5" t="s">
        <v>701</v>
      </c>
      <c r="D90" s="5" t="s">
        <v>780</v>
      </c>
      <c r="E90" s="5" t="s">
        <v>625</v>
      </c>
      <c r="F90" s="8">
        <v>46192</v>
      </c>
      <c r="G90" s="8">
        <v>46203</v>
      </c>
      <c r="H90" s="3">
        <v>0.56000000000000005</v>
      </c>
      <c r="L90" s="5" t="s">
        <v>35</v>
      </c>
      <c r="M90" s="5" t="s">
        <v>436</v>
      </c>
      <c r="N90" s="7">
        <v>46188</v>
      </c>
      <c r="P90" s="5" t="s">
        <v>699</v>
      </c>
      <c r="Q90" s="5" t="s">
        <v>138</v>
      </c>
      <c r="R90" s="5" t="s">
        <v>55</v>
      </c>
      <c r="S90" s="7">
        <v>46169</v>
      </c>
      <c r="T90" s="7">
        <v>46188</v>
      </c>
      <c r="V90" s="5">
        <v>0.56000000000000005</v>
      </c>
      <c r="W90" s="5">
        <v>0</v>
      </c>
      <c r="X90" s="5">
        <v>0</v>
      </c>
      <c r="Y90" s="5">
        <v>0</v>
      </c>
      <c r="Z90" s="5">
        <v>0</v>
      </c>
      <c r="AA90" s="5">
        <v>0</v>
      </c>
      <c r="AB90" s="5">
        <v>0</v>
      </c>
      <c r="AC90" s="5">
        <v>0</v>
      </c>
      <c r="AD90" s="5">
        <v>0</v>
      </c>
      <c r="AE90" s="5">
        <v>0</v>
      </c>
      <c r="AF90" s="5">
        <v>0</v>
      </c>
      <c r="AG90" s="5">
        <v>0</v>
      </c>
    </row>
    <row r="91" spans="1:33" hidden="1" x14ac:dyDescent="0.25">
      <c r="A91" s="5">
        <v>544</v>
      </c>
      <c r="B91" s="5" t="s">
        <v>783</v>
      </c>
      <c r="C91" s="5" t="s">
        <v>782</v>
      </c>
      <c r="D91" s="5" t="s">
        <v>98</v>
      </c>
      <c r="E91" s="5" t="s">
        <v>53</v>
      </c>
      <c r="F91" s="8">
        <v>46198</v>
      </c>
      <c r="G91" s="8">
        <v>46198</v>
      </c>
      <c r="H91" s="3">
        <v>0.5</v>
      </c>
      <c r="J91" s="5">
        <v>543</v>
      </c>
      <c r="K91" s="5">
        <v>545</v>
      </c>
      <c r="L91" s="5" t="s">
        <v>35</v>
      </c>
      <c r="M91" s="5" t="s">
        <v>292</v>
      </c>
      <c r="N91" s="7">
        <v>46183</v>
      </c>
      <c r="P91" s="5" t="s">
        <v>699</v>
      </c>
      <c r="Q91" s="5" t="s">
        <v>146</v>
      </c>
      <c r="R91" s="5" t="s">
        <v>55</v>
      </c>
      <c r="S91" s="7">
        <v>46183</v>
      </c>
      <c r="T91" s="7">
        <v>46183</v>
      </c>
      <c r="V91" s="5">
        <v>0.5</v>
      </c>
      <c r="W91" s="5">
        <v>0</v>
      </c>
      <c r="X91" s="5">
        <v>0</v>
      </c>
      <c r="Y91" s="5">
        <v>0</v>
      </c>
      <c r="Z91" s="5">
        <v>0</v>
      </c>
      <c r="AA91" s="5">
        <v>0</v>
      </c>
      <c r="AB91" s="5">
        <v>1</v>
      </c>
      <c r="AC91" s="5">
        <v>0</v>
      </c>
      <c r="AD91" s="5">
        <v>0</v>
      </c>
      <c r="AE91" s="5">
        <v>0</v>
      </c>
      <c r="AF91" s="5">
        <v>0</v>
      </c>
      <c r="AG91" s="5">
        <v>0</v>
      </c>
    </row>
    <row r="92" spans="1:33" hidden="1" x14ac:dyDescent="0.25">
      <c r="A92" s="5">
        <v>545</v>
      </c>
      <c r="B92" s="5" t="s">
        <v>784</v>
      </c>
      <c r="C92" s="5" t="s">
        <v>782</v>
      </c>
      <c r="D92" s="5" t="s">
        <v>102</v>
      </c>
      <c r="E92" s="5" t="s">
        <v>121</v>
      </c>
      <c r="F92" s="8">
        <v>46199</v>
      </c>
      <c r="G92" s="8">
        <v>46202</v>
      </c>
      <c r="H92" s="3">
        <v>0</v>
      </c>
      <c r="J92" s="5">
        <v>544</v>
      </c>
      <c r="K92" s="5">
        <v>546</v>
      </c>
      <c r="L92" s="5" t="s">
        <v>35</v>
      </c>
      <c r="M92" s="5" t="s">
        <v>294</v>
      </c>
      <c r="N92" s="7">
        <v>46185</v>
      </c>
      <c r="P92" s="5" t="s">
        <v>699</v>
      </c>
      <c r="Q92" s="5" t="s">
        <v>146</v>
      </c>
      <c r="R92" s="5" t="s">
        <v>55</v>
      </c>
      <c r="S92" s="7">
        <v>46184</v>
      </c>
      <c r="T92" s="7">
        <v>46185</v>
      </c>
      <c r="V92" s="5">
        <v>0</v>
      </c>
      <c r="W92" s="5">
        <v>0</v>
      </c>
      <c r="X92" s="5">
        <v>0</v>
      </c>
      <c r="Y92" s="5">
        <v>0</v>
      </c>
      <c r="Z92" s="5">
        <v>0</v>
      </c>
      <c r="AA92" s="5">
        <v>0</v>
      </c>
      <c r="AB92" s="5">
        <v>0</v>
      </c>
      <c r="AC92" s="5">
        <v>0</v>
      </c>
      <c r="AD92" s="5">
        <v>1</v>
      </c>
      <c r="AE92" s="5">
        <v>0</v>
      </c>
      <c r="AF92" s="5">
        <v>0</v>
      </c>
      <c r="AG92" s="5">
        <v>0</v>
      </c>
    </row>
    <row r="93" spans="1:33" hidden="1" x14ac:dyDescent="0.25">
      <c r="A93" s="5">
        <v>546</v>
      </c>
      <c r="B93" s="5" t="s">
        <v>785</v>
      </c>
      <c r="C93" s="5" t="s">
        <v>782</v>
      </c>
      <c r="D93" s="5" t="s">
        <v>108</v>
      </c>
      <c r="E93" s="5" t="s">
        <v>53</v>
      </c>
      <c r="F93" s="8">
        <v>46203</v>
      </c>
      <c r="G93" s="8">
        <v>46203</v>
      </c>
      <c r="H93" s="3">
        <v>0</v>
      </c>
      <c r="J93" s="5">
        <v>545</v>
      </c>
      <c r="L93" s="5" t="s">
        <v>35</v>
      </c>
      <c r="M93" s="5" t="s">
        <v>296</v>
      </c>
      <c r="N93" s="7">
        <v>46188</v>
      </c>
      <c r="P93" s="5" t="s">
        <v>699</v>
      </c>
      <c r="Q93" s="5" t="s">
        <v>151</v>
      </c>
      <c r="R93" s="5" t="s">
        <v>55</v>
      </c>
      <c r="S93" s="7">
        <v>46188</v>
      </c>
      <c r="T93" s="7">
        <v>46188</v>
      </c>
      <c r="V93" s="5">
        <v>0</v>
      </c>
      <c r="W93" s="5">
        <v>0</v>
      </c>
      <c r="X93" s="5">
        <v>0</v>
      </c>
      <c r="Y93" s="5">
        <v>0</v>
      </c>
      <c r="Z93" s="5">
        <v>1</v>
      </c>
      <c r="AA93" s="5">
        <v>0</v>
      </c>
      <c r="AB93" s="5">
        <v>0</v>
      </c>
      <c r="AC93" s="5">
        <v>0</v>
      </c>
      <c r="AD93" s="5">
        <v>0</v>
      </c>
      <c r="AE93" s="5">
        <v>0</v>
      </c>
      <c r="AF93" s="5">
        <v>1</v>
      </c>
      <c r="AG93" s="5">
        <v>0</v>
      </c>
    </row>
    <row r="94" spans="1:33" hidden="1" x14ac:dyDescent="0.25">
      <c r="A94" s="5">
        <v>547</v>
      </c>
      <c r="B94" s="5" t="s">
        <v>786</v>
      </c>
      <c r="C94" s="5" t="s">
        <v>701</v>
      </c>
      <c r="D94" s="5" t="s">
        <v>787</v>
      </c>
      <c r="E94" s="5" t="s">
        <v>625</v>
      </c>
      <c r="F94" s="8">
        <v>46190</v>
      </c>
      <c r="G94" s="8">
        <v>46199</v>
      </c>
      <c r="H94" s="3">
        <v>0.25</v>
      </c>
      <c r="L94" s="5" t="s">
        <v>35</v>
      </c>
      <c r="M94" s="5" t="s">
        <v>292</v>
      </c>
      <c r="N94" s="7">
        <v>46191</v>
      </c>
      <c r="P94" s="5" t="s">
        <v>699</v>
      </c>
      <c r="Q94" s="5" t="s">
        <v>138</v>
      </c>
      <c r="R94" s="5" t="s">
        <v>55</v>
      </c>
      <c r="S94" s="7">
        <v>46183</v>
      </c>
      <c r="T94" s="7">
        <v>46191</v>
      </c>
      <c r="V94" s="5">
        <v>0.25</v>
      </c>
      <c r="W94" s="5">
        <v>0</v>
      </c>
      <c r="X94" s="5">
        <v>0</v>
      </c>
      <c r="Y94" s="5">
        <v>0</v>
      </c>
      <c r="Z94" s="5">
        <v>0</v>
      </c>
      <c r="AA94" s="5">
        <v>0</v>
      </c>
      <c r="AB94" s="5">
        <v>0</v>
      </c>
      <c r="AC94" s="5">
        <v>0</v>
      </c>
      <c r="AD94" s="5">
        <v>0</v>
      </c>
      <c r="AE94" s="5">
        <v>0</v>
      </c>
      <c r="AF94" s="5">
        <v>0</v>
      </c>
      <c r="AG94" s="5">
        <v>0</v>
      </c>
    </row>
    <row r="95" spans="1:33" x14ac:dyDescent="0.25">
      <c r="A95" s="5">
        <v>548</v>
      </c>
      <c r="B95" s="5" t="s">
        <v>788</v>
      </c>
      <c r="C95" s="5" t="s">
        <v>789</v>
      </c>
      <c r="D95" s="5" t="s">
        <v>94</v>
      </c>
      <c r="E95" s="5" t="s">
        <v>556</v>
      </c>
      <c r="F95" s="8">
        <v>46190</v>
      </c>
      <c r="G95" s="8">
        <v>46195</v>
      </c>
      <c r="H95" s="3">
        <v>0.5</v>
      </c>
      <c r="K95" s="5" t="s">
        <v>790</v>
      </c>
      <c r="L95" s="5" t="s">
        <v>35</v>
      </c>
      <c r="M95" s="5" t="s">
        <v>292</v>
      </c>
      <c r="N95" s="7">
        <v>46185</v>
      </c>
      <c r="P95" s="5" t="s">
        <v>699</v>
      </c>
      <c r="Q95" s="5" t="s">
        <v>138</v>
      </c>
      <c r="R95" s="5" t="s">
        <v>55</v>
      </c>
      <c r="S95" s="7">
        <v>46183</v>
      </c>
      <c r="T95" s="7">
        <v>46185</v>
      </c>
      <c r="V95" s="5">
        <v>0.5</v>
      </c>
      <c r="W95" s="5">
        <v>1</v>
      </c>
      <c r="X95" s="5">
        <v>0</v>
      </c>
      <c r="Y95" s="5">
        <v>1</v>
      </c>
      <c r="Z95" s="5">
        <v>0</v>
      </c>
      <c r="AA95" s="5">
        <v>0</v>
      </c>
      <c r="AB95" s="5">
        <v>0</v>
      </c>
      <c r="AC95" s="5">
        <v>0</v>
      </c>
      <c r="AD95" s="5">
        <v>0</v>
      </c>
      <c r="AE95" s="5">
        <v>0</v>
      </c>
      <c r="AF95" s="5">
        <v>0</v>
      </c>
      <c r="AG95" s="5">
        <v>0</v>
      </c>
    </row>
    <row r="96" spans="1:33" hidden="1" x14ac:dyDescent="0.25">
      <c r="A96" s="5">
        <v>549</v>
      </c>
      <c r="B96" s="5" t="s">
        <v>791</v>
      </c>
      <c r="C96" s="5" t="s">
        <v>789</v>
      </c>
      <c r="D96" s="5" t="s">
        <v>98</v>
      </c>
      <c r="E96" s="5" t="s">
        <v>53</v>
      </c>
      <c r="F96" s="8">
        <v>46196</v>
      </c>
      <c r="G96" s="8">
        <v>46196</v>
      </c>
      <c r="H96" s="3">
        <v>0</v>
      </c>
      <c r="J96" s="5">
        <v>548</v>
      </c>
      <c r="K96" s="5">
        <v>550</v>
      </c>
      <c r="L96" s="5" t="s">
        <v>35</v>
      </c>
      <c r="M96" s="5" t="s">
        <v>296</v>
      </c>
      <c r="N96" s="7">
        <v>46188</v>
      </c>
      <c r="P96" s="5" t="s">
        <v>699</v>
      </c>
      <c r="Q96" s="5" t="s">
        <v>146</v>
      </c>
      <c r="R96" s="5" t="s">
        <v>55</v>
      </c>
      <c r="S96" s="7">
        <v>46188</v>
      </c>
      <c r="T96" s="7">
        <v>46188</v>
      </c>
      <c r="V96" s="5">
        <v>0</v>
      </c>
      <c r="W96" s="5">
        <v>0</v>
      </c>
      <c r="X96" s="5">
        <v>0</v>
      </c>
      <c r="Y96" s="5">
        <v>0</v>
      </c>
      <c r="Z96" s="5">
        <v>0</v>
      </c>
      <c r="AA96" s="5">
        <v>0</v>
      </c>
      <c r="AB96" s="5">
        <v>1</v>
      </c>
      <c r="AC96" s="5">
        <v>0</v>
      </c>
      <c r="AD96" s="5">
        <v>0</v>
      </c>
      <c r="AE96" s="5">
        <v>0</v>
      </c>
      <c r="AF96" s="5">
        <v>0</v>
      </c>
      <c r="AG96" s="5">
        <v>0</v>
      </c>
    </row>
    <row r="97" spans="1:33" hidden="1" x14ac:dyDescent="0.25">
      <c r="A97" s="5">
        <v>550</v>
      </c>
      <c r="B97" s="5" t="s">
        <v>792</v>
      </c>
      <c r="C97" s="5" t="s">
        <v>789</v>
      </c>
      <c r="D97" s="5" t="s">
        <v>102</v>
      </c>
      <c r="E97" s="5" t="s">
        <v>121</v>
      </c>
      <c r="F97" s="8">
        <v>46197</v>
      </c>
      <c r="G97" s="8">
        <v>46198</v>
      </c>
      <c r="H97" s="3">
        <v>0</v>
      </c>
      <c r="J97" s="5">
        <v>549</v>
      </c>
      <c r="K97" s="5">
        <v>551</v>
      </c>
      <c r="L97" s="5" t="s">
        <v>35</v>
      </c>
      <c r="M97" s="5" t="s">
        <v>174</v>
      </c>
      <c r="N97" s="7">
        <v>46190</v>
      </c>
      <c r="P97" s="5" t="s">
        <v>699</v>
      </c>
      <c r="Q97" s="5" t="s">
        <v>146</v>
      </c>
      <c r="R97" s="5" t="s">
        <v>55</v>
      </c>
      <c r="S97" s="7">
        <v>46189</v>
      </c>
      <c r="T97" s="7">
        <v>46190</v>
      </c>
      <c r="V97" s="5">
        <v>0</v>
      </c>
      <c r="W97" s="5">
        <v>0</v>
      </c>
      <c r="X97" s="5">
        <v>0</v>
      </c>
      <c r="Y97" s="5">
        <v>0</v>
      </c>
      <c r="Z97" s="5">
        <v>0</v>
      </c>
      <c r="AA97" s="5">
        <v>0</v>
      </c>
      <c r="AB97" s="5">
        <v>0</v>
      </c>
      <c r="AC97" s="5">
        <v>0</v>
      </c>
      <c r="AD97" s="5">
        <v>1</v>
      </c>
      <c r="AE97" s="5">
        <v>0</v>
      </c>
      <c r="AF97" s="5">
        <v>0</v>
      </c>
      <c r="AG97" s="5">
        <v>0</v>
      </c>
    </row>
    <row r="98" spans="1:33" hidden="1" x14ac:dyDescent="0.25">
      <c r="A98" s="5">
        <v>551</v>
      </c>
      <c r="B98" s="5" t="s">
        <v>793</v>
      </c>
      <c r="C98" s="5" t="s">
        <v>789</v>
      </c>
      <c r="D98" s="5" t="s">
        <v>108</v>
      </c>
      <c r="E98" s="5" t="s">
        <v>53</v>
      </c>
      <c r="F98" s="8">
        <v>46199</v>
      </c>
      <c r="G98" s="8">
        <v>46199</v>
      </c>
      <c r="H98" s="3">
        <v>0</v>
      </c>
      <c r="J98" s="5">
        <v>550</v>
      </c>
      <c r="L98" s="5" t="s">
        <v>35</v>
      </c>
      <c r="M98" s="5" t="s">
        <v>386</v>
      </c>
      <c r="N98" s="7">
        <v>46191</v>
      </c>
      <c r="P98" s="5" t="s">
        <v>699</v>
      </c>
      <c r="Q98" s="5" t="s">
        <v>146</v>
      </c>
      <c r="R98" s="5" t="s">
        <v>55</v>
      </c>
      <c r="S98" s="7">
        <v>46191</v>
      </c>
      <c r="T98" s="7">
        <v>46191</v>
      </c>
      <c r="V98" s="5">
        <v>0</v>
      </c>
      <c r="W98" s="5">
        <v>0</v>
      </c>
      <c r="X98" s="5">
        <v>0</v>
      </c>
      <c r="Y98" s="5">
        <v>0</v>
      </c>
      <c r="Z98" s="5">
        <v>1</v>
      </c>
      <c r="AA98" s="5">
        <v>0</v>
      </c>
      <c r="AB98" s="5">
        <v>0</v>
      </c>
      <c r="AC98" s="5">
        <v>0</v>
      </c>
      <c r="AD98" s="5">
        <v>0</v>
      </c>
      <c r="AE98" s="5">
        <v>0</v>
      </c>
      <c r="AF98" s="5">
        <v>1</v>
      </c>
      <c r="AG98" s="5">
        <v>0</v>
      </c>
    </row>
    <row r="99" spans="1:33" x14ac:dyDescent="0.25">
      <c r="A99" s="5">
        <v>563</v>
      </c>
      <c r="B99" s="5" t="s">
        <v>796</v>
      </c>
      <c r="C99" s="5" t="s">
        <v>797</v>
      </c>
      <c r="D99" s="5" t="s">
        <v>94</v>
      </c>
      <c r="E99" s="5" t="s">
        <v>556</v>
      </c>
      <c r="F99" s="8">
        <v>46203</v>
      </c>
      <c r="G99" s="8">
        <v>46206</v>
      </c>
      <c r="H99" s="3">
        <v>0</v>
      </c>
      <c r="J99" s="5" t="s">
        <v>798</v>
      </c>
      <c r="K99" s="5" t="s">
        <v>799</v>
      </c>
      <c r="L99" s="5" t="s">
        <v>35</v>
      </c>
      <c r="M99" s="5" t="s">
        <v>426</v>
      </c>
      <c r="N99" s="7">
        <v>46204</v>
      </c>
      <c r="P99" s="5" t="s">
        <v>699</v>
      </c>
      <c r="Q99" s="5" t="s">
        <v>146</v>
      </c>
      <c r="R99" s="5" t="s">
        <v>55</v>
      </c>
      <c r="S99" s="7">
        <v>46204</v>
      </c>
      <c r="T99" s="7">
        <v>46204</v>
      </c>
      <c r="V99" s="5">
        <v>0</v>
      </c>
      <c r="W99" s="5">
        <v>1</v>
      </c>
      <c r="X99" s="5">
        <v>0</v>
      </c>
      <c r="Y99" s="5">
        <v>1</v>
      </c>
      <c r="Z99" s="5">
        <v>0</v>
      </c>
      <c r="AA99" s="5">
        <v>0</v>
      </c>
      <c r="AB99" s="5">
        <v>0</v>
      </c>
      <c r="AC99" s="5">
        <v>0</v>
      </c>
      <c r="AD99" s="5">
        <v>0</v>
      </c>
      <c r="AE99" s="5">
        <v>0</v>
      </c>
      <c r="AF99" s="5">
        <v>0</v>
      </c>
      <c r="AG99" s="5">
        <v>0</v>
      </c>
    </row>
    <row r="100" spans="1:33" x14ac:dyDescent="0.25">
      <c r="A100" s="5">
        <v>568</v>
      </c>
      <c r="B100" s="5" t="s">
        <v>805</v>
      </c>
      <c r="C100" s="5" t="s">
        <v>806</v>
      </c>
      <c r="D100" s="5" t="s">
        <v>94</v>
      </c>
      <c r="E100" s="5" t="s">
        <v>95</v>
      </c>
      <c r="F100" s="8">
        <v>46204</v>
      </c>
      <c r="G100" s="8">
        <v>46206</v>
      </c>
      <c r="H100" s="3">
        <v>0</v>
      </c>
      <c r="J100" s="5" t="s">
        <v>807</v>
      </c>
      <c r="K100" s="5">
        <v>569</v>
      </c>
      <c r="L100" s="5" t="s">
        <v>35</v>
      </c>
      <c r="M100" s="5" t="s">
        <v>386</v>
      </c>
      <c r="N100" s="7">
        <v>46195</v>
      </c>
      <c r="P100" s="5" t="s">
        <v>699</v>
      </c>
      <c r="Q100" s="5" t="s">
        <v>146</v>
      </c>
      <c r="R100" s="5" t="s">
        <v>55</v>
      </c>
      <c r="S100" s="7">
        <v>46191</v>
      </c>
      <c r="T100" s="7">
        <v>46195</v>
      </c>
      <c r="V100" s="5">
        <v>0</v>
      </c>
      <c r="W100" s="5">
        <v>1</v>
      </c>
      <c r="X100" s="5">
        <v>0</v>
      </c>
      <c r="Y100" s="5">
        <v>1</v>
      </c>
      <c r="Z100" s="5">
        <v>0</v>
      </c>
      <c r="AA100" s="5">
        <v>0</v>
      </c>
      <c r="AB100" s="5">
        <v>0</v>
      </c>
      <c r="AC100" s="5">
        <v>0</v>
      </c>
      <c r="AD100" s="5">
        <v>0</v>
      </c>
      <c r="AE100" s="5">
        <v>0</v>
      </c>
      <c r="AF100" s="5">
        <v>0</v>
      </c>
      <c r="AG100" s="5">
        <v>0</v>
      </c>
    </row>
    <row r="101" spans="1:33" hidden="1" x14ac:dyDescent="0.25">
      <c r="A101" s="5">
        <v>572</v>
      </c>
      <c r="B101" s="5" t="s">
        <v>811</v>
      </c>
      <c r="C101" s="5" t="s">
        <v>701</v>
      </c>
      <c r="D101" s="5" t="s">
        <v>812</v>
      </c>
      <c r="E101" s="5" t="s">
        <v>744</v>
      </c>
      <c r="F101" s="8">
        <v>46188</v>
      </c>
      <c r="G101" s="8">
        <v>46199</v>
      </c>
      <c r="H101" s="3">
        <v>0.75</v>
      </c>
      <c r="L101" s="5" t="s">
        <v>35</v>
      </c>
      <c r="M101" s="5" t="s">
        <v>386</v>
      </c>
      <c r="N101" s="7">
        <v>46210</v>
      </c>
      <c r="P101" s="5" t="s">
        <v>699</v>
      </c>
      <c r="Q101" s="5" t="s">
        <v>138</v>
      </c>
      <c r="R101" s="5" t="s">
        <v>55</v>
      </c>
      <c r="S101" s="7">
        <v>46191</v>
      </c>
      <c r="T101" s="7">
        <v>46210</v>
      </c>
      <c r="V101" s="5">
        <v>0.75</v>
      </c>
      <c r="W101" s="5">
        <v>0</v>
      </c>
      <c r="X101" s="5">
        <v>0</v>
      </c>
      <c r="Y101" s="5">
        <v>0</v>
      </c>
      <c r="Z101" s="5">
        <v>0</v>
      </c>
      <c r="AA101" s="5">
        <v>0</v>
      </c>
      <c r="AB101" s="5">
        <v>0</v>
      </c>
      <c r="AC101" s="5">
        <v>0</v>
      </c>
      <c r="AD101" s="5">
        <v>0</v>
      </c>
      <c r="AE101" s="5">
        <v>0</v>
      </c>
      <c r="AF101" s="5">
        <v>0</v>
      </c>
      <c r="AG101" s="5">
        <v>0</v>
      </c>
    </row>
    <row r="102" spans="1:33" hidden="1" x14ac:dyDescent="0.25">
      <c r="A102" s="5">
        <v>574</v>
      </c>
      <c r="B102" s="5" t="s">
        <v>817</v>
      </c>
      <c r="C102" s="5" t="s">
        <v>814</v>
      </c>
      <c r="D102" s="5" t="s">
        <v>98</v>
      </c>
      <c r="E102" s="5" t="s">
        <v>53</v>
      </c>
      <c r="F102" s="8">
        <v>46197</v>
      </c>
      <c r="G102" s="8">
        <v>46197</v>
      </c>
      <c r="H102" s="3">
        <v>0.5</v>
      </c>
      <c r="J102" s="5">
        <v>573</v>
      </c>
      <c r="K102" s="5">
        <v>575</v>
      </c>
      <c r="L102" s="5" t="s">
        <v>35</v>
      </c>
      <c r="M102" s="5" t="s">
        <v>538</v>
      </c>
      <c r="N102" s="7">
        <v>46205</v>
      </c>
      <c r="P102" s="5" t="s">
        <v>699</v>
      </c>
      <c r="Q102" s="5" t="s">
        <v>146</v>
      </c>
      <c r="R102" s="5" t="s">
        <v>55</v>
      </c>
      <c r="S102" s="7">
        <v>46205</v>
      </c>
      <c r="T102" s="7">
        <v>46205</v>
      </c>
      <c r="V102" s="5">
        <v>0.5</v>
      </c>
      <c r="W102" s="5">
        <v>0</v>
      </c>
      <c r="X102" s="5">
        <v>0</v>
      </c>
      <c r="Y102" s="5">
        <v>0</v>
      </c>
      <c r="Z102" s="5">
        <v>0</v>
      </c>
      <c r="AA102" s="5">
        <v>0</v>
      </c>
      <c r="AB102" s="5">
        <v>1</v>
      </c>
      <c r="AC102" s="5">
        <v>0</v>
      </c>
      <c r="AD102" s="5">
        <v>0</v>
      </c>
      <c r="AE102" s="5">
        <v>0</v>
      </c>
      <c r="AF102" s="5">
        <v>0</v>
      </c>
      <c r="AG102" s="5">
        <v>0</v>
      </c>
    </row>
    <row r="103" spans="1:33" hidden="1" x14ac:dyDescent="0.25">
      <c r="A103" s="5">
        <v>575</v>
      </c>
      <c r="B103" s="5" t="s">
        <v>818</v>
      </c>
      <c r="C103" s="5" t="s">
        <v>814</v>
      </c>
      <c r="D103" s="5" t="s">
        <v>102</v>
      </c>
      <c r="E103" s="5" t="s">
        <v>53</v>
      </c>
      <c r="F103" s="8">
        <v>46198</v>
      </c>
      <c r="G103" s="8">
        <v>46198</v>
      </c>
      <c r="H103" s="3">
        <v>0</v>
      </c>
      <c r="J103" s="5">
        <v>574</v>
      </c>
      <c r="K103" s="5">
        <v>576</v>
      </c>
      <c r="L103" s="5" t="s">
        <v>35</v>
      </c>
      <c r="M103" s="5" t="s">
        <v>159</v>
      </c>
      <c r="N103" s="7">
        <v>46209</v>
      </c>
      <c r="P103" s="5" t="s">
        <v>699</v>
      </c>
      <c r="Q103" s="5" t="s">
        <v>146</v>
      </c>
      <c r="R103" s="5" t="s">
        <v>55</v>
      </c>
      <c r="S103" s="7">
        <v>46206</v>
      </c>
      <c r="T103" s="7">
        <v>46209</v>
      </c>
      <c r="V103" s="5">
        <v>0</v>
      </c>
      <c r="W103" s="5">
        <v>0</v>
      </c>
      <c r="X103" s="5">
        <v>0</v>
      </c>
      <c r="Y103" s="5">
        <v>0</v>
      </c>
      <c r="Z103" s="5">
        <v>0</v>
      </c>
      <c r="AA103" s="5">
        <v>0</v>
      </c>
      <c r="AB103" s="5">
        <v>0</v>
      </c>
      <c r="AC103" s="5">
        <v>0</v>
      </c>
      <c r="AD103" s="5">
        <v>1</v>
      </c>
      <c r="AE103" s="5">
        <v>0</v>
      </c>
      <c r="AF103" s="5">
        <v>0</v>
      </c>
      <c r="AG103" s="5">
        <v>0</v>
      </c>
    </row>
    <row r="104" spans="1:33" hidden="1" x14ac:dyDescent="0.25">
      <c r="A104" s="5">
        <v>576</v>
      </c>
      <c r="B104" s="5" t="s">
        <v>819</v>
      </c>
      <c r="C104" s="5" t="s">
        <v>814</v>
      </c>
      <c r="D104" s="5" t="s">
        <v>108</v>
      </c>
      <c r="E104" s="5" t="s">
        <v>53</v>
      </c>
      <c r="F104" s="8">
        <v>46199</v>
      </c>
      <c r="G104" s="8">
        <v>46199</v>
      </c>
      <c r="H104" s="3">
        <v>0</v>
      </c>
      <c r="J104" s="5">
        <v>575</v>
      </c>
      <c r="L104" s="5" t="s">
        <v>35</v>
      </c>
      <c r="M104" s="5" t="s">
        <v>541</v>
      </c>
      <c r="N104" s="7">
        <v>46210</v>
      </c>
      <c r="P104" s="5" t="s">
        <v>699</v>
      </c>
      <c r="Q104" s="5" t="s">
        <v>146</v>
      </c>
      <c r="R104" s="5" t="s">
        <v>55</v>
      </c>
      <c r="S104" s="7">
        <v>46210</v>
      </c>
      <c r="T104" s="7">
        <v>46210</v>
      </c>
      <c r="V104" s="5">
        <v>0</v>
      </c>
      <c r="W104" s="5">
        <v>0</v>
      </c>
      <c r="X104" s="5">
        <v>0</v>
      </c>
      <c r="Y104" s="5">
        <v>0</v>
      </c>
      <c r="Z104" s="5">
        <v>1</v>
      </c>
      <c r="AA104" s="5">
        <v>0</v>
      </c>
      <c r="AB104" s="5">
        <v>0</v>
      </c>
      <c r="AC104" s="5">
        <v>0</v>
      </c>
      <c r="AD104" s="5">
        <v>0</v>
      </c>
      <c r="AE104" s="5">
        <v>0</v>
      </c>
      <c r="AF104" s="5">
        <v>1</v>
      </c>
      <c r="AG104" s="5">
        <v>0</v>
      </c>
    </row>
    <row r="105" spans="1:33" hidden="1" x14ac:dyDescent="0.25">
      <c r="A105" s="5">
        <v>577</v>
      </c>
      <c r="B105" s="5" t="s">
        <v>820</v>
      </c>
      <c r="C105" s="5" t="s">
        <v>701</v>
      </c>
      <c r="D105" s="5" t="s">
        <v>821</v>
      </c>
      <c r="E105" s="5" t="s">
        <v>744</v>
      </c>
      <c r="F105" s="8">
        <v>46189</v>
      </c>
      <c r="G105" s="8">
        <v>46202</v>
      </c>
      <c r="H105" s="3">
        <v>0.75</v>
      </c>
      <c r="L105" s="5" t="s">
        <v>35</v>
      </c>
      <c r="M105" s="5" t="s">
        <v>386</v>
      </c>
      <c r="N105" s="7">
        <v>46210</v>
      </c>
      <c r="P105" s="5" t="s">
        <v>699</v>
      </c>
      <c r="Q105" s="5" t="s">
        <v>138</v>
      </c>
      <c r="R105" s="5" t="s">
        <v>55</v>
      </c>
      <c r="S105" s="7">
        <v>46191</v>
      </c>
      <c r="T105" s="7">
        <v>46210</v>
      </c>
      <c r="V105" s="5">
        <v>0.75</v>
      </c>
      <c r="W105" s="5">
        <v>0</v>
      </c>
      <c r="X105" s="5">
        <v>0</v>
      </c>
      <c r="Y105" s="5">
        <v>0</v>
      </c>
      <c r="Z105" s="5">
        <v>0</v>
      </c>
      <c r="AA105" s="5">
        <v>0</v>
      </c>
      <c r="AB105" s="5">
        <v>0</v>
      </c>
      <c r="AC105" s="5">
        <v>0</v>
      </c>
      <c r="AD105" s="5">
        <v>0</v>
      </c>
      <c r="AE105" s="5">
        <v>0</v>
      </c>
      <c r="AF105" s="5">
        <v>0</v>
      </c>
      <c r="AG105" s="5">
        <v>0</v>
      </c>
    </row>
    <row r="106" spans="1:33" hidden="1" x14ac:dyDescent="0.25">
      <c r="A106" s="5">
        <v>579</v>
      </c>
      <c r="B106" s="5" t="s">
        <v>825</v>
      </c>
      <c r="C106" s="5" t="s">
        <v>823</v>
      </c>
      <c r="D106" s="5" t="s">
        <v>98</v>
      </c>
      <c r="E106" s="5" t="s">
        <v>53</v>
      </c>
      <c r="F106" s="8">
        <v>46198</v>
      </c>
      <c r="G106" s="8">
        <v>46198</v>
      </c>
      <c r="H106" s="3">
        <v>0.5</v>
      </c>
      <c r="J106" s="5">
        <v>578</v>
      </c>
      <c r="K106" s="5">
        <v>580</v>
      </c>
      <c r="L106" s="5" t="s">
        <v>35</v>
      </c>
      <c r="M106" s="5" t="s">
        <v>538</v>
      </c>
      <c r="N106" s="7">
        <v>46205</v>
      </c>
      <c r="P106" s="5" t="s">
        <v>699</v>
      </c>
      <c r="Q106" s="5" t="s">
        <v>146</v>
      </c>
      <c r="R106" s="5" t="s">
        <v>55</v>
      </c>
      <c r="S106" s="7">
        <v>46205</v>
      </c>
      <c r="T106" s="7">
        <v>46205</v>
      </c>
      <c r="V106" s="5">
        <v>0.5</v>
      </c>
      <c r="W106" s="5">
        <v>0</v>
      </c>
      <c r="X106" s="5">
        <v>0</v>
      </c>
      <c r="Y106" s="5">
        <v>0</v>
      </c>
      <c r="Z106" s="5">
        <v>0</v>
      </c>
      <c r="AA106" s="5">
        <v>0</v>
      </c>
      <c r="AB106" s="5">
        <v>1</v>
      </c>
      <c r="AC106" s="5">
        <v>0</v>
      </c>
      <c r="AD106" s="5">
        <v>0</v>
      </c>
      <c r="AE106" s="5">
        <v>0</v>
      </c>
      <c r="AF106" s="5">
        <v>0</v>
      </c>
      <c r="AG106" s="5">
        <v>0</v>
      </c>
    </row>
    <row r="107" spans="1:33" hidden="1" x14ac:dyDescent="0.25">
      <c r="A107" s="5">
        <v>580</v>
      </c>
      <c r="B107" s="5" t="s">
        <v>826</v>
      </c>
      <c r="C107" s="5" t="s">
        <v>823</v>
      </c>
      <c r="D107" s="5" t="s">
        <v>102</v>
      </c>
      <c r="E107" s="5" t="s">
        <v>53</v>
      </c>
      <c r="F107" s="8">
        <v>46199</v>
      </c>
      <c r="G107" s="8">
        <v>46199</v>
      </c>
      <c r="H107" s="3">
        <v>0</v>
      </c>
      <c r="J107" s="5">
        <v>579</v>
      </c>
      <c r="K107" s="5">
        <v>581</v>
      </c>
      <c r="L107" s="5" t="s">
        <v>35</v>
      </c>
      <c r="M107" s="5" t="s">
        <v>159</v>
      </c>
      <c r="N107" s="7">
        <v>46209</v>
      </c>
      <c r="P107" s="5" t="s">
        <v>699</v>
      </c>
      <c r="Q107" s="5" t="s">
        <v>146</v>
      </c>
      <c r="R107" s="5" t="s">
        <v>55</v>
      </c>
      <c r="S107" s="7">
        <v>46206</v>
      </c>
      <c r="T107" s="7">
        <v>46209</v>
      </c>
      <c r="V107" s="5">
        <v>0</v>
      </c>
      <c r="W107" s="5">
        <v>0</v>
      </c>
      <c r="X107" s="5">
        <v>0</v>
      </c>
      <c r="Y107" s="5">
        <v>0</v>
      </c>
      <c r="Z107" s="5">
        <v>0</v>
      </c>
      <c r="AA107" s="5">
        <v>0</v>
      </c>
      <c r="AB107" s="5">
        <v>0</v>
      </c>
      <c r="AC107" s="5">
        <v>0</v>
      </c>
      <c r="AD107" s="5">
        <v>1</v>
      </c>
      <c r="AE107" s="5">
        <v>0</v>
      </c>
      <c r="AF107" s="5">
        <v>0</v>
      </c>
      <c r="AG107" s="5">
        <v>0</v>
      </c>
    </row>
    <row r="108" spans="1:33" hidden="1" x14ac:dyDescent="0.25">
      <c r="A108" s="5">
        <v>581</v>
      </c>
      <c r="B108" s="5" t="s">
        <v>827</v>
      </c>
      <c r="C108" s="5" t="s">
        <v>823</v>
      </c>
      <c r="D108" s="5" t="s">
        <v>108</v>
      </c>
      <c r="E108" s="5" t="s">
        <v>53</v>
      </c>
      <c r="F108" s="8">
        <v>46202</v>
      </c>
      <c r="G108" s="8">
        <v>46202</v>
      </c>
      <c r="H108" s="3">
        <v>0</v>
      </c>
      <c r="J108" s="5">
        <v>580</v>
      </c>
      <c r="L108" s="5" t="s">
        <v>35</v>
      </c>
      <c r="M108" s="5" t="s">
        <v>541</v>
      </c>
      <c r="N108" s="7">
        <v>46210</v>
      </c>
      <c r="P108" s="5" t="s">
        <v>699</v>
      </c>
      <c r="Q108" s="5" t="s">
        <v>151</v>
      </c>
      <c r="R108" s="5" t="s">
        <v>55</v>
      </c>
      <c r="S108" s="7">
        <v>46210</v>
      </c>
      <c r="T108" s="7">
        <v>46210</v>
      </c>
      <c r="V108" s="5">
        <v>0</v>
      </c>
      <c r="W108" s="5">
        <v>0</v>
      </c>
      <c r="X108" s="5">
        <v>0</v>
      </c>
      <c r="Y108" s="5">
        <v>0</v>
      </c>
      <c r="Z108" s="5">
        <v>1</v>
      </c>
      <c r="AA108" s="5">
        <v>0</v>
      </c>
      <c r="AB108" s="5">
        <v>0</v>
      </c>
      <c r="AC108" s="5">
        <v>0</v>
      </c>
      <c r="AD108" s="5">
        <v>0</v>
      </c>
      <c r="AE108" s="5">
        <v>0</v>
      </c>
      <c r="AF108" s="5">
        <v>1</v>
      </c>
      <c r="AG108" s="5">
        <v>0</v>
      </c>
    </row>
    <row r="109" spans="1:33" hidden="1" x14ac:dyDescent="0.25">
      <c r="A109" s="5">
        <v>582</v>
      </c>
      <c r="B109" s="5" t="s">
        <v>828</v>
      </c>
      <c r="C109" s="5" t="s">
        <v>701</v>
      </c>
      <c r="D109" s="5" t="s">
        <v>829</v>
      </c>
      <c r="E109" s="5" t="s">
        <v>744</v>
      </c>
      <c r="F109" s="8">
        <v>46189</v>
      </c>
      <c r="G109" s="8">
        <v>46202</v>
      </c>
      <c r="H109" s="3">
        <v>0.75</v>
      </c>
      <c r="L109" s="5" t="s">
        <v>35</v>
      </c>
      <c r="M109" s="5" t="s">
        <v>386</v>
      </c>
      <c r="N109" s="7">
        <v>46210</v>
      </c>
      <c r="P109" s="5" t="s">
        <v>699</v>
      </c>
      <c r="Q109" s="5" t="s">
        <v>138</v>
      </c>
      <c r="R109" s="5" t="s">
        <v>55</v>
      </c>
      <c r="S109" s="7">
        <v>46191</v>
      </c>
      <c r="T109" s="7">
        <v>46210</v>
      </c>
      <c r="V109" s="5">
        <v>0.75</v>
      </c>
      <c r="W109" s="5">
        <v>0</v>
      </c>
      <c r="X109" s="5">
        <v>0</v>
      </c>
      <c r="Y109" s="5">
        <v>0</v>
      </c>
      <c r="Z109" s="5">
        <v>0</v>
      </c>
      <c r="AA109" s="5">
        <v>0</v>
      </c>
      <c r="AB109" s="5">
        <v>0</v>
      </c>
      <c r="AC109" s="5">
        <v>0</v>
      </c>
      <c r="AD109" s="5">
        <v>0</v>
      </c>
      <c r="AE109" s="5">
        <v>0</v>
      </c>
      <c r="AF109" s="5">
        <v>0</v>
      </c>
      <c r="AG109" s="5">
        <v>0</v>
      </c>
    </row>
    <row r="110" spans="1:33" hidden="1" x14ac:dyDescent="0.25">
      <c r="A110" s="5">
        <v>584</v>
      </c>
      <c r="B110" s="5" t="s">
        <v>832</v>
      </c>
      <c r="C110" s="5" t="s">
        <v>831</v>
      </c>
      <c r="D110" s="5" t="s">
        <v>98</v>
      </c>
      <c r="E110" s="5" t="s">
        <v>53</v>
      </c>
      <c r="F110" s="8">
        <v>46198</v>
      </c>
      <c r="G110" s="8">
        <v>46198</v>
      </c>
      <c r="H110" s="3">
        <v>0.5</v>
      </c>
      <c r="J110" s="5">
        <v>583</v>
      </c>
      <c r="K110" s="5">
        <v>585</v>
      </c>
      <c r="L110" s="5" t="s">
        <v>35</v>
      </c>
      <c r="M110" s="5" t="s">
        <v>538</v>
      </c>
      <c r="N110" s="7">
        <v>46205</v>
      </c>
      <c r="P110" s="5" t="s">
        <v>699</v>
      </c>
      <c r="Q110" s="5" t="s">
        <v>146</v>
      </c>
      <c r="R110" s="5" t="s">
        <v>55</v>
      </c>
      <c r="S110" s="7">
        <v>46205</v>
      </c>
      <c r="T110" s="7">
        <v>46205</v>
      </c>
      <c r="V110" s="5">
        <v>0.5</v>
      </c>
      <c r="W110" s="5">
        <v>0</v>
      </c>
      <c r="X110" s="5">
        <v>0</v>
      </c>
      <c r="Y110" s="5">
        <v>0</v>
      </c>
      <c r="Z110" s="5">
        <v>0</v>
      </c>
      <c r="AA110" s="5">
        <v>0</v>
      </c>
      <c r="AB110" s="5">
        <v>1</v>
      </c>
      <c r="AC110" s="5">
        <v>0</v>
      </c>
      <c r="AD110" s="5">
        <v>0</v>
      </c>
      <c r="AE110" s="5">
        <v>0</v>
      </c>
      <c r="AF110" s="5">
        <v>0</v>
      </c>
      <c r="AG110" s="5">
        <v>0</v>
      </c>
    </row>
    <row r="111" spans="1:33" hidden="1" x14ac:dyDescent="0.25">
      <c r="A111" s="5">
        <v>585</v>
      </c>
      <c r="B111" s="5" t="s">
        <v>833</v>
      </c>
      <c r="C111" s="5" t="s">
        <v>831</v>
      </c>
      <c r="D111" s="5" t="s">
        <v>102</v>
      </c>
      <c r="E111" s="5" t="s">
        <v>53</v>
      </c>
      <c r="F111" s="8">
        <v>46199</v>
      </c>
      <c r="G111" s="8">
        <v>46199</v>
      </c>
      <c r="H111" s="3">
        <v>0</v>
      </c>
      <c r="J111" s="5">
        <v>584</v>
      </c>
      <c r="K111" s="5">
        <v>586</v>
      </c>
      <c r="L111" s="5" t="s">
        <v>35</v>
      </c>
      <c r="M111" s="5" t="s">
        <v>159</v>
      </c>
      <c r="N111" s="7">
        <v>46209</v>
      </c>
      <c r="P111" s="5" t="s">
        <v>699</v>
      </c>
      <c r="Q111" s="5" t="s">
        <v>146</v>
      </c>
      <c r="R111" s="5" t="s">
        <v>55</v>
      </c>
      <c r="S111" s="7">
        <v>46206</v>
      </c>
      <c r="T111" s="7">
        <v>46209</v>
      </c>
      <c r="V111" s="5">
        <v>0</v>
      </c>
      <c r="W111" s="5">
        <v>0</v>
      </c>
      <c r="X111" s="5">
        <v>0</v>
      </c>
      <c r="Y111" s="5">
        <v>0</v>
      </c>
      <c r="Z111" s="5">
        <v>0</v>
      </c>
      <c r="AA111" s="5">
        <v>0</v>
      </c>
      <c r="AB111" s="5">
        <v>0</v>
      </c>
      <c r="AC111" s="5">
        <v>0</v>
      </c>
      <c r="AD111" s="5">
        <v>1</v>
      </c>
      <c r="AE111" s="5">
        <v>0</v>
      </c>
      <c r="AF111" s="5">
        <v>0</v>
      </c>
      <c r="AG111" s="5">
        <v>0</v>
      </c>
    </row>
    <row r="112" spans="1:33" hidden="1" x14ac:dyDescent="0.25">
      <c r="A112" s="5">
        <v>586</v>
      </c>
      <c r="B112" s="5" t="s">
        <v>834</v>
      </c>
      <c r="C112" s="5" t="s">
        <v>831</v>
      </c>
      <c r="D112" s="5" t="s">
        <v>108</v>
      </c>
      <c r="E112" s="5" t="s">
        <v>53</v>
      </c>
      <c r="F112" s="8">
        <v>46202</v>
      </c>
      <c r="G112" s="8">
        <v>46202</v>
      </c>
      <c r="H112" s="3">
        <v>0</v>
      </c>
      <c r="J112" s="5">
        <v>585</v>
      </c>
      <c r="L112" s="5" t="s">
        <v>35</v>
      </c>
      <c r="M112" s="5" t="s">
        <v>541</v>
      </c>
      <c r="N112" s="7">
        <v>46210</v>
      </c>
      <c r="P112" s="5" t="s">
        <v>699</v>
      </c>
      <c r="Q112" s="5" t="s">
        <v>151</v>
      </c>
      <c r="R112" s="5" t="s">
        <v>55</v>
      </c>
      <c r="S112" s="7">
        <v>46210</v>
      </c>
      <c r="T112" s="7">
        <v>46210</v>
      </c>
      <c r="V112" s="5">
        <v>0</v>
      </c>
      <c r="W112" s="5">
        <v>0</v>
      </c>
      <c r="X112" s="5">
        <v>0</v>
      </c>
      <c r="Y112" s="5">
        <v>0</v>
      </c>
      <c r="Z112" s="5">
        <v>1</v>
      </c>
      <c r="AA112" s="5">
        <v>0</v>
      </c>
      <c r="AB112" s="5">
        <v>0</v>
      </c>
      <c r="AC112" s="5">
        <v>0</v>
      </c>
      <c r="AD112" s="5">
        <v>0</v>
      </c>
      <c r="AE112" s="5">
        <v>0</v>
      </c>
      <c r="AF112" s="5">
        <v>1</v>
      </c>
      <c r="AG112" s="5">
        <v>0</v>
      </c>
    </row>
    <row r="113" spans="1:33" hidden="1" x14ac:dyDescent="0.25">
      <c r="A113" s="5">
        <v>587</v>
      </c>
      <c r="B113" s="5" t="s">
        <v>835</v>
      </c>
      <c r="C113" s="5" t="s">
        <v>701</v>
      </c>
      <c r="D113" s="5" t="s">
        <v>836</v>
      </c>
      <c r="E113" s="5" t="s">
        <v>744</v>
      </c>
      <c r="F113" s="8">
        <v>46189</v>
      </c>
      <c r="G113" s="8">
        <v>46202</v>
      </c>
      <c r="H113" s="3">
        <v>0.75</v>
      </c>
      <c r="L113" s="5" t="s">
        <v>35</v>
      </c>
      <c r="M113" s="5" t="s">
        <v>386</v>
      </c>
      <c r="N113" s="7">
        <v>46210</v>
      </c>
      <c r="P113" s="5" t="s">
        <v>699</v>
      </c>
      <c r="Q113" s="5" t="s">
        <v>138</v>
      </c>
      <c r="R113" s="5" t="s">
        <v>55</v>
      </c>
      <c r="S113" s="7">
        <v>46191</v>
      </c>
      <c r="T113" s="7">
        <v>46210</v>
      </c>
      <c r="V113" s="5">
        <v>0.75</v>
      </c>
      <c r="W113" s="5">
        <v>0</v>
      </c>
      <c r="X113" s="5">
        <v>0</v>
      </c>
      <c r="Y113" s="5">
        <v>0</v>
      </c>
      <c r="Z113" s="5">
        <v>0</v>
      </c>
      <c r="AA113" s="5">
        <v>0</v>
      </c>
      <c r="AB113" s="5">
        <v>0</v>
      </c>
      <c r="AC113" s="5">
        <v>0</v>
      </c>
      <c r="AD113" s="5">
        <v>0</v>
      </c>
      <c r="AE113" s="5">
        <v>0</v>
      </c>
      <c r="AF113" s="5">
        <v>0</v>
      </c>
      <c r="AG113" s="5">
        <v>0</v>
      </c>
    </row>
    <row r="114" spans="1:33" hidden="1" x14ac:dyDescent="0.25">
      <c r="A114" s="5">
        <v>589</v>
      </c>
      <c r="B114" s="5" t="s">
        <v>839</v>
      </c>
      <c r="C114" s="5" t="s">
        <v>838</v>
      </c>
      <c r="D114" s="5" t="s">
        <v>98</v>
      </c>
      <c r="E114" s="5" t="s">
        <v>53</v>
      </c>
      <c r="F114" s="8">
        <v>46198</v>
      </c>
      <c r="G114" s="8">
        <v>46198</v>
      </c>
      <c r="H114" s="3">
        <v>0.5</v>
      </c>
      <c r="J114" s="5">
        <v>588</v>
      </c>
      <c r="K114" s="5">
        <v>590</v>
      </c>
      <c r="L114" s="5" t="s">
        <v>35</v>
      </c>
      <c r="M114" s="5" t="s">
        <v>538</v>
      </c>
      <c r="N114" s="7">
        <v>46205</v>
      </c>
      <c r="P114" s="5" t="s">
        <v>699</v>
      </c>
      <c r="Q114" s="5" t="s">
        <v>146</v>
      </c>
      <c r="R114" s="5" t="s">
        <v>55</v>
      </c>
      <c r="S114" s="7">
        <v>46205</v>
      </c>
      <c r="T114" s="7">
        <v>46205</v>
      </c>
      <c r="V114" s="5">
        <v>0.5</v>
      </c>
      <c r="W114" s="5">
        <v>0</v>
      </c>
      <c r="X114" s="5">
        <v>0</v>
      </c>
      <c r="Y114" s="5">
        <v>0</v>
      </c>
      <c r="Z114" s="5">
        <v>0</v>
      </c>
      <c r="AA114" s="5">
        <v>0</v>
      </c>
      <c r="AB114" s="5">
        <v>1</v>
      </c>
      <c r="AC114" s="5">
        <v>0</v>
      </c>
      <c r="AD114" s="5">
        <v>0</v>
      </c>
      <c r="AE114" s="5">
        <v>0</v>
      </c>
      <c r="AF114" s="5">
        <v>0</v>
      </c>
      <c r="AG114" s="5">
        <v>0</v>
      </c>
    </row>
    <row r="115" spans="1:33" hidden="1" x14ac:dyDescent="0.25">
      <c r="A115" s="5">
        <v>590</v>
      </c>
      <c r="B115" s="5" t="s">
        <v>840</v>
      </c>
      <c r="C115" s="5" t="s">
        <v>838</v>
      </c>
      <c r="D115" s="5" t="s">
        <v>102</v>
      </c>
      <c r="E115" s="5" t="s">
        <v>53</v>
      </c>
      <c r="F115" s="8">
        <v>46199</v>
      </c>
      <c r="G115" s="8">
        <v>46199</v>
      </c>
      <c r="H115" s="3">
        <v>0</v>
      </c>
      <c r="J115" s="5">
        <v>589</v>
      </c>
      <c r="K115" s="5">
        <v>591</v>
      </c>
      <c r="L115" s="5" t="s">
        <v>35</v>
      </c>
      <c r="M115" s="5" t="s">
        <v>159</v>
      </c>
      <c r="N115" s="7">
        <v>46209</v>
      </c>
      <c r="P115" s="5" t="s">
        <v>699</v>
      </c>
      <c r="Q115" s="5" t="s">
        <v>146</v>
      </c>
      <c r="R115" s="5" t="s">
        <v>55</v>
      </c>
      <c r="S115" s="7">
        <v>46206</v>
      </c>
      <c r="T115" s="7">
        <v>46209</v>
      </c>
      <c r="V115" s="5">
        <v>0</v>
      </c>
      <c r="W115" s="5">
        <v>0</v>
      </c>
      <c r="X115" s="5">
        <v>0</v>
      </c>
      <c r="Y115" s="5">
        <v>0</v>
      </c>
      <c r="Z115" s="5">
        <v>0</v>
      </c>
      <c r="AA115" s="5">
        <v>0</v>
      </c>
      <c r="AB115" s="5">
        <v>0</v>
      </c>
      <c r="AC115" s="5">
        <v>0</v>
      </c>
      <c r="AD115" s="5">
        <v>1</v>
      </c>
      <c r="AE115" s="5">
        <v>0</v>
      </c>
      <c r="AF115" s="5">
        <v>0</v>
      </c>
      <c r="AG115" s="5">
        <v>0</v>
      </c>
    </row>
    <row r="116" spans="1:33" hidden="1" x14ac:dyDescent="0.25">
      <c r="A116" s="5">
        <v>591</v>
      </c>
      <c r="B116" s="5" t="s">
        <v>841</v>
      </c>
      <c r="C116" s="5" t="s">
        <v>838</v>
      </c>
      <c r="D116" s="5" t="s">
        <v>108</v>
      </c>
      <c r="E116" s="5" t="s">
        <v>53</v>
      </c>
      <c r="F116" s="8">
        <v>46202</v>
      </c>
      <c r="G116" s="8">
        <v>46202</v>
      </c>
      <c r="H116" s="3">
        <v>0</v>
      </c>
      <c r="J116" s="5">
        <v>590</v>
      </c>
      <c r="L116" s="5" t="s">
        <v>35</v>
      </c>
      <c r="M116" s="5" t="s">
        <v>541</v>
      </c>
      <c r="N116" s="7">
        <v>46210</v>
      </c>
      <c r="P116" s="5" t="s">
        <v>699</v>
      </c>
      <c r="Q116" s="5" t="s">
        <v>151</v>
      </c>
      <c r="R116" s="5" t="s">
        <v>55</v>
      </c>
      <c r="S116" s="7">
        <v>46210</v>
      </c>
      <c r="T116" s="7">
        <v>46210</v>
      </c>
      <c r="V116" s="5">
        <v>0</v>
      </c>
      <c r="W116" s="5">
        <v>0</v>
      </c>
      <c r="X116" s="5">
        <v>0</v>
      </c>
      <c r="Y116" s="5">
        <v>0</v>
      </c>
      <c r="Z116" s="5">
        <v>1</v>
      </c>
      <c r="AA116" s="5">
        <v>0</v>
      </c>
      <c r="AB116" s="5">
        <v>0</v>
      </c>
      <c r="AC116" s="5">
        <v>0</v>
      </c>
      <c r="AD116" s="5">
        <v>0</v>
      </c>
      <c r="AE116" s="5">
        <v>0</v>
      </c>
      <c r="AF116" s="5">
        <v>1</v>
      </c>
      <c r="AG116" s="5">
        <v>0</v>
      </c>
    </row>
    <row r="117" spans="1:33" hidden="1" x14ac:dyDescent="0.25">
      <c r="A117" s="5">
        <v>592</v>
      </c>
      <c r="B117" s="5" t="s">
        <v>842</v>
      </c>
      <c r="C117" s="5" t="s">
        <v>701</v>
      </c>
      <c r="D117" s="5" t="s">
        <v>843</v>
      </c>
      <c r="E117" s="5" t="s">
        <v>744</v>
      </c>
      <c r="F117" s="8">
        <v>46189</v>
      </c>
      <c r="G117" s="8">
        <v>46202</v>
      </c>
      <c r="H117" s="3">
        <v>0.75</v>
      </c>
      <c r="L117" s="5" t="s">
        <v>35</v>
      </c>
      <c r="M117" s="5" t="s">
        <v>386</v>
      </c>
      <c r="N117" s="7">
        <v>46210</v>
      </c>
      <c r="P117" s="5" t="s">
        <v>699</v>
      </c>
      <c r="Q117" s="5" t="s">
        <v>138</v>
      </c>
      <c r="R117" s="5" t="s">
        <v>55</v>
      </c>
      <c r="S117" s="7">
        <v>46191</v>
      </c>
      <c r="T117" s="7">
        <v>46210</v>
      </c>
      <c r="V117" s="5">
        <v>0.75</v>
      </c>
      <c r="W117" s="5">
        <v>0</v>
      </c>
      <c r="X117" s="5">
        <v>0</v>
      </c>
      <c r="Y117" s="5">
        <v>0</v>
      </c>
      <c r="Z117" s="5">
        <v>0</v>
      </c>
      <c r="AA117" s="5">
        <v>0</v>
      </c>
      <c r="AB117" s="5">
        <v>0</v>
      </c>
      <c r="AC117" s="5">
        <v>0</v>
      </c>
      <c r="AD117" s="5">
        <v>0</v>
      </c>
      <c r="AE117" s="5">
        <v>0</v>
      </c>
      <c r="AF117" s="5">
        <v>0</v>
      </c>
      <c r="AG117" s="5">
        <v>0</v>
      </c>
    </row>
    <row r="118" spans="1:33" hidden="1" x14ac:dyDescent="0.25">
      <c r="A118" s="5">
        <v>594</v>
      </c>
      <c r="B118" s="5" t="s">
        <v>846</v>
      </c>
      <c r="C118" s="5" t="s">
        <v>845</v>
      </c>
      <c r="D118" s="5" t="s">
        <v>98</v>
      </c>
      <c r="E118" s="5" t="s">
        <v>53</v>
      </c>
      <c r="F118" s="8">
        <v>46198</v>
      </c>
      <c r="G118" s="8">
        <v>46198</v>
      </c>
      <c r="H118" s="3">
        <v>0.5</v>
      </c>
      <c r="J118" s="5">
        <v>593</v>
      </c>
      <c r="K118" s="5">
        <v>595</v>
      </c>
      <c r="L118" s="5" t="s">
        <v>35</v>
      </c>
      <c r="M118" s="5" t="s">
        <v>538</v>
      </c>
      <c r="N118" s="7">
        <v>46205</v>
      </c>
      <c r="P118" s="5" t="s">
        <v>699</v>
      </c>
      <c r="Q118" s="5" t="s">
        <v>146</v>
      </c>
      <c r="R118" s="5" t="s">
        <v>55</v>
      </c>
      <c r="S118" s="7">
        <v>46205</v>
      </c>
      <c r="T118" s="7">
        <v>46205</v>
      </c>
      <c r="V118" s="5">
        <v>0.5</v>
      </c>
      <c r="W118" s="5">
        <v>0</v>
      </c>
      <c r="X118" s="5">
        <v>0</v>
      </c>
      <c r="Y118" s="5">
        <v>0</v>
      </c>
      <c r="Z118" s="5">
        <v>0</v>
      </c>
      <c r="AA118" s="5">
        <v>0</v>
      </c>
      <c r="AB118" s="5">
        <v>1</v>
      </c>
      <c r="AC118" s="5">
        <v>0</v>
      </c>
      <c r="AD118" s="5">
        <v>0</v>
      </c>
      <c r="AE118" s="5">
        <v>0</v>
      </c>
      <c r="AF118" s="5">
        <v>0</v>
      </c>
      <c r="AG118" s="5">
        <v>0</v>
      </c>
    </row>
    <row r="119" spans="1:33" hidden="1" x14ac:dyDescent="0.25">
      <c r="A119" s="5">
        <v>595</v>
      </c>
      <c r="B119" s="5" t="s">
        <v>847</v>
      </c>
      <c r="C119" s="5" t="s">
        <v>845</v>
      </c>
      <c r="D119" s="5" t="s">
        <v>102</v>
      </c>
      <c r="E119" s="5" t="s">
        <v>53</v>
      </c>
      <c r="F119" s="8">
        <v>46199</v>
      </c>
      <c r="G119" s="8">
        <v>46199</v>
      </c>
      <c r="H119" s="3">
        <v>0</v>
      </c>
      <c r="J119" s="5">
        <v>594</v>
      </c>
      <c r="K119" s="5">
        <v>596</v>
      </c>
      <c r="L119" s="5" t="s">
        <v>35</v>
      </c>
      <c r="M119" s="5" t="s">
        <v>159</v>
      </c>
      <c r="N119" s="7">
        <v>46209</v>
      </c>
      <c r="P119" s="5" t="s">
        <v>699</v>
      </c>
      <c r="Q119" s="5" t="s">
        <v>146</v>
      </c>
      <c r="R119" s="5" t="s">
        <v>55</v>
      </c>
      <c r="S119" s="7">
        <v>46206</v>
      </c>
      <c r="T119" s="7">
        <v>46209</v>
      </c>
      <c r="V119" s="5">
        <v>0</v>
      </c>
      <c r="W119" s="5">
        <v>0</v>
      </c>
      <c r="X119" s="5">
        <v>0</v>
      </c>
      <c r="Y119" s="5">
        <v>0</v>
      </c>
      <c r="Z119" s="5">
        <v>0</v>
      </c>
      <c r="AA119" s="5">
        <v>0</v>
      </c>
      <c r="AB119" s="5">
        <v>0</v>
      </c>
      <c r="AC119" s="5">
        <v>0</v>
      </c>
      <c r="AD119" s="5">
        <v>1</v>
      </c>
      <c r="AE119" s="5">
        <v>0</v>
      </c>
      <c r="AF119" s="5">
        <v>0</v>
      </c>
      <c r="AG119" s="5">
        <v>0</v>
      </c>
    </row>
    <row r="120" spans="1:33" hidden="1" x14ac:dyDescent="0.25">
      <c r="A120" s="5">
        <v>596</v>
      </c>
      <c r="B120" s="5" t="s">
        <v>848</v>
      </c>
      <c r="C120" s="5" t="s">
        <v>845</v>
      </c>
      <c r="D120" s="5" t="s">
        <v>108</v>
      </c>
      <c r="E120" s="5" t="s">
        <v>53</v>
      </c>
      <c r="F120" s="8">
        <v>46202</v>
      </c>
      <c r="G120" s="8">
        <v>46202</v>
      </c>
      <c r="H120" s="3">
        <v>0</v>
      </c>
      <c r="J120" s="5">
        <v>595</v>
      </c>
      <c r="L120" s="5" t="s">
        <v>35</v>
      </c>
      <c r="M120" s="5" t="s">
        <v>541</v>
      </c>
      <c r="N120" s="7">
        <v>46210</v>
      </c>
      <c r="P120" s="5" t="s">
        <v>699</v>
      </c>
      <c r="Q120" s="5" t="s">
        <v>151</v>
      </c>
      <c r="R120" s="5" t="s">
        <v>55</v>
      </c>
      <c r="S120" s="7">
        <v>46210</v>
      </c>
      <c r="T120" s="7">
        <v>46210</v>
      </c>
      <c r="V120" s="5">
        <v>0</v>
      </c>
      <c r="W120" s="5">
        <v>0</v>
      </c>
      <c r="X120" s="5">
        <v>0</v>
      </c>
      <c r="Y120" s="5">
        <v>0</v>
      </c>
      <c r="Z120" s="5">
        <v>1</v>
      </c>
      <c r="AA120" s="5">
        <v>0</v>
      </c>
      <c r="AB120" s="5">
        <v>0</v>
      </c>
      <c r="AC120" s="5">
        <v>0</v>
      </c>
      <c r="AD120" s="5">
        <v>0</v>
      </c>
      <c r="AE120" s="5">
        <v>0</v>
      </c>
      <c r="AF120" s="5">
        <v>1</v>
      </c>
      <c r="AG120" s="5">
        <v>0</v>
      </c>
    </row>
    <row r="121" spans="1:33" hidden="1" x14ac:dyDescent="0.25">
      <c r="A121" s="5">
        <v>597</v>
      </c>
      <c r="B121" s="5" t="s">
        <v>849</v>
      </c>
      <c r="C121" s="5" t="s">
        <v>701</v>
      </c>
      <c r="D121" s="5" t="s">
        <v>850</v>
      </c>
      <c r="E121" s="5" t="s">
        <v>744</v>
      </c>
      <c r="F121" s="8">
        <v>46189</v>
      </c>
      <c r="G121" s="8">
        <v>46202</v>
      </c>
      <c r="H121" s="3">
        <v>0.75</v>
      </c>
      <c r="L121" s="5" t="s">
        <v>35</v>
      </c>
      <c r="M121" s="5" t="s">
        <v>386</v>
      </c>
      <c r="N121" s="7">
        <v>46210</v>
      </c>
      <c r="P121" s="5" t="s">
        <v>699</v>
      </c>
      <c r="Q121" s="5" t="s">
        <v>138</v>
      </c>
      <c r="R121" s="5" t="s">
        <v>55</v>
      </c>
      <c r="S121" s="7">
        <v>46191</v>
      </c>
      <c r="T121" s="7">
        <v>46210</v>
      </c>
      <c r="V121" s="5">
        <v>0.75</v>
      </c>
      <c r="W121" s="5">
        <v>0</v>
      </c>
      <c r="X121" s="5">
        <v>0</v>
      </c>
      <c r="Y121" s="5">
        <v>0</v>
      </c>
      <c r="Z121" s="5">
        <v>0</v>
      </c>
      <c r="AA121" s="5">
        <v>0</v>
      </c>
      <c r="AB121" s="5">
        <v>0</v>
      </c>
      <c r="AC121" s="5">
        <v>0</v>
      </c>
      <c r="AD121" s="5">
        <v>0</v>
      </c>
      <c r="AE121" s="5">
        <v>0</v>
      </c>
      <c r="AF121" s="5">
        <v>0</v>
      </c>
      <c r="AG121" s="5">
        <v>0</v>
      </c>
    </row>
    <row r="122" spans="1:33" hidden="1" x14ac:dyDescent="0.25">
      <c r="A122" s="5">
        <v>599</v>
      </c>
      <c r="B122" s="5" t="s">
        <v>853</v>
      </c>
      <c r="C122" s="5" t="s">
        <v>852</v>
      </c>
      <c r="D122" s="5" t="s">
        <v>98</v>
      </c>
      <c r="E122" s="5" t="s">
        <v>53</v>
      </c>
      <c r="F122" s="8">
        <v>46198</v>
      </c>
      <c r="G122" s="8">
        <v>46198</v>
      </c>
      <c r="H122" s="3">
        <v>0.5</v>
      </c>
      <c r="J122" s="5">
        <v>598</v>
      </c>
      <c r="K122" s="5">
        <v>600</v>
      </c>
      <c r="L122" s="5" t="s">
        <v>35</v>
      </c>
      <c r="M122" s="5" t="s">
        <v>538</v>
      </c>
      <c r="N122" s="7">
        <v>46205</v>
      </c>
      <c r="P122" s="5" t="s">
        <v>699</v>
      </c>
      <c r="Q122" s="5" t="s">
        <v>146</v>
      </c>
      <c r="R122" s="5" t="s">
        <v>55</v>
      </c>
      <c r="S122" s="7">
        <v>46205</v>
      </c>
      <c r="T122" s="7">
        <v>46205</v>
      </c>
      <c r="V122" s="5">
        <v>0.5</v>
      </c>
      <c r="W122" s="5">
        <v>0</v>
      </c>
      <c r="X122" s="5">
        <v>0</v>
      </c>
      <c r="Y122" s="5">
        <v>0</v>
      </c>
      <c r="Z122" s="5">
        <v>0</v>
      </c>
      <c r="AA122" s="5">
        <v>0</v>
      </c>
      <c r="AB122" s="5">
        <v>1</v>
      </c>
      <c r="AC122" s="5">
        <v>0</v>
      </c>
      <c r="AD122" s="5">
        <v>0</v>
      </c>
      <c r="AE122" s="5">
        <v>0</v>
      </c>
      <c r="AF122" s="5">
        <v>0</v>
      </c>
      <c r="AG122" s="5">
        <v>0</v>
      </c>
    </row>
    <row r="123" spans="1:33" hidden="1" x14ac:dyDescent="0.25">
      <c r="A123" s="5">
        <v>600</v>
      </c>
      <c r="B123" s="5" t="s">
        <v>854</v>
      </c>
      <c r="C123" s="5" t="s">
        <v>852</v>
      </c>
      <c r="D123" s="5" t="s">
        <v>102</v>
      </c>
      <c r="E123" s="5" t="s">
        <v>53</v>
      </c>
      <c r="F123" s="8">
        <v>46199</v>
      </c>
      <c r="G123" s="8">
        <v>46199</v>
      </c>
      <c r="H123" s="3">
        <v>0</v>
      </c>
      <c r="J123" s="5">
        <v>599</v>
      </c>
      <c r="K123" s="5">
        <v>601</v>
      </c>
      <c r="L123" s="5" t="s">
        <v>35</v>
      </c>
      <c r="M123" s="5" t="s">
        <v>159</v>
      </c>
      <c r="N123" s="7">
        <v>46209</v>
      </c>
      <c r="P123" s="5" t="s">
        <v>699</v>
      </c>
      <c r="Q123" s="5" t="s">
        <v>146</v>
      </c>
      <c r="R123" s="5" t="s">
        <v>55</v>
      </c>
      <c r="S123" s="7">
        <v>46206</v>
      </c>
      <c r="T123" s="7">
        <v>46209</v>
      </c>
      <c r="V123" s="5">
        <v>0</v>
      </c>
      <c r="W123" s="5">
        <v>0</v>
      </c>
      <c r="X123" s="5">
        <v>0</v>
      </c>
      <c r="Y123" s="5">
        <v>0</v>
      </c>
      <c r="Z123" s="5">
        <v>0</v>
      </c>
      <c r="AA123" s="5">
        <v>0</v>
      </c>
      <c r="AB123" s="5">
        <v>0</v>
      </c>
      <c r="AC123" s="5">
        <v>0</v>
      </c>
      <c r="AD123" s="5">
        <v>1</v>
      </c>
      <c r="AE123" s="5">
        <v>0</v>
      </c>
      <c r="AF123" s="5">
        <v>0</v>
      </c>
      <c r="AG123" s="5">
        <v>0</v>
      </c>
    </row>
    <row r="124" spans="1:33" hidden="1" x14ac:dyDescent="0.25">
      <c r="A124" s="5">
        <v>601</v>
      </c>
      <c r="B124" s="5" t="s">
        <v>855</v>
      </c>
      <c r="C124" s="5" t="s">
        <v>852</v>
      </c>
      <c r="D124" s="5" t="s">
        <v>108</v>
      </c>
      <c r="E124" s="5" t="s">
        <v>53</v>
      </c>
      <c r="F124" s="8">
        <v>46202</v>
      </c>
      <c r="G124" s="8">
        <v>46202</v>
      </c>
      <c r="H124" s="3">
        <v>0</v>
      </c>
      <c r="J124" s="5">
        <v>600</v>
      </c>
      <c r="L124" s="5" t="s">
        <v>35</v>
      </c>
      <c r="M124" s="5" t="s">
        <v>541</v>
      </c>
      <c r="N124" s="7">
        <v>46210</v>
      </c>
      <c r="P124" s="5" t="s">
        <v>699</v>
      </c>
      <c r="Q124" s="5" t="s">
        <v>151</v>
      </c>
      <c r="R124" s="5" t="s">
        <v>55</v>
      </c>
      <c r="S124" s="7">
        <v>46210</v>
      </c>
      <c r="T124" s="7">
        <v>46210</v>
      </c>
      <c r="V124" s="5">
        <v>0</v>
      </c>
      <c r="W124" s="5">
        <v>0</v>
      </c>
      <c r="X124" s="5">
        <v>0</v>
      </c>
      <c r="Y124" s="5">
        <v>0</v>
      </c>
      <c r="Z124" s="5">
        <v>1</v>
      </c>
      <c r="AA124" s="5">
        <v>0</v>
      </c>
      <c r="AB124" s="5">
        <v>0</v>
      </c>
      <c r="AC124" s="5">
        <v>0</v>
      </c>
      <c r="AD124" s="5">
        <v>0</v>
      </c>
      <c r="AE124" s="5">
        <v>0</v>
      </c>
      <c r="AF124" s="5">
        <v>1</v>
      </c>
      <c r="AG124" s="5">
        <v>0</v>
      </c>
    </row>
    <row r="125" spans="1:33" hidden="1" x14ac:dyDescent="0.25">
      <c r="A125" s="5">
        <v>602</v>
      </c>
      <c r="B125" s="5" t="s">
        <v>856</v>
      </c>
      <c r="C125" s="5" t="s">
        <v>701</v>
      </c>
      <c r="D125" s="5" t="s">
        <v>857</v>
      </c>
      <c r="E125" s="5" t="s">
        <v>744</v>
      </c>
      <c r="F125" s="8">
        <v>46189</v>
      </c>
      <c r="G125" s="8">
        <v>46202</v>
      </c>
      <c r="H125" s="3">
        <v>0.75</v>
      </c>
      <c r="L125" s="5" t="s">
        <v>35</v>
      </c>
      <c r="M125" s="5" t="s">
        <v>386</v>
      </c>
      <c r="N125" s="7">
        <v>46210</v>
      </c>
      <c r="P125" s="5" t="s">
        <v>699</v>
      </c>
      <c r="Q125" s="5" t="s">
        <v>138</v>
      </c>
      <c r="R125" s="5" t="s">
        <v>55</v>
      </c>
      <c r="S125" s="7">
        <v>46191</v>
      </c>
      <c r="T125" s="7">
        <v>46210</v>
      </c>
      <c r="V125" s="5">
        <v>0.75</v>
      </c>
      <c r="W125" s="5">
        <v>0</v>
      </c>
      <c r="X125" s="5">
        <v>0</v>
      </c>
      <c r="Y125" s="5">
        <v>0</v>
      </c>
      <c r="Z125" s="5">
        <v>0</v>
      </c>
      <c r="AA125" s="5">
        <v>0</v>
      </c>
      <c r="AB125" s="5">
        <v>0</v>
      </c>
      <c r="AC125" s="5">
        <v>0</v>
      </c>
      <c r="AD125" s="5">
        <v>0</v>
      </c>
      <c r="AE125" s="5">
        <v>0</v>
      </c>
      <c r="AF125" s="5">
        <v>0</v>
      </c>
      <c r="AG125" s="5">
        <v>0</v>
      </c>
    </row>
    <row r="126" spans="1:33" hidden="1" x14ac:dyDescent="0.25">
      <c r="A126" s="5">
        <v>604</v>
      </c>
      <c r="B126" s="5" t="s">
        <v>860</v>
      </c>
      <c r="C126" s="5" t="s">
        <v>859</v>
      </c>
      <c r="D126" s="5" t="s">
        <v>98</v>
      </c>
      <c r="E126" s="5" t="s">
        <v>53</v>
      </c>
      <c r="F126" s="8">
        <v>46198</v>
      </c>
      <c r="G126" s="8">
        <v>46198</v>
      </c>
      <c r="H126" s="3">
        <v>0.5</v>
      </c>
      <c r="J126" s="5">
        <v>603</v>
      </c>
      <c r="K126" s="5">
        <v>605</v>
      </c>
      <c r="L126" s="5" t="s">
        <v>35</v>
      </c>
      <c r="M126" s="5" t="s">
        <v>538</v>
      </c>
      <c r="N126" s="7">
        <v>46205</v>
      </c>
      <c r="P126" s="5" t="s">
        <v>699</v>
      </c>
      <c r="Q126" s="5" t="s">
        <v>146</v>
      </c>
      <c r="R126" s="5" t="s">
        <v>55</v>
      </c>
      <c r="S126" s="7">
        <v>46205</v>
      </c>
      <c r="T126" s="7">
        <v>46205</v>
      </c>
      <c r="V126" s="5">
        <v>0.5</v>
      </c>
      <c r="W126" s="5">
        <v>0</v>
      </c>
      <c r="X126" s="5">
        <v>0</v>
      </c>
      <c r="Y126" s="5">
        <v>0</v>
      </c>
      <c r="Z126" s="5">
        <v>0</v>
      </c>
      <c r="AA126" s="5">
        <v>0</v>
      </c>
      <c r="AB126" s="5">
        <v>1</v>
      </c>
      <c r="AC126" s="5">
        <v>0</v>
      </c>
      <c r="AD126" s="5">
        <v>0</v>
      </c>
      <c r="AE126" s="5">
        <v>0</v>
      </c>
      <c r="AF126" s="5">
        <v>0</v>
      </c>
      <c r="AG126" s="5">
        <v>0</v>
      </c>
    </row>
    <row r="127" spans="1:33" hidden="1" x14ac:dyDescent="0.25">
      <c r="A127" s="5">
        <v>605</v>
      </c>
      <c r="B127" s="5" t="s">
        <v>861</v>
      </c>
      <c r="C127" s="5" t="s">
        <v>859</v>
      </c>
      <c r="D127" s="5" t="s">
        <v>102</v>
      </c>
      <c r="E127" s="5" t="s">
        <v>53</v>
      </c>
      <c r="F127" s="8">
        <v>46199</v>
      </c>
      <c r="G127" s="8">
        <v>46199</v>
      </c>
      <c r="H127" s="3">
        <v>0</v>
      </c>
      <c r="J127" s="5">
        <v>604</v>
      </c>
      <c r="K127" s="5">
        <v>606</v>
      </c>
      <c r="L127" s="5" t="s">
        <v>35</v>
      </c>
      <c r="M127" s="5" t="s">
        <v>159</v>
      </c>
      <c r="N127" s="7">
        <v>46209</v>
      </c>
      <c r="P127" s="5" t="s">
        <v>699</v>
      </c>
      <c r="Q127" s="5" t="s">
        <v>146</v>
      </c>
      <c r="R127" s="5" t="s">
        <v>55</v>
      </c>
      <c r="S127" s="7">
        <v>46206</v>
      </c>
      <c r="T127" s="7">
        <v>46209</v>
      </c>
      <c r="V127" s="5">
        <v>0</v>
      </c>
      <c r="W127" s="5">
        <v>0</v>
      </c>
      <c r="X127" s="5">
        <v>0</v>
      </c>
      <c r="Y127" s="5">
        <v>0</v>
      </c>
      <c r="Z127" s="5">
        <v>0</v>
      </c>
      <c r="AA127" s="5">
        <v>0</v>
      </c>
      <c r="AB127" s="5">
        <v>0</v>
      </c>
      <c r="AC127" s="5">
        <v>0</v>
      </c>
      <c r="AD127" s="5">
        <v>1</v>
      </c>
      <c r="AE127" s="5">
        <v>0</v>
      </c>
      <c r="AF127" s="5">
        <v>0</v>
      </c>
      <c r="AG127" s="5">
        <v>0</v>
      </c>
    </row>
    <row r="128" spans="1:33" hidden="1" x14ac:dyDescent="0.25">
      <c r="A128" s="5">
        <v>606</v>
      </c>
      <c r="B128" s="5" t="s">
        <v>862</v>
      </c>
      <c r="C128" s="5" t="s">
        <v>859</v>
      </c>
      <c r="D128" s="5" t="s">
        <v>108</v>
      </c>
      <c r="E128" s="5" t="s">
        <v>53</v>
      </c>
      <c r="F128" s="8">
        <v>46202</v>
      </c>
      <c r="G128" s="8">
        <v>46202</v>
      </c>
      <c r="H128" s="3">
        <v>0</v>
      </c>
      <c r="J128" s="5">
        <v>605</v>
      </c>
      <c r="L128" s="5" t="s">
        <v>35</v>
      </c>
      <c r="M128" s="5" t="s">
        <v>541</v>
      </c>
      <c r="N128" s="7">
        <v>46210</v>
      </c>
      <c r="P128" s="5" t="s">
        <v>699</v>
      </c>
      <c r="Q128" s="5" t="s">
        <v>151</v>
      </c>
      <c r="R128" s="5" t="s">
        <v>55</v>
      </c>
      <c r="S128" s="7">
        <v>46210</v>
      </c>
      <c r="T128" s="7">
        <v>46210</v>
      </c>
      <c r="V128" s="5">
        <v>0</v>
      </c>
      <c r="W128" s="5">
        <v>0</v>
      </c>
      <c r="X128" s="5">
        <v>0</v>
      </c>
      <c r="Y128" s="5">
        <v>0</v>
      </c>
      <c r="Z128" s="5">
        <v>1</v>
      </c>
      <c r="AA128" s="5">
        <v>0</v>
      </c>
      <c r="AB128" s="5">
        <v>0</v>
      </c>
      <c r="AC128" s="5">
        <v>0</v>
      </c>
      <c r="AD128" s="5">
        <v>0</v>
      </c>
      <c r="AE128" s="5">
        <v>0</v>
      </c>
      <c r="AF128" s="5">
        <v>1</v>
      </c>
      <c r="AG128" s="5">
        <v>0</v>
      </c>
    </row>
    <row r="129" spans="1:33" hidden="1" x14ac:dyDescent="0.25">
      <c r="A129" s="5">
        <v>607</v>
      </c>
      <c r="B129" s="5" t="s">
        <v>863</v>
      </c>
      <c r="C129" s="5" t="s">
        <v>701</v>
      </c>
      <c r="D129" s="5" t="s">
        <v>864</v>
      </c>
      <c r="E129" s="5" t="s">
        <v>744</v>
      </c>
      <c r="F129" s="8">
        <v>46189</v>
      </c>
      <c r="G129" s="8">
        <v>46202</v>
      </c>
      <c r="H129" s="3">
        <v>0.75</v>
      </c>
      <c r="L129" s="5" t="s">
        <v>35</v>
      </c>
      <c r="M129" s="5" t="s">
        <v>386</v>
      </c>
      <c r="N129" s="7">
        <v>46210</v>
      </c>
      <c r="P129" s="5" t="s">
        <v>699</v>
      </c>
      <c r="Q129" s="5" t="s">
        <v>138</v>
      </c>
      <c r="R129" s="5" t="s">
        <v>55</v>
      </c>
      <c r="S129" s="7">
        <v>46191</v>
      </c>
      <c r="T129" s="7">
        <v>46210</v>
      </c>
      <c r="V129" s="5">
        <v>0.75</v>
      </c>
      <c r="W129" s="5">
        <v>0</v>
      </c>
      <c r="X129" s="5">
        <v>0</v>
      </c>
      <c r="Y129" s="5">
        <v>0</v>
      </c>
      <c r="Z129" s="5">
        <v>0</v>
      </c>
      <c r="AA129" s="5">
        <v>0</v>
      </c>
      <c r="AB129" s="5">
        <v>0</v>
      </c>
      <c r="AC129" s="5">
        <v>0</v>
      </c>
      <c r="AD129" s="5">
        <v>0</v>
      </c>
      <c r="AE129" s="5">
        <v>0</v>
      </c>
      <c r="AF129" s="5">
        <v>0</v>
      </c>
      <c r="AG129" s="5">
        <v>0</v>
      </c>
    </row>
    <row r="130" spans="1:33" hidden="1" x14ac:dyDescent="0.25">
      <c r="A130" s="5">
        <v>609</v>
      </c>
      <c r="B130" s="5" t="s">
        <v>867</v>
      </c>
      <c r="C130" s="5" t="s">
        <v>866</v>
      </c>
      <c r="D130" s="5" t="s">
        <v>98</v>
      </c>
      <c r="E130" s="5" t="s">
        <v>53</v>
      </c>
      <c r="F130" s="8">
        <v>46198</v>
      </c>
      <c r="G130" s="8">
        <v>46198</v>
      </c>
      <c r="H130" s="3">
        <v>0.5</v>
      </c>
      <c r="J130" s="5">
        <v>608</v>
      </c>
      <c r="K130" s="5">
        <v>610</v>
      </c>
      <c r="L130" s="5" t="s">
        <v>35</v>
      </c>
      <c r="M130" s="5" t="s">
        <v>538</v>
      </c>
      <c r="N130" s="7">
        <v>46205</v>
      </c>
      <c r="P130" s="5" t="s">
        <v>699</v>
      </c>
      <c r="Q130" s="5" t="s">
        <v>146</v>
      </c>
      <c r="R130" s="5" t="s">
        <v>55</v>
      </c>
      <c r="S130" s="7">
        <v>46205</v>
      </c>
      <c r="T130" s="7">
        <v>46205</v>
      </c>
      <c r="V130" s="5">
        <v>0.5</v>
      </c>
      <c r="W130" s="5">
        <v>0</v>
      </c>
      <c r="X130" s="5">
        <v>0</v>
      </c>
      <c r="Y130" s="5">
        <v>0</v>
      </c>
      <c r="Z130" s="5">
        <v>0</v>
      </c>
      <c r="AA130" s="5">
        <v>0</v>
      </c>
      <c r="AB130" s="5">
        <v>1</v>
      </c>
      <c r="AC130" s="5">
        <v>0</v>
      </c>
      <c r="AD130" s="5">
        <v>0</v>
      </c>
      <c r="AE130" s="5">
        <v>0</v>
      </c>
      <c r="AF130" s="5">
        <v>0</v>
      </c>
      <c r="AG130" s="5">
        <v>0</v>
      </c>
    </row>
    <row r="131" spans="1:33" hidden="1" x14ac:dyDescent="0.25">
      <c r="A131" s="5">
        <v>610</v>
      </c>
      <c r="B131" s="5" t="s">
        <v>868</v>
      </c>
      <c r="C131" s="5" t="s">
        <v>866</v>
      </c>
      <c r="D131" s="5" t="s">
        <v>102</v>
      </c>
      <c r="E131" s="5" t="s">
        <v>53</v>
      </c>
      <c r="F131" s="8">
        <v>46199</v>
      </c>
      <c r="G131" s="8">
        <v>46199</v>
      </c>
      <c r="H131" s="3">
        <v>0</v>
      </c>
      <c r="J131" s="5">
        <v>609</v>
      </c>
      <c r="K131" s="5">
        <v>611</v>
      </c>
      <c r="L131" s="5" t="s">
        <v>35</v>
      </c>
      <c r="M131" s="5" t="s">
        <v>159</v>
      </c>
      <c r="N131" s="7">
        <v>46209</v>
      </c>
      <c r="P131" s="5" t="s">
        <v>699</v>
      </c>
      <c r="Q131" s="5" t="s">
        <v>146</v>
      </c>
      <c r="R131" s="5" t="s">
        <v>55</v>
      </c>
      <c r="S131" s="7">
        <v>46206</v>
      </c>
      <c r="T131" s="7">
        <v>46209</v>
      </c>
      <c r="V131" s="5">
        <v>0</v>
      </c>
      <c r="W131" s="5">
        <v>0</v>
      </c>
      <c r="X131" s="5">
        <v>0</v>
      </c>
      <c r="Y131" s="5">
        <v>0</v>
      </c>
      <c r="Z131" s="5">
        <v>0</v>
      </c>
      <c r="AA131" s="5">
        <v>0</v>
      </c>
      <c r="AB131" s="5">
        <v>0</v>
      </c>
      <c r="AC131" s="5">
        <v>0</v>
      </c>
      <c r="AD131" s="5">
        <v>1</v>
      </c>
      <c r="AE131" s="5">
        <v>0</v>
      </c>
      <c r="AF131" s="5">
        <v>0</v>
      </c>
      <c r="AG131" s="5">
        <v>0</v>
      </c>
    </row>
    <row r="132" spans="1:33" hidden="1" x14ac:dyDescent="0.25">
      <c r="A132" s="5">
        <v>611</v>
      </c>
      <c r="B132" s="5" t="s">
        <v>869</v>
      </c>
      <c r="C132" s="5" t="s">
        <v>866</v>
      </c>
      <c r="D132" s="5" t="s">
        <v>108</v>
      </c>
      <c r="E132" s="5" t="s">
        <v>53</v>
      </c>
      <c r="F132" s="8">
        <v>46202</v>
      </c>
      <c r="G132" s="8">
        <v>46202</v>
      </c>
      <c r="H132" s="3">
        <v>0</v>
      </c>
      <c r="J132" s="5">
        <v>610</v>
      </c>
      <c r="L132" s="5" t="s">
        <v>35</v>
      </c>
      <c r="M132" s="5" t="s">
        <v>541</v>
      </c>
      <c r="N132" s="7">
        <v>46210</v>
      </c>
      <c r="P132" s="5" t="s">
        <v>699</v>
      </c>
      <c r="Q132" s="5" t="s">
        <v>151</v>
      </c>
      <c r="R132" s="5" t="s">
        <v>55</v>
      </c>
      <c r="S132" s="7">
        <v>46210</v>
      </c>
      <c r="T132" s="7">
        <v>46210</v>
      </c>
      <c r="V132" s="5">
        <v>0</v>
      </c>
      <c r="W132" s="5">
        <v>0</v>
      </c>
      <c r="X132" s="5">
        <v>0</v>
      </c>
      <c r="Y132" s="5">
        <v>0</v>
      </c>
      <c r="Z132" s="5">
        <v>1</v>
      </c>
      <c r="AA132" s="5">
        <v>0</v>
      </c>
      <c r="AB132" s="5">
        <v>0</v>
      </c>
      <c r="AC132" s="5">
        <v>0</v>
      </c>
      <c r="AD132" s="5">
        <v>0</v>
      </c>
      <c r="AE132" s="5">
        <v>0</v>
      </c>
      <c r="AF132" s="5">
        <v>1</v>
      </c>
      <c r="AG132" s="5">
        <v>0</v>
      </c>
    </row>
    <row r="133" spans="1:33" hidden="1" x14ac:dyDescent="0.25">
      <c r="A133" s="5">
        <v>612</v>
      </c>
      <c r="B133" s="5" t="s">
        <v>870</v>
      </c>
      <c r="C133" s="5" t="s">
        <v>701</v>
      </c>
      <c r="D133" s="5" t="s">
        <v>871</v>
      </c>
      <c r="E133" s="5" t="s">
        <v>744</v>
      </c>
      <c r="F133" s="8">
        <v>46188</v>
      </c>
      <c r="G133" s="8">
        <v>46199</v>
      </c>
      <c r="H133" s="3">
        <v>0.72</v>
      </c>
      <c r="L133" s="5" t="s">
        <v>35</v>
      </c>
      <c r="M133" s="5" t="s">
        <v>386</v>
      </c>
      <c r="N133" s="7">
        <v>46210</v>
      </c>
      <c r="P133" s="5" t="s">
        <v>699</v>
      </c>
      <c r="Q133" s="5" t="s">
        <v>138</v>
      </c>
      <c r="R133" s="5" t="s">
        <v>55</v>
      </c>
      <c r="S133" s="7">
        <v>46191</v>
      </c>
      <c r="T133" s="7">
        <v>46210</v>
      </c>
      <c r="V133" s="5">
        <v>0.72</v>
      </c>
      <c r="W133" s="5">
        <v>0</v>
      </c>
      <c r="X133" s="5">
        <v>0</v>
      </c>
      <c r="Y133" s="5">
        <v>0</v>
      </c>
      <c r="Z133" s="5">
        <v>0</v>
      </c>
      <c r="AA133" s="5">
        <v>0</v>
      </c>
      <c r="AB133" s="5">
        <v>0</v>
      </c>
      <c r="AC133" s="5">
        <v>0</v>
      </c>
      <c r="AD133" s="5">
        <v>0</v>
      </c>
      <c r="AE133" s="5">
        <v>0</v>
      </c>
      <c r="AF133" s="5">
        <v>0</v>
      </c>
      <c r="AG133" s="5">
        <v>0</v>
      </c>
    </row>
    <row r="134" spans="1:33" hidden="1" x14ac:dyDescent="0.25">
      <c r="A134" s="5">
        <v>614</v>
      </c>
      <c r="B134" s="5" t="s">
        <v>874</v>
      </c>
      <c r="C134" s="5" t="s">
        <v>873</v>
      </c>
      <c r="D134" s="5" t="s">
        <v>98</v>
      </c>
      <c r="E134" s="5" t="s">
        <v>53</v>
      </c>
      <c r="F134" s="8">
        <v>46197</v>
      </c>
      <c r="G134" s="8">
        <v>46197</v>
      </c>
      <c r="H134" s="3">
        <v>0.15</v>
      </c>
      <c r="J134" s="5">
        <v>613</v>
      </c>
      <c r="K134" s="5">
        <v>615</v>
      </c>
      <c r="L134" s="5" t="s">
        <v>35</v>
      </c>
      <c r="M134" s="5" t="s">
        <v>538</v>
      </c>
      <c r="N134" s="7">
        <v>46205</v>
      </c>
      <c r="P134" s="5" t="s">
        <v>699</v>
      </c>
      <c r="Q134" s="5" t="s">
        <v>146</v>
      </c>
      <c r="R134" s="5" t="s">
        <v>55</v>
      </c>
      <c r="S134" s="7">
        <v>46205</v>
      </c>
      <c r="T134" s="7">
        <v>46205</v>
      </c>
      <c r="V134" s="5">
        <v>0.15</v>
      </c>
      <c r="W134" s="5">
        <v>0</v>
      </c>
      <c r="X134" s="5">
        <v>0</v>
      </c>
      <c r="Y134" s="5">
        <v>0</v>
      </c>
      <c r="Z134" s="5">
        <v>0</v>
      </c>
      <c r="AA134" s="5">
        <v>0</v>
      </c>
      <c r="AB134" s="5">
        <v>1</v>
      </c>
      <c r="AC134" s="5">
        <v>0</v>
      </c>
      <c r="AD134" s="5">
        <v>0</v>
      </c>
      <c r="AE134" s="5">
        <v>0</v>
      </c>
      <c r="AF134" s="5">
        <v>0</v>
      </c>
      <c r="AG134" s="5">
        <v>0</v>
      </c>
    </row>
    <row r="135" spans="1:33" hidden="1" x14ac:dyDescent="0.25">
      <c r="A135" s="5">
        <v>615</v>
      </c>
      <c r="B135" s="5" t="s">
        <v>875</v>
      </c>
      <c r="C135" s="5" t="s">
        <v>873</v>
      </c>
      <c r="D135" s="5" t="s">
        <v>102</v>
      </c>
      <c r="E135" s="5" t="s">
        <v>53</v>
      </c>
      <c r="F135" s="8">
        <v>46198</v>
      </c>
      <c r="G135" s="8">
        <v>46198</v>
      </c>
      <c r="H135" s="3">
        <v>0</v>
      </c>
      <c r="J135" s="5">
        <v>614</v>
      </c>
      <c r="K135" s="5">
        <v>616</v>
      </c>
      <c r="L135" s="5" t="s">
        <v>35</v>
      </c>
      <c r="M135" s="5" t="s">
        <v>159</v>
      </c>
      <c r="N135" s="7">
        <v>46209</v>
      </c>
      <c r="P135" s="5" t="s">
        <v>699</v>
      </c>
      <c r="Q135" s="5" t="s">
        <v>146</v>
      </c>
      <c r="R135" s="5" t="s">
        <v>55</v>
      </c>
      <c r="S135" s="7">
        <v>46206</v>
      </c>
      <c r="T135" s="7">
        <v>46209</v>
      </c>
      <c r="V135" s="5">
        <v>0</v>
      </c>
      <c r="W135" s="5">
        <v>0</v>
      </c>
      <c r="X135" s="5">
        <v>0</v>
      </c>
      <c r="Y135" s="5">
        <v>0</v>
      </c>
      <c r="Z135" s="5">
        <v>0</v>
      </c>
      <c r="AA135" s="5">
        <v>0</v>
      </c>
      <c r="AB135" s="5">
        <v>0</v>
      </c>
      <c r="AC135" s="5">
        <v>0</v>
      </c>
      <c r="AD135" s="5">
        <v>1</v>
      </c>
      <c r="AE135" s="5">
        <v>0</v>
      </c>
      <c r="AF135" s="5">
        <v>0</v>
      </c>
      <c r="AG135" s="5">
        <v>0</v>
      </c>
    </row>
    <row r="136" spans="1:33" hidden="1" x14ac:dyDescent="0.25">
      <c r="A136" s="5">
        <v>616</v>
      </c>
      <c r="B136" s="5" t="s">
        <v>876</v>
      </c>
      <c r="C136" s="5" t="s">
        <v>873</v>
      </c>
      <c r="D136" s="5" t="s">
        <v>108</v>
      </c>
      <c r="E136" s="5" t="s">
        <v>53</v>
      </c>
      <c r="F136" s="8">
        <v>46199</v>
      </c>
      <c r="G136" s="8">
        <v>46199</v>
      </c>
      <c r="H136" s="3">
        <v>0</v>
      </c>
      <c r="J136" s="5">
        <v>615</v>
      </c>
      <c r="L136" s="5" t="s">
        <v>35</v>
      </c>
      <c r="M136" s="5" t="s">
        <v>541</v>
      </c>
      <c r="N136" s="7">
        <v>46210</v>
      </c>
      <c r="P136" s="5" t="s">
        <v>699</v>
      </c>
      <c r="Q136" s="5" t="s">
        <v>146</v>
      </c>
      <c r="R136" s="5" t="s">
        <v>55</v>
      </c>
      <c r="S136" s="7">
        <v>46210</v>
      </c>
      <c r="T136" s="7">
        <v>46210</v>
      </c>
      <c r="V136" s="5">
        <v>0</v>
      </c>
      <c r="W136" s="5">
        <v>0</v>
      </c>
      <c r="X136" s="5">
        <v>0</v>
      </c>
      <c r="Y136" s="5">
        <v>0</v>
      </c>
      <c r="Z136" s="5">
        <v>1</v>
      </c>
      <c r="AA136" s="5">
        <v>0</v>
      </c>
      <c r="AB136" s="5">
        <v>0</v>
      </c>
      <c r="AC136" s="5">
        <v>0</v>
      </c>
      <c r="AD136" s="5">
        <v>0</v>
      </c>
      <c r="AE136" s="5">
        <v>0</v>
      </c>
      <c r="AF136" s="5">
        <v>1</v>
      </c>
      <c r="AG136" s="5">
        <v>0</v>
      </c>
    </row>
    <row r="137" spans="1:33" hidden="1" x14ac:dyDescent="0.25">
      <c r="A137" s="5">
        <v>617</v>
      </c>
      <c r="B137" s="5" t="s">
        <v>877</v>
      </c>
      <c r="C137" s="5" t="s">
        <v>701</v>
      </c>
      <c r="D137" s="5" t="s">
        <v>878</v>
      </c>
      <c r="E137" s="5" t="s">
        <v>744</v>
      </c>
      <c r="F137" s="8">
        <v>46188</v>
      </c>
      <c r="G137" s="8">
        <v>46199</v>
      </c>
      <c r="H137" s="3">
        <v>0.72</v>
      </c>
      <c r="L137" s="5" t="s">
        <v>35</v>
      </c>
      <c r="M137" s="5" t="s">
        <v>386</v>
      </c>
      <c r="N137" s="7">
        <v>46210</v>
      </c>
      <c r="P137" s="5" t="s">
        <v>699</v>
      </c>
      <c r="Q137" s="5" t="s">
        <v>138</v>
      </c>
      <c r="R137" s="5" t="s">
        <v>55</v>
      </c>
      <c r="S137" s="7">
        <v>46191</v>
      </c>
      <c r="T137" s="7">
        <v>46210</v>
      </c>
      <c r="V137" s="5">
        <v>0.72</v>
      </c>
      <c r="W137" s="5">
        <v>0</v>
      </c>
      <c r="X137" s="5">
        <v>0</v>
      </c>
      <c r="Y137" s="5">
        <v>0</v>
      </c>
      <c r="Z137" s="5">
        <v>0</v>
      </c>
      <c r="AA137" s="5">
        <v>0</v>
      </c>
      <c r="AB137" s="5">
        <v>0</v>
      </c>
      <c r="AC137" s="5">
        <v>0</v>
      </c>
      <c r="AD137" s="5">
        <v>0</v>
      </c>
      <c r="AE137" s="5">
        <v>0</v>
      </c>
      <c r="AF137" s="5">
        <v>0</v>
      </c>
      <c r="AG137" s="5">
        <v>0</v>
      </c>
    </row>
    <row r="138" spans="1:33" hidden="1" x14ac:dyDescent="0.25">
      <c r="A138" s="5">
        <v>619</v>
      </c>
      <c r="B138" s="5" t="s">
        <v>881</v>
      </c>
      <c r="C138" s="5" t="s">
        <v>880</v>
      </c>
      <c r="D138" s="5" t="s">
        <v>98</v>
      </c>
      <c r="E138" s="5" t="s">
        <v>53</v>
      </c>
      <c r="F138" s="8">
        <v>46197</v>
      </c>
      <c r="G138" s="8">
        <v>46197</v>
      </c>
      <c r="H138" s="3">
        <v>0.15</v>
      </c>
      <c r="J138" s="5">
        <v>618</v>
      </c>
      <c r="K138" s="5">
        <v>620</v>
      </c>
      <c r="L138" s="5" t="s">
        <v>35</v>
      </c>
      <c r="M138" s="5" t="s">
        <v>538</v>
      </c>
      <c r="N138" s="7">
        <v>46205</v>
      </c>
      <c r="P138" s="5" t="s">
        <v>699</v>
      </c>
      <c r="Q138" s="5" t="s">
        <v>146</v>
      </c>
      <c r="R138" s="5" t="s">
        <v>55</v>
      </c>
      <c r="S138" s="7">
        <v>46205</v>
      </c>
      <c r="T138" s="7">
        <v>46205</v>
      </c>
      <c r="V138" s="5">
        <v>0.15</v>
      </c>
      <c r="W138" s="5">
        <v>0</v>
      </c>
      <c r="X138" s="5">
        <v>0</v>
      </c>
      <c r="Y138" s="5">
        <v>0</v>
      </c>
      <c r="Z138" s="5">
        <v>0</v>
      </c>
      <c r="AA138" s="5">
        <v>0</v>
      </c>
      <c r="AB138" s="5">
        <v>1</v>
      </c>
      <c r="AC138" s="5">
        <v>0</v>
      </c>
      <c r="AD138" s="5">
        <v>0</v>
      </c>
      <c r="AE138" s="5">
        <v>0</v>
      </c>
      <c r="AF138" s="5">
        <v>0</v>
      </c>
      <c r="AG138" s="5">
        <v>0</v>
      </c>
    </row>
    <row r="139" spans="1:33" hidden="1" x14ac:dyDescent="0.25">
      <c r="A139" s="5">
        <v>620</v>
      </c>
      <c r="B139" s="5" t="s">
        <v>882</v>
      </c>
      <c r="C139" s="5" t="s">
        <v>880</v>
      </c>
      <c r="D139" s="5" t="s">
        <v>102</v>
      </c>
      <c r="E139" s="5" t="s">
        <v>53</v>
      </c>
      <c r="F139" s="8">
        <v>46198</v>
      </c>
      <c r="G139" s="8">
        <v>46198</v>
      </c>
      <c r="H139" s="3">
        <v>0</v>
      </c>
      <c r="J139" s="5">
        <v>619</v>
      </c>
      <c r="K139" s="5">
        <v>621</v>
      </c>
      <c r="L139" s="5" t="s">
        <v>35</v>
      </c>
      <c r="M139" s="5" t="s">
        <v>159</v>
      </c>
      <c r="N139" s="7">
        <v>46209</v>
      </c>
      <c r="P139" s="5" t="s">
        <v>699</v>
      </c>
      <c r="Q139" s="5" t="s">
        <v>146</v>
      </c>
      <c r="R139" s="5" t="s">
        <v>55</v>
      </c>
      <c r="S139" s="7">
        <v>46206</v>
      </c>
      <c r="T139" s="7">
        <v>46209</v>
      </c>
      <c r="V139" s="5">
        <v>0</v>
      </c>
      <c r="W139" s="5">
        <v>0</v>
      </c>
      <c r="X139" s="5">
        <v>0</v>
      </c>
      <c r="Y139" s="5">
        <v>0</v>
      </c>
      <c r="Z139" s="5">
        <v>0</v>
      </c>
      <c r="AA139" s="5">
        <v>0</v>
      </c>
      <c r="AB139" s="5">
        <v>0</v>
      </c>
      <c r="AC139" s="5">
        <v>0</v>
      </c>
      <c r="AD139" s="5">
        <v>1</v>
      </c>
      <c r="AE139" s="5">
        <v>0</v>
      </c>
      <c r="AF139" s="5">
        <v>0</v>
      </c>
      <c r="AG139" s="5">
        <v>0</v>
      </c>
    </row>
    <row r="140" spans="1:33" hidden="1" x14ac:dyDescent="0.25">
      <c r="A140" s="5">
        <v>621</v>
      </c>
      <c r="B140" s="5" t="s">
        <v>883</v>
      </c>
      <c r="C140" s="5" t="s">
        <v>880</v>
      </c>
      <c r="D140" s="5" t="s">
        <v>108</v>
      </c>
      <c r="E140" s="5" t="s">
        <v>53</v>
      </c>
      <c r="F140" s="8">
        <v>46199</v>
      </c>
      <c r="G140" s="8">
        <v>46199</v>
      </c>
      <c r="H140" s="3">
        <v>0</v>
      </c>
      <c r="J140" s="5">
        <v>620</v>
      </c>
      <c r="L140" s="5" t="s">
        <v>35</v>
      </c>
      <c r="M140" s="5" t="s">
        <v>541</v>
      </c>
      <c r="N140" s="7">
        <v>46210</v>
      </c>
      <c r="P140" s="5" t="s">
        <v>699</v>
      </c>
      <c r="Q140" s="5" t="s">
        <v>146</v>
      </c>
      <c r="R140" s="5" t="s">
        <v>55</v>
      </c>
      <c r="S140" s="7">
        <v>46210</v>
      </c>
      <c r="T140" s="7">
        <v>46210</v>
      </c>
      <c r="V140" s="5">
        <v>0</v>
      </c>
      <c r="W140" s="5">
        <v>0</v>
      </c>
      <c r="X140" s="5">
        <v>0</v>
      </c>
      <c r="Y140" s="5">
        <v>0</v>
      </c>
      <c r="Z140" s="5">
        <v>1</v>
      </c>
      <c r="AA140" s="5">
        <v>0</v>
      </c>
      <c r="AB140" s="5">
        <v>0</v>
      </c>
      <c r="AC140" s="5">
        <v>0</v>
      </c>
      <c r="AD140" s="5">
        <v>0</v>
      </c>
      <c r="AE140" s="5">
        <v>0</v>
      </c>
      <c r="AF140" s="5">
        <v>1</v>
      </c>
      <c r="AG140" s="5">
        <v>0</v>
      </c>
    </row>
    <row r="141" spans="1:33" hidden="1" x14ac:dyDescent="0.25">
      <c r="A141" s="5">
        <v>622</v>
      </c>
      <c r="B141" s="5" t="s">
        <v>884</v>
      </c>
      <c r="C141" s="5" t="s">
        <v>701</v>
      </c>
      <c r="D141" s="5" t="s">
        <v>885</v>
      </c>
      <c r="E141" s="5" t="s">
        <v>744</v>
      </c>
      <c r="F141" s="8">
        <v>46188</v>
      </c>
      <c r="G141" s="8">
        <v>46199</v>
      </c>
      <c r="H141" s="3">
        <v>0.72</v>
      </c>
      <c r="L141" s="5" t="s">
        <v>35</v>
      </c>
      <c r="M141" s="5" t="s">
        <v>386</v>
      </c>
      <c r="N141" s="7">
        <v>46210</v>
      </c>
      <c r="P141" s="5" t="s">
        <v>699</v>
      </c>
      <c r="Q141" s="5" t="s">
        <v>138</v>
      </c>
      <c r="R141" s="5" t="s">
        <v>55</v>
      </c>
      <c r="S141" s="7">
        <v>46191</v>
      </c>
      <c r="T141" s="7">
        <v>46210</v>
      </c>
      <c r="V141" s="5">
        <v>0.72</v>
      </c>
      <c r="W141" s="5">
        <v>0</v>
      </c>
      <c r="X141" s="5">
        <v>0</v>
      </c>
      <c r="Y141" s="5">
        <v>0</v>
      </c>
      <c r="Z141" s="5">
        <v>0</v>
      </c>
      <c r="AA141" s="5">
        <v>0</v>
      </c>
      <c r="AB141" s="5">
        <v>0</v>
      </c>
      <c r="AC141" s="5">
        <v>0</v>
      </c>
      <c r="AD141" s="5">
        <v>0</v>
      </c>
      <c r="AE141" s="5">
        <v>0</v>
      </c>
      <c r="AF141" s="5">
        <v>0</v>
      </c>
      <c r="AG141" s="5">
        <v>0</v>
      </c>
    </row>
    <row r="142" spans="1:33" hidden="1" x14ac:dyDescent="0.25">
      <c r="A142" s="5">
        <v>624</v>
      </c>
      <c r="B142" s="5" t="s">
        <v>888</v>
      </c>
      <c r="C142" s="5" t="s">
        <v>887</v>
      </c>
      <c r="D142" s="5" t="s">
        <v>98</v>
      </c>
      <c r="E142" s="5" t="s">
        <v>53</v>
      </c>
      <c r="F142" s="8">
        <v>46197</v>
      </c>
      <c r="G142" s="8">
        <v>46197</v>
      </c>
      <c r="H142" s="3">
        <v>0.15</v>
      </c>
      <c r="J142" s="5">
        <v>623</v>
      </c>
      <c r="K142" s="5">
        <v>625</v>
      </c>
      <c r="L142" s="5" t="s">
        <v>35</v>
      </c>
      <c r="M142" s="5" t="s">
        <v>538</v>
      </c>
      <c r="N142" s="7">
        <v>46205</v>
      </c>
      <c r="P142" s="5" t="s">
        <v>699</v>
      </c>
      <c r="Q142" s="5" t="s">
        <v>146</v>
      </c>
      <c r="R142" s="5" t="s">
        <v>55</v>
      </c>
      <c r="S142" s="7">
        <v>46205</v>
      </c>
      <c r="T142" s="7">
        <v>46205</v>
      </c>
      <c r="V142" s="5">
        <v>0.15</v>
      </c>
      <c r="W142" s="5">
        <v>0</v>
      </c>
      <c r="X142" s="5">
        <v>0</v>
      </c>
      <c r="Y142" s="5">
        <v>0</v>
      </c>
      <c r="Z142" s="5">
        <v>0</v>
      </c>
      <c r="AA142" s="5">
        <v>0</v>
      </c>
      <c r="AB142" s="5">
        <v>1</v>
      </c>
      <c r="AC142" s="5">
        <v>0</v>
      </c>
      <c r="AD142" s="5">
        <v>0</v>
      </c>
      <c r="AE142" s="5">
        <v>0</v>
      </c>
      <c r="AF142" s="5">
        <v>0</v>
      </c>
      <c r="AG142" s="5">
        <v>0</v>
      </c>
    </row>
    <row r="143" spans="1:33" hidden="1" x14ac:dyDescent="0.25">
      <c r="A143" s="5">
        <v>625</v>
      </c>
      <c r="B143" s="5" t="s">
        <v>889</v>
      </c>
      <c r="C143" s="5" t="s">
        <v>887</v>
      </c>
      <c r="D143" s="5" t="s">
        <v>102</v>
      </c>
      <c r="E143" s="5" t="s">
        <v>53</v>
      </c>
      <c r="F143" s="8">
        <v>46198</v>
      </c>
      <c r="G143" s="8">
        <v>46198</v>
      </c>
      <c r="H143" s="3">
        <v>0</v>
      </c>
      <c r="J143" s="5">
        <v>624</v>
      </c>
      <c r="K143" s="5">
        <v>626</v>
      </c>
      <c r="L143" s="5" t="s">
        <v>35</v>
      </c>
      <c r="M143" s="5" t="s">
        <v>159</v>
      </c>
      <c r="N143" s="7">
        <v>46209</v>
      </c>
      <c r="P143" s="5" t="s">
        <v>699</v>
      </c>
      <c r="Q143" s="5" t="s">
        <v>146</v>
      </c>
      <c r="R143" s="5" t="s">
        <v>55</v>
      </c>
      <c r="S143" s="7">
        <v>46206</v>
      </c>
      <c r="T143" s="7">
        <v>46209</v>
      </c>
      <c r="V143" s="5">
        <v>0</v>
      </c>
      <c r="W143" s="5">
        <v>0</v>
      </c>
      <c r="X143" s="5">
        <v>0</v>
      </c>
      <c r="Y143" s="5">
        <v>0</v>
      </c>
      <c r="Z143" s="5">
        <v>0</v>
      </c>
      <c r="AA143" s="5">
        <v>0</v>
      </c>
      <c r="AB143" s="5">
        <v>0</v>
      </c>
      <c r="AC143" s="5">
        <v>0</v>
      </c>
      <c r="AD143" s="5">
        <v>1</v>
      </c>
      <c r="AE143" s="5">
        <v>0</v>
      </c>
      <c r="AF143" s="5">
        <v>0</v>
      </c>
      <c r="AG143" s="5">
        <v>0</v>
      </c>
    </row>
    <row r="144" spans="1:33" hidden="1" x14ac:dyDescent="0.25">
      <c r="A144" s="5">
        <v>626</v>
      </c>
      <c r="B144" s="5" t="s">
        <v>890</v>
      </c>
      <c r="C144" s="5" t="s">
        <v>887</v>
      </c>
      <c r="D144" s="5" t="s">
        <v>108</v>
      </c>
      <c r="E144" s="5" t="s">
        <v>53</v>
      </c>
      <c r="F144" s="8">
        <v>46199</v>
      </c>
      <c r="G144" s="8">
        <v>46199</v>
      </c>
      <c r="H144" s="3">
        <v>0</v>
      </c>
      <c r="J144" s="5">
        <v>625</v>
      </c>
      <c r="L144" s="5" t="s">
        <v>35</v>
      </c>
      <c r="M144" s="5" t="s">
        <v>541</v>
      </c>
      <c r="N144" s="7">
        <v>46210</v>
      </c>
      <c r="P144" s="5" t="s">
        <v>699</v>
      </c>
      <c r="Q144" s="5" t="s">
        <v>146</v>
      </c>
      <c r="R144" s="5" t="s">
        <v>55</v>
      </c>
      <c r="S144" s="7">
        <v>46210</v>
      </c>
      <c r="T144" s="7">
        <v>46210</v>
      </c>
      <c r="V144" s="5">
        <v>0</v>
      </c>
      <c r="W144" s="5">
        <v>0</v>
      </c>
      <c r="X144" s="5">
        <v>0</v>
      </c>
      <c r="Y144" s="5">
        <v>0</v>
      </c>
      <c r="Z144" s="5">
        <v>1</v>
      </c>
      <c r="AA144" s="5">
        <v>0</v>
      </c>
      <c r="AB144" s="5">
        <v>0</v>
      </c>
      <c r="AC144" s="5">
        <v>0</v>
      </c>
      <c r="AD144" s="5">
        <v>0</v>
      </c>
      <c r="AE144" s="5">
        <v>0</v>
      </c>
      <c r="AF144" s="5">
        <v>1</v>
      </c>
      <c r="AG144" s="5">
        <v>0</v>
      </c>
    </row>
    <row r="145" spans="1:33" hidden="1" x14ac:dyDescent="0.25">
      <c r="A145" s="5">
        <v>627</v>
      </c>
      <c r="B145" s="5" t="s">
        <v>891</v>
      </c>
      <c r="C145" s="5" t="s">
        <v>701</v>
      </c>
      <c r="D145" s="5" t="s">
        <v>892</v>
      </c>
      <c r="E145" s="5" t="s">
        <v>744</v>
      </c>
      <c r="F145" s="8">
        <v>46191</v>
      </c>
      <c r="G145" s="8">
        <v>46204</v>
      </c>
      <c r="H145" s="3">
        <v>0.72</v>
      </c>
      <c r="L145" s="5" t="s">
        <v>35</v>
      </c>
      <c r="M145" s="5" t="s">
        <v>386</v>
      </c>
      <c r="N145" s="7">
        <v>46210</v>
      </c>
      <c r="P145" s="5" t="s">
        <v>699</v>
      </c>
      <c r="Q145" s="5" t="s">
        <v>138</v>
      </c>
      <c r="R145" s="5" t="s">
        <v>55</v>
      </c>
      <c r="S145" s="7">
        <v>46191</v>
      </c>
      <c r="T145" s="7">
        <v>46210</v>
      </c>
      <c r="V145" s="5">
        <v>0.72</v>
      </c>
      <c r="W145" s="5">
        <v>0</v>
      </c>
      <c r="X145" s="5">
        <v>0</v>
      </c>
      <c r="Y145" s="5">
        <v>0</v>
      </c>
      <c r="Z145" s="5">
        <v>0</v>
      </c>
      <c r="AA145" s="5">
        <v>0</v>
      </c>
      <c r="AB145" s="5">
        <v>0</v>
      </c>
      <c r="AC145" s="5">
        <v>0</v>
      </c>
      <c r="AD145" s="5">
        <v>0</v>
      </c>
      <c r="AE145" s="5">
        <v>0</v>
      </c>
      <c r="AF145" s="5">
        <v>0</v>
      </c>
      <c r="AG145" s="5">
        <v>0</v>
      </c>
    </row>
    <row r="146" spans="1:33" hidden="1" x14ac:dyDescent="0.25">
      <c r="A146" s="5">
        <v>629</v>
      </c>
      <c r="B146" s="5" t="s">
        <v>895</v>
      </c>
      <c r="C146" s="5" t="s">
        <v>894</v>
      </c>
      <c r="D146" s="5" t="s">
        <v>98</v>
      </c>
      <c r="E146" s="5" t="s">
        <v>53</v>
      </c>
      <c r="F146" s="8">
        <v>46202</v>
      </c>
      <c r="G146" s="8">
        <v>46202</v>
      </c>
      <c r="H146" s="3">
        <v>0.15</v>
      </c>
      <c r="J146" s="5">
        <v>628</v>
      </c>
      <c r="K146" s="5">
        <v>630</v>
      </c>
      <c r="L146" s="5" t="s">
        <v>35</v>
      </c>
      <c r="M146" s="5" t="s">
        <v>538</v>
      </c>
      <c r="N146" s="7">
        <v>46205</v>
      </c>
      <c r="P146" s="5" t="s">
        <v>699</v>
      </c>
      <c r="Q146" s="5" t="s">
        <v>146</v>
      </c>
      <c r="R146" s="5" t="s">
        <v>55</v>
      </c>
      <c r="S146" s="7">
        <v>46205</v>
      </c>
      <c r="T146" s="7">
        <v>46205</v>
      </c>
      <c r="V146" s="5">
        <v>0.15</v>
      </c>
      <c r="W146" s="5">
        <v>0</v>
      </c>
      <c r="X146" s="5">
        <v>0</v>
      </c>
      <c r="Y146" s="5">
        <v>0</v>
      </c>
      <c r="Z146" s="5">
        <v>0</v>
      </c>
      <c r="AA146" s="5">
        <v>0</v>
      </c>
      <c r="AB146" s="5">
        <v>1</v>
      </c>
      <c r="AC146" s="5">
        <v>0</v>
      </c>
      <c r="AD146" s="5">
        <v>0</v>
      </c>
      <c r="AE146" s="5">
        <v>0</v>
      </c>
      <c r="AF146" s="5">
        <v>0</v>
      </c>
      <c r="AG146" s="5">
        <v>0</v>
      </c>
    </row>
    <row r="147" spans="1:33" hidden="1" x14ac:dyDescent="0.25">
      <c r="A147" s="5">
        <v>630</v>
      </c>
      <c r="B147" s="5" t="s">
        <v>896</v>
      </c>
      <c r="C147" s="5" t="s">
        <v>894</v>
      </c>
      <c r="D147" s="5" t="s">
        <v>102</v>
      </c>
      <c r="E147" s="5" t="s">
        <v>53</v>
      </c>
      <c r="F147" s="8">
        <v>46203</v>
      </c>
      <c r="G147" s="8">
        <v>46203</v>
      </c>
      <c r="H147" s="3">
        <v>0</v>
      </c>
      <c r="J147" s="5">
        <v>629</v>
      </c>
      <c r="K147" s="5">
        <v>631</v>
      </c>
      <c r="L147" s="5" t="s">
        <v>35</v>
      </c>
      <c r="M147" s="5" t="s">
        <v>159</v>
      </c>
      <c r="N147" s="7">
        <v>46209</v>
      </c>
      <c r="P147" s="5" t="s">
        <v>699</v>
      </c>
      <c r="Q147" s="5" t="s">
        <v>146</v>
      </c>
      <c r="R147" s="5" t="s">
        <v>55</v>
      </c>
      <c r="S147" s="7">
        <v>46206</v>
      </c>
      <c r="T147" s="7">
        <v>46209</v>
      </c>
      <c r="V147" s="5">
        <v>0</v>
      </c>
      <c r="W147" s="5">
        <v>0</v>
      </c>
      <c r="X147" s="5">
        <v>0</v>
      </c>
      <c r="Y147" s="5">
        <v>0</v>
      </c>
      <c r="Z147" s="5">
        <v>0</v>
      </c>
      <c r="AA147" s="5">
        <v>0</v>
      </c>
      <c r="AB147" s="5">
        <v>0</v>
      </c>
      <c r="AC147" s="5">
        <v>0</v>
      </c>
      <c r="AD147" s="5">
        <v>1</v>
      </c>
      <c r="AE147" s="5">
        <v>0</v>
      </c>
      <c r="AF147" s="5">
        <v>0</v>
      </c>
      <c r="AG147" s="5">
        <v>0</v>
      </c>
    </row>
    <row r="148" spans="1:33" hidden="1" x14ac:dyDescent="0.25">
      <c r="A148" s="5">
        <v>631</v>
      </c>
      <c r="B148" s="5" t="s">
        <v>897</v>
      </c>
      <c r="C148" s="5" t="s">
        <v>894</v>
      </c>
      <c r="D148" s="5" t="s">
        <v>108</v>
      </c>
      <c r="E148" s="5" t="s">
        <v>53</v>
      </c>
      <c r="F148" s="8">
        <v>46204</v>
      </c>
      <c r="G148" s="8">
        <v>46204</v>
      </c>
      <c r="H148" s="3">
        <v>0</v>
      </c>
      <c r="J148" s="5">
        <v>630</v>
      </c>
      <c r="L148" s="5" t="s">
        <v>35</v>
      </c>
      <c r="M148" s="5" t="s">
        <v>541</v>
      </c>
      <c r="N148" s="7">
        <v>46210</v>
      </c>
      <c r="P148" s="5" t="s">
        <v>699</v>
      </c>
      <c r="Q148" s="5" t="s">
        <v>146</v>
      </c>
      <c r="R148" s="5" t="s">
        <v>55</v>
      </c>
      <c r="S148" s="7">
        <v>46210</v>
      </c>
      <c r="T148" s="7">
        <v>46210</v>
      </c>
      <c r="V148" s="5">
        <v>0</v>
      </c>
      <c r="W148" s="5">
        <v>0</v>
      </c>
      <c r="X148" s="5">
        <v>0</v>
      </c>
      <c r="Y148" s="5">
        <v>0</v>
      </c>
      <c r="Z148" s="5">
        <v>1</v>
      </c>
      <c r="AA148" s="5">
        <v>0</v>
      </c>
      <c r="AB148" s="5">
        <v>0</v>
      </c>
      <c r="AC148" s="5">
        <v>0</v>
      </c>
      <c r="AD148" s="5">
        <v>0</v>
      </c>
      <c r="AE148" s="5">
        <v>0</v>
      </c>
      <c r="AF148" s="5">
        <v>1</v>
      </c>
      <c r="AG148" s="5">
        <v>0</v>
      </c>
    </row>
    <row r="149" spans="1:33" hidden="1" x14ac:dyDescent="0.25">
      <c r="A149" s="5">
        <v>632</v>
      </c>
      <c r="B149" s="5" t="s">
        <v>898</v>
      </c>
      <c r="C149" s="5" t="s">
        <v>701</v>
      </c>
      <c r="D149" s="5" t="s">
        <v>899</v>
      </c>
      <c r="E149" s="5" t="s">
        <v>744</v>
      </c>
      <c r="F149" s="8">
        <v>46191</v>
      </c>
      <c r="G149" s="8">
        <v>46204</v>
      </c>
      <c r="H149" s="3">
        <v>0.72</v>
      </c>
      <c r="L149" s="5" t="s">
        <v>35</v>
      </c>
      <c r="M149" s="5" t="s">
        <v>386</v>
      </c>
      <c r="N149" s="7">
        <v>46210</v>
      </c>
      <c r="P149" s="5" t="s">
        <v>699</v>
      </c>
      <c r="Q149" s="5" t="s">
        <v>138</v>
      </c>
      <c r="R149" s="5" t="s">
        <v>55</v>
      </c>
      <c r="S149" s="7">
        <v>46191</v>
      </c>
      <c r="T149" s="7">
        <v>46210</v>
      </c>
      <c r="V149" s="5">
        <v>0.72</v>
      </c>
      <c r="W149" s="5">
        <v>0</v>
      </c>
      <c r="X149" s="5">
        <v>0</v>
      </c>
      <c r="Y149" s="5">
        <v>0</v>
      </c>
      <c r="Z149" s="5">
        <v>0</v>
      </c>
      <c r="AA149" s="5">
        <v>0</v>
      </c>
      <c r="AB149" s="5">
        <v>0</v>
      </c>
      <c r="AC149" s="5">
        <v>0</v>
      </c>
      <c r="AD149" s="5">
        <v>0</v>
      </c>
      <c r="AE149" s="5">
        <v>0</v>
      </c>
      <c r="AF149" s="5">
        <v>0</v>
      </c>
      <c r="AG149" s="5">
        <v>0</v>
      </c>
    </row>
    <row r="150" spans="1:33" hidden="1" x14ac:dyDescent="0.25">
      <c r="A150" s="5">
        <v>634</v>
      </c>
      <c r="B150" s="5" t="s">
        <v>902</v>
      </c>
      <c r="C150" s="5" t="s">
        <v>901</v>
      </c>
      <c r="D150" s="5" t="s">
        <v>98</v>
      </c>
      <c r="E150" s="5" t="s">
        <v>53</v>
      </c>
      <c r="F150" s="8">
        <v>46202</v>
      </c>
      <c r="G150" s="8">
        <v>46202</v>
      </c>
      <c r="H150" s="3">
        <v>0.15</v>
      </c>
      <c r="J150" s="5">
        <v>633</v>
      </c>
      <c r="K150" s="5">
        <v>635</v>
      </c>
      <c r="L150" s="5" t="s">
        <v>35</v>
      </c>
      <c r="M150" s="5" t="s">
        <v>538</v>
      </c>
      <c r="N150" s="7">
        <v>46205</v>
      </c>
      <c r="P150" s="5" t="s">
        <v>699</v>
      </c>
      <c r="Q150" s="5" t="s">
        <v>146</v>
      </c>
      <c r="R150" s="5" t="s">
        <v>55</v>
      </c>
      <c r="S150" s="7">
        <v>46205</v>
      </c>
      <c r="T150" s="7">
        <v>46205</v>
      </c>
      <c r="V150" s="5">
        <v>0.15</v>
      </c>
      <c r="W150" s="5">
        <v>0</v>
      </c>
      <c r="X150" s="5">
        <v>0</v>
      </c>
      <c r="Y150" s="5">
        <v>0</v>
      </c>
      <c r="Z150" s="5">
        <v>0</v>
      </c>
      <c r="AA150" s="5">
        <v>0</v>
      </c>
      <c r="AB150" s="5">
        <v>1</v>
      </c>
      <c r="AC150" s="5">
        <v>0</v>
      </c>
      <c r="AD150" s="5">
        <v>0</v>
      </c>
      <c r="AE150" s="5">
        <v>0</v>
      </c>
      <c r="AF150" s="5">
        <v>0</v>
      </c>
      <c r="AG150" s="5">
        <v>0</v>
      </c>
    </row>
    <row r="151" spans="1:33" hidden="1" x14ac:dyDescent="0.25">
      <c r="A151" s="5">
        <v>635</v>
      </c>
      <c r="B151" s="5" t="s">
        <v>903</v>
      </c>
      <c r="C151" s="5" t="s">
        <v>901</v>
      </c>
      <c r="D151" s="5" t="s">
        <v>102</v>
      </c>
      <c r="E151" s="5" t="s">
        <v>53</v>
      </c>
      <c r="F151" s="8">
        <v>46203</v>
      </c>
      <c r="G151" s="8">
        <v>46203</v>
      </c>
      <c r="H151" s="3">
        <v>0</v>
      </c>
      <c r="J151" s="5">
        <v>634</v>
      </c>
      <c r="K151" s="5">
        <v>636</v>
      </c>
      <c r="L151" s="5" t="s">
        <v>35</v>
      </c>
      <c r="M151" s="5" t="s">
        <v>159</v>
      </c>
      <c r="N151" s="7">
        <v>46209</v>
      </c>
      <c r="P151" s="5" t="s">
        <v>699</v>
      </c>
      <c r="Q151" s="5" t="s">
        <v>146</v>
      </c>
      <c r="R151" s="5" t="s">
        <v>55</v>
      </c>
      <c r="S151" s="7">
        <v>46206</v>
      </c>
      <c r="T151" s="7">
        <v>46209</v>
      </c>
      <c r="V151" s="5">
        <v>0</v>
      </c>
      <c r="W151" s="5">
        <v>0</v>
      </c>
      <c r="X151" s="5">
        <v>0</v>
      </c>
      <c r="Y151" s="5">
        <v>0</v>
      </c>
      <c r="Z151" s="5">
        <v>0</v>
      </c>
      <c r="AA151" s="5">
        <v>0</v>
      </c>
      <c r="AB151" s="5">
        <v>0</v>
      </c>
      <c r="AC151" s="5">
        <v>0</v>
      </c>
      <c r="AD151" s="5">
        <v>1</v>
      </c>
      <c r="AE151" s="5">
        <v>0</v>
      </c>
      <c r="AF151" s="5">
        <v>0</v>
      </c>
      <c r="AG151" s="5">
        <v>0</v>
      </c>
    </row>
    <row r="152" spans="1:33" hidden="1" x14ac:dyDescent="0.25">
      <c r="A152" s="5">
        <v>636</v>
      </c>
      <c r="B152" s="5" t="s">
        <v>904</v>
      </c>
      <c r="C152" s="5" t="s">
        <v>901</v>
      </c>
      <c r="D152" s="5" t="s">
        <v>108</v>
      </c>
      <c r="E152" s="5" t="s">
        <v>53</v>
      </c>
      <c r="F152" s="8">
        <v>46204</v>
      </c>
      <c r="G152" s="8">
        <v>46204</v>
      </c>
      <c r="H152" s="3">
        <v>0</v>
      </c>
      <c r="J152" s="5">
        <v>635</v>
      </c>
      <c r="L152" s="5" t="s">
        <v>35</v>
      </c>
      <c r="M152" s="5" t="s">
        <v>541</v>
      </c>
      <c r="N152" s="7">
        <v>46210</v>
      </c>
      <c r="P152" s="5" t="s">
        <v>699</v>
      </c>
      <c r="Q152" s="5" t="s">
        <v>146</v>
      </c>
      <c r="R152" s="5" t="s">
        <v>55</v>
      </c>
      <c r="S152" s="7">
        <v>46210</v>
      </c>
      <c r="T152" s="7">
        <v>46210</v>
      </c>
      <c r="V152" s="5">
        <v>0</v>
      </c>
      <c r="W152" s="5">
        <v>0</v>
      </c>
      <c r="X152" s="5">
        <v>0</v>
      </c>
      <c r="Y152" s="5">
        <v>0</v>
      </c>
      <c r="Z152" s="5">
        <v>1</v>
      </c>
      <c r="AA152" s="5">
        <v>0</v>
      </c>
      <c r="AB152" s="5">
        <v>0</v>
      </c>
      <c r="AC152" s="5">
        <v>0</v>
      </c>
      <c r="AD152" s="5">
        <v>0</v>
      </c>
      <c r="AE152" s="5">
        <v>0</v>
      </c>
      <c r="AF152" s="5">
        <v>1</v>
      </c>
      <c r="AG152" s="5">
        <v>0</v>
      </c>
    </row>
    <row r="153" spans="1:33" hidden="1" x14ac:dyDescent="0.25">
      <c r="A153" s="5">
        <v>637</v>
      </c>
      <c r="B153" s="5" t="s">
        <v>905</v>
      </c>
      <c r="C153" s="5" t="s">
        <v>701</v>
      </c>
      <c r="D153" s="5" t="s">
        <v>906</v>
      </c>
      <c r="E153" s="5" t="s">
        <v>744</v>
      </c>
      <c r="F153" s="8">
        <v>46191</v>
      </c>
      <c r="G153" s="8">
        <v>46204</v>
      </c>
      <c r="H153" s="3">
        <v>0.72</v>
      </c>
      <c r="L153" s="5" t="s">
        <v>35</v>
      </c>
      <c r="M153" s="5" t="s">
        <v>386</v>
      </c>
      <c r="N153" s="7">
        <v>46210</v>
      </c>
      <c r="P153" s="5" t="s">
        <v>699</v>
      </c>
      <c r="Q153" s="5" t="s">
        <v>138</v>
      </c>
      <c r="R153" s="5" t="s">
        <v>55</v>
      </c>
      <c r="S153" s="7">
        <v>46191</v>
      </c>
      <c r="T153" s="7">
        <v>46210</v>
      </c>
      <c r="V153" s="5">
        <v>0.72</v>
      </c>
      <c r="W153" s="5">
        <v>0</v>
      </c>
      <c r="X153" s="5">
        <v>0</v>
      </c>
      <c r="Y153" s="5">
        <v>0</v>
      </c>
      <c r="Z153" s="5">
        <v>0</v>
      </c>
      <c r="AA153" s="5">
        <v>0</v>
      </c>
      <c r="AB153" s="5">
        <v>0</v>
      </c>
      <c r="AC153" s="5">
        <v>0</v>
      </c>
      <c r="AD153" s="5">
        <v>0</v>
      </c>
      <c r="AE153" s="5">
        <v>0</v>
      </c>
      <c r="AF153" s="5">
        <v>0</v>
      </c>
      <c r="AG153" s="5">
        <v>0</v>
      </c>
    </row>
    <row r="154" spans="1:33" hidden="1" x14ac:dyDescent="0.25">
      <c r="A154" s="5">
        <v>639</v>
      </c>
      <c r="B154" s="5" t="s">
        <v>909</v>
      </c>
      <c r="C154" s="5" t="s">
        <v>908</v>
      </c>
      <c r="D154" s="5" t="s">
        <v>98</v>
      </c>
      <c r="E154" s="5" t="s">
        <v>53</v>
      </c>
      <c r="F154" s="8">
        <v>46202</v>
      </c>
      <c r="G154" s="8">
        <v>46202</v>
      </c>
      <c r="H154" s="3">
        <v>0.15</v>
      </c>
      <c r="J154" s="5">
        <v>638</v>
      </c>
      <c r="K154" s="5">
        <v>640</v>
      </c>
      <c r="L154" s="5" t="s">
        <v>35</v>
      </c>
      <c r="M154" s="5" t="s">
        <v>538</v>
      </c>
      <c r="N154" s="7">
        <v>46205</v>
      </c>
      <c r="P154" s="5" t="s">
        <v>699</v>
      </c>
      <c r="Q154" s="5" t="s">
        <v>146</v>
      </c>
      <c r="R154" s="5" t="s">
        <v>55</v>
      </c>
      <c r="S154" s="7">
        <v>46205</v>
      </c>
      <c r="T154" s="7">
        <v>46205</v>
      </c>
      <c r="V154" s="5">
        <v>0.15</v>
      </c>
      <c r="W154" s="5">
        <v>0</v>
      </c>
      <c r="X154" s="5">
        <v>0</v>
      </c>
      <c r="Y154" s="5">
        <v>0</v>
      </c>
      <c r="Z154" s="5">
        <v>0</v>
      </c>
      <c r="AA154" s="5">
        <v>0</v>
      </c>
      <c r="AB154" s="5">
        <v>1</v>
      </c>
      <c r="AC154" s="5">
        <v>0</v>
      </c>
      <c r="AD154" s="5">
        <v>0</v>
      </c>
      <c r="AE154" s="5">
        <v>0</v>
      </c>
      <c r="AF154" s="5">
        <v>0</v>
      </c>
      <c r="AG154" s="5">
        <v>0</v>
      </c>
    </row>
    <row r="155" spans="1:33" hidden="1" x14ac:dyDescent="0.25">
      <c r="A155" s="5">
        <v>640</v>
      </c>
      <c r="B155" s="5" t="s">
        <v>910</v>
      </c>
      <c r="C155" s="5" t="s">
        <v>908</v>
      </c>
      <c r="D155" s="5" t="s">
        <v>102</v>
      </c>
      <c r="E155" s="5" t="s">
        <v>53</v>
      </c>
      <c r="F155" s="8">
        <v>46203</v>
      </c>
      <c r="G155" s="8">
        <v>46203</v>
      </c>
      <c r="H155" s="3">
        <v>0</v>
      </c>
      <c r="J155" s="5">
        <v>639</v>
      </c>
      <c r="K155" s="5">
        <v>641</v>
      </c>
      <c r="L155" s="5" t="s">
        <v>35</v>
      </c>
      <c r="M155" s="5" t="s">
        <v>159</v>
      </c>
      <c r="N155" s="7">
        <v>46209</v>
      </c>
      <c r="P155" s="5" t="s">
        <v>699</v>
      </c>
      <c r="Q155" s="5" t="s">
        <v>146</v>
      </c>
      <c r="R155" s="5" t="s">
        <v>55</v>
      </c>
      <c r="S155" s="7">
        <v>46206</v>
      </c>
      <c r="T155" s="7">
        <v>46209</v>
      </c>
      <c r="V155" s="5">
        <v>0</v>
      </c>
      <c r="W155" s="5">
        <v>0</v>
      </c>
      <c r="X155" s="5">
        <v>0</v>
      </c>
      <c r="Y155" s="5">
        <v>0</v>
      </c>
      <c r="Z155" s="5">
        <v>0</v>
      </c>
      <c r="AA155" s="5">
        <v>0</v>
      </c>
      <c r="AB155" s="5">
        <v>0</v>
      </c>
      <c r="AC155" s="5">
        <v>0</v>
      </c>
      <c r="AD155" s="5">
        <v>1</v>
      </c>
      <c r="AE155" s="5">
        <v>0</v>
      </c>
      <c r="AF155" s="5">
        <v>0</v>
      </c>
      <c r="AG155" s="5">
        <v>0</v>
      </c>
    </row>
    <row r="156" spans="1:33" hidden="1" x14ac:dyDescent="0.25">
      <c r="A156" s="5">
        <v>641</v>
      </c>
      <c r="B156" s="5" t="s">
        <v>911</v>
      </c>
      <c r="C156" s="5" t="s">
        <v>908</v>
      </c>
      <c r="D156" s="5" t="s">
        <v>108</v>
      </c>
      <c r="E156" s="5" t="s">
        <v>53</v>
      </c>
      <c r="F156" s="8">
        <v>46204</v>
      </c>
      <c r="G156" s="8">
        <v>46204</v>
      </c>
      <c r="H156" s="3">
        <v>0</v>
      </c>
      <c r="J156" s="5">
        <v>640</v>
      </c>
      <c r="L156" s="5" t="s">
        <v>35</v>
      </c>
      <c r="M156" s="5" t="s">
        <v>541</v>
      </c>
      <c r="N156" s="7">
        <v>46210</v>
      </c>
      <c r="P156" s="5" t="s">
        <v>699</v>
      </c>
      <c r="Q156" s="5" t="s">
        <v>146</v>
      </c>
      <c r="R156" s="5" t="s">
        <v>55</v>
      </c>
      <c r="S156" s="7">
        <v>46210</v>
      </c>
      <c r="T156" s="7">
        <v>46210</v>
      </c>
      <c r="V156" s="5">
        <v>0</v>
      </c>
      <c r="W156" s="5">
        <v>0</v>
      </c>
      <c r="X156" s="5">
        <v>0</v>
      </c>
      <c r="Y156" s="5">
        <v>0</v>
      </c>
      <c r="Z156" s="5">
        <v>1</v>
      </c>
      <c r="AA156" s="5">
        <v>0</v>
      </c>
      <c r="AB156" s="5">
        <v>0</v>
      </c>
      <c r="AC156" s="5">
        <v>0</v>
      </c>
      <c r="AD156" s="5">
        <v>0</v>
      </c>
      <c r="AE156" s="5">
        <v>0</v>
      </c>
      <c r="AF156" s="5">
        <v>1</v>
      </c>
      <c r="AG156" s="5">
        <v>0</v>
      </c>
    </row>
    <row r="157" spans="1:33" hidden="1" x14ac:dyDescent="0.25">
      <c r="A157" s="5">
        <v>642</v>
      </c>
      <c r="B157" s="5" t="s">
        <v>912</v>
      </c>
      <c r="C157" s="5" t="s">
        <v>701</v>
      </c>
      <c r="D157" s="5" t="s">
        <v>913</v>
      </c>
      <c r="E157" s="5" t="s">
        <v>744</v>
      </c>
      <c r="F157" s="8">
        <v>46188</v>
      </c>
      <c r="G157" s="8">
        <v>46199</v>
      </c>
      <c r="H157" s="3">
        <v>0.72</v>
      </c>
      <c r="L157" s="5" t="s">
        <v>35</v>
      </c>
      <c r="M157" s="5" t="s">
        <v>386</v>
      </c>
      <c r="N157" s="7">
        <v>46210</v>
      </c>
      <c r="P157" s="5" t="s">
        <v>699</v>
      </c>
      <c r="Q157" s="5" t="s">
        <v>138</v>
      </c>
      <c r="R157" s="5" t="s">
        <v>55</v>
      </c>
      <c r="S157" s="7">
        <v>46191</v>
      </c>
      <c r="T157" s="7">
        <v>46210</v>
      </c>
      <c r="V157" s="5">
        <v>0.72</v>
      </c>
      <c r="W157" s="5">
        <v>0</v>
      </c>
      <c r="X157" s="5">
        <v>0</v>
      </c>
      <c r="Y157" s="5">
        <v>0</v>
      </c>
      <c r="Z157" s="5">
        <v>0</v>
      </c>
      <c r="AA157" s="5">
        <v>0</v>
      </c>
      <c r="AB157" s="5">
        <v>0</v>
      </c>
      <c r="AC157" s="5">
        <v>0</v>
      </c>
      <c r="AD157" s="5">
        <v>0</v>
      </c>
      <c r="AE157" s="5">
        <v>0</v>
      </c>
      <c r="AF157" s="5">
        <v>0</v>
      </c>
      <c r="AG157" s="5">
        <v>0</v>
      </c>
    </row>
    <row r="158" spans="1:33" hidden="1" x14ac:dyDescent="0.25">
      <c r="A158" s="5">
        <v>644</v>
      </c>
      <c r="B158" s="5" t="s">
        <v>916</v>
      </c>
      <c r="C158" s="5" t="s">
        <v>915</v>
      </c>
      <c r="D158" s="5" t="s">
        <v>98</v>
      </c>
      <c r="E158" s="5" t="s">
        <v>53</v>
      </c>
      <c r="F158" s="8">
        <v>46197</v>
      </c>
      <c r="G158" s="8">
        <v>46197</v>
      </c>
      <c r="H158" s="3">
        <v>0.15</v>
      </c>
      <c r="J158" s="5">
        <v>643</v>
      </c>
      <c r="K158" s="5">
        <v>645</v>
      </c>
      <c r="L158" s="5" t="s">
        <v>35</v>
      </c>
      <c r="M158" s="5" t="s">
        <v>538</v>
      </c>
      <c r="N158" s="7">
        <v>46205</v>
      </c>
      <c r="P158" s="5" t="s">
        <v>699</v>
      </c>
      <c r="Q158" s="5" t="s">
        <v>146</v>
      </c>
      <c r="R158" s="5" t="s">
        <v>55</v>
      </c>
      <c r="S158" s="7">
        <v>46205</v>
      </c>
      <c r="T158" s="7">
        <v>46205</v>
      </c>
      <c r="V158" s="5">
        <v>0.15</v>
      </c>
      <c r="W158" s="5">
        <v>0</v>
      </c>
      <c r="X158" s="5">
        <v>0</v>
      </c>
      <c r="Y158" s="5">
        <v>0</v>
      </c>
      <c r="Z158" s="5">
        <v>0</v>
      </c>
      <c r="AA158" s="5">
        <v>0</v>
      </c>
      <c r="AB158" s="5">
        <v>1</v>
      </c>
      <c r="AC158" s="5">
        <v>0</v>
      </c>
      <c r="AD158" s="5">
        <v>0</v>
      </c>
      <c r="AE158" s="5">
        <v>0</v>
      </c>
      <c r="AF158" s="5">
        <v>0</v>
      </c>
      <c r="AG158" s="5">
        <v>0</v>
      </c>
    </row>
    <row r="159" spans="1:33" hidden="1" x14ac:dyDescent="0.25">
      <c r="A159" s="5">
        <v>645</v>
      </c>
      <c r="B159" s="5" t="s">
        <v>917</v>
      </c>
      <c r="C159" s="5" t="s">
        <v>915</v>
      </c>
      <c r="D159" s="5" t="s">
        <v>102</v>
      </c>
      <c r="E159" s="5" t="s">
        <v>53</v>
      </c>
      <c r="F159" s="8">
        <v>46198</v>
      </c>
      <c r="G159" s="8">
        <v>46198</v>
      </c>
      <c r="H159" s="3">
        <v>0</v>
      </c>
      <c r="J159" s="5">
        <v>644</v>
      </c>
      <c r="K159" s="5">
        <v>646</v>
      </c>
      <c r="L159" s="5" t="s">
        <v>35</v>
      </c>
      <c r="M159" s="5" t="s">
        <v>159</v>
      </c>
      <c r="N159" s="7">
        <v>46209</v>
      </c>
      <c r="P159" s="5" t="s">
        <v>699</v>
      </c>
      <c r="Q159" s="5" t="s">
        <v>146</v>
      </c>
      <c r="R159" s="5" t="s">
        <v>55</v>
      </c>
      <c r="S159" s="7">
        <v>46206</v>
      </c>
      <c r="T159" s="7">
        <v>46209</v>
      </c>
      <c r="V159" s="5">
        <v>0</v>
      </c>
      <c r="W159" s="5">
        <v>0</v>
      </c>
      <c r="X159" s="5">
        <v>0</v>
      </c>
      <c r="Y159" s="5">
        <v>0</v>
      </c>
      <c r="Z159" s="5">
        <v>0</v>
      </c>
      <c r="AA159" s="5">
        <v>0</v>
      </c>
      <c r="AB159" s="5">
        <v>0</v>
      </c>
      <c r="AC159" s="5">
        <v>0</v>
      </c>
      <c r="AD159" s="5">
        <v>1</v>
      </c>
      <c r="AE159" s="5">
        <v>0</v>
      </c>
      <c r="AF159" s="5">
        <v>0</v>
      </c>
      <c r="AG159" s="5">
        <v>0</v>
      </c>
    </row>
    <row r="160" spans="1:33" hidden="1" x14ac:dyDescent="0.25">
      <c r="A160" s="5">
        <v>646</v>
      </c>
      <c r="B160" s="5" t="s">
        <v>918</v>
      </c>
      <c r="C160" s="5" t="s">
        <v>915</v>
      </c>
      <c r="D160" s="5" t="s">
        <v>108</v>
      </c>
      <c r="E160" s="5" t="s">
        <v>53</v>
      </c>
      <c r="F160" s="8">
        <v>46199</v>
      </c>
      <c r="G160" s="8">
        <v>46199</v>
      </c>
      <c r="H160" s="3">
        <v>0</v>
      </c>
      <c r="J160" s="5">
        <v>645</v>
      </c>
      <c r="L160" s="5" t="s">
        <v>35</v>
      </c>
      <c r="M160" s="5" t="s">
        <v>541</v>
      </c>
      <c r="N160" s="7">
        <v>46210</v>
      </c>
      <c r="P160" s="5" t="s">
        <v>699</v>
      </c>
      <c r="Q160" s="5" t="s">
        <v>146</v>
      </c>
      <c r="R160" s="5" t="s">
        <v>55</v>
      </c>
      <c r="S160" s="7">
        <v>46210</v>
      </c>
      <c r="T160" s="7">
        <v>46210</v>
      </c>
      <c r="V160" s="5">
        <v>0</v>
      </c>
      <c r="W160" s="5">
        <v>0</v>
      </c>
      <c r="X160" s="5">
        <v>0</v>
      </c>
      <c r="Y160" s="5">
        <v>0</v>
      </c>
      <c r="Z160" s="5">
        <v>1</v>
      </c>
      <c r="AA160" s="5">
        <v>0</v>
      </c>
      <c r="AB160" s="5">
        <v>0</v>
      </c>
      <c r="AC160" s="5">
        <v>0</v>
      </c>
      <c r="AD160" s="5">
        <v>0</v>
      </c>
      <c r="AE160" s="5">
        <v>0</v>
      </c>
      <c r="AF160" s="5">
        <v>1</v>
      </c>
      <c r="AG160" s="5">
        <v>0</v>
      </c>
    </row>
    <row r="161" spans="1:33" hidden="1" x14ac:dyDescent="0.25">
      <c r="A161" s="5">
        <v>647</v>
      </c>
      <c r="B161" s="5" t="s">
        <v>919</v>
      </c>
      <c r="C161" s="5" t="s">
        <v>701</v>
      </c>
      <c r="D161" s="5" t="s">
        <v>920</v>
      </c>
      <c r="E161" s="5" t="s">
        <v>744</v>
      </c>
      <c r="F161" s="8">
        <v>46188</v>
      </c>
      <c r="G161" s="8">
        <v>46199</v>
      </c>
      <c r="H161" s="3">
        <v>0.72</v>
      </c>
      <c r="L161" s="5" t="s">
        <v>35</v>
      </c>
      <c r="M161" s="5" t="s">
        <v>386</v>
      </c>
      <c r="N161" s="7">
        <v>46210</v>
      </c>
      <c r="P161" s="5" t="s">
        <v>699</v>
      </c>
      <c r="Q161" s="5" t="s">
        <v>138</v>
      </c>
      <c r="R161" s="5" t="s">
        <v>55</v>
      </c>
      <c r="S161" s="7">
        <v>46191</v>
      </c>
      <c r="T161" s="7">
        <v>46210</v>
      </c>
      <c r="V161" s="5">
        <v>0.72</v>
      </c>
      <c r="W161" s="5">
        <v>0</v>
      </c>
      <c r="X161" s="5">
        <v>0</v>
      </c>
      <c r="Y161" s="5">
        <v>0</v>
      </c>
      <c r="Z161" s="5">
        <v>0</v>
      </c>
      <c r="AA161" s="5">
        <v>0</v>
      </c>
      <c r="AB161" s="5">
        <v>0</v>
      </c>
      <c r="AC161" s="5">
        <v>0</v>
      </c>
      <c r="AD161" s="5">
        <v>0</v>
      </c>
      <c r="AE161" s="5">
        <v>0</v>
      </c>
      <c r="AF161" s="5">
        <v>0</v>
      </c>
      <c r="AG161" s="5">
        <v>0</v>
      </c>
    </row>
    <row r="162" spans="1:33" hidden="1" x14ac:dyDescent="0.25">
      <c r="A162" s="5">
        <v>649</v>
      </c>
      <c r="B162" s="5" t="s">
        <v>923</v>
      </c>
      <c r="C162" s="5" t="s">
        <v>922</v>
      </c>
      <c r="D162" s="5" t="s">
        <v>98</v>
      </c>
      <c r="E162" s="5" t="s">
        <v>53</v>
      </c>
      <c r="F162" s="8">
        <v>46197</v>
      </c>
      <c r="G162" s="8">
        <v>46197</v>
      </c>
      <c r="H162" s="3">
        <v>0.15</v>
      </c>
      <c r="J162" s="5">
        <v>648</v>
      </c>
      <c r="K162" s="5">
        <v>650</v>
      </c>
      <c r="L162" s="5" t="s">
        <v>35</v>
      </c>
      <c r="M162" s="5" t="s">
        <v>538</v>
      </c>
      <c r="N162" s="7">
        <v>46205</v>
      </c>
      <c r="P162" s="5" t="s">
        <v>699</v>
      </c>
      <c r="Q162" s="5" t="s">
        <v>146</v>
      </c>
      <c r="R162" s="5" t="s">
        <v>55</v>
      </c>
      <c r="S162" s="7">
        <v>46205</v>
      </c>
      <c r="T162" s="7">
        <v>46205</v>
      </c>
      <c r="V162" s="5">
        <v>0.15</v>
      </c>
      <c r="W162" s="5">
        <v>0</v>
      </c>
      <c r="X162" s="5">
        <v>0</v>
      </c>
      <c r="Y162" s="5">
        <v>0</v>
      </c>
      <c r="Z162" s="5">
        <v>0</v>
      </c>
      <c r="AA162" s="5">
        <v>0</v>
      </c>
      <c r="AB162" s="5">
        <v>1</v>
      </c>
      <c r="AC162" s="5">
        <v>0</v>
      </c>
      <c r="AD162" s="5">
        <v>0</v>
      </c>
      <c r="AE162" s="5">
        <v>0</v>
      </c>
      <c r="AF162" s="5">
        <v>0</v>
      </c>
      <c r="AG162" s="5">
        <v>0</v>
      </c>
    </row>
    <row r="163" spans="1:33" hidden="1" x14ac:dyDescent="0.25">
      <c r="A163" s="5">
        <v>650</v>
      </c>
      <c r="B163" s="5" t="s">
        <v>924</v>
      </c>
      <c r="C163" s="5" t="s">
        <v>922</v>
      </c>
      <c r="D163" s="5" t="s">
        <v>102</v>
      </c>
      <c r="E163" s="5" t="s">
        <v>53</v>
      </c>
      <c r="F163" s="8">
        <v>46198</v>
      </c>
      <c r="G163" s="8">
        <v>46198</v>
      </c>
      <c r="H163" s="3">
        <v>0</v>
      </c>
      <c r="J163" s="5">
        <v>649</v>
      </c>
      <c r="K163" s="5">
        <v>651</v>
      </c>
      <c r="L163" s="5" t="s">
        <v>35</v>
      </c>
      <c r="M163" s="5" t="s">
        <v>159</v>
      </c>
      <c r="N163" s="7">
        <v>46209</v>
      </c>
      <c r="P163" s="5" t="s">
        <v>699</v>
      </c>
      <c r="Q163" s="5" t="s">
        <v>146</v>
      </c>
      <c r="R163" s="5" t="s">
        <v>55</v>
      </c>
      <c r="S163" s="7">
        <v>46206</v>
      </c>
      <c r="T163" s="7">
        <v>46209</v>
      </c>
      <c r="V163" s="5">
        <v>0</v>
      </c>
      <c r="W163" s="5">
        <v>0</v>
      </c>
      <c r="X163" s="5">
        <v>0</v>
      </c>
      <c r="Y163" s="5">
        <v>0</v>
      </c>
      <c r="Z163" s="5">
        <v>0</v>
      </c>
      <c r="AA163" s="5">
        <v>0</v>
      </c>
      <c r="AB163" s="5">
        <v>0</v>
      </c>
      <c r="AC163" s="5">
        <v>0</v>
      </c>
      <c r="AD163" s="5">
        <v>1</v>
      </c>
      <c r="AE163" s="5">
        <v>0</v>
      </c>
      <c r="AF163" s="5">
        <v>0</v>
      </c>
      <c r="AG163" s="5">
        <v>0</v>
      </c>
    </row>
    <row r="164" spans="1:33" hidden="1" x14ac:dyDescent="0.25">
      <c r="A164" s="5">
        <v>651</v>
      </c>
      <c r="B164" s="5" t="s">
        <v>925</v>
      </c>
      <c r="C164" s="5" t="s">
        <v>922</v>
      </c>
      <c r="D164" s="5" t="s">
        <v>108</v>
      </c>
      <c r="E164" s="5" t="s">
        <v>53</v>
      </c>
      <c r="F164" s="8">
        <v>46199</v>
      </c>
      <c r="G164" s="8">
        <v>46199</v>
      </c>
      <c r="H164" s="3">
        <v>0</v>
      </c>
      <c r="J164" s="5">
        <v>650</v>
      </c>
      <c r="L164" s="5" t="s">
        <v>35</v>
      </c>
      <c r="M164" s="5" t="s">
        <v>541</v>
      </c>
      <c r="N164" s="7">
        <v>46210</v>
      </c>
      <c r="P164" s="5" t="s">
        <v>699</v>
      </c>
      <c r="Q164" s="5" t="s">
        <v>146</v>
      </c>
      <c r="R164" s="5" t="s">
        <v>55</v>
      </c>
      <c r="S164" s="7">
        <v>46210</v>
      </c>
      <c r="T164" s="7">
        <v>46210</v>
      </c>
      <c r="V164" s="5">
        <v>0</v>
      </c>
      <c r="W164" s="5">
        <v>0</v>
      </c>
      <c r="X164" s="5">
        <v>0</v>
      </c>
      <c r="Y164" s="5">
        <v>0</v>
      </c>
      <c r="Z164" s="5">
        <v>1</v>
      </c>
      <c r="AA164" s="5">
        <v>0</v>
      </c>
      <c r="AB164" s="5">
        <v>0</v>
      </c>
      <c r="AC164" s="5">
        <v>0</v>
      </c>
      <c r="AD164" s="5">
        <v>0</v>
      </c>
      <c r="AE164" s="5">
        <v>0</v>
      </c>
      <c r="AF164" s="5">
        <v>1</v>
      </c>
      <c r="AG164" s="5">
        <v>0</v>
      </c>
    </row>
    <row r="165" spans="1:33" hidden="1" x14ac:dyDescent="0.25">
      <c r="A165" s="5">
        <v>652</v>
      </c>
      <c r="B165" s="5" t="s">
        <v>926</v>
      </c>
      <c r="C165" s="5" t="s">
        <v>701</v>
      </c>
      <c r="D165" s="5" t="s">
        <v>927</v>
      </c>
      <c r="E165" s="5" t="s">
        <v>744</v>
      </c>
      <c r="F165" s="8">
        <v>46188</v>
      </c>
      <c r="G165" s="8">
        <v>46199</v>
      </c>
      <c r="H165" s="3">
        <v>0.72</v>
      </c>
      <c r="L165" s="5" t="s">
        <v>35</v>
      </c>
      <c r="M165" s="5" t="s">
        <v>386</v>
      </c>
      <c r="N165" s="7">
        <v>46210</v>
      </c>
      <c r="P165" s="5" t="s">
        <v>699</v>
      </c>
      <c r="Q165" s="5" t="s">
        <v>138</v>
      </c>
      <c r="R165" s="5" t="s">
        <v>55</v>
      </c>
      <c r="S165" s="7">
        <v>46191</v>
      </c>
      <c r="T165" s="7">
        <v>46210</v>
      </c>
      <c r="U165" s="5" t="s">
        <v>320</v>
      </c>
      <c r="V165" s="5">
        <v>0.72</v>
      </c>
      <c r="W165" s="5">
        <v>0</v>
      </c>
      <c r="X165" s="5">
        <v>0</v>
      </c>
      <c r="Y165" s="5">
        <v>0</v>
      </c>
      <c r="Z165" s="5">
        <v>0</v>
      </c>
      <c r="AA165" s="5">
        <v>0</v>
      </c>
      <c r="AB165" s="5">
        <v>0</v>
      </c>
      <c r="AC165" s="5">
        <v>0</v>
      </c>
      <c r="AD165" s="5">
        <v>0</v>
      </c>
      <c r="AE165" s="5">
        <v>0</v>
      </c>
      <c r="AF165" s="5">
        <v>0</v>
      </c>
      <c r="AG165" s="5">
        <v>0</v>
      </c>
    </row>
    <row r="166" spans="1:33" hidden="1" x14ac:dyDescent="0.25">
      <c r="A166" s="5">
        <v>654</v>
      </c>
      <c r="B166" s="5" t="s">
        <v>930</v>
      </c>
      <c r="C166" s="5" t="s">
        <v>929</v>
      </c>
      <c r="D166" s="5" t="s">
        <v>98</v>
      </c>
      <c r="E166" s="5" t="s">
        <v>53</v>
      </c>
      <c r="F166" s="8">
        <v>46197</v>
      </c>
      <c r="G166" s="8">
        <v>46197</v>
      </c>
      <c r="H166" s="3">
        <v>0.15</v>
      </c>
      <c r="J166" s="5">
        <v>653</v>
      </c>
      <c r="K166" s="5">
        <v>655</v>
      </c>
      <c r="L166" s="5" t="s">
        <v>35</v>
      </c>
      <c r="M166" s="5" t="s">
        <v>538</v>
      </c>
      <c r="N166" s="7">
        <v>46205</v>
      </c>
      <c r="P166" s="5" t="s">
        <v>699</v>
      </c>
      <c r="Q166" s="5" t="s">
        <v>146</v>
      </c>
      <c r="R166" s="5" t="s">
        <v>55</v>
      </c>
      <c r="S166" s="7">
        <v>46205</v>
      </c>
      <c r="T166" s="7">
        <v>46205</v>
      </c>
      <c r="V166" s="5">
        <v>0.15</v>
      </c>
      <c r="W166" s="5">
        <v>0</v>
      </c>
      <c r="X166" s="5">
        <v>0</v>
      </c>
      <c r="Y166" s="5">
        <v>0</v>
      </c>
      <c r="Z166" s="5">
        <v>0</v>
      </c>
      <c r="AA166" s="5">
        <v>0</v>
      </c>
      <c r="AB166" s="5">
        <v>1</v>
      </c>
      <c r="AC166" s="5">
        <v>0</v>
      </c>
      <c r="AD166" s="5">
        <v>0</v>
      </c>
      <c r="AE166" s="5">
        <v>0</v>
      </c>
      <c r="AF166" s="5">
        <v>0</v>
      </c>
      <c r="AG166" s="5">
        <v>0</v>
      </c>
    </row>
    <row r="167" spans="1:33" hidden="1" x14ac:dyDescent="0.25">
      <c r="A167" s="5">
        <v>655</v>
      </c>
      <c r="B167" s="5" t="s">
        <v>931</v>
      </c>
      <c r="C167" s="5" t="s">
        <v>929</v>
      </c>
      <c r="D167" s="5" t="s">
        <v>102</v>
      </c>
      <c r="E167" s="5" t="s">
        <v>53</v>
      </c>
      <c r="F167" s="8">
        <v>46198</v>
      </c>
      <c r="G167" s="8">
        <v>46198</v>
      </c>
      <c r="H167" s="3">
        <v>0</v>
      </c>
      <c r="J167" s="5">
        <v>654</v>
      </c>
      <c r="K167" s="5">
        <v>656</v>
      </c>
      <c r="L167" s="5" t="s">
        <v>35</v>
      </c>
      <c r="M167" s="5" t="s">
        <v>159</v>
      </c>
      <c r="N167" s="7">
        <v>46209</v>
      </c>
      <c r="P167" s="5" t="s">
        <v>699</v>
      </c>
      <c r="Q167" s="5" t="s">
        <v>146</v>
      </c>
      <c r="R167" s="5" t="s">
        <v>55</v>
      </c>
      <c r="S167" s="7">
        <v>46206</v>
      </c>
      <c r="T167" s="7">
        <v>46209</v>
      </c>
      <c r="V167" s="5">
        <v>0</v>
      </c>
      <c r="W167" s="5">
        <v>0</v>
      </c>
      <c r="X167" s="5">
        <v>0</v>
      </c>
      <c r="Y167" s="5">
        <v>0</v>
      </c>
      <c r="Z167" s="5">
        <v>0</v>
      </c>
      <c r="AA167" s="5">
        <v>0</v>
      </c>
      <c r="AB167" s="5">
        <v>0</v>
      </c>
      <c r="AC167" s="5">
        <v>0</v>
      </c>
      <c r="AD167" s="5">
        <v>1</v>
      </c>
      <c r="AE167" s="5">
        <v>0</v>
      </c>
      <c r="AF167" s="5">
        <v>0</v>
      </c>
      <c r="AG167" s="5">
        <v>0</v>
      </c>
    </row>
    <row r="168" spans="1:33" hidden="1" x14ac:dyDescent="0.25">
      <c r="A168" s="5">
        <v>656</v>
      </c>
      <c r="B168" s="5" t="s">
        <v>932</v>
      </c>
      <c r="C168" s="5" t="s">
        <v>929</v>
      </c>
      <c r="D168" s="5" t="s">
        <v>108</v>
      </c>
      <c r="E168" s="5" t="s">
        <v>53</v>
      </c>
      <c r="F168" s="8">
        <v>46199</v>
      </c>
      <c r="G168" s="8">
        <v>46199</v>
      </c>
      <c r="H168" s="3">
        <v>0</v>
      </c>
      <c r="J168" s="5">
        <v>655</v>
      </c>
      <c r="L168" s="5" t="s">
        <v>35</v>
      </c>
      <c r="M168" s="5" t="s">
        <v>541</v>
      </c>
      <c r="N168" s="7">
        <v>46210</v>
      </c>
      <c r="P168" s="5" t="s">
        <v>699</v>
      </c>
      <c r="Q168" s="5" t="s">
        <v>146</v>
      </c>
      <c r="R168" s="5" t="s">
        <v>55</v>
      </c>
      <c r="S168" s="7">
        <v>46210</v>
      </c>
      <c r="T168" s="7">
        <v>46210</v>
      </c>
      <c r="V168" s="5">
        <v>0</v>
      </c>
      <c r="W168" s="5">
        <v>0</v>
      </c>
      <c r="X168" s="5">
        <v>0</v>
      </c>
      <c r="Y168" s="5">
        <v>0</v>
      </c>
      <c r="Z168" s="5">
        <v>1</v>
      </c>
      <c r="AA168" s="5">
        <v>0</v>
      </c>
      <c r="AB168" s="5">
        <v>0</v>
      </c>
      <c r="AC168" s="5">
        <v>0</v>
      </c>
      <c r="AD168" s="5">
        <v>0</v>
      </c>
      <c r="AE168" s="5">
        <v>0</v>
      </c>
      <c r="AF168" s="5">
        <v>1</v>
      </c>
      <c r="AG168" s="5">
        <v>0</v>
      </c>
    </row>
    <row r="169" spans="1:33" hidden="1" x14ac:dyDescent="0.25">
      <c r="A169" s="5">
        <v>657</v>
      </c>
      <c r="B169" s="5" t="s">
        <v>933</v>
      </c>
      <c r="C169" s="5" t="s">
        <v>701</v>
      </c>
      <c r="D169" s="5" t="s">
        <v>934</v>
      </c>
      <c r="E169" s="5" t="s">
        <v>744</v>
      </c>
      <c r="F169" s="8">
        <v>46188</v>
      </c>
      <c r="G169" s="8">
        <v>46199</v>
      </c>
      <c r="H169" s="3">
        <v>0.72</v>
      </c>
      <c r="L169" s="5" t="s">
        <v>35</v>
      </c>
      <c r="M169" s="5" t="s">
        <v>386</v>
      </c>
      <c r="N169" s="7">
        <v>46210</v>
      </c>
      <c r="P169" s="5" t="s">
        <v>699</v>
      </c>
      <c r="Q169" s="5" t="s">
        <v>138</v>
      </c>
      <c r="R169" s="5" t="s">
        <v>55</v>
      </c>
      <c r="S169" s="7">
        <v>46191</v>
      </c>
      <c r="T169" s="7">
        <v>46210</v>
      </c>
      <c r="U169" s="5" t="s">
        <v>320</v>
      </c>
      <c r="V169" s="5">
        <v>0.72</v>
      </c>
      <c r="W169" s="5">
        <v>0</v>
      </c>
      <c r="X169" s="5">
        <v>0</v>
      </c>
      <c r="Y169" s="5">
        <v>0</v>
      </c>
      <c r="Z169" s="5">
        <v>0</v>
      </c>
      <c r="AA169" s="5">
        <v>0</v>
      </c>
      <c r="AB169" s="5">
        <v>0</v>
      </c>
      <c r="AC169" s="5">
        <v>0</v>
      </c>
      <c r="AD169" s="5">
        <v>0</v>
      </c>
      <c r="AE169" s="5">
        <v>0</v>
      </c>
      <c r="AF169" s="5">
        <v>0</v>
      </c>
      <c r="AG169" s="5">
        <v>0</v>
      </c>
    </row>
    <row r="170" spans="1:33" hidden="1" x14ac:dyDescent="0.25">
      <c r="A170" s="5">
        <v>659</v>
      </c>
      <c r="B170" s="5" t="s">
        <v>937</v>
      </c>
      <c r="C170" s="5" t="s">
        <v>936</v>
      </c>
      <c r="D170" s="5" t="s">
        <v>98</v>
      </c>
      <c r="E170" s="5" t="s">
        <v>53</v>
      </c>
      <c r="F170" s="8">
        <v>46197</v>
      </c>
      <c r="G170" s="8">
        <v>46197</v>
      </c>
      <c r="H170" s="3">
        <v>0.15</v>
      </c>
      <c r="J170" s="5">
        <v>658</v>
      </c>
      <c r="K170" s="5">
        <v>660</v>
      </c>
      <c r="L170" s="5" t="s">
        <v>35</v>
      </c>
      <c r="M170" s="5" t="s">
        <v>538</v>
      </c>
      <c r="N170" s="7">
        <v>46205</v>
      </c>
      <c r="P170" s="5" t="s">
        <v>699</v>
      </c>
      <c r="Q170" s="5" t="s">
        <v>146</v>
      </c>
      <c r="R170" s="5" t="s">
        <v>55</v>
      </c>
      <c r="S170" s="7">
        <v>46205</v>
      </c>
      <c r="T170" s="7">
        <v>46205</v>
      </c>
      <c r="V170" s="5">
        <v>0.15</v>
      </c>
      <c r="W170" s="5">
        <v>0</v>
      </c>
      <c r="X170" s="5">
        <v>0</v>
      </c>
      <c r="Y170" s="5">
        <v>0</v>
      </c>
      <c r="Z170" s="5">
        <v>0</v>
      </c>
      <c r="AA170" s="5">
        <v>0</v>
      </c>
      <c r="AB170" s="5">
        <v>1</v>
      </c>
      <c r="AC170" s="5">
        <v>0</v>
      </c>
      <c r="AD170" s="5">
        <v>0</v>
      </c>
      <c r="AE170" s="5">
        <v>0</v>
      </c>
      <c r="AF170" s="5">
        <v>0</v>
      </c>
      <c r="AG170" s="5">
        <v>0</v>
      </c>
    </row>
    <row r="171" spans="1:33" hidden="1" x14ac:dyDescent="0.25">
      <c r="A171" s="5">
        <v>660</v>
      </c>
      <c r="B171" s="5" t="s">
        <v>938</v>
      </c>
      <c r="C171" s="5" t="s">
        <v>936</v>
      </c>
      <c r="D171" s="5" t="s">
        <v>102</v>
      </c>
      <c r="E171" s="5" t="s">
        <v>53</v>
      </c>
      <c r="F171" s="8">
        <v>46198</v>
      </c>
      <c r="G171" s="8">
        <v>46198</v>
      </c>
      <c r="H171" s="3">
        <v>0</v>
      </c>
      <c r="J171" s="5">
        <v>659</v>
      </c>
      <c r="K171" s="5">
        <v>661</v>
      </c>
      <c r="L171" s="5" t="s">
        <v>35</v>
      </c>
      <c r="M171" s="5" t="s">
        <v>159</v>
      </c>
      <c r="N171" s="7">
        <v>46209</v>
      </c>
      <c r="P171" s="5" t="s">
        <v>699</v>
      </c>
      <c r="Q171" s="5" t="s">
        <v>146</v>
      </c>
      <c r="R171" s="5" t="s">
        <v>55</v>
      </c>
      <c r="S171" s="7">
        <v>46206</v>
      </c>
      <c r="T171" s="7">
        <v>46209</v>
      </c>
      <c r="V171" s="5">
        <v>0</v>
      </c>
      <c r="W171" s="5">
        <v>0</v>
      </c>
      <c r="X171" s="5">
        <v>0</v>
      </c>
      <c r="Y171" s="5">
        <v>0</v>
      </c>
      <c r="Z171" s="5">
        <v>0</v>
      </c>
      <c r="AA171" s="5">
        <v>0</v>
      </c>
      <c r="AB171" s="5">
        <v>0</v>
      </c>
      <c r="AC171" s="5">
        <v>0</v>
      </c>
      <c r="AD171" s="5">
        <v>1</v>
      </c>
      <c r="AE171" s="5">
        <v>0</v>
      </c>
      <c r="AF171" s="5">
        <v>0</v>
      </c>
      <c r="AG171" s="5">
        <v>0</v>
      </c>
    </row>
    <row r="172" spans="1:33" hidden="1" x14ac:dyDescent="0.25">
      <c r="A172" s="5">
        <v>661</v>
      </c>
      <c r="B172" s="5" t="s">
        <v>939</v>
      </c>
      <c r="C172" s="5" t="s">
        <v>936</v>
      </c>
      <c r="D172" s="5" t="s">
        <v>108</v>
      </c>
      <c r="E172" s="5" t="s">
        <v>53</v>
      </c>
      <c r="F172" s="8">
        <v>46199</v>
      </c>
      <c r="G172" s="8">
        <v>46199</v>
      </c>
      <c r="H172" s="3">
        <v>0</v>
      </c>
      <c r="J172" s="5">
        <v>660</v>
      </c>
      <c r="L172" s="5" t="s">
        <v>35</v>
      </c>
      <c r="M172" s="5" t="s">
        <v>541</v>
      </c>
      <c r="N172" s="7">
        <v>46210</v>
      </c>
      <c r="P172" s="5" t="s">
        <v>699</v>
      </c>
      <c r="Q172" s="5" t="s">
        <v>146</v>
      </c>
      <c r="R172" s="5" t="s">
        <v>55</v>
      </c>
      <c r="S172" s="7">
        <v>46210</v>
      </c>
      <c r="T172" s="7">
        <v>46210</v>
      </c>
      <c r="V172" s="5">
        <v>0</v>
      </c>
      <c r="W172" s="5">
        <v>0</v>
      </c>
      <c r="X172" s="5">
        <v>0</v>
      </c>
      <c r="Y172" s="5">
        <v>0</v>
      </c>
      <c r="Z172" s="5">
        <v>1</v>
      </c>
      <c r="AA172" s="5">
        <v>0</v>
      </c>
      <c r="AB172" s="5">
        <v>0</v>
      </c>
      <c r="AC172" s="5">
        <v>0</v>
      </c>
      <c r="AD172" s="5">
        <v>0</v>
      </c>
      <c r="AE172" s="5">
        <v>0</v>
      </c>
      <c r="AF172" s="5">
        <v>1</v>
      </c>
      <c r="AG172" s="5">
        <v>0</v>
      </c>
    </row>
    <row r="173" spans="1:33" hidden="1" x14ac:dyDescent="0.25">
      <c r="A173" s="5">
        <v>662</v>
      </c>
      <c r="B173" s="5" t="s">
        <v>940</v>
      </c>
      <c r="C173" s="5" t="s">
        <v>701</v>
      </c>
      <c r="D173" s="5" t="s">
        <v>941</v>
      </c>
      <c r="E173" s="5" t="s">
        <v>744</v>
      </c>
      <c r="F173" s="8">
        <v>46188</v>
      </c>
      <c r="G173" s="8">
        <v>46199</v>
      </c>
      <c r="H173" s="3">
        <v>0.72</v>
      </c>
      <c r="L173" s="5" t="s">
        <v>35</v>
      </c>
      <c r="M173" s="5" t="s">
        <v>386</v>
      </c>
      <c r="N173" s="7">
        <v>46210</v>
      </c>
      <c r="P173" s="5" t="s">
        <v>699</v>
      </c>
      <c r="Q173" s="5" t="s">
        <v>138</v>
      </c>
      <c r="R173" s="5" t="s">
        <v>55</v>
      </c>
      <c r="S173" s="7">
        <v>46191</v>
      </c>
      <c r="T173" s="7">
        <v>46210</v>
      </c>
      <c r="U173" s="5" t="s">
        <v>320</v>
      </c>
      <c r="V173" s="5">
        <v>0.72</v>
      </c>
      <c r="W173" s="5">
        <v>0</v>
      </c>
      <c r="X173" s="5">
        <v>0</v>
      </c>
      <c r="Y173" s="5">
        <v>0</v>
      </c>
      <c r="Z173" s="5">
        <v>0</v>
      </c>
      <c r="AA173" s="5">
        <v>0</v>
      </c>
      <c r="AB173" s="5">
        <v>0</v>
      </c>
      <c r="AC173" s="5">
        <v>0</v>
      </c>
      <c r="AD173" s="5">
        <v>0</v>
      </c>
      <c r="AE173" s="5">
        <v>0</v>
      </c>
      <c r="AF173" s="5">
        <v>0</v>
      </c>
      <c r="AG173" s="5">
        <v>0</v>
      </c>
    </row>
    <row r="174" spans="1:33" hidden="1" x14ac:dyDescent="0.25">
      <c r="A174" s="5">
        <v>664</v>
      </c>
      <c r="B174" s="5" t="s">
        <v>944</v>
      </c>
      <c r="C174" s="5" t="s">
        <v>943</v>
      </c>
      <c r="D174" s="5" t="s">
        <v>98</v>
      </c>
      <c r="E174" s="5" t="s">
        <v>53</v>
      </c>
      <c r="F174" s="8">
        <v>46197</v>
      </c>
      <c r="G174" s="8">
        <v>46197</v>
      </c>
      <c r="H174" s="3">
        <v>0.15</v>
      </c>
      <c r="J174" s="5">
        <v>663</v>
      </c>
      <c r="K174" s="5">
        <v>665</v>
      </c>
      <c r="L174" s="5" t="s">
        <v>35</v>
      </c>
      <c r="M174" s="5" t="s">
        <v>538</v>
      </c>
      <c r="N174" s="7">
        <v>46205</v>
      </c>
      <c r="P174" s="5" t="s">
        <v>699</v>
      </c>
      <c r="Q174" s="5" t="s">
        <v>146</v>
      </c>
      <c r="R174" s="5" t="s">
        <v>55</v>
      </c>
      <c r="S174" s="7">
        <v>46205</v>
      </c>
      <c r="T174" s="7">
        <v>46205</v>
      </c>
      <c r="V174" s="5">
        <v>0.15</v>
      </c>
      <c r="W174" s="5">
        <v>0</v>
      </c>
      <c r="X174" s="5">
        <v>0</v>
      </c>
      <c r="Y174" s="5">
        <v>0</v>
      </c>
      <c r="Z174" s="5">
        <v>0</v>
      </c>
      <c r="AA174" s="5">
        <v>0</v>
      </c>
      <c r="AB174" s="5">
        <v>1</v>
      </c>
      <c r="AC174" s="5">
        <v>0</v>
      </c>
      <c r="AD174" s="5">
        <v>0</v>
      </c>
      <c r="AE174" s="5">
        <v>0</v>
      </c>
      <c r="AF174" s="5">
        <v>0</v>
      </c>
      <c r="AG174" s="5">
        <v>0</v>
      </c>
    </row>
    <row r="175" spans="1:33" hidden="1" x14ac:dyDescent="0.25">
      <c r="A175" s="5">
        <v>665</v>
      </c>
      <c r="B175" s="5" t="s">
        <v>945</v>
      </c>
      <c r="C175" s="5" t="s">
        <v>943</v>
      </c>
      <c r="D175" s="5" t="s">
        <v>102</v>
      </c>
      <c r="E175" s="5" t="s">
        <v>53</v>
      </c>
      <c r="F175" s="8">
        <v>46198</v>
      </c>
      <c r="G175" s="8">
        <v>46198</v>
      </c>
      <c r="H175" s="3">
        <v>0</v>
      </c>
      <c r="J175" s="5">
        <v>664</v>
      </c>
      <c r="K175" s="5">
        <v>666</v>
      </c>
      <c r="L175" s="5" t="s">
        <v>35</v>
      </c>
      <c r="M175" s="5" t="s">
        <v>159</v>
      </c>
      <c r="N175" s="7">
        <v>46209</v>
      </c>
      <c r="P175" s="5" t="s">
        <v>699</v>
      </c>
      <c r="Q175" s="5" t="s">
        <v>146</v>
      </c>
      <c r="R175" s="5" t="s">
        <v>55</v>
      </c>
      <c r="S175" s="7">
        <v>46206</v>
      </c>
      <c r="T175" s="7">
        <v>46209</v>
      </c>
      <c r="V175" s="5">
        <v>0</v>
      </c>
      <c r="W175" s="5">
        <v>0</v>
      </c>
      <c r="X175" s="5">
        <v>0</v>
      </c>
      <c r="Y175" s="5">
        <v>0</v>
      </c>
      <c r="Z175" s="5">
        <v>0</v>
      </c>
      <c r="AA175" s="5">
        <v>0</v>
      </c>
      <c r="AB175" s="5">
        <v>0</v>
      </c>
      <c r="AC175" s="5">
        <v>0</v>
      </c>
      <c r="AD175" s="5">
        <v>1</v>
      </c>
      <c r="AE175" s="5">
        <v>0</v>
      </c>
      <c r="AF175" s="5">
        <v>0</v>
      </c>
      <c r="AG175" s="5">
        <v>0</v>
      </c>
    </row>
    <row r="176" spans="1:33" hidden="1" x14ac:dyDescent="0.25">
      <c r="A176" s="5">
        <v>666</v>
      </c>
      <c r="B176" s="5" t="s">
        <v>946</v>
      </c>
      <c r="C176" s="5" t="s">
        <v>943</v>
      </c>
      <c r="D176" s="5" t="s">
        <v>108</v>
      </c>
      <c r="E176" s="5" t="s">
        <v>53</v>
      </c>
      <c r="F176" s="8">
        <v>46199</v>
      </c>
      <c r="G176" s="8">
        <v>46199</v>
      </c>
      <c r="H176" s="3">
        <v>0</v>
      </c>
      <c r="J176" s="5">
        <v>665</v>
      </c>
      <c r="L176" s="5" t="s">
        <v>35</v>
      </c>
      <c r="M176" s="5" t="s">
        <v>541</v>
      </c>
      <c r="N176" s="7">
        <v>46210</v>
      </c>
      <c r="P176" s="5" t="s">
        <v>699</v>
      </c>
      <c r="Q176" s="5" t="s">
        <v>146</v>
      </c>
      <c r="R176" s="5" t="s">
        <v>55</v>
      </c>
      <c r="S176" s="7">
        <v>46210</v>
      </c>
      <c r="T176" s="7">
        <v>46210</v>
      </c>
      <c r="V176" s="5">
        <v>0</v>
      </c>
      <c r="W176" s="5">
        <v>0</v>
      </c>
      <c r="X176" s="5">
        <v>0</v>
      </c>
      <c r="Y176" s="5">
        <v>0</v>
      </c>
      <c r="Z176" s="5">
        <v>1</v>
      </c>
      <c r="AA176" s="5">
        <v>0</v>
      </c>
      <c r="AB176" s="5">
        <v>0</v>
      </c>
      <c r="AC176" s="5">
        <v>0</v>
      </c>
      <c r="AD176" s="5">
        <v>0</v>
      </c>
      <c r="AE176" s="5">
        <v>0</v>
      </c>
      <c r="AF176" s="5">
        <v>1</v>
      </c>
      <c r="AG176" s="5">
        <v>0</v>
      </c>
    </row>
    <row r="177" spans="1:33" hidden="1" x14ac:dyDescent="0.25">
      <c r="A177" s="5">
        <v>667</v>
      </c>
      <c r="B177" s="5" t="s">
        <v>947</v>
      </c>
      <c r="C177" s="5" t="s">
        <v>701</v>
      </c>
      <c r="D177" s="5" t="s">
        <v>948</v>
      </c>
      <c r="E177" s="5" t="s">
        <v>744</v>
      </c>
      <c r="F177" s="8">
        <v>46188</v>
      </c>
      <c r="G177" s="8">
        <v>46199</v>
      </c>
      <c r="H177" s="3">
        <v>0.72</v>
      </c>
      <c r="L177" s="5" t="s">
        <v>35</v>
      </c>
      <c r="M177" s="5" t="s">
        <v>386</v>
      </c>
      <c r="N177" s="7">
        <v>46210</v>
      </c>
      <c r="P177" s="5" t="s">
        <v>699</v>
      </c>
      <c r="Q177" s="5" t="s">
        <v>138</v>
      </c>
      <c r="R177" s="5" t="s">
        <v>55</v>
      </c>
      <c r="S177" s="7">
        <v>46191</v>
      </c>
      <c r="T177" s="7">
        <v>46210</v>
      </c>
      <c r="U177" s="5" t="s">
        <v>320</v>
      </c>
      <c r="V177" s="5">
        <v>0.72</v>
      </c>
      <c r="W177" s="5">
        <v>0</v>
      </c>
      <c r="X177" s="5">
        <v>0</v>
      </c>
      <c r="Y177" s="5">
        <v>0</v>
      </c>
      <c r="Z177" s="5">
        <v>0</v>
      </c>
      <c r="AA177" s="5">
        <v>0</v>
      </c>
      <c r="AB177" s="5">
        <v>0</v>
      </c>
      <c r="AC177" s="5">
        <v>0</v>
      </c>
      <c r="AD177" s="5">
        <v>0</v>
      </c>
      <c r="AE177" s="5">
        <v>0</v>
      </c>
      <c r="AF177" s="5">
        <v>0</v>
      </c>
      <c r="AG177" s="5">
        <v>0</v>
      </c>
    </row>
    <row r="178" spans="1:33" hidden="1" x14ac:dyDescent="0.25">
      <c r="A178" s="5">
        <v>669</v>
      </c>
      <c r="B178" s="5" t="s">
        <v>951</v>
      </c>
      <c r="C178" s="5" t="s">
        <v>950</v>
      </c>
      <c r="D178" s="5" t="s">
        <v>98</v>
      </c>
      <c r="E178" s="5" t="s">
        <v>53</v>
      </c>
      <c r="F178" s="8">
        <v>46197</v>
      </c>
      <c r="G178" s="8">
        <v>46197</v>
      </c>
      <c r="H178" s="3">
        <v>0.15</v>
      </c>
      <c r="J178" s="5">
        <v>668</v>
      </c>
      <c r="K178" s="5">
        <v>670</v>
      </c>
      <c r="L178" s="5" t="s">
        <v>35</v>
      </c>
      <c r="M178" s="5" t="s">
        <v>538</v>
      </c>
      <c r="N178" s="7">
        <v>46205</v>
      </c>
      <c r="P178" s="5" t="s">
        <v>699</v>
      </c>
      <c r="Q178" s="5" t="s">
        <v>146</v>
      </c>
      <c r="R178" s="5" t="s">
        <v>55</v>
      </c>
      <c r="S178" s="7">
        <v>46205</v>
      </c>
      <c r="T178" s="7">
        <v>46205</v>
      </c>
      <c r="V178" s="5">
        <v>0.15</v>
      </c>
      <c r="W178" s="5">
        <v>0</v>
      </c>
      <c r="X178" s="5">
        <v>0</v>
      </c>
      <c r="Y178" s="5">
        <v>0</v>
      </c>
      <c r="Z178" s="5">
        <v>0</v>
      </c>
      <c r="AA178" s="5">
        <v>0</v>
      </c>
      <c r="AB178" s="5">
        <v>1</v>
      </c>
      <c r="AC178" s="5">
        <v>0</v>
      </c>
      <c r="AD178" s="5">
        <v>0</v>
      </c>
      <c r="AE178" s="5">
        <v>0</v>
      </c>
      <c r="AF178" s="5">
        <v>0</v>
      </c>
      <c r="AG178" s="5">
        <v>0</v>
      </c>
    </row>
    <row r="179" spans="1:33" hidden="1" x14ac:dyDescent="0.25">
      <c r="A179" s="5">
        <v>670</v>
      </c>
      <c r="B179" s="5" t="s">
        <v>952</v>
      </c>
      <c r="C179" s="5" t="s">
        <v>950</v>
      </c>
      <c r="D179" s="5" t="s">
        <v>102</v>
      </c>
      <c r="E179" s="5" t="s">
        <v>53</v>
      </c>
      <c r="F179" s="8">
        <v>46198</v>
      </c>
      <c r="G179" s="8">
        <v>46198</v>
      </c>
      <c r="H179" s="3">
        <v>0</v>
      </c>
      <c r="J179" s="5">
        <v>669</v>
      </c>
      <c r="K179" s="5">
        <v>671</v>
      </c>
      <c r="L179" s="5" t="s">
        <v>35</v>
      </c>
      <c r="M179" s="5" t="s">
        <v>159</v>
      </c>
      <c r="N179" s="7">
        <v>46209</v>
      </c>
      <c r="P179" s="5" t="s">
        <v>699</v>
      </c>
      <c r="Q179" s="5" t="s">
        <v>146</v>
      </c>
      <c r="R179" s="5" t="s">
        <v>55</v>
      </c>
      <c r="S179" s="7">
        <v>46206</v>
      </c>
      <c r="T179" s="7">
        <v>46209</v>
      </c>
      <c r="V179" s="5">
        <v>0</v>
      </c>
      <c r="W179" s="5">
        <v>0</v>
      </c>
      <c r="X179" s="5">
        <v>0</v>
      </c>
      <c r="Y179" s="5">
        <v>0</v>
      </c>
      <c r="Z179" s="5">
        <v>0</v>
      </c>
      <c r="AA179" s="5">
        <v>0</v>
      </c>
      <c r="AB179" s="5">
        <v>0</v>
      </c>
      <c r="AC179" s="5">
        <v>0</v>
      </c>
      <c r="AD179" s="5">
        <v>1</v>
      </c>
      <c r="AE179" s="5">
        <v>0</v>
      </c>
      <c r="AF179" s="5">
        <v>0</v>
      </c>
      <c r="AG179" s="5">
        <v>0</v>
      </c>
    </row>
    <row r="180" spans="1:33" hidden="1" x14ac:dyDescent="0.25">
      <c r="A180" s="5">
        <v>671</v>
      </c>
      <c r="B180" s="5" t="s">
        <v>953</v>
      </c>
      <c r="C180" s="5" t="s">
        <v>950</v>
      </c>
      <c r="D180" s="5" t="s">
        <v>108</v>
      </c>
      <c r="E180" s="5" t="s">
        <v>53</v>
      </c>
      <c r="F180" s="8">
        <v>46199</v>
      </c>
      <c r="G180" s="8">
        <v>46199</v>
      </c>
      <c r="H180" s="3">
        <v>0</v>
      </c>
      <c r="J180" s="5">
        <v>670</v>
      </c>
      <c r="L180" s="5" t="s">
        <v>35</v>
      </c>
      <c r="M180" s="5" t="s">
        <v>541</v>
      </c>
      <c r="N180" s="7">
        <v>46210</v>
      </c>
      <c r="P180" s="5" t="s">
        <v>699</v>
      </c>
      <c r="Q180" s="5" t="s">
        <v>146</v>
      </c>
      <c r="R180" s="5" t="s">
        <v>55</v>
      </c>
      <c r="S180" s="7">
        <v>46210</v>
      </c>
      <c r="T180" s="7">
        <v>46210</v>
      </c>
      <c r="V180" s="5">
        <v>0</v>
      </c>
      <c r="W180" s="5">
        <v>0</v>
      </c>
      <c r="X180" s="5">
        <v>0</v>
      </c>
      <c r="Y180" s="5">
        <v>0</v>
      </c>
      <c r="Z180" s="5">
        <v>1</v>
      </c>
      <c r="AA180" s="5">
        <v>0</v>
      </c>
      <c r="AB180" s="5">
        <v>0</v>
      </c>
      <c r="AC180" s="5">
        <v>0</v>
      </c>
      <c r="AD180" s="5">
        <v>0</v>
      </c>
      <c r="AE180" s="5">
        <v>0</v>
      </c>
      <c r="AF180" s="5">
        <v>1</v>
      </c>
      <c r="AG180" s="5">
        <v>0</v>
      </c>
    </row>
    <row r="181" spans="1:33" hidden="1" x14ac:dyDescent="0.25">
      <c r="A181" s="5">
        <v>672</v>
      </c>
      <c r="B181" s="5" t="s">
        <v>954</v>
      </c>
      <c r="C181" s="5" t="s">
        <v>701</v>
      </c>
      <c r="D181" s="5" t="s">
        <v>955</v>
      </c>
      <c r="E181" s="5" t="s">
        <v>744</v>
      </c>
      <c r="F181" s="8">
        <v>46188</v>
      </c>
      <c r="G181" s="8">
        <v>46199</v>
      </c>
      <c r="H181" s="3">
        <v>0.72</v>
      </c>
      <c r="L181" s="5" t="s">
        <v>35</v>
      </c>
      <c r="M181" s="5" t="s">
        <v>386</v>
      </c>
      <c r="N181" s="7">
        <v>46210</v>
      </c>
      <c r="P181" s="5" t="s">
        <v>699</v>
      </c>
      <c r="Q181" s="5" t="s">
        <v>138</v>
      </c>
      <c r="R181" s="5" t="s">
        <v>55</v>
      </c>
      <c r="S181" s="7">
        <v>46191</v>
      </c>
      <c r="T181" s="7">
        <v>46210</v>
      </c>
      <c r="U181" s="5" t="s">
        <v>320</v>
      </c>
      <c r="V181" s="5">
        <v>0.72</v>
      </c>
      <c r="W181" s="5">
        <v>0</v>
      </c>
      <c r="X181" s="5">
        <v>0</v>
      </c>
      <c r="Y181" s="5">
        <v>0</v>
      </c>
      <c r="Z181" s="5">
        <v>0</v>
      </c>
      <c r="AA181" s="5">
        <v>0</v>
      </c>
      <c r="AB181" s="5">
        <v>0</v>
      </c>
      <c r="AC181" s="5">
        <v>0</v>
      </c>
      <c r="AD181" s="5">
        <v>0</v>
      </c>
      <c r="AE181" s="5">
        <v>0</v>
      </c>
      <c r="AF181" s="5">
        <v>0</v>
      </c>
      <c r="AG181" s="5">
        <v>0</v>
      </c>
    </row>
    <row r="182" spans="1:33" hidden="1" x14ac:dyDescent="0.25">
      <c r="A182" s="5">
        <v>674</v>
      </c>
      <c r="B182" s="5" t="s">
        <v>958</v>
      </c>
      <c r="C182" s="5" t="s">
        <v>957</v>
      </c>
      <c r="D182" s="5" t="s">
        <v>98</v>
      </c>
      <c r="E182" s="5" t="s">
        <v>53</v>
      </c>
      <c r="F182" s="8">
        <v>46197</v>
      </c>
      <c r="G182" s="8">
        <v>46197</v>
      </c>
      <c r="H182" s="3">
        <v>0.15</v>
      </c>
      <c r="J182" s="5">
        <v>673</v>
      </c>
      <c r="K182" s="5">
        <v>675</v>
      </c>
      <c r="L182" s="5" t="s">
        <v>35</v>
      </c>
      <c r="M182" s="5" t="s">
        <v>538</v>
      </c>
      <c r="N182" s="7">
        <v>46205</v>
      </c>
      <c r="P182" s="5" t="s">
        <v>699</v>
      </c>
      <c r="Q182" s="5" t="s">
        <v>146</v>
      </c>
      <c r="R182" s="5" t="s">
        <v>55</v>
      </c>
      <c r="S182" s="7">
        <v>46205</v>
      </c>
      <c r="T182" s="7">
        <v>46205</v>
      </c>
      <c r="V182" s="5">
        <v>0.15</v>
      </c>
      <c r="W182" s="5">
        <v>0</v>
      </c>
      <c r="X182" s="5">
        <v>0</v>
      </c>
      <c r="Y182" s="5">
        <v>0</v>
      </c>
      <c r="Z182" s="5">
        <v>0</v>
      </c>
      <c r="AA182" s="5">
        <v>0</v>
      </c>
      <c r="AB182" s="5">
        <v>1</v>
      </c>
      <c r="AC182" s="5">
        <v>0</v>
      </c>
      <c r="AD182" s="5">
        <v>0</v>
      </c>
      <c r="AE182" s="5">
        <v>0</v>
      </c>
      <c r="AF182" s="5">
        <v>0</v>
      </c>
      <c r="AG182" s="5">
        <v>0</v>
      </c>
    </row>
    <row r="183" spans="1:33" hidden="1" x14ac:dyDescent="0.25">
      <c r="A183" s="5">
        <v>675</v>
      </c>
      <c r="B183" s="5" t="s">
        <v>959</v>
      </c>
      <c r="C183" s="5" t="s">
        <v>957</v>
      </c>
      <c r="D183" s="5" t="s">
        <v>102</v>
      </c>
      <c r="E183" s="5" t="s">
        <v>53</v>
      </c>
      <c r="F183" s="8">
        <v>46198</v>
      </c>
      <c r="G183" s="8">
        <v>46198</v>
      </c>
      <c r="H183" s="3">
        <v>0</v>
      </c>
      <c r="J183" s="5">
        <v>674</v>
      </c>
      <c r="K183" s="5">
        <v>676</v>
      </c>
      <c r="L183" s="5" t="s">
        <v>35</v>
      </c>
      <c r="M183" s="5" t="s">
        <v>159</v>
      </c>
      <c r="N183" s="7">
        <v>46209</v>
      </c>
      <c r="P183" s="5" t="s">
        <v>699</v>
      </c>
      <c r="Q183" s="5" t="s">
        <v>146</v>
      </c>
      <c r="R183" s="5" t="s">
        <v>55</v>
      </c>
      <c r="S183" s="7">
        <v>46206</v>
      </c>
      <c r="T183" s="7">
        <v>46209</v>
      </c>
      <c r="V183" s="5">
        <v>0</v>
      </c>
      <c r="W183" s="5">
        <v>0</v>
      </c>
      <c r="X183" s="5">
        <v>0</v>
      </c>
      <c r="Y183" s="5">
        <v>0</v>
      </c>
      <c r="Z183" s="5">
        <v>0</v>
      </c>
      <c r="AA183" s="5">
        <v>0</v>
      </c>
      <c r="AB183" s="5">
        <v>0</v>
      </c>
      <c r="AC183" s="5">
        <v>0</v>
      </c>
      <c r="AD183" s="5">
        <v>1</v>
      </c>
      <c r="AE183" s="5">
        <v>0</v>
      </c>
      <c r="AF183" s="5">
        <v>0</v>
      </c>
      <c r="AG183" s="5">
        <v>0</v>
      </c>
    </row>
    <row r="184" spans="1:33" hidden="1" x14ac:dyDescent="0.25">
      <c r="A184" s="5">
        <v>676</v>
      </c>
      <c r="B184" s="5" t="s">
        <v>960</v>
      </c>
      <c r="C184" s="5" t="s">
        <v>957</v>
      </c>
      <c r="D184" s="5" t="s">
        <v>108</v>
      </c>
      <c r="E184" s="5" t="s">
        <v>53</v>
      </c>
      <c r="F184" s="8">
        <v>46199</v>
      </c>
      <c r="G184" s="8">
        <v>46199</v>
      </c>
      <c r="H184" s="3">
        <v>0</v>
      </c>
      <c r="J184" s="5">
        <v>675</v>
      </c>
      <c r="L184" s="5" t="s">
        <v>35</v>
      </c>
      <c r="M184" s="5" t="s">
        <v>541</v>
      </c>
      <c r="N184" s="7">
        <v>46210</v>
      </c>
      <c r="P184" s="5" t="s">
        <v>699</v>
      </c>
      <c r="Q184" s="5" t="s">
        <v>146</v>
      </c>
      <c r="R184" s="5" t="s">
        <v>55</v>
      </c>
      <c r="S184" s="7">
        <v>46210</v>
      </c>
      <c r="T184" s="7">
        <v>46210</v>
      </c>
      <c r="V184" s="5">
        <v>0</v>
      </c>
      <c r="W184" s="5">
        <v>0</v>
      </c>
      <c r="X184" s="5">
        <v>0</v>
      </c>
      <c r="Y184" s="5">
        <v>0</v>
      </c>
      <c r="Z184" s="5">
        <v>1</v>
      </c>
      <c r="AA184" s="5">
        <v>0</v>
      </c>
      <c r="AB184" s="5">
        <v>0</v>
      </c>
      <c r="AC184" s="5">
        <v>0</v>
      </c>
      <c r="AD184" s="5">
        <v>0</v>
      </c>
      <c r="AE184" s="5">
        <v>0</v>
      </c>
      <c r="AF184" s="5">
        <v>1</v>
      </c>
      <c r="AG184" s="5">
        <v>0</v>
      </c>
    </row>
    <row r="185" spans="1:33" hidden="1" x14ac:dyDescent="0.25">
      <c r="A185" s="5">
        <v>677</v>
      </c>
      <c r="B185" s="5" t="s">
        <v>961</v>
      </c>
      <c r="C185" s="5" t="s">
        <v>701</v>
      </c>
      <c r="D185" s="5" t="s">
        <v>962</v>
      </c>
      <c r="E185" s="5" t="s">
        <v>963</v>
      </c>
      <c r="F185" s="8">
        <v>46192</v>
      </c>
      <c r="G185" s="8">
        <v>46205</v>
      </c>
      <c r="H185" s="3">
        <v>0.72</v>
      </c>
      <c r="L185" s="5" t="s">
        <v>35</v>
      </c>
      <c r="M185" s="5" t="s">
        <v>386</v>
      </c>
      <c r="N185" s="7">
        <v>46210</v>
      </c>
      <c r="P185" s="5" t="s">
        <v>699</v>
      </c>
      <c r="Q185" s="5" t="s">
        <v>138</v>
      </c>
      <c r="R185" s="5" t="s">
        <v>55</v>
      </c>
      <c r="S185" s="7">
        <v>46191</v>
      </c>
      <c r="T185" s="7">
        <v>46210</v>
      </c>
      <c r="U185" s="5" t="s">
        <v>320</v>
      </c>
      <c r="V185" s="5">
        <v>0.72</v>
      </c>
      <c r="W185" s="5">
        <v>0</v>
      </c>
      <c r="X185" s="5">
        <v>0</v>
      </c>
      <c r="Y185" s="5">
        <v>0</v>
      </c>
      <c r="Z185" s="5">
        <v>0</v>
      </c>
      <c r="AA185" s="5">
        <v>0</v>
      </c>
      <c r="AB185" s="5">
        <v>0</v>
      </c>
      <c r="AC185" s="5">
        <v>0</v>
      </c>
      <c r="AD185" s="5">
        <v>0</v>
      </c>
      <c r="AE185" s="5">
        <v>0</v>
      </c>
      <c r="AF185" s="5">
        <v>0</v>
      </c>
      <c r="AG185" s="5">
        <v>0</v>
      </c>
    </row>
    <row r="186" spans="1:33" hidden="1" x14ac:dyDescent="0.25">
      <c r="A186" s="5">
        <v>679</v>
      </c>
      <c r="B186" s="5" t="s">
        <v>966</v>
      </c>
      <c r="C186" s="5" t="s">
        <v>965</v>
      </c>
      <c r="D186" s="5" t="s">
        <v>98</v>
      </c>
      <c r="E186" s="5" t="s">
        <v>53</v>
      </c>
      <c r="F186" s="8">
        <v>46197</v>
      </c>
      <c r="G186" s="8">
        <v>46203</v>
      </c>
      <c r="H186" s="3">
        <v>0.15</v>
      </c>
      <c r="J186" s="5">
        <v>678</v>
      </c>
      <c r="K186" s="5">
        <v>680</v>
      </c>
      <c r="L186" s="5" t="s">
        <v>35</v>
      </c>
      <c r="M186" s="5" t="s">
        <v>538</v>
      </c>
      <c r="N186" s="7">
        <v>46205</v>
      </c>
      <c r="P186" s="5" t="s">
        <v>699</v>
      </c>
      <c r="Q186" s="5" t="s">
        <v>146</v>
      </c>
      <c r="R186" s="5" t="s">
        <v>55</v>
      </c>
      <c r="S186" s="7">
        <v>46205</v>
      </c>
      <c r="T186" s="7">
        <v>46205</v>
      </c>
      <c r="V186" s="5">
        <v>0.15</v>
      </c>
      <c r="W186" s="5">
        <v>0</v>
      </c>
      <c r="X186" s="5">
        <v>0</v>
      </c>
      <c r="Y186" s="5">
        <v>0</v>
      </c>
      <c r="Z186" s="5">
        <v>0</v>
      </c>
      <c r="AA186" s="5">
        <v>0</v>
      </c>
      <c r="AB186" s="5">
        <v>1</v>
      </c>
      <c r="AC186" s="5">
        <v>0</v>
      </c>
      <c r="AD186" s="5">
        <v>0</v>
      </c>
      <c r="AE186" s="5">
        <v>0</v>
      </c>
      <c r="AF186" s="5">
        <v>0</v>
      </c>
      <c r="AG186" s="5">
        <v>0</v>
      </c>
    </row>
    <row r="187" spans="1:33" hidden="1" x14ac:dyDescent="0.25">
      <c r="A187" s="5">
        <v>680</v>
      </c>
      <c r="B187" s="5" t="s">
        <v>967</v>
      </c>
      <c r="C187" s="5" t="s">
        <v>965</v>
      </c>
      <c r="D187" s="5" t="s">
        <v>102</v>
      </c>
      <c r="E187" s="5" t="s">
        <v>53</v>
      </c>
      <c r="F187" s="8">
        <v>46203</v>
      </c>
      <c r="G187" s="8">
        <v>46204</v>
      </c>
      <c r="H187" s="3">
        <v>0</v>
      </c>
      <c r="J187" s="5">
        <v>679</v>
      </c>
      <c r="K187" s="5">
        <v>681</v>
      </c>
      <c r="L187" s="5" t="s">
        <v>35</v>
      </c>
      <c r="M187" s="5" t="s">
        <v>159</v>
      </c>
      <c r="N187" s="7">
        <v>46209</v>
      </c>
      <c r="P187" s="5" t="s">
        <v>699</v>
      </c>
      <c r="Q187" s="5" t="s">
        <v>146</v>
      </c>
      <c r="R187" s="5" t="s">
        <v>55</v>
      </c>
      <c r="S187" s="7">
        <v>46206</v>
      </c>
      <c r="T187" s="7">
        <v>46209</v>
      </c>
      <c r="V187" s="5">
        <v>0</v>
      </c>
      <c r="W187" s="5">
        <v>0</v>
      </c>
      <c r="X187" s="5">
        <v>0</v>
      </c>
      <c r="Y187" s="5">
        <v>0</v>
      </c>
      <c r="Z187" s="5">
        <v>0</v>
      </c>
      <c r="AA187" s="5">
        <v>0</v>
      </c>
      <c r="AB187" s="5">
        <v>0</v>
      </c>
      <c r="AC187" s="5">
        <v>0</v>
      </c>
      <c r="AD187" s="5">
        <v>1</v>
      </c>
      <c r="AE187" s="5">
        <v>0</v>
      </c>
      <c r="AF187" s="5">
        <v>0</v>
      </c>
      <c r="AG187" s="5">
        <v>0</v>
      </c>
    </row>
    <row r="188" spans="1:33" hidden="1" x14ac:dyDescent="0.25">
      <c r="A188" s="5">
        <v>681</v>
      </c>
      <c r="B188" s="5" t="s">
        <v>968</v>
      </c>
      <c r="C188" s="5" t="s">
        <v>965</v>
      </c>
      <c r="D188" s="5" t="s">
        <v>108</v>
      </c>
      <c r="E188" s="5" t="s">
        <v>53</v>
      </c>
      <c r="F188" s="8">
        <v>46204</v>
      </c>
      <c r="G188" s="8">
        <v>46205</v>
      </c>
      <c r="H188" s="3">
        <v>0</v>
      </c>
      <c r="J188" s="5">
        <v>680</v>
      </c>
      <c r="L188" s="5" t="s">
        <v>35</v>
      </c>
      <c r="M188" s="5" t="s">
        <v>541</v>
      </c>
      <c r="N188" s="7">
        <v>46210</v>
      </c>
      <c r="P188" s="5" t="s">
        <v>699</v>
      </c>
      <c r="Q188" s="5" t="s">
        <v>146</v>
      </c>
      <c r="R188" s="5" t="s">
        <v>55</v>
      </c>
      <c r="S188" s="7">
        <v>46210</v>
      </c>
      <c r="T188" s="7">
        <v>46210</v>
      </c>
      <c r="V188" s="5">
        <v>0</v>
      </c>
      <c r="W188" s="5">
        <v>0</v>
      </c>
      <c r="X188" s="5">
        <v>0</v>
      </c>
      <c r="Y188" s="5">
        <v>0</v>
      </c>
      <c r="Z188" s="5">
        <v>1</v>
      </c>
      <c r="AA188" s="5">
        <v>0</v>
      </c>
      <c r="AB188" s="5">
        <v>0</v>
      </c>
      <c r="AC188" s="5">
        <v>0</v>
      </c>
      <c r="AD188" s="5">
        <v>0</v>
      </c>
      <c r="AE188" s="5">
        <v>0</v>
      </c>
      <c r="AF188" s="5">
        <v>1</v>
      </c>
      <c r="AG188" s="5">
        <v>0</v>
      </c>
    </row>
    <row r="189" spans="1:33" hidden="1" x14ac:dyDescent="0.25">
      <c r="A189" s="5">
        <v>682</v>
      </c>
      <c r="B189" s="5" t="s">
        <v>969</v>
      </c>
      <c r="C189" s="5" t="s">
        <v>701</v>
      </c>
      <c r="D189" s="5" t="s">
        <v>970</v>
      </c>
      <c r="E189" s="5" t="s">
        <v>963</v>
      </c>
      <c r="F189" s="8">
        <v>46192</v>
      </c>
      <c r="G189" s="8">
        <v>46205</v>
      </c>
      <c r="H189" s="3">
        <v>0.72</v>
      </c>
      <c r="L189" s="5" t="s">
        <v>35</v>
      </c>
      <c r="M189" s="5" t="s">
        <v>386</v>
      </c>
      <c r="N189" s="7">
        <v>46210</v>
      </c>
      <c r="P189" s="5" t="s">
        <v>699</v>
      </c>
      <c r="Q189" s="5" t="s">
        <v>138</v>
      </c>
      <c r="R189" s="5" t="s">
        <v>55</v>
      </c>
      <c r="S189" s="7">
        <v>46191</v>
      </c>
      <c r="T189" s="7">
        <v>46210</v>
      </c>
      <c r="U189" s="5" t="s">
        <v>320</v>
      </c>
      <c r="V189" s="5">
        <v>0.72</v>
      </c>
      <c r="W189" s="5">
        <v>0</v>
      </c>
      <c r="X189" s="5">
        <v>0</v>
      </c>
      <c r="Y189" s="5">
        <v>0</v>
      </c>
      <c r="Z189" s="5">
        <v>0</v>
      </c>
      <c r="AA189" s="5">
        <v>0</v>
      </c>
      <c r="AB189" s="5">
        <v>0</v>
      </c>
      <c r="AC189" s="5">
        <v>0</v>
      </c>
      <c r="AD189" s="5">
        <v>0</v>
      </c>
      <c r="AE189" s="5">
        <v>0</v>
      </c>
      <c r="AF189" s="5">
        <v>0</v>
      </c>
      <c r="AG189" s="5">
        <v>0</v>
      </c>
    </row>
    <row r="190" spans="1:33" hidden="1" x14ac:dyDescent="0.25">
      <c r="A190" s="5">
        <v>684</v>
      </c>
      <c r="B190" s="5" t="s">
        <v>973</v>
      </c>
      <c r="C190" s="5" t="s">
        <v>972</v>
      </c>
      <c r="D190" s="5" t="s">
        <v>98</v>
      </c>
      <c r="E190" s="5" t="s">
        <v>53</v>
      </c>
      <c r="F190" s="8">
        <v>46197</v>
      </c>
      <c r="G190" s="8">
        <v>46203</v>
      </c>
      <c r="H190" s="3">
        <v>0.15</v>
      </c>
      <c r="J190" s="5">
        <v>683</v>
      </c>
      <c r="K190" s="5">
        <v>685</v>
      </c>
      <c r="L190" s="5" t="s">
        <v>35</v>
      </c>
      <c r="M190" s="5" t="s">
        <v>538</v>
      </c>
      <c r="N190" s="7">
        <v>46205</v>
      </c>
      <c r="P190" s="5" t="s">
        <v>699</v>
      </c>
      <c r="Q190" s="5" t="s">
        <v>146</v>
      </c>
      <c r="R190" s="5" t="s">
        <v>55</v>
      </c>
      <c r="S190" s="7">
        <v>46205</v>
      </c>
      <c r="T190" s="7">
        <v>46205</v>
      </c>
      <c r="V190" s="5">
        <v>0.15</v>
      </c>
      <c r="W190" s="5">
        <v>0</v>
      </c>
      <c r="X190" s="5">
        <v>0</v>
      </c>
      <c r="Y190" s="5">
        <v>0</v>
      </c>
      <c r="Z190" s="5">
        <v>0</v>
      </c>
      <c r="AA190" s="5">
        <v>0</v>
      </c>
      <c r="AB190" s="5">
        <v>1</v>
      </c>
      <c r="AC190" s="5">
        <v>0</v>
      </c>
      <c r="AD190" s="5">
        <v>0</v>
      </c>
      <c r="AE190" s="5">
        <v>0</v>
      </c>
      <c r="AF190" s="5">
        <v>0</v>
      </c>
      <c r="AG190" s="5">
        <v>0</v>
      </c>
    </row>
    <row r="191" spans="1:33" hidden="1" x14ac:dyDescent="0.25">
      <c r="A191" s="5">
        <v>685</v>
      </c>
      <c r="B191" s="5" t="s">
        <v>974</v>
      </c>
      <c r="C191" s="5" t="s">
        <v>972</v>
      </c>
      <c r="D191" s="5" t="s">
        <v>102</v>
      </c>
      <c r="E191" s="5" t="s">
        <v>53</v>
      </c>
      <c r="F191" s="8">
        <v>46203</v>
      </c>
      <c r="G191" s="8">
        <v>46204</v>
      </c>
      <c r="H191" s="3">
        <v>0</v>
      </c>
      <c r="J191" s="5">
        <v>684</v>
      </c>
      <c r="K191" s="5">
        <v>686</v>
      </c>
      <c r="L191" s="5" t="s">
        <v>35</v>
      </c>
      <c r="M191" s="5" t="s">
        <v>159</v>
      </c>
      <c r="N191" s="7">
        <v>46209</v>
      </c>
      <c r="P191" s="5" t="s">
        <v>699</v>
      </c>
      <c r="Q191" s="5" t="s">
        <v>146</v>
      </c>
      <c r="R191" s="5" t="s">
        <v>55</v>
      </c>
      <c r="S191" s="7">
        <v>46206</v>
      </c>
      <c r="T191" s="7">
        <v>46209</v>
      </c>
      <c r="V191" s="5">
        <v>0</v>
      </c>
      <c r="W191" s="5">
        <v>0</v>
      </c>
      <c r="X191" s="5">
        <v>0</v>
      </c>
      <c r="Y191" s="5">
        <v>0</v>
      </c>
      <c r="Z191" s="5">
        <v>0</v>
      </c>
      <c r="AA191" s="5">
        <v>0</v>
      </c>
      <c r="AB191" s="5">
        <v>0</v>
      </c>
      <c r="AC191" s="5">
        <v>0</v>
      </c>
      <c r="AD191" s="5">
        <v>1</v>
      </c>
      <c r="AE191" s="5">
        <v>0</v>
      </c>
      <c r="AF191" s="5">
        <v>0</v>
      </c>
      <c r="AG191" s="5">
        <v>0</v>
      </c>
    </row>
    <row r="192" spans="1:33" hidden="1" x14ac:dyDescent="0.25">
      <c r="A192" s="5">
        <v>686</v>
      </c>
      <c r="B192" s="5" t="s">
        <v>975</v>
      </c>
      <c r="C192" s="5" t="s">
        <v>972</v>
      </c>
      <c r="D192" s="5" t="s">
        <v>108</v>
      </c>
      <c r="E192" s="5" t="s">
        <v>53</v>
      </c>
      <c r="F192" s="8">
        <v>46204</v>
      </c>
      <c r="G192" s="8">
        <v>46205</v>
      </c>
      <c r="H192" s="3">
        <v>0</v>
      </c>
      <c r="J192" s="5">
        <v>685</v>
      </c>
      <c r="L192" s="5" t="s">
        <v>35</v>
      </c>
      <c r="M192" s="5" t="s">
        <v>541</v>
      </c>
      <c r="N192" s="7">
        <v>46210</v>
      </c>
      <c r="P192" s="5" t="s">
        <v>699</v>
      </c>
      <c r="Q192" s="5" t="s">
        <v>146</v>
      </c>
      <c r="R192" s="5" t="s">
        <v>55</v>
      </c>
      <c r="S192" s="7">
        <v>46210</v>
      </c>
      <c r="T192" s="7">
        <v>46210</v>
      </c>
      <c r="V192" s="5">
        <v>0</v>
      </c>
      <c r="W192" s="5">
        <v>0</v>
      </c>
      <c r="X192" s="5">
        <v>0</v>
      </c>
      <c r="Y192" s="5">
        <v>0</v>
      </c>
      <c r="Z192" s="5">
        <v>1</v>
      </c>
      <c r="AA192" s="5">
        <v>0</v>
      </c>
      <c r="AB192" s="5">
        <v>0</v>
      </c>
      <c r="AC192" s="5">
        <v>0</v>
      </c>
      <c r="AD192" s="5">
        <v>0</v>
      </c>
      <c r="AE192" s="5">
        <v>0</v>
      </c>
      <c r="AF192" s="5">
        <v>1</v>
      </c>
      <c r="AG192" s="5">
        <v>0</v>
      </c>
    </row>
    <row r="193" spans="1:33" hidden="1" x14ac:dyDescent="0.25">
      <c r="A193" s="5">
        <v>687</v>
      </c>
      <c r="B193" s="5" t="s">
        <v>976</v>
      </c>
      <c r="C193" s="5" t="s">
        <v>701</v>
      </c>
      <c r="D193" s="5" t="s">
        <v>977</v>
      </c>
      <c r="E193" s="5" t="s">
        <v>963</v>
      </c>
      <c r="F193" s="8">
        <v>46192</v>
      </c>
      <c r="G193" s="8">
        <v>46205</v>
      </c>
      <c r="H193" s="3">
        <v>0.72</v>
      </c>
      <c r="L193" s="5" t="s">
        <v>35</v>
      </c>
      <c r="M193" s="5" t="s">
        <v>386</v>
      </c>
      <c r="N193" s="7">
        <v>46210</v>
      </c>
      <c r="P193" s="5" t="s">
        <v>699</v>
      </c>
      <c r="Q193" s="5" t="s">
        <v>138</v>
      </c>
      <c r="R193" s="5" t="s">
        <v>55</v>
      </c>
      <c r="S193" s="7">
        <v>46191</v>
      </c>
      <c r="T193" s="7">
        <v>46210</v>
      </c>
      <c r="U193" s="5" t="s">
        <v>320</v>
      </c>
      <c r="V193" s="5">
        <v>0.72</v>
      </c>
      <c r="W193" s="5">
        <v>0</v>
      </c>
      <c r="X193" s="5">
        <v>0</v>
      </c>
      <c r="Y193" s="5">
        <v>0</v>
      </c>
      <c r="Z193" s="5">
        <v>0</v>
      </c>
      <c r="AA193" s="5">
        <v>0</v>
      </c>
      <c r="AB193" s="5">
        <v>0</v>
      </c>
      <c r="AC193" s="5">
        <v>0</v>
      </c>
      <c r="AD193" s="5">
        <v>0</v>
      </c>
      <c r="AE193" s="5">
        <v>0</v>
      </c>
      <c r="AF193" s="5">
        <v>0</v>
      </c>
      <c r="AG193" s="5">
        <v>0</v>
      </c>
    </row>
    <row r="194" spans="1:33" hidden="1" x14ac:dyDescent="0.25">
      <c r="A194" s="5">
        <v>689</v>
      </c>
      <c r="B194" s="5" t="s">
        <v>980</v>
      </c>
      <c r="C194" s="5" t="s">
        <v>979</v>
      </c>
      <c r="D194" s="5" t="s">
        <v>98</v>
      </c>
      <c r="E194" s="5" t="s">
        <v>53</v>
      </c>
      <c r="F194" s="8">
        <v>46197</v>
      </c>
      <c r="G194" s="8">
        <v>46203</v>
      </c>
      <c r="H194" s="3">
        <v>0.15</v>
      </c>
      <c r="J194" s="5">
        <v>688</v>
      </c>
      <c r="K194" s="5">
        <v>690</v>
      </c>
      <c r="L194" s="5" t="s">
        <v>35</v>
      </c>
      <c r="M194" s="5" t="s">
        <v>538</v>
      </c>
      <c r="N194" s="7">
        <v>46205</v>
      </c>
      <c r="P194" s="5" t="s">
        <v>699</v>
      </c>
      <c r="Q194" s="5" t="s">
        <v>146</v>
      </c>
      <c r="R194" s="5" t="s">
        <v>55</v>
      </c>
      <c r="S194" s="7">
        <v>46205</v>
      </c>
      <c r="T194" s="7">
        <v>46205</v>
      </c>
      <c r="V194" s="5">
        <v>0.15</v>
      </c>
      <c r="W194" s="5">
        <v>0</v>
      </c>
      <c r="X194" s="5">
        <v>0</v>
      </c>
      <c r="Y194" s="5">
        <v>0</v>
      </c>
      <c r="Z194" s="5">
        <v>0</v>
      </c>
      <c r="AA194" s="5">
        <v>0</v>
      </c>
      <c r="AB194" s="5">
        <v>1</v>
      </c>
      <c r="AC194" s="5">
        <v>0</v>
      </c>
      <c r="AD194" s="5">
        <v>0</v>
      </c>
      <c r="AE194" s="5">
        <v>0</v>
      </c>
      <c r="AF194" s="5">
        <v>0</v>
      </c>
      <c r="AG194" s="5">
        <v>0</v>
      </c>
    </row>
    <row r="195" spans="1:33" hidden="1" x14ac:dyDescent="0.25">
      <c r="A195" s="5">
        <v>690</v>
      </c>
      <c r="B195" s="5" t="s">
        <v>981</v>
      </c>
      <c r="C195" s="5" t="s">
        <v>979</v>
      </c>
      <c r="D195" s="5" t="s">
        <v>102</v>
      </c>
      <c r="E195" s="5" t="s">
        <v>53</v>
      </c>
      <c r="F195" s="8">
        <v>46203</v>
      </c>
      <c r="G195" s="8">
        <v>46204</v>
      </c>
      <c r="H195" s="3">
        <v>0</v>
      </c>
      <c r="J195" s="5">
        <v>689</v>
      </c>
      <c r="K195" s="5">
        <v>691</v>
      </c>
      <c r="L195" s="5" t="s">
        <v>35</v>
      </c>
      <c r="M195" s="5" t="s">
        <v>159</v>
      </c>
      <c r="N195" s="7">
        <v>46209</v>
      </c>
      <c r="P195" s="5" t="s">
        <v>699</v>
      </c>
      <c r="Q195" s="5" t="s">
        <v>146</v>
      </c>
      <c r="R195" s="5" t="s">
        <v>55</v>
      </c>
      <c r="S195" s="7">
        <v>46206</v>
      </c>
      <c r="T195" s="7">
        <v>46209</v>
      </c>
      <c r="V195" s="5">
        <v>0</v>
      </c>
      <c r="W195" s="5">
        <v>0</v>
      </c>
      <c r="X195" s="5">
        <v>0</v>
      </c>
      <c r="Y195" s="5">
        <v>0</v>
      </c>
      <c r="Z195" s="5">
        <v>0</v>
      </c>
      <c r="AA195" s="5">
        <v>0</v>
      </c>
      <c r="AB195" s="5">
        <v>0</v>
      </c>
      <c r="AC195" s="5">
        <v>0</v>
      </c>
      <c r="AD195" s="5">
        <v>1</v>
      </c>
      <c r="AE195" s="5">
        <v>0</v>
      </c>
      <c r="AF195" s="5">
        <v>0</v>
      </c>
      <c r="AG195" s="5">
        <v>0</v>
      </c>
    </row>
    <row r="196" spans="1:33" hidden="1" x14ac:dyDescent="0.25">
      <c r="A196" s="5">
        <v>691</v>
      </c>
      <c r="B196" s="5" t="s">
        <v>982</v>
      </c>
      <c r="C196" s="5" t="s">
        <v>979</v>
      </c>
      <c r="D196" s="5" t="s">
        <v>108</v>
      </c>
      <c r="E196" s="5" t="s">
        <v>53</v>
      </c>
      <c r="F196" s="8">
        <v>46204</v>
      </c>
      <c r="G196" s="8">
        <v>46205</v>
      </c>
      <c r="H196" s="3">
        <v>0</v>
      </c>
      <c r="J196" s="5">
        <v>690</v>
      </c>
      <c r="L196" s="5" t="s">
        <v>35</v>
      </c>
      <c r="M196" s="5" t="s">
        <v>541</v>
      </c>
      <c r="N196" s="7">
        <v>46210</v>
      </c>
      <c r="P196" s="5" t="s">
        <v>699</v>
      </c>
      <c r="Q196" s="5" t="s">
        <v>146</v>
      </c>
      <c r="R196" s="5" t="s">
        <v>55</v>
      </c>
      <c r="S196" s="7">
        <v>46210</v>
      </c>
      <c r="T196" s="7">
        <v>46210</v>
      </c>
      <c r="V196" s="5">
        <v>0</v>
      </c>
      <c r="W196" s="5">
        <v>0</v>
      </c>
      <c r="X196" s="5">
        <v>0</v>
      </c>
      <c r="Y196" s="5">
        <v>0</v>
      </c>
      <c r="Z196" s="5">
        <v>1</v>
      </c>
      <c r="AA196" s="5">
        <v>0</v>
      </c>
      <c r="AB196" s="5">
        <v>0</v>
      </c>
      <c r="AC196" s="5">
        <v>0</v>
      </c>
      <c r="AD196" s="5">
        <v>0</v>
      </c>
      <c r="AE196" s="5">
        <v>0</v>
      </c>
      <c r="AF196" s="5">
        <v>1</v>
      </c>
      <c r="AG196" s="5">
        <v>0</v>
      </c>
    </row>
    <row r="197" spans="1:33" hidden="1" x14ac:dyDescent="0.25">
      <c r="A197" s="5">
        <v>692</v>
      </c>
      <c r="B197" s="5" t="s">
        <v>983</v>
      </c>
      <c r="C197" s="5" t="s">
        <v>701</v>
      </c>
      <c r="D197" s="5" t="s">
        <v>984</v>
      </c>
      <c r="E197" s="5" t="s">
        <v>963</v>
      </c>
      <c r="F197" s="8">
        <v>46192</v>
      </c>
      <c r="G197" s="8">
        <v>46205</v>
      </c>
      <c r="H197" s="3">
        <v>0.72</v>
      </c>
      <c r="L197" s="5" t="s">
        <v>35</v>
      </c>
      <c r="M197" s="5" t="s">
        <v>386</v>
      </c>
      <c r="N197" s="7">
        <v>46210</v>
      </c>
      <c r="P197" s="5" t="s">
        <v>699</v>
      </c>
      <c r="Q197" s="5" t="s">
        <v>138</v>
      </c>
      <c r="R197" s="5" t="s">
        <v>55</v>
      </c>
      <c r="S197" s="7">
        <v>46191</v>
      </c>
      <c r="T197" s="7">
        <v>46210</v>
      </c>
      <c r="U197" s="5" t="s">
        <v>320</v>
      </c>
      <c r="V197" s="5">
        <v>0.72</v>
      </c>
      <c r="W197" s="5">
        <v>0</v>
      </c>
      <c r="X197" s="5">
        <v>0</v>
      </c>
      <c r="Y197" s="5">
        <v>0</v>
      </c>
      <c r="Z197" s="5">
        <v>0</v>
      </c>
      <c r="AA197" s="5">
        <v>0</v>
      </c>
      <c r="AB197" s="5">
        <v>0</v>
      </c>
      <c r="AC197" s="5">
        <v>0</v>
      </c>
      <c r="AD197" s="5">
        <v>0</v>
      </c>
      <c r="AE197" s="5">
        <v>0</v>
      </c>
      <c r="AF197" s="5">
        <v>0</v>
      </c>
      <c r="AG197" s="5">
        <v>0</v>
      </c>
    </row>
    <row r="198" spans="1:33" hidden="1" x14ac:dyDescent="0.25">
      <c r="A198" s="5">
        <v>694</v>
      </c>
      <c r="B198" s="5" t="s">
        <v>987</v>
      </c>
      <c r="C198" s="5" t="s">
        <v>986</v>
      </c>
      <c r="D198" s="5" t="s">
        <v>98</v>
      </c>
      <c r="E198" s="5" t="s">
        <v>53</v>
      </c>
      <c r="F198" s="8">
        <v>46197</v>
      </c>
      <c r="G198" s="8">
        <v>46203</v>
      </c>
      <c r="H198" s="3">
        <v>0.15</v>
      </c>
      <c r="J198" s="5">
        <v>693</v>
      </c>
      <c r="K198" s="5">
        <v>695</v>
      </c>
      <c r="L198" s="5" t="s">
        <v>35</v>
      </c>
      <c r="M198" s="5" t="s">
        <v>538</v>
      </c>
      <c r="N198" s="7">
        <v>46205</v>
      </c>
      <c r="P198" s="5" t="s">
        <v>699</v>
      </c>
      <c r="Q198" s="5" t="s">
        <v>146</v>
      </c>
      <c r="R198" s="5" t="s">
        <v>55</v>
      </c>
      <c r="S198" s="7">
        <v>46205</v>
      </c>
      <c r="T198" s="7">
        <v>46205</v>
      </c>
      <c r="V198" s="5">
        <v>0.15</v>
      </c>
      <c r="W198" s="5">
        <v>0</v>
      </c>
      <c r="X198" s="5">
        <v>0</v>
      </c>
      <c r="Y198" s="5">
        <v>0</v>
      </c>
      <c r="Z198" s="5">
        <v>0</v>
      </c>
      <c r="AA198" s="5">
        <v>0</v>
      </c>
      <c r="AB198" s="5">
        <v>1</v>
      </c>
      <c r="AC198" s="5">
        <v>0</v>
      </c>
      <c r="AD198" s="5">
        <v>0</v>
      </c>
      <c r="AE198" s="5">
        <v>0</v>
      </c>
      <c r="AF198" s="5">
        <v>0</v>
      </c>
      <c r="AG198" s="5">
        <v>0</v>
      </c>
    </row>
    <row r="199" spans="1:33" hidden="1" x14ac:dyDescent="0.25">
      <c r="A199" s="5">
        <v>695</v>
      </c>
      <c r="B199" s="5" t="s">
        <v>988</v>
      </c>
      <c r="C199" s="5" t="s">
        <v>986</v>
      </c>
      <c r="D199" s="5" t="s">
        <v>102</v>
      </c>
      <c r="E199" s="5" t="s">
        <v>53</v>
      </c>
      <c r="F199" s="8">
        <v>46203</v>
      </c>
      <c r="G199" s="8">
        <v>46204</v>
      </c>
      <c r="H199" s="3">
        <v>0</v>
      </c>
      <c r="J199" s="5">
        <v>694</v>
      </c>
      <c r="K199" s="5">
        <v>696</v>
      </c>
      <c r="L199" s="5" t="s">
        <v>35</v>
      </c>
      <c r="M199" s="5" t="s">
        <v>159</v>
      </c>
      <c r="N199" s="7">
        <v>46209</v>
      </c>
      <c r="P199" s="5" t="s">
        <v>699</v>
      </c>
      <c r="Q199" s="5" t="s">
        <v>146</v>
      </c>
      <c r="R199" s="5" t="s">
        <v>55</v>
      </c>
      <c r="S199" s="7">
        <v>46206</v>
      </c>
      <c r="T199" s="7">
        <v>46209</v>
      </c>
      <c r="V199" s="5">
        <v>0</v>
      </c>
      <c r="W199" s="5">
        <v>0</v>
      </c>
      <c r="X199" s="5">
        <v>0</v>
      </c>
      <c r="Y199" s="5">
        <v>0</v>
      </c>
      <c r="Z199" s="5">
        <v>0</v>
      </c>
      <c r="AA199" s="5">
        <v>0</v>
      </c>
      <c r="AB199" s="5">
        <v>0</v>
      </c>
      <c r="AC199" s="5">
        <v>0</v>
      </c>
      <c r="AD199" s="5">
        <v>1</v>
      </c>
      <c r="AE199" s="5">
        <v>0</v>
      </c>
      <c r="AF199" s="5">
        <v>0</v>
      </c>
      <c r="AG199" s="5">
        <v>0</v>
      </c>
    </row>
    <row r="200" spans="1:33" hidden="1" x14ac:dyDescent="0.25">
      <c r="A200" s="5">
        <v>696</v>
      </c>
      <c r="B200" s="5" t="s">
        <v>989</v>
      </c>
      <c r="C200" s="5" t="s">
        <v>986</v>
      </c>
      <c r="D200" s="5" t="s">
        <v>108</v>
      </c>
      <c r="E200" s="5" t="s">
        <v>53</v>
      </c>
      <c r="F200" s="8">
        <v>46204</v>
      </c>
      <c r="G200" s="8">
        <v>46205</v>
      </c>
      <c r="H200" s="3">
        <v>0</v>
      </c>
      <c r="J200" s="5">
        <v>695</v>
      </c>
      <c r="L200" s="5" t="s">
        <v>35</v>
      </c>
      <c r="M200" s="5" t="s">
        <v>541</v>
      </c>
      <c r="N200" s="7">
        <v>46210</v>
      </c>
      <c r="P200" s="5" t="s">
        <v>699</v>
      </c>
      <c r="Q200" s="5" t="s">
        <v>146</v>
      </c>
      <c r="R200" s="5" t="s">
        <v>55</v>
      </c>
      <c r="S200" s="7">
        <v>46210</v>
      </c>
      <c r="T200" s="7">
        <v>46210</v>
      </c>
      <c r="V200" s="5">
        <v>0</v>
      </c>
      <c r="W200" s="5">
        <v>0</v>
      </c>
      <c r="X200" s="5">
        <v>0</v>
      </c>
      <c r="Y200" s="5">
        <v>0</v>
      </c>
      <c r="Z200" s="5">
        <v>1</v>
      </c>
      <c r="AA200" s="5">
        <v>0</v>
      </c>
      <c r="AB200" s="5">
        <v>0</v>
      </c>
      <c r="AC200" s="5">
        <v>0</v>
      </c>
      <c r="AD200" s="5">
        <v>0</v>
      </c>
      <c r="AE200" s="5">
        <v>0</v>
      </c>
      <c r="AF200" s="5">
        <v>1</v>
      </c>
      <c r="AG200" s="5">
        <v>0</v>
      </c>
    </row>
    <row r="201" spans="1:33" x14ac:dyDescent="0.25">
      <c r="A201" s="5">
        <v>698</v>
      </c>
      <c r="B201" s="5" t="s">
        <v>992</v>
      </c>
      <c r="C201" s="5" t="s">
        <v>993</v>
      </c>
      <c r="D201" s="5" t="s">
        <v>94</v>
      </c>
      <c r="E201" s="5" t="s">
        <v>556</v>
      </c>
      <c r="F201" s="8">
        <v>46203</v>
      </c>
      <c r="G201" s="8">
        <v>46206</v>
      </c>
      <c r="H201" s="3">
        <v>0</v>
      </c>
      <c r="J201" s="5" t="s">
        <v>994</v>
      </c>
      <c r="K201" s="5" t="s">
        <v>995</v>
      </c>
      <c r="L201" s="5" t="s">
        <v>35</v>
      </c>
      <c r="M201" s="5" t="s">
        <v>422</v>
      </c>
      <c r="N201" s="7">
        <v>46203</v>
      </c>
      <c r="P201" s="5" t="s">
        <v>699</v>
      </c>
      <c r="Q201" s="5" t="s">
        <v>138</v>
      </c>
      <c r="R201" s="5" t="s">
        <v>55</v>
      </c>
      <c r="S201" s="7">
        <v>46199</v>
      </c>
      <c r="T201" s="7">
        <v>46203</v>
      </c>
      <c r="V201" s="5">
        <v>0</v>
      </c>
      <c r="W201" s="5">
        <v>1</v>
      </c>
      <c r="X201" s="5">
        <v>0</v>
      </c>
      <c r="Y201" s="5">
        <v>1</v>
      </c>
      <c r="Z201" s="5">
        <v>0</v>
      </c>
      <c r="AA201" s="5">
        <v>0</v>
      </c>
      <c r="AB201" s="5">
        <v>0</v>
      </c>
      <c r="AC201" s="5">
        <v>0</v>
      </c>
      <c r="AD201" s="5">
        <v>0</v>
      </c>
      <c r="AE201" s="5">
        <v>0</v>
      </c>
      <c r="AF201" s="5">
        <v>0</v>
      </c>
      <c r="AG201" s="5">
        <v>0</v>
      </c>
    </row>
    <row r="202" spans="1:33" x14ac:dyDescent="0.25">
      <c r="A202" s="5">
        <v>703</v>
      </c>
      <c r="B202" s="5" t="s">
        <v>1001</v>
      </c>
      <c r="C202" s="5" t="s">
        <v>1002</v>
      </c>
      <c r="D202" s="5" t="s">
        <v>94</v>
      </c>
      <c r="E202" s="5" t="s">
        <v>556</v>
      </c>
      <c r="F202" s="8">
        <v>46203</v>
      </c>
      <c r="G202" s="8">
        <v>46206</v>
      </c>
      <c r="H202" s="3">
        <v>0</v>
      </c>
      <c r="J202" s="5" t="s">
        <v>994</v>
      </c>
      <c r="K202" s="5" t="s">
        <v>1003</v>
      </c>
      <c r="L202" s="5" t="s">
        <v>35</v>
      </c>
      <c r="M202" s="5" t="s">
        <v>422</v>
      </c>
      <c r="N202" s="7">
        <v>46203</v>
      </c>
      <c r="P202" s="5" t="s">
        <v>699</v>
      </c>
      <c r="Q202" s="5" t="s">
        <v>138</v>
      </c>
      <c r="R202" s="5" t="s">
        <v>55</v>
      </c>
      <c r="S202" s="7">
        <v>46199</v>
      </c>
      <c r="T202" s="7">
        <v>46203</v>
      </c>
      <c r="V202" s="5">
        <v>0</v>
      </c>
      <c r="W202" s="5">
        <v>1</v>
      </c>
      <c r="X202" s="5">
        <v>0</v>
      </c>
      <c r="Y202" s="5">
        <v>1</v>
      </c>
      <c r="Z202" s="5">
        <v>0</v>
      </c>
      <c r="AA202" s="5">
        <v>0</v>
      </c>
      <c r="AB202" s="5">
        <v>0</v>
      </c>
      <c r="AC202" s="5">
        <v>0</v>
      </c>
      <c r="AD202" s="5">
        <v>0</v>
      </c>
      <c r="AE202" s="5">
        <v>0</v>
      </c>
      <c r="AF202" s="5">
        <v>0</v>
      </c>
      <c r="AG202" s="5">
        <v>0</v>
      </c>
    </row>
    <row r="203" spans="1:33" hidden="1" x14ac:dyDescent="0.25">
      <c r="A203" s="5">
        <v>709</v>
      </c>
      <c r="B203" s="5" t="s">
        <v>1012</v>
      </c>
      <c r="C203" s="5" t="s">
        <v>1010</v>
      </c>
      <c r="D203" s="5" t="s">
        <v>98</v>
      </c>
      <c r="E203" s="5" t="s">
        <v>53</v>
      </c>
      <c r="F203" s="8">
        <v>46206</v>
      </c>
      <c r="G203" s="8">
        <v>46206</v>
      </c>
      <c r="H203" s="3">
        <v>0</v>
      </c>
      <c r="J203" s="5">
        <v>708</v>
      </c>
      <c r="K203" s="5">
        <v>710</v>
      </c>
      <c r="L203" s="5" t="s">
        <v>131</v>
      </c>
      <c r="M203" s="5" t="s">
        <v>426</v>
      </c>
      <c r="N203" s="7">
        <v>46204</v>
      </c>
      <c r="P203" s="5" t="s">
        <v>699</v>
      </c>
      <c r="Q203" s="5" t="s">
        <v>146</v>
      </c>
      <c r="R203" s="5" t="s">
        <v>55</v>
      </c>
      <c r="S203" s="7">
        <v>46204</v>
      </c>
      <c r="T203" s="7">
        <v>46204</v>
      </c>
      <c r="V203" s="5">
        <v>0</v>
      </c>
      <c r="W203" s="5">
        <v>0</v>
      </c>
      <c r="X203" s="5">
        <v>0</v>
      </c>
      <c r="Y203" s="5">
        <v>0</v>
      </c>
      <c r="Z203" s="5">
        <v>0</v>
      </c>
      <c r="AA203" s="5">
        <v>0</v>
      </c>
      <c r="AB203" s="5">
        <v>0</v>
      </c>
      <c r="AC203" s="5">
        <v>0</v>
      </c>
      <c r="AD203" s="5">
        <v>0</v>
      </c>
      <c r="AE203" s="5">
        <v>0</v>
      </c>
      <c r="AF203" s="5">
        <v>0</v>
      </c>
      <c r="AG203" s="5">
        <v>0</v>
      </c>
    </row>
    <row r="204" spans="1:33" hidden="1" x14ac:dyDescent="0.25">
      <c r="A204" s="5">
        <v>36</v>
      </c>
      <c r="B204" s="5" t="s">
        <v>1036</v>
      </c>
      <c r="C204" s="5" t="s">
        <v>134</v>
      </c>
      <c r="D204" s="5" t="s">
        <v>1037</v>
      </c>
      <c r="E204" s="5" t="s">
        <v>815</v>
      </c>
      <c r="F204" s="8">
        <v>46189</v>
      </c>
      <c r="G204" s="8">
        <v>46197</v>
      </c>
      <c r="H204" s="3">
        <v>0</v>
      </c>
      <c r="L204" s="5" t="s">
        <v>144</v>
      </c>
      <c r="M204" s="5" t="s">
        <v>294</v>
      </c>
      <c r="N204" s="7">
        <v>46192</v>
      </c>
      <c r="P204" s="5" t="s">
        <v>132</v>
      </c>
      <c r="Q204" s="5" t="s">
        <v>676</v>
      </c>
      <c r="R204" s="5" t="s">
        <v>55</v>
      </c>
      <c r="S204" s="7">
        <v>46184</v>
      </c>
      <c r="T204" s="7">
        <v>46192</v>
      </c>
      <c r="U204" s="5" t="s">
        <v>1038</v>
      </c>
      <c r="V204" s="5">
        <v>0</v>
      </c>
      <c r="W204" s="5">
        <v>0</v>
      </c>
      <c r="X204" s="5">
        <v>0</v>
      </c>
      <c r="Y204" s="5">
        <v>0</v>
      </c>
      <c r="Z204" s="5">
        <v>0</v>
      </c>
      <c r="AA204" s="5">
        <v>0</v>
      </c>
      <c r="AB204" s="5">
        <v>0</v>
      </c>
      <c r="AC204" s="5">
        <v>0</v>
      </c>
      <c r="AD204" s="5">
        <v>0</v>
      </c>
      <c r="AE204" s="5">
        <v>0</v>
      </c>
      <c r="AF204" s="5">
        <v>0</v>
      </c>
      <c r="AG204" s="5">
        <v>0</v>
      </c>
    </row>
    <row r="205" spans="1:33" hidden="1" x14ac:dyDescent="0.25">
      <c r="A205" s="5">
        <v>199</v>
      </c>
      <c r="B205" s="5" t="s">
        <v>1041</v>
      </c>
      <c r="C205" s="5" t="s">
        <v>407</v>
      </c>
      <c r="D205" s="5" t="s">
        <v>1042</v>
      </c>
      <c r="E205" s="5" t="s">
        <v>815</v>
      </c>
      <c r="F205" s="8">
        <v>46197</v>
      </c>
      <c r="G205" s="8">
        <v>46205</v>
      </c>
      <c r="H205" s="3">
        <v>0</v>
      </c>
      <c r="L205" s="5" t="s">
        <v>144</v>
      </c>
      <c r="M205" s="5" t="s">
        <v>418</v>
      </c>
      <c r="N205" s="7">
        <v>46204</v>
      </c>
      <c r="P205" s="5" t="s">
        <v>405</v>
      </c>
      <c r="Q205" s="5" t="s">
        <v>676</v>
      </c>
      <c r="R205" s="5" t="s">
        <v>39</v>
      </c>
      <c r="S205" s="7">
        <v>46196</v>
      </c>
      <c r="T205" s="7">
        <v>46204</v>
      </c>
      <c r="U205" s="5" t="s">
        <v>1038</v>
      </c>
      <c r="V205" s="5">
        <v>0</v>
      </c>
      <c r="W205" s="5">
        <v>0</v>
      </c>
      <c r="X205" s="5">
        <v>0</v>
      </c>
      <c r="Y205" s="5">
        <v>0</v>
      </c>
      <c r="Z205" s="5">
        <v>0</v>
      </c>
      <c r="AA205" s="5">
        <v>0</v>
      </c>
      <c r="AB205" s="5">
        <v>0</v>
      </c>
      <c r="AC205" s="5">
        <v>0</v>
      </c>
      <c r="AD205" s="5">
        <v>0</v>
      </c>
      <c r="AE205" s="5">
        <v>0</v>
      </c>
      <c r="AF205" s="5">
        <v>0</v>
      </c>
      <c r="AG205" s="5">
        <v>0</v>
      </c>
    </row>
    <row r="206" spans="1:33" hidden="1" x14ac:dyDescent="0.25">
      <c r="A206" s="5">
        <v>204</v>
      </c>
      <c r="B206" s="5" t="s">
        <v>1043</v>
      </c>
      <c r="C206" s="5" t="s">
        <v>407</v>
      </c>
      <c r="D206" s="5" t="s">
        <v>1044</v>
      </c>
      <c r="E206" s="5" t="s">
        <v>815</v>
      </c>
      <c r="F206" s="8">
        <v>46197</v>
      </c>
      <c r="G206" s="8">
        <v>46205</v>
      </c>
      <c r="H206" s="3">
        <v>0</v>
      </c>
      <c r="L206" s="5" t="s">
        <v>144</v>
      </c>
      <c r="M206" s="5" t="s">
        <v>418</v>
      </c>
      <c r="N206" s="7">
        <v>46204</v>
      </c>
      <c r="P206" s="5" t="s">
        <v>405</v>
      </c>
      <c r="Q206" s="5" t="s">
        <v>676</v>
      </c>
      <c r="R206" s="5" t="s">
        <v>55</v>
      </c>
      <c r="S206" s="7">
        <v>46196</v>
      </c>
      <c r="T206" s="7">
        <v>46204</v>
      </c>
      <c r="U206" s="5" t="s">
        <v>1038</v>
      </c>
      <c r="V206" s="5">
        <v>0</v>
      </c>
      <c r="W206" s="5">
        <v>0</v>
      </c>
      <c r="X206" s="5">
        <v>0</v>
      </c>
      <c r="Y206" s="5">
        <v>0</v>
      </c>
      <c r="Z206" s="5">
        <v>0</v>
      </c>
      <c r="AA206" s="5">
        <v>0</v>
      </c>
      <c r="AB206" s="5">
        <v>0</v>
      </c>
      <c r="AC206" s="5">
        <v>0</v>
      </c>
      <c r="AD206" s="5">
        <v>0</v>
      </c>
      <c r="AE206" s="5">
        <v>0</v>
      </c>
      <c r="AF206" s="5">
        <v>0</v>
      </c>
      <c r="AG206" s="5">
        <v>0</v>
      </c>
    </row>
    <row r="207" spans="1:33" hidden="1" x14ac:dyDescent="0.25">
      <c r="A207" s="5">
        <v>214</v>
      </c>
      <c r="B207" s="5" t="s">
        <v>1045</v>
      </c>
      <c r="C207" s="5" t="s">
        <v>407</v>
      </c>
      <c r="D207" s="5" t="s">
        <v>1046</v>
      </c>
      <c r="E207" s="5" t="s">
        <v>815</v>
      </c>
      <c r="F207" s="8">
        <v>46192</v>
      </c>
      <c r="G207" s="8">
        <v>46202</v>
      </c>
      <c r="H207" s="3">
        <v>0</v>
      </c>
      <c r="L207" s="5" t="s">
        <v>144</v>
      </c>
      <c r="M207" s="5" t="s">
        <v>386</v>
      </c>
      <c r="N207" s="7">
        <v>46199</v>
      </c>
      <c r="P207" s="5" t="s">
        <v>405</v>
      </c>
      <c r="Q207" s="5" t="s">
        <v>676</v>
      </c>
      <c r="R207" s="5" t="s">
        <v>39</v>
      </c>
      <c r="S207" s="7">
        <v>46191</v>
      </c>
      <c r="T207" s="7">
        <v>46199</v>
      </c>
      <c r="U207" s="5" t="s">
        <v>1038</v>
      </c>
      <c r="V207" s="5">
        <v>0</v>
      </c>
      <c r="W207" s="5">
        <v>0</v>
      </c>
      <c r="X207" s="5">
        <v>0</v>
      </c>
      <c r="Y207" s="5">
        <v>0</v>
      </c>
      <c r="Z207" s="5">
        <v>0</v>
      </c>
      <c r="AA207" s="5">
        <v>0</v>
      </c>
      <c r="AB207" s="5">
        <v>0</v>
      </c>
      <c r="AC207" s="5">
        <v>0</v>
      </c>
      <c r="AD207" s="5">
        <v>0</v>
      </c>
      <c r="AE207" s="5">
        <v>0</v>
      </c>
      <c r="AF207" s="5">
        <v>0</v>
      </c>
      <c r="AG207" s="5">
        <v>0</v>
      </c>
    </row>
    <row r="208" spans="1:33" hidden="1" x14ac:dyDescent="0.25">
      <c r="A208" s="5">
        <v>224</v>
      </c>
      <c r="B208" s="5" t="s">
        <v>1047</v>
      </c>
      <c r="C208" s="5" t="s">
        <v>407</v>
      </c>
      <c r="D208" s="5" t="s">
        <v>1048</v>
      </c>
      <c r="E208" s="5" t="s">
        <v>103</v>
      </c>
      <c r="F208" s="8">
        <v>46176</v>
      </c>
      <c r="G208" s="8">
        <v>46183</v>
      </c>
      <c r="H208" s="3">
        <v>0</v>
      </c>
      <c r="L208" s="5" t="s">
        <v>144</v>
      </c>
      <c r="M208" s="5" t="s">
        <v>187</v>
      </c>
      <c r="N208" s="7">
        <v>46169</v>
      </c>
      <c r="P208" s="5" t="s">
        <v>405</v>
      </c>
      <c r="Q208" s="5" t="s">
        <v>676</v>
      </c>
      <c r="R208" s="5" t="s">
        <v>55</v>
      </c>
      <c r="S208" s="7">
        <v>46162</v>
      </c>
      <c r="T208" s="7">
        <v>46169</v>
      </c>
      <c r="U208" s="5" t="s">
        <v>1038</v>
      </c>
      <c r="V208" s="5">
        <v>0</v>
      </c>
      <c r="W208" s="5">
        <v>0</v>
      </c>
      <c r="X208" s="5">
        <v>0</v>
      </c>
      <c r="Y208" s="5">
        <v>0</v>
      </c>
      <c r="Z208" s="5">
        <v>0</v>
      </c>
      <c r="AA208" s="5">
        <v>0</v>
      </c>
      <c r="AB208" s="5">
        <v>0</v>
      </c>
      <c r="AC208" s="5">
        <v>0</v>
      </c>
      <c r="AD208" s="5">
        <v>0</v>
      </c>
      <c r="AE208" s="5">
        <v>0</v>
      </c>
      <c r="AF208" s="5">
        <v>0</v>
      </c>
      <c r="AG208" s="5">
        <v>0</v>
      </c>
    </row>
    <row r="209" spans="1:33" hidden="1" x14ac:dyDescent="0.25">
      <c r="A209" s="5">
        <v>264</v>
      </c>
      <c r="B209" s="5" t="s">
        <v>467</v>
      </c>
      <c r="C209" s="5" t="s">
        <v>407</v>
      </c>
      <c r="D209" s="5" t="s">
        <v>1049</v>
      </c>
      <c r="E209" s="5" t="s">
        <v>1050</v>
      </c>
      <c r="F209" s="8">
        <v>46171</v>
      </c>
      <c r="G209" s="8">
        <v>46190</v>
      </c>
      <c r="H209" s="3">
        <v>0</v>
      </c>
      <c r="L209" s="5" t="s">
        <v>144</v>
      </c>
      <c r="M209" s="5" t="s">
        <v>145</v>
      </c>
      <c r="N209" s="7">
        <v>46189</v>
      </c>
      <c r="P209" s="5" t="s">
        <v>405</v>
      </c>
      <c r="Q209" s="5" t="s">
        <v>676</v>
      </c>
      <c r="R209" s="5" t="s">
        <v>55</v>
      </c>
      <c r="S209" s="7">
        <v>46170</v>
      </c>
      <c r="T209" s="7">
        <v>46189</v>
      </c>
      <c r="U209" s="5" t="s">
        <v>1038</v>
      </c>
      <c r="V209" s="5">
        <v>0</v>
      </c>
      <c r="W209" s="5">
        <v>0</v>
      </c>
      <c r="X209" s="5">
        <v>0</v>
      </c>
      <c r="Y209" s="5">
        <v>0</v>
      </c>
      <c r="Z209" s="5">
        <v>0</v>
      </c>
      <c r="AA209" s="5">
        <v>0</v>
      </c>
      <c r="AB209" s="5">
        <v>0</v>
      </c>
      <c r="AC209" s="5">
        <v>0</v>
      </c>
      <c r="AD209" s="5">
        <v>0</v>
      </c>
      <c r="AE209" s="5">
        <v>0</v>
      </c>
      <c r="AF209" s="5">
        <v>0</v>
      </c>
      <c r="AG209" s="5">
        <v>0</v>
      </c>
    </row>
    <row r="210" spans="1:33" hidden="1" x14ac:dyDescent="0.25">
      <c r="A210" s="5">
        <v>285</v>
      </c>
      <c r="B210" s="5" t="s">
        <v>1051</v>
      </c>
      <c r="C210" s="5" t="s">
        <v>521</v>
      </c>
      <c r="D210" s="5" t="s">
        <v>1052</v>
      </c>
      <c r="E210" s="5" t="s">
        <v>103</v>
      </c>
      <c r="F210" s="8">
        <v>46199</v>
      </c>
      <c r="G210" s="8">
        <v>46206</v>
      </c>
      <c r="H210" s="3">
        <v>0</v>
      </c>
      <c r="L210" s="5" t="s">
        <v>144</v>
      </c>
      <c r="M210" s="5" t="s">
        <v>422</v>
      </c>
      <c r="N210" s="7">
        <v>46206</v>
      </c>
      <c r="P210" s="5" t="s">
        <v>519</v>
      </c>
      <c r="Q210" s="5" t="s">
        <v>676</v>
      </c>
      <c r="R210" s="5" t="s">
        <v>55</v>
      </c>
      <c r="S210" s="7">
        <v>46199</v>
      </c>
      <c r="T210" s="7">
        <v>46206</v>
      </c>
      <c r="U210" s="5" t="s">
        <v>1038</v>
      </c>
      <c r="V210" s="5">
        <v>0</v>
      </c>
      <c r="W210" s="5">
        <v>0</v>
      </c>
      <c r="X210" s="5">
        <v>0</v>
      </c>
      <c r="Y210" s="5">
        <v>0</v>
      </c>
      <c r="Z210" s="5">
        <v>0</v>
      </c>
      <c r="AA210" s="5">
        <v>0</v>
      </c>
      <c r="AB210" s="5">
        <v>0</v>
      </c>
      <c r="AC210" s="5">
        <v>0</v>
      </c>
      <c r="AD210" s="5">
        <v>0</v>
      </c>
      <c r="AE210" s="5">
        <v>0</v>
      </c>
      <c r="AF210" s="5">
        <v>0</v>
      </c>
      <c r="AG210" s="5">
        <v>0</v>
      </c>
    </row>
    <row r="211" spans="1:33" hidden="1" x14ac:dyDescent="0.25">
      <c r="A211" s="5">
        <v>356</v>
      </c>
      <c r="B211" s="5" t="s">
        <v>1053</v>
      </c>
      <c r="C211" s="5" t="s">
        <v>638</v>
      </c>
      <c r="D211" s="5" t="s">
        <v>1054</v>
      </c>
      <c r="E211" s="5" t="s">
        <v>1055</v>
      </c>
      <c r="F211" s="8">
        <v>46188</v>
      </c>
      <c r="G211" s="8">
        <v>46202</v>
      </c>
      <c r="H211" s="3">
        <v>0</v>
      </c>
      <c r="L211" s="5" t="s">
        <v>144</v>
      </c>
      <c r="M211" s="5" t="s">
        <v>296</v>
      </c>
      <c r="N211" s="7">
        <v>46202</v>
      </c>
      <c r="P211" s="5" t="s">
        <v>636</v>
      </c>
      <c r="Q211" s="5" t="s">
        <v>676</v>
      </c>
      <c r="R211" s="5" t="s">
        <v>55</v>
      </c>
      <c r="S211" s="7">
        <v>46188</v>
      </c>
      <c r="T211" s="7">
        <v>46202</v>
      </c>
      <c r="U211" s="5" t="s">
        <v>1038</v>
      </c>
      <c r="V211" s="5">
        <v>0</v>
      </c>
      <c r="W211" s="5">
        <v>0</v>
      </c>
      <c r="X211" s="5">
        <v>0</v>
      </c>
      <c r="Y211" s="5">
        <v>0</v>
      </c>
      <c r="Z211" s="5">
        <v>0</v>
      </c>
      <c r="AA211" s="5">
        <v>0</v>
      </c>
      <c r="AB211" s="5">
        <v>0</v>
      </c>
      <c r="AC211" s="5">
        <v>0</v>
      </c>
      <c r="AD211" s="5">
        <v>0</v>
      </c>
      <c r="AE211" s="5">
        <v>0</v>
      </c>
      <c r="AF211" s="5">
        <v>0</v>
      </c>
      <c r="AG211" s="5">
        <v>0</v>
      </c>
    </row>
    <row r="212" spans="1:33" hidden="1" x14ac:dyDescent="0.25">
      <c r="A212" s="5">
        <v>366</v>
      </c>
      <c r="B212" s="5" t="s">
        <v>1056</v>
      </c>
      <c r="C212" s="5" t="s">
        <v>638</v>
      </c>
      <c r="D212" s="5" t="s">
        <v>1057</v>
      </c>
      <c r="E212" s="5" t="s">
        <v>815</v>
      </c>
      <c r="F212" s="8">
        <v>46195</v>
      </c>
      <c r="G212" s="8">
        <v>46203</v>
      </c>
      <c r="H212" s="3">
        <v>0</v>
      </c>
      <c r="L212" s="5" t="s">
        <v>144</v>
      </c>
      <c r="M212" s="5" t="s">
        <v>296</v>
      </c>
      <c r="N212" s="7">
        <v>46196</v>
      </c>
      <c r="P212" s="5" t="s">
        <v>636</v>
      </c>
      <c r="Q212" s="5" t="s">
        <v>676</v>
      </c>
      <c r="R212" s="5" t="s">
        <v>55</v>
      </c>
      <c r="S212" s="7">
        <v>46188</v>
      </c>
      <c r="T212" s="7">
        <v>46196</v>
      </c>
      <c r="U212" s="5" t="s">
        <v>1038</v>
      </c>
      <c r="V212" s="5">
        <v>0</v>
      </c>
      <c r="W212" s="5">
        <v>0</v>
      </c>
      <c r="X212" s="5">
        <v>0</v>
      </c>
      <c r="Y212" s="5">
        <v>0</v>
      </c>
      <c r="Z212" s="5">
        <v>0</v>
      </c>
      <c r="AA212" s="5">
        <v>0</v>
      </c>
      <c r="AB212" s="5">
        <v>0</v>
      </c>
      <c r="AC212" s="5">
        <v>0</v>
      </c>
      <c r="AD212" s="5">
        <v>0</v>
      </c>
      <c r="AE212" s="5">
        <v>0</v>
      </c>
      <c r="AF212" s="5">
        <v>0</v>
      </c>
      <c r="AG212" s="5">
        <v>0</v>
      </c>
    </row>
    <row r="213" spans="1:33" hidden="1" x14ac:dyDescent="0.25">
      <c r="A213" s="5">
        <v>401</v>
      </c>
      <c r="B213" s="5" t="s">
        <v>1062</v>
      </c>
      <c r="C213" s="5" t="s">
        <v>638</v>
      </c>
      <c r="D213" s="5" t="s">
        <v>1063</v>
      </c>
      <c r="E213" s="5" t="s">
        <v>815</v>
      </c>
      <c r="F213" s="8">
        <v>46178</v>
      </c>
      <c r="G213" s="8">
        <v>46188</v>
      </c>
      <c r="H213" s="3">
        <v>0</v>
      </c>
      <c r="L213" s="5" t="s">
        <v>144</v>
      </c>
      <c r="M213" s="5" t="s">
        <v>148</v>
      </c>
      <c r="N213" s="7">
        <v>46181</v>
      </c>
      <c r="P213" s="5" t="s">
        <v>636</v>
      </c>
      <c r="Q213" s="5" t="s">
        <v>676</v>
      </c>
      <c r="R213" s="5" t="s">
        <v>55</v>
      </c>
      <c r="S213" s="7">
        <v>46171</v>
      </c>
      <c r="T213" s="7">
        <v>46181</v>
      </c>
      <c r="U213" s="5" t="s">
        <v>1038</v>
      </c>
      <c r="V213" s="5">
        <v>0</v>
      </c>
      <c r="W213" s="5">
        <v>0</v>
      </c>
      <c r="X213" s="5">
        <v>0</v>
      </c>
      <c r="Y213" s="5">
        <v>0</v>
      </c>
      <c r="Z213" s="5">
        <v>0</v>
      </c>
      <c r="AA213" s="5">
        <v>0</v>
      </c>
      <c r="AB213" s="5">
        <v>0</v>
      </c>
      <c r="AC213" s="5">
        <v>0</v>
      </c>
      <c r="AD213" s="5">
        <v>0</v>
      </c>
      <c r="AE213" s="5">
        <v>0</v>
      </c>
      <c r="AF213" s="5">
        <v>0</v>
      </c>
      <c r="AG213" s="5">
        <v>0</v>
      </c>
    </row>
    <row r="214" spans="1:33" hidden="1" x14ac:dyDescent="0.25">
      <c r="A214" s="5">
        <v>411</v>
      </c>
      <c r="B214" s="5" t="s">
        <v>1064</v>
      </c>
      <c r="C214" s="5" t="s">
        <v>638</v>
      </c>
      <c r="D214" s="5" t="s">
        <v>1065</v>
      </c>
      <c r="E214" s="5" t="s">
        <v>815</v>
      </c>
      <c r="F214" s="8">
        <v>46183</v>
      </c>
      <c r="G214" s="8">
        <v>46191</v>
      </c>
      <c r="H214" s="3">
        <v>0</v>
      </c>
      <c r="L214" s="5" t="s">
        <v>144</v>
      </c>
      <c r="M214" s="5" t="s">
        <v>218</v>
      </c>
      <c r="N214" s="7">
        <v>46184</v>
      </c>
      <c r="P214" s="5" t="s">
        <v>636</v>
      </c>
      <c r="Q214" s="5" t="s">
        <v>676</v>
      </c>
      <c r="R214" s="5" t="s">
        <v>55</v>
      </c>
      <c r="S214" s="7">
        <v>46176</v>
      </c>
      <c r="T214" s="7">
        <v>46184</v>
      </c>
      <c r="U214" s="5" t="s">
        <v>1038</v>
      </c>
      <c r="V214" s="5">
        <v>0</v>
      </c>
      <c r="W214" s="5">
        <v>0</v>
      </c>
      <c r="X214" s="5">
        <v>0</v>
      </c>
      <c r="Y214" s="5">
        <v>0</v>
      </c>
      <c r="Z214" s="5">
        <v>0</v>
      </c>
      <c r="AA214" s="5">
        <v>0</v>
      </c>
      <c r="AB214" s="5">
        <v>0</v>
      </c>
      <c r="AC214" s="5">
        <v>0</v>
      </c>
      <c r="AD214" s="5">
        <v>0</v>
      </c>
      <c r="AE214" s="5">
        <v>0</v>
      </c>
      <c r="AF214" s="5">
        <v>0</v>
      </c>
      <c r="AG214" s="5">
        <v>0</v>
      </c>
    </row>
    <row r="215" spans="1:33" hidden="1" x14ac:dyDescent="0.25">
      <c r="A215" s="5">
        <v>432</v>
      </c>
      <c r="B215" s="5" t="s">
        <v>717</v>
      </c>
      <c r="C215" s="5" t="s">
        <v>701</v>
      </c>
      <c r="D215" s="5" t="s">
        <v>1066</v>
      </c>
      <c r="E215" s="5" t="s">
        <v>103</v>
      </c>
      <c r="F215" s="8">
        <v>46195</v>
      </c>
      <c r="G215" s="8">
        <v>46202</v>
      </c>
      <c r="H215" s="3">
        <v>0</v>
      </c>
      <c r="L215" s="5" t="s">
        <v>144</v>
      </c>
      <c r="M215" s="5" t="s">
        <v>296</v>
      </c>
      <c r="N215" s="7">
        <v>46196</v>
      </c>
      <c r="P215" s="5" t="s">
        <v>699</v>
      </c>
      <c r="Q215" s="5" t="s">
        <v>676</v>
      </c>
      <c r="R215" s="5" t="s">
        <v>55</v>
      </c>
      <c r="S215" s="7">
        <v>46188</v>
      </c>
      <c r="T215" s="7">
        <v>46196</v>
      </c>
      <c r="U215" s="5" t="s">
        <v>1038</v>
      </c>
      <c r="V215" s="5">
        <v>0</v>
      </c>
      <c r="W215" s="5">
        <v>0</v>
      </c>
      <c r="X215" s="5">
        <v>0</v>
      </c>
      <c r="Y215" s="5">
        <v>0</v>
      </c>
      <c r="Z215" s="5">
        <v>0</v>
      </c>
      <c r="AA215" s="5">
        <v>0</v>
      </c>
      <c r="AB215" s="5">
        <v>0</v>
      </c>
      <c r="AC215" s="5">
        <v>0</v>
      </c>
      <c r="AD215" s="5">
        <v>0</v>
      </c>
      <c r="AE215" s="5">
        <v>0</v>
      </c>
      <c r="AF215" s="5">
        <v>0</v>
      </c>
      <c r="AG215" s="5">
        <v>0</v>
      </c>
    </row>
  </sheetData>
  <pageMargins left="0.75" right="0.75" top="1" bottom="1" header="0.5" footer="0.5"/>
  <headerFooter>
    <oddFooter>&amp;C_x000D_&amp;1#&amp;"Aptos"&amp;11&amp;K000000 BV_C2_Internal</oddFooter>
  </headerFooter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266"/>
  <sheetViews>
    <sheetView tabSelected="1" workbookViewId="0">
      <selection activeCell="G276" sqref="G276"/>
    </sheetView>
  </sheetViews>
  <sheetFormatPr defaultRowHeight="15" x14ac:dyDescent="0.25"/>
  <cols>
    <col min="1" max="1" width="14.5703125" style="6" bestFit="1" customWidth="1"/>
    <col min="2" max="2" width="7.28515625" style="6" bestFit="1" customWidth="1"/>
    <col min="3" max="3" width="10.28515625" style="6" bestFit="1" customWidth="1"/>
    <col min="4" max="4" width="30.42578125" style="6" bestFit="1" customWidth="1"/>
    <col min="5" max="5" width="34.5703125" style="6" bestFit="1" customWidth="1"/>
    <col min="6" max="6" width="12.42578125" style="6" bestFit="1" customWidth="1"/>
    <col min="7" max="7" width="16" style="4" bestFit="1" customWidth="1"/>
    <col min="8" max="8" width="23.5703125" style="6" bestFit="1" customWidth="1"/>
    <col min="9" max="9" width="32.140625" style="6" bestFit="1" customWidth="1"/>
    <col min="10" max="10" width="11.140625" style="6" bestFit="1" customWidth="1"/>
    <col min="11" max="11" width="12.7109375" style="6" bestFit="1" customWidth="1"/>
    <col min="12" max="13" width="9.140625" style="6"/>
    <col min="14" max="16" width="5.7109375" style="6" customWidth="1"/>
    <col min="17" max="16384" width="9.140625" style="6"/>
  </cols>
  <sheetData>
    <row r="1" spans="1:11" x14ac:dyDescent="0.25">
      <c r="A1" s="6" t="s">
        <v>16</v>
      </c>
      <c r="B1" s="6" t="s">
        <v>0</v>
      </c>
      <c r="C1" s="6" t="s">
        <v>1</v>
      </c>
      <c r="D1" s="6" t="s">
        <v>2</v>
      </c>
      <c r="E1" s="6" t="s">
        <v>3</v>
      </c>
      <c r="F1" s="6" t="s">
        <v>11</v>
      </c>
      <c r="G1" s="4" t="s">
        <v>7</v>
      </c>
      <c r="H1" s="6" t="s">
        <v>14</v>
      </c>
      <c r="I1" s="6" t="s">
        <v>15</v>
      </c>
      <c r="J1" s="6" t="s">
        <v>17</v>
      </c>
      <c r="K1" s="6" t="s">
        <v>1092</v>
      </c>
    </row>
    <row r="2" spans="1:11" x14ac:dyDescent="0.25">
      <c r="A2" s="6" t="s">
        <v>38</v>
      </c>
      <c r="B2" s="6">
        <v>1</v>
      </c>
      <c r="C2" s="6">
        <v>1</v>
      </c>
      <c r="E2" s="6" t="s">
        <v>33</v>
      </c>
      <c r="F2" s="6" t="s">
        <v>35</v>
      </c>
      <c r="G2" s="4">
        <v>0.45</v>
      </c>
      <c r="I2" s="6" t="s">
        <v>37</v>
      </c>
      <c r="J2" s="6" t="s">
        <v>39</v>
      </c>
    </row>
    <row r="3" spans="1:11" x14ac:dyDescent="0.25">
      <c r="A3" s="6" t="s">
        <v>45</v>
      </c>
      <c r="B3" s="6">
        <v>2</v>
      </c>
      <c r="C3" s="6" t="s">
        <v>40</v>
      </c>
      <c r="D3" s="6" t="s">
        <v>41</v>
      </c>
      <c r="E3" s="6" t="s">
        <v>42</v>
      </c>
      <c r="F3" s="6" t="s">
        <v>35</v>
      </c>
      <c r="G3" s="4">
        <v>0.5</v>
      </c>
      <c r="I3" s="6" t="s">
        <v>37</v>
      </c>
      <c r="J3" s="6" t="s">
        <v>39</v>
      </c>
    </row>
    <row r="4" spans="1:11" x14ac:dyDescent="0.25">
      <c r="A4" s="6" t="s">
        <v>45</v>
      </c>
      <c r="B4" s="6">
        <v>3</v>
      </c>
      <c r="C4" s="6" t="s">
        <v>46</v>
      </c>
      <c r="D4" s="6" t="s">
        <v>47</v>
      </c>
      <c r="E4" s="6" t="s">
        <v>48</v>
      </c>
      <c r="F4" s="6" t="s">
        <v>35</v>
      </c>
      <c r="G4" s="4">
        <v>0.5</v>
      </c>
      <c r="I4" s="6" t="s">
        <v>49</v>
      </c>
      <c r="J4" s="6" t="s">
        <v>39</v>
      </c>
    </row>
    <row r="5" spans="1:11" x14ac:dyDescent="0.25">
      <c r="A5" s="6" t="s">
        <v>38</v>
      </c>
      <c r="B5" s="6">
        <v>4</v>
      </c>
      <c r="C5" s="6" t="s">
        <v>50</v>
      </c>
      <c r="D5" s="6" t="s">
        <v>51</v>
      </c>
      <c r="E5" s="6" t="s">
        <v>52</v>
      </c>
      <c r="F5" s="6" t="s">
        <v>35</v>
      </c>
      <c r="G5" s="4">
        <v>0</v>
      </c>
      <c r="I5" s="6" t="s">
        <v>49</v>
      </c>
      <c r="J5" s="6" t="s">
        <v>55</v>
      </c>
    </row>
    <row r="6" spans="1:11" x14ac:dyDescent="0.25">
      <c r="A6" s="6" t="s">
        <v>65</v>
      </c>
      <c r="B6" s="6">
        <v>8</v>
      </c>
      <c r="C6" s="6" t="s">
        <v>66</v>
      </c>
      <c r="D6" s="6" t="s">
        <v>51</v>
      </c>
      <c r="E6" s="6" t="s">
        <v>67</v>
      </c>
      <c r="F6" s="6" t="s">
        <v>35</v>
      </c>
      <c r="G6" s="4">
        <v>0</v>
      </c>
      <c r="I6" s="6" t="s">
        <v>49</v>
      </c>
      <c r="J6" s="6" t="s">
        <v>55</v>
      </c>
    </row>
    <row r="7" spans="1:11" x14ac:dyDescent="0.25">
      <c r="A7" s="6" t="s">
        <v>38</v>
      </c>
      <c r="B7" s="6">
        <v>9</v>
      </c>
      <c r="C7" s="6" t="s">
        <v>68</v>
      </c>
      <c r="D7" s="6" t="s">
        <v>51</v>
      </c>
      <c r="E7" s="6" t="s">
        <v>69</v>
      </c>
      <c r="F7" s="6" t="s">
        <v>35</v>
      </c>
      <c r="G7" s="4">
        <v>0</v>
      </c>
      <c r="I7" s="6" t="s">
        <v>49</v>
      </c>
      <c r="J7" s="6" t="s">
        <v>55</v>
      </c>
    </row>
    <row r="8" spans="1:11" x14ac:dyDescent="0.25">
      <c r="A8" s="6" t="s">
        <v>38</v>
      </c>
      <c r="B8" s="6">
        <v>10</v>
      </c>
      <c r="C8" s="6" t="s">
        <v>70</v>
      </c>
      <c r="D8" s="6" t="s">
        <v>41</v>
      </c>
      <c r="E8" s="6" t="s">
        <v>71</v>
      </c>
      <c r="F8" s="6" t="s">
        <v>35</v>
      </c>
      <c r="G8" s="4">
        <v>0.45</v>
      </c>
      <c r="I8" s="6" t="s">
        <v>37</v>
      </c>
      <c r="J8" s="6" t="s">
        <v>39</v>
      </c>
    </row>
    <row r="9" spans="1:11" x14ac:dyDescent="0.25">
      <c r="A9" s="6" t="s">
        <v>38</v>
      </c>
      <c r="B9" s="6">
        <v>30</v>
      </c>
      <c r="C9" s="6" t="s">
        <v>129</v>
      </c>
      <c r="D9" s="6" t="s">
        <v>73</v>
      </c>
      <c r="E9" s="6" t="s">
        <v>130</v>
      </c>
      <c r="F9" s="6" t="s">
        <v>131</v>
      </c>
      <c r="G9" s="4">
        <v>0.4</v>
      </c>
      <c r="I9" s="6" t="s">
        <v>132</v>
      </c>
      <c r="J9" s="6" t="s">
        <v>39</v>
      </c>
    </row>
    <row r="10" spans="1:11" x14ac:dyDescent="0.25">
      <c r="A10" s="6" t="s">
        <v>138</v>
      </c>
      <c r="B10" s="6">
        <v>31</v>
      </c>
      <c r="C10" s="6" t="s">
        <v>133</v>
      </c>
      <c r="D10" s="6" t="s">
        <v>134</v>
      </c>
      <c r="E10" s="6" t="s">
        <v>135</v>
      </c>
      <c r="F10" s="6" t="s">
        <v>131</v>
      </c>
      <c r="G10" s="4">
        <v>0.34</v>
      </c>
      <c r="I10" s="6" t="s">
        <v>132</v>
      </c>
      <c r="J10" s="6" t="s">
        <v>55</v>
      </c>
    </row>
    <row r="11" spans="1:11" x14ac:dyDescent="0.25">
      <c r="A11" s="6" t="s">
        <v>138</v>
      </c>
      <c r="B11" s="6">
        <v>32</v>
      </c>
      <c r="C11" s="6" t="s">
        <v>139</v>
      </c>
      <c r="D11" s="6" t="s">
        <v>140</v>
      </c>
      <c r="E11" s="6" t="s">
        <v>94</v>
      </c>
      <c r="F11" s="6" t="s">
        <v>131</v>
      </c>
      <c r="G11" s="4">
        <v>0.8</v>
      </c>
      <c r="I11" s="6" t="s">
        <v>132</v>
      </c>
      <c r="J11" s="6" t="s">
        <v>55</v>
      </c>
      <c r="K11" s="19">
        <v>46209</v>
      </c>
    </row>
    <row r="12" spans="1:11" x14ac:dyDescent="0.25">
      <c r="A12" s="6" t="s">
        <v>38</v>
      </c>
      <c r="B12" s="6">
        <v>46</v>
      </c>
      <c r="C12" s="6" t="s">
        <v>164</v>
      </c>
      <c r="D12" s="6" t="s">
        <v>134</v>
      </c>
      <c r="E12" s="6" t="s">
        <v>165</v>
      </c>
      <c r="F12" s="6" t="s">
        <v>131</v>
      </c>
      <c r="G12" s="4">
        <v>0.56999999999999995</v>
      </c>
      <c r="I12" s="6" t="s">
        <v>132</v>
      </c>
      <c r="J12" s="6" t="s">
        <v>39</v>
      </c>
    </row>
    <row r="13" spans="1:11" x14ac:dyDescent="0.25">
      <c r="A13" s="6" t="s">
        <v>138</v>
      </c>
      <c r="B13" s="6">
        <v>51</v>
      </c>
      <c r="C13" s="6" t="s">
        <v>175</v>
      </c>
      <c r="D13" s="6" t="s">
        <v>73</v>
      </c>
      <c r="E13" s="6" t="s">
        <v>176</v>
      </c>
      <c r="F13" s="6" t="s">
        <v>35</v>
      </c>
      <c r="G13" s="4">
        <v>0.6</v>
      </c>
      <c r="I13" s="6" t="s">
        <v>178</v>
      </c>
      <c r="J13" s="6" t="s">
        <v>55</v>
      </c>
    </row>
    <row r="14" spans="1:11" x14ac:dyDescent="0.25">
      <c r="A14" s="6" t="s">
        <v>138</v>
      </c>
      <c r="B14" s="6">
        <v>62</v>
      </c>
      <c r="C14" s="6" t="s">
        <v>179</v>
      </c>
      <c r="D14" s="6" t="s">
        <v>180</v>
      </c>
      <c r="E14" s="6" t="s">
        <v>181</v>
      </c>
      <c r="F14" s="6" t="s">
        <v>35</v>
      </c>
      <c r="G14" s="4">
        <v>0.6</v>
      </c>
      <c r="I14" s="6" t="s">
        <v>178</v>
      </c>
      <c r="J14" s="6" t="s">
        <v>55</v>
      </c>
    </row>
    <row r="15" spans="1:11" x14ac:dyDescent="0.25">
      <c r="A15" s="6" t="s">
        <v>151</v>
      </c>
      <c r="B15" s="6">
        <v>65</v>
      </c>
      <c r="C15" s="6" t="s">
        <v>188</v>
      </c>
      <c r="D15" s="6" t="s">
        <v>183</v>
      </c>
      <c r="E15" s="6" t="s">
        <v>102</v>
      </c>
      <c r="F15" s="6" t="s">
        <v>35</v>
      </c>
      <c r="G15" s="4">
        <v>0.5</v>
      </c>
      <c r="I15" s="6" t="s">
        <v>178</v>
      </c>
      <c r="J15" s="6" t="s">
        <v>55</v>
      </c>
    </row>
    <row r="16" spans="1:11" x14ac:dyDescent="0.25">
      <c r="A16" s="6" t="s">
        <v>125</v>
      </c>
      <c r="B16" s="6">
        <v>67</v>
      </c>
      <c r="C16" s="6" t="s">
        <v>194</v>
      </c>
      <c r="D16" s="6" t="s">
        <v>73</v>
      </c>
      <c r="E16" s="6" t="s">
        <v>195</v>
      </c>
      <c r="F16" s="6" t="s">
        <v>35</v>
      </c>
      <c r="G16" s="4">
        <v>0.52</v>
      </c>
      <c r="I16" s="6" t="s">
        <v>197</v>
      </c>
      <c r="J16" s="6" t="s">
        <v>55</v>
      </c>
    </row>
    <row r="17" spans="1:10" x14ac:dyDescent="0.25">
      <c r="A17" s="6" t="s">
        <v>138</v>
      </c>
      <c r="B17" s="6">
        <v>83</v>
      </c>
      <c r="C17" s="6" t="s">
        <v>212</v>
      </c>
      <c r="D17" s="6" t="s">
        <v>199</v>
      </c>
      <c r="E17" s="6" t="s">
        <v>213</v>
      </c>
      <c r="F17" s="6" t="s">
        <v>35</v>
      </c>
      <c r="G17" s="4">
        <v>0</v>
      </c>
      <c r="I17" s="6" t="s">
        <v>197</v>
      </c>
      <c r="J17" s="6" t="s">
        <v>55</v>
      </c>
    </row>
    <row r="18" spans="1:10" x14ac:dyDescent="0.25">
      <c r="A18" s="6" t="s">
        <v>138</v>
      </c>
      <c r="B18" s="6">
        <v>84</v>
      </c>
      <c r="C18" s="6" t="s">
        <v>214</v>
      </c>
      <c r="D18" s="6" t="s">
        <v>215</v>
      </c>
      <c r="E18" s="6" t="s">
        <v>94</v>
      </c>
      <c r="F18" s="6" t="s">
        <v>35</v>
      </c>
      <c r="G18" s="4">
        <v>1</v>
      </c>
      <c r="I18" s="6" t="s">
        <v>197</v>
      </c>
      <c r="J18" s="6" t="s">
        <v>55</v>
      </c>
    </row>
    <row r="19" spans="1:10" x14ac:dyDescent="0.25">
      <c r="A19" s="6" t="s">
        <v>146</v>
      </c>
      <c r="B19" s="6">
        <v>85</v>
      </c>
      <c r="C19" s="6" t="s">
        <v>216</v>
      </c>
      <c r="D19" s="6" t="s">
        <v>215</v>
      </c>
      <c r="E19" s="6" t="s">
        <v>98</v>
      </c>
      <c r="F19" s="6" t="s">
        <v>35</v>
      </c>
      <c r="G19" s="4">
        <v>0</v>
      </c>
      <c r="I19" s="6" t="s">
        <v>197</v>
      </c>
      <c r="J19" s="6" t="s">
        <v>55</v>
      </c>
    </row>
    <row r="20" spans="1:10" x14ac:dyDescent="0.25">
      <c r="A20" s="6" t="s">
        <v>146</v>
      </c>
      <c r="B20" s="6">
        <v>86</v>
      </c>
      <c r="C20" s="6" t="s">
        <v>217</v>
      </c>
      <c r="D20" s="6" t="s">
        <v>215</v>
      </c>
      <c r="E20" s="6" t="s">
        <v>102</v>
      </c>
      <c r="F20" s="6" t="s">
        <v>35</v>
      </c>
      <c r="G20" s="4">
        <v>0</v>
      </c>
      <c r="I20" s="6" t="s">
        <v>197</v>
      </c>
      <c r="J20" s="6" t="s">
        <v>55</v>
      </c>
    </row>
    <row r="21" spans="1:10" x14ac:dyDescent="0.25">
      <c r="A21" s="6" t="s">
        <v>146</v>
      </c>
      <c r="B21" s="6">
        <v>87</v>
      </c>
      <c r="C21" s="6" t="s">
        <v>219</v>
      </c>
      <c r="D21" s="6" t="s">
        <v>215</v>
      </c>
      <c r="E21" s="6" t="s">
        <v>108</v>
      </c>
      <c r="F21" s="6" t="s">
        <v>131</v>
      </c>
      <c r="G21" s="4">
        <v>0</v>
      </c>
      <c r="I21" s="6" t="s">
        <v>197</v>
      </c>
      <c r="J21" s="6" t="s">
        <v>55</v>
      </c>
    </row>
    <row r="22" spans="1:10" x14ac:dyDescent="0.25">
      <c r="A22" s="6" t="s">
        <v>138</v>
      </c>
      <c r="B22" s="6">
        <v>133</v>
      </c>
      <c r="C22" s="6" t="s">
        <v>285</v>
      </c>
      <c r="D22" s="6" t="s">
        <v>199</v>
      </c>
      <c r="E22" s="6" t="s">
        <v>286</v>
      </c>
      <c r="F22" s="6" t="s">
        <v>35</v>
      </c>
      <c r="G22" s="4">
        <v>0.67</v>
      </c>
      <c r="I22" s="6" t="s">
        <v>197</v>
      </c>
      <c r="J22" s="6" t="s">
        <v>55</v>
      </c>
    </row>
    <row r="23" spans="1:10" x14ac:dyDescent="0.25">
      <c r="A23" s="6" t="s">
        <v>146</v>
      </c>
      <c r="B23" s="6">
        <v>135</v>
      </c>
      <c r="C23" s="6" t="s">
        <v>291</v>
      </c>
      <c r="D23" s="6" t="s">
        <v>289</v>
      </c>
      <c r="E23" s="6" t="s">
        <v>98</v>
      </c>
      <c r="F23" s="6" t="s">
        <v>35</v>
      </c>
      <c r="G23" s="4">
        <v>0</v>
      </c>
      <c r="I23" s="6" t="s">
        <v>197</v>
      </c>
      <c r="J23" s="6" t="s">
        <v>55</v>
      </c>
    </row>
    <row r="24" spans="1:10" x14ac:dyDescent="0.25">
      <c r="A24" s="6" t="s">
        <v>146</v>
      </c>
      <c r="B24" s="6">
        <v>136</v>
      </c>
      <c r="C24" s="6" t="s">
        <v>293</v>
      </c>
      <c r="D24" s="6" t="s">
        <v>289</v>
      </c>
      <c r="E24" s="6" t="s">
        <v>102</v>
      </c>
      <c r="F24" s="6" t="s">
        <v>131</v>
      </c>
      <c r="G24" s="4">
        <v>0</v>
      </c>
      <c r="I24" s="6" t="s">
        <v>197</v>
      </c>
      <c r="J24" s="6" t="s">
        <v>55</v>
      </c>
    </row>
    <row r="25" spans="1:10" x14ac:dyDescent="0.25">
      <c r="A25" s="6" t="s">
        <v>138</v>
      </c>
      <c r="B25" s="6">
        <v>138</v>
      </c>
      <c r="C25" s="6" t="s">
        <v>297</v>
      </c>
      <c r="D25" s="6" t="s">
        <v>199</v>
      </c>
      <c r="E25" s="6" t="s">
        <v>298</v>
      </c>
      <c r="F25" s="6" t="s">
        <v>35</v>
      </c>
      <c r="G25" s="4">
        <v>0.67</v>
      </c>
      <c r="I25" s="6" t="s">
        <v>197</v>
      </c>
      <c r="J25" s="6" t="s">
        <v>55</v>
      </c>
    </row>
    <row r="26" spans="1:10" x14ac:dyDescent="0.25">
      <c r="A26" s="6" t="s">
        <v>146</v>
      </c>
      <c r="B26" s="6">
        <v>140</v>
      </c>
      <c r="C26" s="6" t="s">
        <v>301</v>
      </c>
      <c r="D26" s="6" t="s">
        <v>300</v>
      </c>
      <c r="E26" s="6" t="s">
        <v>98</v>
      </c>
      <c r="F26" s="6" t="s">
        <v>35</v>
      </c>
      <c r="G26" s="4">
        <v>0</v>
      </c>
      <c r="I26" s="6" t="s">
        <v>197</v>
      </c>
      <c r="J26" s="6" t="s">
        <v>55</v>
      </c>
    </row>
    <row r="27" spans="1:10" x14ac:dyDescent="0.25">
      <c r="A27" s="6" t="s">
        <v>146</v>
      </c>
      <c r="B27" s="6">
        <v>141</v>
      </c>
      <c r="C27" s="6" t="s">
        <v>302</v>
      </c>
      <c r="D27" s="6" t="s">
        <v>300</v>
      </c>
      <c r="E27" s="6" t="s">
        <v>102</v>
      </c>
      <c r="F27" s="6" t="s">
        <v>131</v>
      </c>
      <c r="G27" s="4">
        <v>0</v>
      </c>
      <c r="I27" s="6" t="s">
        <v>197</v>
      </c>
      <c r="J27" s="6" t="s">
        <v>55</v>
      </c>
    </row>
    <row r="28" spans="1:10" x14ac:dyDescent="0.25">
      <c r="A28" s="6" t="s">
        <v>138</v>
      </c>
      <c r="B28" s="6">
        <v>143</v>
      </c>
      <c r="C28" s="6" t="s">
        <v>304</v>
      </c>
      <c r="D28" s="6" t="s">
        <v>199</v>
      </c>
      <c r="E28" s="6" t="s">
        <v>305</v>
      </c>
      <c r="F28" s="6" t="s">
        <v>35</v>
      </c>
      <c r="G28" s="4">
        <v>0.67</v>
      </c>
      <c r="I28" s="6" t="s">
        <v>197</v>
      </c>
      <c r="J28" s="6" t="s">
        <v>55</v>
      </c>
    </row>
    <row r="29" spans="1:10" x14ac:dyDescent="0.25">
      <c r="A29" s="6" t="s">
        <v>146</v>
      </c>
      <c r="B29" s="6">
        <v>145</v>
      </c>
      <c r="C29" s="6" t="s">
        <v>308</v>
      </c>
      <c r="D29" s="6" t="s">
        <v>307</v>
      </c>
      <c r="E29" s="6" t="s">
        <v>98</v>
      </c>
      <c r="F29" s="6" t="s">
        <v>35</v>
      </c>
      <c r="G29" s="4">
        <v>0</v>
      </c>
      <c r="I29" s="6" t="s">
        <v>197</v>
      </c>
      <c r="J29" s="6" t="s">
        <v>55</v>
      </c>
    </row>
    <row r="30" spans="1:10" x14ac:dyDescent="0.25">
      <c r="A30" s="6" t="s">
        <v>146</v>
      </c>
      <c r="B30" s="6">
        <v>146</v>
      </c>
      <c r="C30" s="6" t="s">
        <v>309</v>
      </c>
      <c r="D30" s="6" t="s">
        <v>307</v>
      </c>
      <c r="E30" s="6" t="s">
        <v>102</v>
      </c>
      <c r="F30" s="6" t="s">
        <v>131</v>
      </c>
      <c r="G30" s="4">
        <v>0</v>
      </c>
      <c r="I30" s="6" t="s">
        <v>197</v>
      </c>
      <c r="J30" s="6" t="s">
        <v>55</v>
      </c>
    </row>
    <row r="31" spans="1:10" x14ac:dyDescent="0.25">
      <c r="A31" s="6" t="s">
        <v>138</v>
      </c>
      <c r="B31" s="6">
        <v>148</v>
      </c>
      <c r="C31" s="6" t="s">
        <v>311</v>
      </c>
      <c r="D31" s="6" t="s">
        <v>199</v>
      </c>
      <c r="E31" s="6" t="s">
        <v>312</v>
      </c>
      <c r="F31" s="6" t="s">
        <v>35</v>
      </c>
      <c r="G31" s="4">
        <v>0.67</v>
      </c>
      <c r="I31" s="6" t="s">
        <v>197</v>
      </c>
      <c r="J31" s="6" t="s">
        <v>55</v>
      </c>
    </row>
    <row r="32" spans="1:10" x14ac:dyDescent="0.25">
      <c r="A32" s="6" t="s">
        <v>146</v>
      </c>
      <c r="B32" s="6">
        <v>150</v>
      </c>
      <c r="C32" s="6" t="s">
        <v>315</v>
      </c>
      <c r="D32" s="6" t="s">
        <v>314</v>
      </c>
      <c r="E32" s="6" t="s">
        <v>98</v>
      </c>
      <c r="F32" s="6" t="s">
        <v>35</v>
      </c>
      <c r="G32" s="4">
        <v>0</v>
      </c>
      <c r="I32" s="6" t="s">
        <v>197</v>
      </c>
      <c r="J32" s="6" t="s">
        <v>55</v>
      </c>
    </row>
    <row r="33" spans="1:10" x14ac:dyDescent="0.25">
      <c r="A33" s="6" t="s">
        <v>146</v>
      </c>
      <c r="B33" s="6">
        <v>151</v>
      </c>
      <c r="C33" s="6" t="s">
        <v>316</v>
      </c>
      <c r="D33" s="6" t="s">
        <v>314</v>
      </c>
      <c r="E33" s="6" t="s">
        <v>102</v>
      </c>
      <c r="F33" s="6" t="s">
        <v>131</v>
      </c>
      <c r="G33" s="4">
        <v>0</v>
      </c>
      <c r="I33" s="6" t="s">
        <v>197</v>
      </c>
      <c r="J33" s="6" t="s">
        <v>55</v>
      </c>
    </row>
    <row r="34" spans="1:10" x14ac:dyDescent="0.25">
      <c r="A34" s="6" t="s">
        <v>138</v>
      </c>
      <c r="B34" s="6">
        <v>153</v>
      </c>
      <c r="C34" s="6" t="s">
        <v>318</v>
      </c>
      <c r="D34" s="6" t="s">
        <v>199</v>
      </c>
      <c r="E34" s="6" t="s">
        <v>319</v>
      </c>
      <c r="F34" s="6" t="s">
        <v>35</v>
      </c>
      <c r="G34" s="4">
        <v>0.67</v>
      </c>
      <c r="I34" s="6" t="s">
        <v>197</v>
      </c>
      <c r="J34" s="6" t="s">
        <v>55</v>
      </c>
    </row>
    <row r="35" spans="1:10" x14ac:dyDescent="0.25">
      <c r="A35" s="6" t="s">
        <v>146</v>
      </c>
      <c r="B35" s="6">
        <v>155</v>
      </c>
      <c r="C35" s="6" t="s">
        <v>323</v>
      </c>
      <c r="D35" s="6" t="s">
        <v>322</v>
      </c>
      <c r="E35" s="6" t="s">
        <v>98</v>
      </c>
      <c r="F35" s="6" t="s">
        <v>35</v>
      </c>
      <c r="G35" s="4">
        <v>0</v>
      </c>
      <c r="I35" s="6" t="s">
        <v>197</v>
      </c>
      <c r="J35" s="6" t="s">
        <v>55</v>
      </c>
    </row>
    <row r="36" spans="1:10" x14ac:dyDescent="0.25">
      <c r="A36" s="6" t="s">
        <v>146</v>
      </c>
      <c r="B36" s="6">
        <v>156</v>
      </c>
      <c r="C36" s="6" t="s">
        <v>324</v>
      </c>
      <c r="D36" s="6" t="s">
        <v>322</v>
      </c>
      <c r="E36" s="6" t="s">
        <v>102</v>
      </c>
      <c r="F36" s="6" t="s">
        <v>131</v>
      </c>
      <c r="G36" s="4">
        <v>0</v>
      </c>
      <c r="I36" s="6" t="s">
        <v>197</v>
      </c>
      <c r="J36" s="6" t="s">
        <v>55</v>
      </c>
    </row>
    <row r="37" spans="1:10" x14ac:dyDescent="0.25">
      <c r="A37" s="6" t="s">
        <v>138</v>
      </c>
      <c r="B37" s="6">
        <v>158</v>
      </c>
      <c r="C37" s="6" t="s">
        <v>326</v>
      </c>
      <c r="D37" s="6" t="s">
        <v>199</v>
      </c>
      <c r="E37" s="6" t="s">
        <v>327</v>
      </c>
      <c r="F37" s="6" t="s">
        <v>35</v>
      </c>
      <c r="G37" s="4">
        <v>0.67</v>
      </c>
      <c r="I37" s="6" t="s">
        <v>197</v>
      </c>
      <c r="J37" s="6" t="s">
        <v>55</v>
      </c>
    </row>
    <row r="38" spans="1:10" x14ac:dyDescent="0.25">
      <c r="A38" s="6" t="s">
        <v>146</v>
      </c>
      <c r="B38" s="6">
        <v>160</v>
      </c>
      <c r="C38" s="6" t="s">
        <v>330</v>
      </c>
      <c r="D38" s="6" t="s">
        <v>329</v>
      </c>
      <c r="E38" s="6" t="s">
        <v>98</v>
      </c>
      <c r="F38" s="6" t="s">
        <v>35</v>
      </c>
      <c r="G38" s="4">
        <v>0</v>
      </c>
      <c r="I38" s="6" t="s">
        <v>197</v>
      </c>
      <c r="J38" s="6" t="s">
        <v>55</v>
      </c>
    </row>
    <row r="39" spans="1:10" x14ac:dyDescent="0.25">
      <c r="A39" s="6" t="s">
        <v>146</v>
      </c>
      <c r="B39" s="6">
        <v>161</v>
      </c>
      <c r="C39" s="6" t="s">
        <v>331</v>
      </c>
      <c r="D39" s="6" t="s">
        <v>329</v>
      </c>
      <c r="E39" s="6" t="s">
        <v>102</v>
      </c>
      <c r="F39" s="6" t="s">
        <v>131</v>
      </c>
      <c r="G39" s="4">
        <v>0</v>
      </c>
      <c r="I39" s="6" t="s">
        <v>197</v>
      </c>
      <c r="J39" s="6" t="s">
        <v>55</v>
      </c>
    </row>
    <row r="40" spans="1:10" x14ac:dyDescent="0.25">
      <c r="A40" s="6" t="s">
        <v>211</v>
      </c>
      <c r="B40" s="6">
        <v>163</v>
      </c>
      <c r="C40" s="6" t="s">
        <v>333</v>
      </c>
      <c r="D40" s="6" t="s">
        <v>199</v>
      </c>
      <c r="E40" s="6" t="s">
        <v>334</v>
      </c>
      <c r="F40" s="6" t="s">
        <v>35</v>
      </c>
      <c r="G40" s="4">
        <v>0.86</v>
      </c>
      <c r="I40" s="6" t="s">
        <v>197</v>
      </c>
      <c r="J40" s="6" t="s">
        <v>55</v>
      </c>
    </row>
    <row r="41" spans="1:10" x14ac:dyDescent="0.25">
      <c r="A41" s="6" t="s">
        <v>138</v>
      </c>
      <c r="B41" s="6">
        <v>166</v>
      </c>
      <c r="C41" s="6" t="s">
        <v>341</v>
      </c>
      <c r="D41" s="6" t="s">
        <v>337</v>
      </c>
      <c r="E41" s="6" t="s">
        <v>102</v>
      </c>
      <c r="F41" s="6" t="s">
        <v>35</v>
      </c>
      <c r="G41" s="4">
        <v>0.5</v>
      </c>
      <c r="I41" s="6" t="s">
        <v>197</v>
      </c>
      <c r="J41" s="6" t="s">
        <v>55</v>
      </c>
    </row>
    <row r="42" spans="1:10" x14ac:dyDescent="0.25">
      <c r="A42" s="6" t="s">
        <v>146</v>
      </c>
      <c r="B42" s="6">
        <v>167</v>
      </c>
      <c r="C42" s="6" t="s">
        <v>342</v>
      </c>
      <c r="D42" s="6" t="s">
        <v>337</v>
      </c>
      <c r="E42" s="6" t="s">
        <v>108</v>
      </c>
      <c r="F42" s="6" t="s">
        <v>35</v>
      </c>
      <c r="G42" s="4">
        <v>0</v>
      </c>
      <c r="I42" s="6" t="s">
        <v>197</v>
      </c>
      <c r="J42" s="6" t="s">
        <v>55</v>
      </c>
    </row>
    <row r="43" spans="1:10" x14ac:dyDescent="0.25">
      <c r="A43" s="6" t="s">
        <v>211</v>
      </c>
      <c r="B43" s="6">
        <v>168</v>
      </c>
      <c r="C43" s="6" t="s">
        <v>344</v>
      </c>
      <c r="D43" s="6" t="s">
        <v>199</v>
      </c>
      <c r="E43" s="6" t="s">
        <v>345</v>
      </c>
      <c r="F43" s="6" t="s">
        <v>35</v>
      </c>
      <c r="G43" s="4">
        <v>0.75</v>
      </c>
      <c r="I43" s="6" t="s">
        <v>197</v>
      </c>
      <c r="J43" s="6" t="s">
        <v>55</v>
      </c>
    </row>
    <row r="44" spans="1:10" x14ac:dyDescent="0.25">
      <c r="A44" s="6" t="s">
        <v>138</v>
      </c>
      <c r="B44" s="6">
        <v>170</v>
      </c>
      <c r="C44" s="6" t="s">
        <v>349</v>
      </c>
      <c r="D44" s="6" t="s">
        <v>347</v>
      </c>
      <c r="E44" s="6" t="s">
        <v>98</v>
      </c>
      <c r="F44" s="6" t="s">
        <v>35</v>
      </c>
      <c r="G44" s="4">
        <v>0.5</v>
      </c>
      <c r="I44" s="6" t="s">
        <v>197</v>
      </c>
      <c r="J44" s="6" t="s">
        <v>55</v>
      </c>
    </row>
    <row r="45" spans="1:10" x14ac:dyDescent="0.25">
      <c r="A45" s="6" t="s">
        <v>138</v>
      </c>
      <c r="B45" s="6">
        <v>171</v>
      </c>
      <c r="C45" s="6" t="s">
        <v>350</v>
      </c>
      <c r="D45" s="6" t="s">
        <v>347</v>
      </c>
      <c r="E45" s="6" t="s">
        <v>102</v>
      </c>
      <c r="F45" s="6" t="s">
        <v>35</v>
      </c>
      <c r="G45" s="4">
        <v>0</v>
      </c>
      <c r="I45" s="6" t="s">
        <v>197</v>
      </c>
      <c r="J45" s="6" t="s">
        <v>55</v>
      </c>
    </row>
    <row r="46" spans="1:10" x14ac:dyDescent="0.25">
      <c r="A46" s="6" t="s">
        <v>146</v>
      </c>
      <c r="B46" s="6">
        <v>172</v>
      </c>
      <c r="C46" s="6" t="s">
        <v>351</v>
      </c>
      <c r="D46" s="6" t="s">
        <v>347</v>
      </c>
      <c r="E46" s="6" t="s">
        <v>108</v>
      </c>
      <c r="F46" s="6" t="s">
        <v>35</v>
      </c>
      <c r="G46" s="4">
        <v>0</v>
      </c>
      <c r="I46" s="6" t="s">
        <v>197</v>
      </c>
      <c r="J46" s="6" t="s">
        <v>55</v>
      </c>
    </row>
    <row r="47" spans="1:10" x14ac:dyDescent="0.25">
      <c r="A47" s="6" t="s">
        <v>211</v>
      </c>
      <c r="B47" s="6">
        <v>173</v>
      </c>
      <c r="C47" s="6" t="s">
        <v>352</v>
      </c>
      <c r="D47" s="6" t="s">
        <v>199</v>
      </c>
      <c r="E47" s="6" t="s">
        <v>353</v>
      </c>
      <c r="F47" s="6" t="s">
        <v>35</v>
      </c>
      <c r="G47" s="4">
        <v>0.86</v>
      </c>
      <c r="I47" s="6" t="s">
        <v>197</v>
      </c>
      <c r="J47" s="6" t="s">
        <v>55</v>
      </c>
    </row>
    <row r="48" spans="1:10" x14ac:dyDescent="0.25">
      <c r="A48" s="6" t="s">
        <v>138</v>
      </c>
      <c r="B48" s="6">
        <v>176</v>
      </c>
      <c r="C48" s="6" t="s">
        <v>358</v>
      </c>
      <c r="D48" s="6" t="s">
        <v>355</v>
      </c>
      <c r="E48" s="6" t="s">
        <v>102</v>
      </c>
      <c r="F48" s="6" t="s">
        <v>35</v>
      </c>
      <c r="G48" s="4">
        <v>0.5</v>
      </c>
      <c r="I48" s="6" t="s">
        <v>197</v>
      </c>
      <c r="J48" s="6" t="s">
        <v>55</v>
      </c>
    </row>
    <row r="49" spans="1:10" x14ac:dyDescent="0.25">
      <c r="A49" s="6" t="s">
        <v>146</v>
      </c>
      <c r="B49" s="6">
        <v>177</v>
      </c>
      <c r="C49" s="6" t="s">
        <v>359</v>
      </c>
      <c r="D49" s="6" t="s">
        <v>355</v>
      </c>
      <c r="E49" s="6" t="s">
        <v>108</v>
      </c>
      <c r="F49" s="6" t="s">
        <v>35</v>
      </c>
      <c r="G49" s="4">
        <v>0</v>
      </c>
      <c r="I49" s="6" t="s">
        <v>197</v>
      </c>
      <c r="J49" s="6" t="s">
        <v>55</v>
      </c>
    </row>
    <row r="50" spans="1:10" x14ac:dyDescent="0.25">
      <c r="A50" s="6" t="s">
        <v>211</v>
      </c>
      <c r="B50" s="6">
        <v>178</v>
      </c>
      <c r="C50" s="6" t="s">
        <v>360</v>
      </c>
      <c r="D50" s="6" t="s">
        <v>199</v>
      </c>
      <c r="E50" s="6" t="s">
        <v>361</v>
      </c>
      <c r="F50" s="6" t="s">
        <v>35</v>
      </c>
      <c r="G50" s="4">
        <v>0.75</v>
      </c>
      <c r="I50" s="6" t="s">
        <v>197</v>
      </c>
      <c r="J50" s="6" t="s">
        <v>55</v>
      </c>
    </row>
    <row r="51" spans="1:10" x14ac:dyDescent="0.25">
      <c r="A51" s="6" t="s">
        <v>138</v>
      </c>
      <c r="B51" s="6">
        <v>180</v>
      </c>
      <c r="C51" s="6" t="s">
        <v>365</v>
      </c>
      <c r="D51" s="6" t="s">
        <v>363</v>
      </c>
      <c r="E51" s="6" t="s">
        <v>98</v>
      </c>
      <c r="F51" s="6" t="s">
        <v>35</v>
      </c>
      <c r="G51" s="4">
        <v>0.5</v>
      </c>
      <c r="I51" s="6" t="s">
        <v>197</v>
      </c>
      <c r="J51" s="6" t="s">
        <v>55</v>
      </c>
    </row>
    <row r="52" spans="1:10" x14ac:dyDescent="0.25">
      <c r="A52" s="6" t="s">
        <v>138</v>
      </c>
      <c r="B52" s="6">
        <v>181</v>
      </c>
      <c r="C52" s="6" t="s">
        <v>366</v>
      </c>
      <c r="D52" s="6" t="s">
        <v>363</v>
      </c>
      <c r="E52" s="6" t="s">
        <v>102</v>
      </c>
      <c r="F52" s="6" t="s">
        <v>35</v>
      </c>
      <c r="G52" s="4">
        <v>0</v>
      </c>
      <c r="I52" s="6" t="s">
        <v>197</v>
      </c>
      <c r="J52" s="6" t="s">
        <v>55</v>
      </c>
    </row>
    <row r="53" spans="1:10" x14ac:dyDescent="0.25">
      <c r="A53" s="6" t="s">
        <v>146</v>
      </c>
      <c r="B53" s="6">
        <v>182</v>
      </c>
      <c r="C53" s="6" t="s">
        <v>367</v>
      </c>
      <c r="D53" s="6" t="s">
        <v>363</v>
      </c>
      <c r="E53" s="6" t="s">
        <v>108</v>
      </c>
      <c r="F53" s="6" t="s">
        <v>35</v>
      </c>
      <c r="G53" s="4">
        <v>0</v>
      </c>
      <c r="I53" s="6" t="s">
        <v>197</v>
      </c>
      <c r="J53" s="6" t="s">
        <v>55</v>
      </c>
    </row>
    <row r="54" spans="1:10" x14ac:dyDescent="0.25">
      <c r="A54" s="6" t="s">
        <v>125</v>
      </c>
      <c r="B54" s="6">
        <v>183</v>
      </c>
      <c r="C54" s="6" t="s">
        <v>368</v>
      </c>
      <c r="D54" s="6" t="s">
        <v>199</v>
      </c>
      <c r="E54" s="6" t="s">
        <v>369</v>
      </c>
      <c r="F54" s="6" t="s">
        <v>35</v>
      </c>
      <c r="G54" s="4">
        <v>0.92</v>
      </c>
      <c r="I54" s="6" t="s">
        <v>197</v>
      </c>
      <c r="J54" s="6" t="s">
        <v>55</v>
      </c>
    </row>
    <row r="55" spans="1:10" x14ac:dyDescent="0.25">
      <c r="A55" s="6" t="s">
        <v>211</v>
      </c>
      <c r="B55" s="6">
        <v>186</v>
      </c>
      <c r="C55" s="6" t="s">
        <v>376</v>
      </c>
      <c r="D55" s="6" t="s">
        <v>371</v>
      </c>
      <c r="E55" s="6" t="s">
        <v>102</v>
      </c>
      <c r="F55" s="6" t="s">
        <v>35</v>
      </c>
      <c r="G55" s="4">
        <v>0.75</v>
      </c>
      <c r="I55" s="6" t="s">
        <v>197</v>
      </c>
      <c r="J55" s="6" t="s">
        <v>55</v>
      </c>
    </row>
    <row r="56" spans="1:10" x14ac:dyDescent="0.25">
      <c r="A56" s="6" t="s">
        <v>211</v>
      </c>
      <c r="B56" s="6">
        <v>187</v>
      </c>
      <c r="C56" s="6" t="s">
        <v>378</v>
      </c>
      <c r="D56" s="6" t="s">
        <v>371</v>
      </c>
      <c r="E56" s="6" t="s">
        <v>108</v>
      </c>
      <c r="F56" s="6" t="s">
        <v>35</v>
      </c>
      <c r="G56" s="4">
        <v>0.5</v>
      </c>
      <c r="I56" s="6" t="s">
        <v>197</v>
      </c>
      <c r="J56" s="6" t="s">
        <v>55</v>
      </c>
    </row>
    <row r="57" spans="1:10" x14ac:dyDescent="0.25">
      <c r="A57" s="6" t="s">
        <v>138</v>
      </c>
      <c r="B57" s="6">
        <v>188</v>
      </c>
      <c r="C57" s="6" t="s">
        <v>379</v>
      </c>
      <c r="D57" s="6" t="s">
        <v>199</v>
      </c>
      <c r="E57" s="6" t="s">
        <v>380</v>
      </c>
      <c r="F57" s="6" t="s">
        <v>35</v>
      </c>
      <c r="G57" s="4">
        <v>0.43</v>
      </c>
      <c r="I57" s="6" t="s">
        <v>197</v>
      </c>
      <c r="J57" s="6" t="s">
        <v>55</v>
      </c>
    </row>
    <row r="58" spans="1:10" x14ac:dyDescent="0.25">
      <c r="A58" s="6" t="s">
        <v>146</v>
      </c>
      <c r="B58" s="6">
        <v>190</v>
      </c>
      <c r="C58" s="6" t="s">
        <v>384</v>
      </c>
      <c r="D58" s="6" t="s">
        <v>382</v>
      </c>
      <c r="E58" s="6" t="s">
        <v>98</v>
      </c>
      <c r="F58" s="6" t="s">
        <v>35</v>
      </c>
      <c r="G58" s="4">
        <v>0</v>
      </c>
      <c r="I58" s="6" t="s">
        <v>197</v>
      </c>
      <c r="J58" s="6" t="s">
        <v>55</v>
      </c>
    </row>
    <row r="59" spans="1:10" x14ac:dyDescent="0.25">
      <c r="A59" s="6" t="s">
        <v>146</v>
      </c>
      <c r="B59" s="6">
        <v>191</v>
      </c>
      <c r="C59" s="6" t="s">
        <v>385</v>
      </c>
      <c r="D59" s="6" t="s">
        <v>382</v>
      </c>
      <c r="E59" s="6" t="s">
        <v>102</v>
      </c>
      <c r="F59" s="6" t="s">
        <v>35</v>
      </c>
      <c r="G59" s="4">
        <v>0</v>
      </c>
      <c r="I59" s="6" t="s">
        <v>197</v>
      </c>
      <c r="J59" s="6" t="s">
        <v>55</v>
      </c>
    </row>
    <row r="60" spans="1:10" x14ac:dyDescent="0.25">
      <c r="A60" s="6" t="s">
        <v>146</v>
      </c>
      <c r="B60" s="6">
        <v>192</v>
      </c>
      <c r="C60" s="6" t="s">
        <v>387</v>
      </c>
      <c r="D60" s="6" t="s">
        <v>382</v>
      </c>
      <c r="E60" s="6" t="s">
        <v>108</v>
      </c>
      <c r="F60" s="6" t="s">
        <v>35</v>
      </c>
      <c r="G60" s="4">
        <v>0</v>
      </c>
      <c r="I60" s="6" t="s">
        <v>197</v>
      </c>
      <c r="J60" s="6" t="s">
        <v>55</v>
      </c>
    </row>
    <row r="61" spans="1:10" x14ac:dyDescent="0.25">
      <c r="A61" s="6" t="s">
        <v>138</v>
      </c>
      <c r="B61" s="6">
        <v>193</v>
      </c>
      <c r="C61" s="6" t="s">
        <v>388</v>
      </c>
      <c r="D61" s="6" t="s">
        <v>199</v>
      </c>
      <c r="E61" s="6" t="s">
        <v>389</v>
      </c>
      <c r="F61" s="6" t="s">
        <v>35</v>
      </c>
      <c r="G61" s="4">
        <v>0.5</v>
      </c>
      <c r="I61" s="6" t="s">
        <v>197</v>
      </c>
      <c r="J61" s="6" t="s">
        <v>55</v>
      </c>
    </row>
    <row r="62" spans="1:10" x14ac:dyDescent="0.25">
      <c r="A62" s="6" t="s">
        <v>146</v>
      </c>
      <c r="B62" s="6">
        <v>195</v>
      </c>
      <c r="C62" s="6" t="s">
        <v>392</v>
      </c>
      <c r="D62" s="6" t="s">
        <v>391</v>
      </c>
      <c r="E62" s="6" t="s">
        <v>98</v>
      </c>
      <c r="F62" s="6" t="s">
        <v>35</v>
      </c>
      <c r="G62" s="4">
        <v>0.5</v>
      </c>
      <c r="I62" s="6" t="s">
        <v>197</v>
      </c>
      <c r="J62" s="6" t="s">
        <v>55</v>
      </c>
    </row>
    <row r="63" spans="1:10" x14ac:dyDescent="0.25">
      <c r="A63" s="6" t="s">
        <v>146</v>
      </c>
      <c r="B63" s="6">
        <v>196</v>
      </c>
      <c r="C63" s="6" t="s">
        <v>393</v>
      </c>
      <c r="D63" s="6" t="s">
        <v>391</v>
      </c>
      <c r="E63" s="6" t="s">
        <v>102</v>
      </c>
      <c r="F63" s="6" t="s">
        <v>35</v>
      </c>
      <c r="G63" s="4">
        <v>0</v>
      </c>
      <c r="I63" s="6" t="s">
        <v>197</v>
      </c>
      <c r="J63" s="6" t="s">
        <v>55</v>
      </c>
    </row>
    <row r="64" spans="1:10" x14ac:dyDescent="0.25">
      <c r="A64" s="6" t="s">
        <v>146</v>
      </c>
      <c r="B64" s="6">
        <v>197</v>
      </c>
      <c r="C64" s="6" t="s">
        <v>394</v>
      </c>
      <c r="D64" s="6" t="s">
        <v>391</v>
      </c>
      <c r="E64" s="6" t="s">
        <v>108</v>
      </c>
      <c r="F64" s="6" t="s">
        <v>35</v>
      </c>
      <c r="G64" s="4">
        <v>0</v>
      </c>
      <c r="I64" s="6" t="s">
        <v>197</v>
      </c>
      <c r="J64" s="6" t="s">
        <v>55</v>
      </c>
    </row>
    <row r="65" spans="1:11" x14ac:dyDescent="0.25">
      <c r="A65" s="6" t="s">
        <v>138</v>
      </c>
      <c r="B65" s="6">
        <v>198</v>
      </c>
      <c r="C65" s="6" t="s">
        <v>395</v>
      </c>
      <c r="D65" s="6" t="s">
        <v>199</v>
      </c>
      <c r="E65" s="6" t="s">
        <v>396</v>
      </c>
      <c r="F65" s="6" t="s">
        <v>35</v>
      </c>
      <c r="G65" s="4">
        <v>0.43</v>
      </c>
      <c r="I65" s="6" t="s">
        <v>197</v>
      </c>
      <c r="J65" s="6" t="s">
        <v>55</v>
      </c>
    </row>
    <row r="66" spans="1:11" x14ac:dyDescent="0.25">
      <c r="A66" s="6" t="s">
        <v>146</v>
      </c>
      <c r="B66" s="6">
        <v>200</v>
      </c>
      <c r="C66" s="6" t="s">
        <v>399</v>
      </c>
      <c r="D66" s="6" t="s">
        <v>398</v>
      </c>
      <c r="E66" s="6" t="s">
        <v>98</v>
      </c>
      <c r="F66" s="6" t="s">
        <v>35</v>
      </c>
      <c r="G66" s="4">
        <v>0</v>
      </c>
      <c r="I66" s="6" t="s">
        <v>197</v>
      </c>
      <c r="J66" s="6" t="s">
        <v>55</v>
      </c>
    </row>
    <row r="67" spans="1:11" x14ac:dyDescent="0.25">
      <c r="A67" s="6" t="s">
        <v>146</v>
      </c>
      <c r="B67" s="6">
        <v>201</v>
      </c>
      <c r="C67" s="6" t="s">
        <v>400</v>
      </c>
      <c r="D67" s="6" t="s">
        <v>398</v>
      </c>
      <c r="E67" s="6" t="s">
        <v>102</v>
      </c>
      <c r="F67" s="6" t="s">
        <v>35</v>
      </c>
      <c r="G67" s="4">
        <v>0</v>
      </c>
      <c r="I67" s="6" t="s">
        <v>197</v>
      </c>
      <c r="J67" s="6" t="s">
        <v>55</v>
      </c>
    </row>
    <row r="68" spans="1:11" x14ac:dyDescent="0.25">
      <c r="A68" s="6" t="s">
        <v>146</v>
      </c>
      <c r="B68" s="6">
        <v>202</v>
      </c>
      <c r="C68" s="6" t="s">
        <v>401</v>
      </c>
      <c r="D68" s="6" t="s">
        <v>398</v>
      </c>
      <c r="E68" s="6" t="s">
        <v>108</v>
      </c>
      <c r="F68" s="6" t="s">
        <v>35</v>
      </c>
      <c r="G68" s="4">
        <v>0</v>
      </c>
      <c r="I68" s="6" t="s">
        <v>197</v>
      </c>
      <c r="J68" s="6" t="s">
        <v>55</v>
      </c>
    </row>
    <row r="69" spans="1:11" x14ac:dyDescent="0.25">
      <c r="A69" s="6" t="s">
        <v>65</v>
      </c>
      <c r="B69" s="6">
        <v>203</v>
      </c>
      <c r="C69" s="6" t="s">
        <v>402</v>
      </c>
      <c r="D69" s="6" t="s">
        <v>73</v>
      </c>
      <c r="E69" s="6" t="s">
        <v>403</v>
      </c>
      <c r="F69" s="6" t="s">
        <v>35</v>
      </c>
      <c r="G69" s="4">
        <v>0.08</v>
      </c>
      <c r="I69" s="6" t="s">
        <v>405</v>
      </c>
      <c r="J69" s="6" t="s">
        <v>55</v>
      </c>
    </row>
    <row r="70" spans="1:11" x14ac:dyDescent="0.25">
      <c r="A70" s="6" t="s">
        <v>146</v>
      </c>
      <c r="B70" s="6">
        <v>214</v>
      </c>
      <c r="C70" s="6" t="s">
        <v>406</v>
      </c>
      <c r="D70" s="6" t="s">
        <v>407</v>
      </c>
      <c r="E70" s="6" t="s">
        <v>408</v>
      </c>
      <c r="F70" s="6" t="s">
        <v>35</v>
      </c>
      <c r="G70" s="4">
        <v>0.39</v>
      </c>
      <c r="I70" s="6" t="s">
        <v>405</v>
      </c>
      <c r="J70" s="6" t="s">
        <v>55</v>
      </c>
    </row>
    <row r="71" spans="1:11" x14ac:dyDescent="0.25">
      <c r="A71" s="6" t="s">
        <v>146</v>
      </c>
      <c r="B71" s="6">
        <v>215</v>
      </c>
      <c r="C71" s="6" t="s">
        <v>409</v>
      </c>
      <c r="D71" s="6" t="s">
        <v>410</v>
      </c>
      <c r="E71" s="6" t="s">
        <v>94</v>
      </c>
      <c r="F71" s="6" t="s">
        <v>35</v>
      </c>
      <c r="G71" s="4">
        <v>0.9</v>
      </c>
      <c r="I71" s="6" t="s">
        <v>405</v>
      </c>
      <c r="J71" s="6" t="s">
        <v>55</v>
      </c>
      <c r="K71" s="19">
        <v>46210</v>
      </c>
    </row>
    <row r="72" spans="1:11" x14ac:dyDescent="0.25">
      <c r="A72" s="6" t="s">
        <v>151</v>
      </c>
      <c r="B72" s="6">
        <v>216</v>
      </c>
      <c r="C72" s="6" t="s">
        <v>412</v>
      </c>
      <c r="D72" s="6" t="s">
        <v>410</v>
      </c>
      <c r="E72" s="6" t="s">
        <v>98</v>
      </c>
      <c r="F72" s="6" t="s">
        <v>131</v>
      </c>
      <c r="G72" s="4">
        <v>0</v>
      </c>
      <c r="I72" s="6" t="s">
        <v>405</v>
      </c>
      <c r="J72" s="6" t="s">
        <v>55</v>
      </c>
    </row>
    <row r="73" spans="1:11" x14ac:dyDescent="0.25">
      <c r="A73" s="6" t="s">
        <v>65</v>
      </c>
      <c r="B73" s="6">
        <v>244</v>
      </c>
      <c r="C73" s="6" t="s">
        <v>427</v>
      </c>
      <c r="D73" s="6" t="s">
        <v>407</v>
      </c>
      <c r="E73" s="6" t="s">
        <v>428</v>
      </c>
      <c r="F73" s="6" t="s">
        <v>35</v>
      </c>
      <c r="G73" s="4">
        <v>0.71</v>
      </c>
      <c r="I73" s="6" t="s">
        <v>405</v>
      </c>
      <c r="J73" s="6" t="s">
        <v>55</v>
      </c>
    </row>
    <row r="74" spans="1:11" x14ac:dyDescent="0.25">
      <c r="A74" s="6" t="s">
        <v>138</v>
      </c>
      <c r="B74" s="6">
        <v>247</v>
      </c>
      <c r="C74" s="6" t="s">
        <v>434</v>
      </c>
      <c r="D74" s="6" t="s">
        <v>430</v>
      </c>
      <c r="E74" s="6" t="s">
        <v>102</v>
      </c>
      <c r="F74" s="6" t="s">
        <v>35</v>
      </c>
      <c r="G74" s="4">
        <v>0.5</v>
      </c>
      <c r="I74" s="6" t="s">
        <v>405</v>
      </c>
      <c r="J74" s="6" t="s">
        <v>55</v>
      </c>
    </row>
    <row r="75" spans="1:11" x14ac:dyDescent="0.25">
      <c r="A75" s="6" t="s">
        <v>138</v>
      </c>
      <c r="B75" s="6">
        <v>248</v>
      </c>
      <c r="C75" s="6" t="s">
        <v>435</v>
      </c>
      <c r="D75" s="6" t="s">
        <v>430</v>
      </c>
      <c r="E75" s="6" t="s">
        <v>108</v>
      </c>
      <c r="F75" s="6" t="s">
        <v>35</v>
      </c>
      <c r="G75" s="4">
        <v>0</v>
      </c>
      <c r="I75" s="6" t="s">
        <v>405</v>
      </c>
      <c r="J75" s="6" t="s">
        <v>55</v>
      </c>
    </row>
    <row r="76" spans="1:11" x14ac:dyDescent="0.25">
      <c r="A76" s="6" t="s">
        <v>151</v>
      </c>
      <c r="B76" s="6">
        <v>319</v>
      </c>
      <c r="C76" s="6" t="s">
        <v>509</v>
      </c>
      <c r="D76" s="6" t="s">
        <v>407</v>
      </c>
      <c r="E76" s="6" t="s">
        <v>510</v>
      </c>
      <c r="F76" s="6" t="s">
        <v>131</v>
      </c>
      <c r="G76" s="4">
        <v>0</v>
      </c>
      <c r="I76" s="6" t="s">
        <v>405</v>
      </c>
      <c r="J76" s="6" t="s">
        <v>55</v>
      </c>
    </row>
    <row r="77" spans="1:11" x14ac:dyDescent="0.25">
      <c r="A77" s="6" t="s">
        <v>151</v>
      </c>
      <c r="B77" s="6">
        <v>320</v>
      </c>
      <c r="C77" s="6" t="s">
        <v>511</v>
      </c>
      <c r="D77" s="6" t="s">
        <v>512</v>
      </c>
      <c r="E77" s="6" t="s">
        <v>94</v>
      </c>
      <c r="F77" s="6" t="s">
        <v>131</v>
      </c>
      <c r="G77" s="4">
        <v>0</v>
      </c>
      <c r="I77" s="6" t="s">
        <v>405</v>
      </c>
      <c r="J77" s="6" t="s">
        <v>55</v>
      </c>
      <c r="K77" s="19">
        <v>46209</v>
      </c>
    </row>
    <row r="78" spans="1:11" x14ac:dyDescent="0.25">
      <c r="A78" s="6" t="s">
        <v>138</v>
      </c>
      <c r="B78" s="6">
        <v>329</v>
      </c>
      <c r="C78" s="6" t="s">
        <v>516</v>
      </c>
      <c r="D78" s="6" t="s">
        <v>73</v>
      </c>
      <c r="E78" s="6" t="s">
        <v>517</v>
      </c>
      <c r="F78" s="6" t="s">
        <v>35</v>
      </c>
      <c r="G78" s="4">
        <v>0.02</v>
      </c>
      <c r="I78" s="6" t="s">
        <v>519</v>
      </c>
      <c r="J78" s="6" t="s">
        <v>55</v>
      </c>
    </row>
    <row r="79" spans="1:11" x14ac:dyDescent="0.25">
      <c r="A79" s="6" t="s">
        <v>151</v>
      </c>
      <c r="B79" s="6">
        <v>405</v>
      </c>
      <c r="C79" s="6" t="s">
        <v>623</v>
      </c>
      <c r="D79" s="6" t="s">
        <v>521</v>
      </c>
      <c r="E79" s="6" t="s">
        <v>624</v>
      </c>
      <c r="F79" s="6" t="s">
        <v>35</v>
      </c>
      <c r="G79" s="4">
        <v>0</v>
      </c>
      <c r="I79" s="6" t="s">
        <v>519</v>
      </c>
      <c r="J79" s="6" t="s">
        <v>55</v>
      </c>
    </row>
    <row r="80" spans="1:11" x14ac:dyDescent="0.25">
      <c r="A80" s="6" t="s">
        <v>151</v>
      </c>
      <c r="B80" s="6">
        <v>406</v>
      </c>
      <c r="C80" s="6" t="s">
        <v>626</v>
      </c>
      <c r="D80" s="6" t="s">
        <v>627</v>
      </c>
      <c r="E80" s="6" t="s">
        <v>94</v>
      </c>
      <c r="F80" s="6" t="s">
        <v>35</v>
      </c>
      <c r="G80" s="4">
        <v>0</v>
      </c>
      <c r="I80" s="6" t="s">
        <v>519</v>
      </c>
      <c r="J80" s="6" t="s">
        <v>55</v>
      </c>
      <c r="K80" s="19">
        <v>46218</v>
      </c>
    </row>
    <row r="81" spans="1:11" x14ac:dyDescent="0.25">
      <c r="A81" s="6" t="s">
        <v>110</v>
      </c>
      <c r="B81" s="6">
        <v>410</v>
      </c>
      <c r="C81" s="6" t="s">
        <v>633</v>
      </c>
      <c r="D81" s="6" t="s">
        <v>73</v>
      </c>
      <c r="E81" s="6" t="s">
        <v>634</v>
      </c>
      <c r="F81" s="6" t="s">
        <v>35</v>
      </c>
      <c r="G81" s="4">
        <v>0.45</v>
      </c>
      <c r="I81" s="6" t="s">
        <v>636</v>
      </c>
      <c r="J81" s="6" t="s">
        <v>55</v>
      </c>
    </row>
    <row r="82" spans="1:11" x14ac:dyDescent="0.25">
      <c r="A82" s="6" t="s">
        <v>211</v>
      </c>
      <c r="B82" s="6">
        <v>421</v>
      </c>
      <c r="C82" s="6" t="s">
        <v>637</v>
      </c>
      <c r="D82" s="6" t="s">
        <v>638</v>
      </c>
      <c r="E82" s="6" t="s">
        <v>639</v>
      </c>
      <c r="F82" s="6" t="s">
        <v>35</v>
      </c>
      <c r="G82" s="4">
        <v>0.7</v>
      </c>
      <c r="I82" s="6" t="s">
        <v>636</v>
      </c>
      <c r="J82" s="6" t="s">
        <v>55</v>
      </c>
    </row>
    <row r="83" spans="1:11" x14ac:dyDescent="0.25">
      <c r="A83" s="6" t="s">
        <v>65</v>
      </c>
      <c r="B83" s="6">
        <v>424</v>
      </c>
      <c r="C83" s="6" t="s">
        <v>646</v>
      </c>
      <c r="D83" s="6" t="s">
        <v>642</v>
      </c>
      <c r="E83" s="6" t="s">
        <v>102</v>
      </c>
      <c r="F83" s="6" t="s">
        <v>35</v>
      </c>
      <c r="G83" s="4">
        <v>0.5</v>
      </c>
      <c r="I83" s="6" t="s">
        <v>636</v>
      </c>
      <c r="J83" s="6" t="s">
        <v>55</v>
      </c>
    </row>
    <row r="84" spans="1:11" x14ac:dyDescent="0.25">
      <c r="A84" s="6" t="s">
        <v>65</v>
      </c>
      <c r="B84" s="6">
        <v>425</v>
      </c>
      <c r="C84" s="6" t="s">
        <v>649</v>
      </c>
      <c r="D84" s="6" t="s">
        <v>642</v>
      </c>
      <c r="E84" s="6" t="s">
        <v>108</v>
      </c>
      <c r="F84" s="6" t="s">
        <v>35</v>
      </c>
      <c r="G84" s="4">
        <v>0</v>
      </c>
      <c r="I84" s="6" t="s">
        <v>636</v>
      </c>
      <c r="J84" s="6" t="s">
        <v>55</v>
      </c>
    </row>
    <row r="85" spans="1:11" x14ac:dyDescent="0.25">
      <c r="A85" s="6" t="s">
        <v>110</v>
      </c>
      <c r="B85" s="6">
        <v>431</v>
      </c>
      <c r="C85" s="6" t="s">
        <v>651</v>
      </c>
      <c r="D85" s="6" t="s">
        <v>638</v>
      </c>
      <c r="E85" s="6" t="s">
        <v>652</v>
      </c>
      <c r="F85" s="6" t="s">
        <v>35</v>
      </c>
      <c r="G85" s="4">
        <v>0.7</v>
      </c>
      <c r="I85" s="6" t="s">
        <v>636</v>
      </c>
      <c r="J85" s="6" t="s">
        <v>55</v>
      </c>
    </row>
    <row r="86" spans="1:11" x14ac:dyDescent="0.25">
      <c r="A86" s="6" t="s">
        <v>211</v>
      </c>
      <c r="B86" s="6">
        <v>434</v>
      </c>
      <c r="C86" s="6" t="s">
        <v>658</v>
      </c>
      <c r="D86" s="6" t="s">
        <v>654</v>
      </c>
      <c r="E86" s="6" t="s">
        <v>102</v>
      </c>
      <c r="F86" s="6" t="s">
        <v>35</v>
      </c>
      <c r="G86" s="4">
        <v>0.5</v>
      </c>
      <c r="I86" s="6" t="s">
        <v>636</v>
      </c>
      <c r="J86" s="6" t="s">
        <v>55</v>
      </c>
    </row>
    <row r="87" spans="1:11" x14ac:dyDescent="0.25">
      <c r="A87" s="6" t="s">
        <v>211</v>
      </c>
      <c r="B87" s="6">
        <v>435</v>
      </c>
      <c r="C87" s="6" t="s">
        <v>660</v>
      </c>
      <c r="D87" s="6" t="s">
        <v>654</v>
      </c>
      <c r="E87" s="6" t="s">
        <v>108</v>
      </c>
      <c r="F87" s="6" t="s">
        <v>35</v>
      </c>
      <c r="G87" s="4">
        <v>0</v>
      </c>
      <c r="I87" s="6" t="s">
        <v>636</v>
      </c>
      <c r="J87" s="6" t="s">
        <v>55</v>
      </c>
    </row>
    <row r="88" spans="1:11" x14ac:dyDescent="0.25">
      <c r="A88" s="6" t="s">
        <v>211</v>
      </c>
      <c r="B88" s="6">
        <v>451</v>
      </c>
      <c r="C88" s="6" t="s">
        <v>662</v>
      </c>
      <c r="D88" s="6" t="s">
        <v>638</v>
      </c>
      <c r="E88" s="6" t="s">
        <v>663</v>
      </c>
      <c r="F88" s="6" t="s">
        <v>131</v>
      </c>
      <c r="G88" s="4">
        <v>0.28000000000000003</v>
      </c>
      <c r="I88" s="6" t="s">
        <v>636</v>
      </c>
      <c r="J88" s="6" t="s">
        <v>55</v>
      </c>
    </row>
    <row r="89" spans="1:11" x14ac:dyDescent="0.25">
      <c r="A89" s="6" t="s">
        <v>211</v>
      </c>
      <c r="B89" s="6">
        <v>452</v>
      </c>
      <c r="C89" s="6" t="s">
        <v>664</v>
      </c>
      <c r="D89" s="6" t="s">
        <v>665</v>
      </c>
      <c r="E89" s="6" t="s">
        <v>94</v>
      </c>
      <c r="F89" s="6" t="s">
        <v>131</v>
      </c>
      <c r="G89" s="4">
        <v>1</v>
      </c>
      <c r="I89" s="6" t="s">
        <v>636</v>
      </c>
      <c r="J89" s="6" t="s">
        <v>55</v>
      </c>
    </row>
    <row r="90" spans="1:11" x14ac:dyDescent="0.25">
      <c r="A90" s="6" t="s">
        <v>676</v>
      </c>
      <c r="B90" s="6">
        <v>456</v>
      </c>
      <c r="C90" s="6" t="s">
        <v>673</v>
      </c>
      <c r="D90" s="6" t="s">
        <v>638</v>
      </c>
      <c r="E90" s="6" t="s">
        <v>674</v>
      </c>
      <c r="F90" s="6" t="s">
        <v>131</v>
      </c>
      <c r="G90" s="4">
        <v>0.28000000000000003</v>
      </c>
      <c r="I90" s="6" t="s">
        <v>636</v>
      </c>
      <c r="J90" s="6" t="s">
        <v>55</v>
      </c>
    </row>
    <row r="91" spans="1:11" x14ac:dyDescent="0.25">
      <c r="A91" s="6" t="s">
        <v>676</v>
      </c>
      <c r="B91" s="6">
        <v>457</v>
      </c>
      <c r="C91" s="6" t="s">
        <v>677</v>
      </c>
      <c r="D91" s="6" t="s">
        <v>678</v>
      </c>
      <c r="E91" s="6" t="s">
        <v>94</v>
      </c>
      <c r="F91" s="6" t="s">
        <v>131</v>
      </c>
      <c r="G91" s="4">
        <v>0.9</v>
      </c>
      <c r="I91" s="6" t="s">
        <v>636</v>
      </c>
      <c r="J91" s="6" t="s">
        <v>55</v>
      </c>
      <c r="K91" s="19">
        <v>46209</v>
      </c>
    </row>
    <row r="92" spans="1:11" x14ac:dyDescent="0.25">
      <c r="A92" s="6" t="s">
        <v>211</v>
      </c>
      <c r="B92" s="6">
        <v>476</v>
      </c>
      <c r="C92" s="6" t="s">
        <v>696</v>
      </c>
      <c r="D92" s="6" t="s">
        <v>73</v>
      </c>
      <c r="E92" s="6" t="s">
        <v>697</v>
      </c>
      <c r="F92" s="6" t="s">
        <v>35</v>
      </c>
      <c r="G92" s="4">
        <v>0.6</v>
      </c>
      <c r="I92" s="6" t="s">
        <v>699</v>
      </c>
      <c r="J92" s="6" t="s">
        <v>55</v>
      </c>
    </row>
    <row r="93" spans="1:11" x14ac:dyDescent="0.25">
      <c r="A93" s="6" t="s">
        <v>138</v>
      </c>
      <c r="B93" s="6">
        <v>482</v>
      </c>
      <c r="C93" s="6" t="s">
        <v>700</v>
      </c>
      <c r="D93" s="6" t="s">
        <v>701</v>
      </c>
      <c r="E93" s="6" t="s">
        <v>702</v>
      </c>
      <c r="F93" s="6" t="s">
        <v>35</v>
      </c>
      <c r="G93" s="4">
        <v>0.5</v>
      </c>
      <c r="I93" s="6" t="s">
        <v>699</v>
      </c>
      <c r="J93" s="6" t="s">
        <v>55</v>
      </c>
    </row>
    <row r="94" spans="1:11" x14ac:dyDescent="0.25">
      <c r="A94" s="6" t="s">
        <v>138</v>
      </c>
      <c r="B94" s="6">
        <v>483</v>
      </c>
      <c r="C94" s="6" t="s">
        <v>704</v>
      </c>
      <c r="D94" s="6" t="s">
        <v>705</v>
      </c>
      <c r="E94" s="6" t="s">
        <v>94</v>
      </c>
      <c r="F94" s="6" t="s">
        <v>35</v>
      </c>
      <c r="G94" s="4">
        <v>1</v>
      </c>
      <c r="I94" s="6" t="s">
        <v>699</v>
      </c>
      <c r="J94" s="6" t="s">
        <v>55</v>
      </c>
    </row>
    <row r="95" spans="1:11" x14ac:dyDescent="0.25">
      <c r="A95" s="6" t="s">
        <v>146</v>
      </c>
      <c r="B95" s="6">
        <v>484</v>
      </c>
      <c r="C95" s="6" t="s">
        <v>707</v>
      </c>
      <c r="D95" s="6" t="s">
        <v>705</v>
      </c>
      <c r="E95" s="6" t="s">
        <v>98</v>
      </c>
      <c r="F95" s="6" t="s">
        <v>35</v>
      </c>
      <c r="G95" s="4">
        <v>0</v>
      </c>
      <c r="I95" s="6" t="s">
        <v>699</v>
      </c>
      <c r="J95" s="6" t="s">
        <v>55</v>
      </c>
    </row>
    <row r="96" spans="1:11" x14ac:dyDescent="0.25">
      <c r="A96" s="6" t="s">
        <v>146</v>
      </c>
      <c r="B96" s="6">
        <v>485</v>
      </c>
      <c r="C96" s="6" t="s">
        <v>708</v>
      </c>
      <c r="D96" s="6" t="s">
        <v>705</v>
      </c>
      <c r="E96" s="6" t="s">
        <v>102</v>
      </c>
      <c r="F96" s="6" t="s">
        <v>35</v>
      </c>
      <c r="G96" s="4">
        <v>0</v>
      </c>
      <c r="I96" s="6" t="s">
        <v>699</v>
      </c>
      <c r="J96" s="6" t="s">
        <v>55</v>
      </c>
    </row>
    <row r="97" spans="1:11" x14ac:dyDescent="0.25">
      <c r="A97" s="6" t="s">
        <v>151</v>
      </c>
      <c r="B97" s="6">
        <v>486</v>
      </c>
      <c r="C97" s="6" t="s">
        <v>709</v>
      </c>
      <c r="D97" s="6" t="s">
        <v>705</v>
      </c>
      <c r="E97" s="6" t="s">
        <v>108</v>
      </c>
      <c r="F97" s="6" t="s">
        <v>35</v>
      </c>
      <c r="G97" s="4">
        <v>0</v>
      </c>
      <c r="I97" s="6" t="s">
        <v>699</v>
      </c>
      <c r="J97" s="6" t="s">
        <v>55</v>
      </c>
    </row>
    <row r="98" spans="1:11" x14ac:dyDescent="0.25">
      <c r="A98" s="6" t="s">
        <v>146</v>
      </c>
      <c r="B98" s="6">
        <v>487</v>
      </c>
      <c r="C98" s="6" t="s">
        <v>710</v>
      </c>
      <c r="D98" s="6" t="s">
        <v>701</v>
      </c>
      <c r="E98" s="6" t="s">
        <v>711</v>
      </c>
      <c r="F98" s="6" t="s">
        <v>35</v>
      </c>
      <c r="G98" s="4">
        <v>0</v>
      </c>
      <c r="I98" s="6" t="s">
        <v>699</v>
      </c>
      <c r="J98" s="6" t="s">
        <v>55</v>
      </c>
    </row>
    <row r="99" spans="1:11" x14ac:dyDescent="0.25">
      <c r="A99" s="6" t="s">
        <v>146</v>
      </c>
      <c r="B99" s="6">
        <v>488</v>
      </c>
      <c r="C99" s="6" t="s">
        <v>712</v>
      </c>
      <c r="D99" s="6" t="s">
        <v>713</v>
      </c>
      <c r="E99" s="6" t="s">
        <v>94</v>
      </c>
      <c r="F99" s="6" t="s">
        <v>35</v>
      </c>
      <c r="G99" s="4">
        <v>1</v>
      </c>
      <c r="I99" s="6" t="s">
        <v>699</v>
      </c>
      <c r="J99" s="6" t="s">
        <v>55</v>
      </c>
    </row>
    <row r="100" spans="1:11" x14ac:dyDescent="0.25">
      <c r="A100" s="6" t="s">
        <v>146</v>
      </c>
      <c r="B100" s="6">
        <v>492</v>
      </c>
      <c r="C100" s="6" t="s">
        <v>717</v>
      </c>
      <c r="D100" s="6" t="s">
        <v>701</v>
      </c>
      <c r="E100" s="6" t="s">
        <v>718</v>
      </c>
      <c r="F100" s="6" t="s">
        <v>35</v>
      </c>
      <c r="G100" s="4">
        <v>0</v>
      </c>
      <c r="I100" s="6" t="s">
        <v>699</v>
      </c>
      <c r="J100" s="6" t="s">
        <v>55</v>
      </c>
    </row>
    <row r="101" spans="1:11" x14ac:dyDescent="0.25">
      <c r="A101" s="6" t="s">
        <v>146</v>
      </c>
      <c r="B101" s="6">
        <v>493</v>
      </c>
      <c r="C101" s="6" t="s">
        <v>719</v>
      </c>
      <c r="D101" s="6" t="s">
        <v>720</v>
      </c>
      <c r="E101" s="6" t="s">
        <v>94</v>
      </c>
      <c r="F101" s="6" t="s">
        <v>35</v>
      </c>
      <c r="G101" s="4">
        <v>1</v>
      </c>
      <c r="I101" s="6" t="s">
        <v>699</v>
      </c>
      <c r="J101" s="6" t="s">
        <v>55</v>
      </c>
    </row>
    <row r="102" spans="1:11" x14ac:dyDescent="0.25">
      <c r="A102" s="6" t="s">
        <v>146</v>
      </c>
      <c r="B102" s="6">
        <v>507</v>
      </c>
      <c r="C102" s="6" t="s">
        <v>726</v>
      </c>
      <c r="D102" s="6" t="s">
        <v>701</v>
      </c>
      <c r="E102" s="6" t="s">
        <v>727</v>
      </c>
      <c r="F102" s="6" t="s">
        <v>35</v>
      </c>
      <c r="G102" s="4">
        <v>0</v>
      </c>
      <c r="I102" s="6" t="s">
        <v>699</v>
      </c>
      <c r="J102" s="6" t="s">
        <v>55</v>
      </c>
    </row>
    <row r="103" spans="1:11" x14ac:dyDescent="0.25">
      <c r="A103" s="6" t="s">
        <v>146</v>
      </c>
      <c r="B103" s="6">
        <v>508</v>
      </c>
      <c r="C103" s="6" t="s">
        <v>728</v>
      </c>
      <c r="D103" s="6" t="s">
        <v>729</v>
      </c>
      <c r="E103" s="6" t="s">
        <v>94</v>
      </c>
      <c r="F103" s="6" t="s">
        <v>35</v>
      </c>
      <c r="G103" s="4">
        <v>0.5</v>
      </c>
      <c r="I103" s="6" t="s">
        <v>699</v>
      </c>
      <c r="J103" s="6" t="s">
        <v>55</v>
      </c>
      <c r="K103" s="19">
        <v>46210</v>
      </c>
    </row>
    <row r="104" spans="1:11" x14ac:dyDescent="0.25">
      <c r="A104" s="6" t="s">
        <v>211</v>
      </c>
      <c r="B104" s="6">
        <v>512</v>
      </c>
      <c r="C104" s="6" t="s">
        <v>734</v>
      </c>
      <c r="D104" s="6" t="s">
        <v>701</v>
      </c>
      <c r="E104" s="6" t="s">
        <v>735</v>
      </c>
      <c r="F104" s="6" t="s">
        <v>35</v>
      </c>
      <c r="G104" s="4">
        <v>0.8</v>
      </c>
      <c r="I104" s="6" t="s">
        <v>699</v>
      </c>
      <c r="J104" s="6" t="s">
        <v>55</v>
      </c>
    </row>
    <row r="105" spans="1:11" x14ac:dyDescent="0.25">
      <c r="A105" s="6" t="s">
        <v>138</v>
      </c>
      <c r="B105" s="6">
        <v>515</v>
      </c>
      <c r="C105" s="6" t="s">
        <v>740</v>
      </c>
      <c r="D105" s="6" t="s">
        <v>737</v>
      </c>
      <c r="E105" s="6" t="s">
        <v>102</v>
      </c>
      <c r="F105" s="6" t="s">
        <v>35</v>
      </c>
      <c r="G105" s="4">
        <v>0.5</v>
      </c>
      <c r="I105" s="6" t="s">
        <v>699</v>
      </c>
      <c r="J105" s="6" t="s">
        <v>55</v>
      </c>
    </row>
    <row r="106" spans="1:11" x14ac:dyDescent="0.25">
      <c r="A106" s="6" t="s">
        <v>138</v>
      </c>
      <c r="B106" s="6">
        <v>516</v>
      </c>
      <c r="C106" s="6" t="s">
        <v>741</v>
      </c>
      <c r="D106" s="6" t="s">
        <v>737</v>
      </c>
      <c r="E106" s="6" t="s">
        <v>108</v>
      </c>
      <c r="F106" s="6" t="s">
        <v>35</v>
      </c>
      <c r="G106" s="4">
        <v>0</v>
      </c>
      <c r="I106" s="6" t="s">
        <v>699</v>
      </c>
      <c r="J106" s="6" t="s">
        <v>55</v>
      </c>
    </row>
    <row r="107" spans="1:11" x14ac:dyDescent="0.25">
      <c r="A107" s="6" t="s">
        <v>211</v>
      </c>
      <c r="B107" s="6">
        <v>517</v>
      </c>
      <c r="C107" s="6" t="s">
        <v>742</v>
      </c>
      <c r="D107" s="6" t="s">
        <v>701</v>
      </c>
      <c r="E107" s="6" t="s">
        <v>743</v>
      </c>
      <c r="F107" s="6" t="s">
        <v>35</v>
      </c>
      <c r="G107" s="4">
        <v>0.8</v>
      </c>
      <c r="I107" s="6" t="s">
        <v>699</v>
      </c>
      <c r="J107" s="6" t="s">
        <v>55</v>
      </c>
    </row>
    <row r="108" spans="1:11" x14ac:dyDescent="0.25">
      <c r="A108" s="6" t="s">
        <v>138</v>
      </c>
      <c r="B108" s="6">
        <v>520</v>
      </c>
      <c r="C108" s="6" t="s">
        <v>749</v>
      </c>
      <c r="D108" s="6" t="s">
        <v>746</v>
      </c>
      <c r="E108" s="6" t="s">
        <v>102</v>
      </c>
      <c r="F108" s="6" t="s">
        <v>35</v>
      </c>
      <c r="G108" s="4">
        <v>0.5</v>
      </c>
      <c r="I108" s="6" t="s">
        <v>699</v>
      </c>
      <c r="J108" s="6" t="s">
        <v>55</v>
      </c>
    </row>
    <row r="109" spans="1:11" x14ac:dyDescent="0.25">
      <c r="A109" s="6" t="s">
        <v>138</v>
      </c>
      <c r="B109" s="6">
        <v>521</v>
      </c>
      <c r="C109" s="6" t="s">
        <v>750</v>
      </c>
      <c r="D109" s="6" t="s">
        <v>746</v>
      </c>
      <c r="E109" s="6" t="s">
        <v>108</v>
      </c>
      <c r="F109" s="6" t="s">
        <v>35</v>
      </c>
      <c r="G109" s="4">
        <v>0</v>
      </c>
      <c r="I109" s="6" t="s">
        <v>699</v>
      </c>
      <c r="J109" s="6" t="s">
        <v>55</v>
      </c>
    </row>
    <row r="110" spans="1:11" x14ac:dyDescent="0.25">
      <c r="A110" s="6" t="s">
        <v>211</v>
      </c>
      <c r="B110" s="6">
        <v>522</v>
      </c>
      <c r="C110" s="6" t="s">
        <v>751</v>
      </c>
      <c r="D110" s="6" t="s">
        <v>701</v>
      </c>
      <c r="E110" s="6" t="s">
        <v>752</v>
      </c>
      <c r="F110" s="6" t="s">
        <v>35</v>
      </c>
      <c r="G110" s="4">
        <v>0.8</v>
      </c>
      <c r="I110" s="6" t="s">
        <v>699</v>
      </c>
      <c r="J110" s="6" t="s">
        <v>55</v>
      </c>
    </row>
    <row r="111" spans="1:11" x14ac:dyDescent="0.25">
      <c r="A111" s="6" t="s">
        <v>138</v>
      </c>
      <c r="B111" s="6">
        <v>525</v>
      </c>
      <c r="C111" s="6" t="s">
        <v>756</v>
      </c>
      <c r="D111" s="6" t="s">
        <v>754</v>
      </c>
      <c r="E111" s="6" t="s">
        <v>102</v>
      </c>
      <c r="F111" s="6" t="s">
        <v>35</v>
      </c>
      <c r="G111" s="4">
        <v>0.5</v>
      </c>
      <c r="I111" s="6" t="s">
        <v>699</v>
      </c>
      <c r="J111" s="6" t="s">
        <v>55</v>
      </c>
    </row>
    <row r="112" spans="1:11" x14ac:dyDescent="0.25">
      <c r="A112" s="6" t="s">
        <v>138</v>
      </c>
      <c r="B112" s="6">
        <v>526</v>
      </c>
      <c r="C112" s="6" t="s">
        <v>757</v>
      </c>
      <c r="D112" s="6" t="s">
        <v>754</v>
      </c>
      <c r="E112" s="6" t="s">
        <v>108</v>
      </c>
      <c r="F112" s="6" t="s">
        <v>35</v>
      </c>
      <c r="G112" s="4">
        <v>0</v>
      </c>
      <c r="I112" s="6" t="s">
        <v>699</v>
      </c>
      <c r="J112" s="6" t="s">
        <v>55</v>
      </c>
    </row>
    <row r="113" spans="1:10" x14ac:dyDescent="0.25">
      <c r="A113" s="6" t="s">
        <v>146</v>
      </c>
      <c r="B113" s="6">
        <v>527</v>
      </c>
      <c r="C113" s="6" t="s">
        <v>758</v>
      </c>
      <c r="D113" s="6" t="s">
        <v>701</v>
      </c>
      <c r="E113" s="6" t="s">
        <v>759</v>
      </c>
      <c r="F113" s="6" t="s">
        <v>35</v>
      </c>
      <c r="G113" s="4">
        <v>0.56000000000000005</v>
      </c>
      <c r="I113" s="6" t="s">
        <v>699</v>
      </c>
      <c r="J113" s="6" t="s">
        <v>55</v>
      </c>
    </row>
    <row r="114" spans="1:10" x14ac:dyDescent="0.25">
      <c r="A114" s="6" t="s">
        <v>151</v>
      </c>
      <c r="B114" s="6">
        <v>529</v>
      </c>
      <c r="C114" s="6" t="s">
        <v>762</v>
      </c>
      <c r="D114" s="6" t="s">
        <v>761</v>
      </c>
      <c r="E114" s="6" t="s">
        <v>98</v>
      </c>
      <c r="F114" s="6" t="s">
        <v>35</v>
      </c>
      <c r="G114" s="4">
        <v>0.5</v>
      </c>
      <c r="I114" s="6" t="s">
        <v>699</v>
      </c>
      <c r="J114" s="6" t="s">
        <v>55</v>
      </c>
    </row>
    <row r="115" spans="1:10" x14ac:dyDescent="0.25">
      <c r="A115" s="6" t="s">
        <v>151</v>
      </c>
      <c r="B115" s="6">
        <v>530</v>
      </c>
      <c r="C115" s="6" t="s">
        <v>763</v>
      </c>
      <c r="D115" s="6" t="s">
        <v>761</v>
      </c>
      <c r="E115" s="6" t="s">
        <v>102</v>
      </c>
      <c r="F115" s="6" t="s">
        <v>35</v>
      </c>
      <c r="G115" s="4">
        <v>0</v>
      </c>
      <c r="I115" s="6" t="s">
        <v>699</v>
      </c>
      <c r="J115" s="6" t="s">
        <v>55</v>
      </c>
    </row>
    <row r="116" spans="1:10" x14ac:dyDescent="0.25">
      <c r="A116" s="6" t="s">
        <v>151</v>
      </c>
      <c r="B116" s="6">
        <v>531</v>
      </c>
      <c r="C116" s="6" t="s">
        <v>764</v>
      </c>
      <c r="D116" s="6" t="s">
        <v>761</v>
      </c>
      <c r="E116" s="6" t="s">
        <v>108</v>
      </c>
      <c r="F116" s="6" t="s">
        <v>131</v>
      </c>
      <c r="G116" s="4">
        <v>0</v>
      </c>
      <c r="I116" s="6" t="s">
        <v>699</v>
      </c>
      <c r="J116" s="6" t="s">
        <v>55</v>
      </c>
    </row>
    <row r="117" spans="1:10" x14ac:dyDescent="0.25">
      <c r="A117" s="6" t="s">
        <v>138</v>
      </c>
      <c r="B117" s="6">
        <v>532</v>
      </c>
      <c r="C117" s="6" t="s">
        <v>765</v>
      </c>
      <c r="D117" s="6" t="s">
        <v>701</v>
      </c>
      <c r="E117" s="6" t="s">
        <v>766</v>
      </c>
      <c r="F117" s="6" t="s">
        <v>35</v>
      </c>
      <c r="G117" s="4">
        <v>0.56000000000000005</v>
      </c>
      <c r="I117" s="6" t="s">
        <v>699</v>
      </c>
      <c r="J117" s="6" t="s">
        <v>55</v>
      </c>
    </row>
    <row r="118" spans="1:10" x14ac:dyDescent="0.25">
      <c r="A118" s="6" t="s">
        <v>146</v>
      </c>
      <c r="B118" s="6">
        <v>534</v>
      </c>
      <c r="C118" s="6" t="s">
        <v>769</v>
      </c>
      <c r="D118" s="6" t="s">
        <v>768</v>
      </c>
      <c r="E118" s="6" t="s">
        <v>98</v>
      </c>
      <c r="F118" s="6" t="s">
        <v>35</v>
      </c>
      <c r="G118" s="4">
        <v>0.5</v>
      </c>
      <c r="I118" s="6" t="s">
        <v>699</v>
      </c>
      <c r="J118" s="6" t="s">
        <v>55</v>
      </c>
    </row>
    <row r="119" spans="1:10" x14ac:dyDescent="0.25">
      <c r="A119" s="6" t="s">
        <v>146</v>
      </c>
      <c r="B119" s="6">
        <v>535</v>
      </c>
      <c r="C119" s="6" t="s">
        <v>770</v>
      </c>
      <c r="D119" s="6" t="s">
        <v>768</v>
      </c>
      <c r="E119" s="6" t="s">
        <v>102</v>
      </c>
      <c r="F119" s="6" t="s">
        <v>35</v>
      </c>
      <c r="G119" s="4">
        <v>0</v>
      </c>
      <c r="I119" s="6" t="s">
        <v>699</v>
      </c>
      <c r="J119" s="6" t="s">
        <v>55</v>
      </c>
    </row>
    <row r="120" spans="1:10" x14ac:dyDescent="0.25">
      <c r="A120" s="6" t="s">
        <v>151</v>
      </c>
      <c r="B120" s="6">
        <v>536</v>
      </c>
      <c r="C120" s="6" t="s">
        <v>771</v>
      </c>
      <c r="D120" s="6" t="s">
        <v>768</v>
      </c>
      <c r="E120" s="6" t="s">
        <v>108</v>
      </c>
      <c r="F120" s="6" t="s">
        <v>35</v>
      </c>
      <c r="G120" s="4">
        <v>0</v>
      </c>
      <c r="I120" s="6" t="s">
        <v>699</v>
      </c>
      <c r="J120" s="6" t="s">
        <v>55</v>
      </c>
    </row>
    <row r="121" spans="1:10" x14ac:dyDescent="0.25">
      <c r="A121" s="6" t="s">
        <v>146</v>
      </c>
      <c r="B121" s="6">
        <v>537</v>
      </c>
      <c r="C121" s="6" t="s">
        <v>772</v>
      </c>
      <c r="D121" s="6" t="s">
        <v>701</v>
      </c>
      <c r="E121" s="6" t="s">
        <v>773</v>
      </c>
      <c r="F121" s="6" t="s">
        <v>35</v>
      </c>
      <c r="G121" s="4">
        <v>0.5</v>
      </c>
      <c r="I121" s="6" t="s">
        <v>699</v>
      </c>
      <c r="J121" s="6" t="s">
        <v>55</v>
      </c>
    </row>
    <row r="122" spans="1:10" x14ac:dyDescent="0.25">
      <c r="A122" s="6" t="s">
        <v>151</v>
      </c>
      <c r="B122" s="6">
        <v>539</v>
      </c>
      <c r="C122" s="6" t="s">
        <v>776</v>
      </c>
      <c r="D122" s="6" t="s">
        <v>775</v>
      </c>
      <c r="E122" s="6" t="s">
        <v>98</v>
      </c>
      <c r="F122" s="6" t="s">
        <v>35</v>
      </c>
      <c r="G122" s="4">
        <v>0.5</v>
      </c>
      <c r="I122" s="6" t="s">
        <v>699</v>
      </c>
      <c r="J122" s="6" t="s">
        <v>55</v>
      </c>
    </row>
    <row r="123" spans="1:10" x14ac:dyDescent="0.25">
      <c r="A123" s="6" t="s">
        <v>151</v>
      </c>
      <c r="B123" s="6">
        <v>540</v>
      </c>
      <c r="C123" s="6" t="s">
        <v>777</v>
      </c>
      <c r="D123" s="6" t="s">
        <v>775</v>
      </c>
      <c r="E123" s="6" t="s">
        <v>102</v>
      </c>
      <c r="F123" s="6" t="s">
        <v>35</v>
      </c>
      <c r="G123" s="4">
        <v>0</v>
      </c>
      <c r="I123" s="6" t="s">
        <v>699</v>
      </c>
      <c r="J123" s="6" t="s">
        <v>55</v>
      </c>
    </row>
    <row r="124" spans="1:10" x14ac:dyDescent="0.25">
      <c r="A124" s="6" t="s">
        <v>151</v>
      </c>
      <c r="B124" s="6">
        <v>541</v>
      </c>
      <c r="C124" s="6" t="s">
        <v>778</v>
      </c>
      <c r="D124" s="6" t="s">
        <v>775</v>
      </c>
      <c r="E124" s="6" t="s">
        <v>108</v>
      </c>
      <c r="F124" s="6" t="s">
        <v>35</v>
      </c>
      <c r="G124" s="4">
        <v>0</v>
      </c>
      <c r="I124" s="6" t="s">
        <v>699</v>
      </c>
      <c r="J124" s="6" t="s">
        <v>55</v>
      </c>
    </row>
    <row r="125" spans="1:10" x14ac:dyDescent="0.25">
      <c r="A125" s="6" t="s">
        <v>138</v>
      </c>
      <c r="B125" s="6">
        <v>542</v>
      </c>
      <c r="C125" s="6" t="s">
        <v>779</v>
      </c>
      <c r="D125" s="6" t="s">
        <v>701</v>
      </c>
      <c r="E125" s="6" t="s">
        <v>780</v>
      </c>
      <c r="F125" s="6" t="s">
        <v>35</v>
      </c>
      <c r="G125" s="4">
        <v>0.56000000000000005</v>
      </c>
      <c r="I125" s="6" t="s">
        <v>699</v>
      </c>
      <c r="J125" s="6" t="s">
        <v>55</v>
      </c>
    </row>
    <row r="126" spans="1:10" x14ac:dyDescent="0.25">
      <c r="A126" s="6" t="s">
        <v>146</v>
      </c>
      <c r="B126" s="6">
        <v>544</v>
      </c>
      <c r="C126" s="6" t="s">
        <v>783</v>
      </c>
      <c r="D126" s="6" t="s">
        <v>782</v>
      </c>
      <c r="E126" s="6" t="s">
        <v>98</v>
      </c>
      <c r="F126" s="6" t="s">
        <v>35</v>
      </c>
      <c r="G126" s="4">
        <v>0.5</v>
      </c>
      <c r="I126" s="6" t="s">
        <v>699</v>
      </c>
      <c r="J126" s="6" t="s">
        <v>55</v>
      </c>
    </row>
    <row r="127" spans="1:10" x14ac:dyDescent="0.25">
      <c r="A127" s="6" t="s">
        <v>146</v>
      </c>
      <c r="B127" s="6">
        <v>545</v>
      </c>
      <c r="C127" s="6" t="s">
        <v>784</v>
      </c>
      <c r="D127" s="6" t="s">
        <v>782</v>
      </c>
      <c r="E127" s="6" t="s">
        <v>102</v>
      </c>
      <c r="F127" s="6" t="s">
        <v>35</v>
      </c>
      <c r="G127" s="4">
        <v>0</v>
      </c>
      <c r="I127" s="6" t="s">
        <v>699</v>
      </c>
      <c r="J127" s="6" t="s">
        <v>55</v>
      </c>
    </row>
    <row r="128" spans="1:10" x14ac:dyDescent="0.25">
      <c r="A128" s="6" t="s">
        <v>151</v>
      </c>
      <c r="B128" s="6">
        <v>546</v>
      </c>
      <c r="C128" s="6" t="s">
        <v>785</v>
      </c>
      <c r="D128" s="6" t="s">
        <v>782</v>
      </c>
      <c r="E128" s="6" t="s">
        <v>108</v>
      </c>
      <c r="F128" s="6" t="s">
        <v>35</v>
      </c>
      <c r="G128" s="4">
        <v>0</v>
      </c>
      <c r="I128" s="6" t="s">
        <v>699</v>
      </c>
      <c r="J128" s="6" t="s">
        <v>55</v>
      </c>
    </row>
    <row r="129" spans="1:11" x14ac:dyDescent="0.25">
      <c r="A129" s="6" t="s">
        <v>138</v>
      </c>
      <c r="B129" s="6">
        <v>547</v>
      </c>
      <c r="C129" s="6" t="s">
        <v>786</v>
      </c>
      <c r="D129" s="6" t="s">
        <v>701</v>
      </c>
      <c r="E129" s="6" t="s">
        <v>787</v>
      </c>
      <c r="F129" s="6" t="s">
        <v>35</v>
      </c>
      <c r="G129" s="4">
        <v>0.25</v>
      </c>
      <c r="I129" s="6" t="s">
        <v>699</v>
      </c>
      <c r="J129" s="6" t="s">
        <v>55</v>
      </c>
    </row>
    <row r="130" spans="1:11" x14ac:dyDescent="0.25">
      <c r="A130" s="6" t="s">
        <v>138</v>
      </c>
      <c r="B130" s="6">
        <v>548</v>
      </c>
      <c r="C130" s="6" t="s">
        <v>788</v>
      </c>
      <c r="D130" s="6" t="s">
        <v>789</v>
      </c>
      <c r="E130" s="6" t="s">
        <v>94</v>
      </c>
      <c r="F130" s="6" t="s">
        <v>35</v>
      </c>
      <c r="G130" s="4">
        <v>0.5</v>
      </c>
      <c r="I130" s="6" t="s">
        <v>699</v>
      </c>
      <c r="J130" s="6" t="s">
        <v>55</v>
      </c>
      <c r="K130" s="19">
        <v>46209</v>
      </c>
    </row>
    <row r="131" spans="1:11" x14ac:dyDescent="0.25">
      <c r="A131" s="6" t="s">
        <v>146</v>
      </c>
      <c r="B131" s="6">
        <v>549</v>
      </c>
      <c r="C131" s="6" t="s">
        <v>791</v>
      </c>
      <c r="D131" s="6" t="s">
        <v>789</v>
      </c>
      <c r="E131" s="6" t="s">
        <v>98</v>
      </c>
      <c r="F131" s="6" t="s">
        <v>35</v>
      </c>
      <c r="G131" s="4">
        <v>0</v>
      </c>
      <c r="I131" s="6" t="s">
        <v>699</v>
      </c>
      <c r="J131" s="6" t="s">
        <v>55</v>
      </c>
    </row>
    <row r="132" spans="1:11" x14ac:dyDescent="0.25">
      <c r="A132" s="6" t="s">
        <v>146</v>
      </c>
      <c r="B132" s="6">
        <v>550</v>
      </c>
      <c r="C132" s="6" t="s">
        <v>792</v>
      </c>
      <c r="D132" s="6" t="s">
        <v>789</v>
      </c>
      <c r="E132" s="6" t="s">
        <v>102</v>
      </c>
      <c r="F132" s="6" t="s">
        <v>35</v>
      </c>
      <c r="G132" s="4">
        <v>0</v>
      </c>
      <c r="I132" s="6" t="s">
        <v>699</v>
      </c>
      <c r="J132" s="6" t="s">
        <v>55</v>
      </c>
    </row>
    <row r="133" spans="1:11" x14ac:dyDescent="0.25">
      <c r="A133" s="6" t="s">
        <v>146</v>
      </c>
      <c r="B133" s="6">
        <v>551</v>
      </c>
      <c r="C133" s="6" t="s">
        <v>793</v>
      </c>
      <c r="D133" s="6" t="s">
        <v>789</v>
      </c>
      <c r="E133" s="6" t="s">
        <v>108</v>
      </c>
      <c r="F133" s="6" t="s">
        <v>35</v>
      </c>
      <c r="G133" s="4">
        <v>0</v>
      </c>
      <c r="I133" s="6" t="s">
        <v>699</v>
      </c>
      <c r="J133" s="6" t="s">
        <v>55</v>
      </c>
    </row>
    <row r="134" spans="1:11" x14ac:dyDescent="0.25">
      <c r="A134" s="6" t="s">
        <v>146</v>
      </c>
      <c r="B134" s="6">
        <v>562</v>
      </c>
      <c r="C134" s="6" t="s">
        <v>794</v>
      </c>
      <c r="D134" s="6" t="s">
        <v>701</v>
      </c>
      <c r="E134" s="6" t="s">
        <v>795</v>
      </c>
      <c r="F134" s="6" t="s">
        <v>35</v>
      </c>
      <c r="G134" s="4">
        <v>0</v>
      </c>
      <c r="I134" s="6" t="s">
        <v>699</v>
      </c>
      <c r="J134" s="6" t="s">
        <v>55</v>
      </c>
    </row>
    <row r="135" spans="1:11" x14ac:dyDescent="0.25">
      <c r="A135" s="6" t="s">
        <v>146</v>
      </c>
      <c r="B135" s="6">
        <v>563</v>
      </c>
      <c r="C135" s="6" t="s">
        <v>796</v>
      </c>
      <c r="D135" s="6" t="s">
        <v>797</v>
      </c>
      <c r="E135" s="6" t="s">
        <v>94</v>
      </c>
      <c r="F135" s="6" t="s">
        <v>35</v>
      </c>
      <c r="G135" s="4">
        <v>0.5</v>
      </c>
      <c r="I135" s="6" t="s">
        <v>699</v>
      </c>
      <c r="J135" s="6" t="s">
        <v>55</v>
      </c>
      <c r="K135" s="19">
        <v>46209</v>
      </c>
    </row>
    <row r="136" spans="1:11" x14ac:dyDescent="0.25">
      <c r="A136" s="6" t="s">
        <v>146</v>
      </c>
      <c r="B136" s="6">
        <v>567</v>
      </c>
      <c r="C136" s="6" t="s">
        <v>803</v>
      </c>
      <c r="D136" s="6" t="s">
        <v>701</v>
      </c>
      <c r="E136" s="6" t="s">
        <v>804</v>
      </c>
      <c r="F136" s="6" t="s">
        <v>35</v>
      </c>
      <c r="G136" s="4">
        <v>0</v>
      </c>
      <c r="I136" s="6" t="s">
        <v>699</v>
      </c>
      <c r="J136" s="6" t="s">
        <v>55</v>
      </c>
    </row>
    <row r="137" spans="1:11" x14ac:dyDescent="0.25">
      <c r="A137" s="6" t="s">
        <v>146</v>
      </c>
      <c r="B137" s="6">
        <v>568</v>
      </c>
      <c r="C137" s="6" t="s">
        <v>805</v>
      </c>
      <c r="D137" s="6" t="s">
        <v>806</v>
      </c>
      <c r="E137" s="6" t="s">
        <v>94</v>
      </c>
      <c r="F137" s="6" t="s">
        <v>35</v>
      </c>
      <c r="G137" s="4">
        <v>0</v>
      </c>
      <c r="I137" s="6" t="s">
        <v>699</v>
      </c>
      <c r="J137" s="6" t="s">
        <v>55</v>
      </c>
    </row>
    <row r="138" spans="1:11" x14ac:dyDescent="0.25">
      <c r="A138" s="6" t="s">
        <v>138</v>
      </c>
      <c r="B138" s="6">
        <v>572</v>
      </c>
      <c r="C138" s="6" t="s">
        <v>811</v>
      </c>
      <c r="D138" s="6" t="s">
        <v>701</v>
      </c>
      <c r="E138" s="6" t="s">
        <v>812</v>
      </c>
      <c r="F138" s="6" t="s">
        <v>35</v>
      </c>
      <c r="G138" s="4">
        <v>0.75</v>
      </c>
      <c r="I138" s="6" t="s">
        <v>699</v>
      </c>
      <c r="J138" s="6" t="s">
        <v>55</v>
      </c>
    </row>
    <row r="139" spans="1:11" x14ac:dyDescent="0.25">
      <c r="A139" s="6" t="s">
        <v>146</v>
      </c>
      <c r="B139" s="6">
        <v>574</v>
      </c>
      <c r="C139" s="6" t="s">
        <v>817</v>
      </c>
      <c r="D139" s="6" t="s">
        <v>814</v>
      </c>
      <c r="E139" s="6" t="s">
        <v>98</v>
      </c>
      <c r="F139" s="6" t="s">
        <v>35</v>
      </c>
      <c r="G139" s="4">
        <v>0.5</v>
      </c>
      <c r="I139" s="6" t="s">
        <v>699</v>
      </c>
      <c r="J139" s="6" t="s">
        <v>55</v>
      </c>
    </row>
    <row r="140" spans="1:11" x14ac:dyDescent="0.25">
      <c r="A140" s="6" t="s">
        <v>146</v>
      </c>
      <c r="B140" s="6">
        <v>575</v>
      </c>
      <c r="C140" s="6" t="s">
        <v>818</v>
      </c>
      <c r="D140" s="6" t="s">
        <v>814</v>
      </c>
      <c r="E140" s="6" t="s">
        <v>102</v>
      </c>
      <c r="F140" s="6" t="s">
        <v>35</v>
      </c>
      <c r="G140" s="4">
        <v>0</v>
      </c>
      <c r="I140" s="6" t="s">
        <v>699</v>
      </c>
      <c r="J140" s="6" t="s">
        <v>55</v>
      </c>
    </row>
    <row r="141" spans="1:11" x14ac:dyDescent="0.25">
      <c r="A141" s="6" t="s">
        <v>146</v>
      </c>
      <c r="B141" s="6">
        <v>576</v>
      </c>
      <c r="C141" s="6" t="s">
        <v>819</v>
      </c>
      <c r="D141" s="6" t="s">
        <v>814</v>
      </c>
      <c r="E141" s="6" t="s">
        <v>108</v>
      </c>
      <c r="F141" s="6" t="s">
        <v>35</v>
      </c>
      <c r="G141" s="4">
        <v>0</v>
      </c>
      <c r="I141" s="6" t="s">
        <v>699</v>
      </c>
      <c r="J141" s="6" t="s">
        <v>55</v>
      </c>
    </row>
    <row r="142" spans="1:11" x14ac:dyDescent="0.25">
      <c r="A142" s="6" t="s">
        <v>138</v>
      </c>
      <c r="B142" s="6">
        <v>577</v>
      </c>
      <c r="C142" s="6" t="s">
        <v>820</v>
      </c>
      <c r="D142" s="6" t="s">
        <v>701</v>
      </c>
      <c r="E142" s="6" t="s">
        <v>821</v>
      </c>
      <c r="F142" s="6" t="s">
        <v>35</v>
      </c>
      <c r="G142" s="4">
        <v>0.75</v>
      </c>
      <c r="I142" s="6" t="s">
        <v>699</v>
      </c>
      <c r="J142" s="6" t="s">
        <v>55</v>
      </c>
    </row>
    <row r="143" spans="1:11" x14ac:dyDescent="0.25">
      <c r="A143" s="6" t="s">
        <v>146</v>
      </c>
      <c r="B143" s="6">
        <v>579</v>
      </c>
      <c r="C143" s="6" t="s">
        <v>825</v>
      </c>
      <c r="D143" s="6" t="s">
        <v>823</v>
      </c>
      <c r="E143" s="6" t="s">
        <v>98</v>
      </c>
      <c r="F143" s="6" t="s">
        <v>35</v>
      </c>
      <c r="G143" s="4">
        <v>0.5</v>
      </c>
      <c r="I143" s="6" t="s">
        <v>699</v>
      </c>
      <c r="J143" s="6" t="s">
        <v>55</v>
      </c>
    </row>
    <row r="144" spans="1:11" x14ac:dyDescent="0.25">
      <c r="A144" s="6" t="s">
        <v>146</v>
      </c>
      <c r="B144" s="6">
        <v>580</v>
      </c>
      <c r="C144" s="6" t="s">
        <v>826</v>
      </c>
      <c r="D144" s="6" t="s">
        <v>823</v>
      </c>
      <c r="E144" s="6" t="s">
        <v>102</v>
      </c>
      <c r="F144" s="6" t="s">
        <v>35</v>
      </c>
      <c r="G144" s="4">
        <v>0</v>
      </c>
      <c r="I144" s="6" t="s">
        <v>699</v>
      </c>
      <c r="J144" s="6" t="s">
        <v>55</v>
      </c>
    </row>
    <row r="145" spans="1:10" x14ac:dyDescent="0.25">
      <c r="A145" s="6" t="s">
        <v>151</v>
      </c>
      <c r="B145" s="6">
        <v>581</v>
      </c>
      <c r="C145" s="6" t="s">
        <v>827</v>
      </c>
      <c r="D145" s="6" t="s">
        <v>823</v>
      </c>
      <c r="E145" s="6" t="s">
        <v>108</v>
      </c>
      <c r="F145" s="6" t="s">
        <v>35</v>
      </c>
      <c r="G145" s="4">
        <v>0</v>
      </c>
      <c r="I145" s="6" t="s">
        <v>699</v>
      </c>
      <c r="J145" s="6" t="s">
        <v>55</v>
      </c>
    </row>
    <row r="146" spans="1:10" x14ac:dyDescent="0.25">
      <c r="A146" s="6" t="s">
        <v>138</v>
      </c>
      <c r="B146" s="6">
        <v>582</v>
      </c>
      <c r="C146" s="6" t="s">
        <v>828</v>
      </c>
      <c r="D146" s="6" t="s">
        <v>701</v>
      </c>
      <c r="E146" s="6" t="s">
        <v>829</v>
      </c>
      <c r="F146" s="6" t="s">
        <v>35</v>
      </c>
      <c r="G146" s="4">
        <v>0.75</v>
      </c>
      <c r="I146" s="6" t="s">
        <v>699</v>
      </c>
      <c r="J146" s="6" t="s">
        <v>55</v>
      </c>
    </row>
    <row r="147" spans="1:10" x14ac:dyDescent="0.25">
      <c r="A147" s="6" t="s">
        <v>146</v>
      </c>
      <c r="B147" s="6">
        <v>584</v>
      </c>
      <c r="C147" s="6" t="s">
        <v>832</v>
      </c>
      <c r="D147" s="6" t="s">
        <v>831</v>
      </c>
      <c r="E147" s="6" t="s">
        <v>98</v>
      </c>
      <c r="F147" s="6" t="s">
        <v>35</v>
      </c>
      <c r="G147" s="4">
        <v>0.5</v>
      </c>
      <c r="I147" s="6" t="s">
        <v>699</v>
      </c>
      <c r="J147" s="6" t="s">
        <v>55</v>
      </c>
    </row>
    <row r="148" spans="1:10" x14ac:dyDescent="0.25">
      <c r="A148" s="6" t="s">
        <v>146</v>
      </c>
      <c r="B148" s="6">
        <v>585</v>
      </c>
      <c r="C148" s="6" t="s">
        <v>833</v>
      </c>
      <c r="D148" s="6" t="s">
        <v>831</v>
      </c>
      <c r="E148" s="6" t="s">
        <v>102</v>
      </c>
      <c r="F148" s="6" t="s">
        <v>35</v>
      </c>
      <c r="G148" s="4">
        <v>0</v>
      </c>
      <c r="I148" s="6" t="s">
        <v>699</v>
      </c>
      <c r="J148" s="6" t="s">
        <v>55</v>
      </c>
    </row>
    <row r="149" spans="1:10" x14ac:dyDescent="0.25">
      <c r="A149" s="6" t="s">
        <v>151</v>
      </c>
      <c r="B149" s="6">
        <v>586</v>
      </c>
      <c r="C149" s="6" t="s">
        <v>834</v>
      </c>
      <c r="D149" s="6" t="s">
        <v>831</v>
      </c>
      <c r="E149" s="6" t="s">
        <v>108</v>
      </c>
      <c r="F149" s="6" t="s">
        <v>35</v>
      </c>
      <c r="G149" s="4">
        <v>0</v>
      </c>
      <c r="I149" s="6" t="s">
        <v>699</v>
      </c>
      <c r="J149" s="6" t="s">
        <v>55</v>
      </c>
    </row>
    <row r="150" spans="1:10" x14ac:dyDescent="0.25">
      <c r="A150" s="6" t="s">
        <v>138</v>
      </c>
      <c r="B150" s="6">
        <v>587</v>
      </c>
      <c r="C150" s="6" t="s">
        <v>835</v>
      </c>
      <c r="D150" s="6" t="s">
        <v>701</v>
      </c>
      <c r="E150" s="6" t="s">
        <v>836</v>
      </c>
      <c r="F150" s="6" t="s">
        <v>35</v>
      </c>
      <c r="G150" s="4">
        <v>0.75</v>
      </c>
      <c r="I150" s="6" t="s">
        <v>699</v>
      </c>
      <c r="J150" s="6" t="s">
        <v>55</v>
      </c>
    </row>
    <row r="151" spans="1:10" x14ac:dyDescent="0.25">
      <c r="A151" s="6" t="s">
        <v>146</v>
      </c>
      <c r="B151" s="6">
        <v>589</v>
      </c>
      <c r="C151" s="6" t="s">
        <v>839</v>
      </c>
      <c r="D151" s="6" t="s">
        <v>838</v>
      </c>
      <c r="E151" s="6" t="s">
        <v>98</v>
      </c>
      <c r="F151" s="6" t="s">
        <v>35</v>
      </c>
      <c r="G151" s="4">
        <v>0.5</v>
      </c>
      <c r="I151" s="6" t="s">
        <v>699</v>
      </c>
      <c r="J151" s="6" t="s">
        <v>55</v>
      </c>
    </row>
    <row r="152" spans="1:10" x14ac:dyDescent="0.25">
      <c r="A152" s="6" t="s">
        <v>146</v>
      </c>
      <c r="B152" s="6">
        <v>590</v>
      </c>
      <c r="C152" s="6" t="s">
        <v>840</v>
      </c>
      <c r="D152" s="6" t="s">
        <v>838</v>
      </c>
      <c r="E152" s="6" t="s">
        <v>102</v>
      </c>
      <c r="F152" s="6" t="s">
        <v>35</v>
      </c>
      <c r="G152" s="4">
        <v>0</v>
      </c>
      <c r="I152" s="6" t="s">
        <v>699</v>
      </c>
      <c r="J152" s="6" t="s">
        <v>55</v>
      </c>
    </row>
    <row r="153" spans="1:10" x14ac:dyDescent="0.25">
      <c r="A153" s="6" t="s">
        <v>151</v>
      </c>
      <c r="B153" s="6">
        <v>591</v>
      </c>
      <c r="C153" s="6" t="s">
        <v>841</v>
      </c>
      <c r="D153" s="6" t="s">
        <v>838</v>
      </c>
      <c r="E153" s="6" t="s">
        <v>108</v>
      </c>
      <c r="F153" s="6" t="s">
        <v>35</v>
      </c>
      <c r="G153" s="4">
        <v>0</v>
      </c>
      <c r="I153" s="6" t="s">
        <v>699</v>
      </c>
      <c r="J153" s="6" t="s">
        <v>55</v>
      </c>
    </row>
    <row r="154" spans="1:10" x14ac:dyDescent="0.25">
      <c r="A154" s="6" t="s">
        <v>138</v>
      </c>
      <c r="B154" s="6">
        <v>592</v>
      </c>
      <c r="C154" s="6" t="s">
        <v>842</v>
      </c>
      <c r="D154" s="6" t="s">
        <v>701</v>
      </c>
      <c r="E154" s="6" t="s">
        <v>843</v>
      </c>
      <c r="F154" s="6" t="s">
        <v>35</v>
      </c>
      <c r="G154" s="4">
        <v>0.75</v>
      </c>
      <c r="I154" s="6" t="s">
        <v>699</v>
      </c>
      <c r="J154" s="6" t="s">
        <v>55</v>
      </c>
    </row>
    <row r="155" spans="1:10" x14ac:dyDescent="0.25">
      <c r="A155" s="6" t="s">
        <v>146</v>
      </c>
      <c r="B155" s="6">
        <v>594</v>
      </c>
      <c r="C155" s="6" t="s">
        <v>846</v>
      </c>
      <c r="D155" s="6" t="s">
        <v>845</v>
      </c>
      <c r="E155" s="6" t="s">
        <v>98</v>
      </c>
      <c r="F155" s="6" t="s">
        <v>35</v>
      </c>
      <c r="G155" s="4">
        <v>0.5</v>
      </c>
      <c r="I155" s="6" t="s">
        <v>699</v>
      </c>
      <c r="J155" s="6" t="s">
        <v>55</v>
      </c>
    </row>
    <row r="156" spans="1:10" x14ac:dyDescent="0.25">
      <c r="A156" s="6" t="s">
        <v>146</v>
      </c>
      <c r="B156" s="6">
        <v>595</v>
      </c>
      <c r="C156" s="6" t="s">
        <v>847</v>
      </c>
      <c r="D156" s="6" t="s">
        <v>845</v>
      </c>
      <c r="E156" s="6" t="s">
        <v>102</v>
      </c>
      <c r="F156" s="6" t="s">
        <v>35</v>
      </c>
      <c r="G156" s="4">
        <v>0</v>
      </c>
      <c r="I156" s="6" t="s">
        <v>699</v>
      </c>
      <c r="J156" s="6" t="s">
        <v>55</v>
      </c>
    </row>
    <row r="157" spans="1:10" x14ac:dyDescent="0.25">
      <c r="A157" s="6" t="s">
        <v>151</v>
      </c>
      <c r="B157" s="6">
        <v>596</v>
      </c>
      <c r="C157" s="6" t="s">
        <v>848</v>
      </c>
      <c r="D157" s="6" t="s">
        <v>845</v>
      </c>
      <c r="E157" s="6" t="s">
        <v>108</v>
      </c>
      <c r="F157" s="6" t="s">
        <v>35</v>
      </c>
      <c r="G157" s="4">
        <v>0</v>
      </c>
      <c r="I157" s="6" t="s">
        <v>699</v>
      </c>
      <c r="J157" s="6" t="s">
        <v>55</v>
      </c>
    </row>
    <row r="158" spans="1:10" x14ac:dyDescent="0.25">
      <c r="A158" s="6" t="s">
        <v>138</v>
      </c>
      <c r="B158" s="6">
        <v>597</v>
      </c>
      <c r="C158" s="6" t="s">
        <v>849</v>
      </c>
      <c r="D158" s="6" t="s">
        <v>701</v>
      </c>
      <c r="E158" s="6" t="s">
        <v>850</v>
      </c>
      <c r="F158" s="6" t="s">
        <v>35</v>
      </c>
      <c r="G158" s="4">
        <v>0.75</v>
      </c>
      <c r="I158" s="6" t="s">
        <v>699</v>
      </c>
      <c r="J158" s="6" t="s">
        <v>55</v>
      </c>
    </row>
    <row r="159" spans="1:10" x14ac:dyDescent="0.25">
      <c r="A159" s="6" t="s">
        <v>146</v>
      </c>
      <c r="B159" s="6">
        <v>599</v>
      </c>
      <c r="C159" s="6" t="s">
        <v>853</v>
      </c>
      <c r="D159" s="6" t="s">
        <v>852</v>
      </c>
      <c r="E159" s="6" t="s">
        <v>98</v>
      </c>
      <c r="F159" s="6" t="s">
        <v>35</v>
      </c>
      <c r="G159" s="4">
        <v>0.5</v>
      </c>
      <c r="I159" s="6" t="s">
        <v>699</v>
      </c>
      <c r="J159" s="6" t="s">
        <v>55</v>
      </c>
    </row>
    <row r="160" spans="1:10" x14ac:dyDescent="0.25">
      <c r="A160" s="6" t="s">
        <v>146</v>
      </c>
      <c r="B160" s="6">
        <v>600</v>
      </c>
      <c r="C160" s="6" t="s">
        <v>854</v>
      </c>
      <c r="D160" s="6" t="s">
        <v>852</v>
      </c>
      <c r="E160" s="6" t="s">
        <v>102</v>
      </c>
      <c r="F160" s="6" t="s">
        <v>35</v>
      </c>
      <c r="G160" s="4">
        <v>0</v>
      </c>
      <c r="I160" s="6" t="s">
        <v>699</v>
      </c>
      <c r="J160" s="6" t="s">
        <v>55</v>
      </c>
    </row>
    <row r="161" spans="1:10" x14ac:dyDescent="0.25">
      <c r="A161" s="6" t="s">
        <v>151</v>
      </c>
      <c r="B161" s="6">
        <v>601</v>
      </c>
      <c r="C161" s="6" t="s">
        <v>855</v>
      </c>
      <c r="D161" s="6" t="s">
        <v>852</v>
      </c>
      <c r="E161" s="6" t="s">
        <v>108</v>
      </c>
      <c r="F161" s="6" t="s">
        <v>35</v>
      </c>
      <c r="G161" s="4">
        <v>0</v>
      </c>
      <c r="I161" s="6" t="s">
        <v>699</v>
      </c>
      <c r="J161" s="6" t="s">
        <v>55</v>
      </c>
    </row>
    <row r="162" spans="1:10" x14ac:dyDescent="0.25">
      <c r="A162" s="6" t="s">
        <v>138</v>
      </c>
      <c r="B162" s="6">
        <v>602</v>
      </c>
      <c r="C162" s="6" t="s">
        <v>856</v>
      </c>
      <c r="D162" s="6" t="s">
        <v>701</v>
      </c>
      <c r="E162" s="6" t="s">
        <v>857</v>
      </c>
      <c r="F162" s="6" t="s">
        <v>35</v>
      </c>
      <c r="G162" s="4">
        <v>0.75</v>
      </c>
      <c r="I162" s="6" t="s">
        <v>699</v>
      </c>
      <c r="J162" s="6" t="s">
        <v>55</v>
      </c>
    </row>
    <row r="163" spans="1:10" x14ac:dyDescent="0.25">
      <c r="A163" s="6" t="s">
        <v>146</v>
      </c>
      <c r="B163" s="6">
        <v>604</v>
      </c>
      <c r="C163" s="6" t="s">
        <v>860</v>
      </c>
      <c r="D163" s="6" t="s">
        <v>859</v>
      </c>
      <c r="E163" s="6" t="s">
        <v>98</v>
      </c>
      <c r="F163" s="6" t="s">
        <v>35</v>
      </c>
      <c r="G163" s="4">
        <v>0.5</v>
      </c>
      <c r="I163" s="6" t="s">
        <v>699</v>
      </c>
      <c r="J163" s="6" t="s">
        <v>55</v>
      </c>
    </row>
    <row r="164" spans="1:10" x14ac:dyDescent="0.25">
      <c r="A164" s="6" t="s">
        <v>146</v>
      </c>
      <c r="B164" s="6">
        <v>605</v>
      </c>
      <c r="C164" s="6" t="s">
        <v>861</v>
      </c>
      <c r="D164" s="6" t="s">
        <v>859</v>
      </c>
      <c r="E164" s="6" t="s">
        <v>102</v>
      </c>
      <c r="F164" s="6" t="s">
        <v>35</v>
      </c>
      <c r="G164" s="4">
        <v>0</v>
      </c>
      <c r="I164" s="6" t="s">
        <v>699</v>
      </c>
      <c r="J164" s="6" t="s">
        <v>55</v>
      </c>
    </row>
    <row r="165" spans="1:10" x14ac:dyDescent="0.25">
      <c r="A165" s="6" t="s">
        <v>151</v>
      </c>
      <c r="B165" s="6">
        <v>606</v>
      </c>
      <c r="C165" s="6" t="s">
        <v>862</v>
      </c>
      <c r="D165" s="6" t="s">
        <v>859</v>
      </c>
      <c r="E165" s="6" t="s">
        <v>108</v>
      </c>
      <c r="F165" s="6" t="s">
        <v>35</v>
      </c>
      <c r="G165" s="4">
        <v>0</v>
      </c>
      <c r="I165" s="6" t="s">
        <v>699</v>
      </c>
      <c r="J165" s="6" t="s">
        <v>55</v>
      </c>
    </row>
    <row r="166" spans="1:10" x14ac:dyDescent="0.25">
      <c r="A166" s="6" t="s">
        <v>138</v>
      </c>
      <c r="B166" s="6">
        <v>607</v>
      </c>
      <c r="C166" s="6" t="s">
        <v>863</v>
      </c>
      <c r="D166" s="6" t="s">
        <v>701</v>
      </c>
      <c r="E166" s="6" t="s">
        <v>864</v>
      </c>
      <c r="F166" s="6" t="s">
        <v>35</v>
      </c>
      <c r="G166" s="4">
        <v>0.75</v>
      </c>
      <c r="I166" s="6" t="s">
        <v>699</v>
      </c>
      <c r="J166" s="6" t="s">
        <v>55</v>
      </c>
    </row>
    <row r="167" spans="1:10" x14ac:dyDescent="0.25">
      <c r="A167" s="6" t="s">
        <v>146</v>
      </c>
      <c r="B167" s="6">
        <v>609</v>
      </c>
      <c r="C167" s="6" t="s">
        <v>867</v>
      </c>
      <c r="D167" s="6" t="s">
        <v>866</v>
      </c>
      <c r="E167" s="6" t="s">
        <v>98</v>
      </c>
      <c r="F167" s="6" t="s">
        <v>35</v>
      </c>
      <c r="G167" s="4">
        <v>0.5</v>
      </c>
      <c r="I167" s="6" t="s">
        <v>699</v>
      </c>
      <c r="J167" s="6" t="s">
        <v>55</v>
      </c>
    </row>
    <row r="168" spans="1:10" x14ac:dyDescent="0.25">
      <c r="A168" s="6" t="s">
        <v>146</v>
      </c>
      <c r="B168" s="6">
        <v>610</v>
      </c>
      <c r="C168" s="6" t="s">
        <v>868</v>
      </c>
      <c r="D168" s="6" t="s">
        <v>866</v>
      </c>
      <c r="E168" s="6" t="s">
        <v>102</v>
      </c>
      <c r="F168" s="6" t="s">
        <v>35</v>
      </c>
      <c r="G168" s="4">
        <v>0</v>
      </c>
      <c r="I168" s="6" t="s">
        <v>699</v>
      </c>
      <c r="J168" s="6" t="s">
        <v>55</v>
      </c>
    </row>
    <row r="169" spans="1:10" x14ac:dyDescent="0.25">
      <c r="A169" s="6" t="s">
        <v>151</v>
      </c>
      <c r="B169" s="6">
        <v>611</v>
      </c>
      <c r="C169" s="6" t="s">
        <v>869</v>
      </c>
      <c r="D169" s="6" t="s">
        <v>866</v>
      </c>
      <c r="E169" s="6" t="s">
        <v>108</v>
      </c>
      <c r="F169" s="6" t="s">
        <v>35</v>
      </c>
      <c r="G169" s="4">
        <v>0</v>
      </c>
      <c r="I169" s="6" t="s">
        <v>699</v>
      </c>
      <c r="J169" s="6" t="s">
        <v>55</v>
      </c>
    </row>
    <row r="170" spans="1:10" x14ac:dyDescent="0.25">
      <c r="A170" s="6" t="s">
        <v>138</v>
      </c>
      <c r="B170" s="6">
        <v>612</v>
      </c>
      <c r="C170" s="6" t="s">
        <v>870</v>
      </c>
      <c r="D170" s="6" t="s">
        <v>701</v>
      </c>
      <c r="E170" s="6" t="s">
        <v>871</v>
      </c>
      <c r="F170" s="6" t="s">
        <v>35</v>
      </c>
      <c r="G170" s="4">
        <v>0.72</v>
      </c>
      <c r="I170" s="6" t="s">
        <v>699</v>
      </c>
      <c r="J170" s="6" t="s">
        <v>55</v>
      </c>
    </row>
    <row r="171" spans="1:10" x14ac:dyDescent="0.25">
      <c r="A171" s="6" t="s">
        <v>146</v>
      </c>
      <c r="B171" s="6">
        <v>614</v>
      </c>
      <c r="C171" s="6" t="s">
        <v>874</v>
      </c>
      <c r="D171" s="6" t="s">
        <v>873</v>
      </c>
      <c r="E171" s="6" t="s">
        <v>98</v>
      </c>
      <c r="F171" s="6" t="s">
        <v>35</v>
      </c>
      <c r="G171" s="4">
        <v>0.15</v>
      </c>
      <c r="I171" s="6" t="s">
        <v>699</v>
      </c>
      <c r="J171" s="6" t="s">
        <v>55</v>
      </c>
    </row>
    <row r="172" spans="1:10" x14ac:dyDescent="0.25">
      <c r="A172" s="6" t="s">
        <v>146</v>
      </c>
      <c r="B172" s="6">
        <v>615</v>
      </c>
      <c r="C172" s="6" t="s">
        <v>875</v>
      </c>
      <c r="D172" s="6" t="s">
        <v>873</v>
      </c>
      <c r="E172" s="6" t="s">
        <v>102</v>
      </c>
      <c r="F172" s="6" t="s">
        <v>35</v>
      </c>
      <c r="G172" s="4">
        <v>0</v>
      </c>
      <c r="I172" s="6" t="s">
        <v>699</v>
      </c>
      <c r="J172" s="6" t="s">
        <v>55</v>
      </c>
    </row>
    <row r="173" spans="1:10" x14ac:dyDescent="0.25">
      <c r="A173" s="6" t="s">
        <v>146</v>
      </c>
      <c r="B173" s="6">
        <v>616</v>
      </c>
      <c r="C173" s="6" t="s">
        <v>876</v>
      </c>
      <c r="D173" s="6" t="s">
        <v>873</v>
      </c>
      <c r="E173" s="6" t="s">
        <v>108</v>
      </c>
      <c r="F173" s="6" t="s">
        <v>35</v>
      </c>
      <c r="G173" s="4">
        <v>0</v>
      </c>
      <c r="I173" s="6" t="s">
        <v>699</v>
      </c>
      <c r="J173" s="6" t="s">
        <v>55</v>
      </c>
    </row>
    <row r="174" spans="1:10" x14ac:dyDescent="0.25">
      <c r="A174" s="6" t="s">
        <v>138</v>
      </c>
      <c r="B174" s="6">
        <v>617</v>
      </c>
      <c r="C174" s="6" t="s">
        <v>877</v>
      </c>
      <c r="D174" s="6" t="s">
        <v>701</v>
      </c>
      <c r="E174" s="6" t="s">
        <v>878</v>
      </c>
      <c r="F174" s="6" t="s">
        <v>35</v>
      </c>
      <c r="G174" s="4">
        <v>0.72</v>
      </c>
      <c r="I174" s="6" t="s">
        <v>699</v>
      </c>
      <c r="J174" s="6" t="s">
        <v>55</v>
      </c>
    </row>
    <row r="175" spans="1:10" x14ac:dyDescent="0.25">
      <c r="A175" s="6" t="s">
        <v>146</v>
      </c>
      <c r="B175" s="6">
        <v>619</v>
      </c>
      <c r="C175" s="6" t="s">
        <v>881</v>
      </c>
      <c r="D175" s="6" t="s">
        <v>880</v>
      </c>
      <c r="E175" s="6" t="s">
        <v>98</v>
      </c>
      <c r="F175" s="6" t="s">
        <v>35</v>
      </c>
      <c r="G175" s="4">
        <v>0.15</v>
      </c>
      <c r="I175" s="6" t="s">
        <v>699</v>
      </c>
      <c r="J175" s="6" t="s">
        <v>55</v>
      </c>
    </row>
    <row r="176" spans="1:10" x14ac:dyDescent="0.25">
      <c r="A176" s="6" t="s">
        <v>146</v>
      </c>
      <c r="B176" s="6">
        <v>620</v>
      </c>
      <c r="C176" s="6" t="s">
        <v>882</v>
      </c>
      <c r="D176" s="6" t="s">
        <v>880</v>
      </c>
      <c r="E176" s="6" t="s">
        <v>102</v>
      </c>
      <c r="F176" s="6" t="s">
        <v>35</v>
      </c>
      <c r="G176" s="4">
        <v>0</v>
      </c>
      <c r="I176" s="6" t="s">
        <v>699</v>
      </c>
      <c r="J176" s="6" t="s">
        <v>55</v>
      </c>
    </row>
    <row r="177" spans="1:10" x14ac:dyDescent="0.25">
      <c r="A177" s="6" t="s">
        <v>146</v>
      </c>
      <c r="B177" s="6">
        <v>621</v>
      </c>
      <c r="C177" s="6" t="s">
        <v>883</v>
      </c>
      <c r="D177" s="6" t="s">
        <v>880</v>
      </c>
      <c r="E177" s="6" t="s">
        <v>108</v>
      </c>
      <c r="F177" s="6" t="s">
        <v>35</v>
      </c>
      <c r="G177" s="4">
        <v>0</v>
      </c>
      <c r="I177" s="6" t="s">
        <v>699</v>
      </c>
      <c r="J177" s="6" t="s">
        <v>55</v>
      </c>
    </row>
    <row r="178" spans="1:10" x14ac:dyDescent="0.25">
      <c r="A178" s="6" t="s">
        <v>138</v>
      </c>
      <c r="B178" s="6">
        <v>622</v>
      </c>
      <c r="C178" s="6" t="s">
        <v>884</v>
      </c>
      <c r="D178" s="6" t="s">
        <v>701</v>
      </c>
      <c r="E178" s="6" t="s">
        <v>885</v>
      </c>
      <c r="F178" s="6" t="s">
        <v>35</v>
      </c>
      <c r="G178" s="4">
        <v>0.72</v>
      </c>
      <c r="I178" s="6" t="s">
        <v>699</v>
      </c>
      <c r="J178" s="6" t="s">
        <v>55</v>
      </c>
    </row>
    <row r="179" spans="1:10" x14ac:dyDescent="0.25">
      <c r="A179" s="6" t="s">
        <v>146</v>
      </c>
      <c r="B179" s="6">
        <v>624</v>
      </c>
      <c r="C179" s="6" t="s">
        <v>888</v>
      </c>
      <c r="D179" s="6" t="s">
        <v>887</v>
      </c>
      <c r="E179" s="6" t="s">
        <v>98</v>
      </c>
      <c r="F179" s="6" t="s">
        <v>35</v>
      </c>
      <c r="G179" s="4">
        <v>0.15</v>
      </c>
      <c r="I179" s="6" t="s">
        <v>699</v>
      </c>
      <c r="J179" s="6" t="s">
        <v>55</v>
      </c>
    </row>
    <row r="180" spans="1:10" x14ac:dyDescent="0.25">
      <c r="A180" s="6" t="s">
        <v>146</v>
      </c>
      <c r="B180" s="6">
        <v>625</v>
      </c>
      <c r="C180" s="6" t="s">
        <v>889</v>
      </c>
      <c r="D180" s="6" t="s">
        <v>887</v>
      </c>
      <c r="E180" s="6" t="s">
        <v>102</v>
      </c>
      <c r="F180" s="6" t="s">
        <v>35</v>
      </c>
      <c r="G180" s="4">
        <v>0</v>
      </c>
      <c r="I180" s="6" t="s">
        <v>699</v>
      </c>
      <c r="J180" s="6" t="s">
        <v>55</v>
      </c>
    </row>
    <row r="181" spans="1:10" x14ac:dyDescent="0.25">
      <c r="A181" s="6" t="s">
        <v>146</v>
      </c>
      <c r="B181" s="6">
        <v>626</v>
      </c>
      <c r="C181" s="6" t="s">
        <v>890</v>
      </c>
      <c r="D181" s="6" t="s">
        <v>887</v>
      </c>
      <c r="E181" s="6" t="s">
        <v>108</v>
      </c>
      <c r="F181" s="6" t="s">
        <v>35</v>
      </c>
      <c r="G181" s="4">
        <v>0</v>
      </c>
      <c r="I181" s="6" t="s">
        <v>699</v>
      </c>
      <c r="J181" s="6" t="s">
        <v>55</v>
      </c>
    </row>
    <row r="182" spans="1:10" x14ac:dyDescent="0.25">
      <c r="A182" s="6" t="s">
        <v>138</v>
      </c>
      <c r="B182" s="6">
        <v>627</v>
      </c>
      <c r="C182" s="6" t="s">
        <v>891</v>
      </c>
      <c r="D182" s="6" t="s">
        <v>701</v>
      </c>
      <c r="E182" s="6" t="s">
        <v>892</v>
      </c>
      <c r="F182" s="6" t="s">
        <v>35</v>
      </c>
      <c r="G182" s="4">
        <v>0.72</v>
      </c>
      <c r="I182" s="6" t="s">
        <v>699</v>
      </c>
      <c r="J182" s="6" t="s">
        <v>55</v>
      </c>
    </row>
    <row r="183" spans="1:10" x14ac:dyDescent="0.25">
      <c r="A183" s="6" t="s">
        <v>146</v>
      </c>
      <c r="B183" s="6">
        <v>629</v>
      </c>
      <c r="C183" s="6" t="s">
        <v>895</v>
      </c>
      <c r="D183" s="6" t="s">
        <v>894</v>
      </c>
      <c r="E183" s="6" t="s">
        <v>98</v>
      </c>
      <c r="F183" s="6" t="s">
        <v>35</v>
      </c>
      <c r="G183" s="4">
        <v>0.15</v>
      </c>
      <c r="I183" s="6" t="s">
        <v>699</v>
      </c>
      <c r="J183" s="6" t="s">
        <v>55</v>
      </c>
    </row>
    <row r="184" spans="1:10" x14ac:dyDescent="0.25">
      <c r="A184" s="6" t="s">
        <v>146</v>
      </c>
      <c r="B184" s="6">
        <v>630</v>
      </c>
      <c r="C184" s="6" t="s">
        <v>896</v>
      </c>
      <c r="D184" s="6" t="s">
        <v>894</v>
      </c>
      <c r="E184" s="6" t="s">
        <v>102</v>
      </c>
      <c r="F184" s="6" t="s">
        <v>35</v>
      </c>
      <c r="G184" s="4">
        <v>0</v>
      </c>
      <c r="I184" s="6" t="s">
        <v>699</v>
      </c>
      <c r="J184" s="6" t="s">
        <v>55</v>
      </c>
    </row>
    <row r="185" spans="1:10" x14ac:dyDescent="0.25">
      <c r="A185" s="6" t="s">
        <v>146</v>
      </c>
      <c r="B185" s="6">
        <v>631</v>
      </c>
      <c r="C185" s="6" t="s">
        <v>897</v>
      </c>
      <c r="D185" s="6" t="s">
        <v>894</v>
      </c>
      <c r="E185" s="6" t="s">
        <v>108</v>
      </c>
      <c r="F185" s="6" t="s">
        <v>35</v>
      </c>
      <c r="G185" s="4">
        <v>0</v>
      </c>
      <c r="I185" s="6" t="s">
        <v>699</v>
      </c>
      <c r="J185" s="6" t="s">
        <v>55</v>
      </c>
    </row>
    <row r="186" spans="1:10" x14ac:dyDescent="0.25">
      <c r="A186" s="6" t="s">
        <v>138</v>
      </c>
      <c r="B186" s="6">
        <v>632</v>
      </c>
      <c r="C186" s="6" t="s">
        <v>898</v>
      </c>
      <c r="D186" s="6" t="s">
        <v>701</v>
      </c>
      <c r="E186" s="6" t="s">
        <v>899</v>
      </c>
      <c r="F186" s="6" t="s">
        <v>35</v>
      </c>
      <c r="G186" s="4">
        <v>0.72</v>
      </c>
      <c r="I186" s="6" t="s">
        <v>699</v>
      </c>
      <c r="J186" s="6" t="s">
        <v>55</v>
      </c>
    </row>
    <row r="187" spans="1:10" x14ac:dyDescent="0.25">
      <c r="A187" s="6" t="s">
        <v>146</v>
      </c>
      <c r="B187" s="6">
        <v>634</v>
      </c>
      <c r="C187" s="6" t="s">
        <v>902</v>
      </c>
      <c r="D187" s="6" t="s">
        <v>901</v>
      </c>
      <c r="E187" s="6" t="s">
        <v>98</v>
      </c>
      <c r="F187" s="6" t="s">
        <v>35</v>
      </c>
      <c r="G187" s="4">
        <v>0.15</v>
      </c>
      <c r="I187" s="6" t="s">
        <v>699</v>
      </c>
      <c r="J187" s="6" t="s">
        <v>55</v>
      </c>
    </row>
    <row r="188" spans="1:10" x14ac:dyDescent="0.25">
      <c r="A188" s="6" t="s">
        <v>146</v>
      </c>
      <c r="B188" s="6">
        <v>635</v>
      </c>
      <c r="C188" s="6" t="s">
        <v>903</v>
      </c>
      <c r="D188" s="6" t="s">
        <v>901</v>
      </c>
      <c r="E188" s="6" t="s">
        <v>102</v>
      </c>
      <c r="F188" s="6" t="s">
        <v>35</v>
      </c>
      <c r="G188" s="4">
        <v>0</v>
      </c>
      <c r="I188" s="6" t="s">
        <v>699</v>
      </c>
      <c r="J188" s="6" t="s">
        <v>55</v>
      </c>
    </row>
    <row r="189" spans="1:10" x14ac:dyDescent="0.25">
      <c r="A189" s="6" t="s">
        <v>146</v>
      </c>
      <c r="B189" s="6">
        <v>636</v>
      </c>
      <c r="C189" s="6" t="s">
        <v>904</v>
      </c>
      <c r="D189" s="6" t="s">
        <v>901</v>
      </c>
      <c r="E189" s="6" t="s">
        <v>108</v>
      </c>
      <c r="F189" s="6" t="s">
        <v>35</v>
      </c>
      <c r="G189" s="4">
        <v>0</v>
      </c>
      <c r="I189" s="6" t="s">
        <v>699</v>
      </c>
      <c r="J189" s="6" t="s">
        <v>55</v>
      </c>
    </row>
    <row r="190" spans="1:10" x14ac:dyDescent="0.25">
      <c r="A190" s="6" t="s">
        <v>138</v>
      </c>
      <c r="B190" s="6">
        <v>637</v>
      </c>
      <c r="C190" s="6" t="s">
        <v>905</v>
      </c>
      <c r="D190" s="6" t="s">
        <v>701</v>
      </c>
      <c r="E190" s="6" t="s">
        <v>906</v>
      </c>
      <c r="F190" s="6" t="s">
        <v>35</v>
      </c>
      <c r="G190" s="4">
        <v>0.72</v>
      </c>
      <c r="I190" s="6" t="s">
        <v>699</v>
      </c>
      <c r="J190" s="6" t="s">
        <v>55</v>
      </c>
    </row>
    <row r="191" spans="1:10" x14ac:dyDescent="0.25">
      <c r="A191" s="6" t="s">
        <v>146</v>
      </c>
      <c r="B191" s="6">
        <v>639</v>
      </c>
      <c r="C191" s="6" t="s">
        <v>909</v>
      </c>
      <c r="D191" s="6" t="s">
        <v>908</v>
      </c>
      <c r="E191" s="6" t="s">
        <v>98</v>
      </c>
      <c r="F191" s="6" t="s">
        <v>35</v>
      </c>
      <c r="G191" s="4">
        <v>0.15</v>
      </c>
      <c r="I191" s="6" t="s">
        <v>699</v>
      </c>
      <c r="J191" s="6" t="s">
        <v>55</v>
      </c>
    </row>
    <row r="192" spans="1:10" x14ac:dyDescent="0.25">
      <c r="A192" s="6" t="s">
        <v>146</v>
      </c>
      <c r="B192" s="6">
        <v>640</v>
      </c>
      <c r="C192" s="6" t="s">
        <v>910</v>
      </c>
      <c r="D192" s="6" t="s">
        <v>908</v>
      </c>
      <c r="E192" s="6" t="s">
        <v>102</v>
      </c>
      <c r="F192" s="6" t="s">
        <v>35</v>
      </c>
      <c r="G192" s="4">
        <v>0</v>
      </c>
      <c r="I192" s="6" t="s">
        <v>699</v>
      </c>
      <c r="J192" s="6" t="s">
        <v>55</v>
      </c>
    </row>
    <row r="193" spans="1:10" x14ac:dyDescent="0.25">
      <c r="A193" s="6" t="s">
        <v>146</v>
      </c>
      <c r="B193" s="6">
        <v>641</v>
      </c>
      <c r="C193" s="6" t="s">
        <v>911</v>
      </c>
      <c r="D193" s="6" t="s">
        <v>908</v>
      </c>
      <c r="E193" s="6" t="s">
        <v>108</v>
      </c>
      <c r="F193" s="6" t="s">
        <v>35</v>
      </c>
      <c r="G193" s="4">
        <v>0</v>
      </c>
      <c r="I193" s="6" t="s">
        <v>699</v>
      </c>
      <c r="J193" s="6" t="s">
        <v>55</v>
      </c>
    </row>
    <row r="194" spans="1:10" x14ac:dyDescent="0.25">
      <c r="A194" s="6" t="s">
        <v>138</v>
      </c>
      <c r="B194" s="6">
        <v>642</v>
      </c>
      <c r="C194" s="6" t="s">
        <v>912</v>
      </c>
      <c r="D194" s="6" t="s">
        <v>701</v>
      </c>
      <c r="E194" s="6" t="s">
        <v>913</v>
      </c>
      <c r="F194" s="6" t="s">
        <v>35</v>
      </c>
      <c r="G194" s="4">
        <v>0.72</v>
      </c>
      <c r="I194" s="6" t="s">
        <v>699</v>
      </c>
      <c r="J194" s="6" t="s">
        <v>55</v>
      </c>
    </row>
    <row r="195" spans="1:10" x14ac:dyDescent="0.25">
      <c r="A195" s="6" t="s">
        <v>146</v>
      </c>
      <c r="B195" s="6">
        <v>644</v>
      </c>
      <c r="C195" s="6" t="s">
        <v>916</v>
      </c>
      <c r="D195" s="6" t="s">
        <v>915</v>
      </c>
      <c r="E195" s="6" t="s">
        <v>98</v>
      </c>
      <c r="F195" s="6" t="s">
        <v>35</v>
      </c>
      <c r="G195" s="4">
        <v>0.15</v>
      </c>
      <c r="I195" s="6" t="s">
        <v>699</v>
      </c>
      <c r="J195" s="6" t="s">
        <v>55</v>
      </c>
    </row>
    <row r="196" spans="1:10" x14ac:dyDescent="0.25">
      <c r="A196" s="6" t="s">
        <v>146</v>
      </c>
      <c r="B196" s="6">
        <v>645</v>
      </c>
      <c r="C196" s="6" t="s">
        <v>917</v>
      </c>
      <c r="D196" s="6" t="s">
        <v>915</v>
      </c>
      <c r="E196" s="6" t="s">
        <v>102</v>
      </c>
      <c r="F196" s="6" t="s">
        <v>35</v>
      </c>
      <c r="G196" s="4">
        <v>0</v>
      </c>
      <c r="I196" s="6" t="s">
        <v>699</v>
      </c>
      <c r="J196" s="6" t="s">
        <v>55</v>
      </c>
    </row>
    <row r="197" spans="1:10" x14ac:dyDescent="0.25">
      <c r="A197" s="6" t="s">
        <v>146</v>
      </c>
      <c r="B197" s="6">
        <v>646</v>
      </c>
      <c r="C197" s="6" t="s">
        <v>918</v>
      </c>
      <c r="D197" s="6" t="s">
        <v>915</v>
      </c>
      <c r="E197" s="6" t="s">
        <v>108</v>
      </c>
      <c r="F197" s="6" t="s">
        <v>35</v>
      </c>
      <c r="G197" s="4">
        <v>0</v>
      </c>
      <c r="I197" s="6" t="s">
        <v>699</v>
      </c>
      <c r="J197" s="6" t="s">
        <v>55</v>
      </c>
    </row>
    <row r="198" spans="1:10" x14ac:dyDescent="0.25">
      <c r="A198" s="6" t="s">
        <v>138</v>
      </c>
      <c r="B198" s="6">
        <v>647</v>
      </c>
      <c r="C198" s="6" t="s">
        <v>919</v>
      </c>
      <c r="D198" s="6" t="s">
        <v>701</v>
      </c>
      <c r="E198" s="6" t="s">
        <v>920</v>
      </c>
      <c r="F198" s="6" t="s">
        <v>35</v>
      </c>
      <c r="G198" s="4">
        <v>0.72</v>
      </c>
      <c r="I198" s="6" t="s">
        <v>699</v>
      </c>
      <c r="J198" s="6" t="s">
        <v>55</v>
      </c>
    </row>
    <row r="199" spans="1:10" x14ac:dyDescent="0.25">
      <c r="A199" s="6" t="s">
        <v>146</v>
      </c>
      <c r="B199" s="6">
        <v>649</v>
      </c>
      <c r="C199" s="6" t="s">
        <v>923</v>
      </c>
      <c r="D199" s="6" t="s">
        <v>922</v>
      </c>
      <c r="E199" s="6" t="s">
        <v>98</v>
      </c>
      <c r="F199" s="6" t="s">
        <v>35</v>
      </c>
      <c r="G199" s="4">
        <v>0.15</v>
      </c>
      <c r="I199" s="6" t="s">
        <v>699</v>
      </c>
      <c r="J199" s="6" t="s">
        <v>55</v>
      </c>
    </row>
    <row r="200" spans="1:10" x14ac:dyDescent="0.25">
      <c r="A200" s="6" t="s">
        <v>146</v>
      </c>
      <c r="B200" s="6">
        <v>650</v>
      </c>
      <c r="C200" s="6" t="s">
        <v>924</v>
      </c>
      <c r="D200" s="6" t="s">
        <v>922</v>
      </c>
      <c r="E200" s="6" t="s">
        <v>102</v>
      </c>
      <c r="F200" s="6" t="s">
        <v>35</v>
      </c>
      <c r="G200" s="4">
        <v>0</v>
      </c>
      <c r="I200" s="6" t="s">
        <v>699</v>
      </c>
      <c r="J200" s="6" t="s">
        <v>55</v>
      </c>
    </row>
    <row r="201" spans="1:10" x14ac:dyDescent="0.25">
      <c r="A201" s="6" t="s">
        <v>146</v>
      </c>
      <c r="B201" s="6">
        <v>651</v>
      </c>
      <c r="C201" s="6" t="s">
        <v>925</v>
      </c>
      <c r="D201" s="6" t="s">
        <v>922</v>
      </c>
      <c r="E201" s="6" t="s">
        <v>108</v>
      </c>
      <c r="F201" s="6" t="s">
        <v>35</v>
      </c>
      <c r="G201" s="4">
        <v>0</v>
      </c>
      <c r="I201" s="6" t="s">
        <v>699</v>
      </c>
      <c r="J201" s="6" t="s">
        <v>55</v>
      </c>
    </row>
    <row r="202" spans="1:10" x14ac:dyDescent="0.25">
      <c r="A202" s="6" t="s">
        <v>138</v>
      </c>
      <c r="B202" s="6">
        <v>652</v>
      </c>
      <c r="C202" s="6" t="s">
        <v>926</v>
      </c>
      <c r="D202" s="6" t="s">
        <v>701</v>
      </c>
      <c r="E202" s="6" t="s">
        <v>927</v>
      </c>
      <c r="F202" s="6" t="s">
        <v>35</v>
      </c>
      <c r="G202" s="4">
        <v>0.72</v>
      </c>
      <c r="I202" s="6" t="s">
        <v>699</v>
      </c>
      <c r="J202" s="6" t="s">
        <v>55</v>
      </c>
    </row>
    <row r="203" spans="1:10" x14ac:dyDescent="0.25">
      <c r="A203" s="6" t="s">
        <v>146</v>
      </c>
      <c r="B203" s="6">
        <v>654</v>
      </c>
      <c r="C203" s="6" t="s">
        <v>930</v>
      </c>
      <c r="D203" s="6" t="s">
        <v>929</v>
      </c>
      <c r="E203" s="6" t="s">
        <v>98</v>
      </c>
      <c r="F203" s="6" t="s">
        <v>35</v>
      </c>
      <c r="G203" s="4">
        <v>0.15</v>
      </c>
      <c r="I203" s="6" t="s">
        <v>699</v>
      </c>
      <c r="J203" s="6" t="s">
        <v>55</v>
      </c>
    </row>
    <row r="204" spans="1:10" x14ac:dyDescent="0.25">
      <c r="A204" s="6" t="s">
        <v>146</v>
      </c>
      <c r="B204" s="6">
        <v>655</v>
      </c>
      <c r="C204" s="6" t="s">
        <v>931</v>
      </c>
      <c r="D204" s="6" t="s">
        <v>929</v>
      </c>
      <c r="E204" s="6" t="s">
        <v>102</v>
      </c>
      <c r="F204" s="6" t="s">
        <v>35</v>
      </c>
      <c r="G204" s="4">
        <v>0</v>
      </c>
      <c r="I204" s="6" t="s">
        <v>699</v>
      </c>
      <c r="J204" s="6" t="s">
        <v>55</v>
      </c>
    </row>
    <row r="205" spans="1:10" x14ac:dyDescent="0.25">
      <c r="A205" s="6" t="s">
        <v>146</v>
      </c>
      <c r="B205" s="6">
        <v>656</v>
      </c>
      <c r="C205" s="6" t="s">
        <v>932</v>
      </c>
      <c r="D205" s="6" t="s">
        <v>929</v>
      </c>
      <c r="E205" s="6" t="s">
        <v>108</v>
      </c>
      <c r="F205" s="6" t="s">
        <v>35</v>
      </c>
      <c r="G205" s="4">
        <v>0</v>
      </c>
      <c r="I205" s="6" t="s">
        <v>699</v>
      </c>
      <c r="J205" s="6" t="s">
        <v>55</v>
      </c>
    </row>
    <row r="206" spans="1:10" x14ac:dyDescent="0.25">
      <c r="A206" s="6" t="s">
        <v>138</v>
      </c>
      <c r="B206" s="6">
        <v>657</v>
      </c>
      <c r="C206" s="6" t="s">
        <v>933</v>
      </c>
      <c r="D206" s="6" t="s">
        <v>701</v>
      </c>
      <c r="E206" s="6" t="s">
        <v>934</v>
      </c>
      <c r="F206" s="6" t="s">
        <v>35</v>
      </c>
      <c r="G206" s="4">
        <v>0.72</v>
      </c>
      <c r="I206" s="6" t="s">
        <v>699</v>
      </c>
      <c r="J206" s="6" t="s">
        <v>55</v>
      </c>
    </row>
    <row r="207" spans="1:10" x14ac:dyDescent="0.25">
      <c r="A207" s="6" t="s">
        <v>146</v>
      </c>
      <c r="B207" s="6">
        <v>659</v>
      </c>
      <c r="C207" s="6" t="s">
        <v>937</v>
      </c>
      <c r="D207" s="6" t="s">
        <v>936</v>
      </c>
      <c r="E207" s="6" t="s">
        <v>98</v>
      </c>
      <c r="F207" s="6" t="s">
        <v>35</v>
      </c>
      <c r="G207" s="4">
        <v>0.15</v>
      </c>
      <c r="I207" s="6" t="s">
        <v>699</v>
      </c>
      <c r="J207" s="6" t="s">
        <v>55</v>
      </c>
    </row>
    <row r="208" spans="1:10" x14ac:dyDescent="0.25">
      <c r="A208" s="6" t="s">
        <v>146</v>
      </c>
      <c r="B208" s="6">
        <v>660</v>
      </c>
      <c r="C208" s="6" t="s">
        <v>938</v>
      </c>
      <c r="D208" s="6" t="s">
        <v>936</v>
      </c>
      <c r="E208" s="6" t="s">
        <v>102</v>
      </c>
      <c r="F208" s="6" t="s">
        <v>35</v>
      </c>
      <c r="G208" s="4">
        <v>0</v>
      </c>
      <c r="I208" s="6" t="s">
        <v>699</v>
      </c>
      <c r="J208" s="6" t="s">
        <v>55</v>
      </c>
    </row>
    <row r="209" spans="1:10" x14ac:dyDescent="0.25">
      <c r="A209" s="6" t="s">
        <v>146</v>
      </c>
      <c r="B209" s="6">
        <v>661</v>
      </c>
      <c r="C209" s="6" t="s">
        <v>939</v>
      </c>
      <c r="D209" s="6" t="s">
        <v>936</v>
      </c>
      <c r="E209" s="6" t="s">
        <v>108</v>
      </c>
      <c r="F209" s="6" t="s">
        <v>35</v>
      </c>
      <c r="G209" s="4">
        <v>0</v>
      </c>
      <c r="I209" s="6" t="s">
        <v>699</v>
      </c>
      <c r="J209" s="6" t="s">
        <v>55</v>
      </c>
    </row>
    <row r="210" spans="1:10" x14ac:dyDescent="0.25">
      <c r="A210" s="6" t="s">
        <v>138</v>
      </c>
      <c r="B210" s="6">
        <v>662</v>
      </c>
      <c r="C210" s="6" t="s">
        <v>940</v>
      </c>
      <c r="D210" s="6" t="s">
        <v>701</v>
      </c>
      <c r="E210" s="6" t="s">
        <v>941</v>
      </c>
      <c r="F210" s="6" t="s">
        <v>35</v>
      </c>
      <c r="G210" s="4">
        <v>0.72</v>
      </c>
      <c r="I210" s="6" t="s">
        <v>699</v>
      </c>
      <c r="J210" s="6" t="s">
        <v>55</v>
      </c>
    </row>
    <row r="211" spans="1:10" x14ac:dyDescent="0.25">
      <c r="A211" s="6" t="s">
        <v>146</v>
      </c>
      <c r="B211" s="6">
        <v>664</v>
      </c>
      <c r="C211" s="6" t="s">
        <v>944</v>
      </c>
      <c r="D211" s="6" t="s">
        <v>943</v>
      </c>
      <c r="E211" s="6" t="s">
        <v>98</v>
      </c>
      <c r="F211" s="6" t="s">
        <v>35</v>
      </c>
      <c r="G211" s="4">
        <v>0.15</v>
      </c>
      <c r="I211" s="6" t="s">
        <v>699</v>
      </c>
      <c r="J211" s="6" t="s">
        <v>55</v>
      </c>
    </row>
    <row r="212" spans="1:10" x14ac:dyDescent="0.25">
      <c r="A212" s="6" t="s">
        <v>146</v>
      </c>
      <c r="B212" s="6">
        <v>665</v>
      </c>
      <c r="C212" s="6" t="s">
        <v>945</v>
      </c>
      <c r="D212" s="6" t="s">
        <v>943</v>
      </c>
      <c r="E212" s="6" t="s">
        <v>102</v>
      </c>
      <c r="F212" s="6" t="s">
        <v>35</v>
      </c>
      <c r="G212" s="4">
        <v>0</v>
      </c>
      <c r="I212" s="6" t="s">
        <v>699</v>
      </c>
      <c r="J212" s="6" t="s">
        <v>55</v>
      </c>
    </row>
    <row r="213" spans="1:10" x14ac:dyDescent="0.25">
      <c r="A213" s="6" t="s">
        <v>146</v>
      </c>
      <c r="B213" s="6">
        <v>666</v>
      </c>
      <c r="C213" s="6" t="s">
        <v>946</v>
      </c>
      <c r="D213" s="6" t="s">
        <v>943</v>
      </c>
      <c r="E213" s="6" t="s">
        <v>108</v>
      </c>
      <c r="F213" s="6" t="s">
        <v>35</v>
      </c>
      <c r="G213" s="4">
        <v>0</v>
      </c>
      <c r="I213" s="6" t="s">
        <v>699</v>
      </c>
      <c r="J213" s="6" t="s">
        <v>55</v>
      </c>
    </row>
    <row r="214" spans="1:10" x14ac:dyDescent="0.25">
      <c r="A214" s="6" t="s">
        <v>138</v>
      </c>
      <c r="B214" s="6">
        <v>667</v>
      </c>
      <c r="C214" s="6" t="s">
        <v>947</v>
      </c>
      <c r="D214" s="6" t="s">
        <v>701</v>
      </c>
      <c r="E214" s="6" t="s">
        <v>948</v>
      </c>
      <c r="F214" s="6" t="s">
        <v>35</v>
      </c>
      <c r="G214" s="4">
        <v>0.72</v>
      </c>
      <c r="I214" s="6" t="s">
        <v>699</v>
      </c>
      <c r="J214" s="6" t="s">
        <v>55</v>
      </c>
    </row>
    <row r="215" spans="1:10" x14ac:dyDescent="0.25">
      <c r="A215" s="6" t="s">
        <v>146</v>
      </c>
      <c r="B215" s="6">
        <v>669</v>
      </c>
      <c r="C215" s="6" t="s">
        <v>951</v>
      </c>
      <c r="D215" s="6" t="s">
        <v>950</v>
      </c>
      <c r="E215" s="6" t="s">
        <v>98</v>
      </c>
      <c r="F215" s="6" t="s">
        <v>35</v>
      </c>
      <c r="G215" s="4">
        <v>0.15</v>
      </c>
      <c r="I215" s="6" t="s">
        <v>699</v>
      </c>
      <c r="J215" s="6" t="s">
        <v>55</v>
      </c>
    </row>
    <row r="216" spans="1:10" x14ac:dyDescent="0.25">
      <c r="A216" s="6" t="s">
        <v>146</v>
      </c>
      <c r="B216" s="6">
        <v>670</v>
      </c>
      <c r="C216" s="6" t="s">
        <v>952</v>
      </c>
      <c r="D216" s="6" t="s">
        <v>950</v>
      </c>
      <c r="E216" s="6" t="s">
        <v>102</v>
      </c>
      <c r="F216" s="6" t="s">
        <v>35</v>
      </c>
      <c r="G216" s="4">
        <v>0</v>
      </c>
      <c r="I216" s="6" t="s">
        <v>699</v>
      </c>
      <c r="J216" s="6" t="s">
        <v>55</v>
      </c>
    </row>
    <row r="217" spans="1:10" x14ac:dyDescent="0.25">
      <c r="A217" s="6" t="s">
        <v>146</v>
      </c>
      <c r="B217" s="6">
        <v>671</v>
      </c>
      <c r="C217" s="6" t="s">
        <v>953</v>
      </c>
      <c r="D217" s="6" t="s">
        <v>950</v>
      </c>
      <c r="E217" s="6" t="s">
        <v>108</v>
      </c>
      <c r="F217" s="6" t="s">
        <v>35</v>
      </c>
      <c r="G217" s="4">
        <v>0</v>
      </c>
      <c r="I217" s="6" t="s">
        <v>699</v>
      </c>
      <c r="J217" s="6" t="s">
        <v>55</v>
      </c>
    </row>
    <row r="218" spans="1:10" x14ac:dyDescent="0.25">
      <c r="A218" s="6" t="s">
        <v>138</v>
      </c>
      <c r="B218" s="6">
        <v>672</v>
      </c>
      <c r="C218" s="6" t="s">
        <v>954</v>
      </c>
      <c r="D218" s="6" t="s">
        <v>701</v>
      </c>
      <c r="E218" s="6" t="s">
        <v>955</v>
      </c>
      <c r="F218" s="6" t="s">
        <v>35</v>
      </c>
      <c r="G218" s="4">
        <v>0.72</v>
      </c>
      <c r="I218" s="6" t="s">
        <v>699</v>
      </c>
      <c r="J218" s="6" t="s">
        <v>55</v>
      </c>
    </row>
    <row r="219" spans="1:10" x14ac:dyDescent="0.25">
      <c r="A219" s="6" t="s">
        <v>146</v>
      </c>
      <c r="B219" s="6">
        <v>674</v>
      </c>
      <c r="C219" s="6" t="s">
        <v>958</v>
      </c>
      <c r="D219" s="6" t="s">
        <v>957</v>
      </c>
      <c r="E219" s="6" t="s">
        <v>98</v>
      </c>
      <c r="F219" s="6" t="s">
        <v>35</v>
      </c>
      <c r="G219" s="4">
        <v>0.15</v>
      </c>
      <c r="I219" s="6" t="s">
        <v>699</v>
      </c>
      <c r="J219" s="6" t="s">
        <v>55</v>
      </c>
    </row>
    <row r="220" spans="1:10" x14ac:dyDescent="0.25">
      <c r="A220" s="6" t="s">
        <v>146</v>
      </c>
      <c r="B220" s="6">
        <v>675</v>
      </c>
      <c r="C220" s="6" t="s">
        <v>959</v>
      </c>
      <c r="D220" s="6" t="s">
        <v>957</v>
      </c>
      <c r="E220" s="6" t="s">
        <v>102</v>
      </c>
      <c r="F220" s="6" t="s">
        <v>35</v>
      </c>
      <c r="G220" s="4">
        <v>0</v>
      </c>
      <c r="I220" s="6" t="s">
        <v>699</v>
      </c>
      <c r="J220" s="6" t="s">
        <v>55</v>
      </c>
    </row>
    <row r="221" spans="1:10" x14ac:dyDescent="0.25">
      <c r="A221" s="6" t="s">
        <v>146</v>
      </c>
      <c r="B221" s="6">
        <v>676</v>
      </c>
      <c r="C221" s="6" t="s">
        <v>960</v>
      </c>
      <c r="D221" s="6" t="s">
        <v>957</v>
      </c>
      <c r="E221" s="6" t="s">
        <v>108</v>
      </c>
      <c r="F221" s="6" t="s">
        <v>35</v>
      </c>
      <c r="G221" s="4">
        <v>0</v>
      </c>
      <c r="I221" s="6" t="s">
        <v>699</v>
      </c>
      <c r="J221" s="6" t="s">
        <v>55</v>
      </c>
    </row>
    <row r="222" spans="1:10" x14ac:dyDescent="0.25">
      <c r="A222" s="6" t="s">
        <v>138</v>
      </c>
      <c r="B222" s="6">
        <v>677</v>
      </c>
      <c r="C222" s="6" t="s">
        <v>961</v>
      </c>
      <c r="D222" s="6" t="s">
        <v>701</v>
      </c>
      <c r="E222" s="6" t="s">
        <v>962</v>
      </c>
      <c r="F222" s="6" t="s">
        <v>35</v>
      </c>
      <c r="G222" s="4">
        <v>0.72</v>
      </c>
      <c r="I222" s="6" t="s">
        <v>699</v>
      </c>
      <c r="J222" s="6" t="s">
        <v>55</v>
      </c>
    </row>
    <row r="223" spans="1:10" x14ac:dyDescent="0.25">
      <c r="A223" s="6" t="s">
        <v>146</v>
      </c>
      <c r="B223" s="6">
        <v>679</v>
      </c>
      <c r="C223" s="6" t="s">
        <v>966</v>
      </c>
      <c r="D223" s="6" t="s">
        <v>965</v>
      </c>
      <c r="E223" s="6" t="s">
        <v>98</v>
      </c>
      <c r="F223" s="6" t="s">
        <v>35</v>
      </c>
      <c r="G223" s="4">
        <v>0.15</v>
      </c>
      <c r="I223" s="6" t="s">
        <v>699</v>
      </c>
      <c r="J223" s="6" t="s">
        <v>55</v>
      </c>
    </row>
    <row r="224" spans="1:10" x14ac:dyDescent="0.25">
      <c r="A224" s="6" t="s">
        <v>146</v>
      </c>
      <c r="B224" s="6">
        <v>680</v>
      </c>
      <c r="C224" s="6" t="s">
        <v>967</v>
      </c>
      <c r="D224" s="6" t="s">
        <v>965</v>
      </c>
      <c r="E224" s="6" t="s">
        <v>102</v>
      </c>
      <c r="F224" s="6" t="s">
        <v>35</v>
      </c>
      <c r="G224" s="4">
        <v>0</v>
      </c>
      <c r="I224" s="6" t="s">
        <v>699</v>
      </c>
      <c r="J224" s="6" t="s">
        <v>55</v>
      </c>
    </row>
    <row r="225" spans="1:11" x14ac:dyDescent="0.25">
      <c r="A225" s="6" t="s">
        <v>146</v>
      </c>
      <c r="B225" s="6">
        <v>681</v>
      </c>
      <c r="C225" s="6" t="s">
        <v>968</v>
      </c>
      <c r="D225" s="6" t="s">
        <v>965</v>
      </c>
      <c r="E225" s="6" t="s">
        <v>108</v>
      </c>
      <c r="F225" s="6" t="s">
        <v>35</v>
      </c>
      <c r="G225" s="4">
        <v>0</v>
      </c>
      <c r="I225" s="6" t="s">
        <v>699</v>
      </c>
      <c r="J225" s="6" t="s">
        <v>55</v>
      </c>
    </row>
    <row r="226" spans="1:11" x14ac:dyDescent="0.25">
      <c r="A226" s="6" t="s">
        <v>138</v>
      </c>
      <c r="B226" s="6">
        <v>682</v>
      </c>
      <c r="C226" s="6" t="s">
        <v>969</v>
      </c>
      <c r="D226" s="6" t="s">
        <v>701</v>
      </c>
      <c r="E226" s="6" t="s">
        <v>970</v>
      </c>
      <c r="F226" s="6" t="s">
        <v>35</v>
      </c>
      <c r="G226" s="4">
        <v>0.72</v>
      </c>
      <c r="I226" s="6" t="s">
        <v>699</v>
      </c>
      <c r="J226" s="6" t="s">
        <v>55</v>
      </c>
    </row>
    <row r="227" spans="1:11" x14ac:dyDescent="0.25">
      <c r="A227" s="6" t="s">
        <v>146</v>
      </c>
      <c r="B227" s="6">
        <v>684</v>
      </c>
      <c r="C227" s="6" t="s">
        <v>973</v>
      </c>
      <c r="D227" s="6" t="s">
        <v>972</v>
      </c>
      <c r="E227" s="6" t="s">
        <v>98</v>
      </c>
      <c r="F227" s="6" t="s">
        <v>35</v>
      </c>
      <c r="G227" s="4">
        <v>0.15</v>
      </c>
      <c r="I227" s="6" t="s">
        <v>699</v>
      </c>
      <c r="J227" s="6" t="s">
        <v>55</v>
      </c>
    </row>
    <row r="228" spans="1:11" x14ac:dyDescent="0.25">
      <c r="A228" s="6" t="s">
        <v>146</v>
      </c>
      <c r="B228" s="6">
        <v>685</v>
      </c>
      <c r="C228" s="6" t="s">
        <v>974</v>
      </c>
      <c r="D228" s="6" t="s">
        <v>972</v>
      </c>
      <c r="E228" s="6" t="s">
        <v>102</v>
      </c>
      <c r="F228" s="6" t="s">
        <v>35</v>
      </c>
      <c r="G228" s="4">
        <v>0</v>
      </c>
      <c r="I228" s="6" t="s">
        <v>699</v>
      </c>
      <c r="J228" s="6" t="s">
        <v>55</v>
      </c>
    </row>
    <row r="229" spans="1:11" x14ac:dyDescent="0.25">
      <c r="A229" s="6" t="s">
        <v>146</v>
      </c>
      <c r="B229" s="6">
        <v>686</v>
      </c>
      <c r="C229" s="6" t="s">
        <v>975</v>
      </c>
      <c r="D229" s="6" t="s">
        <v>972</v>
      </c>
      <c r="E229" s="6" t="s">
        <v>108</v>
      </c>
      <c r="F229" s="6" t="s">
        <v>35</v>
      </c>
      <c r="G229" s="4">
        <v>0</v>
      </c>
      <c r="I229" s="6" t="s">
        <v>699</v>
      </c>
      <c r="J229" s="6" t="s">
        <v>55</v>
      </c>
    </row>
    <row r="230" spans="1:11" x14ac:dyDescent="0.25">
      <c r="A230" s="6" t="s">
        <v>138</v>
      </c>
      <c r="B230" s="6">
        <v>687</v>
      </c>
      <c r="C230" s="6" t="s">
        <v>976</v>
      </c>
      <c r="D230" s="6" t="s">
        <v>701</v>
      </c>
      <c r="E230" s="6" t="s">
        <v>977</v>
      </c>
      <c r="F230" s="6" t="s">
        <v>35</v>
      </c>
      <c r="G230" s="4">
        <v>0.72</v>
      </c>
      <c r="I230" s="6" t="s">
        <v>699</v>
      </c>
      <c r="J230" s="6" t="s">
        <v>55</v>
      </c>
    </row>
    <row r="231" spans="1:11" x14ac:dyDescent="0.25">
      <c r="A231" s="6" t="s">
        <v>146</v>
      </c>
      <c r="B231" s="6">
        <v>689</v>
      </c>
      <c r="C231" s="6" t="s">
        <v>980</v>
      </c>
      <c r="D231" s="6" t="s">
        <v>979</v>
      </c>
      <c r="E231" s="6" t="s">
        <v>98</v>
      </c>
      <c r="F231" s="6" t="s">
        <v>35</v>
      </c>
      <c r="G231" s="4">
        <v>0.15</v>
      </c>
      <c r="I231" s="6" t="s">
        <v>699</v>
      </c>
      <c r="J231" s="6" t="s">
        <v>55</v>
      </c>
    </row>
    <row r="232" spans="1:11" x14ac:dyDescent="0.25">
      <c r="A232" s="6" t="s">
        <v>146</v>
      </c>
      <c r="B232" s="6">
        <v>690</v>
      </c>
      <c r="C232" s="6" t="s">
        <v>981</v>
      </c>
      <c r="D232" s="6" t="s">
        <v>979</v>
      </c>
      <c r="E232" s="6" t="s">
        <v>102</v>
      </c>
      <c r="F232" s="6" t="s">
        <v>35</v>
      </c>
      <c r="G232" s="4">
        <v>0</v>
      </c>
      <c r="I232" s="6" t="s">
        <v>699</v>
      </c>
      <c r="J232" s="6" t="s">
        <v>55</v>
      </c>
    </row>
    <row r="233" spans="1:11" x14ac:dyDescent="0.25">
      <c r="A233" s="6" t="s">
        <v>146</v>
      </c>
      <c r="B233" s="6">
        <v>691</v>
      </c>
      <c r="C233" s="6" t="s">
        <v>982</v>
      </c>
      <c r="D233" s="6" t="s">
        <v>979</v>
      </c>
      <c r="E233" s="6" t="s">
        <v>108</v>
      </c>
      <c r="F233" s="6" t="s">
        <v>35</v>
      </c>
      <c r="G233" s="4">
        <v>0</v>
      </c>
      <c r="I233" s="6" t="s">
        <v>699</v>
      </c>
      <c r="J233" s="6" t="s">
        <v>55</v>
      </c>
    </row>
    <row r="234" spans="1:11" x14ac:dyDescent="0.25">
      <c r="A234" s="6" t="s">
        <v>138</v>
      </c>
      <c r="B234" s="6">
        <v>692</v>
      </c>
      <c r="C234" s="6" t="s">
        <v>983</v>
      </c>
      <c r="D234" s="6" t="s">
        <v>701</v>
      </c>
      <c r="E234" s="6" t="s">
        <v>984</v>
      </c>
      <c r="F234" s="6" t="s">
        <v>35</v>
      </c>
      <c r="G234" s="4">
        <v>0.72</v>
      </c>
      <c r="I234" s="6" t="s">
        <v>699</v>
      </c>
      <c r="J234" s="6" t="s">
        <v>55</v>
      </c>
    </row>
    <row r="235" spans="1:11" x14ac:dyDescent="0.25">
      <c r="A235" s="6" t="s">
        <v>146</v>
      </c>
      <c r="B235" s="6">
        <v>694</v>
      </c>
      <c r="C235" s="6" t="s">
        <v>987</v>
      </c>
      <c r="D235" s="6" t="s">
        <v>986</v>
      </c>
      <c r="E235" s="6" t="s">
        <v>98</v>
      </c>
      <c r="F235" s="6" t="s">
        <v>35</v>
      </c>
      <c r="G235" s="4">
        <v>0.15</v>
      </c>
      <c r="I235" s="6" t="s">
        <v>699</v>
      </c>
      <c r="J235" s="6" t="s">
        <v>55</v>
      </c>
    </row>
    <row r="236" spans="1:11" x14ac:dyDescent="0.25">
      <c r="A236" s="6" t="s">
        <v>146</v>
      </c>
      <c r="B236" s="6">
        <v>695</v>
      </c>
      <c r="C236" s="6" t="s">
        <v>988</v>
      </c>
      <c r="D236" s="6" t="s">
        <v>986</v>
      </c>
      <c r="E236" s="6" t="s">
        <v>102</v>
      </c>
      <c r="F236" s="6" t="s">
        <v>35</v>
      </c>
      <c r="G236" s="4">
        <v>0</v>
      </c>
      <c r="I236" s="6" t="s">
        <v>699</v>
      </c>
      <c r="J236" s="6" t="s">
        <v>55</v>
      </c>
    </row>
    <row r="237" spans="1:11" x14ac:dyDescent="0.25">
      <c r="A237" s="6" t="s">
        <v>146</v>
      </c>
      <c r="B237" s="6">
        <v>696</v>
      </c>
      <c r="C237" s="6" t="s">
        <v>989</v>
      </c>
      <c r="D237" s="6" t="s">
        <v>986</v>
      </c>
      <c r="E237" s="6" t="s">
        <v>108</v>
      </c>
      <c r="F237" s="6" t="s">
        <v>35</v>
      </c>
      <c r="G237" s="4">
        <v>0</v>
      </c>
      <c r="I237" s="6" t="s">
        <v>699</v>
      </c>
      <c r="J237" s="6" t="s">
        <v>55</v>
      </c>
    </row>
    <row r="238" spans="1:11" x14ac:dyDescent="0.25">
      <c r="A238" s="6" t="s">
        <v>138</v>
      </c>
      <c r="B238" s="6">
        <v>697</v>
      </c>
      <c r="C238" s="6" t="s">
        <v>990</v>
      </c>
      <c r="D238" s="6" t="s">
        <v>701</v>
      </c>
      <c r="E238" s="6" t="s">
        <v>991</v>
      </c>
      <c r="F238" s="6" t="s">
        <v>35</v>
      </c>
      <c r="G238" s="4">
        <v>0</v>
      </c>
      <c r="I238" s="6" t="s">
        <v>699</v>
      </c>
      <c r="J238" s="6" t="s">
        <v>55</v>
      </c>
    </row>
    <row r="239" spans="1:11" x14ac:dyDescent="0.25">
      <c r="A239" s="6" t="s">
        <v>138</v>
      </c>
      <c r="B239" s="6">
        <v>698</v>
      </c>
      <c r="C239" s="6" t="s">
        <v>992</v>
      </c>
      <c r="D239" s="6" t="s">
        <v>993</v>
      </c>
      <c r="E239" s="6" t="s">
        <v>94</v>
      </c>
      <c r="F239" s="6" t="s">
        <v>35</v>
      </c>
      <c r="G239" s="4">
        <v>0.5</v>
      </c>
      <c r="I239" s="6" t="s">
        <v>699</v>
      </c>
      <c r="J239" s="6" t="s">
        <v>55</v>
      </c>
      <c r="K239" s="19">
        <v>46211</v>
      </c>
    </row>
    <row r="240" spans="1:11" x14ac:dyDescent="0.25">
      <c r="A240" s="6" t="s">
        <v>138</v>
      </c>
      <c r="B240" s="6">
        <v>702</v>
      </c>
      <c r="C240" s="6" t="s">
        <v>999</v>
      </c>
      <c r="D240" s="6" t="s">
        <v>701</v>
      </c>
      <c r="E240" s="6" t="s">
        <v>1000</v>
      </c>
      <c r="F240" s="6" t="s">
        <v>35</v>
      </c>
      <c r="G240" s="4">
        <v>0</v>
      </c>
      <c r="I240" s="6" t="s">
        <v>699</v>
      </c>
      <c r="J240" s="6" t="s">
        <v>55</v>
      </c>
    </row>
    <row r="241" spans="1:11" x14ac:dyDescent="0.25">
      <c r="A241" s="6" t="s">
        <v>138</v>
      </c>
      <c r="B241" s="6">
        <v>703</v>
      </c>
      <c r="C241" s="6" t="s">
        <v>1001</v>
      </c>
      <c r="D241" s="6" t="s">
        <v>1002</v>
      </c>
      <c r="E241" s="6" t="s">
        <v>94</v>
      </c>
      <c r="F241" s="6" t="s">
        <v>35</v>
      </c>
      <c r="G241" s="4">
        <v>1</v>
      </c>
      <c r="I241" s="6" t="s">
        <v>699</v>
      </c>
      <c r="J241" s="6" t="s">
        <v>55</v>
      </c>
    </row>
    <row r="242" spans="1:11" x14ac:dyDescent="0.25">
      <c r="A242" s="6" t="s">
        <v>138</v>
      </c>
      <c r="B242" s="6">
        <v>707</v>
      </c>
      <c r="C242" s="6" t="s">
        <v>1007</v>
      </c>
      <c r="D242" s="6" t="s">
        <v>701</v>
      </c>
      <c r="E242" s="6" t="s">
        <v>1008</v>
      </c>
      <c r="F242" s="6" t="s">
        <v>131</v>
      </c>
      <c r="G242" s="4">
        <v>0.5</v>
      </c>
      <c r="I242" s="6" t="s">
        <v>699</v>
      </c>
      <c r="J242" s="6" t="s">
        <v>55</v>
      </c>
    </row>
    <row r="243" spans="1:11" x14ac:dyDescent="0.25">
      <c r="A243" s="6" t="s">
        <v>146</v>
      </c>
      <c r="B243" s="6">
        <v>709</v>
      </c>
      <c r="C243" s="6" t="s">
        <v>1012</v>
      </c>
      <c r="D243" s="6" t="s">
        <v>1010</v>
      </c>
      <c r="E243" s="6" t="s">
        <v>98</v>
      </c>
      <c r="F243" s="6" t="s">
        <v>131</v>
      </c>
      <c r="G243" s="4">
        <v>0</v>
      </c>
      <c r="I243" s="6" t="s">
        <v>699</v>
      </c>
      <c r="J243" s="6" t="s">
        <v>55</v>
      </c>
    </row>
    <row r="244" spans="1:11" x14ac:dyDescent="0.25">
      <c r="A244" s="6" t="s">
        <v>146</v>
      </c>
      <c r="B244" s="6">
        <v>712</v>
      </c>
      <c r="C244" s="6" t="s">
        <v>1015</v>
      </c>
      <c r="D244" s="6" t="s">
        <v>73</v>
      </c>
      <c r="E244" s="6" t="s">
        <v>1016</v>
      </c>
      <c r="F244" s="6" t="s">
        <v>131</v>
      </c>
      <c r="G244" s="4">
        <v>0.04</v>
      </c>
      <c r="I244" s="6" t="s">
        <v>1018</v>
      </c>
      <c r="J244" s="6" t="s">
        <v>55</v>
      </c>
    </row>
    <row r="245" spans="1:11" x14ac:dyDescent="0.25">
      <c r="A245" s="6" t="s">
        <v>146</v>
      </c>
      <c r="B245" s="6">
        <v>713</v>
      </c>
      <c r="C245" s="6" t="s">
        <v>1019</v>
      </c>
      <c r="D245" s="6" t="s">
        <v>1020</v>
      </c>
      <c r="E245" s="6" t="s">
        <v>1021</v>
      </c>
      <c r="F245" s="6" t="s">
        <v>131</v>
      </c>
      <c r="G245" s="4">
        <v>0.06</v>
      </c>
      <c r="I245" s="6" t="s">
        <v>1018</v>
      </c>
      <c r="J245" s="6" t="s">
        <v>55</v>
      </c>
    </row>
    <row r="246" spans="1:11" x14ac:dyDescent="0.25">
      <c r="A246" s="6" t="s">
        <v>146</v>
      </c>
      <c r="B246" s="6">
        <v>714</v>
      </c>
      <c r="C246" s="6" t="s">
        <v>1023</v>
      </c>
      <c r="D246" s="6" t="s">
        <v>1024</v>
      </c>
      <c r="E246" s="6" t="s">
        <v>94</v>
      </c>
      <c r="F246" s="6" t="s">
        <v>131</v>
      </c>
      <c r="G246" s="4">
        <v>0.1</v>
      </c>
      <c r="I246" s="6" t="s">
        <v>1018</v>
      </c>
      <c r="J246" s="6" t="s">
        <v>55</v>
      </c>
      <c r="K246" s="20" t="s">
        <v>1093</v>
      </c>
    </row>
    <row r="247" spans="1:11" x14ac:dyDescent="0.25">
      <c r="A247" s="6" t="s">
        <v>676</v>
      </c>
      <c r="B247" s="6">
        <v>36</v>
      </c>
      <c r="C247" s="6" t="s">
        <v>1036</v>
      </c>
      <c r="D247" s="6" t="s">
        <v>134</v>
      </c>
      <c r="E247" s="6" t="s">
        <v>1037</v>
      </c>
      <c r="F247" s="6" t="s">
        <v>144</v>
      </c>
      <c r="G247" s="4">
        <v>0</v>
      </c>
      <c r="I247" s="6" t="s">
        <v>132</v>
      </c>
      <c r="J247" s="6" t="s">
        <v>55</v>
      </c>
    </row>
    <row r="248" spans="1:11" x14ac:dyDescent="0.25">
      <c r="A248" s="6" t="s">
        <v>676</v>
      </c>
      <c r="B248" s="6">
        <v>194</v>
      </c>
      <c r="C248" s="6" t="s">
        <v>1039</v>
      </c>
      <c r="D248" s="6" t="s">
        <v>407</v>
      </c>
      <c r="E248" s="6" t="s">
        <v>1040</v>
      </c>
      <c r="F248" s="6" t="s">
        <v>144</v>
      </c>
      <c r="G248" s="4">
        <v>0</v>
      </c>
      <c r="I248" s="6" t="s">
        <v>405</v>
      </c>
      <c r="J248" s="6" t="s">
        <v>39</v>
      </c>
    </row>
    <row r="249" spans="1:11" x14ac:dyDescent="0.25">
      <c r="A249" s="6" t="s">
        <v>676</v>
      </c>
      <c r="B249" s="6">
        <v>199</v>
      </c>
      <c r="C249" s="6" t="s">
        <v>1041</v>
      </c>
      <c r="D249" s="6" t="s">
        <v>407</v>
      </c>
      <c r="E249" s="6" t="s">
        <v>1042</v>
      </c>
      <c r="F249" s="6" t="s">
        <v>144</v>
      </c>
      <c r="G249" s="4">
        <v>0</v>
      </c>
      <c r="I249" s="6" t="s">
        <v>405</v>
      </c>
      <c r="J249" s="6" t="s">
        <v>39</v>
      </c>
    </row>
    <row r="250" spans="1:11" x14ac:dyDescent="0.25">
      <c r="A250" s="6" t="s">
        <v>676</v>
      </c>
      <c r="B250" s="6">
        <v>204</v>
      </c>
      <c r="C250" s="6" t="s">
        <v>1043</v>
      </c>
      <c r="D250" s="6" t="s">
        <v>407</v>
      </c>
      <c r="E250" s="6" t="s">
        <v>1044</v>
      </c>
      <c r="F250" s="6" t="s">
        <v>144</v>
      </c>
      <c r="G250" s="4">
        <v>0</v>
      </c>
      <c r="I250" s="6" t="s">
        <v>405</v>
      </c>
      <c r="J250" s="6" t="s">
        <v>55</v>
      </c>
    </row>
    <row r="251" spans="1:11" x14ac:dyDescent="0.25">
      <c r="A251" s="6" t="s">
        <v>676</v>
      </c>
      <c r="B251" s="6">
        <v>214</v>
      </c>
      <c r="C251" s="6" t="s">
        <v>1045</v>
      </c>
      <c r="D251" s="6" t="s">
        <v>407</v>
      </c>
      <c r="E251" s="6" t="s">
        <v>1046</v>
      </c>
      <c r="F251" s="6" t="s">
        <v>144</v>
      </c>
      <c r="G251" s="4">
        <v>0</v>
      </c>
      <c r="I251" s="6" t="s">
        <v>405</v>
      </c>
      <c r="J251" s="6" t="s">
        <v>39</v>
      </c>
    </row>
    <row r="252" spans="1:11" x14ac:dyDescent="0.25">
      <c r="A252" s="6" t="s">
        <v>676</v>
      </c>
      <c r="B252" s="6">
        <v>224</v>
      </c>
      <c r="C252" s="6" t="s">
        <v>1047</v>
      </c>
      <c r="D252" s="6" t="s">
        <v>407</v>
      </c>
      <c r="E252" s="6" t="s">
        <v>1048</v>
      </c>
      <c r="F252" s="6" t="s">
        <v>144</v>
      </c>
      <c r="G252" s="4">
        <v>0</v>
      </c>
      <c r="I252" s="6" t="s">
        <v>405</v>
      </c>
      <c r="J252" s="6" t="s">
        <v>55</v>
      </c>
    </row>
    <row r="253" spans="1:11" x14ac:dyDescent="0.25">
      <c r="A253" s="6" t="s">
        <v>676</v>
      </c>
      <c r="B253" s="6">
        <v>264</v>
      </c>
      <c r="C253" s="6" t="s">
        <v>467</v>
      </c>
      <c r="D253" s="6" t="s">
        <v>407</v>
      </c>
      <c r="E253" s="6" t="s">
        <v>1049</v>
      </c>
      <c r="F253" s="6" t="s">
        <v>144</v>
      </c>
      <c r="G253" s="4">
        <v>0</v>
      </c>
      <c r="I253" s="6" t="s">
        <v>405</v>
      </c>
      <c r="J253" s="6" t="s">
        <v>55</v>
      </c>
    </row>
    <row r="254" spans="1:11" x14ac:dyDescent="0.25">
      <c r="A254" s="6" t="s">
        <v>676</v>
      </c>
      <c r="B254" s="6">
        <v>285</v>
      </c>
      <c r="C254" s="6" t="s">
        <v>1051</v>
      </c>
      <c r="D254" s="6" t="s">
        <v>521</v>
      </c>
      <c r="E254" s="6" t="s">
        <v>1052</v>
      </c>
      <c r="F254" s="6" t="s">
        <v>144</v>
      </c>
      <c r="G254" s="4">
        <v>0</v>
      </c>
      <c r="I254" s="6" t="s">
        <v>519</v>
      </c>
      <c r="J254" s="6" t="s">
        <v>55</v>
      </c>
    </row>
    <row r="255" spans="1:11" x14ac:dyDescent="0.25">
      <c r="A255" s="6" t="s">
        <v>676</v>
      </c>
      <c r="B255" s="6">
        <v>356</v>
      </c>
      <c r="C255" s="6" t="s">
        <v>1053</v>
      </c>
      <c r="D255" s="6" t="s">
        <v>638</v>
      </c>
      <c r="E255" s="6" t="s">
        <v>1054</v>
      </c>
      <c r="F255" s="6" t="s">
        <v>144</v>
      </c>
      <c r="G255" s="4">
        <v>0</v>
      </c>
      <c r="I255" s="6" t="s">
        <v>636</v>
      </c>
      <c r="J255" s="6" t="s">
        <v>55</v>
      </c>
    </row>
    <row r="256" spans="1:11" x14ac:dyDescent="0.25">
      <c r="A256" s="6" t="s">
        <v>676</v>
      </c>
      <c r="B256" s="6">
        <v>366</v>
      </c>
      <c r="C256" s="6" t="s">
        <v>1056</v>
      </c>
      <c r="D256" s="6" t="s">
        <v>638</v>
      </c>
      <c r="E256" s="6" t="s">
        <v>1057</v>
      </c>
      <c r="F256" s="6" t="s">
        <v>144</v>
      </c>
      <c r="G256" s="4">
        <v>0</v>
      </c>
      <c r="I256" s="6" t="s">
        <v>636</v>
      </c>
      <c r="J256" s="6" t="s">
        <v>55</v>
      </c>
    </row>
    <row r="257" spans="1:10" x14ac:dyDescent="0.25">
      <c r="A257" s="6" t="s">
        <v>676</v>
      </c>
      <c r="B257" s="6">
        <v>376</v>
      </c>
      <c r="C257" s="6" t="s">
        <v>1058</v>
      </c>
      <c r="D257" s="6" t="s">
        <v>638</v>
      </c>
      <c r="E257" s="6" t="s">
        <v>1059</v>
      </c>
      <c r="F257" s="6" t="s">
        <v>144</v>
      </c>
      <c r="G257" s="4">
        <v>0</v>
      </c>
      <c r="I257" s="6" t="s">
        <v>636</v>
      </c>
      <c r="J257" s="6" t="s">
        <v>55</v>
      </c>
    </row>
    <row r="258" spans="1:10" x14ac:dyDescent="0.25">
      <c r="A258" s="6" t="s">
        <v>676</v>
      </c>
      <c r="B258" s="6">
        <v>381</v>
      </c>
      <c r="C258" s="6" t="s">
        <v>1060</v>
      </c>
      <c r="D258" s="6" t="s">
        <v>638</v>
      </c>
      <c r="E258" s="6" t="s">
        <v>1061</v>
      </c>
      <c r="F258" s="6" t="s">
        <v>144</v>
      </c>
      <c r="G258" s="4">
        <v>0</v>
      </c>
      <c r="I258" s="6" t="s">
        <v>636</v>
      </c>
      <c r="J258" s="6" t="s">
        <v>55</v>
      </c>
    </row>
    <row r="259" spans="1:10" x14ac:dyDescent="0.25">
      <c r="A259" s="6" t="s">
        <v>676</v>
      </c>
      <c r="B259" s="6">
        <v>401</v>
      </c>
      <c r="C259" s="6" t="s">
        <v>1062</v>
      </c>
      <c r="D259" s="6" t="s">
        <v>638</v>
      </c>
      <c r="E259" s="6" t="s">
        <v>1063</v>
      </c>
      <c r="F259" s="6" t="s">
        <v>144</v>
      </c>
      <c r="G259" s="4">
        <v>0</v>
      </c>
      <c r="I259" s="6" t="s">
        <v>636</v>
      </c>
      <c r="J259" s="6" t="s">
        <v>55</v>
      </c>
    </row>
    <row r="260" spans="1:10" x14ac:dyDescent="0.25">
      <c r="A260" s="6" t="s">
        <v>676</v>
      </c>
      <c r="B260" s="6">
        <v>411</v>
      </c>
      <c r="C260" s="6" t="s">
        <v>1064</v>
      </c>
      <c r="D260" s="6" t="s">
        <v>638</v>
      </c>
      <c r="E260" s="6" t="s">
        <v>1065</v>
      </c>
      <c r="F260" s="6" t="s">
        <v>144</v>
      </c>
      <c r="G260" s="4">
        <v>0</v>
      </c>
      <c r="I260" s="6" t="s">
        <v>636</v>
      </c>
      <c r="J260" s="6" t="s">
        <v>55</v>
      </c>
    </row>
    <row r="261" spans="1:10" x14ac:dyDescent="0.25">
      <c r="A261" s="6" t="s">
        <v>676</v>
      </c>
      <c r="B261" s="6">
        <v>432</v>
      </c>
      <c r="C261" s="6" t="s">
        <v>717</v>
      </c>
      <c r="D261" s="6" t="s">
        <v>701</v>
      </c>
      <c r="E261" s="6" t="s">
        <v>1066</v>
      </c>
      <c r="F261" s="6" t="s">
        <v>144</v>
      </c>
      <c r="G261" s="4">
        <v>0</v>
      </c>
      <c r="I261" s="6" t="s">
        <v>699</v>
      </c>
      <c r="J261" s="6" t="s">
        <v>55</v>
      </c>
    </row>
    <row r="262" spans="1:10" x14ac:dyDescent="0.25">
      <c r="A262" s="6" t="s">
        <v>676</v>
      </c>
      <c r="B262" s="6">
        <v>437</v>
      </c>
      <c r="C262" s="6" t="s">
        <v>1067</v>
      </c>
      <c r="D262" s="6" t="s">
        <v>701</v>
      </c>
      <c r="E262" s="6" t="s">
        <v>1068</v>
      </c>
      <c r="F262" s="6" t="s">
        <v>144</v>
      </c>
      <c r="G262" s="4">
        <v>0</v>
      </c>
      <c r="I262" s="6" t="s">
        <v>699</v>
      </c>
      <c r="J262" s="6" t="s">
        <v>55</v>
      </c>
    </row>
    <row r="263" spans="1:10" x14ac:dyDescent="0.25">
      <c r="A263" s="6" t="s">
        <v>676</v>
      </c>
      <c r="B263" s="6">
        <v>487</v>
      </c>
      <c r="C263" s="6" t="s">
        <v>786</v>
      </c>
      <c r="D263" s="6" t="s">
        <v>701</v>
      </c>
      <c r="E263" s="6" t="s">
        <v>1069</v>
      </c>
      <c r="F263" s="6" t="s">
        <v>144</v>
      </c>
      <c r="G263" s="4">
        <v>0</v>
      </c>
      <c r="I263" s="6" t="s">
        <v>699</v>
      </c>
      <c r="J263" s="6" t="s">
        <v>55</v>
      </c>
    </row>
    <row r="264" spans="1:10" x14ac:dyDescent="0.25">
      <c r="A264" s="6" t="s">
        <v>676</v>
      </c>
      <c r="B264" s="6">
        <v>492</v>
      </c>
      <c r="C264" s="6" t="s">
        <v>1070</v>
      </c>
      <c r="D264" s="6" t="s">
        <v>701</v>
      </c>
      <c r="E264" s="6" t="s">
        <v>1071</v>
      </c>
      <c r="F264" s="6" t="s">
        <v>144</v>
      </c>
      <c r="G264" s="4">
        <v>0</v>
      </c>
      <c r="I264" s="6" t="s">
        <v>699</v>
      </c>
      <c r="J264" s="6" t="s">
        <v>55</v>
      </c>
    </row>
    <row r="266" spans="1:10" x14ac:dyDescent="0.25">
      <c r="G266" s="4">
        <v>1</v>
      </c>
    </row>
  </sheetData>
  <conditionalFormatting sqref="G1:G1048576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{3EB338F1-4333-4C65-999F-3D6C7D7357EA}</x14:id>
        </ext>
      </extLst>
    </cfRule>
  </conditionalFormatting>
  <pageMargins left="0.75" right="0.75" top="1" bottom="1" header="0.5" footer="0.5"/>
  <headerFooter>
    <oddFooter>&amp;C_x000D_&amp;1#&amp;"Aptos"&amp;11&amp;K000000 BV_C2_Internal</oddFooter>
  </headerFooter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EB338F1-4333-4C65-999F-3D6C7D7357EA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G1:G1048576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62"/>
  <sheetViews>
    <sheetView workbookViewId="0">
      <selection activeCell="D33" sqref="D33"/>
    </sheetView>
  </sheetViews>
  <sheetFormatPr defaultRowHeight="15" x14ac:dyDescent="0.25"/>
  <cols>
    <col min="1" max="1" width="14.5703125" style="5" bestFit="1" customWidth="1"/>
    <col min="2" max="2" width="7.28515625" style="5" bestFit="1" customWidth="1"/>
    <col min="3" max="3" width="10.28515625" style="5" bestFit="1" customWidth="1"/>
    <col min="4" max="4" width="30.42578125" style="5" bestFit="1" customWidth="1"/>
    <col min="5" max="5" width="27.28515625" style="5" bestFit="1" customWidth="1"/>
    <col min="6" max="6" width="12.42578125" style="5" bestFit="1" customWidth="1"/>
    <col min="7" max="7" width="16" style="3" bestFit="1" customWidth="1"/>
    <col min="8" max="8" width="23.5703125" style="5" bestFit="1" customWidth="1"/>
    <col min="9" max="9" width="32.140625" style="5" bestFit="1" customWidth="1"/>
    <col min="10" max="10" width="11.140625" style="5" bestFit="1" customWidth="1"/>
    <col min="11" max="11" width="12.7109375" style="5" bestFit="1" customWidth="1"/>
    <col min="12" max="16384" width="9.140625" style="5"/>
  </cols>
  <sheetData>
    <row r="1" spans="1:11" x14ac:dyDescent="0.25">
      <c r="A1" s="5" t="s">
        <v>16</v>
      </c>
      <c r="B1" s="5" t="s">
        <v>0</v>
      </c>
      <c r="C1" s="5" t="s">
        <v>1</v>
      </c>
      <c r="D1" s="5" t="s">
        <v>2</v>
      </c>
      <c r="E1" s="5" t="s">
        <v>3</v>
      </c>
      <c r="F1" s="5" t="s">
        <v>11</v>
      </c>
      <c r="G1" s="3" t="s">
        <v>7</v>
      </c>
      <c r="H1" s="5" t="s">
        <v>14</v>
      </c>
      <c r="I1" s="5" t="s">
        <v>15</v>
      </c>
      <c r="J1" s="5" t="s">
        <v>17</v>
      </c>
      <c r="K1" s="5" t="s">
        <v>1092</v>
      </c>
    </row>
    <row r="2" spans="1:11" hidden="1" x14ac:dyDescent="0.25">
      <c r="A2" s="5" t="s">
        <v>146</v>
      </c>
      <c r="B2" s="5">
        <v>33</v>
      </c>
      <c r="C2" s="5" t="s">
        <v>143</v>
      </c>
      <c r="D2" s="5" t="s">
        <v>140</v>
      </c>
      <c r="E2" s="5" t="s">
        <v>98</v>
      </c>
      <c r="F2" s="5" t="s">
        <v>144</v>
      </c>
      <c r="G2" s="5">
        <v>0</v>
      </c>
      <c r="I2" s="5" t="s">
        <v>132</v>
      </c>
      <c r="J2" s="5" t="s">
        <v>55</v>
      </c>
    </row>
    <row r="3" spans="1:11" hidden="1" x14ac:dyDescent="0.25">
      <c r="A3" s="5" t="s">
        <v>146</v>
      </c>
      <c r="B3" s="5">
        <v>34</v>
      </c>
      <c r="C3" s="5" t="s">
        <v>147</v>
      </c>
      <c r="D3" s="5" t="s">
        <v>140</v>
      </c>
      <c r="E3" s="5" t="s">
        <v>102</v>
      </c>
      <c r="F3" s="5" t="s">
        <v>144</v>
      </c>
      <c r="G3" s="5">
        <v>0</v>
      </c>
      <c r="I3" s="5" t="s">
        <v>132</v>
      </c>
      <c r="J3" s="5" t="s">
        <v>55</v>
      </c>
    </row>
    <row r="4" spans="1:11" hidden="1" x14ac:dyDescent="0.25">
      <c r="A4" s="5" t="s">
        <v>151</v>
      </c>
      <c r="B4" s="5">
        <v>137</v>
      </c>
      <c r="C4" s="5" t="s">
        <v>295</v>
      </c>
      <c r="D4" s="5" t="s">
        <v>289</v>
      </c>
      <c r="E4" s="5" t="s">
        <v>108</v>
      </c>
      <c r="F4" s="5" t="s">
        <v>144</v>
      </c>
      <c r="G4" s="5">
        <v>0</v>
      </c>
      <c r="I4" s="5" t="s">
        <v>197</v>
      </c>
      <c r="J4" s="5" t="s">
        <v>55</v>
      </c>
    </row>
    <row r="5" spans="1:11" hidden="1" x14ac:dyDescent="0.25">
      <c r="A5" s="5" t="s">
        <v>151</v>
      </c>
      <c r="B5" s="5">
        <v>142</v>
      </c>
      <c r="C5" s="5" t="s">
        <v>303</v>
      </c>
      <c r="D5" s="5" t="s">
        <v>300</v>
      </c>
      <c r="E5" s="5" t="s">
        <v>108</v>
      </c>
      <c r="F5" s="5" t="s">
        <v>144</v>
      </c>
      <c r="G5" s="5">
        <v>0</v>
      </c>
      <c r="I5" s="5" t="s">
        <v>197</v>
      </c>
      <c r="J5" s="5" t="s">
        <v>55</v>
      </c>
    </row>
    <row r="6" spans="1:11" hidden="1" x14ac:dyDescent="0.25">
      <c r="A6" s="5" t="s">
        <v>151</v>
      </c>
      <c r="B6" s="5">
        <v>147</v>
      </c>
      <c r="C6" s="5" t="s">
        <v>310</v>
      </c>
      <c r="D6" s="5" t="s">
        <v>307</v>
      </c>
      <c r="E6" s="5" t="s">
        <v>108</v>
      </c>
      <c r="F6" s="5" t="s">
        <v>144</v>
      </c>
      <c r="G6" s="5">
        <v>0</v>
      </c>
      <c r="I6" s="5" t="s">
        <v>197</v>
      </c>
      <c r="J6" s="5" t="s">
        <v>55</v>
      </c>
    </row>
    <row r="7" spans="1:11" hidden="1" x14ac:dyDescent="0.25">
      <c r="A7" s="5" t="s">
        <v>151</v>
      </c>
      <c r="B7" s="5">
        <v>152</v>
      </c>
      <c r="C7" s="5" t="s">
        <v>317</v>
      </c>
      <c r="D7" s="5" t="s">
        <v>314</v>
      </c>
      <c r="E7" s="5" t="s">
        <v>108</v>
      </c>
      <c r="F7" s="5" t="s">
        <v>144</v>
      </c>
      <c r="G7" s="5">
        <v>0</v>
      </c>
      <c r="I7" s="5" t="s">
        <v>197</v>
      </c>
      <c r="J7" s="5" t="s">
        <v>55</v>
      </c>
    </row>
    <row r="8" spans="1:11" hidden="1" x14ac:dyDescent="0.25">
      <c r="A8" s="5" t="s">
        <v>151</v>
      </c>
      <c r="B8" s="5">
        <v>157</v>
      </c>
      <c r="C8" s="5" t="s">
        <v>325</v>
      </c>
      <c r="D8" s="5" t="s">
        <v>322</v>
      </c>
      <c r="E8" s="5" t="s">
        <v>108</v>
      </c>
      <c r="F8" s="5" t="s">
        <v>144</v>
      </c>
      <c r="G8" s="5">
        <v>0</v>
      </c>
      <c r="I8" s="5" t="s">
        <v>197</v>
      </c>
      <c r="J8" s="5" t="s">
        <v>55</v>
      </c>
    </row>
    <row r="9" spans="1:11" hidden="1" x14ac:dyDescent="0.25">
      <c r="A9" s="5" t="s">
        <v>151</v>
      </c>
      <c r="B9" s="5">
        <v>162</v>
      </c>
      <c r="C9" s="5" t="s">
        <v>332</v>
      </c>
      <c r="D9" s="5" t="s">
        <v>329</v>
      </c>
      <c r="E9" s="5" t="s">
        <v>108</v>
      </c>
      <c r="F9" s="5" t="s">
        <v>144</v>
      </c>
      <c r="G9" s="5">
        <v>0</v>
      </c>
      <c r="I9" s="5" t="s">
        <v>197</v>
      </c>
      <c r="J9" s="5" t="s">
        <v>55</v>
      </c>
    </row>
    <row r="10" spans="1:11" hidden="1" x14ac:dyDescent="0.25">
      <c r="A10" s="5" t="s">
        <v>151</v>
      </c>
      <c r="B10" s="5">
        <v>217</v>
      </c>
      <c r="C10" s="5" t="s">
        <v>414</v>
      </c>
      <c r="D10" s="5" t="s">
        <v>410</v>
      </c>
      <c r="E10" s="5" t="s">
        <v>102</v>
      </c>
      <c r="F10" s="5" t="s">
        <v>144</v>
      </c>
      <c r="G10" s="5">
        <v>0</v>
      </c>
      <c r="I10" s="5" t="s">
        <v>405</v>
      </c>
      <c r="J10" s="5" t="s">
        <v>55</v>
      </c>
    </row>
    <row r="11" spans="1:11" hidden="1" x14ac:dyDescent="0.25">
      <c r="A11" s="5" t="s">
        <v>151</v>
      </c>
      <c r="B11" s="5">
        <v>218</v>
      </c>
      <c r="C11" s="5" t="s">
        <v>415</v>
      </c>
      <c r="D11" s="5" t="s">
        <v>410</v>
      </c>
      <c r="E11" s="5" t="s">
        <v>108</v>
      </c>
      <c r="F11" s="5" t="s">
        <v>144</v>
      </c>
      <c r="G11" s="5">
        <v>0</v>
      </c>
      <c r="I11" s="5" t="s">
        <v>405</v>
      </c>
      <c r="J11" s="5" t="s">
        <v>55</v>
      </c>
    </row>
    <row r="12" spans="1:11" hidden="1" x14ac:dyDescent="0.25">
      <c r="A12" s="5" t="s">
        <v>151</v>
      </c>
      <c r="B12" s="5">
        <v>234</v>
      </c>
      <c r="C12" s="5" t="s">
        <v>416</v>
      </c>
      <c r="D12" s="5" t="s">
        <v>407</v>
      </c>
      <c r="E12" s="5" t="s">
        <v>417</v>
      </c>
      <c r="F12" s="5" t="s">
        <v>144</v>
      </c>
      <c r="G12" s="5">
        <v>0</v>
      </c>
      <c r="I12" s="5" t="s">
        <v>405</v>
      </c>
      <c r="J12" s="5" t="s">
        <v>55</v>
      </c>
    </row>
    <row r="13" spans="1:11" x14ac:dyDescent="0.25">
      <c r="A13" s="5" t="s">
        <v>151</v>
      </c>
      <c r="B13" s="5">
        <v>235</v>
      </c>
      <c r="C13" s="5" t="s">
        <v>419</v>
      </c>
      <c r="D13" s="5" t="s">
        <v>420</v>
      </c>
      <c r="E13" s="5" t="s">
        <v>94</v>
      </c>
      <c r="F13" s="5" t="s">
        <v>144</v>
      </c>
      <c r="G13" s="3">
        <v>0</v>
      </c>
      <c r="I13" s="5" t="s">
        <v>405</v>
      </c>
      <c r="J13" s="5" t="s">
        <v>55</v>
      </c>
    </row>
    <row r="14" spans="1:11" hidden="1" x14ac:dyDescent="0.25">
      <c r="A14" s="5" t="s">
        <v>151</v>
      </c>
      <c r="B14" s="5">
        <v>254</v>
      </c>
      <c r="C14" s="5" t="s">
        <v>437</v>
      </c>
      <c r="D14" s="5" t="s">
        <v>407</v>
      </c>
      <c r="E14" s="5" t="s">
        <v>438</v>
      </c>
      <c r="F14" s="5" t="s">
        <v>144</v>
      </c>
      <c r="G14" s="5">
        <v>0</v>
      </c>
      <c r="I14" s="5" t="s">
        <v>405</v>
      </c>
      <c r="J14" s="5" t="s">
        <v>55</v>
      </c>
    </row>
    <row r="15" spans="1:11" x14ac:dyDescent="0.25">
      <c r="A15" s="5" t="s">
        <v>151</v>
      </c>
      <c r="B15" s="5">
        <v>255</v>
      </c>
      <c r="C15" s="5" t="s">
        <v>440</v>
      </c>
      <c r="D15" s="5" t="s">
        <v>441</v>
      </c>
      <c r="E15" s="5" t="s">
        <v>94</v>
      </c>
      <c r="F15" s="5" t="s">
        <v>144</v>
      </c>
      <c r="G15" s="3">
        <v>0.75</v>
      </c>
      <c r="I15" s="5" t="s">
        <v>405</v>
      </c>
      <c r="J15" s="5" t="s">
        <v>55</v>
      </c>
    </row>
    <row r="16" spans="1:11" hidden="1" x14ac:dyDescent="0.25">
      <c r="A16" s="5" t="s">
        <v>151</v>
      </c>
      <c r="B16" s="5">
        <v>259</v>
      </c>
      <c r="C16" s="5" t="s">
        <v>446</v>
      </c>
      <c r="D16" s="5" t="s">
        <v>407</v>
      </c>
      <c r="E16" s="5" t="s">
        <v>447</v>
      </c>
      <c r="F16" s="5" t="s">
        <v>144</v>
      </c>
      <c r="G16" s="5">
        <v>0</v>
      </c>
      <c r="I16" s="5" t="s">
        <v>405</v>
      </c>
      <c r="J16" s="5" t="s">
        <v>55</v>
      </c>
    </row>
    <row r="17" spans="1:10" x14ac:dyDescent="0.25">
      <c r="A17" s="5" t="s">
        <v>151</v>
      </c>
      <c r="B17" s="5">
        <v>260</v>
      </c>
      <c r="C17" s="5" t="s">
        <v>448</v>
      </c>
      <c r="D17" s="5" t="s">
        <v>449</v>
      </c>
      <c r="E17" s="5" t="s">
        <v>94</v>
      </c>
      <c r="F17" s="5" t="s">
        <v>144</v>
      </c>
      <c r="G17" s="3">
        <v>0.75</v>
      </c>
      <c r="I17" s="5" t="s">
        <v>405</v>
      </c>
      <c r="J17" s="5" t="s">
        <v>55</v>
      </c>
    </row>
    <row r="18" spans="1:10" hidden="1" x14ac:dyDescent="0.25">
      <c r="A18" s="5" t="s">
        <v>151</v>
      </c>
      <c r="B18" s="5">
        <v>264</v>
      </c>
      <c r="C18" s="5" t="s">
        <v>453</v>
      </c>
      <c r="D18" s="5" t="s">
        <v>407</v>
      </c>
      <c r="E18" s="5" t="s">
        <v>454</v>
      </c>
      <c r="F18" s="5" t="s">
        <v>144</v>
      </c>
      <c r="G18" s="5">
        <v>0</v>
      </c>
      <c r="I18" s="5" t="s">
        <v>405</v>
      </c>
      <c r="J18" s="5" t="s">
        <v>55</v>
      </c>
    </row>
    <row r="19" spans="1:10" x14ac:dyDescent="0.25">
      <c r="A19" s="5" t="s">
        <v>151</v>
      </c>
      <c r="B19" s="5">
        <v>265</v>
      </c>
      <c r="C19" s="5" t="s">
        <v>455</v>
      </c>
      <c r="D19" s="5" t="s">
        <v>456</v>
      </c>
      <c r="E19" s="5" t="s">
        <v>94</v>
      </c>
      <c r="F19" s="5" t="s">
        <v>144</v>
      </c>
      <c r="G19" s="3">
        <v>0.75</v>
      </c>
      <c r="I19" s="5" t="s">
        <v>405</v>
      </c>
      <c r="J19" s="5" t="s">
        <v>55</v>
      </c>
    </row>
    <row r="20" spans="1:10" hidden="1" x14ac:dyDescent="0.25">
      <c r="A20" s="5" t="s">
        <v>151</v>
      </c>
      <c r="B20" s="5">
        <v>284</v>
      </c>
      <c r="C20" s="5" t="s">
        <v>460</v>
      </c>
      <c r="D20" s="5" t="s">
        <v>407</v>
      </c>
      <c r="E20" s="5" t="s">
        <v>461</v>
      </c>
      <c r="F20" s="5" t="s">
        <v>144</v>
      </c>
      <c r="G20" s="5">
        <v>0</v>
      </c>
      <c r="I20" s="5" t="s">
        <v>405</v>
      </c>
      <c r="J20" s="5" t="s">
        <v>55</v>
      </c>
    </row>
    <row r="21" spans="1:10" x14ac:dyDescent="0.25">
      <c r="A21" s="5" t="s">
        <v>151</v>
      </c>
      <c r="B21" s="5">
        <v>285</v>
      </c>
      <c r="C21" s="5" t="s">
        <v>462</v>
      </c>
      <c r="D21" s="5" t="s">
        <v>463</v>
      </c>
      <c r="E21" s="5" t="s">
        <v>94</v>
      </c>
      <c r="F21" s="5" t="s">
        <v>144</v>
      </c>
      <c r="G21" s="3">
        <v>0.75</v>
      </c>
      <c r="I21" s="5" t="s">
        <v>405</v>
      </c>
      <c r="J21" s="5" t="s">
        <v>55</v>
      </c>
    </row>
    <row r="22" spans="1:10" hidden="1" x14ac:dyDescent="0.25">
      <c r="A22" s="5" t="s">
        <v>151</v>
      </c>
      <c r="B22" s="5">
        <v>289</v>
      </c>
      <c r="C22" s="5" t="s">
        <v>467</v>
      </c>
      <c r="D22" s="5" t="s">
        <v>407</v>
      </c>
      <c r="E22" s="5" t="s">
        <v>468</v>
      </c>
      <c r="F22" s="5" t="s">
        <v>144</v>
      </c>
      <c r="G22" s="5">
        <v>0</v>
      </c>
      <c r="I22" s="5" t="s">
        <v>405</v>
      </c>
      <c r="J22" s="5" t="s">
        <v>55</v>
      </c>
    </row>
    <row r="23" spans="1:10" x14ac:dyDescent="0.25">
      <c r="A23" s="5" t="s">
        <v>151</v>
      </c>
      <c r="B23" s="5">
        <v>290</v>
      </c>
      <c r="C23" s="5" t="s">
        <v>469</v>
      </c>
      <c r="D23" s="5" t="s">
        <v>470</v>
      </c>
      <c r="E23" s="5" t="s">
        <v>94</v>
      </c>
      <c r="F23" s="5" t="s">
        <v>144</v>
      </c>
      <c r="G23" s="3">
        <v>0.75</v>
      </c>
      <c r="I23" s="5" t="s">
        <v>405</v>
      </c>
      <c r="J23" s="5" t="s">
        <v>55</v>
      </c>
    </row>
    <row r="24" spans="1:10" hidden="1" x14ac:dyDescent="0.25">
      <c r="A24" s="5" t="s">
        <v>151</v>
      </c>
      <c r="B24" s="5">
        <v>294</v>
      </c>
      <c r="C24" s="5" t="s">
        <v>474</v>
      </c>
      <c r="D24" s="5" t="s">
        <v>407</v>
      </c>
      <c r="E24" s="5" t="s">
        <v>475</v>
      </c>
      <c r="F24" s="5" t="s">
        <v>144</v>
      </c>
      <c r="G24" s="5">
        <v>0</v>
      </c>
      <c r="I24" s="5" t="s">
        <v>405</v>
      </c>
      <c r="J24" s="5" t="s">
        <v>55</v>
      </c>
    </row>
    <row r="25" spans="1:10" x14ac:dyDescent="0.25">
      <c r="A25" s="5" t="s">
        <v>151</v>
      </c>
      <c r="B25" s="5">
        <v>295</v>
      </c>
      <c r="C25" s="5" t="s">
        <v>476</v>
      </c>
      <c r="D25" s="5" t="s">
        <v>477</v>
      </c>
      <c r="E25" s="5" t="s">
        <v>94</v>
      </c>
      <c r="F25" s="5" t="s">
        <v>144</v>
      </c>
      <c r="G25" s="3">
        <v>0.75</v>
      </c>
      <c r="I25" s="5" t="s">
        <v>405</v>
      </c>
      <c r="J25" s="5" t="s">
        <v>55</v>
      </c>
    </row>
    <row r="26" spans="1:10" hidden="1" x14ac:dyDescent="0.25">
      <c r="A26" s="5" t="s">
        <v>151</v>
      </c>
      <c r="B26" s="5">
        <v>299</v>
      </c>
      <c r="C26" s="5" t="s">
        <v>481</v>
      </c>
      <c r="D26" s="5" t="s">
        <v>407</v>
      </c>
      <c r="E26" s="5" t="s">
        <v>482</v>
      </c>
      <c r="F26" s="5" t="s">
        <v>144</v>
      </c>
      <c r="G26" s="5">
        <v>0</v>
      </c>
      <c r="I26" s="5" t="s">
        <v>405</v>
      </c>
      <c r="J26" s="5" t="s">
        <v>55</v>
      </c>
    </row>
    <row r="27" spans="1:10" x14ac:dyDescent="0.25">
      <c r="A27" s="5" t="s">
        <v>151</v>
      </c>
      <c r="B27" s="5">
        <v>300</v>
      </c>
      <c r="C27" s="5" t="s">
        <v>483</v>
      </c>
      <c r="D27" s="5" t="s">
        <v>484</v>
      </c>
      <c r="E27" s="5" t="s">
        <v>94</v>
      </c>
      <c r="F27" s="5" t="s">
        <v>144</v>
      </c>
      <c r="G27" s="3">
        <v>0.75</v>
      </c>
      <c r="I27" s="5" t="s">
        <v>405</v>
      </c>
      <c r="J27" s="5" t="s">
        <v>55</v>
      </c>
    </row>
    <row r="28" spans="1:10" hidden="1" x14ac:dyDescent="0.25">
      <c r="A28" s="5" t="s">
        <v>151</v>
      </c>
      <c r="B28" s="5">
        <v>304</v>
      </c>
      <c r="C28" s="5" t="s">
        <v>488</v>
      </c>
      <c r="D28" s="5" t="s">
        <v>407</v>
      </c>
      <c r="E28" s="5" t="s">
        <v>489</v>
      </c>
      <c r="F28" s="5" t="s">
        <v>144</v>
      </c>
      <c r="G28" s="5">
        <v>0</v>
      </c>
      <c r="I28" s="5" t="s">
        <v>405</v>
      </c>
      <c r="J28" s="5" t="s">
        <v>55</v>
      </c>
    </row>
    <row r="29" spans="1:10" x14ac:dyDescent="0.25">
      <c r="A29" s="5" t="s">
        <v>151</v>
      </c>
      <c r="B29" s="5">
        <v>305</v>
      </c>
      <c r="C29" s="5" t="s">
        <v>490</v>
      </c>
      <c r="D29" s="5" t="s">
        <v>491</v>
      </c>
      <c r="E29" s="5" t="s">
        <v>94</v>
      </c>
      <c r="F29" s="5" t="s">
        <v>144</v>
      </c>
      <c r="G29" s="3">
        <v>0.75</v>
      </c>
      <c r="I29" s="5" t="s">
        <v>405</v>
      </c>
      <c r="J29" s="5" t="s">
        <v>55</v>
      </c>
    </row>
    <row r="30" spans="1:10" hidden="1" x14ac:dyDescent="0.25">
      <c r="A30" s="5" t="s">
        <v>151</v>
      </c>
      <c r="B30" s="5">
        <v>309</v>
      </c>
      <c r="C30" s="5" t="s">
        <v>495</v>
      </c>
      <c r="D30" s="5" t="s">
        <v>407</v>
      </c>
      <c r="E30" s="5" t="s">
        <v>496</v>
      </c>
      <c r="F30" s="5" t="s">
        <v>144</v>
      </c>
      <c r="G30" s="5">
        <v>0</v>
      </c>
      <c r="I30" s="5" t="s">
        <v>405</v>
      </c>
      <c r="J30" s="5" t="s">
        <v>55</v>
      </c>
    </row>
    <row r="31" spans="1:10" x14ac:dyDescent="0.25">
      <c r="A31" s="5" t="s">
        <v>151</v>
      </c>
      <c r="B31" s="5">
        <v>310</v>
      </c>
      <c r="C31" s="5" t="s">
        <v>497</v>
      </c>
      <c r="D31" s="5" t="s">
        <v>498</v>
      </c>
      <c r="E31" s="5" t="s">
        <v>94</v>
      </c>
      <c r="F31" s="5" t="s">
        <v>144</v>
      </c>
      <c r="G31" s="3">
        <v>0.75</v>
      </c>
      <c r="I31" s="5" t="s">
        <v>405</v>
      </c>
      <c r="J31" s="5" t="s">
        <v>55</v>
      </c>
    </row>
    <row r="32" spans="1:10" hidden="1" x14ac:dyDescent="0.25">
      <c r="A32" s="5" t="s">
        <v>151</v>
      </c>
      <c r="B32" s="5">
        <v>314</v>
      </c>
      <c r="C32" s="5" t="s">
        <v>502</v>
      </c>
      <c r="D32" s="5" t="s">
        <v>407</v>
      </c>
      <c r="E32" s="5" t="s">
        <v>503</v>
      </c>
      <c r="F32" s="5" t="s">
        <v>144</v>
      </c>
      <c r="G32" s="5">
        <v>0</v>
      </c>
      <c r="I32" s="5" t="s">
        <v>405</v>
      </c>
      <c r="J32" s="5" t="s">
        <v>55</v>
      </c>
    </row>
    <row r="33" spans="1:11" s="21" customFormat="1" x14ac:dyDescent="0.25">
      <c r="A33" s="21" t="s">
        <v>151</v>
      </c>
      <c r="B33" s="21">
        <v>315</v>
      </c>
      <c r="C33" s="21" t="s">
        <v>504</v>
      </c>
      <c r="D33" s="21" t="s">
        <v>505</v>
      </c>
      <c r="E33" s="21" t="s">
        <v>94</v>
      </c>
      <c r="F33" s="21" t="s">
        <v>144</v>
      </c>
      <c r="G33" s="22">
        <v>0</v>
      </c>
      <c r="I33" s="21" t="s">
        <v>405</v>
      </c>
      <c r="J33" s="21" t="s">
        <v>55</v>
      </c>
      <c r="K33" s="21" t="s">
        <v>1094</v>
      </c>
    </row>
    <row r="34" spans="1:11" hidden="1" x14ac:dyDescent="0.25">
      <c r="A34" s="5" t="s">
        <v>151</v>
      </c>
      <c r="B34" s="5">
        <v>321</v>
      </c>
      <c r="C34" s="5" t="s">
        <v>513</v>
      </c>
      <c r="D34" s="5" t="s">
        <v>512</v>
      </c>
      <c r="E34" s="5" t="s">
        <v>98</v>
      </c>
      <c r="F34" s="5" t="s">
        <v>144</v>
      </c>
      <c r="G34" s="5">
        <v>0</v>
      </c>
      <c r="I34" s="5" t="s">
        <v>405</v>
      </c>
      <c r="J34" s="5" t="s">
        <v>55</v>
      </c>
    </row>
    <row r="35" spans="1:11" hidden="1" x14ac:dyDescent="0.25">
      <c r="A35" s="5" t="s">
        <v>193</v>
      </c>
      <c r="B35" s="5">
        <v>322</v>
      </c>
      <c r="C35" s="5" t="s">
        <v>514</v>
      </c>
      <c r="D35" s="5" t="s">
        <v>512</v>
      </c>
      <c r="E35" s="5" t="s">
        <v>102</v>
      </c>
      <c r="F35" s="5" t="s">
        <v>144</v>
      </c>
      <c r="G35" s="5">
        <v>0</v>
      </c>
      <c r="I35" s="5" t="s">
        <v>405</v>
      </c>
      <c r="J35" s="5" t="s">
        <v>55</v>
      </c>
    </row>
    <row r="36" spans="1:11" hidden="1" x14ac:dyDescent="0.25">
      <c r="A36" s="5" t="s">
        <v>146</v>
      </c>
      <c r="B36" s="5">
        <v>335</v>
      </c>
      <c r="C36" s="5" t="s">
        <v>520</v>
      </c>
      <c r="D36" s="5" t="s">
        <v>521</v>
      </c>
      <c r="E36" s="5" t="s">
        <v>522</v>
      </c>
      <c r="F36" s="5" t="s">
        <v>144</v>
      </c>
      <c r="G36" s="5">
        <v>0.38</v>
      </c>
      <c r="I36" s="5" t="s">
        <v>519</v>
      </c>
      <c r="J36" s="5" t="s">
        <v>55</v>
      </c>
    </row>
    <row r="37" spans="1:11" x14ac:dyDescent="0.25">
      <c r="A37" s="5" t="s">
        <v>146</v>
      </c>
      <c r="B37" s="5">
        <v>336</v>
      </c>
      <c r="C37" s="5" t="s">
        <v>524</v>
      </c>
      <c r="D37" s="5" t="s">
        <v>525</v>
      </c>
      <c r="E37" s="5" t="s">
        <v>94</v>
      </c>
      <c r="F37" s="5" t="s">
        <v>144</v>
      </c>
      <c r="G37" s="3">
        <v>0.75</v>
      </c>
      <c r="I37" s="5" t="s">
        <v>519</v>
      </c>
      <c r="J37" s="5" t="s">
        <v>55</v>
      </c>
    </row>
    <row r="38" spans="1:11" hidden="1" x14ac:dyDescent="0.25">
      <c r="A38" s="5" t="s">
        <v>138</v>
      </c>
      <c r="B38" s="5">
        <v>350</v>
      </c>
      <c r="C38" s="5" t="s">
        <v>543</v>
      </c>
      <c r="D38" s="5" t="s">
        <v>521</v>
      </c>
      <c r="E38" s="5" t="s">
        <v>544</v>
      </c>
      <c r="F38" s="5" t="s">
        <v>144</v>
      </c>
      <c r="G38" s="5">
        <v>0</v>
      </c>
      <c r="I38" s="5" t="s">
        <v>519</v>
      </c>
      <c r="J38" s="5" t="s">
        <v>39</v>
      </c>
    </row>
    <row r="39" spans="1:11" x14ac:dyDescent="0.25">
      <c r="A39" s="5" t="s">
        <v>138</v>
      </c>
      <c r="B39" s="5">
        <v>351</v>
      </c>
      <c r="C39" s="5" t="s">
        <v>545</v>
      </c>
      <c r="D39" s="5" t="s">
        <v>546</v>
      </c>
      <c r="E39" s="5" t="s">
        <v>94</v>
      </c>
      <c r="F39" s="5" t="s">
        <v>144</v>
      </c>
      <c r="G39" s="3">
        <v>0</v>
      </c>
      <c r="I39" s="5" t="s">
        <v>519</v>
      </c>
      <c r="J39" s="5" t="s">
        <v>39</v>
      </c>
    </row>
    <row r="40" spans="1:11" hidden="1" x14ac:dyDescent="0.25">
      <c r="A40" s="5" t="s">
        <v>65</v>
      </c>
      <c r="B40" s="5">
        <v>453</v>
      </c>
      <c r="C40" s="5" t="s">
        <v>668</v>
      </c>
      <c r="D40" s="5" t="s">
        <v>665</v>
      </c>
      <c r="E40" s="5" t="s">
        <v>98</v>
      </c>
      <c r="F40" s="5" t="s">
        <v>144</v>
      </c>
      <c r="G40" s="5">
        <v>0</v>
      </c>
      <c r="I40" s="5" t="s">
        <v>636</v>
      </c>
      <c r="J40" s="5" t="s">
        <v>55</v>
      </c>
    </row>
    <row r="41" spans="1:11" hidden="1" x14ac:dyDescent="0.25">
      <c r="A41" s="5" t="s">
        <v>65</v>
      </c>
      <c r="B41" s="5">
        <v>454</v>
      </c>
      <c r="C41" s="5" t="s">
        <v>669</v>
      </c>
      <c r="D41" s="5" t="s">
        <v>665</v>
      </c>
      <c r="E41" s="5" t="s">
        <v>102</v>
      </c>
      <c r="F41" s="5" t="s">
        <v>144</v>
      </c>
      <c r="G41" s="5">
        <v>0</v>
      </c>
      <c r="I41" s="5" t="s">
        <v>636</v>
      </c>
      <c r="J41" s="5" t="s">
        <v>55</v>
      </c>
    </row>
    <row r="42" spans="1:11" hidden="1" x14ac:dyDescent="0.25">
      <c r="A42" s="5" t="s">
        <v>65</v>
      </c>
      <c r="B42" s="5">
        <v>455</v>
      </c>
      <c r="C42" s="5" t="s">
        <v>671</v>
      </c>
      <c r="D42" s="5" t="s">
        <v>665</v>
      </c>
      <c r="E42" s="5" t="s">
        <v>108</v>
      </c>
      <c r="F42" s="5" t="s">
        <v>144</v>
      </c>
      <c r="G42" s="5">
        <v>0</v>
      </c>
      <c r="I42" s="5" t="s">
        <v>636</v>
      </c>
      <c r="J42" s="5" t="s">
        <v>55</v>
      </c>
    </row>
    <row r="43" spans="1:11" hidden="1" x14ac:dyDescent="0.25">
      <c r="A43" s="5" t="s">
        <v>676</v>
      </c>
      <c r="B43" s="5">
        <v>458</v>
      </c>
      <c r="C43" s="5" t="s">
        <v>680</v>
      </c>
      <c r="D43" s="5" t="s">
        <v>678</v>
      </c>
      <c r="E43" s="5" t="s">
        <v>98</v>
      </c>
      <c r="F43" s="5" t="s">
        <v>144</v>
      </c>
      <c r="G43" s="5">
        <v>0</v>
      </c>
      <c r="I43" s="5" t="s">
        <v>636</v>
      </c>
      <c r="J43" s="5" t="s">
        <v>55</v>
      </c>
    </row>
    <row r="44" spans="1:11" hidden="1" x14ac:dyDescent="0.25">
      <c r="A44" s="5" t="s">
        <v>676</v>
      </c>
      <c r="B44" s="5">
        <v>459</v>
      </c>
      <c r="C44" s="5" t="s">
        <v>682</v>
      </c>
      <c r="D44" s="5" t="s">
        <v>678</v>
      </c>
      <c r="E44" s="5" t="s">
        <v>102</v>
      </c>
      <c r="F44" s="5" t="s">
        <v>144</v>
      </c>
      <c r="G44" s="5">
        <v>0</v>
      </c>
      <c r="I44" s="5" t="s">
        <v>636</v>
      </c>
      <c r="J44" s="5" t="s">
        <v>55</v>
      </c>
    </row>
    <row r="45" spans="1:11" hidden="1" x14ac:dyDescent="0.25">
      <c r="A45" s="5" t="s">
        <v>676</v>
      </c>
      <c r="B45" s="5">
        <v>460</v>
      </c>
      <c r="C45" s="5" t="s">
        <v>684</v>
      </c>
      <c r="D45" s="5" t="s">
        <v>678</v>
      </c>
      <c r="E45" s="5" t="s">
        <v>108</v>
      </c>
      <c r="F45" s="5" t="s">
        <v>144</v>
      </c>
      <c r="G45" s="5">
        <v>0</v>
      </c>
      <c r="I45" s="5" t="s">
        <v>636</v>
      </c>
      <c r="J45" s="5" t="s">
        <v>55</v>
      </c>
    </row>
    <row r="46" spans="1:11" hidden="1" x14ac:dyDescent="0.25">
      <c r="A46" s="5" t="s">
        <v>676</v>
      </c>
      <c r="B46" s="5">
        <v>466</v>
      </c>
      <c r="C46" s="5" t="s">
        <v>686</v>
      </c>
      <c r="D46" s="5" t="s">
        <v>638</v>
      </c>
      <c r="E46" s="5" t="s">
        <v>687</v>
      </c>
      <c r="F46" s="5" t="s">
        <v>144</v>
      </c>
      <c r="G46" s="5">
        <v>0.28000000000000003</v>
      </c>
      <c r="I46" s="5" t="s">
        <v>636</v>
      </c>
      <c r="J46" s="5" t="s">
        <v>55</v>
      </c>
    </row>
    <row r="47" spans="1:11" x14ac:dyDescent="0.25">
      <c r="A47" s="5" t="s">
        <v>676</v>
      </c>
      <c r="B47" s="5">
        <v>467</v>
      </c>
      <c r="C47" s="5" t="s">
        <v>688</v>
      </c>
      <c r="D47" s="5" t="s">
        <v>689</v>
      </c>
      <c r="E47" s="5" t="s">
        <v>94</v>
      </c>
      <c r="F47" s="5" t="s">
        <v>144</v>
      </c>
      <c r="G47" s="3">
        <v>0.7</v>
      </c>
      <c r="I47" s="5" t="s">
        <v>636</v>
      </c>
      <c r="J47" s="5" t="s">
        <v>55</v>
      </c>
    </row>
    <row r="48" spans="1:11" hidden="1" x14ac:dyDescent="0.25">
      <c r="A48" s="5" t="s">
        <v>151</v>
      </c>
      <c r="B48" s="5">
        <v>489</v>
      </c>
      <c r="C48" s="5" t="s">
        <v>714</v>
      </c>
      <c r="D48" s="5" t="s">
        <v>713</v>
      </c>
      <c r="E48" s="5" t="s">
        <v>98</v>
      </c>
      <c r="F48" s="5" t="s">
        <v>144</v>
      </c>
      <c r="G48" s="5">
        <v>0</v>
      </c>
      <c r="I48" s="5" t="s">
        <v>699</v>
      </c>
      <c r="J48" s="5" t="s">
        <v>55</v>
      </c>
    </row>
    <row r="49" spans="1:10" hidden="1" x14ac:dyDescent="0.25">
      <c r="A49" s="5" t="s">
        <v>151</v>
      </c>
      <c r="B49" s="5">
        <v>490</v>
      </c>
      <c r="C49" s="5" t="s">
        <v>715</v>
      </c>
      <c r="D49" s="5" t="s">
        <v>713</v>
      </c>
      <c r="E49" s="5" t="s">
        <v>102</v>
      </c>
      <c r="F49" s="5" t="s">
        <v>144</v>
      </c>
      <c r="G49" s="5">
        <v>0</v>
      </c>
      <c r="I49" s="5" t="s">
        <v>699</v>
      </c>
      <c r="J49" s="5" t="s">
        <v>55</v>
      </c>
    </row>
    <row r="50" spans="1:10" hidden="1" x14ac:dyDescent="0.25">
      <c r="A50" s="5" t="s">
        <v>151</v>
      </c>
      <c r="B50" s="5">
        <v>494</v>
      </c>
      <c r="C50" s="5" t="s">
        <v>722</v>
      </c>
      <c r="D50" s="5" t="s">
        <v>720</v>
      </c>
      <c r="E50" s="5" t="s">
        <v>98</v>
      </c>
      <c r="F50" s="5" t="s">
        <v>144</v>
      </c>
      <c r="G50" s="5">
        <v>0</v>
      </c>
      <c r="I50" s="5" t="s">
        <v>699</v>
      </c>
      <c r="J50" s="5" t="s">
        <v>55</v>
      </c>
    </row>
    <row r="51" spans="1:10" hidden="1" x14ac:dyDescent="0.25">
      <c r="A51" s="5" t="s">
        <v>151</v>
      </c>
      <c r="B51" s="5">
        <v>495</v>
      </c>
      <c r="C51" s="5" t="s">
        <v>723</v>
      </c>
      <c r="D51" s="5" t="s">
        <v>720</v>
      </c>
      <c r="E51" s="5" t="s">
        <v>102</v>
      </c>
      <c r="F51" s="5" t="s">
        <v>144</v>
      </c>
      <c r="G51" s="5">
        <v>0</v>
      </c>
      <c r="I51" s="5" t="s">
        <v>699</v>
      </c>
      <c r="J51" s="5" t="s">
        <v>55</v>
      </c>
    </row>
    <row r="52" spans="1:10" hidden="1" x14ac:dyDescent="0.25">
      <c r="A52" s="5" t="s">
        <v>151</v>
      </c>
      <c r="B52" s="5">
        <v>564</v>
      </c>
      <c r="C52" s="5" t="s">
        <v>800</v>
      </c>
      <c r="D52" s="5" t="s">
        <v>797</v>
      </c>
      <c r="E52" s="5" t="s">
        <v>98</v>
      </c>
      <c r="F52" s="5" t="s">
        <v>144</v>
      </c>
      <c r="G52" s="5">
        <v>0</v>
      </c>
      <c r="I52" s="5" t="s">
        <v>699</v>
      </c>
      <c r="J52" s="5" t="s">
        <v>55</v>
      </c>
    </row>
    <row r="53" spans="1:10" hidden="1" x14ac:dyDescent="0.25">
      <c r="A53" s="5" t="s">
        <v>151</v>
      </c>
      <c r="B53" s="5">
        <v>565</v>
      </c>
      <c r="C53" s="5" t="s">
        <v>801</v>
      </c>
      <c r="D53" s="5" t="s">
        <v>797</v>
      </c>
      <c r="E53" s="5" t="s">
        <v>102</v>
      </c>
      <c r="F53" s="5" t="s">
        <v>144</v>
      </c>
      <c r="G53" s="5">
        <v>0</v>
      </c>
      <c r="I53" s="5" t="s">
        <v>699</v>
      </c>
      <c r="J53" s="5" t="s">
        <v>55</v>
      </c>
    </row>
    <row r="54" spans="1:10" hidden="1" x14ac:dyDescent="0.25">
      <c r="A54" s="5" t="s">
        <v>193</v>
      </c>
      <c r="B54" s="5">
        <v>566</v>
      </c>
      <c r="C54" s="5" t="s">
        <v>802</v>
      </c>
      <c r="D54" s="5" t="s">
        <v>797</v>
      </c>
      <c r="E54" s="5" t="s">
        <v>108</v>
      </c>
      <c r="F54" s="5" t="s">
        <v>144</v>
      </c>
      <c r="G54" s="5">
        <v>0</v>
      </c>
      <c r="I54" s="5" t="s">
        <v>699</v>
      </c>
      <c r="J54" s="5" t="s">
        <v>55</v>
      </c>
    </row>
    <row r="55" spans="1:10" hidden="1" x14ac:dyDescent="0.25">
      <c r="A55" s="5" t="s">
        <v>151</v>
      </c>
      <c r="B55" s="5">
        <v>569</v>
      </c>
      <c r="C55" s="5" t="s">
        <v>808</v>
      </c>
      <c r="D55" s="5" t="s">
        <v>806</v>
      </c>
      <c r="E55" s="5" t="s">
        <v>98</v>
      </c>
      <c r="F55" s="5" t="s">
        <v>144</v>
      </c>
      <c r="G55" s="5">
        <v>0</v>
      </c>
      <c r="I55" s="5" t="s">
        <v>699</v>
      </c>
      <c r="J55" s="5" t="s">
        <v>55</v>
      </c>
    </row>
    <row r="56" spans="1:10" hidden="1" x14ac:dyDescent="0.25">
      <c r="A56" s="5" t="s">
        <v>151</v>
      </c>
      <c r="B56" s="5">
        <v>570</v>
      </c>
      <c r="C56" s="5" t="s">
        <v>809</v>
      </c>
      <c r="D56" s="5" t="s">
        <v>806</v>
      </c>
      <c r="E56" s="5" t="s">
        <v>102</v>
      </c>
      <c r="F56" s="5" t="s">
        <v>144</v>
      </c>
      <c r="G56" s="5">
        <v>0</v>
      </c>
      <c r="I56" s="5" t="s">
        <v>699</v>
      </c>
      <c r="J56" s="5" t="s">
        <v>55</v>
      </c>
    </row>
    <row r="57" spans="1:10" hidden="1" x14ac:dyDescent="0.25">
      <c r="A57" s="5" t="s">
        <v>146</v>
      </c>
      <c r="B57" s="5">
        <v>699</v>
      </c>
      <c r="C57" s="5" t="s">
        <v>996</v>
      </c>
      <c r="D57" s="5" t="s">
        <v>993</v>
      </c>
      <c r="E57" s="5" t="s">
        <v>98</v>
      </c>
      <c r="F57" s="5" t="s">
        <v>144</v>
      </c>
      <c r="G57" s="5">
        <v>0</v>
      </c>
      <c r="I57" s="5" t="s">
        <v>699</v>
      </c>
      <c r="J57" s="5" t="s">
        <v>55</v>
      </c>
    </row>
    <row r="58" spans="1:10" hidden="1" x14ac:dyDescent="0.25">
      <c r="A58" s="5" t="s">
        <v>146</v>
      </c>
      <c r="B58" s="5">
        <v>700</v>
      </c>
      <c r="C58" s="5" t="s">
        <v>997</v>
      </c>
      <c r="D58" s="5" t="s">
        <v>993</v>
      </c>
      <c r="E58" s="5" t="s">
        <v>102</v>
      </c>
      <c r="F58" s="5" t="s">
        <v>144</v>
      </c>
      <c r="G58" s="5">
        <v>0</v>
      </c>
      <c r="I58" s="5" t="s">
        <v>699</v>
      </c>
      <c r="J58" s="5" t="s">
        <v>55</v>
      </c>
    </row>
    <row r="59" spans="1:10" hidden="1" x14ac:dyDescent="0.25">
      <c r="A59" s="5" t="s">
        <v>146</v>
      </c>
      <c r="B59" s="5">
        <v>704</v>
      </c>
      <c r="C59" s="5" t="s">
        <v>1004</v>
      </c>
      <c r="D59" s="5" t="s">
        <v>1002</v>
      </c>
      <c r="E59" s="5" t="s">
        <v>98</v>
      </c>
      <c r="F59" s="5" t="s">
        <v>144</v>
      </c>
      <c r="G59" s="5">
        <v>0</v>
      </c>
      <c r="I59" s="5" t="s">
        <v>699</v>
      </c>
      <c r="J59" s="5" t="s">
        <v>55</v>
      </c>
    </row>
    <row r="60" spans="1:10" hidden="1" x14ac:dyDescent="0.25">
      <c r="A60" s="5" t="s">
        <v>146</v>
      </c>
      <c r="B60" s="5">
        <v>705</v>
      </c>
      <c r="C60" s="5" t="s">
        <v>1005</v>
      </c>
      <c r="D60" s="5" t="s">
        <v>1002</v>
      </c>
      <c r="E60" s="5" t="s">
        <v>102</v>
      </c>
      <c r="F60" s="5" t="s">
        <v>144</v>
      </c>
      <c r="G60" s="5">
        <v>0</v>
      </c>
      <c r="I60" s="5" t="s">
        <v>699</v>
      </c>
      <c r="J60" s="5" t="s">
        <v>55</v>
      </c>
    </row>
    <row r="61" spans="1:10" hidden="1" x14ac:dyDescent="0.25">
      <c r="A61" s="5" t="s">
        <v>146</v>
      </c>
      <c r="B61" s="5">
        <v>710</v>
      </c>
      <c r="C61" s="5" t="s">
        <v>1013</v>
      </c>
      <c r="D61" s="5" t="s">
        <v>1010</v>
      </c>
      <c r="E61" s="5" t="s">
        <v>102</v>
      </c>
      <c r="F61" s="5" t="s">
        <v>144</v>
      </c>
      <c r="G61" s="5">
        <v>0</v>
      </c>
      <c r="I61" s="5" t="s">
        <v>699</v>
      </c>
      <c r="J61" s="5" t="s">
        <v>55</v>
      </c>
    </row>
    <row r="62" spans="1:10" hidden="1" x14ac:dyDescent="0.25">
      <c r="A62" s="5" t="s">
        <v>146</v>
      </c>
      <c r="B62" s="5">
        <v>711</v>
      </c>
      <c r="C62" s="5" t="s">
        <v>1014</v>
      </c>
      <c r="D62" s="5" t="s">
        <v>1010</v>
      </c>
      <c r="E62" s="5" t="s">
        <v>108</v>
      </c>
      <c r="F62" s="5" t="s">
        <v>144</v>
      </c>
      <c r="G62" s="5">
        <v>0</v>
      </c>
      <c r="I62" s="5" t="s">
        <v>699</v>
      </c>
      <c r="J62" s="5" t="s">
        <v>55</v>
      </c>
    </row>
  </sheetData>
  <pageMargins left="0.75" right="0.75" top="1" bottom="1" header="0.5" footer="0.5"/>
  <headerFooter>
    <oddFooter>&amp;C_x000D_&amp;1#&amp;"Aptos"&amp;11&amp;K000000 BV_C2_Internal</oddFooter>
  </headerFooter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05075DB2EB95E4AB0084D2AB051A38A" ma:contentTypeVersion="10" ma:contentTypeDescription="Crie um novo documento." ma:contentTypeScope="" ma:versionID="1acf5709253336bc12ea482482f5d520">
  <xsd:schema xmlns:xsd="http://www.w3.org/2001/XMLSchema" xmlns:xs="http://www.w3.org/2001/XMLSchema" xmlns:p="http://schemas.microsoft.com/office/2006/metadata/properties" xmlns:ns2="c6385d03-c98b-47a8-b084-660309c480c9" xmlns:ns3="1dad954f-e29e-48a7-b9b8-f0523de1045f" targetNamespace="http://schemas.microsoft.com/office/2006/metadata/properties" ma:root="true" ma:fieldsID="84ff94f6b93240dc82e76730a418228e" ns2:_="" ns3:_="">
    <xsd:import namespace="c6385d03-c98b-47a8-b084-660309c480c9"/>
    <xsd:import namespace="1dad954f-e29e-48a7-b9b8-f0523de1045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6385d03-c98b-47a8-b084-660309c480c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c58c574-80af-415f-8f56-7478d336fa4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dad954f-e29e-48a7-b9b8-f0523de1045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c8ca60f-4925-4996-8718-67a1c6298692}" ma:internalName="TaxCatchAll" ma:showField="CatchAllData" ma:web="1dad954f-e29e-48a7-b9b8-f0523de1045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6385d03-c98b-47a8-b084-660309c480c9">
      <Terms xmlns="http://schemas.microsoft.com/office/infopath/2007/PartnerControls"/>
    </lcf76f155ced4ddcb4097134ff3c332f>
    <TaxCatchAll xmlns="1dad954f-e29e-48a7-b9b8-f0523de1045f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1D5D8C-C980-45BD-BC0F-90D894ADB5A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6385d03-c98b-47a8-b084-660309c480c9"/>
    <ds:schemaRef ds:uri="1dad954f-e29e-48a7-b9b8-f0523de1045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6D7A309-F573-460C-8292-5A61ACF67DE2}">
  <ds:schemaRefs>
    <ds:schemaRef ds:uri="http://schemas.microsoft.com/office/2006/metadata/properties"/>
    <ds:schemaRef ds:uri="http://schemas.microsoft.com/office/infopath/2007/PartnerControls"/>
    <ds:schemaRef ds:uri="c6385d03-c98b-47a8-b084-660309c480c9"/>
    <ds:schemaRef ds:uri="1dad954f-e29e-48a7-b9b8-f0523de1045f"/>
  </ds:schemaRefs>
</ds:datastoreItem>
</file>

<file path=customXml/itemProps3.xml><?xml version="1.0" encoding="utf-8"?>
<ds:datastoreItem xmlns:ds="http://schemas.openxmlformats.org/officeDocument/2006/customXml" ds:itemID="{F9CA6816-6BB1-48F1-A124-14A4B3EF872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Base</vt:lpstr>
      <vt:lpstr>Resumo</vt:lpstr>
      <vt:lpstr>Curva S</vt:lpstr>
      <vt:lpstr>Concluídas</vt:lpstr>
      <vt:lpstr>Atrasadas</vt:lpstr>
      <vt:lpstr>Sprint Atual</vt:lpstr>
      <vt:lpstr>Próximo Sprint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Wallace Candido</cp:lastModifiedBy>
  <dcterms:created xsi:type="dcterms:W3CDTF">2026-07-03T17:03:10Z</dcterms:created>
  <dcterms:modified xsi:type="dcterms:W3CDTF">2026-07-08T23:35:55Z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0x010100B05075DB2EB95E4AB0084D2AB051A38A</vt:lpwstr>
  </property>
  <property fmtid="{D5CDD505-2E9C-101B-9397-08002B2CF9AE}" pid="3" name="MediaServiceImageTags">
    <vt:lpwstr/>
  </property>
  <property fmtid="{D5CDD505-2E9C-101B-9397-08002B2CF9AE}" pid="4" name="MSIP_Label_c80bb4b1-c353-4a8c-aa94-59f555332b5a_Enabled">
    <vt:lpwstr>true</vt:lpwstr>
  </property>
  <property fmtid="{D5CDD505-2E9C-101B-9397-08002B2CF9AE}" pid="5" name="MSIP_Label_c80bb4b1-c353-4a8c-aa94-59f555332b5a_SetDate">
    <vt:lpwstr>2026-07-03T17:03:58Z</vt:lpwstr>
  </property>
  <property fmtid="{D5CDD505-2E9C-101B-9397-08002B2CF9AE}" pid="6" name="MSIP_Label_c80bb4b1-c353-4a8c-aa94-59f555332b5a_Method">
    <vt:lpwstr>Standard</vt:lpwstr>
  </property>
  <property fmtid="{D5CDD505-2E9C-101B-9397-08002B2CF9AE}" pid="7" name="MSIP_Label_c80bb4b1-c353-4a8c-aa94-59f555332b5a_Name">
    <vt:lpwstr>C2 - Internal</vt:lpwstr>
  </property>
  <property fmtid="{D5CDD505-2E9C-101B-9397-08002B2CF9AE}" pid="8" name="MSIP_Label_c80bb4b1-c353-4a8c-aa94-59f555332b5a_SiteId">
    <vt:lpwstr>fffad414-b6a3-4f32-a9bd-42d28fc811f1</vt:lpwstr>
  </property>
  <property fmtid="{D5CDD505-2E9C-101B-9397-08002B2CF9AE}" pid="9" name="MSIP_Label_c80bb4b1-c353-4a8c-aa94-59f555332b5a_ActionId">
    <vt:lpwstr>320a26c9-d88e-482f-8091-7b4f2040f8dd</vt:lpwstr>
  </property>
  <property fmtid="{D5CDD505-2E9C-101B-9397-08002B2CF9AE}" pid="10" name="MSIP_Label_c80bb4b1-c353-4a8c-aa94-59f555332b5a_ContentBits">
    <vt:lpwstr>2</vt:lpwstr>
  </property>
  <property fmtid="{D5CDD505-2E9C-101B-9397-08002B2CF9AE}" pid="11" name="MSIP_Label_c80bb4b1-c353-4a8c-aa94-59f555332b5a_Tag">
    <vt:lpwstr>10, 3, 0, 1</vt:lpwstr>
  </property>
</Properties>
</file>