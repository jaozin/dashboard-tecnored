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saida/J0006/"/>
    </mc:Choice>
  </mc:AlternateContent>
  <xr:revisionPtr revIDLastSave="103" documentId="11_5F22C6D002AEB21AE75A197373407ACBA75D03C6" xr6:coauthVersionLast="47" xr6:coauthVersionMax="47" xr10:uidLastSave="{1090507F-E196-48A7-BBCF-5539C33A0430}"/>
  <bookViews>
    <workbookView xWindow="20370" yWindow="-120" windowWidth="29040" windowHeight="15720" activeTab="2" xr2:uid="{00000000-000D-0000-FFFF-FFFF00000000}"/>
  </bookViews>
  <sheets>
    <sheet name="Base" sheetId="1" r:id="rId1"/>
    <sheet name="Resumo" sheetId="2" r:id="rId2"/>
    <sheet name="Curva S" sheetId="3" r:id="rId3"/>
    <sheet name="Concluídas" sheetId="4" r:id="rId4"/>
    <sheet name="Atrasadas" sheetId="5" r:id="rId5"/>
    <sheet name="Sprint Atual" sheetId="6" r:id="rId6"/>
    <sheet name="Próximo Sprint" sheetId="7" r:id="rId7"/>
  </sheets>
  <externalReferences>
    <externalReference r:id="rId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2" l="1"/>
  <c r="C32" i="2"/>
  <c r="D32" i="2"/>
  <c r="B15" i="2"/>
  <c r="C15" i="2"/>
  <c r="E15" i="2"/>
  <c r="F15" i="2"/>
  <c r="G15" i="2"/>
  <c r="E32" i="2"/>
</calcChain>
</file>

<file path=xl/sharedStrings.xml><?xml version="1.0" encoding="utf-8"?>
<sst xmlns="http://schemas.openxmlformats.org/spreadsheetml/2006/main" count="40749" uniqueCount="2616">
  <si>
    <t>Id</t>
  </si>
  <si>
    <t>EDT</t>
  </si>
  <si>
    <t>Nome do Resumo da Tarefa</t>
  </si>
  <si>
    <t>Nome da Tarefa</t>
  </si>
  <si>
    <t>% concluída</t>
  </si>
  <si>
    <t>Duração</t>
  </si>
  <si>
    <t>Duração real</t>
  </si>
  <si>
    <t>Início</t>
  </si>
  <si>
    <t>Término</t>
  </si>
  <si>
    <t>Início da Linha de Base</t>
  </si>
  <si>
    <t>Término da linha de base</t>
  </si>
  <si>
    <t>Início_LB_R0</t>
  </si>
  <si>
    <t>Término_LB_R0</t>
  </si>
  <si>
    <t>Término real</t>
  </si>
  <si>
    <t>Início real</t>
  </si>
  <si>
    <t>Status</t>
  </si>
  <si>
    <t>Predecessoras</t>
  </si>
  <si>
    <t>HORA EXECUTADA TENAX</t>
  </si>
  <si>
    <t>Nomes dos recursos</t>
  </si>
  <si>
    <t>Disciplina</t>
  </si>
  <si>
    <t>Sucessoras</t>
  </si>
  <si>
    <t>Duração_LB_R0</t>
  </si>
  <si>
    <t>Duração Média (Tenax)</t>
  </si>
  <si>
    <t>Crítica</t>
  </si>
  <si>
    <t>Duração Medida (h)</t>
  </si>
  <si>
    <t>Nomes dos recursos.1</t>
  </si>
  <si>
    <t>Sprint</t>
  </si>
  <si>
    <t>Comparação</t>
  </si>
  <si>
    <t>Inicio_LB_R0</t>
  </si>
  <si>
    <t>Término _LB_R0</t>
  </si>
  <si>
    <t>pct_val</t>
  </si>
  <si>
    <t>Emissão inicial total</t>
  </si>
  <si>
    <t>Emissão inicial concluída</t>
  </si>
  <si>
    <t>Emissão Inicial Atrasada</t>
  </si>
  <si>
    <t>Aprovação total</t>
  </si>
  <si>
    <t>Avaliação do cliente concluída</t>
  </si>
  <si>
    <t>Avaliação Cliente Atrasada</t>
  </si>
  <si>
    <t>Atendimento de comentário concluído</t>
  </si>
  <si>
    <t>Atendimento Atrasado</t>
  </si>
  <si>
    <t>Aprovação concluída</t>
  </si>
  <si>
    <t>Aprovação Atrasada</t>
  </si>
  <si>
    <t>Aderência</t>
  </si>
  <si>
    <t>skid-based briquetting project j0006</t>
  </si>
  <si>
    <t>71 dias</t>
  </si>
  <si>
    <t>70,58 dias</t>
  </si>
  <si>
    <t>Ter 17/03/26</t>
  </si>
  <si>
    <t>No Prazo</t>
  </si>
  <si>
    <t>Nun</t>
  </si>
  <si>
    <t>67 dias</t>
  </si>
  <si>
    <t>Sim</t>
  </si>
  <si>
    <t>Nenhum Sprint</t>
  </si>
  <si>
    <t>1.1</t>
  </si>
  <si>
    <t>SKID-BASED BRIQUETTING PROJECT J0006</t>
  </si>
  <si>
    <t>marcos</t>
  </si>
  <si>
    <t>60 dias</t>
  </si>
  <si>
    <t>Concluída</t>
  </si>
  <si>
    <t>47 dias</t>
  </si>
  <si>
    <t>Não</t>
  </si>
  <si>
    <t>1.1.1</t>
  </si>
  <si>
    <t>MARCOS</t>
  </si>
  <si>
    <t>reunião de abertura de projeto</t>
  </si>
  <si>
    <t>1 dia</t>
  </si>
  <si>
    <t>16;26;13;32;67;12</t>
  </si>
  <si>
    <t>0 dias</t>
  </si>
  <si>
    <t>Sprint 1</t>
  </si>
  <si>
    <t>1.1.2</t>
  </si>
  <si>
    <t>conclusão dos balanços de massa</t>
  </si>
  <si>
    <t>Sex 24/04/26</t>
  </si>
  <si>
    <t>Qua 13/05/26</t>
  </si>
  <si>
    <t>157;152</t>
  </si>
  <si>
    <t>576;581;642;647;652;657;662;682;687;697;702;586;677;667;672;692;591</t>
  </si>
  <si>
    <t>Sprint 5</t>
  </si>
  <si>
    <t>1.1.3</t>
  </si>
  <si>
    <t>conclusão dos p&amp;id's</t>
  </si>
  <si>
    <t>Seg 25/05/26</t>
  </si>
  <si>
    <t>Qua 17/06/26</t>
  </si>
  <si>
    <t>1522;1557;1552;1547;1542;1537;1527;1532</t>
  </si>
  <si>
    <t>Sprint 9</t>
  </si>
  <si>
    <t>1.1.4</t>
  </si>
  <si>
    <t>reunião design review 1</t>
  </si>
  <si>
    <t>Sex 10/04/26</t>
  </si>
  <si>
    <t>520;7TI+10 dias</t>
  </si>
  <si>
    <t>Sprint 3</t>
  </si>
  <si>
    <t>1.1.5</t>
  </si>
  <si>
    <t>reunião design review 2</t>
  </si>
  <si>
    <t>Ter 28/04/26</t>
  </si>
  <si>
    <t>6TI+10 dias</t>
  </si>
  <si>
    <t>525;8TI+10 dias</t>
  </si>
  <si>
    <t>1.1.6</t>
  </si>
  <si>
    <t>reunião design review 3 ( módulos 0200 e 0900 )</t>
  </si>
  <si>
    <t>Ter 19/05/26</t>
  </si>
  <si>
    <t>7TI+10 dias</t>
  </si>
  <si>
    <t>530;10TI+2 dias</t>
  </si>
  <si>
    <t>Sprint 7</t>
  </si>
  <si>
    <t>Tarefa Incluída</t>
  </si>
  <si>
    <t>1.1.8</t>
  </si>
  <si>
    <t>reunião design review 4</t>
  </si>
  <si>
    <t>Qua 27/05/26</t>
  </si>
  <si>
    <t>8TI+2 dias</t>
  </si>
  <si>
    <t>1.2</t>
  </si>
  <si>
    <t>pendencias</t>
  </si>
  <si>
    <t>4 dias</t>
  </si>
  <si>
    <t>1.2.1</t>
  </si>
  <si>
    <t>PENDENCIAS</t>
  </si>
  <si>
    <t>respostas dos questionamentos da kom</t>
  </si>
  <si>
    <t>37TI+15 dias;78;88;179;546;612;873;802TI+30 dias;1377;1433TI+10 dias;1438TI+10 dias;83;93</t>
  </si>
  <si>
    <t>1.2.2</t>
  </si>
  <si>
    <t>definição de verificadores</t>
  </si>
  <si>
    <t>1.3</t>
  </si>
  <si>
    <t>planning</t>
  </si>
  <si>
    <t>21 dias</t>
  </si>
  <si>
    <t>1.3.1</t>
  </si>
  <si>
    <t>PLANNING</t>
  </si>
  <si>
    <t>ld-j0006-0000-ge-f-00002</t>
  </si>
  <si>
    <t>9 dias</t>
  </si>
  <si>
    <t>1.3.1.1</t>
  </si>
  <si>
    <t>LD-J0006-0000-GE-F-00002</t>
  </si>
  <si>
    <t>emissão inicial</t>
  </si>
  <si>
    <t>Planejador</t>
  </si>
  <si>
    <t>17;21TI+12 dias</t>
  </si>
  <si>
    <t>1.3.1.2</t>
  </si>
  <si>
    <t>avaliação do cliente</t>
  </si>
  <si>
    <t>3 dias</t>
  </si>
  <si>
    <t>Seg 23/03/26</t>
  </si>
  <si>
    <t>Tecnored</t>
  </si>
  <si>
    <t>1.3.1.3</t>
  </si>
  <si>
    <t>atendimento de comentário</t>
  </si>
  <si>
    <t>2 dias</t>
  </si>
  <si>
    <t>Qui 25/06/26</t>
  </si>
  <si>
    <t>Qui 26/03/26</t>
  </si>
  <si>
    <t>17;54</t>
  </si>
  <si>
    <t>Sprint 13</t>
  </si>
  <si>
    <t>1.3.1.4</t>
  </si>
  <si>
    <t>aprovação</t>
  </si>
  <si>
    <t>Sex 26/06/26</t>
  </si>
  <si>
    <t>Sex 27/03/26</t>
  </si>
  <si>
    <t>1.3.2</t>
  </si>
  <si>
    <t>lf-j0006-0000-ge-g-00001</t>
  </si>
  <si>
    <t>5 dias</t>
  </si>
  <si>
    <t>1.3.2.1</t>
  </si>
  <si>
    <t>LF-J0006-0000-GE-G-00001</t>
  </si>
  <si>
    <t>16TI+12 dias</t>
  </si>
  <si>
    <t>Eng. Mecânico</t>
  </si>
  <si>
    <t>1.3.2.2</t>
  </si>
  <si>
    <t>Seg 13/04/26</t>
  </si>
  <si>
    <t>1.3.2.3</t>
  </si>
  <si>
    <t>Qua 15/04/26</t>
  </si>
  <si>
    <t>1.3.2.4</t>
  </si>
  <si>
    <t>Qui 16/04/26</t>
  </si>
  <si>
    <t>1.3.3</t>
  </si>
  <si>
    <t>cr-j0006-0000-ge-f-00001</t>
  </si>
  <si>
    <t>10 dias</t>
  </si>
  <si>
    <t>1.3.3.1</t>
  </si>
  <si>
    <t>CR-J0006-0000-GE-F-00001</t>
  </si>
  <si>
    <t>27;28</t>
  </si>
  <si>
    <t>1.3.3.2</t>
  </si>
  <si>
    <t>3h+2h</t>
  </si>
  <si>
    <t>1.3.3.3</t>
  </si>
  <si>
    <t>54;26</t>
  </si>
  <si>
    <t>1.3.3.4</t>
  </si>
  <si>
    <t>1.4</t>
  </si>
  <si>
    <t>coordination</t>
  </si>
  <si>
    <t>64,46 dias</t>
  </si>
  <si>
    <t>1.4.1</t>
  </si>
  <si>
    <t>COORDINATION</t>
  </si>
  <si>
    <t>ea-j0006-0000-ge-g-00001</t>
  </si>
  <si>
    <t>1.4.1.1</t>
  </si>
  <si>
    <t>EA-J0006-0000-GE-G-00001</t>
  </si>
  <si>
    <t>Coordenador</t>
  </si>
  <si>
    <t>1.4.1.2</t>
  </si>
  <si>
    <t>1.4.1.3</t>
  </si>
  <si>
    <t>1.4.1.4</t>
  </si>
  <si>
    <t>1.4.2</t>
  </si>
  <si>
    <t>rm-j0006-0000-ge-g-00001</t>
  </si>
  <si>
    <t>48 dias</t>
  </si>
  <si>
    <t>7 dias</t>
  </si>
  <si>
    <t>1.4.2.1</t>
  </si>
  <si>
    <t>RM-J0006-0000-GE-G-00001</t>
  </si>
  <si>
    <t>12TI+15 dias</t>
  </si>
  <si>
    <t>38;42TI+18 dias</t>
  </si>
  <si>
    <t>Sprint 4</t>
  </si>
  <si>
    <t>1.4.2.2</t>
  </si>
  <si>
    <t>Sex 17/04/26</t>
  </si>
  <si>
    <t>Ter 05/05/26</t>
  </si>
  <si>
    <t>1.4.2.3</t>
  </si>
  <si>
    <t>Seg 18/05/26</t>
  </si>
  <si>
    <t>1.4.2.4</t>
  </si>
  <si>
    <t>19 dias</t>
  </si>
  <si>
    <t>Seg 27/04/26</t>
  </si>
  <si>
    <t>Sex 29/05/26</t>
  </si>
  <si>
    <t>1.4.3</t>
  </si>
  <si>
    <t>rm-j0006-0000-ge-g-00002</t>
  </si>
  <si>
    <t>18 dias</t>
  </si>
  <si>
    <t>Seg 01/06/26</t>
  </si>
  <si>
    <t>1.4.3.1</t>
  </si>
  <si>
    <t>RM-J0006-0000-GE-G-00002</t>
  </si>
  <si>
    <t>37TI+18 dias</t>
  </si>
  <si>
    <t>43;47TI+5 dias</t>
  </si>
  <si>
    <t>Sprint 8</t>
  </si>
  <si>
    <t>1.4.3.2</t>
  </si>
  <si>
    <t>Qua 20/05/26</t>
  </si>
  <si>
    <t>Seg 08/06/26</t>
  </si>
  <si>
    <t>1.4.3.3</t>
  </si>
  <si>
    <t>11 dias</t>
  </si>
  <si>
    <t>Ter 09/06/26</t>
  </si>
  <si>
    <t>1.4.3.4</t>
  </si>
  <si>
    <t>Ter 26/05/26</t>
  </si>
  <si>
    <t>Qua 24/06/26</t>
  </si>
  <si>
    <t>1.4.5</t>
  </si>
  <si>
    <t>rl-j0006-0000-ge-g-00001</t>
  </si>
  <si>
    <t>8 dias</t>
  </si>
  <si>
    <t>Sex 19/06/26</t>
  </si>
  <si>
    <t>Ter 23/06/26</t>
  </si>
  <si>
    <t>Atrasada</t>
  </si>
  <si>
    <t>6 dias</t>
  </si>
  <si>
    <t>1.4.5.1</t>
  </si>
  <si>
    <t>RL-J0006-0000-GE-G-00001</t>
  </si>
  <si>
    <t>Sprint 12</t>
  </si>
  <si>
    <t>1.4.5.2</t>
  </si>
  <si>
    <t>Seg 22/06/26</t>
  </si>
  <si>
    <t>ND</t>
  </si>
  <si>
    <t>1.4.5.3</t>
  </si>
  <si>
    <t>55;69;28;18</t>
  </si>
  <si>
    <t>1.4.5.4</t>
  </si>
  <si>
    <t>1.4.8</t>
  </si>
  <si>
    <t>lp-j0006-0000-ge-g-00001</t>
  </si>
  <si>
    <t>22 dias</t>
  </si>
  <si>
    <t>1.4.8.1</t>
  </si>
  <si>
    <t>LP-J0006-0000-GE-G-00001</t>
  </si>
  <si>
    <t>1.4.8.2</t>
  </si>
  <si>
    <t>1.4.8.3</t>
  </si>
  <si>
    <t>68;54</t>
  </si>
  <si>
    <t>1.4.8.4</t>
  </si>
  <si>
    <t>1.4.9</t>
  </si>
  <si>
    <t>ml-j0006-0000-ge-g-00001</t>
  </si>
  <si>
    <t>50 dias</t>
  </si>
  <si>
    <t>1.4.9.1</t>
  </si>
  <si>
    <t>ML-J0006-0000-GE-G-00001</t>
  </si>
  <si>
    <t>1.4.9.2</t>
  </si>
  <si>
    <t>1.4.9.3</t>
  </si>
  <si>
    <t>1.4.9.4</t>
  </si>
  <si>
    <t>1.5</t>
  </si>
  <si>
    <t>process</t>
  </si>
  <si>
    <t>66,63 dias</t>
  </si>
  <si>
    <t>34 dias</t>
  </si>
  <si>
    <t>1.5.1</t>
  </si>
  <si>
    <t>PROCESS</t>
  </si>
  <si>
    <t>cp-j0006-0000-ge-p-00001</t>
  </si>
  <si>
    <t>1.5.1.1</t>
  </si>
  <si>
    <t>CP-J0006-0000-GE-P-00001</t>
  </si>
  <si>
    <t>1.5.1.2</t>
  </si>
  <si>
    <t>1.5.1.3</t>
  </si>
  <si>
    <t>Ter 31/03/26</t>
  </si>
  <si>
    <t>Eng. Processos;Tecnored</t>
  </si>
  <si>
    <t>81;98</t>
  </si>
  <si>
    <t>Sprint 2</t>
  </si>
  <si>
    <t>1.5.1.4</t>
  </si>
  <si>
    <t>Qua 01/04/26</t>
  </si>
  <si>
    <t>1.5.2</t>
  </si>
  <si>
    <t>cp-j0006-0000-ge-p-00002</t>
  </si>
  <si>
    <t>1.5.2.1</t>
  </si>
  <si>
    <t>CP-J0006-0000-GE-P-00002</t>
  </si>
  <si>
    <t>1.5.2.2</t>
  </si>
  <si>
    <t>1.5.2.3</t>
  </si>
  <si>
    <t>Eng. Processos</t>
  </si>
  <si>
    <t>86;98</t>
  </si>
  <si>
    <t>1.5.2.4</t>
  </si>
  <si>
    <t>1.5.3</t>
  </si>
  <si>
    <t>db-j0006-0000-ge-p-00001</t>
  </si>
  <si>
    <t>1.5.3.1</t>
  </si>
  <si>
    <t>DB-J0006-0000-GE-P-00001</t>
  </si>
  <si>
    <t>1.5.3.2</t>
  </si>
  <si>
    <t>Ter 24/03/26</t>
  </si>
  <si>
    <t>1.5.3.3</t>
  </si>
  <si>
    <t>1.5.3.4</t>
  </si>
  <si>
    <t>Seg 30/03/26</t>
  </si>
  <si>
    <t>1.5.4</t>
  </si>
  <si>
    <t>db-j0006-0000-ge-p-00002</t>
  </si>
  <si>
    <t>1.5.4.1</t>
  </si>
  <si>
    <t>DB-J0006-0000-GE-P-00002</t>
  </si>
  <si>
    <t>1.5.4.2</t>
  </si>
  <si>
    <t>1.5.4.3</t>
  </si>
  <si>
    <t>1.5.4.4</t>
  </si>
  <si>
    <t>1.5.5</t>
  </si>
  <si>
    <t>fg-j0006-0000-ge-p-00001</t>
  </si>
  <si>
    <t>1.5.5.1</t>
  </si>
  <si>
    <t>FG-J0006-0000-GE-P-00001</t>
  </si>
  <si>
    <t>91;80;85;96</t>
  </si>
  <si>
    <t>07/04/2026 32HH</t>
  </si>
  <si>
    <t>99;103;108;118;113</t>
  </si>
  <si>
    <t>1.5.5.2</t>
  </si>
  <si>
    <t>1.5.5.3</t>
  </si>
  <si>
    <t>1.5.5.4</t>
  </si>
  <si>
    <t>1.5.6</t>
  </si>
  <si>
    <t>fg-j0006-0100-ge-p-00001</t>
  </si>
  <si>
    <t>16 dias</t>
  </si>
  <si>
    <t>220;272;1483</t>
  </si>
  <si>
    <t>1.5.6.1</t>
  </si>
  <si>
    <t>FG-J0006-0100-GE-P-00001</t>
  </si>
  <si>
    <t>123;133;138;104;128</t>
  </si>
  <si>
    <t>1.5.6.2</t>
  </si>
  <si>
    <t>1.5.6.3</t>
  </si>
  <si>
    <t>Felipe</t>
  </si>
  <si>
    <t>1.5.6.4</t>
  </si>
  <si>
    <t>Qua 06/05/26</t>
  </si>
  <si>
    <t>1.5.7</t>
  </si>
  <si>
    <t>fg-j0006-0200-ge-p-00001</t>
  </si>
  <si>
    <t>241;1488</t>
  </si>
  <si>
    <t>1.5.7.1</t>
  </si>
  <si>
    <t>FG-J0006-0200-GE-P-00001</t>
  </si>
  <si>
    <t>1.5.7.2</t>
  </si>
  <si>
    <t>1.5.7.3</t>
  </si>
  <si>
    <t>1.5.7.4</t>
  </si>
  <si>
    <t>1.5.8</t>
  </si>
  <si>
    <t>fg-j0006-0300-ge-p-00001</t>
  </si>
  <si>
    <t>1.5.8.1</t>
  </si>
  <si>
    <t>FG-J0006-0300-GE-P-00001</t>
  </si>
  <si>
    <t>1.5.8.2</t>
  </si>
  <si>
    <t>1.5.8.3</t>
  </si>
  <si>
    <t>1.5.8.4</t>
  </si>
  <si>
    <t>168TI+10 dias</t>
  </si>
  <si>
    <t>1.5.9</t>
  </si>
  <si>
    <t>fg-j0006-0300-ge-p-00002</t>
  </si>
  <si>
    <t>1.5.9.1</t>
  </si>
  <si>
    <t>FG-J0006-0300-GE-P-00002</t>
  </si>
  <si>
    <t>1.5.9.2</t>
  </si>
  <si>
    <t>1.5.9.3</t>
  </si>
  <si>
    <t>1.5.9.4</t>
  </si>
  <si>
    <t>1.5.10</t>
  </si>
  <si>
    <t>fg-j0006-0400-ge-p-00001</t>
  </si>
  <si>
    <t>15 dias</t>
  </si>
  <si>
    <t>1.5.10.1</t>
  </si>
  <si>
    <t>FG-J0006-0400-GE-P-00001</t>
  </si>
  <si>
    <t>1.5.10.2</t>
  </si>
  <si>
    <t>Ter 14/04/26</t>
  </si>
  <si>
    <t>1.5.10.3</t>
  </si>
  <si>
    <t>1.5.10.4</t>
  </si>
  <si>
    <t>Qua 22/04/26</t>
  </si>
  <si>
    <t>1.5.11</t>
  </si>
  <si>
    <t>fg-j0006-0500-ge-p-00001</t>
  </si>
  <si>
    <t>31 dias</t>
  </si>
  <si>
    <t>1.5.11.1</t>
  </si>
  <si>
    <t>FG-J0006-0500-GE-P-00001</t>
  </si>
  <si>
    <t>1.5.11.2</t>
  </si>
  <si>
    <t>1.5.11.3</t>
  </si>
  <si>
    <t>26 dias</t>
  </si>
  <si>
    <t>1.5.11.4</t>
  </si>
  <si>
    <t>1,9 dias</t>
  </si>
  <si>
    <t>1.5.12</t>
  </si>
  <si>
    <t>fg-j0006-0500-ge-p-00002</t>
  </si>
  <si>
    <t>1.5.12.1</t>
  </si>
  <si>
    <t>FG-J0006-0500-GE-P-00002</t>
  </si>
  <si>
    <t>1.5.12.2</t>
  </si>
  <si>
    <t>1.5.12.3</t>
  </si>
  <si>
    <t>1.5.12.4</t>
  </si>
  <si>
    <t>1.5.13</t>
  </si>
  <si>
    <t>fg-j0006-0600-ge-p-00001</t>
  </si>
  <si>
    <t>1.5.13.1</t>
  </si>
  <si>
    <t>FG-J0006-0600-GE-P-00001</t>
  </si>
  <si>
    <t>139;143;148;158;153</t>
  </si>
  <si>
    <t>1.5.13.2</t>
  </si>
  <si>
    <t>1.5.13.3</t>
  </si>
  <si>
    <t>1.5.13.4</t>
  </si>
  <si>
    <t>1.5.14</t>
  </si>
  <si>
    <t>fg-j0006-0700-ge-p-00001</t>
  </si>
  <si>
    <t>14 dias</t>
  </si>
  <si>
    <t>1.5.14.1</t>
  </si>
  <si>
    <t>FG-J0006-0700-GE-P-00001</t>
  </si>
  <si>
    <t>1.5.14.2</t>
  </si>
  <si>
    <t>1.5.14.3</t>
  </si>
  <si>
    <t>1.5.14.4</t>
  </si>
  <si>
    <t>Qui 23/04/26</t>
  </si>
  <si>
    <t>1.5.15</t>
  </si>
  <si>
    <t>fg-j0006-0800-ge-p-00001</t>
  </si>
  <si>
    <t>1.5.15.1</t>
  </si>
  <si>
    <t>FG-J0006-0800-GE-P-00001</t>
  </si>
  <si>
    <t>1.5.15.2</t>
  </si>
  <si>
    <t>1.5.15.3</t>
  </si>
  <si>
    <t>1.5.15.4</t>
  </si>
  <si>
    <t>1.5.16</t>
  </si>
  <si>
    <t>fg-j0006-0900-ge-p-00001</t>
  </si>
  <si>
    <t>4;1523TI+17 dias;1558TI+23 dias;1553TI+22 dias;1548TI+21 dias;1543TI+20 dias;1538TI+19 dias;1528TI+17 dias;1533TI+17 dias</t>
  </si>
  <si>
    <t>1.5.16.1</t>
  </si>
  <si>
    <t>FG-J0006-0900-GE-P-00001</t>
  </si>
  <si>
    <t>154;168</t>
  </si>
  <si>
    <t>1.5.16.2</t>
  </si>
  <si>
    <t>1.5.16.3</t>
  </si>
  <si>
    <t>1.5.16.4</t>
  </si>
  <si>
    <t>1.5.17</t>
  </si>
  <si>
    <t>fg-j0006-0902-ge-p-00001</t>
  </si>
  <si>
    <t>1.5.17.1</t>
  </si>
  <si>
    <t>FG-J0006-0902-GE-P-00001</t>
  </si>
  <si>
    <t>159;168</t>
  </si>
  <si>
    <t>1.5.17.2</t>
  </si>
  <si>
    <t>1.5.17.3</t>
  </si>
  <si>
    <t>1.5.17.4</t>
  </si>
  <si>
    <t>1.5.18</t>
  </si>
  <si>
    <t>md-j0006-0000-ge-p-00001</t>
  </si>
  <si>
    <t>Tarefa futura</t>
  </si>
  <si>
    <t>1.5.18.1</t>
  </si>
  <si>
    <t>MD-J0006-0000-GE-P-00001</t>
  </si>
  <si>
    <t>Sprint 6</t>
  </si>
  <si>
    <t>1.5.18.2</t>
  </si>
  <si>
    <t>Sex 08/05/26</t>
  </si>
  <si>
    <t>1.5.18.3</t>
  </si>
  <si>
    <t>1.5.18.4</t>
  </si>
  <si>
    <t>Qui 14/05/26</t>
  </si>
  <si>
    <t>1.5.19</t>
  </si>
  <si>
    <t>mc-j0006-0000-ge-p-00001</t>
  </si>
  <si>
    <t>Seg 04/05/26</t>
  </si>
  <si>
    <t>1.5.19.1</t>
  </si>
  <si>
    <t>MC-J0006-0000-GE-P-00001</t>
  </si>
  <si>
    <t>121TI+10 dias;158;116TI+10 dias;153</t>
  </si>
  <si>
    <t>169;173TI+22 dias</t>
  </si>
  <si>
    <t>1.5.19.2</t>
  </si>
  <si>
    <t>Qua 29/04/26</t>
  </si>
  <si>
    <t>Qui 07/05/26</t>
  </si>
  <si>
    <t>1.5.19.3</t>
  </si>
  <si>
    <t>Seg 11/05/26</t>
  </si>
  <si>
    <t>1.5.19.4</t>
  </si>
  <si>
    <t>1.6</t>
  </si>
  <si>
    <t>mechanical</t>
  </si>
  <si>
    <t>66,32 dias</t>
  </si>
  <si>
    <t>63 dias</t>
  </si>
  <si>
    <t>1.6.1</t>
  </si>
  <si>
    <t>MECHANICAL</t>
  </si>
  <si>
    <t>cp-j0006-0000-ge-m-00001</t>
  </si>
  <si>
    <t>46 dias</t>
  </si>
  <si>
    <t>1.6.1.1</t>
  </si>
  <si>
    <t>CP-J0006-0000-GE-M-00001</t>
  </si>
  <si>
    <t>1.6.1.2</t>
  </si>
  <si>
    <t>Qua 25/03/26</t>
  </si>
  <si>
    <t>1.6.1.3</t>
  </si>
  <si>
    <t>32 dias</t>
  </si>
  <si>
    <t>1.6.1.4</t>
  </si>
  <si>
    <t>8,75 dias</t>
  </si>
  <si>
    <t>1.6.2</t>
  </si>
  <si>
    <t>le-j0006-0000-ge-m-00001</t>
  </si>
  <si>
    <t>39 dias</t>
  </si>
  <si>
    <t>1.6.2.1</t>
  </si>
  <si>
    <t>LE-J0006-0000-GE-M-00001</t>
  </si>
  <si>
    <t>14,4 dias</t>
  </si>
  <si>
    <t>220;241;272;303;334;360;386;453</t>
  </si>
  <si>
    <t>1.6.2.2</t>
  </si>
  <si>
    <t>Sex 15/05/26</t>
  </si>
  <si>
    <t>186TI-3 dias</t>
  </si>
  <si>
    <t>1.6.2.3</t>
  </si>
  <si>
    <t>9,55 dias</t>
  </si>
  <si>
    <t>Qui 28/05/26</t>
  </si>
  <si>
    <t>185TI-3 dias</t>
  </si>
  <si>
    <t>1.6.2.4</t>
  </si>
  <si>
    <t>0,4 dias</t>
  </si>
  <si>
    <t>1.6.3</t>
  </si>
  <si>
    <t>md-j0006-0000-ge-m-00001</t>
  </si>
  <si>
    <t>1.6.3.1</t>
  </si>
  <si>
    <t>MD-J0006-0000-GE-M-00001</t>
  </si>
  <si>
    <t>199;190</t>
  </si>
  <si>
    <t>1.6.3.2</t>
  </si>
  <si>
    <t>1.6.3.3</t>
  </si>
  <si>
    <t>Qua 03/06/26</t>
  </si>
  <si>
    <t>Sprint 10</t>
  </si>
  <si>
    <t>1.6.3.4</t>
  </si>
  <si>
    <t>Sprint 11</t>
  </si>
  <si>
    <t>1.6.4</t>
  </si>
  <si>
    <t>mc-j0006-0000-ge-m-00001</t>
  </si>
  <si>
    <t>1.6.4.1</t>
  </si>
  <si>
    <t>MC-J0006-0000-GE-M-00001</t>
  </si>
  <si>
    <t>195TI+9 dias</t>
  </si>
  <si>
    <t>1.6.4.2</t>
  </si>
  <si>
    <t>194TI+9 dias</t>
  </si>
  <si>
    <t>1.6.4.3</t>
  </si>
  <si>
    <t>Sex 22/05/26</t>
  </si>
  <si>
    <t>Ter 02/06/26</t>
  </si>
  <si>
    <t>1.6.4.4</t>
  </si>
  <si>
    <t>1.6.5</t>
  </si>
  <si>
    <t>pq-j0006-0000-ge-m-00001</t>
  </si>
  <si>
    <t>Qui 11/06/26</t>
  </si>
  <si>
    <t>1.6.5.1</t>
  </si>
  <si>
    <t>PQ-J0006-0000-GE-M-00001</t>
  </si>
  <si>
    <t>1.6.5.2</t>
  </si>
  <si>
    <t>Qui 18/06/26</t>
  </si>
  <si>
    <t>1.6.5.3</t>
  </si>
  <si>
    <t>1.6.5.4</t>
  </si>
  <si>
    <t>1.6.6</t>
  </si>
  <si>
    <t>ag-j0006-0000-ge-l-00001</t>
  </si>
  <si>
    <t>1.6.6.1</t>
  </si>
  <si>
    <t>AG-J0006-0000-GE-L-00001</t>
  </si>
  <si>
    <t>42 dias</t>
  </si>
  <si>
    <t>220;241;272;303;334;360;386;432;453</t>
  </si>
  <si>
    <t>205;510TT-9 dias</t>
  </si>
  <si>
    <t>1.6.6.2</t>
  </si>
  <si>
    <t>Qui 21/05/26</t>
  </si>
  <si>
    <t>1.6.6.3</t>
  </si>
  <si>
    <t>1.6.6.4</t>
  </si>
  <si>
    <t>0,25 dias</t>
  </si>
  <si>
    <t>1.6.7</t>
  </si>
  <si>
    <t>ag-j0006-0000-ge-l-00002</t>
  </si>
  <si>
    <t>49 dias</t>
  </si>
  <si>
    <t>1.6.7.1</t>
  </si>
  <si>
    <t>AG-J0006-0000-GE-L-00002</t>
  </si>
  <si>
    <t>3,25 dias</t>
  </si>
  <si>
    <t>210TI+7 dias</t>
  </si>
  <si>
    <t>1.6.7.2</t>
  </si>
  <si>
    <t>209TI+7 dias</t>
  </si>
  <si>
    <t>1.6.7.3</t>
  </si>
  <si>
    <t>1.6.7.4</t>
  </si>
  <si>
    <t>1,6 dias</t>
  </si>
  <si>
    <t>1.6.8</t>
  </si>
  <si>
    <t>ag-j0006-0000-ge-l-00003</t>
  </si>
  <si>
    <t>1.6.8.1</t>
  </si>
  <si>
    <t>AG-J0006-0000-GE-L-00003</t>
  </si>
  <si>
    <t>215TI+7 dias</t>
  </si>
  <si>
    <t>1.6.8.2</t>
  </si>
  <si>
    <t>214TI+7 dias</t>
  </si>
  <si>
    <t>1.6.8.3</t>
  </si>
  <si>
    <t>1.6.8.4</t>
  </si>
  <si>
    <t>1.6.9</t>
  </si>
  <si>
    <t>modulo 0100</t>
  </si>
  <si>
    <t>1.6.9.1</t>
  </si>
  <si>
    <t>MODULO 0100</t>
  </si>
  <si>
    <t>ml-j0006-0100-ge-l-00001</t>
  </si>
  <si>
    <t>1.6.9.1.1</t>
  </si>
  <si>
    <t>ML-J0006-0100-GE-L-00001</t>
  </si>
  <si>
    <t>Erikson</t>
  </si>
  <si>
    <t>221;303;184;194;204;209;214;541;617;1382</t>
  </si>
  <si>
    <t>1.6.9.1.2</t>
  </si>
  <si>
    <t>1.6.9.1.3</t>
  </si>
  <si>
    <t>Qui 30/04/26</t>
  </si>
  <si>
    <t>1.6.9.1.4</t>
  </si>
  <si>
    <t>1.6.9.2</t>
  </si>
  <si>
    <t>ag-j0006-0100-ge-l-00001</t>
  </si>
  <si>
    <t>1.6.9.2.1</t>
  </si>
  <si>
    <t>AG-J0006-0100-GE-L-00001</t>
  </si>
  <si>
    <t>223;284;372;289</t>
  </si>
  <si>
    <t>226;230TT;308;235TT</t>
  </si>
  <si>
    <t>1.6.9.2.2</t>
  </si>
  <si>
    <t>1.6.9.2.3</t>
  </si>
  <si>
    <t>16,75 dias</t>
  </si>
  <si>
    <t>1.6.9.2.4</t>
  </si>
  <si>
    <t>1,75 dias</t>
  </si>
  <si>
    <t>1.6.9.3</t>
  </si>
  <si>
    <t>ag-j0006-0100-ge-l-00002</t>
  </si>
  <si>
    <t>1.6.9.3.1</t>
  </si>
  <si>
    <t>AG-J0006-0100-GE-L-00002</t>
  </si>
  <si>
    <t>225TT</t>
  </si>
  <si>
    <t>1.6.9.3.2</t>
  </si>
  <si>
    <t>1.6.9.3.3</t>
  </si>
  <si>
    <t>1.6.9.3.4</t>
  </si>
  <si>
    <t>17,5 dias</t>
  </si>
  <si>
    <t>1.6.9.4</t>
  </si>
  <si>
    <t>pl-j0006-0100-ge-m-00001</t>
  </si>
  <si>
    <t>1.6.9.4.1</t>
  </si>
  <si>
    <t>PL-J0006-0100-GE-M-00001</t>
  </si>
  <si>
    <t>1.6.9.4.2</t>
  </si>
  <si>
    <t>1.6.9.4.3</t>
  </si>
  <si>
    <t>1.6.9.4.4</t>
  </si>
  <si>
    <t>1.6.10</t>
  </si>
  <si>
    <t>modulo 0200</t>
  </si>
  <si>
    <t>43 dias</t>
  </si>
  <si>
    <t>1.6.10.1</t>
  </si>
  <si>
    <t>MODULO 0200</t>
  </si>
  <si>
    <t>ml-j0006-0200-ge-l-00001</t>
  </si>
  <si>
    <t>1.6.10.1.1</t>
  </si>
  <si>
    <t>ML-J0006-0200-GE-L-00001</t>
  </si>
  <si>
    <t>242;334;184;194;204;209;214;1382</t>
  </si>
  <si>
    <t>1.6.10.1.2</t>
  </si>
  <si>
    <t>1.6.10.1.3</t>
  </si>
  <si>
    <t>1.6.10.1.4</t>
  </si>
  <si>
    <t>246;251</t>
  </si>
  <si>
    <t>1.6.10.2</t>
  </si>
  <si>
    <t>ag-j0006-0200-ge-l-00001</t>
  </si>
  <si>
    <t>Sex 12/06/26</t>
  </si>
  <si>
    <t>1.6.10.2.1</t>
  </si>
  <si>
    <t>AG-J0006-0200-GE-L-00001</t>
  </si>
  <si>
    <t>247;339</t>
  </si>
  <si>
    <t>1.6.10.2.2</t>
  </si>
  <si>
    <t>Ter 16/06/26</t>
  </si>
  <si>
    <t>1.6.10.2.3</t>
  </si>
  <si>
    <t>1.6.10.2.4</t>
  </si>
  <si>
    <t>1.6.10.3</t>
  </si>
  <si>
    <t>ag-j0006-0200-ge-l-00002</t>
  </si>
  <si>
    <t>1.6.10.3.1</t>
  </si>
  <si>
    <t>AG-J0006-0200-GE-L-00002</t>
  </si>
  <si>
    <t>1.6.10.3.2</t>
  </si>
  <si>
    <t>253;256;261;266</t>
  </si>
  <si>
    <t>1.6.10.3.3</t>
  </si>
  <si>
    <t>1.6.10.3.4</t>
  </si>
  <si>
    <t>1.6.10.4</t>
  </si>
  <si>
    <t>pl-j0006-0200-ge-m-00001</t>
  </si>
  <si>
    <t>1.6.10.4.1</t>
  </si>
  <si>
    <t>PL-J0006-0200-GE-M-00001</t>
  </si>
  <si>
    <t>1.6.10.4.2</t>
  </si>
  <si>
    <t>Qua 10/06/26</t>
  </si>
  <si>
    <t>1.6.10.4.3</t>
  </si>
  <si>
    <t>1.6.10.4.4</t>
  </si>
  <si>
    <t>Seg 15/06/26</t>
  </si>
  <si>
    <t>1.6.10.5</t>
  </si>
  <si>
    <t>pl-j0006-0200-ge-m-00002</t>
  </si>
  <si>
    <t>1.6.10.5.1</t>
  </si>
  <si>
    <t>PL-J0006-0200-GE-M-00002</t>
  </si>
  <si>
    <t>1.6.10.5.2</t>
  </si>
  <si>
    <t>1.6.10.5.3</t>
  </si>
  <si>
    <t>1.6.10.5.4</t>
  </si>
  <si>
    <t>1.6.10.6</t>
  </si>
  <si>
    <t>pl-j0006-0200-ge-m-00003</t>
  </si>
  <si>
    <t>1.6.10.6.1</t>
  </si>
  <si>
    <t>PL-J0006-0200-GE-M-00003</t>
  </si>
  <si>
    <t>1.6.10.6.2</t>
  </si>
  <si>
    <t>1.6.10.6.3</t>
  </si>
  <si>
    <t>1.6.10.6.4</t>
  </si>
  <si>
    <t>1.6.11</t>
  </si>
  <si>
    <t>modulo 0300</t>
  </si>
  <si>
    <t>38 dias</t>
  </si>
  <si>
    <t>23 dias</t>
  </si>
  <si>
    <t>1.6.11.1</t>
  </si>
  <si>
    <t>MODULO 0300</t>
  </si>
  <si>
    <t>ml-j0006-0300-ge-l-00001</t>
  </si>
  <si>
    <t>971;976;961;966</t>
  </si>
  <si>
    <t>1.6.11.1.1</t>
  </si>
  <si>
    <t>ML-J0006-0300-GE-L-00001</t>
  </si>
  <si>
    <t>273;360;184;194;204;209;214;541;617;1382</t>
  </si>
  <si>
    <t>1.6.11.1.2</t>
  </si>
  <si>
    <t>Qui 09/04/26</t>
  </si>
  <si>
    <t>1.6.11.1.3</t>
  </si>
  <si>
    <t>1.6.11.1.4</t>
  </si>
  <si>
    <t>277;282;287</t>
  </si>
  <si>
    <t>1.6.11.2</t>
  </si>
  <si>
    <t>ag-j0006-0300-ge-l-00001</t>
  </si>
  <si>
    <t>1.6.11.2.1</t>
  </si>
  <si>
    <t>AG-J0006-0300-GE-L-00001</t>
  </si>
  <si>
    <t>275;362;455</t>
  </si>
  <si>
    <t>278;365;292;297</t>
  </si>
  <si>
    <t>1.6.11.2.2</t>
  </si>
  <si>
    <t>1.6.11.2.3</t>
  </si>
  <si>
    <t>280TI+18 dias</t>
  </si>
  <si>
    <t>1.6.11.2.4</t>
  </si>
  <si>
    <t>0,85 dias</t>
  </si>
  <si>
    <t>279TI+18 dias</t>
  </si>
  <si>
    <t>1.6.11.3</t>
  </si>
  <si>
    <t>ag-j0006-0300-ge-l-00002</t>
  </si>
  <si>
    <t>1.6.11.3.1</t>
  </si>
  <si>
    <t>AG-J0006-0300-GE-L-00002</t>
  </si>
  <si>
    <t>1.6.11.3.2</t>
  </si>
  <si>
    <t>1.6.11.3.3</t>
  </si>
  <si>
    <t>285TI+18 dias;225</t>
  </si>
  <si>
    <t>1.6.11.3.4</t>
  </si>
  <si>
    <t>284TI+18 dias</t>
  </si>
  <si>
    <t>1.6.11.4</t>
  </si>
  <si>
    <t>ag-j0006-0300-ge-l-00003</t>
  </si>
  <si>
    <t>1.6.11.4.1</t>
  </si>
  <si>
    <t>AG-J0006-0300-GE-L-00003</t>
  </si>
  <si>
    <t>1.6.11.4.2</t>
  </si>
  <si>
    <t>1.6.11.4.3</t>
  </si>
  <si>
    <t>290TI+18 dias;225</t>
  </si>
  <si>
    <t>1.6.11.4.4</t>
  </si>
  <si>
    <t>289TI+18 dias</t>
  </si>
  <si>
    <t>1.6.11.5</t>
  </si>
  <si>
    <t>pl-j0006-0300-ge-m-00001</t>
  </si>
  <si>
    <t>1.6.11.5.1</t>
  </si>
  <si>
    <t>PL-J0006-0300-GE-M-00001</t>
  </si>
  <si>
    <t>1.6.11.5.2</t>
  </si>
  <si>
    <t>1.6.11.5.3</t>
  </si>
  <si>
    <t>295TI+18 dias</t>
  </si>
  <si>
    <t>1.6.11.5.4</t>
  </si>
  <si>
    <t>294TI+18 dias</t>
  </si>
  <si>
    <t>1.6.11.6</t>
  </si>
  <si>
    <t>pl-j0006-0300-ge-m-00002</t>
  </si>
  <si>
    <t>1.6.11.6.1</t>
  </si>
  <si>
    <t>PL-J0006-0300-GE-M-00002</t>
  </si>
  <si>
    <t>1.6.11.6.2</t>
  </si>
  <si>
    <t>1.6.11.6.3</t>
  </si>
  <si>
    <t>300TI+18 dias</t>
  </si>
  <si>
    <t>1.6.11.6.4</t>
  </si>
  <si>
    <t>299TI+18 dias</t>
  </si>
  <si>
    <t>1.6.12</t>
  </si>
  <si>
    <t>modulo 0400</t>
  </si>
  <si>
    <t>30 dias</t>
  </si>
  <si>
    <t>1.6.12.1</t>
  </si>
  <si>
    <t>MODULO 0400</t>
  </si>
  <si>
    <t>ml-j0006-0400-ge-l-00001</t>
  </si>
  <si>
    <t>1027;1037;1032;1022;1017</t>
  </si>
  <si>
    <t>1.6.12.1.1</t>
  </si>
  <si>
    <t>ML-J0006-0400-GE-L-00001</t>
  </si>
  <si>
    <t>304;386;184;194;204;209;214;541;617;1382</t>
  </si>
  <si>
    <t>1.6.12.1.2</t>
  </si>
  <si>
    <t>Qua 08/04/26</t>
  </si>
  <si>
    <t>1.6.12.1.3</t>
  </si>
  <si>
    <t>1.6.12.1.4</t>
  </si>
  <si>
    <t>1.6.12.2</t>
  </si>
  <si>
    <t>ag-j0006-0400-ge-l-00001</t>
  </si>
  <si>
    <t>12 dias</t>
  </si>
  <si>
    <t>1.6.12.2.1</t>
  </si>
  <si>
    <t>AG-J0006-0400-GE-L-00001</t>
  </si>
  <si>
    <t>306;225</t>
  </si>
  <si>
    <t>309;318TT;323TT;391;313TT;328TT</t>
  </si>
  <si>
    <t>1.6.12.2.2</t>
  </si>
  <si>
    <t>1.6.12.2.3</t>
  </si>
  <si>
    <t>0,75 dias</t>
  </si>
  <si>
    <t>1.6.12.2.4</t>
  </si>
  <si>
    <t>1.6.12.3</t>
  </si>
  <si>
    <t>ag-j0006-0400-ge-l-00002</t>
  </si>
  <si>
    <t>1.6.12.3.1</t>
  </si>
  <si>
    <t>AG-J0006-0400-GE-L-00002</t>
  </si>
  <si>
    <t>308TT</t>
  </si>
  <si>
    <t>1.6.12.3.2</t>
  </si>
  <si>
    <t>1.6.12.3.3</t>
  </si>
  <si>
    <t>1.6.12.3.4</t>
  </si>
  <si>
    <t>1.6.12.4</t>
  </si>
  <si>
    <t>ag-j0006-0400-ge-l-00003</t>
  </si>
  <si>
    <t>1.6.12.4.1</t>
  </si>
  <si>
    <t>AG-J0006-0400-GE-L-00003</t>
  </si>
  <si>
    <t>1.6.12.4.2</t>
  </si>
  <si>
    <t>1.6.12.4.3</t>
  </si>
  <si>
    <t>1.6.12.4.4</t>
  </si>
  <si>
    <t>1.6.12.5</t>
  </si>
  <si>
    <t>pl-j0006-0400-ge-m-00001</t>
  </si>
  <si>
    <t>1.6.12.5.1</t>
  </si>
  <si>
    <t>PL-J0006-0400-GE-M-00001</t>
  </si>
  <si>
    <t>1.6.12.5.2</t>
  </si>
  <si>
    <t>1.6.12.5.3</t>
  </si>
  <si>
    <t>1.6.12.5.4</t>
  </si>
  <si>
    <t>1.6.12.6</t>
  </si>
  <si>
    <t>pl-j0006-0400-ge-m-00002</t>
  </si>
  <si>
    <t>1.6.12.6.1</t>
  </si>
  <si>
    <t>PL-J0006-0400-GE-M-00002</t>
  </si>
  <si>
    <t>1.6.12.6.2</t>
  </si>
  <si>
    <t>1.6.12.6.3</t>
  </si>
  <si>
    <t>1.6.12.6.4</t>
  </si>
  <si>
    <t>1.6.13</t>
  </si>
  <si>
    <t>modulo 0500</t>
  </si>
  <si>
    <t>27 dias</t>
  </si>
  <si>
    <t>1.6.13.1</t>
  </si>
  <si>
    <t>MODULO 0500</t>
  </si>
  <si>
    <t>ml-j0006-0500-ge-l-00001</t>
  </si>
  <si>
    <t>1108;1103;1098</t>
  </si>
  <si>
    <t>1.6.13.1.1</t>
  </si>
  <si>
    <t>ML-J0006-0500-GE-L-00001</t>
  </si>
  <si>
    <t>335;184;194;204;209;214;541;1382</t>
  </si>
  <si>
    <t>1.6.13.1.2</t>
  </si>
  <si>
    <t>1.6.13.1.3</t>
  </si>
  <si>
    <t>1.6.13.1.4</t>
  </si>
  <si>
    <t>Ter 12/05/26</t>
  </si>
  <si>
    <t>1.6.13.2</t>
  </si>
  <si>
    <t>ag-j0006-0500-ge-l-00001</t>
  </si>
  <si>
    <t>1.6.13.2.1</t>
  </si>
  <si>
    <t>AG-J0006-0500-GE-L-00001</t>
  </si>
  <si>
    <t>337;246</t>
  </si>
  <si>
    <t>340;344TT</t>
  </si>
  <si>
    <t>1.6.13.2.2</t>
  </si>
  <si>
    <t>1.6.13.2.3</t>
  </si>
  <si>
    <t>1.6.13.2.4</t>
  </si>
  <si>
    <t>1.6.13.4</t>
  </si>
  <si>
    <t>pl-j0006-0500-ge-m-00001</t>
  </si>
  <si>
    <t>1.6.13.4.1</t>
  </si>
  <si>
    <t>PL-J0006-0500-GE-M-00001</t>
  </si>
  <si>
    <t>1.6.13.4.2</t>
  </si>
  <si>
    <t>1.6.13.4.3</t>
  </si>
  <si>
    <t>1.6.13.4.4</t>
  </si>
  <si>
    <t>1.6.13.5</t>
  </si>
  <si>
    <t>pl-j0006-0500-ge-m-00002</t>
  </si>
  <si>
    <t>1.6.13.5.1</t>
  </si>
  <si>
    <t>PL-J0006-0500-GE-M-00002</t>
  </si>
  <si>
    <t>1.6.13.5.2</t>
  </si>
  <si>
    <t>1.6.13.5.3</t>
  </si>
  <si>
    <t>1.6.13.5.4</t>
  </si>
  <si>
    <t>1.6.14</t>
  </si>
  <si>
    <t>modulo 0600</t>
  </si>
  <si>
    <t>1.6.14.1</t>
  </si>
  <si>
    <t>MODULO 0600</t>
  </si>
  <si>
    <t>ml-j0006-0600-ge-l-00001</t>
  </si>
  <si>
    <t>1154;1149;1144</t>
  </si>
  <si>
    <t>1.6.14.1.1</t>
  </si>
  <si>
    <t>ML-J0006-0600-GE-L-00001</t>
  </si>
  <si>
    <t>361;184;194;204;209;214;541;617;1382;453TI+4 dias</t>
  </si>
  <si>
    <t>1.6.14.1.2</t>
  </si>
  <si>
    <t>1.6.14.1.3</t>
  </si>
  <si>
    <t>363;277</t>
  </si>
  <si>
    <t>1.6.14.1.4</t>
  </si>
  <si>
    <t>1.6.14.2</t>
  </si>
  <si>
    <t>ag-j0006-0600-ge-l-00001</t>
  </si>
  <si>
    <t>1.6.14.2.1</t>
  </si>
  <si>
    <t>AG-J0006-0600-GE-L-00001</t>
  </si>
  <si>
    <t>366;370TT;484;458;479</t>
  </si>
  <si>
    <t>1.6.14.2.2</t>
  </si>
  <si>
    <t>367TI+14 dias</t>
  </si>
  <si>
    <t>1.6.14.2.3</t>
  </si>
  <si>
    <t>366TI+14 dias</t>
  </si>
  <si>
    <t>1.6.14.2.4</t>
  </si>
  <si>
    <t>0,5 dias</t>
  </si>
  <si>
    <t>1.6.14.3</t>
  </si>
  <si>
    <t>ag-j0006-0600-ge-l-00002</t>
  </si>
  <si>
    <t>1.6.14.3.1</t>
  </si>
  <si>
    <t>AG-J0006-0600-GE-L-00002</t>
  </si>
  <si>
    <t>365TT</t>
  </si>
  <si>
    <t>1.6.14.3.2</t>
  </si>
  <si>
    <t>372TI+14 dias</t>
  </si>
  <si>
    <t>1.6.14.3.3</t>
  </si>
  <si>
    <t>371TI+14 dias</t>
  </si>
  <si>
    <t>373;225</t>
  </si>
  <si>
    <t>1.6.14.3.4</t>
  </si>
  <si>
    <t>1.6.14.4</t>
  </si>
  <si>
    <t>pl-j0006-0600-ge-m-00001</t>
  </si>
  <si>
    <t>1.6.14.4.1</t>
  </si>
  <si>
    <t>PL-J0006-0600-GE-M-00001</t>
  </si>
  <si>
    <t>1,5 dias</t>
  </si>
  <si>
    <t>376TI+14 dias;381TI+14 dias</t>
  </si>
  <si>
    <t>1.6.14.4.2</t>
  </si>
  <si>
    <t>375TI+14 dias</t>
  </si>
  <si>
    <t>1.6.14.4.3</t>
  </si>
  <si>
    <t>1.6.14.4.4</t>
  </si>
  <si>
    <t>1.6.14.5</t>
  </si>
  <si>
    <t>pl-j0006-0600-ge-m-00002</t>
  </si>
  <si>
    <t>1.6.14.5.1</t>
  </si>
  <si>
    <t>PL-J0006-0600-GE-M-00002</t>
  </si>
  <si>
    <t>1.6.14.5.2</t>
  </si>
  <si>
    <t>1.6.14.5.3</t>
  </si>
  <si>
    <t>1.6.14.5.4</t>
  </si>
  <si>
    <t>1.6.15</t>
  </si>
  <si>
    <t>modulo 0700</t>
  </si>
  <si>
    <t>28 dias</t>
  </si>
  <si>
    <t>1.6.15.1</t>
  </si>
  <si>
    <t>MODULO 0700</t>
  </si>
  <si>
    <t>ml-j0006-0700-ge-l-00001</t>
  </si>
  <si>
    <t>391;1200TI+5 diasd;1195TI+5 diasd;1190TI+5 diasd</t>
  </si>
  <si>
    <t>1.6.15.1.1</t>
  </si>
  <si>
    <t>ML-J0006-0700-GE-L-00001</t>
  </si>
  <si>
    <t>387;184;194;204;209;214;541;617;1382</t>
  </si>
  <si>
    <t>1.6.15.1.2</t>
  </si>
  <si>
    <t>1.6.15.1.3</t>
  </si>
  <si>
    <t>1.6.15.1.4</t>
  </si>
  <si>
    <t>1.6.15.2</t>
  </si>
  <si>
    <t>ag-j0006-0700-ge-l-00001</t>
  </si>
  <si>
    <t>1.6.15.2.1</t>
  </si>
  <si>
    <t>AG-J0006-0700-GE-L-00001</t>
  </si>
  <si>
    <t>385;308</t>
  </si>
  <si>
    <t>392;396TT;406TT;401TT</t>
  </si>
  <si>
    <t>1.6.15.2.2</t>
  </si>
  <si>
    <t>1.6.15.2.3</t>
  </si>
  <si>
    <t>394TI+9 dias</t>
  </si>
  <si>
    <t>1.6.15.2.4</t>
  </si>
  <si>
    <t>3,5 dias</t>
  </si>
  <si>
    <t>393TI+9 dias</t>
  </si>
  <si>
    <t>1.6.15.3</t>
  </si>
  <si>
    <t>ag-j0006-0700-ge-l-00002</t>
  </si>
  <si>
    <t>1.6.15.3.1</t>
  </si>
  <si>
    <t>AG-J0006-0700-GE-L-00002</t>
  </si>
  <si>
    <t>391TT</t>
  </si>
  <si>
    <t>1.6.15.3.2</t>
  </si>
  <si>
    <t>1.6.15.3.3</t>
  </si>
  <si>
    <t>399TI+9 dias</t>
  </si>
  <si>
    <t>1.6.15.3.4</t>
  </si>
  <si>
    <t>398TI+9 dias</t>
  </si>
  <si>
    <t>1.6.15.4</t>
  </si>
  <si>
    <t>ag-j0006-0700-ge-l-00003</t>
  </si>
  <si>
    <t>1.6.15.4.1</t>
  </si>
  <si>
    <t>AG-J0006-0700-GE-L-00003</t>
  </si>
  <si>
    <t>1.6.15.4.2</t>
  </si>
  <si>
    <t>1.6.15.4.3</t>
  </si>
  <si>
    <t>404TI+9 dias</t>
  </si>
  <si>
    <t>1.6.15.4.4</t>
  </si>
  <si>
    <t>7,5 dias</t>
  </si>
  <si>
    <t>403TI+9 dias</t>
  </si>
  <si>
    <t>1.6.15.5</t>
  </si>
  <si>
    <t>ag-j0006-0700-ge-l-00004</t>
  </si>
  <si>
    <t>1.6.15.5.1</t>
  </si>
  <si>
    <t>AG-J0006-0700-GE-L-00004</t>
  </si>
  <si>
    <t>1.6.15.5.2</t>
  </si>
  <si>
    <t>1.6.15.5.3</t>
  </si>
  <si>
    <t>409TI+9 dias</t>
  </si>
  <si>
    <t>1.6.15.5.4</t>
  </si>
  <si>
    <t>408TI+9 dias</t>
  </si>
  <si>
    <t>1.6.15.6</t>
  </si>
  <si>
    <t>pl-j0006-0700-ge-m-00001</t>
  </si>
  <si>
    <t>1.6.15.6.1</t>
  </si>
  <si>
    <t>PL-J0006-0700-GE-M-00001</t>
  </si>
  <si>
    <t>1.6.15.6.2</t>
  </si>
  <si>
    <t>1.6.15.6.3</t>
  </si>
  <si>
    <t>1.6.15.6.4</t>
  </si>
  <si>
    <t>1.6.15.7</t>
  </si>
  <si>
    <t>pl-j0006-0700-ge-m-00002</t>
  </si>
  <si>
    <t>1.6.15.7.1</t>
  </si>
  <si>
    <t>PL-J0006-0700-GE-M-00002</t>
  </si>
  <si>
    <t>1.6.15.7.2</t>
  </si>
  <si>
    <t>1.6.15.7.3</t>
  </si>
  <si>
    <t>1.6.15.7.4</t>
  </si>
  <si>
    <t>1.6.15.8</t>
  </si>
  <si>
    <t>pl-j0006-0700-ge-m-00003</t>
  </si>
  <si>
    <t>1.6.15.8.1</t>
  </si>
  <si>
    <t>PL-J0006-0700-GE-M-00003</t>
  </si>
  <si>
    <t>1.6.15.8.2</t>
  </si>
  <si>
    <t>1.6.15.8.3</t>
  </si>
  <si>
    <t>1.6.15.8.4</t>
  </si>
  <si>
    <t>1.6.15.9</t>
  </si>
  <si>
    <t>pl-j0006-0700-ge-m-00004</t>
  </si>
  <si>
    <t>1.6.15.9.1</t>
  </si>
  <si>
    <t>PL-J0006-0700-GE-M-00004</t>
  </si>
  <si>
    <t>1.6.15.9.2</t>
  </si>
  <si>
    <t>1.6.15.9.3</t>
  </si>
  <si>
    <t>1.6.15.9.4</t>
  </si>
  <si>
    <t>1.6.17</t>
  </si>
  <si>
    <t>modulo 0900</t>
  </si>
  <si>
    <t>1.6.17.1</t>
  </si>
  <si>
    <t>MODULO 0900</t>
  </si>
  <si>
    <t>ml-j0006-0900-ge-l-00001</t>
  </si>
  <si>
    <t>1277;1272;1267</t>
  </si>
  <si>
    <t>1.6.17.1.1</t>
  </si>
  <si>
    <t>ML-J0006-0900-GE-L-00001</t>
  </si>
  <si>
    <t>360TI+4 dias</t>
  </si>
  <si>
    <t>454;184;194;204;209;214;541;617;1382</t>
  </si>
  <si>
    <t>1.6.17.1.2</t>
  </si>
  <si>
    <t>1.6.17.1.3</t>
  </si>
  <si>
    <t>456;277</t>
  </si>
  <si>
    <t>1.6.17.1.4</t>
  </si>
  <si>
    <t>1.6.17.2</t>
  </si>
  <si>
    <t>ag-j0006-0900-ge-l-00001</t>
  </si>
  <si>
    <t>14,5 dias</t>
  </si>
  <si>
    <t>1.6.17.2.1</t>
  </si>
  <si>
    <t>AG-J0006-0900-GE-L-00001</t>
  </si>
  <si>
    <t>456;365</t>
  </si>
  <si>
    <t>459;473TT;463TT;468TT</t>
  </si>
  <si>
    <t>1.6.17.2.2</t>
  </si>
  <si>
    <t>1.6.17.2.3</t>
  </si>
  <si>
    <t>1.6.17.2.4</t>
  </si>
  <si>
    <t>8,5 dias</t>
  </si>
  <si>
    <t>1.6.17.3</t>
  </si>
  <si>
    <t>ag-j0006-0900-ge-l-00002</t>
  </si>
  <si>
    <t>1.6.17.3.1</t>
  </si>
  <si>
    <t>AG-J0006-0900-GE-L-00002</t>
  </si>
  <si>
    <t>458TT</t>
  </si>
  <si>
    <t>1.6.17.3.2</t>
  </si>
  <si>
    <t>1.6.17.3.3</t>
  </si>
  <si>
    <t>1.6.17.3.4</t>
  </si>
  <si>
    <t>1.6.17.4</t>
  </si>
  <si>
    <t>pl-j0006-0900-ge-m-00001</t>
  </si>
  <si>
    <t>1.6.17.4.1</t>
  </si>
  <si>
    <t>PL-J0006-0900-GE-M-00001</t>
  </si>
  <si>
    <t>1.6.17.4.2</t>
  </si>
  <si>
    <t>1.6.17.4.3</t>
  </si>
  <si>
    <t>1.6.17.4.4</t>
  </si>
  <si>
    <t>1.6.17.5</t>
  </si>
  <si>
    <t>pl-j0006-0900-ge-m-00002</t>
  </si>
  <si>
    <t>1.6.17.5.1</t>
  </si>
  <si>
    <t>PL-J0006-0900-GE-M-00002</t>
  </si>
  <si>
    <t>1.6.17.5.2</t>
  </si>
  <si>
    <t>1.6.17.5.3</t>
  </si>
  <si>
    <t>1.6.17.5.4</t>
  </si>
  <si>
    <t>1.6.18</t>
  </si>
  <si>
    <t>modulo 0902</t>
  </si>
  <si>
    <t>1.6.18.1</t>
  </si>
  <si>
    <t>MODULO 0902</t>
  </si>
  <si>
    <t>ml-j0006-0902-ge-l-00001</t>
  </si>
  <si>
    <t>22,5 dias</t>
  </si>
  <si>
    <t>1.6.18.1.1</t>
  </si>
  <si>
    <t>ML-J0006-0902-GE-L-00001</t>
  </si>
  <si>
    <t>480;489TT;494TT</t>
  </si>
  <si>
    <t>1.6.18.1.2</t>
  </si>
  <si>
    <t>1.6.18.1.3</t>
  </si>
  <si>
    <t>1.6.18.1.4</t>
  </si>
  <si>
    <t>1.6.18.2</t>
  </si>
  <si>
    <t>ag-j0006-0902-ge-l-00001</t>
  </si>
  <si>
    <t>1.6.18.2.1</t>
  </si>
  <si>
    <t>AG-J0006-0902-GE-L-00001</t>
  </si>
  <si>
    <t>485;489TT;494TT</t>
  </si>
  <si>
    <t>1.6.18.2.2</t>
  </si>
  <si>
    <t>1.6.18.2.3</t>
  </si>
  <si>
    <t>1.6.18.2.4</t>
  </si>
  <si>
    <t>1.6.18.3</t>
  </si>
  <si>
    <t>ag-j0006-0902-ge-l-00002</t>
  </si>
  <si>
    <t>1.6.18.3.1</t>
  </si>
  <si>
    <t>AG-J0006-0902-GE-L-00002</t>
  </si>
  <si>
    <t>484TT;479TT</t>
  </si>
  <si>
    <t>1.6.18.3.2</t>
  </si>
  <si>
    <t>1.6.18.3.3</t>
  </si>
  <si>
    <t>1.6.18.3.4</t>
  </si>
  <si>
    <t>1.6.18.4</t>
  </si>
  <si>
    <t>pl-j0006-0902-ge-m-00001</t>
  </si>
  <si>
    <t>25 dias</t>
  </si>
  <si>
    <t>1.6.18.4.1</t>
  </si>
  <si>
    <t>PL-J0006-0902-GE-M-00001</t>
  </si>
  <si>
    <t>1.6.18.4.2</t>
  </si>
  <si>
    <t>1.6.18.4.3</t>
  </si>
  <si>
    <t>1.6.18.4.4</t>
  </si>
  <si>
    <t>17 dias</t>
  </si>
  <si>
    <t>1.6.19</t>
  </si>
  <si>
    <t>modulo 1000</t>
  </si>
  <si>
    <t>1.6.19.1</t>
  </si>
  <si>
    <t>MODULO 1000</t>
  </si>
  <si>
    <t>ag-j0006-1000-ge-l-00001</t>
  </si>
  <si>
    <t>1.6.19.1.1</t>
  </si>
  <si>
    <t>AG-J0006-1000-GE-L-00001</t>
  </si>
  <si>
    <t>1.6.19.1.2</t>
  </si>
  <si>
    <t>1.6.19.1.3</t>
  </si>
  <si>
    <t>1.6.19.1.4</t>
  </si>
  <si>
    <t>1.6.19.2</t>
  </si>
  <si>
    <t>pl-j0006-1000-ge-m-00001</t>
  </si>
  <si>
    <t>1.6.19.2.1</t>
  </si>
  <si>
    <t>PL-J0006-1000-GE-M-00001</t>
  </si>
  <si>
    <t>1.6.19.2.2</t>
  </si>
  <si>
    <t>1.6.19.2.3</t>
  </si>
  <si>
    <t>1.6.19.2.4</t>
  </si>
  <si>
    <t>1.6.21</t>
  </si>
  <si>
    <t>pl-j0006-1004-ge-m-00001</t>
  </si>
  <si>
    <t>1.6.21.1</t>
  </si>
  <si>
    <t>PL-J0006-1004-GE-M-00001</t>
  </si>
  <si>
    <t>510II+3 dias</t>
  </si>
  <si>
    <t>Projetista Mecânico</t>
  </si>
  <si>
    <t>1.6.21.2</t>
  </si>
  <si>
    <t>1.6.21.3</t>
  </si>
  <si>
    <t>1.6.21.4</t>
  </si>
  <si>
    <t>1.6.22</t>
  </si>
  <si>
    <t>rl-j0006-0000-ge-m-00001</t>
  </si>
  <si>
    <t>1.6.22.1</t>
  </si>
  <si>
    <t>RL-J0006-0000-GE-M-00001</t>
  </si>
  <si>
    <t>1.6.22.2</t>
  </si>
  <si>
    <t>1.6.22.3</t>
  </si>
  <si>
    <t>1.6.22.4</t>
  </si>
  <si>
    <t>1.6.23</t>
  </si>
  <si>
    <t>rl-j0006-0000-ge-m-00002</t>
  </si>
  <si>
    <t>1.6.23.1</t>
  </si>
  <si>
    <t>RL-J0006-0000-GE-M-00002</t>
  </si>
  <si>
    <t>1.6.23.2</t>
  </si>
  <si>
    <t>1.6.23.3</t>
  </si>
  <si>
    <t>1.6.23.4</t>
  </si>
  <si>
    <t>1.6.24</t>
  </si>
  <si>
    <t>rl-j0006-0000-ge-m-00003</t>
  </si>
  <si>
    <t>Ter 30/06/26</t>
  </si>
  <si>
    <t>1.6.24.1</t>
  </si>
  <si>
    <t>RL-J0006-0000-GE-M-00003</t>
  </si>
  <si>
    <t>1.6.24.2</t>
  </si>
  <si>
    <t>1.6.24.3</t>
  </si>
  <si>
    <t>1.6.24.4</t>
  </si>
  <si>
    <t>1.7</t>
  </si>
  <si>
    <t>utilities systems</t>
  </si>
  <si>
    <t>56 dias</t>
  </si>
  <si>
    <t>59 dias</t>
  </si>
  <si>
    <t>1.7.1</t>
  </si>
  <si>
    <t>UTILITIES SYSTEMS</t>
  </si>
  <si>
    <t>ml-j0006-0000-ge-u-00001</t>
  </si>
  <si>
    <t>13 dias</t>
  </si>
  <si>
    <t>1.7.1.1</t>
  </si>
  <si>
    <t>ML-J0006-0000-GE-U-00001</t>
  </si>
  <si>
    <t>220;272;303;334;360;386;453</t>
  </si>
  <si>
    <t>Eng. Tubulação</t>
  </si>
  <si>
    <t>542;601;596</t>
  </si>
  <si>
    <t>1.7.1.2</t>
  </si>
  <si>
    <t>1.7.1.3</t>
  </si>
  <si>
    <t>1.7.1.4</t>
  </si>
  <si>
    <t>1.7.2</t>
  </si>
  <si>
    <t>cp-j0006-0000-ge-u-00001</t>
  </si>
  <si>
    <t>1.7.2.1</t>
  </si>
  <si>
    <t>CP-J0006-0000-GE-U-00001</t>
  </si>
  <si>
    <t>1.7.2.2</t>
  </si>
  <si>
    <t>1.7.2.3</t>
  </si>
  <si>
    <t>1.7.2.4</t>
  </si>
  <si>
    <t>1.7.7</t>
  </si>
  <si>
    <t>fg-j0006-0000-ge-u-00001</t>
  </si>
  <si>
    <t>1.7.7.1</t>
  </si>
  <si>
    <t>FG-J0006-0000-GE-U-00001</t>
  </si>
  <si>
    <t>Projetista Tubulação</t>
  </si>
  <si>
    <t>1.7.7.2</t>
  </si>
  <si>
    <t>1.7.7.3</t>
  </si>
  <si>
    <t>1.7.7.4</t>
  </si>
  <si>
    <t>1.7.8</t>
  </si>
  <si>
    <t>fg-j0006-0000-ge-u-00002</t>
  </si>
  <si>
    <t>1.7.8.1</t>
  </si>
  <si>
    <t>FG-J0006-0000-GE-U-00002</t>
  </si>
  <si>
    <t>5,5 dias</t>
  </si>
  <si>
    <t>1.7.8.2</t>
  </si>
  <si>
    <t>1.7.8.3</t>
  </si>
  <si>
    <t>1.7.8.4</t>
  </si>
  <si>
    <t>1.7.9</t>
  </si>
  <si>
    <t>fg-j0006-0000-ge-u-00003</t>
  </si>
  <si>
    <t>1.7.9.1</t>
  </si>
  <si>
    <t>FG-J0006-0000-GE-U-00003</t>
  </si>
  <si>
    <t>1.7.9.2</t>
  </si>
  <si>
    <t>1.7.9.3</t>
  </si>
  <si>
    <t>1.7.9.4</t>
  </si>
  <si>
    <t>1.7.10</t>
  </si>
  <si>
    <t>fg-j0006-0000-ge-u-00004</t>
  </si>
  <si>
    <t>1.7.10.1</t>
  </si>
  <si>
    <t>FG-J0006-0000-GE-U-00004</t>
  </si>
  <si>
    <t>1.7.10.2</t>
  </si>
  <si>
    <t>1.7.10.3</t>
  </si>
  <si>
    <t>1.7.10.4</t>
  </si>
  <si>
    <t>1.7.11</t>
  </si>
  <si>
    <t>fg-j0006-0000-ge-u-00005</t>
  </si>
  <si>
    <t>1.7.11.1</t>
  </si>
  <si>
    <t xml:space="preserve">FG-J0006-0000-GE-U-00005 </t>
  </si>
  <si>
    <t>1.7.11.2</t>
  </si>
  <si>
    <t>1.7.11.3</t>
  </si>
  <si>
    <t>1.7.11.4</t>
  </si>
  <si>
    <t>1.7.12</t>
  </si>
  <si>
    <t>mc-j0006-1000-ge-u-00001</t>
  </si>
  <si>
    <t>1.7.12.1</t>
  </si>
  <si>
    <t>MC-J0006-1000-GE-U-00001</t>
  </si>
  <si>
    <t>1.7.12.2</t>
  </si>
  <si>
    <t>1.7.12.3</t>
  </si>
  <si>
    <t>1.7.12.4</t>
  </si>
  <si>
    <t>1.7.13</t>
  </si>
  <si>
    <t>md-j0006-1000-ge-u-00001</t>
  </si>
  <si>
    <t>1.7.13.1</t>
  </si>
  <si>
    <t>MD-J0006-1000-GE-U-00001</t>
  </si>
  <si>
    <t>1.7.13.2</t>
  </si>
  <si>
    <t>1.7.13.3</t>
  </si>
  <si>
    <t>1.7.13.4</t>
  </si>
  <si>
    <t>1.8</t>
  </si>
  <si>
    <t>piping</t>
  </si>
  <si>
    <t>65 dias</t>
  </si>
  <si>
    <t>1.8.1</t>
  </si>
  <si>
    <t>PIPING</t>
  </si>
  <si>
    <t>cp-j0006-0000-ge-t-00001</t>
  </si>
  <si>
    <t>1.8.1.1</t>
  </si>
  <si>
    <t>CP-J0006-0000-GE-T-00001</t>
  </si>
  <si>
    <t>1.8.1.2</t>
  </si>
  <si>
    <t>1.8.1.3</t>
  </si>
  <si>
    <t>1.8.1.4</t>
  </si>
  <si>
    <t>1.8.2</t>
  </si>
  <si>
    <t>ml-j0006-0000-ge-t-00001</t>
  </si>
  <si>
    <t>782;632</t>
  </si>
  <si>
    <t>1.8.2.1</t>
  </si>
  <si>
    <t>ML-J0006-0000-GE-T-00001</t>
  </si>
  <si>
    <t>220;272;303;360;386;453</t>
  </si>
  <si>
    <t>618;792</t>
  </si>
  <si>
    <t>1.8.2.2</t>
  </si>
  <si>
    <t>1.8.2.3</t>
  </si>
  <si>
    <t>1,65 dias</t>
  </si>
  <si>
    <t>1.8.2.4</t>
  </si>
  <si>
    <t>717;732;737;747;757;762;767;787;722;752;637;712;707;727;742</t>
  </si>
  <si>
    <t>1.8.3</t>
  </si>
  <si>
    <t>et-j0006-0504-ge-t-00001</t>
  </si>
  <si>
    <t>1.8.3.1</t>
  </si>
  <si>
    <t>ET-J0006-0504-GE-T-00001</t>
  </si>
  <si>
    <t>1.8.3.2</t>
  </si>
  <si>
    <t>1.8.3.3</t>
  </si>
  <si>
    <t>1.8.3.4</t>
  </si>
  <si>
    <t>1.8.5</t>
  </si>
  <si>
    <t>pq-j0006-0000-ge-t-00001</t>
  </si>
  <si>
    <t>1.8.5.1</t>
  </si>
  <si>
    <t>PQ-J0006-0000-GE-T-00001</t>
  </si>
  <si>
    <t>633;622;627</t>
  </si>
  <si>
    <t>1.8.5.2</t>
  </si>
  <si>
    <t>1.8.5.3</t>
  </si>
  <si>
    <t>1.8.5.4</t>
  </si>
  <si>
    <t>1.8.7</t>
  </si>
  <si>
    <t>fg-j0006-0100-ge-t-00001</t>
  </si>
  <si>
    <t>1.8.7.1</t>
  </si>
  <si>
    <t>FG-J0006-0100-GE-T-00001</t>
  </si>
  <si>
    <t>4;637TT</t>
  </si>
  <si>
    <t>1.8.7.2</t>
  </si>
  <si>
    <t>1.8.7.3</t>
  </si>
  <si>
    <t>1.8.7.4</t>
  </si>
  <si>
    <t>1.8.9</t>
  </si>
  <si>
    <t>fg-j0006-0300-ge-t-00001</t>
  </si>
  <si>
    <t>1.8.9.1</t>
  </si>
  <si>
    <t>FG-J0006-0300-GE-T-00001</t>
  </si>
  <si>
    <t>1.8.9.2</t>
  </si>
  <si>
    <t>1.8.9.3</t>
  </si>
  <si>
    <t>1.8.9.4</t>
  </si>
  <si>
    <t>1.8.10</t>
  </si>
  <si>
    <t>fg-j0006-0400-ge-t-00001</t>
  </si>
  <si>
    <t>1.8.10.1</t>
  </si>
  <si>
    <t>FG-J0006-0400-GE-T-00001</t>
  </si>
  <si>
    <t>1.8.10.2</t>
  </si>
  <si>
    <t>1.8.10.3</t>
  </si>
  <si>
    <t>1.8.10.4</t>
  </si>
  <si>
    <t>1.8.11</t>
  </si>
  <si>
    <t>fg-j0006-0504-ge-t-00001</t>
  </si>
  <si>
    <t>1.8.11.1</t>
  </si>
  <si>
    <t>FG-J0006-0504-GE-T-00001</t>
  </si>
  <si>
    <t>1.8.11.2</t>
  </si>
  <si>
    <t>1.8.11.3</t>
  </si>
  <si>
    <t>1.8.11.4</t>
  </si>
  <si>
    <t>Qui 04/06/26</t>
  </si>
  <si>
    <t>1.8.12</t>
  </si>
  <si>
    <t>fg-j0006-0504-ge-t-00002</t>
  </si>
  <si>
    <t>1.8.12.1</t>
  </si>
  <si>
    <t>FG-J0006-0504-GE-T-00002</t>
  </si>
  <si>
    <t>1.8.12.2</t>
  </si>
  <si>
    <t>1.8.12.3</t>
  </si>
  <si>
    <t>1.8.12.4</t>
  </si>
  <si>
    <t>1.8.13</t>
  </si>
  <si>
    <t>fg-j0006-0504-ge-t-00003</t>
  </si>
  <si>
    <t>1.8.13.1</t>
  </si>
  <si>
    <t>FG-J0006-0504-GE-T-00003</t>
  </si>
  <si>
    <t>1.8.13.2</t>
  </si>
  <si>
    <t>1.8.13.3</t>
  </si>
  <si>
    <t>1.8.13.4</t>
  </si>
  <si>
    <t>1.8.14</t>
  </si>
  <si>
    <t>fg-j0006-0505-ge-t-00001</t>
  </si>
  <si>
    <t>1.8.14.1</t>
  </si>
  <si>
    <t>FG-J0006-0505-GE-T-00001</t>
  </si>
  <si>
    <t>1.8.14.2</t>
  </si>
  <si>
    <t>1.8.14.3</t>
  </si>
  <si>
    <t>1.8.14.4</t>
  </si>
  <si>
    <t>4,5 dias</t>
  </si>
  <si>
    <t>1.8.15</t>
  </si>
  <si>
    <t>fg-j0006-0600-ge-t-00001</t>
  </si>
  <si>
    <t>1.8.15.1</t>
  </si>
  <si>
    <t>FG-J0006-0600-GE-T-00001</t>
  </si>
  <si>
    <t>1.8.15.2</t>
  </si>
  <si>
    <t>1.8.15.3</t>
  </si>
  <si>
    <t>1.8.15.4</t>
  </si>
  <si>
    <t>1.8.16</t>
  </si>
  <si>
    <t>fg-j0006-0700-ge-t-00001</t>
  </si>
  <si>
    <t>1.8.16.1</t>
  </si>
  <si>
    <t>FG-J0006-0700-GE-T-00001</t>
  </si>
  <si>
    <t>1.8.16.2</t>
  </si>
  <si>
    <t>1.8.16.3</t>
  </si>
  <si>
    <t>1.8.16.4</t>
  </si>
  <si>
    <t>17,25 dias</t>
  </si>
  <si>
    <t>1.8.19</t>
  </si>
  <si>
    <t>fg-j0006-0900-ge-t-00001</t>
  </si>
  <si>
    <t>1.8.19.1</t>
  </si>
  <si>
    <t>FG-J0006-0900-GE-T-00001</t>
  </si>
  <si>
    <t>1.8.19.2</t>
  </si>
  <si>
    <t>1.8.19.3</t>
  </si>
  <si>
    <t>1.8.19.4</t>
  </si>
  <si>
    <t>1.8.20</t>
  </si>
  <si>
    <t>ag-j0006-0000-ge-t-00001</t>
  </si>
  <si>
    <t>1.8.20.1</t>
  </si>
  <si>
    <t>AG-J0006-0000-GE-T-00001</t>
  </si>
  <si>
    <t>1.8.20.2</t>
  </si>
  <si>
    <t>1.8.20.3</t>
  </si>
  <si>
    <t>1.8.20.4</t>
  </si>
  <si>
    <t>1.8.21</t>
  </si>
  <si>
    <t>ag-j0006-0000-ge-t-00002</t>
  </si>
  <si>
    <t>1.8.21.1</t>
  </si>
  <si>
    <t>AG-J0006-0000-GE-T-00002</t>
  </si>
  <si>
    <t>1.8.21.2</t>
  </si>
  <si>
    <t>1.8.21.3</t>
  </si>
  <si>
    <t>1.8.21.4</t>
  </si>
  <si>
    <t>1.8.22</t>
  </si>
  <si>
    <t>ag-j0006-0100-ge-t-00001</t>
  </si>
  <si>
    <t>1.8.22.1</t>
  </si>
  <si>
    <t>AG-J0006-0100-GE-T-00001</t>
  </si>
  <si>
    <t>1.8.22.2</t>
  </si>
  <si>
    <t>1.8.22.3</t>
  </si>
  <si>
    <t>1.8.22.4</t>
  </si>
  <si>
    <t>1.8.23</t>
  </si>
  <si>
    <t>ag-j0006-0100-ge-t-00002</t>
  </si>
  <si>
    <t>1.8.23.1</t>
  </si>
  <si>
    <t>AG-J0006-0100-GE-T-00002</t>
  </si>
  <si>
    <t>1.8.23.2</t>
  </si>
  <si>
    <t>1.8.23.3</t>
  </si>
  <si>
    <t>1.8.23.4</t>
  </si>
  <si>
    <t>1.8.24</t>
  </si>
  <si>
    <t>ag-j0006-0200-ge-t-00001</t>
  </si>
  <si>
    <t>1.8.24.1</t>
  </si>
  <si>
    <t>AG-J0006-0200-GE-T-00001</t>
  </si>
  <si>
    <t>1.8.24.2</t>
  </si>
  <si>
    <t>1.8.24.3</t>
  </si>
  <si>
    <t>1.8.24.4</t>
  </si>
  <si>
    <t>1.8.25</t>
  </si>
  <si>
    <t>ag-j0006-0200-ge-t-00002</t>
  </si>
  <si>
    <t>1.8.25.1</t>
  </si>
  <si>
    <t>AG-J0006-0200-GE-T-00002</t>
  </si>
  <si>
    <t>1.8.25.2</t>
  </si>
  <si>
    <t>1.8.25.3</t>
  </si>
  <si>
    <t>1.8.25.4</t>
  </si>
  <si>
    <t>1.8.26</t>
  </si>
  <si>
    <t>ag-j0006-0300-ge-t-00001</t>
  </si>
  <si>
    <t>1.8.26.1</t>
  </si>
  <si>
    <t>AG-J0006-0300-GE-T-00001</t>
  </si>
  <si>
    <t>1.8.26.2</t>
  </si>
  <si>
    <t>1.8.26.3</t>
  </si>
  <si>
    <t>1.8.26.4</t>
  </si>
  <si>
    <t>1.8.27</t>
  </si>
  <si>
    <t>ag-j0006-0400-ge-t-00001</t>
  </si>
  <si>
    <t>1.8.27.1</t>
  </si>
  <si>
    <t>AG-J0006-0400-GE-T-00001</t>
  </si>
  <si>
    <t>1.8.27.2</t>
  </si>
  <si>
    <t>1.8.27.3</t>
  </si>
  <si>
    <t>1.8.27.4</t>
  </si>
  <si>
    <t>1.8.28</t>
  </si>
  <si>
    <t>ag-j0006-0400-ge-t-00002</t>
  </si>
  <si>
    <t>1.8.28.1</t>
  </si>
  <si>
    <t>AG-J0006-0400-GE-T-00002</t>
  </si>
  <si>
    <t>1.8.28.2</t>
  </si>
  <si>
    <t>1.8.28.3</t>
  </si>
  <si>
    <t>1.8.28.4</t>
  </si>
  <si>
    <t>1.8.29</t>
  </si>
  <si>
    <t>ag-j0006-0500-ge-t-00001</t>
  </si>
  <si>
    <t>1.8.29.1</t>
  </si>
  <si>
    <t>AG-J0006-0500-GE-T-00001</t>
  </si>
  <si>
    <t>1.8.29.2</t>
  </si>
  <si>
    <t>1.8.29.3</t>
  </si>
  <si>
    <t>1.8.29.4</t>
  </si>
  <si>
    <t>1.8.30</t>
  </si>
  <si>
    <t>ag-j0006-0500-ge-t-00002</t>
  </si>
  <si>
    <t>1.8.30.1</t>
  </si>
  <si>
    <t>AG-J0006-0500-GE-T-00002</t>
  </si>
  <si>
    <t>1.8.30.2</t>
  </si>
  <si>
    <t>1.8.30.3</t>
  </si>
  <si>
    <t>1.8.30.4</t>
  </si>
  <si>
    <t>1.8.31</t>
  </si>
  <si>
    <t>ag-j0006-0600-ge-t-00001</t>
  </si>
  <si>
    <t>1.8.31.1</t>
  </si>
  <si>
    <t>AG-J0006-0600-GE-T-00001</t>
  </si>
  <si>
    <t>1.8.31.2</t>
  </si>
  <si>
    <t>1.8.31.3</t>
  </si>
  <si>
    <t>1.8.31.4</t>
  </si>
  <si>
    <t>777TI+2 dias</t>
  </si>
  <si>
    <t>1.8.32</t>
  </si>
  <si>
    <t>ag-j0006-0700-ge-t-00001</t>
  </si>
  <si>
    <t>1.8.32.1</t>
  </si>
  <si>
    <t>AG-J0006-0700-GE-T-00001</t>
  </si>
  <si>
    <t>1.8.32.2</t>
  </si>
  <si>
    <t>1.8.32.3</t>
  </si>
  <si>
    <t>1.8.32.4</t>
  </si>
  <si>
    <t>1.8.33</t>
  </si>
  <si>
    <t>ag-j0006-0700-ge-t-00002</t>
  </si>
  <si>
    <t>1.8.33.1</t>
  </si>
  <si>
    <t>AG-J0006-0700-GE-T-00002</t>
  </si>
  <si>
    <t>1.8.33.2</t>
  </si>
  <si>
    <t>1.8.33.3</t>
  </si>
  <si>
    <t>1.8.33.4</t>
  </si>
  <si>
    <t>1.8.34</t>
  </si>
  <si>
    <t>ag-j0006-0900-ge-t-00001</t>
  </si>
  <si>
    <t>1.8.34.1</t>
  </si>
  <si>
    <t>AG-J0006-0900-GE-T-00001</t>
  </si>
  <si>
    <t>765TI+2 dias</t>
  </si>
  <si>
    <t>1.8.34.2</t>
  </si>
  <si>
    <t>1.8.34.3</t>
  </si>
  <si>
    <t>1.8.34.4</t>
  </si>
  <si>
    <t>1.8.35</t>
  </si>
  <si>
    <t>lk-j0006-0000-ge-t-00001</t>
  </si>
  <si>
    <t>1.8.35.1</t>
  </si>
  <si>
    <t>LK-J0006-0000-GE-T-00001</t>
  </si>
  <si>
    <t>1.8.35.2</t>
  </si>
  <si>
    <t>1.8.35.3</t>
  </si>
  <si>
    <t>1.8.35.4</t>
  </si>
  <si>
    <t>1.8.38</t>
  </si>
  <si>
    <t>mc-j0006-1004-ge-t-00001</t>
  </si>
  <si>
    <t>1.8.38.1</t>
  </si>
  <si>
    <t>MC-J0006-1004-GE-T-00001</t>
  </si>
  <si>
    <t>822TT</t>
  </si>
  <si>
    <t>1.8.38.2</t>
  </si>
  <si>
    <t>1.8.38.3</t>
  </si>
  <si>
    <t>1.8.38.4</t>
  </si>
  <si>
    <t>1.8.40</t>
  </si>
  <si>
    <t>md-j0006-1004-ge-t-00001</t>
  </si>
  <si>
    <t>1.8.40.1</t>
  </si>
  <si>
    <t>MD-J0006-1004-GE-T-00001</t>
  </si>
  <si>
    <t>1.8.40.2</t>
  </si>
  <si>
    <t>1.8.40.3</t>
  </si>
  <si>
    <t>1.8.40.4</t>
  </si>
  <si>
    <t>1.8.41</t>
  </si>
  <si>
    <t>pq-j0006-1004-ge-t-00001</t>
  </si>
  <si>
    <t>1.8.41.1</t>
  </si>
  <si>
    <t>PQ-J0006-1004-GE-T-00001</t>
  </si>
  <si>
    <t>1.8.41.2</t>
  </si>
  <si>
    <t>1.8.41.3</t>
  </si>
  <si>
    <t>1.8.41.4</t>
  </si>
  <si>
    <t>1.8.43</t>
  </si>
  <si>
    <t>ml-j0006-1004-ge-t-00001</t>
  </si>
  <si>
    <t>1.8.43.1</t>
  </si>
  <si>
    <t>ML-J0006-1004-GE-T-00001</t>
  </si>
  <si>
    <t>823;797TT</t>
  </si>
  <si>
    <t>1.8.43.2</t>
  </si>
  <si>
    <t>1.8.43.3</t>
  </si>
  <si>
    <t>1.8.43.4</t>
  </si>
  <si>
    <t>827;812;807</t>
  </si>
  <si>
    <t>1.8.44</t>
  </si>
  <si>
    <t>ag-j0006-1004-ge-t-00001</t>
  </si>
  <si>
    <t>1.8.44.1</t>
  </si>
  <si>
    <t>AG-J0006-1004-GE-T-00001</t>
  </si>
  <si>
    <t>1.8.44.2</t>
  </si>
  <si>
    <t>1.8.44.3</t>
  </si>
  <si>
    <t>1.8.44.4</t>
  </si>
  <si>
    <t>1.8.45</t>
  </si>
  <si>
    <t>ag-j0006-1004-ge-t-00002</t>
  </si>
  <si>
    <t>1.8.45.1</t>
  </si>
  <si>
    <t>AG-J0006-1004-GE-T-00002</t>
  </si>
  <si>
    <t>1.8.45.2</t>
  </si>
  <si>
    <t>1.8.45.3</t>
  </si>
  <si>
    <t>1.8.45.4</t>
  </si>
  <si>
    <t>1.8.46</t>
  </si>
  <si>
    <t>ag-j0006-1004-ge-t-00003</t>
  </si>
  <si>
    <t>1.8.46.1</t>
  </si>
  <si>
    <t>AG-J0006-1004-GE-T-00003</t>
  </si>
  <si>
    <t>1.8.46.2</t>
  </si>
  <si>
    <t>1.8.46.3</t>
  </si>
  <si>
    <t>1.8.46.4</t>
  </si>
  <si>
    <t>1.8.47</t>
  </si>
  <si>
    <t>ag-j0006-1004-ge-t-00004</t>
  </si>
  <si>
    <t>1.8.47.1</t>
  </si>
  <si>
    <t>AG-J0006-1004-GE-T-00004</t>
  </si>
  <si>
    <t>1.8.47.2</t>
  </si>
  <si>
    <t>1.8.47.3</t>
  </si>
  <si>
    <t>1.8.47.4</t>
  </si>
  <si>
    <t>1.8.48</t>
  </si>
  <si>
    <t>ag-j0006-1004-ge-t-00005</t>
  </si>
  <si>
    <t>1.8.48.1</t>
  </si>
  <si>
    <t>AG-J0006-1004-GE-T-00005</t>
  </si>
  <si>
    <t>1.8.48.2</t>
  </si>
  <si>
    <t>1.8.48.3</t>
  </si>
  <si>
    <t>1.8.48.4</t>
  </si>
  <si>
    <t>1.8.49</t>
  </si>
  <si>
    <t>ag-j0006-1004-ge-t-00006</t>
  </si>
  <si>
    <t>1.8.49.1</t>
  </si>
  <si>
    <t>AG-J0006-1004-GE-T-00006</t>
  </si>
  <si>
    <t>1.8.49.2</t>
  </si>
  <si>
    <t>1.8.49.3</t>
  </si>
  <si>
    <t>1.8.49.4</t>
  </si>
  <si>
    <t>1.8.50</t>
  </si>
  <si>
    <t>ag-j0006-1004-ge-t-00007</t>
  </si>
  <si>
    <t>1.8.50.1</t>
  </si>
  <si>
    <t>AG-J0006-1004-GE-T-00007</t>
  </si>
  <si>
    <t>1.8.50.2</t>
  </si>
  <si>
    <t>1.8.50.3</t>
  </si>
  <si>
    <t>1.8.50.4</t>
  </si>
  <si>
    <t>1.8.51</t>
  </si>
  <si>
    <t>ag-j0006-1004-ge-t-00008</t>
  </si>
  <si>
    <t>1.8.51.1</t>
  </si>
  <si>
    <t>AG-J0006-1004-GE-T-00008</t>
  </si>
  <si>
    <t>1.8.51.2</t>
  </si>
  <si>
    <t>1.8.51.3</t>
  </si>
  <si>
    <t>1.8.51.4</t>
  </si>
  <si>
    <t>1.8.52</t>
  </si>
  <si>
    <t>ag-j0006-1004-ge-t-00009</t>
  </si>
  <si>
    <t>1.8.52.1</t>
  </si>
  <si>
    <t>AG-J0006-1004-GE-T-00009</t>
  </si>
  <si>
    <t>1.8.52.2</t>
  </si>
  <si>
    <t>1.8.52.3</t>
  </si>
  <si>
    <t>1.8.52.4</t>
  </si>
  <si>
    <t>1.9</t>
  </si>
  <si>
    <t>steel structure</t>
  </si>
  <si>
    <t>64 dias</t>
  </si>
  <si>
    <t>1.9.1</t>
  </si>
  <si>
    <t>STEEL STRUCTURE</t>
  </si>
  <si>
    <t>cp-j0006-0000-ge-s-00001</t>
  </si>
  <si>
    <t>1.9.1.1</t>
  </si>
  <si>
    <t>CP-J0006-0000-GE-S-00001</t>
  </si>
  <si>
    <t>Eng. Calculista</t>
  </si>
  <si>
    <t>1.9.1.2</t>
  </si>
  <si>
    <t>1.9.1.3</t>
  </si>
  <si>
    <t>1.9.1.4</t>
  </si>
  <si>
    <t>1.9.2</t>
  </si>
  <si>
    <t>modulo 0102</t>
  </si>
  <si>
    <t>1.9.2.1</t>
  </si>
  <si>
    <t>MODULO 0102</t>
  </si>
  <si>
    <t>ml-j0006-0102-ge-s-00001</t>
  </si>
  <si>
    <t>1.9.2.1.1</t>
  </si>
  <si>
    <t>ML-J0006-0102-GE-S-00001</t>
  </si>
  <si>
    <t>Projetista Metálica</t>
  </si>
  <si>
    <t>880;884;1027;1022;1017</t>
  </si>
  <si>
    <t>1.9.2.1.2</t>
  </si>
  <si>
    <t>1.9.2.1.3</t>
  </si>
  <si>
    <t>1.9.2.1.4</t>
  </si>
  <si>
    <t>1.9.2.2</t>
  </si>
  <si>
    <t>mc-j0006-0102-ge-s-00001</t>
  </si>
  <si>
    <t>1.9.2.2.1</t>
  </si>
  <si>
    <t>MC-J0006-0102-GE-S-00001</t>
  </si>
  <si>
    <t>1.9.2.2.2</t>
  </si>
  <si>
    <t>1.9.2.2.3</t>
  </si>
  <si>
    <t>1.9.2.2.4</t>
  </si>
  <si>
    <t>1.9.2.3</t>
  </si>
  <si>
    <t>ag-j0006-0102-ge-s-00001</t>
  </si>
  <si>
    <t>1.9.2.3.1</t>
  </si>
  <si>
    <t>AG-J0006-0102-GE-S-00001</t>
  </si>
  <si>
    <t>2,5 dias</t>
  </si>
  <si>
    <t>15/04/2026 8HH</t>
  </si>
  <si>
    <t>890;904TT;894TT</t>
  </si>
  <si>
    <t>1.9.2.3.2</t>
  </si>
  <si>
    <t>1.9.2.3.3</t>
  </si>
  <si>
    <t>1.9.2.3.4</t>
  </si>
  <si>
    <t>1.9.2.4</t>
  </si>
  <si>
    <t>ag-j0006-0102-ge-s-00002</t>
  </si>
  <si>
    <t>1.9.2.4.1</t>
  </si>
  <si>
    <t>AG-J0006-0102-GE-S-00002</t>
  </si>
  <si>
    <t>889TT</t>
  </si>
  <si>
    <t>1.9.2.4.2</t>
  </si>
  <si>
    <t>1.9.2.4.3</t>
  </si>
  <si>
    <t>1.9.2.4.4</t>
  </si>
  <si>
    <t>1.9.2.5</t>
  </si>
  <si>
    <t>ag-j0006-0102-ge-s-00003</t>
  </si>
  <si>
    <t>1.9.2.5.1</t>
  </si>
  <si>
    <t>AG-J0006-0102-GE-S-00003</t>
  </si>
  <si>
    <t>1.9.2.5.2</t>
  </si>
  <si>
    <t>1.9.2.5.3</t>
  </si>
  <si>
    <t>1.9.2.5.4</t>
  </si>
  <si>
    <t>1.9.2.6</t>
  </si>
  <si>
    <t>pl-j0006-0102-ge-s-00001</t>
  </si>
  <si>
    <t>1.9.2.6.1</t>
  </si>
  <si>
    <t>PL-J0006-0102-GE-S-00001</t>
  </si>
  <si>
    <t>1.9.2.6.2</t>
  </si>
  <si>
    <t>1.9.2.6.3</t>
  </si>
  <si>
    <t>1.9.2.6.4</t>
  </si>
  <si>
    <t>1.9.3</t>
  </si>
  <si>
    <t>modulo 0202</t>
  </si>
  <si>
    <t>1.9.3.1</t>
  </si>
  <si>
    <t>MODULO 0202</t>
  </si>
  <si>
    <t>ml-j0006-0202-ge-s-00001</t>
  </si>
  <si>
    <t>1.9.3.1.1</t>
  </si>
  <si>
    <t>ML-J0006-0202-GE-S-00001</t>
  </si>
  <si>
    <t>911;1108TI-5 dias;1103TI-5 dias;1098TI-5 dias</t>
  </si>
  <si>
    <t>1.9.3.1.2</t>
  </si>
  <si>
    <t>1.9.3.1.3</t>
  </si>
  <si>
    <t>1.9.3.1.4</t>
  </si>
  <si>
    <t>1.9.3.2</t>
  </si>
  <si>
    <t>ml-j0006-0202-ge-s-00002</t>
  </si>
  <si>
    <t>1.9.3.2.1</t>
  </si>
  <si>
    <t>ML-J0006-0202-GE-S-00002</t>
  </si>
  <si>
    <t>916;1108TI-5 dias;1103TI-5 dias;1098TI-5 dias</t>
  </si>
  <si>
    <t>1.9.3.2.2</t>
  </si>
  <si>
    <t>1.9.3.2.3</t>
  </si>
  <si>
    <t>1.9.3.2.4</t>
  </si>
  <si>
    <t>1.9.3.3</t>
  </si>
  <si>
    <t>mc-j0006-0202-ge-s-00001</t>
  </si>
  <si>
    <t>1.9.3.3.1</t>
  </si>
  <si>
    <t>MC-J0006-0202-GE-S-00001</t>
  </si>
  <si>
    <t>1.9.3.3.2</t>
  </si>
  <si>
    <t>1.9.3.3.3</t>
  </si>
  <si>
    <t>1.9.3.3.4</t>
  </si>
  <si>
    <t>1.9.3.4</t>
  </si>
  <si>
    <t>ag-j0006-0202-ge-s-00001</t>
  </si>
  <si>
    <t>1.9.3.4.1</t>
  </si>
  <si>
    <t>AG-J0006-0202-GE-S-00001</t>
  </si>
  <si>
    <t>926;930TT;940TT;950TT;945TT</t>
  </si>
  <si>
    <t>1.9.3.4.2</t>
  </si>
  <si>
    <t>1.9.3.4.3</t>
  </si>
  <si>
    <t>1.9.3.4.4</t>
  </si>
  <si>
    <t>1.9.3.5</t>
  </si>
  <si>
    <t>ag-j0006-0202-ge-s-00002</t>
  </si>
  <si>
    <t>1.9.3.5.1</t>
  </si>
  <si>
    <t>AG-J0006-0202-GE-S-00002</t>
  </si>
  <si>
    <t>925TT</t>
  </si>
  <si>
    <t>1.9.3.5.2</t>
  </si>
  <si>
    <t>1.9.3.5.3</t>
  </si>
  <si>
    <t>1.9.3.5.4</t>
  </si>
  <si>
    <t>1.9.3.6</t>
  </si>
  <si>
    <t>ag-j0006-0202-ge-s-00003</t>
  </si>
  <si>
    <t>1.9.3.6.1</t>
  </si>
  <si>
    <t>AG-J0006-0202-GE-S-00003</t>
  </si>
  <si>
    <t>1.9.3.6.2</t>
  </si>
  <si>
    <t>1.9.3.6.3</t>
  </si>
  <si>
    <t>1.9.3.6.4</t>
  </si>
  <si>
    <t>1.9.3.7</t>
  </si>
  <si>
    <t>ag-j0006-0202-ge-s-00004</t>
  </si>
  <si>
    <t>1.9.3.7.1</t>
  </si>
  <si>
    <t>AG-J0006-0202-GE-S-00004</t>
  </si>
  <si>
    <t>1.9.3.7.2</t>
  </si>
  <si>
    <t>1.9.3.7.3</t>
  </si>
  <si>
    <t>1.9.3.7.4</t>
  </si>
  <si>
    <t>1.9.3.8</t>
  </si>
  <si>
    <t>ag-j0006-0202-ge-s-00005</t>
  </si>
  <si>
    <t>1.9.3.8.1</t>
  </si>
  <si>
    <t>AG-J0006-0202-GE-S-00005</t>
  </si>
  <si>
    <t>1.9.3.8.2</t>
  </si>
  <si>
    <t>1.9.3.8.3</t>
  </si>
  <si>
    <t>1.9.3.8.4</t>
  </si>
  <si>
    <t>1.9.3.9</t>
  </si>
  <si>
    <t>ag-j0006-0202-ge-s-00006</t>
  </si>
  <si>
    <t>1.9.3.9.1</t>
  </si>
  <si>
    <t>AG-J0006-0202-GE-S-00006</t>
  </si>
  <si>
    <t>1.9.3.9.2</t>
  </si>
  <si>
    <t>1.9.3.9.3</t>
  </si>
  <si>
    <t>1.9.3.9.4</t>
  </si>
  <si>
    <t>1.9.3.10</t>
  </si>
  <si>
    <t>pl-j0006-0202-ge-s-00001</t>
  </si>
  <si>
    <t>1.9.3.10.1</t>
  </si>
  <si>
    <t>PL-J0006-0202-GE-S-00001</t>
  </si>
  <si>
    <t>1.9.3.10.2</t>
  </si>
  <si>
    <t>1.9.3.10.3</t>
  </si>
  <si>
    <t>1.9.3.10.4</t>
  </si>
  <si>
    <t>1.9.4</t>
  </si>
  <si>
    <t>modulo 0302</t>
  </si>
  <si>
    <t>1.9.4.1</t>
  </si>
  <si>
    <t>MODULO 0302</t>
  </si>
  <si>
    <t>ml-j0006-0302-ge-s-00001</t>
  </si>
  <si>
    <t>1.9.4.1.1</t>
  </si>
  <si>
    <t>ML-J0006-0302-GE-S-00001</t>
  </si>
  <si>
    <t>962;976</t>
  </si>
  <si>
    <t>1.9.4.1.2</t>
  </si>
  <si>
    <t>1.9.4.1.3</t>
  </si>
  <si>
    <t>1.9.4.1.4</t>
  </si>
  <si>
    <t>1.9.4.2</t>
  </si>
  <si>
    <t>ml-j0006-0302-ge-s-00002</t>
  </si>
  <si>
    <t>1.9.4.2.1</t>
  </si>
  <si>
    <t>ML-J0006-0302-GE-S-00002</t>
  </si>
  <si>
    <t>967;976</t>
  </si>
  <si>
    <t>1.9.4.2.2</t>
  </si>
  <si>
    <t>1.9.4.2.3</t>
  </si>
  <si>
    <t>1.9.4.2.4</t>
  </si>
  <si>
    <t>1.9.4.3</t>
  </si>
  <si>
    <t>ml-j0006-0302-ge-s-00003</t>
  </si>
  <si>
    <t>1.9.4.3.1</t>
  </si>
  <si>
    <t>ML-J0006-0302-GE-S-00003</t>
  </si>
  <si>
    <t>972;976</t>
  </si>
  <si>
    <t>1.9.4.3.2</t>
  </si>
  <si>
    <t>1.9.4.3.3</t>
  </si>
  <si>
    <t>1.9.4.3.4</t>
  </si>
  <si>
    <t>1.9.4.4</t>
  </si>
  <si>
    <t>mc-j0006-0302-ge-s-00001</t>
  </si>
  <si>
    <t>1.9.4.4.1</t>
  </si>
  <si>
    <t>MC-J0006-0302-GE-S-00001</t>
  </si>
  <si>
    <t>271;971;961;966</t>
  </si>
  <si>
    <t>1.9.4.4.2</t>
  </si>
  <si>
    <t>1.9.4.4.3</t>
  </si>
  <si>
    <t>1.9.4.4.4</t>
  </si>
  <si>
    <t>1.9.4.5</t>
  </si>
  <si>
    <t>ag-j0006-0302-ge-s-00001</t>
  </si>
  <si>
    <t>1.9.4.5.1</t>
  </si>
  <si>
    <t>AG-J0006-0302-GE-S-00001</t>
  </si>
  <si>
    <t>974;964;969</t>
  </si>
  <si>
    <t>986TT;982;1011TT;1006TT;1001TT;996TT;991TT</t>
  </si>
  <si>
    <t>1.9.4.5.2</t>
  </si>
  <si>
    <t>1.9.4.5.3</t>
  </si>
  <si>
    <t>1.9.4.5.4</t>
  </si>
  <si>
    <t>1.9.4.6</t>
  </si>
  <si>
    <t>ag-j0006-0302-ge-s-00002</t>
  </si>
  <si>
    <t>1.9.4.6.1</t>
  </si>
  <si>
    <t>AG-J0006-0302-GE-S-00002</t>
  </si>
  <si>
    <t>981TT</t>
  </si>
  <si>
    <t>1.9.4.6.2</t>
  </si>
  <si>
    <t>1.9.4.6.3</t>
  </si>
  <si>
    <t>1.9.4.6.4</t>
  </si>
  <si>
    <t>1.9.4.7</t>
  </si>
  <si>
    <t>ag-j0006-0302-ge-s-00003</t>
  </si>
  <si>
    <t>1.9.4.7.1</t>
  </si>
  <si>
    <t>AG-J0006-0302-GE-S-00003</t>
  </si>
  <si>
    <t>1.9.4.7.2</t>
  </si>
  <si>
    <t>1.9.4.7.3</t>
  </si>
  <si>
    <t>1.9.4.7.4</t>
  </si>
  <si>
    <t>1.9.4.8</t>
  </si>
  <si>
    <t>ag-j0006-0302-ge-s-00004</t>
  </si>
  <si>
    <t>1.9.4.8.1</t>
  </si>
  <si>
    <t>AG-J0006-0302-GE-S-00004</t>
  </si>
  <si>
    <t>1.9.4.8.2</t>
  </si>
  <si>
    <t>1.9.4.8.3</t>
  </si>
  <si>
    <t>1.9.4.8.4</t>
  </si>
  <si>
    <t>1.9.4.9</t>
  </si>
  <si>
    <t>ag-j0006-0302-ge-s-00005</t>
  </si>
  <si>
    <t>1.9.4.9.1</t>
  </si>
  <si>
    <t>AG-J0006-0302-GE-S-00005</t>
  </si>
  <si>
    <t>1.9.4.9.2</t>
  </si>
  <si>
    <t>1.9.4.9.3</t>
  </si>
  <si>
    <t>1.9.4.9.4</t>
  </si>
  <si>
    <t>1.9.4.10</t>
  </si>
  <si>
    <t>ag-j0006-0302-ge-s-00006</t>
  </si>
  <si>
    <t>1.9.4.10.1</t>
  </si>
  <si>
    <t>AG-J0006-0302-GE-S-00006</t>
  </si>
  <si>
    <t>1.9.4.10.2</t>
  </si>
  <si>
    <t>1.9.4.10.3</t>
  </si>
  <si>
    <t>1.9.4.10.4</t>
  </si>
  <si>
    <t>1.9.4.11</t>
  </si>
  <si>
    <t>pl-j0006-0302-ge-s-00001</t>
  </si>
  <si>
    <t>1.9.4.11.1</t>
  </si>
  <si>
    <t>PL-J0006-0302-GE-S-00001</t>
  </si>
  <si>
    <t>1.9.4.11.2</t>
  </si>
  <si>
    <t>1.9.4.11.3</t>
  </si>
  <si>
    <t>1.9.4.11.4</t>
  </si>
  <si>
    <t>1.9.5</t>
  </si>
  <si>
    <t>modulo 0402</t>
  </si>
  <si>
    <t>1.9.5.1</t>
  </si>
  <si>
    <t>MODULO 0402</t>
  </si>
  <si>
    <t>ml-j0006-0402-ge-s-00001</t>
  </si>
  <si>
    <t>1.9.5.1.1</t>
  </si>
  <si>
    <t>ML-J0006-0402-GE-S-00001</t>
  </si>
  <si>
    <t>302;879</t>
  </si>
  <si>
    <t>1018;1037;1032</t>
  </si>
  <si>
    <t>1.9.5.1.2</t>
  </si>
  <si>
    <t>1.9.5.1.3</t>
  </si>
  <si>
    <t>1.9.5.1.4</t>
  </si>
  <si>
    <t>1.9.5.2</t>
  </si>
  <si>
    <t>ml-j0006-0402-ge-s-00002</t>
  </si>
  <si>
    <t>1.9.5.2.1</t>
  </si>
  <si>
    <t>ML-J0006-0402-GE-S-00002</t>
  </si>
  <si>
    <t>1023;1037;1032</t>
  </si>
  <si>
    <t>1.9.5.2.2</t>
  </si>
  <si>
    <t>1.9.5.2.3</t>
  </si>
  <si>
    <t>1.9.5.2.4</t>
  </si>
  <si>
    <t>1.9.5.3</t>
  </si>
  <si>
    <t>ml-j0006-0402-ge-s-00003</t>
  </si>
  <si>
    <t>1.9.5.3.1</t>
  </si>
  <si>
    <t>ML-J0006-0402-GE-S-00003</t>
  </si>
  <si>
    <t>1028;1037;1032</t>
  </si>
  <si>
    <t>1.9.5.3.2</t>
  </si>
  <si>
    <t>1.9.5.3.3</t>
  </si>
  <si>
    <t>1.9.5.3.4</t>
  </si>
  <si>
    <t>1.9.5.4</t>
  </si>
  <si>
    <t>mc-j0006-0402-ge-s-00001</t>
  </si>
  <si>
    <t>1.9.5.4.1</t>
  </si>
  <si>
    <t>MC-J0006-0402-GE-S-00001</t>
  </si>
  <si>
    <t>11,5 dias</t>
  </si>
  <si>
    <t>302;1027;1022;1017</t>
  </si>
  <si>
    <t>1033;1159</t>
  </si>
  <si>
    <t>1.9.5.4.2</t>
  </si>
  <si>
    <t>1.9.5.4.3</t>
  </si>
  <si>
    <t>1.9.5.4.4</t>
  </si>
  <si>
    <t>1.9.5.5</t>
  </si>
  <si>
    <t>mc-j0006-0402-ge-s-00002</t>
  </si>
  <si>
    <t>1.9.5.5.1</t>
  </si>
  <si>
    <t>MC-J0006-0402-GE-S-00002</t>
  </si>
  <si>
    <t>1038;1159</t>
  </si>
  <si>
    <t>1.9.5.5.2</t>
  </si>
  <si>
    <t>1.9.5.5.3</t>
  </si>
  <si>
    <t>1.9.5.5.4</t>
  </si>
  <si>
    <t>1.9.5.6</t>
  </si>
  <si>
    <t>ag-j0006-0402-ge-s-00001</t>
  </si>
  <si>
    <t>1.9.5.6.1</t>
  </si>
  <si>
    <t>AG-J0006-0402-GE-S-00001</t>
  </si>
  <si>
    <t>1030;1025;1020</t>
  </si>
  <si>
    <t>1043;1047TT;1052TT;1057TT;1062TT;1067TT;1082TT;1092TT;1077TT;1072TT;1087TT</t>
  </si>
  <si>
    <t>1.9.5.6.2</t>
  </si>
  <si>
    <t>1.9.5.6.3</t>
  </si>
  <si>
    <t>1.9.5.6.4</t>
  </si>
  <si>
    <t>1.9.5.7</t>
  </si>
  <si>
    <t>ag-j0006-0402-ge-s-00002</t>
  </si>
  <si>
    <t>1.9.5.7.1</t>
  </si>
  <si>
    <t>AG-J0006-0402-GE-S-00002</t>
  </si>
  <si>
    <t>1042TT</t>
  </si>
  <si>
    <t>1.9.5.7.2</t>
  </si>
  <si>
    <t>1.9.5.7.3</t>
  </si>
  <si>
    <t>1.9.5.7.4</t>
  </si>
  <si>
    <t>1.9.5.8</t>
  </si>
  <si>
    <t>ag-j0006-0402-ge-s-00003</t>
  </si>
  <si>
    <t>1.9.5.8.1</t>
  </si>
  <si>
    <t>AG-J0006-0402-GE-S-00003</t>
  </si>
  <si>
    <t>1.9.5.8.2</t>
  </si>
  <si>
    <t>1.9.5.8.3</t>
  </si>
  <si>
    <t>1.9.5.8.4</t>
  </si>
  <si>
    <t>1.9.5.9</t>
  </si>
  <si>
    <t>ag-j0006-0402-ge-s-00004</t>
  </si>
  <si>
    <t>1.9.5.9.1</t>
  </si>
  <si>
    <t>AG-J0006-0402-GE-S-00004</t>
  </si>
  <si>
    <t>1.9.5.9.2</t>
  </si>
  <si>
    <t>1.9.5.9.3</t>
  </si>
  <si>
    <t>1.9.5.9.4</t>
  </si>
  <si>
    <t>1.9.5.10</t>
  </si>
  <si>
    <t>ag-j0006-0402-ge-s-00005</t>
  </si>
  <si>
    <t>1.9.5.10.1</t>
  </si>
  <si>
    <t>AG-J0006-0402-GE-S-00005</t>
  </si>
  <si>
    <t>1.9.5.10.2</t>
  </si>
  <si>
    <t>1.9.5.10.3</t>
  </si>
  <si>
    <t>1.9.5.10.4</t>
  </si>
  <si>
    <t>1.9.5.11</t>
  </si>
  <si>
    <t>ag-j0006-0402-ge-s-00006</t>
  </si>
  <si>
    <t>1.9.5.11.1</t>
  </si>
  <si>
    <t>AG-J0006-0402-GE-S-00006</t>
  </si>
  <si>
    <t>1.9.5.11.2</t>
  </si>
  <si>
    <t>1.9.5.11.3</t>
  </si>
  <si>
    <t>1.9.5.11.4</t>
  </si>
  <si>
    <t>1.9.5.12</t>
  </si>
  <si>
    <t>ag-j0006-0402-ge-s-00007</t>
  </si>
  <si>
    <t>1.9.5.12.1</t>
  </si>
  <si>
    <t>AG-J0006-0402-GE-S-00007</t>
  </si>
  <si>
    <t>1.9.5.12.2</t>
  </si>
  <si>
    <t>1.9.5.12.3</t>
  </si>
  <si>
    <t>1.9.5.12.4</t>
  </si>
  <si>
    <t>1.9.5.13</t>
  </si>
  <si>
    <t>ag-j0006-0402-ge-s-00008</t>
  </si>
  <si>
    <t>1.9.5.13.1</t>
  </si>
  <si>
    <t>AG-J0006-0402-GE-S-00008</t>
  </si>
  <si>
    <t>1.9.5.13.2</t>
  </si>
  <si>
    <t>1.9.5.13.3</t>
  </si>
  <si>
    <t>1.9.5.13.4</t>
  </si>
  <si>
    <t>1.9.5.14</t>
  </si>
  <si>
    <t>ag-j0006-0402-ge-s-00009</t>
  </si>
  <si>
    <t>1.9.5.14.1</t>
  </si>
  <si>
    <t>AG-J0006-0402-GE-S-00009</t>
  </si>
  <si>
    <t>1.9.5.14.2</t>
  </si>
  <si>
    <t>1.9.5.14.3</t>
  </si>
  <si>
    <t>1.9.5.14.4</t>
  </si>
  <si>
    <t>1.9.5.15</t>
  </si>
  <si>
    <t>pl-j0006-0402-ge-s-00001</t>
  </si>
  <si>
    <t>1.9.5.15.1</t>
  </si>
  <si>
    <t>PL-J0006-0402-GE-S-00001</t>
  </si>
  <si>
    <t>1.9.5.15.2</t>
  </si>
  <si>
    <t>1.9.5.15.3</t>
  </si>
  <si>
    <t>1.9.5.15.4</t>
  </si>
  <si>
    <t>1.9.5.16</t>
  </si>
  <si>
    <t>pl-j0006-0402-ge-s-00002</t>
  </si>
  <si>
    <t>1.9.5.16.1</t>
  </si>
  <si>
    <t>PL-J0006-0402-GE-S-00002</t>
  </si>
  <si>
    <t>1.9.5.16.2</t>
  </si>
  <si>
    <t>1.9.5.16.3</t>
  </si>
  <si>
    <t>1.9.5.16.4</t>
  </si>
  <si>
    <t>1.9.6</t>
  </si>
  <si>
    <t>modulo 0502</t>
  </si>
  <si>
    <t>20 dias</t>
  </si>
  <si>
    <t>1.9.6.1</t>
  </si>
  <si>
    <t>MODULO 0502</t>
  </si>
  <si>
    <t>ml-j0006-0502-ge-s-00001</t>
  </si>
  <si>
    <t>1.9.6.1.1</t>
  </si>
  <si>
    <t>ML-J0006-0502-GE-S-00001</t>
  </si>
  <si>
    <t>333;915TI-5 dias;910TI-5 dias</t>
  </si>
  <si>
    <t>1099;1113</t>
  </si>
  <si>
    <t>1.9.6.1.2</t>
  </si>
  <si>
    <t>1.9.6.1.3</t>
  </si>
  <si>
    <t>1.9.6.1.4</t>
  </si>
  <si>
    <t>1.9.6.2</t>
  </si>
  <si>
    <t>ml-j0006-0502-ge-s-00002</t>
  </si>
  <si>
    <t>1.9.6.2.1</t>
  </si>
  <si>
    <t>ML-J0006-0502-GE-S-00002</t>
  </si>
  <si>
    <t>1104;1113</t>
  </si>
  <si>
    <t>1.9.6.2.2</t>
  </si>
  <si>
    <t>1.9.6.2.3</t>
  </si>
  <si>
    <t>1.9.6.2.4</t>
  </si>
  <si>
    <t>1.9.6.3</t>
  </si>
  <si>
    <t>ml-j0006-0502-ge-s-00003</t>
  </si>
  <si>
    <t>1.9.6.3.1</t>
  </si>
  <si>
    <t>ML-J0006-0502-GE-S-00003</t>
  </si>
  <si>
    <t>1109;1113</t>
  </si>
  <si>
    <t>1.9.6.3.2</t>
  </si>
  <si>
    <t>1.9.6.3.3</t>
  </si>
  <si>
    <t>1.9.6.3.4</t>
  </si>
  <si>
    <t>1.9.6.4</t>
  </si>
  <si>
    <t>mc-j0006-0502-ge-s-00001</t>
  </si>
  <si>
    <t>1.9.6.4.1</t>
  </si>
  <si>
    <t>MC-J0006-0502-GE-S-00001</t>
  </si>
  <si>
    <t>1.9.6.4.2</t>
  </si>
  <si>
    <t>1.9.6.4.3</t>
  </si>
  <si>
    <t>1.9.6.4.4</t>
  </si>
  <si>
    <t>1.9.6.5</t>
  </si>
  <si>
    <t>ag-j0006-0502-ge-s-00001</t>
  </si>
  <si>
    <t>1.9.6.5.1</t>
  </si>
  <si>
    <t>AG-J0006-0502-GE-S-00001</t>
  </si>
  <si>
    <t>1123TT;1128TT;1138TT;1119;1133TT</t>
  </si>
  <si>
    <t>1.9.6.5.2</t>
  </si>
  <si>
    <t>1.9.6.5.3</t>
  </si>
  <si>
    <t>1.9.6.5.4</t>
  </si>
  <si>
    <t>1.9.6.6</t>
  </si>
  <si>
    <t>ag-j0006-0502-ge-s-00002</t>
  </si>
  <si>
    <t>1.9.6.6.1</t>
  </si>
  <si>
    <t>AG-J0006-0502-GE-S-00002</t>
  </si>
  <si>
    <t>1118TT</t>
  </si>
  <si>
    <t>1.9.6.6.2</t>
  </si>
  <si>
    <t>1.9.6.6.3</t>
  </si>
  <si>
    <t>1.9.6.6.4</t>
  </si>
  <si>
    <t>1.9.6.7</t>
  </si>
  <si>
    <t>ag-j0006-0502-ge-s-00003</t>
  </si>
  <si>
    <t>1.9.6.7.1</t>
  </si>
  <si>
    <t>AG-J0006-0502-GE-S-00003</t>
  </si>
  <si>
    <t>1.9.6.7.2</t>
  </si>
  <si>
    <t>1.9.6.7.3</t>
  </si>
  <si>
    <t>1.9.6.7.4</t>
  </si>
  <si>
    <t>1.9.6.8</t>
  </si>
  <si>
    <t>ag-j0006-0502-ge-s-00004</t>
  </si>
  <si>
    <t>1.9.6.8.1</t>
  </si>
  <si>
    <t>AG-J0006-0502-GE-S-00004</t>
  </si>
  <si>
    <t>1.9.6.8.2</t>
  </si>
  <si>
    <t>1.9.6.8.3</t>
  </si>
  <si>
    <t>1.9.6.8.4</t>
  </si>
  <si>
    <t>1.9.6.9</t>
  </si>
  <si>
    <t>pl-j0006-0502-ge-s-00001</t>
  </si>
  <si>
    <t>1.9.6.9.1</t>
  </si>
  <si>
    <t>PL-J0006-0502-GE-S-00001</t>
  </si>
  <si>
    <t>1.9.6.9.2</t>
  </si>
  <si>
    <t>1.9.6.9.3</t>
  </si>
  <si>
    <t>1.9.6.9.4</t>
  </si>
  <si>
    <t>1.9.7</t>
  </si>
  <si>
    <t>modulo 0602</t>
  </si>
  <si>
    <t>1.9.7.1</t>
  </si>
  <si>
    <t>MODULO 0602</t>
  </si>
  <si>
    <t>ml-j0006-0602-ge-s-00001</t>
  </si>
  <si>
    <t>1.9.7.1.1</t>
  </si>
  <si>
    <t>ML-J0006-0602-GE-S-00001</t>
  </si>
  <si>
    <t>1145;1159</t>
  </si>
  <si>
    <t>1.9.7.1.2</t>
  </si>
  <si>
    <t>1.9.7.1.3</t>
  </si>
  <si>
    <t>1.9.7.1.4</t>
  </si>
  <si>
    <t>1.9.7.2</t>
  </si>
  <si>
    <t>ml-j0006-0602-ge-s-00002</t>
  </si>
  <si>
    <t>1.9.7.2.1</t>
  </si>
  <si>
    <t>ML-J0006-0602-GE-S-00002</t>
  </si>
  <si>
    <t>1150;1159</t>
  </si>
  <si>
    <t>1.9.7.2.2</t>
  </si>
  <si>
    <t>1.9.7.2.3</t>
  </si>
  <si>
    <t>1.9.7.2.4</t>
  </si>
  <si>
    <t>1.9.7.3</t>
  </si>
  <si>
    <t>ml-j0006-0602-ge-s-00003</t>
  </si>
  <si>
    <t>1.9.7.3.1</t>
  </si>
  <si>
    <t>ML-J0006-0602-GE-S-00003</t>
  </si>
  <si>
    <t>1155;1159</t>
  </si>
  <si>
    <t>1.9.7.3.2</t>
  </si>
  <si>
    <t>1.9.7.3.3</t>
  </si>
  <si>
    <t>1.9.7.3.4</t>
  </si>
  <si>
    <t>1.9.7.4</t>
  </si>
  <si>
    <t>mc-j0006-0602-ge-s-00001</t>
  </si>
  <si>
    <t>1.9.7.4.1</t>
  </si>
  <si>
    <t>MC-J0006-0602-GE-S-00001</t>
  </si>
  <si>
    <t>1154;1037;1032;1149;1144</t>
  </si>
  <si>
    <t>1.9.7.4.2</t>
  </si>
  <si>
    <t>1.9.7.4.3</t>
  </si>
  <si>
    <t>1.9.7.4.4</t>
  </si>
  <si>
    <t>1.9.7.5</t>
  </si>
  <si>
    <t>ag-j0006-0602-ge-s-00001</t>
  </si>
  <si>
    <t>1.9.7.5.1</t>
  </si>
  <si>
    <t>AG-J0006-0602-GE-S-00001</t>
  </si>
  <si>
    <t>1157;1152;1147</t>
  </si>
  <si>
    <t>1165;1174TT;1169TT;1184TT;1179TT</t>
  </si>
  <si>
    <t>1.9.7.5.2</t>
  </si>
  <si>
    <t>1.9.7.5.3</t>
  </si>
  <si>
    <t>1.9.7.5.4</t>
  </si>
  <si>
    <t>1.9.7.6</t>
  </si>
  <si>
    <t>ag-j0006-0602-ge-s-00002</t>
  </si>
  <si>
    <t>1.9.7.6.1</t>
  </si>
  <si>
    <t>AG-J0006-0602-GE-S-00002</t>
  </si>
  <si>
    <t>1164TT</t>
  </si>
  <si>
    <t>1.9.7.6.2</t>
  </si>
  <si>
    <t>1.9.7.6.3</t>
  </si>
  <si>
    <t>1.9.7.6.4</t>
  </si>
  <si>
    <t>1.9.7.7</t>
  </si>
  <si>
    <t>ag-j0006-0602-ge-s-00003</t>
  </si>
  <si>
    <t>1.9.7.7.1</t>
  </si>
  <si>
    <t>AG-J0006-0602-GE-S-00003</t>
  </si>
  <si>
    <t>1.9.7.7.2</t>
  </si>
  <si>
    <t>1.9.7.7.3</t>
  </si>
  <si>
    <t>1.9.7.7.4</t>
  </si>
  <si>
    <t>1.9.7.8</t>
  </si>
  <si>
    <t>ag-j0006-0602-ge-s-00004</t>
  </si>
  <si>
    <t>1.9.7.8.1</t>
  </si>
  <si>
    <t>AG-J0006-0602-GE-S-00004</t>
  </si>
  <si>
    <t>1.9.7.8.2</t>
  </si>
  <si>
    <t>1.9.7.8.3</t>
  </si>
  <si>
    <t>1.9.7.8.4</t>
  </si>
  <si>
    <t>1.9.7.9</t>
  </si>
  <si>
    <t>pl-j0006-0602-ge-s-00001</t>
  </si>
  <si>
    <t>1.9.7.9.1</t>
  </si>
  <si>
    <t>PL-J0006-0602-GE-S-00001</t>
  </si>
  <si>
    <t>1.9.7.9.2</t>
  </si>
  <si>
    <t>1.9.7.9.3</t>
  </si>
  <si>
    <t>1.9.7.9.4</t>
  </si>
  <si>
    <t>1.9.8</t>
  </si>
  <si>
    <t>modulo 0702</t>
  </si>
  <si>
    <t>1.9.8.1</t>
  </si>
  <si>
    <t>MODULO 0702</t>
  </si>
  <si>
    <t>ml-j0006-0702-ge-s-00001</t>
  </si>
  <si>
    <t>1.9.8.1.1</t>
  </si>
  <si>
    <t>ML-J0006-0702-GE-S-00001</t>
  </si>
  <si>
    <t>385TI+5 diasd</t>
  </si>
  <si>
    <t>1191;1205</t>
  </si>
  <si>
    <t>1.9.8.1.2</t>
  </si>
  <si>
    <t>1.9.8.1.3</t>
  </si>
  <si>
    <t>1.9.8.1.4</t>
  </si>
  <si>
    <t>1210;1220</t>
  </si>
  <si>
    <t>1.9.8.2</t>
  </si>
  <si>
    <t>ml-j0006-0702-ge-s-00002</t>
  </si>
  <si>
    <t>1.9.8.2.1</t>
  </si>
  <si>
    <t>ML-J0006-0702-GE-S-00002</t>
  </si>
  <si>
    <t>1196;1205</t>
  </si>
  <si>
    <t>1.9.8.2.2</t>
  </si>
  <si>
    <t>1.9.8.2.3</t>
  </si>
  <si>
    <t>1.9.8.2.4</t>
  </si>
  <si>
    <t>1.9.8.3</t>
  </si>
  <si>
    <t>ml-j0006-0702-ge-s-00003</t>
  </si>
  <si>
    <t>1.9.8.3.1</t>
  </si>
  <si>
    <t>ML-J0006-0702-GE-S-00003</t>
  </si>
  <si>
    <t>1201;1205</t>
  </si>
  <si>
    <t>1.9.8.3.2</t>
  </si>
  <si>
    <t>1.9.8.3.3</t>
  </si>
  <si>
    <t>1.9.8.3.4</t>
  </si>
  <si>
    <t>1.9.8.4</t>
  </si>
  <si>
    <t>mc-j0006-0702-ge-s-00001</t>
  </si>
  <si>
    <t>1.9.8.4.1</t>
  </si>
  <si>
    <t>MC-J0006-0702-GE-S-00001</t>
  </si>
  <si>
    <t>1200;975;1195;1190</t>
  </si>
  <si>
    <t>1.9.8.4.2</t>
  </si>
  <si>
    <t>1.9.8.4.3</t>
  </si>
  <si>
    <t>1.9.8.4.4</t>
  </si>
  <si>
    <t>1.9.8.5</t>
  </si>
  <si>
    <t>ag-j0006-0702-ge-s-00001</t>
  </si>
  <si>
    <t>1.9.8.5.1</t>
  </si>
  <si>
    <t>AG-J0006-0702-GE-S-00001</t>
  </si>
  <si>
    <t>1203;1198;1193</t>
  </si>
  <si>
    <t>1211;1215TT</t>
  </si>
  <si>
    <t>1.9.8.5.2</t>
  </si>
  <si>
    <t>1.9.8.5.3</t>
  </si>
  <si>
    <t>1.9.8.5.4</t>
  </si>
  <si>
    <t>1.9.8.6</t>
  </si>
  <si>
    <t>ag-j0006 0702-ge-s-00002</t>
  </si>
  <si>
    <t>1.9.8.6.1</t>
  </si>
  <si>
    <t>AG-J0006 0702-GE-S-00002</t>
  </si>
  <si>
    <t>1210TT</t>
  </si>
  <si>
    <t>1.9.8.6.2</t>
  </si>
  <si>
    <t>1.9.8.6.3</t>
  </si>
  <si>
    <t>1.9.8.6.4</t>
  </si>
  <si>
    <t>1.9.8.7</t>
  </si>
  <si>
    <t>ag-j0006-0702-ge-s-00003</t>
  </si>
  <si>
    <t>1.9.8.7.1</t>
  </si>
  <si>
    <t>AG-J0006-0702-GE-S-00003</t>
  </si>
  <si>
    <t>1221;1225TT;1230TT</t>
  </si>
  <si>
    <t>1.9.8.7.2</t>
  </si>
  <si>
    <t>1.9.8.7.3</t>
  </si>
  <si>
    <t>1.9.8.7.4</t>
  </si>
  <si>
    <t>1.9.8.8</t>
  </si>
  <si>
    <t>ag-j0006-0702-ge-s-00004</t>
  </si>
  <si>
    <t>1.9.8.8.1</t>
  </si>
  <si>
    <t>AG-J0006-0702-GE-S-00004</t>
  </si>
  <si>
    <t>1220TT</t>
  </si>
  <si>
    <t>1.9.8.8.2</t>
  </si>
  <si>
    <t>1.9.8.8.3</t>
  </si>
  <si>
    <t>1.9.8.8.4</t>
  </si>
  <si>
    <t>1.9.8.9</t>
  </si>
  <si>
    <t>pl-j0006-0702-ge-s-00001</t>
  </si>
  <si>
    <t>1.9.8.9.1</t>
  </si>
  <si>
    <t>PL-J0006-0702-GE-S-00001</t>
  </si>
  <si>
    <t>1.9.8.9.2</t>
  </si>
  <si>
    <t>1.9.8.9.3</t>
  </si>
  <si>
    <t>1.9.8.9.4</t>
  </si>
  <si>
    <t>1.9.10</t>
  </si>
  <si>
    <t>1.9.10.1</t>
  </si>
  <si>
    <t>ml-j0006-0902-ge-s-00001</t>
  </si>
  <si>
    <t>12,75 dias</t>
  </si>
  <si>
    <t>1.9.10.1.1</t>
  </si>
  <si>
    <t>ML-J0006-0902-GE-S-00001</t>
  </si>
  <si>
    <t>1268;1282TI+5 dias</t>
  </si>
  <si>
    <t>1.9.10.1.2</t>
  </si>
  <si>
    <t>1.9.10.1.3</t>
  </si>
  <si>
    <t>1.9.10.1.4</t>
  </si>
  <si>
    <t>1.9.10.2</t>
  </si>
  <si>
    <t>ml-j0006-0902-ge-s-00002</t>
  </si>
  <si>
    <t>1.9.10.2.1</t>
  </si>
  <si>
    <t>ML-J0006-0902-GE-S-00002</t>
  </si>
  <si>
    <t>1273;1282TI+5 dias</t>
  </si>
  <si>
    <t>1.9.10.2.2</t>
  </si>
  <si>
    <t>1.9.10.2.3</t>
  </si>
  <si>
    <t>1.9.10.2.4</t>
  </si>
  <si>
    <t>1.9.10.3</t>
  </si>
  <si>
    <t>ml-j0006-0902-ge-s-00003</t>
  </si>
  <si>
    <t>1.9.10.3.1</t>
  </si>
  <si>
    <t>ML-J0006-0902-GE-S-00003</t>
  </si>
  <si>
    <t>1278;1282TI+5 dias</t>
  </si>
  <si>
    <t>1.9.10.3.2</t>
  </si>
  <si>
    <t>1.9.10.3.3</t>
  </si>
  <si>
    <t>1.9.10.3.4</t>
  </si>
  <si>
    <t>1.9.10.4</t>
  </si>
  <si>
    <t>mc-j0006-0902-ge-s-00001</t>
  </si>
  <si>
    <t>1.9.10.4.1</t>
  </si>
  <si>
    <t>MC-J0006-0902-GE-S-00001</t>
  </si>
  <si>
    <t>1277TI+5 dias;1272TI+5 dias;1267TI+5 dias</t>
  </si>
  <si>
    <t>1.9.10.4.2</t>
  </si>
  <si>
    <t>1.9.10.4.3</t>
  </si>
  <si>
    <t>1.9.10.4.4</t>
  </si>
  <si>
    <t>1.9.10.5</t>
  </si>
  <si>
    <t>ag-j0006-0902-ge-s-00001</t>
  </si>
  <si>
    <t>1.9.10.5.1</t>
  </si>
  <si>
    <t>AG-J0006-0902-GE-S-00001</t>
  </si>
  <si>
    <t>1280;1275;1270</t>
  </si>
  <si>
    <t>1288;1302TT;1339TT;1360TT;1334TT;1355TT;1292TT;1297TT</t>
  </si>
  <si>
    <t>1.9.10.5.2</t>
  </si>
  <si>
    <t>1.9.10.5.3</t>
  </si>
  <si>
    <t>1.9.10.5.4</t>
  </si>
  <si>
    <t>1.9.10.6</t>
  </si>
  <si>
    <t>ag-j0006-0902-ge-s-00002</t>
  </si>
  <si>
    <t>1.9.10.6.1</t>
  </si>
  <si>
    <t>AG-J0006-0902-GE-S-00002</t>
  </si>
  <si>
    <t>1287TT</t>
  </si>
  <si>
    <t>1.9.10.6.2</t>
  </si>
  <si>
    <t>1.9.10.6.3</t>
  </si>
  <si>
    <t>1.9.10.6.4</t>
  </si>
  <si>
    <t>1.9.10.7</t>
  </si>
  <si>
    <t>ag-j0006-0902-ge-s-00003</t>
  </si>
  <si>
    <t>1.9.10.7.1</t>
  </si>
  <si>
    <t>AG-J0006-0902-GE-S-00003</t>
  </si>
  <si>
    <t>1.9.10.7.2</t>
  </si>
  <si>
    <t>1.9.10.7.3</t>
  </si>
  <si>
    <t>1.9.10.7.4</t>
  </si>
  <si>
    <t>1.9.10.8</t>
  </si>
  <si>
    <t>pl-j0006-0902-ge-s-00001</t>
  </si>
  <si>
    <t>1.9.10.8.1</t>
  </si>
  <si>
    <t>PL-J0006-0902-GE-S-00001</t>
  </si>
  <si>
    <t>1.9.10.8.2</t>
  </si>
  <si>
    <t>1.9.10.8.3</t>
  </si>
  <si>
    <t>1.9.10.8.4</t>
  </si>
  <si>
    <t>1.9.12</t>
  </si>
  <si>
    <t>modulo 1004</t>
  </si>
  <si>
    <t>1.9.12.1</t>
  </si>
  <si>
    <t>MODULO 1004</t>
  </si>
  <si>
    <t>ml-j0006-1004-ge-s-00001</t>
  </si>
  <si>
    <t>1.9.12.1.1</t>
  </si>
  <si>
    <t>ML-J0006-1004-GE-S-00001</t>
  </si>
  <si>
    <t>1.9.12.1.2</t>
  </si>
  <si>
    <t>1.9.12.1.3</t>
  </si>
  <si>
    <t>1.9.12.1.4</t>
  </si>
  <si>
    <t>1.9.12.2</t>
  </si>
  <si>
    <t>mc-j0006-1004-ge-s-00001</t>
  </si>
  <si>
    <t>1.9.12.2.1</t>
  </si>
  <si>
    <t>MC-J0006-1004-GE-S-00001</t>
  </si>
  <si>
    <t>1.9.12.2.2</t>
  </si>
  <si>
    <t>1.9.12.2.3</t>
  </si>
  <si>
    <t>1.9.12.2.4</t>
  </si>
  <si>
    <t>1.9.12.3</t>
  </si>
  <si>
    <t>ag-j0006-1004-ge-s-00001</t>
  </si>
  <si>
    <t>1.9.12.3.1</t>
  </si>
  <si>
    <t>AG-J0006-1004-GE-S-00001</t>
  </si>
  <si>
    <t>1.9.12.3.2</t>
  </si>
  <si>
    <t>1.9.12.3.3</t>
  </si>
  <si>
    <t>1.9.12.3.4</t>
  </si>
  <si>
    <t>1.9.12.4</t>
  </si>
  <si>
    <t>pl-j0006-1004-ge-s-00001</t>
  </si>
  <si>
    <t>1.9.12.4.1</t>
  </si>
  <si>
    <t>PL-J0006-1004-GE-S-00001</t>
  </si>
  <si>
    <t>1.9.12.4.2</t>
  </si>
  <si>
    <t>1.9.12.4.3</t>
  </si>
  <si>
    <t>1.9.12.4.4</t>
  </si>
  <si>
    <t>1.9.13</t>
  </si>
  <si>
    <t>1.9.13.1</t>
  </si>
  <si>
    <t>ml-j0006-1000-ge-s-00001</t>
  </si>
  <si>
    <t>1.9.13.1.1</t>
  </si>
  <si>
    <t>ML-J0006-1000-GE-S-00001</t>
  </si>
  <si>
    <t>1.9.13.1.2</t>
  </si>
  <si>
    <t>1.9.13.1.3</t>
  </si>
  <si>
    <t>1.9.13.1.4</t>
  </si>
  <si>
    <t>1.9.13.2</t>
  </si>
  <si>
    <t>mc-j0006-1000-ge-s-00001</t>
  </si>
  <si>
    <t>1.9.13.2.1</t>
  </si>
  <si>
    <t>MC-J0006-1000-GE-S-00001</t>
  </si>
  <si>
    <t>1.9.13.2.2</t>
  </si>
  <si>
    <t>1.9.13.2.3</t>
  </si>
  <si>
    <t>1.9.13.2.4</t>
  </si>
  <si>
    <t>1.9.13.3</t>
  </si>
  <si>
    <t>ag-j0006-1000-ge-s-00001</t>
  </si>
  <si>
    <t>1.9.13.3.1</t>
  </si>
  <si>
    <t>AG-J0006-1000-GE-S-00001</t>
  </si>
  <si>
    <t>1.9.13.3.2</t>
  </si>
  <si>
    <t>1.9.13.3.3</t>
  </si>
  <si>
    <t>1.9.13.3.4</t>
  </si>
  <si>
    <t>1.9.13.4</t>
  </si>
  <si>
    <t>pl-j0006-1000-ge-s-00001</t>
  </si>
  <si>
    <t>1.9.13.4.1</t>
  </si>
  <si>
    <t>PL-J0006-1000-GE-S-00001</t>
  </si>
  <si>
    <t>1.9.13.4.2</t>
  </si>
  <si>
    <t>1.9.13.4.3</t>
  </si>
  <si>
    <t>1.9.13.4.4</t>
  </si>
  <si>
    <t>1.9.14</t>
  </si>
  <si>
    <t>geral</t>
  </si>
  <si>
    <t>1.9.14.1</t>
  </si>
  <si>
    <t>GERAL</t>
  </si>
  <si>
    <t>pq-j0006-0000-ge-s-00001</t>
  </si>
  <si>
    <t>1.9.14.1.1</t>
  </si>
  <si>
    <t>PQ-J0006-0000-GE-S-00001</t>
  </si>
  <si>
    <t>1.9.14.1.2</t>
  </si>
  <si>
    <t>Seg 29/06/26</t>
  </si>
  <si>
    <t>1368II</t>
  </si>
  <si>
    <t>1.9.14.1.3</t>
  </si>
  <si>
    <t>1367II</t>
  </si>
  <si>
    <t>1369II</t>
  </si>
  <si>
    <t>1.9.14.1.4</t>
  </si>
  <si>
    <t>1.10</t>
  </si>
  <si>
    <t>electrical</t>
  </si>
  <si>
    <t>1.10.1</t>
  </si>
  <si>
    <t>ELECTRICAL</t>
  </si>
  <si>
    <t>cp-j0006-0000-ge-e-00001</t>
  </si>
  <si>
    <t>1.10.1.1</t>
  </si>
  <si>
    <t>CP-J0006-0000-GE-E-00001</t>
  </si>
  <si>
    <t>Eng. Elétrica</t>
  </si>
  <si>
    <t>1.10.1.2</t>
  </si>
  <si>
    <t>1.10.1.3</t>
  </si>
  <si>
    <t>Qui 02/04/26</t>
  </si>
  <si>
    <t>1.10.1.4</t>
  </si>
  <si>
    <t>Ter 07/04/26</t>
  </si>
  <si>
    <t>Seg 06/04/26</t>
  </si>
  <si>
    <t>1.10.2</t>
  </si>
  <si>
    <t>ml-j0006-0000-ge-e-00001</t>
  </si>
  <si>
    <t>1.10.2.1</t>
  </si>
  <si>
    <t>ML-J0006-0000-GE-E-00001</t>
  </si>
  <si>
    <t>1.10.2.2</t>
  </si>
  <si>
    <t>1.10.2.3</t>
  </si>
  <si>
    <t>1.10.2.4</t>
  </si>
  <si>
    <t>1.10.3</t>
  </si>
  <si>
    <t>rl-j0006-0000-ge-e-00001</t>
  </si>
  <si>
    <t>1.10.3.1</t>
  </si>
  <si>
    <t>RL-J0006-0000-GE-E-00001</t>
  </si>
  <si>
    <t>1388;1402II;1407II;1427II</t>
  </si>
  <si>
    <t>1.10.3.2</t>
  </si>
  <si>
    <t>1.10.3.3</t>
  </si>
  <si>
    <t>1.10.3.4</t>
  </si>
  <si>
    <t>1.10.4</t>
  </si>
  <si>
    <t>le-j0006-0000-ge-e-00001</t>
  </si>
  <si>
    <t>1.10.4.1</t>
  </si>
  <si>
    <t>LE-J0006-0000-GE-E-00001</t>
  </si>
  <si>
    <t>1393;1387</t>
  </si>
  <si>
    <t>1.10.4.2</t>
  </si>
  <si>
    <t>1.10.4.3</t>
  </si>
  <si>
    <t>1.10.4.4</t>
  </si>
  <si>
    <t>1.10.5</t>
  </si>
  <si>
    <t>lr-j0006-0000-ge-e-00001</t>
  </si>
  <si>
    <t>1.10.5.1</t>
  </si>
  <si>
    <t>LR-J0006-0000-GE-E-00001</t>
  </si>
  <si>
    <t>0,6 dias</t>
  </si>
  <si>
    <t>1398;1422</t>
  </si>
  <si>
    <t>1.10.5.2</t>
  </si>
  <si>
    <t>1.10.5.3</t>
  </si>
  <si>
    <t>1.10.5.4</t>
  </si>
  <si>
    <t>1.10.6</t>
  </si>
  <si>
    <t>pq-j0006-1200-ge-e-00001</t>
  </si>
  <si>
    <t>1.10.6.1</t>
  </si>
  <si>
    <t>PQ-J0006-1200-GE-E-00001</t>
  </si>
  <si>
    <t>1387II</t>
  </si>
  <si>
    <t>1.10.6.2</t>
  </si>
  <si>
    <t>1.10.6.3</t>
  </si>
  <si>
    <t>1405TT</t>
  </si>
  <si>
    <t>1.10.6.4</t>
  </si>
  <si>
    <t>1404TT</t>
  </si>
  <si>
    <t>1.10.7</t>
  </si>
  <si>
    <t>md-j0006-1200-ge-e-00001</t>
  </si>
  <si>
    <t>1.10.7.1</t>
  </si>
  <si>
    <t>MD-J0006-1200-GE-E-00001</t>
  </si>
  <si>
    <t>1.10.7.2</t>
  </si>
  <si>
    <t>1.10.7.3</t>
  </si>
  <si>
    <t>1410TT</t>
  </si>
  <si>
    <t>1.10.7.4</t>
  </si>
  <si>
    <t>1409TT</t>
  </si>
  <si>
    <t>1.10.8</t>
  </si>
  <si>
    <t>mc-j0006-1200-ge-e-00001</t>
  </si>
  <si>
    <t>16,54 dias</t>
  </si>
  <si>
    <t>1.10.8.1</t>
  </si>
  <si>
    <t>MC-J0006-1200-GE-E-00001</t>
  </si>
  <si>
    <t>12,54 dias</t>
  </si>
  <si>
    <t>Projetista Elétrica</t>
  </si>
  <si>
    <t>1413;1392</t>
  </si>
  <si>
    <t>1.10.8.2</t>
  </si>
  <si>
    <t>1.10.8.3</t>
  </si>
  <si>
    <t>1.10.8.4</t>
  </si>
  <si>
    <t>1.10.9</t>
  </si>
  <si>
    <t>ag-j0006-0000-ge-e-00001</t>
  </si>
  <si>
    <t>1.10.9.1</t>
  </si>
  <si>
    <t>AG-J0006-0000-GE-E-00001</t>
  </si>
  <si>
    <t>1.10.9.2</t>
  </si>
  <si>
    <t>1.10.9.3</t>
  </si>
  <si>
    <t>1.10.9.4</t>
  </si>
  <si>
    <t>1.10.10</t>
  </si>
  <si>
    <t>du-j0006-0000-ge-e-00001</t>
  </si>
  <si>
    <t>9,54 dias</t>
  </si>
  <si>
    <t>1.10.10.1</t>
  </si>
  <si>
    <t>DU-J0006-0000-GE-E-00001</t>
  </si>
  <si>
    <t>1423;1412</t>
  </si>
  <si>
    <t>1.10.10.2</t>
  </si>
  <si>
    <t>1.10.10.3</t>
  </si>
  <si>
    <t>1.10.10.4</t>
  </si>
  <si>
    <t>1.10.11</t>
  </si>
  <si>
    <t>ag-j0006-0000-ge-e-00002</t>
  </si>
  <si>
    <t>1.10.11.1</t>
  </si>
  <si>
    <t>AG-J0006-0000-GE-E-00002</t>
  </si>
  <si>
    <t>1.10.11.2</t>
  </si>
  <si>
    <t>1.10.11.3</t>
  </si>
  <si>
    <t>1430TT</t>
  </si>
  <si>
    <t>1.10.11.4</t>
  </si>
  <si>
    <t>1429TT</t>
  </si>
  <si>
    <t>1.11</t>
  </si>
  <si>
    <t>instrumentation / automation</t>
  </si>
  <si>
    <t>52 dias</t>
  </si>
  <si>
    <t>62 dias</t>
  </si>
  <si>
    <t>1.11.1</t>
  </si>
  <si>
    <t>INSTRUMENTATION / AUTOMATION</t>
  </si>
  <si>
    <t>cp-j0006-0000-ge-j-00001</t>
  </si>
  <si>
    <t>1.11.1.1</t>
  </si>
  <si>
    <t>CP-J0006-0000-GE-J-00001</t>
  </si>
  <si>
    <t>12TI+10 dias</t>
  </si>
  <si>
    <t>Eng. Automação</t>
  </si>
  <si>
    <t>1.11.1.2</t>
  </si>
  <si>
    <t>1.11.1.3</t>
  </si>
  <si>
    <t>1.11.1.4</t>
  </si>
  <si>
    <t>1.11.2</t>
  </si>
  <si>
    <t>cp-j0006-0000-ge-j-00002</t>
  </si>
  <si>
    <t>1.11.2.1</t>
  </si>
  <si>
    <t>CP-J0006-0000-GE-J-00002</t>
  </si>
  <si>
    <t>1.11.2.2</t>
  </si>
  <si>
    <t>1.11.2.3</t>
  </si>
  <si>
    <t>1.11.2.4</t>
  </si>
  <si>
    <t>1.11.3</t>
  </si>
  <si>
    <t>ac-j0006-0000-ge-j-00001</t>
  </si>
  <si>
    <t>1.11.3.1</t>
  </si>
  <si>
    <t>AC-J0006-0000-GE-J-00001</t>
  </si>
  <si>
    <t>1.11.3.2</t>
  </si>
  <si>
    <t>1.11.3.3</t>
  </si>
  <si>
    <t>1.11.3.4</t>
  </si>
  <si>
    <t>1.11.4</t>
  </si>
  <si>
    <t>li-j0006-0000-ge-j-00001</t>
  </si>
  <si>
    <t>1.11.4.1</t>
  </si>
  <si>
    <t>LI-J0006-0000-GE-J-00001</t>
  </si>
  <si>
    <t>1487;1492;1497;1502;1507;1512;1517;1522;1482;1557;1552;1547;1542;1537;1527;1532</t>
  </si>
  <si>
    <t>1449;1453</t>
  </si>
  <si>
    <t>1.11.4.2</t>
  </si>
  <si>
    <t>1.11.4.3</t>
  </si>
  <si>
    <t>1.11.4.4</t>
  </si>
  <si>
    <t>1.11.5</t>
  </si>
  <si>
    <t>le-j0006-0000-ge-j-00001</t>
  </si>
  <si>
    <t>1.11.5.1</t>
  </si>
  <si>
    <t>LE-J0006-0000-GE-J-00001</t>
  </si>
  <si>
    <t>1454;1458</t>
  </si>
  <si>
    <t>1.11.5.2</t>
  </si>
  <si>
    <t>1.11.5.3</t>
  </si>
  <si>
    <t>1.11.5.4</t>
  </si>
  <si>
    <t>1.11.6</t>
  </si>
  <si>
    <t>ll-j0006-1200-ge-j-00001</t>
  </si>
  <si>
    <t>1.11.6.1</t>
  </si>
  <si>
    <t>LL-J0006-1200-GE-J-00001</t>
  </si>
  <si>
    <t>1459;1463</t>
  </si>
  <si>
    <t>1.11.6.2</t>
  </si>
  <si>
    <t>1.11.6.3</t>
  </si>
  <si>
    <t>1.11.6.4</t>
  </si>
  <si>
    <t>1.11.8</t>
  </si>
  <si>
    <t>md-j0006-1200-ge-j-00001</t>
  </si>
  <si>
    <t>1.11.8.1</t>
  </si>
  <si>
    <t>MD-J0006-1200-GE-J-00001</t>
  </si>
  <si>
    <t>1473TT</t>
  </si>
  <si>
    <t>1.11.8.2</t>
  </si>
  <si>
    <t>1.11.8.3</t>
  </si>
  <si>
    <t>1.11.8.4</t>
  </si>
  <si>
    <t>1.11.10</t>
  </si>
  <si>
    <t>pq-j0006-1200-ge-j-00001</t>
  </si>
  <si>
    <t>1.11.10.1</t>
  </si>
  <si>
    <t>PQ-J0006-1200-GE-J-00001</t>
  </si>
  <si>
    <t>Projetista Automação</t>
  </si>
  <si>
    <t>1.11.10.2</t>
  </si>
  <si>
    <t>1.11.10.3</t>
  </si>
  <si>
    <t>1.11.10.4</t>
  </si>
  <si>
    <t>1.11.11</t>
  </si>
  <si>
    <t>fg-j0006-0100-ge-j-00001</t>
  </si>
  <si>
    <t>1.11.11.1</t>
  </si>
  <si>
    <t>FG-J0006-0100-GE-J-00001</t>
  </si>
  <si>
    <t>1484;1488</t>
  </si>
  <si>
    <t>1.11.11.2</t>
  </si>
  <si>
    <t>1.11.11.3</t>
  </si>
  <si>
    <t>1.11.11.4</t>
  </si>
  <si>
    <t>1.11.12</t>
  </si>
  <si>
    <t>fg-j0006-0200-ge-j-00001</t>
  </si>
  <si>
    <t>1.11.12.1</t>
  </si>
  <si>
    <t>FG-J0006-0200-GE-J-00001</t>
  </si>
  <si>
    <t>107;1483</t>
  </si>
  <si>
    <t>1489;1493</t>
  </si>
  <si>
    <t>1.11.12.2</t>
  </si>
  <si>
    <t>1.11.12.3</t>
  </si>
  <si>
    <t>1.11.12.4</t>
  </si>
  <si>
    <t>1.11.13</t>
  </si>
  <si>
    <t>fg-j0006-0300-ge-j-00001</t>
  </si>
  <si>
    <t>1.11.13.1</t>
  </si>
  <si>
    <t>FG-J0006-0300-GE-J-00001</t>
  </si>
  <si>
    <t>117;1488;112</t>
  </si>
  <si>
    <t>1494;1498</t>
  </si>
  <si>
    <t>1.11.13.2</t>
  </si>
  <si>
    <t>1.11.13.3</t>
  </si>
  <si>
    <t>1.11.13.4</t>
  </si>
  <si>
    <t>1.11.14</t>
  </si>
  <si>
    <t>fg-j0006-0400-ge-j-00001</t>
  </si>
  <si>
    <t>1.11.14.1</t>
  </si>
  <si>
    <t>FG-J0006-0400-GE-J-00001</t>
  </si>
  <si>
    <t>122;1493</t>
  </si>
  <si>
    <t>1499;1503</t>
  </si>
  <si>
    <t>1.11.14.2</t>
  </si>
  <si>
    <t>1.11.14.3</t>
  </si>
  <si>
    <t>1.11.14.4</t>
  </si>
  <si>
    <t>1.11.15</t>
  </si>
  <si>
    <t>fg-j0006-0500-ge-j-00001</t>
  </si>
  <si>
    <t>1.11.15.1</t>
  </si>
  <si>
    <t>FG-J0006-0500-GE-J-00001</t>
  </si>
  <si>
    <t>132;1498;127</t>
  </si>
  <si>
    <t>1504;1508</t>
  </si>
  <si>
    <t>1.11.15.2</t>
  </si>
  <si>
    <t>1.11.15.3</t>
  </si>
  <si>
    <t>9,75 dias</t>
  </si>
  <si>
    <t>1.11.15.4</t>
  </si>
  <si>
    <t>1.11.16</t>
  </si>
  <si>
    <t>fg-j0006-0600-ge-j-00001</t>
  </si>
  <si>
    <t>1.11.16.1</t>
  </si>
  <si>
    <t>FG-J0006-0600-GE-J-00001</t>
  </si>
  <si>
    <t>137;1503</t>
  </si>
  <si>
    <t>1509;1513</t>
  </si>
  <si>
    <t>1.11.16.2</t>
  </si>
  <si>
    <t>1.11.16.3</t>
  </si>
  <si>
    <t>1.11.16.4</t>
  </si>
  <si>
    <t>1.11.17</t>
  </si>
  <si>
    <t>fg-j0006-0700-ge-j-00001</t>
  </si>
  <si>
    <t>1.11.17.1</t>
  </si>
  <si>
    <t>FG-J0006-0700-GE-J-00001</t>
  </si>
  <si>
    <t>142;1508</t>
  </si>
  <si>
    <t>1514;1518</t>
  </si>
  <si>
    <t>1.11.17.2</t>
  </si>
  <si>
    <t>1.11.17.3</t>
  </si>
  <si>
    <t>1.11.17.4</t>
  </si>
  <si>
    <t>1.11.19</t>
  </si>
  <si>
    <t>fg-j0006-0900-ge-j-00001</t>
  </si>
  <si>
    <t>1448;5</t>
  </si>
  <si>
    <t>1.11.19.1</t>
  </si>
  <si>
    <t>FG-J0006-0900-GE-J-00001</t>
  </si>
  <si>
    <t>157TI+17 dias;1518;152TI+17 dias</t>
  </si>
  <si>
    <t>1.11.19.2</t>
  </si>
  <si>
    <t>1.11.19.3</t>
  </si>
  <si>
    <t>1.11.19.4</t>
  </si>
  <si>
    <t>1564;1569TI-2 dias;1574</t>
  </si>
  <si>
    <t>1.11.20</t>
  </si>
  <si>
    <t>fg-j0006-0902-ge-j-00001</t>
  </si>
  <si>
    <t>1.11.20.1</t>
  </si>
  <si>
    <t>FG-J0006-0902-GE-J-00001</t>
  </si>
  <si>
    <t>1.11.20.2</t>
  </si>
  <si>
    <t>1.11.20.3</t>
  </si>
  <si>
    <t>1.11.20.4</t>
  </si>
  <si>
    <t>1.11.22</t>
  </si>
  <si>
    <t>fg-j0006-0000-ge-j-00001</t>
  </si>
  <si>
    <t>1.11.22.1</t>
  </si>
  <si>
    <t>FG-J0006-0000-GE-J-00001</t>
  </si>
  <si>
    <t>157TI+19 dias;1518;152TI+19 dias</t>
  </si>
  <si>
    <t>1.11.22.2</t>
  </si>
  <si>
    <t>1.11.22.3</t>
  </si>
  <si>
    <t>1.11.22.4</t>
  </si>
  <si>
    <t>1564;1569;1574</t>
  </si>
  <si>
    <t>1.11.23</t>
  </si>
  <si>
    <t>fg-j0006-0000-ge-j-00002</t>
  </si>
  <si>
    <t>1.11.23.1</t>
  </si>
  <si>
    <t>FG-J0006-0000-GE-J-00002</t>
  </si>
  <si>
    <t>157TI+20 dias;1518;152TI+20 dias</t>
  </si>
  <si>
    <t>1.11.23.2</t>
  </si>
  <si>
    <t>1.11.23.3</t>
  </si>
  <si>
    <t>1.11.23.4</t>
  </si>
  <si>
    <t>1.11.24</t>
  </si>
  <si>
    <t>fg-j0006-0000-ge-j-00003</t>
  </si>
  <si>
    <t>1.11.24.1</t>
  </si>
  <si>
    <t>FG-J0006-0000-GE-J-00003</t>
  </si>
  <si>
    <t>157TI+21 dias;1518;152TI+21 dias</t>
  </si>
  <si>
    <t>1.11.24.2</t>
  </si>
  <si>
    <t>1.11.24.3</t>
  </si>
  <si>
    <t>1.11.24.4</t>
  </si>
  <si>
    <t>1.11.25</t>
  </si>
  <si>
    <t>fg-j0006-0000-ge-j-00004</t>
  </si>
  <si>
    <t>1.11.25.1</t>
  </si>
  <si>
    <t>FG-J0006-0000-GE-J-00004</t>
  </si>
  <si>
    <t>157TI+22 dias;1518;152TI+22 dias</t>
  </si>
  <si>
    <t>1.11.25.2</t>
  </si>
  <si>
    <t>1.11.25.3</t>
  </si>
  <si>
    <t>1.11.25.4</t>
  </si>
  <si>
    <t>1.12</t>
  </si>
  <si>
    <t>telecommunications</t>
  </si>
  <si>
    <t>1.12.1</t>
  </si>
  <si>
    <t>TELECOMMUNICATIONS</t>
  </si>
  <si>
    <t>cp-j0006-0000-ge-k-00001</t>
  </si>
  <si>
    <t>1.12.1.1</t>
  </si>
  <si>
    <t>CP-J0006-0000-GE-K-00001</t>
  </si>
  <si>
    <t>1526;1561;1556;1551;1546;1541;1531;1536</t>
  </si>
  <si>
    <t>1.12.1.2</t>
  </si>
  <si>
    <t>1.12.1.3</t>
  </si>
  <si>
    <t>1.12.1.4</t>
  </si>
  <si>
    <t>1.12.2</t>
  </si>
  <si>
    <t>dg-j0006-1200-ge-k-00001</t>
  </si>
  <si>
    <t>1.12.2.1</t>
  </si>
  <si>
    <t>DG-J0006-1200-GE-K-00001</t>
  </si>
  <si>
    <t>1526TI-2 dias;1561TI-2 dias;1556TI-2 dias;1551TI-2 dias;1546TI-2 dias;1541;1531TI-2 dias;1536TI-2 dias</t>
  </si>
  <si>
    <t>1570;1599TT</t>
  </si>
  <si>
    <t>1.12.2.2</t>
  </si>
  <si>
    <t>1.12.2.3</t>
  </si>
  <si>
    <t>1.12.2.4</t>
  </si>
  <si>
    <t>1.12.6</t>
  </si>
  <si>
    <t>pq-j0006-0000-ge-k-00001</t>
  </si>
  <si>
    <t>1.12.6.1</t>
  </si>
  <si>
    <t>PQ-J0006-0000-GE-K-00001</t>
  </si>
  <si>
    <t>1590;1594TT</t>
  </si>
  <si>
    <t>1.12.6.2</t>
  </si>
  <si>
    <t>1.12.6.3</t>
  </si>
  <si>
    <t>1.12.6.4</t>
  </si>
  <si>
    <t>1.12.7</t>
  </si>
  <si>
    <t>md-j0006-1200-ge-k-00001</t>
  </si>
  <si>
    <t>1.12.7.1</t>
  </si>
  <si>
    <t>MD-J0006-1200-GE-K-00001</t>
  </si>
  <si>
    <t>1589TT</t>
  </si>
  <si>
    <t>1.12.7.2</t>
  </si>
  <si>
    <t>1.12.7.3</t>
  </si>
  <si>
    <t>1.12.7.4</t>
  </si>
  <si>
    <t>1.12.8</t>
  </si>
  <si>
    <t>ag-j0006-1200-ge-k-00001</t>
  </si>
  <si>
    <t>1.12.8.1</t>
  </si>
  <si>
    <t>AG-J0006-1200-GE-K-00001</t>
  </si>
  <si>
    <t>1569TT</t>
  </si>
  <si>
    <t>1.12.8.2</t>
  </si>
  <si>
    <t>1.12.8.3</t>
  </si>
  <si>
    <t>1.12.8.4</t>
  </si>
  <si>
    <t>reunião design review 3</t>
  </si>
  <si>
    <t>367;9TI+10 dias</t>
  </si>
  <si>
    <t>Tarefa Excluída</t>
  </si>
  <si>
    <t>1.4.4</t>
  </si>
  <si>
    <t>rm-j0006-0000-ge-g-00003</t>
  </si>
  <si>
    <t>1.4.6</t>
  </si>
  <si>
    <t>lz-j0006-0000-ge-p-00001</t>
  </si>
  <si>
    <t>1.4.7</t>
  </si>
  <si>
    <t>lx-j0006-0000-ge-p-00001</t>
  </si>
  <si>
    <t>et-j0006-0000-ge-p-00001</t>
  </si>
  <si>
    <t>ag-j0006-0100-ge-l-00003</t>
  </si>
  <si>
    <t>ag-j0006-0200-ge-l-00003</t>
  </si>
  <si>
    <t>1.6.13.3</t>
  </si>
  <si>
    <t>ag-j0006-0500-ge-l-00002</t>
  </si>
  <si>
    <t>1.6.16</t>
  </si>
  <si>
    <t>modulo 0800</t>
  </si>
  <si>
    <t>36 dias</t>
  </si>
  <si>
    <t>1.6.16.1</t>
  </si>
  <si>
    <t>ml-j0006-0800-ge-l-00001</t>
  </si>
  <si>
    <t>1.6.16.2</t>
  </si>
  <si>
    <t>ag-j0006-0800-ge-l-00001</t>
  </si>
  <si>
    <t>1.6.16.3</t>
  </si>
  <si>
    <t>ag-j0006-0800-ge-l-00002</t>
  </si>
  <si>
    <t>1.6.16.4</t>
  </si>
  <si>
    <t>ag-j0006-0800-ge-l-00003</t>
  </si>
  <si>
    <t>rl-j0006-0000-ge-m-00005</t>
  </si>
  <si>
    <t>1.7.3</t>
  </si>
  <si>
    <t>db-j0006-0000-ge-u-00001</t>
  </si>
  <si>
    <t>1.7.4</t>
  </si>
  <si>
    <t>db-j0006-0000-ge-u-00002</t>
  </si>
  <si>
    <t>1.7.5</t>
  </si>
  <si>
    <t>db-j0006-0000-ge-u-00003</t>
  </si>
  <si>
    <t>1.7.6</t>
  </si>
  <si>
    <t>db-j0006-0000-ge-u-00004</t>
  </si>
  <si>
    <t>1.8.4</t>
  </si>
  <si>
    <t>fd-j0006-0505-ge-t-00001</t>
  </si>
  <si>
    <t>1.8.6</t>
  </si>
  <si>
    <t>mc-j0006-0000-ge-t-00001</t>
  </si>
  <si>
    <t>29 dias</t>
  </si>
  <si>
    <t>1.8.8</t>
  </si>
  <si>
    <t>fg-j0006-0200-ge-t-00001</t>
  </si>
  <si>
    <t>fg-j0006-0500-ge-t-00001</t>
  </si>
  <si>
    <t>fg-j0006-0800-ge-t-00001</t>
  </si>
  <si>
    <t>ag-j0006-0800-ge-t-00001</t>
  </si>
  <si>
    <t>mc-j0006-1301-ge-t-00001</t>
  </si>
  <si>
    <t>architecture</t>
  </si>
  <si>
    <t>mc-j0006-1100-ge-a-00001</t>
  </si>
  <si>
    <t>ARCHITECTURE</t>
  </si>
  <si>
    <t>cp-j0006-0000-ge-a-00001</t>
  </si>
  <si>
    <t>md-j0006-1100-ge-a-00001</t>
  </si>
  <si>
    <t>pq-j0006-1100-ge-a-00001</t>
  </si>
  <si>
    <t>fg-j0006-1100-ge-a-00001</t>
  </si>
  <si>
    <t>ml-j0006-1100-ge-a-00001</t>
  </si>
  <si>
    <t>ag-j0006-1004-ge-a-00001</t>
  </si>
  <si>
    <t>ag-j0006-1004-ge-a-00002</t>
  </si>
  <si>
    <t>ml-j0006-0100-ge-s-00001</t>
  </si>
  <si>
    <t>ag-j0006-0100-ge-s-00001</t>
  </si>
  <si>
    <t>ag-j0006-0100-ge-s-00002</t>
  </si>
  <si>
    <t>ml-j0006-0200-ge-s-00001</t>
  </si>
  <si>
    <t>mc-j0006-0200-ge-s-00001</t>
  </si>
  <si>
    <t>ag-j0006-0200-ge-s-00001</t>
  </si>
  <si>
    <t>ag-j0006-0200-ge-s-00002</t>
  </si>
  <si>
    <t>1.10.3.5</t>
  </si>
  <si>
    <t>ag-j0006-0200-ge-s-00003</t>
  </si>
  <si>
    <t>1.10.3.6</t>
  </si>
  <si>
    <t>ag-j0006-0200-ge-s-00004</t>
  </si>
  <si>
    <t>1.10.3.7</t>
  </si>
  <si>
    <t>ag-j0006-0200-ge-s-00005</t>
  </si>
  <si>
    <t>ml-j0006-0300-ge-s-00001</t>
  </si>
  <si>
    <t>mc-j0006-0300-ge-s-00001</t>
  </si>
  <si>
    <t>ag-j0006-0300-ge-s-00001</t>
  </si>
  <si>
    <t>ag-j0006-0300-ge-s-00002</t>
  </si>
  <si>
    <t>ml-j0006-0400-ge-s-00001</t>
  </si>
  <si>
    <t>mc-j0006-0400-ge-s-00001</t>
  </si>
  <si>
    <t>ag-j0006-0400-ge-s-00001</t>
  </si>
  <si>
    <t>ag-j0006-0400-ge-s-00002</t>
  </si>
  <si>
    <t>ml-j0006-0500-ge-s-00001</t>
  </si>
  <si>
    <t>mc-j0006-0500-ge-s-00001</t>
  </si>
  <si>
    <t>ag-j0006-0500-ge-s-00001</t>
  </si>
  <si>
    <t>ag-j0006-0500-ge-s-00002</t>
  </si>
  <si>
    <t>1.10.6.5</t>
  </si>
  <si>
    <t>ag-j0006-0500-ge-s-00003</t>
  </si>
  <si>
    <t>1.10.6.6</t>
  </si>
  <si>
    <t>ag-j0006-0500-ge-s-00004</t>
  </si>
  <si>
    <t>ml-j0006-0600-ge-s-00001</t>
  </si>
  <si>
    <t>mc-j0006-0600-ge-s-00001</t>
  </si>
  <si>
    <t>ag-j0006-0600-ge-s-00001</t>
  </si>
  <si>
    <t>ag-j0006-0600-ge-s-00002</t>
  </si>
  <si>
    <t>1.10.7.5</t>
  </si>
  <si>
    <t>ag-j0006-0600-ge-s-00003</t>
  </si>
  <si>
    <t>ml-j0006-0700-ge-s-00001</t>
  </si>
  <si>
    <t>mc-j0006-0700-ge-s-00001</t>
  </si>
  <si>
    <t>ag-j0006-0700-ge-s-00001</t>
  </si>
  <si>
    <t>ag-j0006-0700-ge-s-00002</t>
  </si>
  <si>
    <t>24 dias</t>
  </si>
  <si>
    <t>ml-j0006-0800-ge-s-00001</t>
  </si>
  <si>
    <t>mc-j0006-0800-ge-s-00001</t>
  </si>
  <si>
    <t>ag-j0006-0800-ge-s-00001</t>
  </si>
  <si>
    <t>ag-j0006-0800-ge-s-00002</t>
  </si>
  <si>
    <t>1.10.9.5</t>
  </si>
  <si>
    <t>ag-j0006-0800-ge-s-00003</t>
  </si>
  <si>
    <t>1.10.9.6</t>
  </si>
  <si>
    <t>ag-j0006-0800-ge-s-00004</t>
  </si>
  <si>
    <t>ml-j0006-0900-ge-s-00001</t>
  </si>
  <si>
    <t>mc-j0006-0900-ge-s-00001</t>
  </si>
  <si>
    <t>ag-j0006-0900-ge-s-00001</t>
  </si>
  <si>
    <t>ag-j0006-0900-ge-s-00002</t>
  </si>
  <si>
    <t>ag-j0006-1000-ge-s-00002</t>
  </si>
  <si>
    <t>ag-j0006-1000-ge-s-00003</t>
  </si>
  <si>
    <t>1.10.12.2</t>
  </si>
  <si>
    <t>lm-j0006-0000-ge-s-00001</t>
  </si>
  <si>
    <t>1.12.5</t>
  </si>
  <si>
    <t>le-j0006-1200-ge-j-00001</t>
  </si>
  <si>
    <t>lz-j0006-1200-ge-j-00001</t>
  </si>
  <si>
    <t>lz-j0006-1200-ge-j-00002</t>
  </si>
  <si>
    <t>1.12.9</t>
  </si>
  <si>
    <t>mc-j0006-1200-ge-j-00001</t>
  </si>
  <si>
    <t>1.12.18</t>
  </si>
  <si>
    <t>fg-j0006-0800-ge-j-00001</t>
  </si>
  <si>
    <t>1.13.3</t>
  </si>
  <si>
    <t>dg-j0006-1200-ge-k-00002</t>
  </si>
  <si>
    <t>1.13.4</t>
  </si>
  <si>
    <t>le-j0006-1200-ge-k-00001</t>
  </si>
  <si>
    <t>1.13.5</t>
  </si>
  <si>
    <t>mc-j0006-1200-ge-k-00001</t>
  </si>
  <si>
    <t>1.13.6</t>
  </si>
  <si>
    <t>pq-j0006-1200-ge-k-00001</t>
  </si>
  <si>
    <t>1.13.8</t>
  </si>
  <si>
    <t>ag-j0006-1200-ge-k-00003</t>
  </si>
  <si>
    <t>Número de documentos listados</t>
  </si>
  <si>
    <t>Aderência do modelo (%)</t>
  </si>
  <si>
    <t>%EI</t>
  </si>
  <si>
    <t>%AP</t>
  </si>
  <si>
    <t>Data</t>
  </si>
  <si>
    <t>Emissão prevista na LB</t>
  </si>
  <si>
    <t>Emissão prevista na LB acumulada</t>
  </si>
  <si>
    <t>Emissão realizada por dia</t>
  </si>
  <si>
    <t>Emissão realizada acumulada</t>
  </si>
  <si>
    <t>Aprovação prevista na LB</t>
  </si>
  <si>
    <t>Aprovação realizada por dia</t>
  </si>
  <si>
    <t>Aprovação prevista na LB acumulada</t>
  </si>
  <si>
    <t>Aprovação realizada acumulada</t>
  </si>
  <si>
    <t>Avanço da EI previsto na LB</t>
  </si>
  <si>
    <t>Avanço real da EI na LB</t>
  </si>
  <si>
    <t>COMP_EI</t>
  </si>
  <si>
    <t>Avanço da AP previsto na LB</t>
  </si>
  <si>
    <t>Avanço da AP real na LB</t>
  </si>
  <si>
    <t>COMP_AP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</si>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</sst>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1"/>
    <xf numFmtId="14" fontId="0" fillId="0" borderId="0" xfId="0" applyNumberFormat="1"/>
    <xf numFmtId="10" fontId="0" fillId="0" borderId="0" xfId="0" applyNumberFormat="1"/>
    <xf numFmtId="14" fontId="0" fillId="0" borderId="0" xfId="0" applyNumberFormat="1" applyAlignment="1">
      <alignment vertical="top" wrapText="1"/>
    </xf>
    <xf numFmtId="0" fontId="0" fillId="0" borderId="0" xfId="0" applyAlignment="1">
      <alignment vertical="top" wrapText="1"/>
    </xf>
    <xf numFmtId="10" fontId="0" fillId="0" borderId="0" xfId="0" applyNumberFormat="1" applyAlignment="1">
      <alignment vertical="top" wrapText="1"/>
    </xf>
  </cellXfs>
  <cellStyles count="1">
    <cellStyle name="Normal" xfId="0" builtinId="0"/>
  </cellStyles>
  <dxfs count="36">
    <dxf>
      <numFmt numFmtId="14" formatCode="0.00%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4" formatCode="0.00%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9" formatCode="dd/mm/yyyy"/>
    </dxf>
    <dxf>
      <alignment horizontal="general" vertical="top" textRotation="0" wrapText="1" indent="0" justifyLastLine="0" shrinkToFit="0" readingOrder="0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4" formatCode="0.00%"/>
    </dxf>
    <dxf>
      <numFmt numFmtId="0" formatCode="General"/>
    </dxf>
    <dxf>
      <numFmt numFmtId="165" formatCode="0.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0.0%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Concluídas por Disciplina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Resumo!$B$3</c:f>
              <c:strCache>
                <c:ptCount val="1"/>
                <c:pt idx="0">
                  <c:v>Emissão inicial total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Resumo!$A$4:$A$14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Resumo!$B$4:$B$14</c:f>
              <c:numCache>
                <c:formatCode>General</c:formatCode>
                <c:ptCount val="11"/>
                <c:pt idx="0">
                  <c:v>0</c:v>
                </c:pt>
                <c:pt idx="1">
                  <c:v>6</c:v>
                </c:pt>
                <c:pt idx="2">
                  <c:v>11</c:v>
                </c:pt>
                <c:pt idx="3">
                  <c:v>21</c:v>
                </c:pt>
                <c:pt idx="4">
                  <c:v>63</c:v>
                </c:pt>
                <c:pt idx="5">
                  <c:v>43</c:v>
                </c:pt>
                <c:pt idx="6">
                  <c:v>3</c:v>
                </c:pt>
                <c:pt idx="7">
                  <c:v>19</c:v>
                </c:pt>
                <c:pt idx="8">
                  <c:v>88</c:v>
                </c:pt>
                <c:pt idx="9">
                  <c:v>5</c:v>
                </c:pt>
                <c:pt idx="1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68-4343-9F4A-9AEBFD06D222}"/>
            </c:ext>
          </c:extLst>
        </c:ser>
        <c:ser>
          <c:idx val="1"/>
          <c:order val="1"/>
          <c:tx>
            <c:strRef>
              <c:f>Resumo!$C$3</c:f>
              <c:strCache>
                <c:ptCount val="1"/>
                <c:pt idx="0">
                  <c:v>Emissão inicial concluída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Resumo!$A$4:$A$14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Resumo!$C$4:$C$14</c:f>
              <c:numCache>
                <c:formatCode>General</c:formatCode>
                <c:ptCount val="11"/>
                <c:pt idx="0">
                  <c:v>0</c:v>
                </c:pt>
                <c:pt idx="1">
                  <c:v>6</c:v>
                </c:pt>
                <c:pt idx="2">
                  <c:v>11</c:v>
                </c:pt>
                <c:pt idx="3">
                  <c:v>21</c:v>
                </c:pt>
                <c:pt idx="4">
                  <c:v>63</c:v>
                </c:pt>
                <c:pt idx="5">
                  <c:v>43</c:v>
                </c:pt>
                <c:pt idx="6">
                  <c:v>3</c:v>
                </c:pt>
                <c:pt idx="7">
                  <c:v>18</c:v>
                </c:pt>
                <c:pt idx="8">
                  <c:v>88</c:v>
                </c:pt>
                <c:pt idx="9">
                  <c:v>5</c:v>
                </c:pt>
                <c:pt idx="1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68-4343-9F4A-9AEBFD06D2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Atrasadas por Disciplina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Resumo!$B$20</c:f>
              <c:strCache>
                <c:ptCount val="1"/>
                <c:pt idx="0">
                  <c:v>Emissão Inicial Atrasada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Resumo!$A$21:$A$31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Resumo!$B$21:$B$31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CF-4844-87DD-D92F497F9669}"/>
            </c:ext>
          </c:extLst>
        </c:ser>
        <c:ser>
          <c:idx val="1"/>
          <c:order val="1"/>
          <c:tx>
            <c:strRef>
              <c:f>Resumo!$C$20</c:f>
              <c:strCache>
                <c:ptCount val="1"/>
                <c:pt idx="0">
                  <c:v>Avaliação Cliente Atrasada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Resumo!$A$21:$A$31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Resumo!$C$21:$C$31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CF-4844-87DD-D92F497F9669}"/>
            </c:ext>
          </c:extLst>
        </c:ser>
        <c:ser>
          <c:idx val="2"/>
          <c:order val="2"/>
          <c:tx>
            <c:strRef>
              <c:f>Resumo!$D$20</c:f>
              <c:strCache>
                <c:ptCount val="1"/>
                <c:pt idx="0">
                  <c:v>Atendimento Atrasado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Resumo!$A$21:$A$31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Resumo!$D$21:$D$31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CF-4844-87DD-D92F497F9669}"/>
            </c:ext>
          </c:extLst>
        </c:ser>
        <c:ser>
          <c:idx val="3"/>
          <c:order val="3"/>
          <c:tx>
            <c:strRef>
              <c:f>Resumo!$E$20</c:f>
              <c:strCache>
                <c:ptCount val="1"/>
                <c:pt idx="0">
                  <c:v>Aprovação Atrasada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Resumo!$A$21:$A$31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Resumo!$E$21:$E$31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1CF-4844-87DD-D92F497F96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Curva S - Emissão inicial - Status</a:t>
            </a:r>
            <a:r>
              <a:rPr lang="pt-BR" baseline="0"/>
              <a:t> 16/07/2026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S'!$A$2:$A$109</c:f>
              <c:numCache>
                <c:formatCode>m/d/yyyy</c:formatCode>
                <c:ptCount val="108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  <c:pt idx="22">
                  <c:v>46120</c:v>
                </c:pt>
                <c:pt idx="23">
                  <c:v>46121</c:v>
                </c:pt>
                <c:pt idx="24">
                  <c:v>46122</c:v>
                </c:pt>
                <c:pt idx="25">
                  <c:v>46123</c:v>
                </c:pt>
                <c:pt idx="26">
                  <c:v>46124</c:v>
                </c:pt>
                <c:pt idx="27">
                  <c:v>46125</c:v>
                </c:pt>
                <c:pt idx="28">
                  <c:v>46126</c:v>
                </c:pt>
                <c:pt idx="29">
                  <c:v>46127</c:v>
                </c:pt>
                <c:pt idx="30">
                  <c:v>46128</c:v>
                </c:pt>
                <c:pt idx="31">
                  <c:v>46129</c:v>
                </c:pt>
                <c:pt idx="32">
                  <c:v>46130</c:v>
                </c:pt>
                <c:pt idx="33">
                  <c:v>46131</c:v>
                </c:pt>
                <c:pt idx="34">
                  <c:v>46132</c:v>
                </c:pt>
                <c:pt idx="35">
                  <c:v>46133</c:v>
                </c:pt>
                <c:pt idx="36">
                  <c:v>46134</c:v>
                </c:pt>
                <c:pt idx="37">
                  <c:v>46135</c:v>
                </c:pt>
                <c:pt idx="38">
                  <c:v>46136</c:v>
                </c:pt>
                <c:pt idx="39">
                  <c:v>46137</c:v>
                </c:pt>
                <c:pt idx="40">
                  <c:v>46138</c:v>
                </c:pt>
                <c:pt idx="41">
                  <c:v>46139</c:v>
                </c:pt>
                <c:pt idx="42">
                  <c:v>46140</c:v>
                </c:pt>
                <c:pt idx="43">
                  <c:v>46141</c:v>
                </c:pt>
                <c:pt idx="44">
                  <c:v>46142</c:v>
                </c:pt>
                <c:pt idx="45">
                  <c:v>46143</c:v>
                </c:pt>
                <c:pt idx="46">
                  <c:v>46144</c:v>
                </c:pt>
                <c:pt idx="47">
                  <c:v>46145</c:v>
                </c:pt>
                <c:pt idx="48">
                  <c:v>46146</c:v>
                </c:pt>
                <c:pt idx="49">
                  <c:v>46147</c:v>
                </c:pt>
                <c:pt idx="50">
                  <c:v>46148</c:v>
                </c:pt>
                <c:pt idx="51">
                  <c:v>46149</c:v>
                </c:pt>
                <c:pt idx="52">
                  <c:v>46150</c:v>
                </c:pt>
                <c:pt idx="53">
                  <c:v>46151</c:v>
                </c:pt>
                <c:pt idx="54">
                  <c:v>46152</c:v>
                </c:pt>
                <c:pt idx="55">
                  <c:v>46153</c:v>
                </c:pt>
                <c:pt idx="56">
                  <c:v>46154</c:v>
                </c:pt>
                <c:pt idx="57">
                  <c:v>46155</c:v>
                </c:pt>
                <c:pt idx="58">
                  <c:v>46156</c:v>
                </c:pt>
                <c:pt idx="59">
                  <c:v>46157</c:v>
                </c:pt>
                <c:pt idx="60">
                  <c:v>46158</c:v>
                </c:pt>
                <c:pt idx="61">
                  <c:v>46159</c:v>
                </c:pt>
                <c:pt idx="62">
                  <c:v>46160</c:v>
                </c:pt>
                <c:pt idx="63">
                  <c:v>46161</c:v>
                </c:pt>
                <c:pt idx="64">
                  <c:v>46162</c:v>
                </c:pt>
                <c:pt idx="65">
                  <c:v>46163</c:v>
                </c:pt>
                <c:pt idx="66">
                  <c:v>46164</c:v>
                </c:pt>
                <c:pt idx="67">
                  <c:v>46165</c:v>
                </c:pt>
                <c:pt idx="68">
                  <c:v>46166</c:v>
                </c:pt>
                <c:pt idx="69">
                  <c:v>46167</c:v>
                </c:pt>
                <c:pt idx="70">
                  <c:v>46168</c:v>
                </c:pt>
                <c:pt idx="71">
                  <c:v>46169</c:v>
                </c:pt>
                <c:pt idx="72">
                  <c:v>46170</c:v>
                </c:pt>
                <c:pt idx="73">
                  <c:v>46171</c:v>
                </c:pt>
                <c:pt idx="74">
                  <c:v>46172</c:v>
                </c:pt>
                <c:pt idx="75">
                  <c:v>46173</c:v>
                </c:pt>
                <c:pt idx="76">
                  <c:v>46174</c:v>
                </c:pt>
                <c:pt idx="77">
                  <c:v>46175</c:v>
                </c:pt>
                <c:pt idx="78">
                  <c:v>46176</c:v>
                </c:pt>
                <c:pt idx="79">
                  <c:v>46177</c:v>
                </c:pt>
                <c:pt idx="80">
                  <c:v>46178</c:v>
                </c:pt>
                <c:pt idx="81">
                  <c:v>46179</c:v>
                </c:pt>
                <c:pt idx="82">
                  <c:v>46180</c:v>
                </c:pt>
                <c:pt idx="83">
                  <c:v>46181</c:v>
                </c:pt>
                <c:pt idx="84">
                  <c:v>46182</c:v>
                </c:pt>
                <c:pt idx="85">
                  <c:v>46183</c:v>
                </c:pt>
                <c:pt idx="86">
                  <c:v>46184</c:v>
                </c:pt>
                <c:pt idx="87">
                  <c:v>46185</c:v>
                </c:pt>
                <c:pt idx="88">
                  <c:v>46186</c:v>
                </c:pt>
                <c:pt idx="89">
                  <c:v>46187</c:v>
                </c:pt>
                <c:pt idx="90">
                  <c:v>46188</c:v>
                </c:pt>
                <c:pt idx="91">
                  <c:v>46189</c:v>
                </c:pt>
                <c:pt idx="92">
                  <c:v>46190</c:v>
                </c:pt>
                <c:pt idx="93">
                  <c:v>46191</c:v>
                </c:pt>
                <c:pt idx="94">
                  <c:v>46192</c:v>
                </c:pt>
                <c:pt idx="95">
                  <c:v>46193</c:v>
                </c:pt>
                <c:pt idx="96">
                  <c:v>46194</c:v>
                </c:pt>
                <c:pt idx="97">
                  <c:v>46195</c:v>
                </c:pt>
                <c:pt idx="98">
                  <c:v>46196</c:v>
                </c:pt>
                <c:pt idx="99">
                  <c:v>46197</c:v>
                </c:pt>
                <c:pt idx="100">
                  <c:v>46198</c:v>
                </c:pt>
                <c:pt idx="101">
                  <c:v>46199</c:v>
                </c:pt>
                <c:pt idx="102">
                  <c:v>46200</c:v>
                </c:pt>
                <c:pt idx="103">
                  <c:v>46201</c:v>
                </c:pt>
                <c:pt idx="104">
                  <c:v>46202</c:v>
                </c:pt>
                <c:pt idx="105">
                  <c:v>46203</c:v>
                </c:pt>
                <c:pt idx="106">
                  <c:v>46204</c:v>
                </c:pt>
                <c:pt idx="107">
                  <c:v>46205</c:v>
                </c:pt>
              </c:numCache>
            </c:numRef>
          </c:cat>
          <c:val>
            <c:numRef>
              <c:f>'Curva S'!$B$2:$B$109</c:f>
              <c:numCache>
                <c:formatCode>General</c:formatCode>
                <c:ptCount val="108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4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1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4</c:v>
                </c:pt>
                <c:pt idx="25">
                  <c:v>6</c:v>
                </c:pt>
                <c:pt idx="26">
                  <c:v>2</c:v>
                </c:pt>
                <c:pt idx="27">
                  <c:v>2</c:v>
                </c:pt>
                <c:pt idx="28">
                  <c:v>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3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3</c:v>
                </c:pt>
                <c:pt idx="39">
                  <c:v>1</c:v>
                </c:pt>
                <c:pt idx="40">
                  <c:v>0</c:v>
                </c:pt>
                <c:pt idx="41">
                  <c:v>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5</c:v>
                </c:pt>
                <c:pt idx="46">
                  <c:v>1</c:v>
                </c:pt>
                <c:pt idx="47">
                  <c:v>1</c:v>
                </c:pt>
                <c:pt idx="48">
                  <c:v>3</c:v>
                </c:pt>
                <c:pt idx="49">
                  <c:v>8</c:v>
                </c:pt>
                <c:pt idx="50">
                  <c:v>0</c:v>
                </c:pt>
                <c:pt idx="51">
                  <c:v>0</c:v>
                </c:pt>
                <c:pt idx="52">
                  <c:v>2</c:v>
                </c:pt>
                <c:pt idx="53">
                  <c:v>1</c:v>
                </c:pt>
                <c:pt idx="54">
                  <c:v>3</c:v>
                </c:pt>
                <c:pt idx="55">
                  <c:v>16</c:v>
                </c:pt>
                <c:pt idx="56">
                  <c:v>4</c:v>
                </c:pt>
                <c:pt idx="57">
                  <c:v>0</c:v>
                </c:pt>
                <c:pt idx="58">
                  <c:v>0</c:v>
                </c:pt>
                <c:pt idx="59">
                  <c:v>2</c:v>
                </c:pt>
                <c:pt idx="60">
                  <c:v>2</c:v>
                </c:pt>
                <c:pt idx="61">
                  <c:v>5</c:v>
                </c:pt>
                <c:pt idx="62">
                  <c:v>4</c:v>
                </c:pt>
                <c:pt idx="63">
                  <c:v>14</c:v>
                </c:pt>
                <c:pt idx="64">
                  <c:v>0</c:v>
                </c:pt>
                <c:pt idx="65">
                  <c:v>0</c:v>
                </c:pt>
                <c:pt idx="66">
                  <c:v>4</c:v>
                </c:pt>
                <c:pt idx="67">
                  <c:v>12</c:v>
                </c:pt>
                <c:pt idx="68">
                  <c:v>8</c:v>
                </c:pt>
                <c:pt idx="69">
                  <c:v>2</c:v>
                </c:pt>
                <c:pt idx="70">
                  <c:v>2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15</c:v>
                </c:pt>
                <c:pt idx="75">
                  <c:v>7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10</c:v>
                </c:pt>
                <c:pt idx="81">
                  <c:v>3</c:v>
                </c:pt>
                <c:pt idx="82">
                  <c:v>3</c:v>
                </c:pt>
                <c:pt idx="83">
                  <c:v>1</c:v>
                </c:pt>
                <c:pt idx="84">
                  <c:v>4</c:v>
                </c:pt>
                <c:pt idx="85">
                  <c:v>0</c:v>
                </c:pt>
                <c:pt idx="86">
                  <c:v>0</c:v>
                </c:pt>
                <c:pt idx="87">
                  <c:v>2</c:v>
                </c:pt>
                <c:pt idx="88">
                  <c:v>6</c:v>
                </c:pt>
                <c:pt idx="89">
                  <c:v>9</c:v>
                </c:pt>
                <c:pt idx="90">
                  <c:v>3</c:v>
                </c:pt>
                <c:pt idx="91">
                  <c:v>28</c:v>
                </c:pt>
                <c:pt idx="92">
                  <c:v>0</c:v>
                </c:pt>
                <c:pt idx="93">
                  <c:v>0</c:v>
                </c:pt>
                <c:pt idx="94">
                  <c:v>3</c:v>
                </c:pt>
                <c:pt idx="95">
                  <c:v>4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1</c:v>
                </c:pt>
                <c:pt idx="106">
                  <c:v>0</c:v>
                </c:pt>
                <c:pt idx="10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E8-436B-B52E-B6331E144B58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'Curva S'!$A$2:$A$109</c:f>
              <c:numCache>
                <c:formatCode>m/d/yyyy</c:formatCode>
                <c:ptCount val="108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  <c:pt idx="22">
                  <c:v>46120</c:v>
                </c:pt>
                <c:pt idx="23">
                  <c:v>46121</c:v>
                </c:pt>
                <c:pt idx="24">
                  <c:v>46122</c:v>
                </c:pt>
                <c:pt idx="25">
                  <c:v>46123</c:v>
                </c:pt>
                <c:pt idx="26">
                  <c:v>46124</c:v>
                </c:pt>
                <c:pt idx="27">
                  <c:v>46125</c:v>
                </c:pt>
                <c:pt idx="28">
                  <c:v>46126</c:v>
                </c:pt>
                <c:pt idx="29">
                  <c:v>46127</c:v>
                </c:pt>
                <c:pt idx="30">
                  <c:v>46128</c:v>
                </c:pt>
                <c:pt idx="31">
                  <c:v>46129</c:v>
                </c:pt>
                <c:pt idx="32">
                  <c:v>46130</c:v>
                </c:pt>
                <c:pt idx="33">
                  <c:v>46131</c:v>
                </c:pt>
                <c:pt idx="34">
                  <c:v>46132</c:v>
                </c:pt>
                <c:pt idx="35">
                  <c:v>46133</c:v>
                </c:pt>
                <c:pt idx="36">
                  <c:v>46134</c:v>
                </c:pt>
                <c:pt idx="37">
                  <c:v>46135</c:v>
                </c:pt>
                <c:pt idx="38">
                  <c:v>46136</c:v>
                </c:pt>
                <c:pt idx="39">
                  <c:v>46137</c:v>
                </c:pt>
                <c:pt idx="40">
                  <c:v>46138</c:v>
                </c:pt>
                <c:pt idx="41">
                  <c:v>46139</c:v>
                </c:pt>
                <c:pt idx="42">
                  <c:v>46140</c:v>
                </c:pt>
                <c:pt idx="43">
                  <c:v>46141</c:v>
                </c:pt>
                <c:pt idx="44">
                  <c:v>46142</c:v>
                </c:pt>
                <c:pt idx="45">
                  <c:v>46143</c:v>
                </c:pt>
                <c:pt idx="46">
                  <c:v>46144</c:v>
                </c:pt>
                <c:pt idx="47">
                  <c:v>46145</c:v>
                </c:pt>
                <c:pt idx="48">
                  <c:v>46146</c:v>
                </c:pt>
                <c:pt idx="49">
                  <c:v>46147</c:v>
                </c:pt>
                <c:pt idx="50">
                  <c:v>46148</c:v>
                </c:pt>
                <c:pt idx="51">
                  <c:v>46149</c:v>
                </c:pt>
                <c:pt idx="52">
                  <c:v>46150</c:v>
                </c:pt>
                <c:pt idx="53">
                  <c:v>46151</c:v>
                </c:pt>
                <c:pt idx="54">
                  <c:v>46152</c:v>
                </c:pt>
                <c:pt idx="55">
                  <c:v>46153</c:v>
                </c:pt>
                <c:pt idx="56">
                  <c:v>46154</c:v>
                </c:pt>
                <c:pt idx="57">
                  <c:v>46155</c:v>
                </c:pt>
                <c:pt idx="58">
                  <c:v>46156</c:v>
                </c:pt>
                <c:pt idx="59">
                  <c:v>46157</c:v>
                </c:pt>
                <c:pt idx="60">
                  <c:v>46158</c:v>
                </c:pt>
                <c:pt idx="61">
                  <c:v>46159</c:v>
                </c:pt>
                <c:pt idx="62">
                  <c:v>46160</c:v>
                </c:pt>
                <c:pt idx="63">
                  <c:v>46161</c:v>
                </c:pt>
                <c:pt idx="64">
                  <c:v>46162</c:v>
                </c:pt>
                <c:pt idx="65">
                  <c:v>46163</c:v>
                </c:pt>
                <c:pt idx="66">
                  <c:v>46164</c:v>
                </c:pt>
                <c:pt idx="67">
                  <c:v>46165</c:v>
                </c:pt>
                <c:pt idx="68">
                  <c:v>46166</c:v>
                </c:pt>
                <c:pt idx="69">
                  <c:v>46167</c:v>
                </c:pt>
                <c:pt idx="70">
                  <c:v>46168</c:v>
                </c:pt>
                <c:pt idx="71">
                  <c:v>46169</c:v>
                </c:pt>
                <c:pt idx="72">
                  <c:v>46170</c:v>
                </c:pt>
                <c:pt idx="73">
                  <c:v>46171</c:v>
                </c:pt>
                <c:pt idx="74">
                  <c:v>46172</c:v>
                </c:pt>
                <c:pt idx="75">
                  <c:v>46173</c:v>
                </c:pt>
                <c:pt idx="76">
                  <c:v>46174</c:v>
                </c:pt>
                <c:pt idx="77">
                  <c:v>46175</c:v>
                </c:pt>
                <c:pt idx="78">
                  <c:v>46176</c:v>
                </c:pt>
                <c:pt idx="79">
                  <c:v>46177</c:v>
                </c:pt>
                <c:pt idx="80">
                  <c:v>46178</c:v>
                </c:pt>
                <c:pt idx="81">
                  <c:v>46179</c:v>
                </c:pt>
                <c:pt idx="82">
                  <c:v>46180</c:v>
                </c:pt>
                <c:pt idx="83">
                  <c:v>46181</c:v>
                </c:pt>
                <c:pt idx="84">
                  <c:v>46182</c:v>
                </c:pt>
                <c:pt idx="85">
                  <c:v>46183</c:v>
                </c:pt>
                <c:pt idx="86">
                  <c:v>46184</c:v>
                </c:pt>
                <c:pt idx="87">
                  <c:v>46185</c:v>
                </c:pt>
                <c:pt idx="88">
                  <c:v>46186</c:v>
                </c:pt>
                <c:pt idx="89">
                  <c:v>46187</c:v>
                </c:pt>
                <c:pt idx="90">
                  <c:v>46188</c:v>
                </c:pt>
                <c:pt idx="91">
                  <c:v>46189</c:v>
                </c:pt>
                <c:pt idx="92">
                  <c:v>46190</c:v>
                </c:pt>
                <c:pt idx="93">
                  <c:v>46191</c:v>
                </c:pt>
                <c:pt idx="94">
                  <c:v>46192</c:v>
                </c:pt>
                <c:pt idx="95">
                  <c:v>46193</c:v>
                </c:pt>
                <c:pt idx="96">
                  <c:v>46194</c:v>
                </c:pt>
                <c:pt idx="97">
                  <c:v>46195</c:v>
                </c:pt>
                <c:pt idx="98">
                  <c:v>46196</c:v>
                </c:pt>
                <c:pt idx="99">
                  <c:v>46197</c:v>
                </c:pt>
                <c:pt idx="100">
                  <c:v>46198</c:v>
                </c:pt>
                <c:pt idx="101">
                  <c:v>46199</c:v>
                </c:pt>
                <c:pt idx="102">
                  <c:v>46200</c:v>
                </c:pt>
                <c:pt idx="103">
                  <c:v>46201</c:v>
                </c:pt>
                <c:pt idx="104">
                  <c:v>46202</c:v>
                </c:pt>
                <c:pt idx="105">
                  <c:v>46203</c:v>
                </c:pt>
                <c:pt idx="106">
                  <c:v>46204</c:v>
                </c:pt>
                <c:pt idx="107">
                  <c:v>46205</c:v>
                </c:pt>
              </c:numCache>
            </c:numRef>
          </c:cat>
          <c:val>
            <c:numRef>
              <c:f>'Curva S'!$D$2:$D$109</c:f>
              <c:numCache>
                <c:formatCode>General</c:formatCode>
                <c:ptCount val="10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0</c:v>
                </c:pt>
                <c:pt idx="5">
                  <c:v>0</c:v>
                </c:pt>
                <c:pt idx="6">
                  <c:v>4</c:v>
                </c:pt>
                <c:pt idx="7">
                  <c:v>2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1</c:v>
                </c:pt>
                <c:pt idx="23">
                  <c:v>2</c:v>
                </c:pt>
                <c:pt idx="24">
                  <c:v>5</c:v>
                </c:pt>
                <c:pt idx="25">
                  <c:v>0</c:v>
                </c:pt>
                <c:pt idx="26">
                  <c:v>0</c:v>
                </c:pt>
                <c:pt idx="27">
                  <c:v>5</c:v>
                </c:pt>
                <c:pt idx="28">
                  <c:v>6</c:v>
                </c:pt>
                <c:pt idx="29">
                  <c:v>3</c:v>
                </c:pt>
                <c:pt idx="30">
                  <c:v>2</c:v>
                </c:pt>
                <c:pt idx="31">
                  <c:v>5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3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3</c:v>
                </c:pt>
                <c:pt idx="42">
                  <c:v>1</c:v>
                </c:pt>
                <c:pt idx="43">
                  <c:v>0</c:v>
                </c:pt>
                <c:pt idx="44">
                  <c:v>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6</c:v>
                </c:pt>
                <c:pt idx="49">
                  <c:v>1</c:v>
                </c:pt>
                <c:pt idx="50">
                  <c:v>1</c:v>
                </c:pt>
                <c:pt idx="51">
                  <c:v>3</c:v>
                </c:pt>
                <c:pt idx="52">
                  <c:v>11</c:v>
                </c:pt>
                <c:pt idx="53">
                  <c:v>0</c:v>
                </c:pt>
                <c:pt idx="54">
                  <c:v>0</c:v>
                </c:pt>
                <c:pt idx="55">
                  <c:v>2</c:v>
                </c:pt>
                <c:pt idx="56">
                  <c:v>1</c:v>
                </c:pt>
                <c:pt idx="57">
                  <c:v>3</c:v>
                </c:pt>
                <c:pt idx="58">
                  <c:v>22</c:v>
                </c:pt>
                <c:pt idx="59">
                  <c:v>5</c:v>
                </c:pt>
                <c:pt idx="60">
                  <c:v>0</c:v>
                </c:pt>
                <c:pt idx="61">
                  <c:v>0</c:v>
                </c:pt>
                <c:pt idx="62">
                  <c:v>2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13</c:v>
                </c:pt>
                <c:pt idx="67">
                  <c:v>0</c:v>
                </c:pt>
                <c:pt idx="68">
                  <c:v>0</c:v>
                </c:pt>
                <c:pt idx="69">
                  <c:v>6</c:v>
                </c:pt>
                <c:pt idx="70">
                  <c:v>13</c:v>
                </c:pt>
                <c:pt idx="71">
                  <c:v>8</c:v>
                </c:pt>
                <c:pt idx="72">
                  <c:v>1</c:v>
                </c:pt>
                <c:pt idx="73">
                  <c:v>2</c:v>
                </c:pt>
                <c:pt idx="74">
                  <c:v>0</c:v>
                </c:pt>
                <c:pt idx="75">
                  <c:v>0</c:v>
                </c:pt>
                <c:pt idx="76">
                  <c:v>1</c:v>
                </c:pt>
                <c:pt idx="77">
                  <c:v>18</c:v>
                </c:pt>
                <c:pt idx="78">
                  <c:v>7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11</c:v>
                </c:pt>
                <c:pt idx="84">
                  <c:v>3</c:v>
                </c:pt>
                <c:pt idx="85">
                  <c:v>3</c:v>
                </c:pt>
                <c:pt idx="86">
                  <c:v>0</c:v>
                </c:pt>
                <c:pt idx="87">
                  <c:v>8</c:v>
                </c:pt>
                <c:pt idx="88">
                  <c:v>0</c:v>
                </c:pt>
                <c:pt idx="89">
                  <c:v>0</c:v>
                </c:pt>
                <c:pt idx="90">
                  <c:v>3</c:v>
                </c:pt>
                <c:pt idx="91">
                  <c:v>2</c:v>
                </c:pt>
                <c:pt idx="92">
                  <c:v>9</c:v>
                </c:pt>
                <c:pt idx="93">
                  <c:v>3</c:v>
                </c:pt>
                <c:pt idx="94">
                  <c:v>14</c:v>
                </c:pt>
                <c:pt idx="95">
                  <c:v>0</c:v>
                </c:pt>
                <c:pt idx="96">
                  <c:v>0</c:v>
                </c:pt>
                <c:pt idx="97">
                  <c:v>8</c:v>
                </c:pt>
                <c:pt idx="98">
                  <c:v>9</c:v>
                </c:pt>
                <c:pt idx="99">
                  <c:v>0</c:v>
                </c:pt>
                <c:pt idx="100">
                  <c:v>0</c:v>
                </c:pt>
                <c:pt idx="101">
                  <c:v>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1</c:v>
                </c:pt>
                <c:pt idx="106">
                  <c:v>0</c:v>
                </c:pt>
                <c:pt idx="10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E8-436B-B52E-B6331E144B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37439727"/>
        <c:axId val="1737437807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S'!$A$2:$A$109</c:f>
              <c:numCache>
                <c:formatCode>m/d/yyyy</c:formatCode>
                <c:ptCount val="108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  <c:pt idx="22">
                  <c:v>46120</c:v>
                </c:pt>
                <c:pt idx="23">
                  <c:v>46121</c:v>
                </c:pt>
                <c:pt idx="24">
                  <c:v>46122</c:v>
                </c:pt>
                <c:pt idx="25">
                  <c:v>46123</c:v>
                </c:pt>
                <c:pt idx="26">
                  <c:v>46124</c:v>
                </c:pt>
                <c:pt idx="27">
                  <c:v>46125</c:v>
                </c:pt>
                <c:pt idx="28">
                  <c:v>46126</c:v>
                </c:pt>
                <c:pt idx="29">
                  <c:v>46127</c:v>
                </c:pt>
                <c:pt idx="30">
                  <c:v>46128</c:v>
                </c:pt>
                <c:pt idx="31">
                  <c:v>46129</c:v>
                </c:pt>
                <c:pt idx="32">
                  <c:v>46130</c:v>
                </c:pt>
                <c:pt idx="33">
                  <c:v>46131</c:v>
                </c:pt>
                <c:pt idx="34">
                  <c:v>46132</c:v>
                </c:pt>
                <c:pt idx="35">
                  <c:v>46133</c:v>
                </c:pt>
                <c:pt idx="36">
                  <c:v>46134</c:v>
                </c:pt>
                <c:pt idx="37">
                  <c:v>46135</c:v>
                </c:pt>
                <c:pt idx="38">
                  <c:v>46136</c:v>
                </c:pt>
                <c:pt idx="39">
                  <c:v>46137</c:v>
                </c:pt>
                <c:pt idx="40">
                  <c:v>46138</c:v>
                </c:pt>
                <c:pt idx="41">
                  <c:v>46139</c:v>
                </c:pt>
                <c:pt idx="42">
                  <c:v>46140</c:v>
                </c:pt>
                <c:pt idx="43">
                  <c:v>46141</c:v>
                </c:pt>
                <c:pt idx="44">
                  <c:v>46142</c:v>
                </c:pt>
                <c:pt idx="45">
                  <c:v>46143</c:v>
                </c:pt>
                <c:pt idx="46">
                  <c:v>46144</c:v>
                </c:pt>
                <c:pt idx="47">
                  <c:v>46145</c:v>
                </c:pt>
                <c:pt idx="48">
                  <c:v>46146</c:v>
                </c:pt>
                <c:pt idx="49">
                  <c:v>46147</c:v>
                </c:pt>
                <c:pt idx="50">
                  <c:v>46148</c:v>
                </c:pt>
                <c:pt idx="51">
                  <c:v>46149</c:v>
                </c:pt>
                <c:pt idx="52">
                  <c:v>46150</c:v>
                </c:pt>
                <c:pt idx="53">
                  <c:v>46151</c:v>
                </c:pt>
                <c:pt idx="54">
                  <c:v>46152</c:v>
                </c:pt>
                <c:pt idx="55">
                  <c:v>46153</c:v>
                </c:pt>
                <c:pt idx="56">
                  <c:v>46154</c:v>
                </c:pt>
                <c:pt idx="57">
                  <c:v>46155</c:v>
                </c:pt>
                <c:pt idx="58">
                  <c:v>46156</c:v>
                </c:pt>
                <c:pt idx="59">
                  <c:v>46157</c:v>
                </c:pt>
                <c:pt idx="60">
                  <c:v>46158</c:v>
                </c:pt>
                <c:pt idx="61">
                  <c:v>46159</c:v>
                </c:pt>
                <c:pt idx="62">
                  <c:v>46160</c:v>
                </c:pt>
                <c:pt idx="63">
                  <c:v>46161</c:v>
                </c:pt>
                <c:pt idx="64">
                  <c:v>46162</c:v>
                </c:pt>
                <c:pt idx="65">
                  <c:v>46163</c:v>
                </c:pt>
                <c:pt idx="66">
                  <c:v>46164</c:v>
                </c:pt>
                <c:pt idx="67">
                  <c:v>46165</c:v>
                </c:pt>
                <c:pt idx="68">
                  <c:v>46166</c:v>
                </c:pt>
                <c:pt idx="69">
                  <c:v>46167</c:v>
                </c:pt>
                <c:pt idx="70">
                  <c:v>46168</c:v>
                </c:pt>
                <c:pt idx="71">
                  <c:v>46169</c:v>
                </c:pt>
                <c:pt idx="72">
                  <c:v>46170</c:v>
                </c:pt>
                <c:pt idx="73">
                  <c:v>46171</c:v>
                </c:pt>
                <c:pt idx="74">
                  <c:v>46172</c:v>
                </c:pt>
                <c:pt idx="75">
                  <c:v>46173</c:v>
                </c:pt>
                <c:pt idx="76">
                  <c:v>46174</c:v>
                </c:pt>
                <c:pt idx="77">
                  <c:v>46175</c:v>
                </c:pt>
                <c:pt idx="78">
                  <c:v>46176</c:v>
                </c:pt>
                <c:pt idx="79">
                  <c:v>46177</c:v>
                </c:pt>
                <c:pt idx="80">
                  <c:v>46178</c:v>
                </c:pt>
                <c:pt idx="81">
                  <c:v>46179</c:v>
                </c:pt>
                <c:pt idx="82">
                  <c:v>46180</c:v>
                </c:pt>
                <c:pt idx="83">
                  <c:v>46181</c:v>
                </c:pt>
                <c:pt idx="84">
                  <c:v>46182</c:v>
                </c:pt>
                <c:pt idx="85">
                  <c:v>46183</c:v>
                </c:pt>
                <c:pt idx="86">
                  <c:v>46184</c:v>
                </c:pt>
                <c:pt idx="87">
                  <c:v>46185</c:v>
                </c:pt>
                <c:pt idx="88">
                  <c:v>46186</c:v>
                </c:pt>
                <c:pt idx="89">
                  <c:v>46187</c:v>
                </c:pt>
                <c:pt idx="90">
                  <c:v>46188</c:v>
                </c:pt>
                <c:pt idx="91">
                  <c:v>46189</c:v>
                </c:pt>
                <c:pt idx="92">
                  <c:v>46190</c:v>
                </c:pt>
                <c:pt idx="93">
                  <c:v>46191</c:v>
                </c:pt>
                <c:pt idx="94">
                  <c:v>46192</c:v>
                </c:pt>
                <c:pt idx="95">
                  <c:v>46193</c:v>
                </c:pt>
                <c:pt idx="96">
                  <c:v>46194</c:v>
                </c:pt>
                <c:pt idx="97">
                  <c:v>46195</c:v>
                </c:pt>
                <c:pt idx="98">
                  <c:v>46196</c:v>
                </c:pt>
                <c:pt idx="99">
                  <c:v>46197</c:v>
                </c:pt>
                <c:pt idx="100">
                  <c:v>46198</c:v>
                </c:pt>
                <c:pt idx="101">
                  <c:v>46199</c:v>
                </c:pt>
                <c:pt idx="102">
                  <c:v>46200</c:v>
                </c:pt>
                <c:pt idx="103">
                  <c:v>46201</c:v>
                </c:pt>
                <c:pt idx="104">
                  <c:v>46202</c:v>
                </c:pt>
                <c:pt idx="105">
                  <c:v>46203</c:v>
                </c:pt>
                <c:pt idx="106">
                  <c:v>46204</c:v>
                </c:pt>
                <c:pt idx="107">
                  <c:v>46205</c:v>
                </c:pt>
              </c:numCache>
            </c:numRef>
          </c:cat>
          <c:val>
            <c:numRef>
              <c:f>'Curva S'!$C$2:$C$109</c:f>
              <c:numCache>
                <c:formatCode>General</c:formatCode>
                <c:ptCount val="108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14</c:v>
                </c:pt>
                <c:pt idx="6">
                  <c:v>14</c:v>
                </c:pt>
                <c:pt idx="7">
                  <c:v>14</c:v>
                </c:pt>
                <c:pt idx="8">
                  <c:v>14</c:v>
                </c:pt>
                <c:pt idx="9">
                  <c:v>14</c:v>
                </c:pt>
                <c:pt idx="10">
                  <c:v>16</c:v>
                </c:pt>
                <c:pt idx="11">
                  <c:v>17</c:v>
                </c:pt>
                <c:pt idx="12">
                  <c:v>19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19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23</c:v>
                </c:pt>
                <c:pt idx="21">
                  <c:v>27</c:v>
                </c:pt>
                <c:pt idx="22">
                  <c:v>27</c:v>
                </c:pt>
                <c:pt idx="23">
                  <c:v>27</c:v>
                </c:pt>
                <c:pt idx="24">
                  <c:v>31</c:v>
                </c:pt>
                <c:pt idx="25">
                  <c:v>37</c:v>
                </c:pt>
                <c:pt idx="26">
                  <c:v>39</c:v>
                </c:pt>
                <c:pt idx="27">
                  <c:v>41</c:v>
                </c:pt>
                <c:pt idx="28">
                  <c:v>46</c:v>
                </c:pt>
                <c:pt idx="29">
                  <c:v>46</c:v>
                </c:pt>
                <c:pt idx="30">
                  <c:v>46</c:v>
                </c:pt>
                <c:pt idx="31">
                  <c:v>46</c:v>
                </c:pt>
                <c:pt idx="32">
                  <c:v>46</c:v>
                </c:pt>
                <c:pt idx="33">
                  <c:v>47</c:v>
                </c:pt>
                <c:pt idx="34">
                  <c:v>50</c:v>
                </c:pt>
                <c:pt idx="35">
                  <c:v>51</c:v>
                </c:pt>
                <c:pt idx="36">
                  <c:v>51</c:v>
                </c:pt>
                <c:pt idx="37">
                  <c:v>51</c:v>
                </c:pt>
                <c:pt idx="38">
                  <c:v>54</c:v>
                </c:pt>
                <c:pt idx="39">
                  <c:v>55</c:v>
                </c:pt>
                <c:pt idx="40">
                  <c:v>55</c:v>
                </c:pt>
                <c:pt idx="41">
                  <c:v>57</c:v>
                </c:pt>
                <c:pt idx="42">
                  <c:v>57</c:v>
                </c:pt>
                <c:pt idx="43">
                  <c:v>57</c:v>
                </c:pt>
                <c:pt idx="44">
                  <c:v>57</c:v>
                </c:pt>
                <c:pt idx="45">
                  <c:v>62</c:v>
                </c:pt>
                <c:pt idx="46">
                  <c:v>63</c:v>
                </c:pt>
                <c:pt idx="47">
                  <c:v>64</c:v>
                </c:pt>
                <c:pt idx="48">
                  <c:v>67</c:v>
                </c:pt>
                <c:pt idx="49">
                  <c:v>75</c:v>
                </c:pt>
                <c:pt idx="50">
                  <c:v>75</c:v>
                </c:pt>
                <c:pt idx="51">
                  <c:v>75</c:v>
                </c:pt>
                <c:pt idx="52">
                  <c:v>77</c:v>
                </c:pt>
                <c:pt idx="53">
                  <c:v>78</c:v>
                </c:pt>
                <c:pt idx="54">
                  <c:v>81</c:v>
                </c:pt>
                <c:pt idx="55">
                  <c:v>97</c:v>
                </c:pt>
                <c:pt idx="56">
                  <c:v>101</c:v>
                </c:pt>
                <c:pt idx="57">
                  <c:v>101</c:v>
                </c:pt>
                <c:pt idx="58">
                  <c:v>101</c:v>
                </c:pt>
                <c:pt idx="59">
                  <c:v>103</c:v>
                </c:pt>
                <c:pt idx="60">
                  <c:v>105</c:v>
                </c:pt>
                <c:pt idx="61">
                  <c:v>110</c:v>
                </c:pt>
                <c:pt idx="62">
                  <c:v>114</c:v>
                </c:pt>
                <c:pt idx="63">
                  <c:v>128</c:v>
                </c:pt>
                <c:pt idx="64">
                  <c:v>128</c:v>
                </c:pt>
                <c:pt idx="65">
                  <c:v>128</c:v>
                </c:pt>
                <c:pt idx="66">
                  <c:v>132</c:v>
                </c:pt>
                <c:pt idx="67">
                  <c:v>144</c:v>
                </c:pt>
                <c:pt idx="68">
                  <c:v>152</c:v>
                </c:pt>
                <c:pt idx="69">
                  <c:v>154</c:v>
                </c:pt>
                <c:pt idx="70">
                  <c:v>156</c:v>
                </c:pt>
                <c:pt idx="71">
                  <c:v>156</c:v>
                </c:pt>
                <c:pt idx="72">
                  <c:v>156</c:v>
                </c:pt>
                <c:pt idx="73">
                  <c:v>157</c:v>
                </c:pt>
                <c:pt idx="74">
                  <c:v>172</c:v>
                </c:pt>
                <c:pt idx="75">
                  <c:v>179</c:v>
                </c:pt>
                <c:pt idx="76">
                  <c:v>179</c:v>
                </c:pt>
                <c:pt idx="77">
                  <c:v>179</c:v>
                </c:pt>
                <c:pt idx="78">
                  <c:v>179</c:v>
                </c:pt>
                <c:pt idx="79">
                  <c:v>179</c:v>
                </c:pt>
                <c:pt idx="80">
                  <c:v>189</c:v>
                </c:pt>
                <c:pt idx="81">
                  <c:v>192</c:v>
                </c:pt>
                <c:pt idx="82">
                  <c:v>195</c:v>
                </c:pt>
                <c:pt idx="83">
                  <c:v>196</c:v>
                </c:pt>
                <c:pt idx="84">
                  <c:v>200</c:v>
                </c:pt>
                <c:pt idx="85">
                  <c:v>200</c:v>
                </c:pt>
                <c:pt idx="86">
                  <c:v>200</c:v>
                </c:pt>
                <c:pt idx="87">
                  <c:v>202</c:v>
                </c:pt>
                <c:pt idx="88">
                  <c:v>208</c:v>
                </c:pt>
                <c:pt idx="89">
                  <c:v>230</c:v>
                </c:pt>
                <c:pt idx="90">
                  <c:v>233</c:v>
                </c:pt>
                <c:pt idx="91">
                  <c:v>261</c:v>
                </c:pt>
                <c:pt idx="92">
                  <c:v>261</c:v>
                </c:pt>
                <c:pt idx="93">
                  <c:v>261</c:v>
                </c:pt>
                <c:pt idx="94">
                  <c:v>264</c:v>
                </c:pt>
                <c:pt idx="95">
                  <c:v>268</c:v>
                </c:pt>
                <c:pt idx="96">
                  <c:v>268</c:v>
                </c:pt>
                <c:pt idx="97">
                  <c:v>268</c:v>
                </c:pt>
                <c:pt idx="98">
                  <c:v>268</c:v>
                </c:pt>
                <c:pt idx="99">
                  <c:v>268</c:v>
                </c:pt>
                <c:pt idx="100">
                  <c:v>268</c:v>
                </c:pt>
                <c:pt idx="101">
                  <c:v>268</c:v>
                </c:pt>
                <c:pt idx="102">
                  <c:v>268</c:v>
                </c:pt>
                <c:pt idx="103">
                  <c:v>268</c:v>
                </c:pt>
                <c:pt idx="104">
                  <c:v>268</c:v>
                </c:pt>
                <c:pt idx="105">
                  <c:v>268</c:v>
                </c:pt>
                <c:pt idx="106">
                  <c:v>268</c:v>
                </c:pt>
                <c:pt idx="107">
                  <c:v>268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E8-436B-B52E-B6331E144B58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'Curva S'!$A$2:$A$109</c:f>
              <c:numCache>
                <c:formatCode>m/d/yyyy</c:formatCode>
                <c:ptCount val="108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  <c:pt idx="22">
                  <c:v>46120</c:v>
                </c:pt>
                <c:pt idx="23">
                  <c:v>46121</c:v>
                </c:pt>
                <c:pt idx="24">
                  <c:v>46122</c:v>
                </c:pt>
                <c:pt idx="25">
                  <c:v>46123</c:v>
                </c:pt>
                <c:pt idx="26">
                  <c:v>46124</c:v>
                </c:pt>
                <c:pt idx="27">
                  <c:v>46125</c:v>
                </c:pt>
                <c:pt idx="28">
                  <c:v>46126</c:v>
                </c:pt>
                <c:pt idx="29">
                  <c:v>46127</c:v>
                </c:pt>
                <c:pt idx="30">
                  <c:v>46128</c:v>
                </c:pt>
                <c:pt idx="31">
                  <c:v>46129</c:v>
                </c:pt>
                <c:pt idx="32">
                  <c:v>46130</c:v>
                </c:pt>
                <c:pt idx="33">
                  <c:v>46131</c:v>
                </c:pt>
                <c:pt idx="34">
                  <c:v>46132</c:v>
                </c:pt>
                <c:pt idx="35">
                  <c:v>46133</c:v>
                </c:pt>
                <c:pt idx="36">
                  <c:v>46134</c:v>
                </c:pt>
                <c:pt idx="37">
                  <c:v>46135</c:v>
                </c:pt>
                <c:pt idx="38">
                  <c:v>46136</c:v>
                </c:pt>
                <c:pt idx="39">
                  <c:v>46137</c:v>
                </c:pt>
                <c:pt idx="40">
                  <c:v>46138</c:v>
                </c:pt>
                <c:pt idx="41">
                  <c:v>46139</c:v>
                </c:pt>
                <c:pt idx="42">
                  <c:v>46140</c:v>
                </c:pt>
                <c:pt idx="43">
                  <c:v>46141</c:v>
                </c:pt>
                <c:pt idx="44">
                  <c:v>46142</c:v>
                </c:pt>
                <c:pt idx="45">
                  <c:v>46143</c:v>
                </c:pt>
                <c:pt idx="46">
                  <c:v>46144</c:v>
                </c:pt>
                <c:pt idx="47">
                  <c:v>46145</c:v>
                </c:pt>
                <c:pt idx="48">
                  <c:v>46146</c:v>
                </c:pt>
                <c:pt idx="49">
                  <c:v>46147</c:v>
                </c:pt>
                <c:pt idx="50">
                  <c:v>46148</c:v>
                </c:pt>
                <c:pt idx="51">
                  <c:v>46149</c:v>
                </c:pt>
                <c:pt idx="52">
                  <c:v>46150</c:v>
                </c:pt>
                <c:pt idx="53">
                  <c:v>46151</c:v>
                </c:pt>
                <c:pt idx="54">
                  <c:v>46152</c:v>
                </c:pt>
                <c:pt idx="55">
                  <c:v>46153</c:v>
                </c:pt>
                <c:pt idx="56">
                  <c:v>46154</c:v>
                </c:pt>
                <c:pt idx="57">
                  <c:v>46155</c:v>
                </c:pt>
                <c:pt idx="58">
                  <c:v>46156</c:v>
                </c:pt>
                <c:pt idx="59">
                  <c:v>46157</c:v>
                </c:pt>
                <c:pt idx="60">
                  <c:v>46158</c:v>
                </c:pt>
                <c:pt idx="61">
                  <c:v>46159</c:v>
                </c:pt>
                <c:pt idx="62">
                  <c:v>46160</c:v>
                </c:pt>
                <c:pt idx="63">
                  <c:v>46161</c:v>
                </c:pt>
                <c:pt idx="64">
                  <c:v>46162</c:v>
                </c:pt>
                <c:pt idx="65">
                  <c:v>46163</c:v>
                </c:pt>
                <c:pt idx="66">
                  <c:v>46164</c:v>
                </c:pt>
                <c:pt idx="67">
                  <c:v>46165</c:v>
                </c:pt>
                <c:pt idx="68">
                  <c:v>46166</c:v>
                </c:pt>
                <c:pt idx="69">
                  <c:v>46167</c:v>
                </c:pt>
                <c:pt idx="70">
                  <c:v>46168</c:v>
                </c:pt>
                <c:pt idx="71">
                  <c:v>46169</c:v>
                </c:pt>
                <c:pt idx="72">
                  <c:v>46170</c:v>
                </c:pt>
                <c:pt idx="73">
                  <c:v>46171</c:v>
                </c:pt>
                <c:pt idx="74">
                  <c:v>46172</c:v>
                </c:pt>
                <c:pt idx="75">
                  <c:v>46173</c:v>
                </c:pt>
                <c:pt idx="76">
                  <c:v>46174</c:v>
                </c:pt>
                <c:pt idx="77">
                  <c:v>46175</c:v>
                </c:pt>
                <c:pt idx="78">
                  <c:v>46176</c:v>
                </c:pt>
                <c:pt idx="79">
                  <c:v>46177</c:v>
                </c:pt>
                <c:pt idx="80">
                  <c:v>46178</c:v>
                </c:pt>
                <c:pt idx="81">
                  <c:v>46179</c:v>
                </c:pt>
                <c:pt idx="82">
                  <c:v>46180</c:v>
                </c:pt>
                <c:pt idx="83">
                  <c:v>46181</c:v>
                </c:pt>
                <c:pt idx="84">
                  <c:v>46182</c:v>
                </c:pt>
                <c:pt idx="85">
                  <c:v>46183</c:v>
                </c:pt>
                <c:pt idx="86">
                  <c:v>46184</c:v>
                </c:pt>
                <c:pt idx="87">
                  <c:v>46185</c:v>
                </c:pt>
                <c:pt idx="88">
                  <c:v>46186</c:v>
                </c:pt>
                <c:pt idx="89">
                  <c:v>46187</c:v>
                </c:pt>
                <c:pt idx="90">
                  <c:v>46188</c:v>
                </c:pt>
                <c:pt idx="91">
                  <c:v>46189</c:v>
                </c:pt>
                <c:pt idx="92">
                  <c:v>46190</c:v>
                </c:pt>
                <c:pt idx="93">
                  <c:v>46191</c:v>
                </c:pt>
                <c:pt idx="94">
                  <c:v>46192</c:v>
                </c:pt>
                <c:pt idx="95">
                  <c:v>46193</c:v>
                </c:pt>
                <c:pt idx="96">
                  <c:v>46194</c:v>
                </c:pt>
                <c:pt idx="97">
                  <c:v>46195</c:v>
                </c:pt>
                <c:pt idx="98">
                  <c:v>46196</c:v>
                </c:pt>
                <c:pt idx="99">
                  <c:v>46197</c:v>
                </c:pt>
                <c:pt idx="100">
                  <c:v>46198</c:v>
                </c:pt>
                <c:pt idx="101">
                  <c:v>46199</c:v>
                </c:pt>
                <c:pt idx="102">
                  <c:v>46200</c:v>
                </c:pt>
                <c:pt idx="103">
                  <c:v>46201</c:v>
                </c:pt>
                <c:pt idx="104">
                  <c:v>46202</c:v>
                </c:pt>
                <c:pt idx="105">
                  <c:v>46203</c:v>
                </c:pt>
                <c:pt idx="106">
                  <c:v>46204</c:v>
                </c:pt>
                <c:pt idx="107">
                  <c:v>46205</c:v>
                </c:pt>
              </c:numCache>
            </c:numRef>
          </c:cat>
          <c:val>
            <c:numRef>
              <c:f>'Curva S'!$E$2:$E$109</c:f>
              <c:numCache>
                <c:formatCode>General</c:formatCode>
                <c:ptCount val="10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8</c:v>
                </c:pt>
                <c:pt idx="7">
                  <c:v>10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13</c:v>
                </c:pt>
                <c:pt idx="15">
                  <c:v>13</c:v>
                </c:pt>
                <c:pt idx="16">
                  <c:v>13</c:v>
                </c:pt>
                <c:pt idx="17">
                  <c:v>13</c:v>
                </c:pt>
                <c:pt idx="18">
                  <c:v>13</c:v>
                </c:pt>
                <c:pt idx="19">
                  <c:v>13</c:v>
                </c:pt>
                <c:pt idx="20">
                  <c:v>13</c:v>
                </c:pt>
                <c:pt idx="21">
                  <c:v>14</c:v>
                </c:pt>
                <c:pt idx="22">
                  <c:v>15</c:v>
                </c:pt>
                <c:pt idx="23">
                  <c:v>17</c:v>
                </c:pt>
                <c:pt idx="24">
                  <c:v>22</c:v>
                </c:pt>
                <c:pt idx="25">
                  <c:v>22</c:v>
                </c:pt>
                <c:pt idx="26">
                  <c:v>22</c:v>
                </c:pt>
                <c:pt idx="27">
                  <c:v>27</c:v>
                </c:pt>
                <c:pt idx="28">
                  <c:v>33</c:v>
                </c:pt>
                <c:pt idx="29">
                  <c:v>36</c:v>
                </c:pt>
                <c:pt idx="30">
                  <c:v>38</c:v>
                </c:pt>
                <c:pt idx="31">
                  <c:v>43</c:v>
                </c:pt>
                <c:pt idx="32">
                  <c:v>43</c:v>
                </c:pt>
                <c:pt idx="33">
                  <c:v>43</c:v>
                </c:pt>
                <c:pt idx="34">
                  <c:v>43</c:v>
                </c:pt>
                <c:pt idx="35">
                  <c:v>43</c:v>
                </c:pt>
                <c:pt idx="36">
                  <c:v>44</c:v>
                </c:pt>
                <c:pt idx="37">
                  <c:v>47</c:v>
                </c:pt>
                <c:pt idx="38">
                  <c:v>48</c:v>
                </c:pt>
                <c:pt idx="39">
                  <c:v>48</c:v>
                </c:pt>
                <c:pt idx="40">
                  <c:v>48</c:v>
                </c:pt>
                <c:pt idx="41">
                  <c:v>51</c:v>
                </c:pt>
                <c:pt idx="42">
                  <c:v>52</c:v>
                </c:pt>
                <c:pt idx="43">
                  <c:v>52</c:v>
                </c:pt>
                <c:pt idx="44">
                  <c:v>54</c:v>
                </c:pt>
                <c:pt idx="45">
                  <c:v>54</c:v>
                </c:pt>
                <c:pt idx="46">
                  <c:v>54</c:v>
                </c:pt>
                <c:pt idx="47">
                  <c:v>54</c:v>
                </c:pt>
                <c:pt idx="48">
                  <c:v>60</c:v>
                </c:pt>
                <c:pt idx="49">
                  <c:v>61</c:v>
                </c:pt>
                <c:pt idx="50">
                  <c:v>62</c:v>
                </c:pt>
                <c:pt idx="51">
                  <c:v>65</c:v>
                </c:pt>
                <c:pt idx="52">
                  <c:v>76</c:v>
                </c:pt>
                <c:pt idx="53">
                  <c:v>76</c:v>
                </c:pt>
                <c:pt idx="54">
                  <c:v>76</c:v>
                </c:pt>
                <c:pt idx="55">
                  <c:v>78</c:v>
                </c:pt>
                <c:pt idx="56">
                  <c:v>79</c:v>
                </c:pt>
                <c:pt idx="57">
                  <c:v>82</c:v>
                </c:pt>
                <c:pt idx="58">
                  <c:v>104</c:v>
                </c:pt>
                <c:pt idx="59">
                  <c:v>109</c:v>
                </c:pt>
                <c:pt idx="60">
                  <c:v>109</c:v>
                </c:pt>
                <c:pt idx="61">
                  <c:v>109</c:v>
                </c:pt>
                <c:pt idx="62">
                  <c:v>111</c:v>
                </c:pt>
                <c:pt idx="63">
                  <c:v>115</c:v>
                </c:pt>
                <c:pt idx="64">
                  <c:v>119</c:v>
                </c:pt>
                <c:pt idx="65">
                  <c:v>123</c:v>
                </c:pt>
                <c:pt idx="66">
                  <c:v>136</c:v>
                </c:pt>
                <c:pt idx="67">
                  <c:v>136</c:v>
                </c:pt>
                <c:pt idx="68">
                  <c:v>136</c:v>
                </c:pt>
                <c:pt idx="69">
                  <c:v>142</c:v>
                </c:pt>
                <c:pt idx="70">
                  <c:v>155</c:v>
                </c:pt>
                <c:pt idx="71">
                  <c:v>163</c:v>
                </c:pt>
                <c:pt idx="72">
                  <c:v>164</c:v>
                </c:pt>
                <c:pt idx="73">
                  <c:v>166</c:v>
                </c:pt>
                <c:pt idx="74">
                  <c:v>166</c:v>
                </c:pt>
                <c:pt idx="75">
                  <c:v>166</c:v>
                </c:pt>
                <c:pt idx="76">
                  <c:v>167</c:v>
                </c:pt>
                <c:pt idx="77">
                  <c:v>185</c:v>
                </c:pt>
                <c:pt idx="78">
                  <c:v>192</c:v>
                </c:pt>
                <c:pt idx="79">
                  <c:v>192</c:v>
                </c:pt>
                <c:pt idx="80">
                  <c:v>192</c:v>
                </c:pt>
                <c:pt idx="81">
                  <c:v>192</c:v>
                </c:pt>
                <c:pt idx="82">
                  <c:v>192</c:v>
                </c:pt>
                <c:pt idx="83">
                  <c:v>203</c:v>
                </c:pt>
                <c:pt idx="84">
                  <c:v>206</c:v>
                </c:pt>
                <c:pt idx="85">
                  <c:v>209</c:v>
                </c:pt>
                <c:pt idx="86">
                  <c:v>209</c:v>
                </c:pt>
                <c:pt idx="87">
                  <c:v>217</c:v>
                </c:pt>
                <c:pt idx="88">
                  <c:v>217</c:v>
                </c:pt>
                <c:pt idx="89">
                  <c:v>217</c:v>
                </c:pt>
                <c:pt idx="90">
                  <c:v>220</c:v>
                </c:pt>
                <c:pt idx="91">
                  <c:v>222</c:v>
                </c:pt>
                <c:pt idx="92">
                  <c:v>231</c:v>
                </c:pt>
                <c:pt idx="93">
                  <c:v>234</c:v>
                </c:pt>
                <c:pt idx="94">
                  <c:v>248</c:v>
                </c:pt>
                <c:pt idx="95">
                  <c:v>248</c:v>
                </c:pt>
                <c:pt idx="96">
                  <c:v>248</c:v>
                </c:pt>
                <c:pt idx="97">
                  <c:v>256</c:v>
                </c:pt>
                <c:pt idx="98">
                  <c:v>265</c:v>
                </c:pt>
                <c:pt idx="99">
                  <c:v>265</c:v>
                </c:pt>
                <c:pt idx="100">
                  <c:v>265</c:v>
                </c:pt>
                <c:pt idx="101">
                  <c:v>266</c:v>
                </c:pt>
                <c:pt idx="102">
                  <c:v>266</c:v>
                </c:pt>
                <c:pt idx="103">
                  <c:v>266</c:v>
                </c:pt>
                <c:pt idx="104">
                  <c:v>266</c:v>
                </c:pt>
                <c:pt idx="105">
                  <c:v>267</c:v>
                </c:pt>
                <c:pt idx="106">
                  <c:v>267</c:v>
                </c:pt>
                <c:pt idx="107">
                  <c:v>267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AE8-436B-B52E-B6331E144B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432527"/>
        <c:axId val="1737433007"/>
      </c:lineChart>
      <c:dateAx>
        <c:axId val="173743252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3007"/>
        <c:crosses val="autoZero"/>
        <c:auto val="1"/>
        <c:lblOffset val="100"/>
        <c:baseTimeUnit val="days"/>
      </c:dateAx>
      <c:valAx>
        <c:axId val="173743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2527"/>
        <c:crosses val="autoZero"/>
        <c:crossBetween val="between"/>
      </c:valAx>
      <c:valAx>
        <c:axId val="173743780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9727"/>
        <c:crosses val="max"/>
        <c:crossBetween val="between"/>
      </c:valAx>
      <c:dateAx>
        <c:axId val="173743972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37437807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rgbClr val="FFFF00"/>
                </a:solidFill>
              </a:rPr>
              <a:t>Curva S - Emissão inicial e Aprovação - Status 16/07/2026</a:t>
            </a:r>
          </a:p>
        </c:rich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S'!$A$2:$A$109</c:f>
              <c:numCache>
                <c:formatCode>m/d/yyyy</c:formatCode>
                <c:ptCount val="108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  <c:pt idx="22">
                  <c:v>46120</c:v>
                </c:pt>
                <c:pt idx="23">
                  <c:v>46121</c:v>
                </c:pt>
                <c:pt idx="24">
                  <c:v>46122</c:v>
                </c:pt>
                <c:pt idx="25">
                  <c:v>46123</c:v>
                </c:pt>
                <c:pt idx="26">
                  <c:v>46124</c:v>
                </c:pt>
                <c:pt idx="27">
                  <c:v>46125</c:v>
                </c:pt>
                <c:pt idx="28">
                  <c:v>46126</c:v>
                </c:pt>
                <c:pt idx="29">
                  <c:v>46127</c:v>
                </c:pt>
                <c:pt idx="30">
                  <c:v>46128</c:v>
                </c:pt>
                <c:pt idx="31">
                  <c:v>46129</c:v>
                </c:pt>
                <c:pt idx="32">
                  <c:v>46130</c:v>
                </c:pt>
                <c:pt idx="33">
                  <c:v>46131</c:v>
                </c:pt>
                <c:pt idx="34">
                  <c:v>46132</c:v>
                </c:pt>
                <c:pt idx="35">
                  <c:v>46133</c:v>
                </c:pt>
                <c:pt idx="36">
                  <c:v>46134</c:v>
                </c:pt>
                <c:pt idx="37">
                  <c:v>46135</c:v>
                </c:pt>
                <c:pt idx="38">
                  <c:v>46136</c:v>
                </c:pt>
                <c:pt idx="39">
                  <c:v>46137</c:v>
                </c:pt>
                <c:pt idx="40">
                  <c:v>46138</c:v>
                </c:pt>
                <c:pt idx="41">
                  <c:v>46139</c:v>
                </c:pt>
                <c:pt idx="42">
                  <c:v>46140</c:v>
                </c:pt>
                <c:pt idx="43">
                  <c:v>46141</c:v>
                </c:pt>
                <c:pt idx="44">
                  <c:v>46142</c:v>
                </c:pt>
                <c:pt idx="45">
                  <c:v>46143</c:v>
                </c:pt>
                <c:pt idx="46">
                  <c:v>46144</c:v>
                </c:pt>
                <c:pt idx="47">
                  <c:v>46145</c:v>
                </c:pt>
                <c:pt idx="48">
                  <c:v>46146</c:v>
                </c:pt>
                <c:pt idx="49">
                  <c:v>46147</c:v>
                </c:pt>
                <c:pt idx="50">
                  <c:v>46148</c:v>
                </c:pt>
                <c:pt idx="51">
                  <c:v>46149</c:v>
                </c:pt>
                <c:pt idx="52">
                  <c:v>46150</c:v>
                </c:pt>
                <c:pt idx="53">
                  <c:v>46151</c:v>
                </c:pt>
                <c:pt idx="54">
                  <c:v>46152</c:v>
                </c:pt>
                <c:pt idx="55">
                  <c:v>46153</c:v>
                </c:pt>
                <c:pt idx="56">
                  <c:v>46154</c:v>
                </c:pt>
                <c:pt idx="57">
                  <c:v>46155</c:v>
                </c:pt>
                <c:pt idx="58">
                  <c:v>46156</c:v>
                </c:pt>
                <c:pt idx="59">
                  <c:v>46157</c:v>
                </c:pt>
                <c:pt idx="60">
                  <c:v>46158</c:v>
                </c:pt>
                <c:pt idx="61">
                  <c:v>46159</c:v>
                </c:pt>
                <c:pt idx="62">
                  <c:v>46160</c:v>
                </c:pt>
                <c:pt idx="63">
                  <c:v>46161</c:v>
                </c:pt>
                <c:pt idx="64">
                  <c:v>46162</c:v>
                </c:pt>
                <c:pt idx="65">
                  <c:v>46163</c:v>
                </c:pt>
                <c:pt idx="66">
                  <c:v>46164</c:v>
                </c:pt>
                <c:pt idx="67">
                  <c:v>46165</c:v>
                </c:pt>
                <c:pt idx="68">
                  <c:v>46166</c:v>
                </c:pt>
                <c:pt idx="69">
                  <c:v>46167</c:v>
                </c:pt>
                <c:pt idx="70">
                  <c:v>46168</c:v>
                </c:pt>
                <c:pt idx="71">
                  <c:v>46169</c:v>
                </c:pt>
                <c:pt idx="72">
                  <c:v>46170</c:v>
                </c:pt>
                <c:pt idx="73">
                  <c:v>46171</c:v>
                </c:pt>
                <c:pt idx="74">
                  <c:v>46172</c:v>
                </c:pt>
                <c:pt idx="75">
                  <c:v>46173</c:v>
                </c:pt>
                <c:pt idx="76">
                  <c:v>46174</c:v>
                </c:pt>
                <c:pt idx="77">
                  <c:v>46175</c:v>
                </c:pt>
                <c:pt idx="78">
                  <c:v>46176</c:v>
                </c:pt>
                <c:pt idx="79">
                  <c:v>46177</c:v>
                </c:pt>
                <c:pt idx="80">
                  <c:v>46178</c:v>
                </c:pt>
                <c:pt idx="81">
                  <c:v>46179</c:v>
                </c:pt>
                <c:pt idx="82">
                  <c:v>46180</c:v>
                </c:pt>
                <c:pt idx="83">
                  <c:v>46181</c:v>
                </c:pt>
                <c:pt idx="84">
                  <c:v>46182</c:v>
                </c:pt>
                <c:pt idx="85">
                  <c:v>46183</c:v>
                </c:pt>
                <c:pt idx="86">
                  <c:v>46184</c:v>
                </c:pt>
                <c:pt idx="87">
                  <c:v>46185</c:v>
                </c:pt>
                <c:pt idx="88">
                  <c:v>46186</c:v>
                </c:pt>
                <c:pt idx="89">
                  <c:v>46187</c:v>
                </c:pt>
                <c:pt idx="90">
                  <c:v>46188</c:v>
                </c:pt>
                <c:pt idx="91">
                  <c:v>46189</c:v>
                </c:pt>
                <c:pt idx="92">
                  <c:v>46190</c:v>
                </c:pt>
                <c:pt idx="93">
                  <c:v>46191</c:v>
                </c:pt>
                <c:pt idx="94">
                  <c:v>46192</c:v>
                </c:pt>
                <c:pt idx="95">
                  <c:v>46193</c:v>
                </c:pt>
                <c:pt idx="96">
                  <c:v>46194</c:v>
                </c:pt>
                <c:pt idx="97">
                  <c:v>46195</c:v>
                </c:pt>
                <c:pt idx="98">
                  <c:v>46196</c:v>
                </c:pt>
                <c:pt idx="99">
                  <c:v>46197</c:v>
                </c:pt>
                <c:pt idx="100">
                  <c:v>46198</c:v>
                </c:pt>
                <c:pt idx="101">
                  <c:v>46199</c:v>
                </c:pt>
                <c:pt idx="102">
                  <c:v>46200</c:v>
                </c:pt>
                <c:pt idx="103">
                  <c:v>46201</c:v>
                </c:pt>
                <c:pt idx="104">
                  <c:v>46202</c:v>
                </c:pt>
                <c:pt idx="105">
                  <c:v>46203</c:v>
                </c:pt>
                <c:pt idx="106">
                  <c:v>46204</c:v>
                </c:pt>
                <c:pt idx="107">
                  <c:v>46205</c:v>
                </c:pt>
              </c:numCache>
            </c:numRef>
          </c:cat>
          <c:val>
            <c:numRef>
              <c:f>'Curva S'!$B$2:$B$109</c:f>
              <c:numCache>
                <c:formatCode>General</c:formatCode>
                <c:ptCount val="108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4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1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4</c:v>
                </c:pt>
                <c:pt idx="25">
                  <c:v>6</c:v>
                </c:pt>
                <c:pt idx="26">
                  <c:v>2</c:v>
                </c:pt>
                <c:pt idx="27">
                  <c:v>2</c:v>
                </c:pt>
                <c:pt idx="28">
                  <c:v>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3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3</c:v>
                </c:pt>
                <c:pt idx="39">
                  <c:v>1</c:v>
                </c:pt>
                <c:pt idx="40">
                  <c:v>0</c:v>
                </c:pt>
                <c:pt idx="41">
                  <c:v>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5</c:v>
                </c:pt>
                <c:pt idx="46">
                  <c:v>1</c:v>
                </c:pt>
                <c:pt idx="47">
                  <c:v>1</c:v>
                </c:pt>
                <c:pt idx="48">
                  <c:v>3</c:v>
                </c:pt>
                <c:pt idx="49">
                  <c:v>8</c:v>
                </c:pt>
                <c:pt idx="50">
                  <c:v>0</c:v>
                </c:pt>
                <c:pt idx="51">
                  <c:v>0</c:v>
                </c:pt>
                <c:pt idx="52">
                  <c:v>2</c:v>
                </c:pt>
                <c:pt idx="53">
                  <c:v>1</c:v>
                </c:pt>
                <c:pt idx="54">
                  <c:v>3</c:v>
                </c:pt>
                <c:pt idx="55">
                  <c:v>16</c:v>
                </c:pt>
                <c:pt idx="56">
                  <c:v>4</c:v>
                </c:pt>
                <c:pt idx="57">
                  <c:v>0</c:v>
                </c:pt>
                <c:pt idx="58">
                  <c:v>0</c:v>
                </c:pt>
                <c:pt idx="59">
                  <c:v>2</c:v>
                </c:pt>
                <c:pt idx="60">
                  <c:v>2</c:v>
                </c:pt>
                <c:pt idx="61">
                  <c:v>5</c:v>
                </c:pt>
                <c:pt idx="62">
                  <c:v>4</c:v>
                </c:pt>
                <c:pt idx="63">
                  <c:v>14</c:v>
                </c:pt>
                <c:pt idx="64">
                  <c:v>0</c:v>
                </c:pt>
                <c:pt idx="65">
                  <c:v>0</c:v>
                </c:pt>
                <c:pt idx="66">
                  <c:v>4</c:v>
                </c:pt>
                <c:pt idx="67">
                  <c:v>12</c:v>
                </c:pt>
                <c:pt idx="68">
                  <c:v>8</c:v>
                </c:pt>
                <c:pt idx="69">
                  <c:v>2</c:v>
                </c:pt>
                <c:pt idx="70">
                  <c:v>2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15</c:v>
                </c:pt>
                <c:pt idx="75">
                  <c:v>7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10</c:v>
                </c:pt>
                <c:pt idx="81">
                  <c:v>3</c:v>
                </c:pt>
                <c:pt idx="82">
                  <c:v>3</c:v>
                </c:pt>
                <c:pt idx="83">
                  <c:v>1</c:v>
                </c:pt>
                <c:pt idx="84">
                  <c:v>4</c:v>
                </c:pt>
                <c:pt idx="85">
                  <c:v>0</c:v>
                </c:pt>
                <c:pt idx="86">
                  <c:v>0</c:v>
                </c:pt>
                <c:pt idx="87">
                  <c:v>2</c:v>
                </c:pt>
                <c:pt idx="88">
                  <c:v>6</c:v>
                </c:pt>
                <c:pt idx="89">
                  <c:v>9</c:v>
                </c:pt>
                <c:pt idx="90">
                  <c:v>3</c:v>
                </c:pt>
                <c:pt idx="91">
                  <c:v>28</c:v>
                </c:pt>
                <c:pt idx="92">
                  <c:v>0</c:v>
                </c:pt>
                <c:pt idx="93">
                  <c:v>0</c:v>
                </c:pt>
                <c:pt idx="94">
                  <c:v>3</c:v>
                </c:pt>
                <c:pt idx="95">
                  <c:v>4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1</c:v>
                </c:pt>
                <c:pt idx="106">
                  <c:v>0</c:v>
                </c:pt>
                <c:pt idx="107">
                  <c:v>1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7060-4DDB-B9C7-5480CC3214BE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'Curva S'!$A$2:$A$109</c:f>
              <c:numCache>
                <c:formatCode>m/d/yyyy</c:formatCode>
                <c:ptCount val="108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  <c:pt idx="22">
                  <c:v>46120</c:v>
                </c:pt>
                <c:pt idx="23">
                  <c:v>46121</c:v>
                </c:pt>
                <c:pt idx="24">
                  <c:v>46122</c:v>
                </c:pt>
                <c:pt idx="25">
                  <c:v>46123</c:v>
                </c:pt>
                <c:pt idx="26">
                  <c:v>46124</c:v>
                </c:pt>
                <c:pt idx="27">
                  <c:v>46125</c:v>
                </c:pt>
                <c:pt idx="28">
                  <c:v>46126</c:v>
                </c:pt>
                <c:pt idx="29">
                  <c:v>46127</c:v>
                </c:pt>
                <c:pt idx="30">
                  <c:v>46128</c:v>
                </c:pt>
                <c:pt idx="31">
                  <c:v>46129</c:v>
                </c:pt>
                <c:pt idx="32">
                  <c:v>46130</c:v>
                </c:pt>
                <c:pt idx="33">
                  <c:v>46131</c:v>
                </c:pt>
                <c:pt idx="34">
                  <c:v>46132</c:v>
                </c:pt>
                <c:pt idx="35">
                  <c:v>46133</c:v>
                </c:pt>
                <c:pt idx="36">
                  <c:v>46134</c:v>
                </c:pt>
                <c:pt idx="37">
                  <c:v>46135</c:v>
                </c:pt>
                <c:pt idx="38">
                  <c:v>46136</c:v>
                </c:pt>
                <c:pt idx="39">
                  <c:v>46137</c:v>
                </c:pt>
                <c:pt idx="40">
                  <c:v>46138</c:v>
                </c:pt>
                <c:pt idx="41">
                  <c:v>46139</c:v>
                </c:pt>
                <c:pt idx="42">
                  <c:v>46140</c:v>
                </c:pt>
                <c:pt idx="43">
                  <c:v>46141</c:v>
                </c:pt>
                <c:pt idx="44">
                  <c:v>46142</c:v>
                </c:pt>
                <c:pt idx="45">
                  <c:v>46143</c:v>
                </c:pt>
                <c:pt idx="46">
                  <c:v>46144</c:v>
                </c:pt>
                <c:pt idx="47">
                  <c:v>46145</c:v>
                </c:pt>
                <c:pt idx="48">
                  <c:v>46146</c:v>
                </c:pt>
                <c:pt idx="49">
                  <c:v>46147</c:v>
                </c:pt>
                <c:pt idx="50">
                  <c:v>46148</c:v>
                </c:pt>
                <c:pt idx="51">
                  <c:v>46149</c:v>
                </c:pt>
                <c:pt idx="52">
                  <c:v>46150</c:v>
                </c:pt>
                <c:pt idx="53">
                  <c:v>46151</c:v>
                </c:pt>
                <c:pt idx="54">
                  <c:v>46152</c:v>
                </c:pt>
                <c:pt idx="55">
                  <c:v>46153</c:v>
                </c:pt>
                <c:pt idx="56">
                  <c:v>46154</c:v>
                </c:pt>
                <c:pt idx="57">
                  <c:v>46155</c:v>
                </c:pt>
                <c:pt idx="58">
                  <c:v>46156</c:v>
                </c:pt>
                <c:pt idx="59">
                  <c:v>46157</c:v>
                </c:pt>
                <c:pt idx="60">
                  <c:v>46158</c:v>
                </c:pt>
                <c:pt idx="61">
                  <c:v>46159</c:v>
                </c:pt>
                <c:pt idx="62">
                  <c:v>46160</c:v>
                </c:pt>
                <c:pt idx="63">
                  <c:v>46161</c:v>
                </c:pt>
                <c:pt idx="64">
                  <c:v>46162</c:v>
                </c:pt>
                <c:pt idx="65">
                  <c:v>46163</c:v>
                </c:pt>
                <c:pt idx="66">
                  <c:v>46164</c:v>
                </c:pt>
                <c:pt idx="67">
                  <c:v>46165</c:v>
                </c:pt>
                <c:pt idx="68">
                  <c:v>46166</c:v>
                </c:pt>
                <c:pt idx="69">
                  <c:v>46167</c:v>
                </c:pt>
                <c:pt idx="70">
                  <c:v>46168</c:v>
                </c:pt>
                <c:pt idx="71">
                  <c:v>46169</c:v>
                </c:pt>
                <c:pt idx="72">
                  <c:v>46170</c:v>
                </c:pt>
                <c:pt idx="73">
                  <c:v>46171</c:v>
                </c:pt>
                <c:pt idx="74">
                  <c:v>46172</c:v>
                </c:pt>
                <c:pt idx="75">
                  <c:v>46173</c:v>
                </c:pt>
                <c:pt idx="76">
                  <c:v>46174</c:v>
                </c:pt>
                <c:pt idx="77">
                  <c:v>46175</c:v>
                </c:pt>
                <c:pt idx="78">
                  <c:v>46176</c:v>
                </c:pt>
                <c:pt idx="79">
                  <c:v>46177</c:v>
                </c:pt>
                <c:pt idx="80">
                  <c:v>46178</c:v>
                </c:pt>
                <c:pt idx="81">
                  <c:v>46179</c:v>
                </c:pt>
                <c:pt idx="82">
                  <c:v>46180</c:v>
                </c:pt>
                <c:pt idx="83">
                  <c:v>46181</c:v>
                </c:pt>
                <c:pt idx="84">
                  <c:v>46182</c:v>
                </c:pt>
                <c:pt idx="85">
                  <c:v>46183</c:v>
                </c:pt>
                <c:pt idx="86">
                  <c:v>46184</c:v>
                </c:pt>
                <c:pt idx="87">
                  <c:v>46185</c:v>
                </c:pt>
                <c:pt idx="88">
                  <c:v>46186</c:v>
                </c:pt>
                <c:pt idx="89">
                  <c:v>46187</c:v>
                </c:pt>
                <c:pt idx="90">
                  <c:v>46188</c:v>
                </c:pt>
                <c:pt idx="91">
                  <c:v>46189</c:v>
                </c:pt>
                <c:pt idx="92">
                  <c:v>46190</c:v>
                </c:pt>
                <c:pt idx="93">
                  <c:v>46191</c:v>
                </c:pt>
                <c:pt idx="94">
                  <c:v>46192</c:v>
                </c:pt>
                <c:pt idx="95">
                  <c:v>46193</c:v>
                </c:pt>
                <c:pt idx="96">
                  <c:v>46194</c:v>
                </c:pt>
                <c:pt idx="97">
                  <c:v>46195</c:v>
                </c:pt>
                <c:pt idx="98">
                  <c:v>46196</c:v>
                </c:pt>
                <c:pt idx="99">
                  <c:v>46197</c:v>
                </c:pt>
                <c:pt idx="100">
                  <c:v>46198</c:v>
                </c:pt>
                <c:pt idx="101">
                  <c:v>46199</c:v>
                </c:pt>
                <c:pt idx="102">
                  <c:v>46200</c:v>
                </c:pt>
                <c:pt idx="103">
                  <c:v>46201</c:v>
                </c:pt>
                <c:pt idx="104">
                  <c:v>46202</c:v>
                </c:pt>
                <c:pt idx="105">
                  <c:v>46203</c:v>
                </c:pt>
                <c:pt idx="106">
                  <c:v>46204</c:v>
                </c:pt>
                <c:pt idx="107">
                  <c:v>46205</c:v>
                </c:pt>
              </c:numCache>
            </c:numRef>
          </c:cat>
          <c:val>
            <c:numRef>
              <c:f>'Curva S'!$D$2:$D$109</c:f>
              <c:numCache>
                <c:formatCode>General</c:formatCode>
                <c:ptCount val="10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0</c:v>
                </c:pt>
                <c:pt idx="5">
                  <c:v>0</c:v>
                </c:pt>
                <c:pt idx="6">
                  <c:v>4</c:v>
                </c:pt>
                <c:pt idx="7">
                  <c:v>2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1</c:v>
                </c:pt>
                <c:pt idx="23">
                  <c:v>2</c:v>
                </c:pt>
                <c:pt idx="24">
                  <c:v>5</c:v>
                </c:pt>
                <c:pt idx="25">
                  <c:v>0</c:v>
                </c:pt>
                <c:pt idx="26">
                  <c:v>0</c:v>
                </c:pt>
                <c:pt idx="27">
                  <c:v>5</c:v>
                </c:pt>
                <c:pt idx="28">
                  <c:v>6</c:v>
                </c:pt>
                <c:pt idx="29">
                  <c:v>3</c:v>
                </c:pt>
                <c:pt idx="30">
                  <c:v>2</c:v>
                </c:pt>
                <c:pt idx="31">
                  <c:v>5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3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3</c:v>
                </c:pt>
                <c:pt idx="42">
                  <c:v>1</c:v>
                </c:pt>
                <c:pt idx="43">
                  <c:v>0</c:v>
                </c:pt>
                <c:pt idx="44">
                  <c:v>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6</c:v>
                </c:pt>
                <c:pt idx="49">
                  <c:v>1</c:v>
                </c:pt>
                <c:pt idx="50">
                  <c:v>1</c:v>
                </c:pt>
                <c:pt idx="51">
                  <c:v>3</c:v>
                </c:pt>
                <c:pt idx="52">
                  <c:v>11</c:v>
                </c:pt>
                <c:pt idx="53">
                  <c:v>0</c:v>
                </c:pt>
                <c:pt idx="54">
                  <c:v>0</c:v>
                </c:pt>
                <c:pt idx="55">
                  <c:v>2</c:v>
                </c:pt>
                <c:pt idx="56">
                  <c:v>1</c:v>
                </c:pt>
                <c:pt idx="57">
                  <c:v>3</c:v>
                </c:pt>
                <c:pt idx="58">
                  <c:v>22</c:v>
                </c:pt>
                <c:pt idx="59">
                  <c:v>5</c:v>
                </c:pt>
                <c:pt idx="60">
                  <c:v>0</c:v>
                </c:pt>
                <c:pt idx="61">
                  <c:v>0</c:v>
                </c:pt>
                <c:pt idx="62">
                  <c:v>2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13</c:v>
                </c:pt>
                <c:pt idx="67">
                  <c:v>0</c:v>
                </c:pt>
                <c:pt idx="68">
                  <c:v>0</c:v>
                </c:pt>
                <c:pt idx="69">
                  <c:v>6</c:v>
                </c:pt>
                <c:pt idx="70">
                  <c:v>13</c:v>
                </c:pt>
                <c:pt idx="71">
                  <c:v>8</c:v>
                </c:pt>
                <c:pt idx="72">
                  <c:v>1</c:v>
                </c:pt>
                <c:pt idx="73">
                  <c:v>2</c:v>
                </c:pt>
                <c:pt idx="74">
                  <c:v>0</c:v>
                </c:pt>
                <c:pt idx="75">
                  <c:v>0</c:v>
                </c:pt>
                <c:pt idx="76">
                  <c:v>1</c:v>
                </c:pt>
                <c:pt idx="77">
                  <c:v>18</c:v>
                </c:pt>
                <c:pt idx="78">
                  <c:v>7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11</c:v>
                </c:pt>
                <c:pt idx="84">
                  <c:v>3</c:v>
                </c:pt>
                <c:pt idx="85">
                  <c:v>3</c:v>
                </c:pt>
                <c:pt idx="86">
                  <c:v>0</c:v>
                </c:pt>
                <c:pt idx="87">
                  <c:v>8</c:v>
                </c:pt>
                <c:pt idx="88">
                  <c:v>0</c:v>
                </c:pt>
                <c:pt idx="89">
                  <c:v>0</c:v>
                </c:pt>
                <c:pt idx="90">
                  <c:v>3</c:v>
                </c:pt>
                <c:pt idx="91">
                  <c:v>2</c:v>
                </c:pt>
                <c:pt idx="92">
                  <c:v>9</c:v>
                </c:pt>
                <c:pt idx="93">
                  <c:v>3</c:v>
                </c:pt>
                <c:pt idx="94">
                  <c:v>14</c:v>
                </c:pt>
                <c:pt idx="95">
                  <c:v>0</c:v>
                </c:pt>
                <c:pt idx="96">
                  <c:v>0</c:v>
                </c:pt>
                <c:pt idx="97">
                  <c:v>8</c:v>
                </c:pt>
                <c:pt idx="98">
                  <c:v>9</c:v>
                </c:pt>
                <c:pt idx="99">
                  <c:v>0</c:v>
                </c:pt>
                <c:pt idx="100">
                  <c:v>0</c:v>
                </c:pt>
                <c:pt idx="101">
                  <c:v>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1</c:v>
                </c:pt>
                <c:pt idx="106">
                  <c:v>0</c:v>
                </c:pt>
                <c:pt idx="107">
                  <c:v>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7060-4DDB-B9C7-5480CC3214BE}"/>
            </c:ext>
          </c:extLst>
        </c:ser>
        <c:ser>
          <c:idx val="4"/>
          <c:order val="4"/>
          <c:tx>
            <c:strRef>
              <c:f>'Curva S'!$F$1</c:f>
              <c:strCache>
                <c:ptCount val="1"/>
                <c:pt idx="0">
                  <c:v>Aprovação prevista na LB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S'!$A$2:$A$109</c:f>
              <c:numCache>
                <c:formatCode>m/d/yyyy</c:formatCode>
                <c:ptCount val="108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  <c:pt idx="22">
                  <c:v>46120</c:v>
                </c:pt>
                <c:pt idx="23">
                  <c:v>46121</c:v>
                </c:pt>
                <c:pt idx="24">
                  <c:v>46122</c:v>
                </c:pt>
                <c:pt idx="25">
                  <c:v>46123</c:v>
                </c:pt>
                <c:pt idx="26">
                  <c:v>46124</c:v>
                </c:pt>
                <c:pt idx="27">
                  <c:v>46125</c:v>
                </c:pt>
                <c:pt idx="28">
                  <c:v>46126</c:v>
                </c:pt>
                <c:pt idx="29">
                  <c:v>46127</c:v>
                </c:pt>
                <c:pt idx="30">
                  <c:v>46128</c:v>
                </c:pt>
                <c:pt idx="31">
                  <c:v>46129</c:v>
                </c:pt>
                <c:pt idx="32">
                  <c:v>46130</c:v>
                </c:pt>
                <c:pt idx="33">
                  <c:v>46131</c:v>
                </c:pt>
                <c:pt idx="34">
                  <c:v>46132</c:v>
                </c:pt>
                <c:pt idx="35">
                  <c:v>46133</c:v>
                </c:pt>
                <c:pt idx="36">
                  <c:v>46134</c:v>
                </c:pt>
                <c:pt idx="37">
                  <c:v>46135</c:v>
                </c:pt>
                <c:pt idx="38">
                  <c:v>46136</c:v>
                </c:pt>
                <c:pt idx="39">
                  <c:v>46137</c:v>
                </c:pt>
                <c:pt idx="40">
                  <c:v>46138</c:v>
                </c:pt>
                <c:pt idx="41">
                  <c:v>46139</c:v>
                </c:pt>
                <c:pt idx="42">
                  <c:v>46140</c:v>
                </c:pt>
                <c:pt idx="43">
                  <c:v>46141</c:v>
                </c:pt>
                <c:pt idx="44">
                  <c:v>46142</c:v>
                </c:pt>
                <c:pt idx="45">
                  <c:v>46143</c:v>
                </c:pt>
                <c:pt idx="46">
                  <c:v>46144</c:v>
                </c:pt>
                <c:pt idx="47">
                  <c:v>46145</c:v>
                </c:pt>
                <c:pt idx="48">
                  <c:v>46146</c:v>
                </c:pt>
                <c:pt idx="49">
                  <c:v>46147</c:v>
                </c:pt>
                <c:pt idx="50">
                  <c:v>46148</c:v>
                </c:pt>
                <c:pt idx="51">
                  <c:v>46149</c:v>
                </c:pt>
                <c:pt idx="52">
                  <c:v>46150</c:v>
                </c:pt>
                <c:pt idx="53">
                  <c:v>46151</c:v>
                </c:pt>
                <c:pt idx="54">
                  <c:v>46152</c:v>
                </c:pt>
                <c:pt idx="55">
                  <c:v>46153</c:v>
                </c:pt>
                <c:pt idx="56">
                  <c:v>46154</c:v>
                </c:pt>
                <c:pt idx="57">
                  <c:v>46155</c:v>
                </c:pt>
                <c:pt idx="58">
                  <c:v>46156</c:v>
                </c:pt>
                <c:pt idx="59">
                  <c:v>46157</c:v>
                </c:pt>
                <c:pt idx="60">
                  <c:v>46158</c:v>
                </c:pt>
                <c:pt idx="61">
                  <c:v>46159</c:v>
                </c:pt>
                <c:pt idx="62">
                  <c:v>46160</c:v>
                </c:pt>
                <c:pt idx="63">
                  <c:v>46161</c:v>
                </c:pt>
                <c:pt idx="64">
                  <c:v>46162</c:v>
                </c:pt>
                <c:pt idx="65">
                  <c:v>46163</c:v>
                </c:pt>
                <c:pt idx="66">
                  <c:v>46164</c:v>
                </c:pt>
                <c:pt idx="67">
                  <c:v>46165</c:v>
                </c:pt>
                <c:pt idx="68">
                  <c:v>46166</c:v>
                </c:pt>
                <c:pt idx="69">
                  <c:v>46167</c:v>
                </c:pt>
                <c:pt idx="70">
                  <c:v>46168</c:v>
                </c:pt>
                <c:pt idx="71">
                  <c:v>46169</c:v>
                </c:pt>
                <c:pt idx="72">
                  <c:v>46170</c:v>
                </c:pt>
                <c:pt idx="73">
                  <c:v>46171</c:v>
                </c:pt>
                <c:pt idx="74">
                  <c:v>46172</c:v>
                </c:pt>
                <c:pt idx="75">
                  <c:v>46173</c:v>
                </c:pt>
                <c:pt idx="76">
                  <c:v>46174</c:v>
                </c:pt>
                <c:pt idx="77">
                  <c:v>46175</c:v>
                </c:pt>
                <c:pt idx="78">
                  <c:v>46176</c:v>
                </c:pt>
                <c:pt idx="79">
                  <c:v>46177</c:v>
                </c:pt>
                <c:pt idx="80">
                  <c:v>46178</c:v>
                </c:pt>
                <c:pt idx="81">
                  <c:v>46179</c:v>
                </c:pt>
                <c:pt idx="82">
                  <c:v>46180</c:v>
                </c:pt>
                <c:pt idx="83">
                  <c:v>46181</c:v>
                </c:pt>
                <c:pt idx="84">
                  <c:v>46182</c:v>
                </c:pt>
                <c:pt idx="85">
                  <c:v>46183</c:v>
                </c:pt>
                <c:pt idx="86">
                  <c:v>46184</c:v>
                </c:pt>
                <c:pt idx="87">
                  <c:v>46185</c:v>
                </c:pt>
                <c:pt idx="88">
                  <c:v>46186</c:v>
                </c:pt>
                <c:pt idx="89">
                  <c:v>46187</c:v>
                </c:pt>
                <c:pt idx="90">
                  <c:v>46188</c:v>
                </c:pt>
                <c:pt idx="91">
                  <c:v>46189</c:v>
                </c:pt>
                <c:pt idx="92">
                  <c:v>46190</c:v>
                </c:pt>
                <c:pt idx="93">
                  <c:v>46191</c:v>
                </c:pt>
                <c:pt idx="94">
                  <c:v>46192</c:v>
                </c:pt>
                <c:pt idx="95">
                  <c:v>46193</c:v>
                </c:pt>
                <c:pt idx="96">
                  <c:v>46194</c:v>
                </c:pt>
                <c:pt idx="97">
                  <c:v>46195</c:v>
                </c:pt>
                <c:pt idx="98">
                  <c:v>46196</c:v>
                </c:pt>
                <c:pt idx="99">
                  <c:v>46197</c:v>
                </c:pt>
                <c:pt idx="100">
                  <c:v>46198</c:v>
                </c:pt>
                <c:pt idx="101">
                  <c:v>46199</c:v>
                </c:pt>
                <c:pt idx="102">
                  <c:v>46200</c:v>
                </c:pt>
                <c:pt idx="103">
                  <c:v>46201</c:v>
                </c:pt>
                <c:pt idx="104">
                  <c:v>46202</c:v>
                </c:pt>
                <c:pt idx="105">
                  <c:v>46203</c:v>
                </c:pt>
                <c:pt idx="106">
                  <c:v>46204</c:v>
                </c:pt>
                <c:pt idx="107">
                  <c:v>46205</c:v>
                </c:pt>
              </c:numCache>
            </c:numRef>
          </c:cat>
          <c:val>
            <c:numRef>
              <c:f>'Curva S'!$F$2:$F$109</c:f>
              <c:numCache>
                <c:formatCode>General</c:formatCode>
                <c:ptCount val="10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4</c:v>
                </c:pt>
                <c:pt idx="8">
                  <c:v>0</c:v>
                </c:pt>
                <c:pt idx="9">
                  <c:v>0</c:v>
                </c:pt>
                <c:pt idx="10">
                  <c:v>3</c:v>
                </c:pt>
                <c:pt idx="11">
                  <c:v>0</c:v>
                </c:pt>
                <c:pt idx="12">
                  <c:v>2</c:v>
                </c:pt>
                <c:pt idx="13">
                  <c:v>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</c:v>
                </c:pt>
                <c:pt idx="26">
                  <c:v>0</c:v>
                </c:pt>
                <c:pt idx="27">
                  <c:v>4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3</c:v>
                </c:pt>
                <c:pt idx="47">
                  <c:v>8</c:v>
                </c:pt>
                <c:pt idx="48">
                  <c:v>0</c:v>
                </c:pt>
                <c:pt idx="49">
                  <c:v>5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3</c:v>
                </c:pt>
                <c:pt idx="54">
                  <c:v>1</c:v>
                </c:pt>
                <c:pt idx="55">
                  <c:v>11</c:v>
                </c:pt>
                <c:pt idx="56">
                  <c:v>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4</c:v>
                </c:pt>
                <c:pt idx="62">
                  <c:v>1</c:v>
                </c:pt>
                <c:pt idx="63">
                  <c:v>9</c:v>
                </c:pt>
                <c:pt idx="64">
                  <c:v>0</c:v>
                </c:pt>
                <c:pt idx="65">
                  <c:v>0</c:v>
                </c:pt>
                <c:pt idx="66">
                  <c:v>9</c:v>
                </c:pt>
                <c:pt idx="67">
                  <c:v>9</c:v>
                </c:pt>
                <c:pt idx="68">
                  <c:v>4</c:v>
                </c:pt>
                <c:pt idx="69">
                  <c:v>6</c:v>
                </c:pt>
                <c:pt idx="70">
                  <c:v>15</c:v>
                </c:pt>
                <c:pt idx="71">
                  <c:v>0</c:v>
                </c:pt>
                <c:pt idx="72">
                  <c:v>0</c:v>
                </c:pt>
                <c:pt idx="73">
                  <c:v>10</c:v>
                </c:pt>
                <c:pt idx="74">
                  <c:v>3</c:v>
                </c:pt>
                <c:pt idx="75">
                  <c:v>14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7</c:v>
                </c:pt>
                <c:pt idx="81">
                  <c:v>2</c:v>
                </c:pt>
                <c:pt idx="82">
                  <c:v>17</c:v>
                </c:pt>
                <c:pt idx="83">
                  <c:v>3</c:v>
                </c:pt>
                <c:pt idx="84">
                  <c:v>4</c:v>
                </c:pt>
                <c:pt idx="85">
                  <c:v>0</c:v>
                </c:pt>
                <c:pt idx="86">
                  <c:v>0</c:v>
                </c:pt>
                <c:pt idx="87">
                  <c:v>13</c:v>
                </c:pt>
                <c:pt idx="88">
                  <c:v>2</c:v>
                </c:pt>
                <c:pt idx="89">
                  <c:v>8</c:v>
                </c:pt>
                <c:pt idx="90">
                  <c:v>1</c:v>
                </c:pt>
                <c:pt idx="91">
                  <c:v>13</c:v>
                </c:pt>
                <c:pt idx="92">
                  <c:v>0</c:v>
                </c:pt>
                <c:pt idx="93">
                  <c:v>0</c:v>
                </c:pt>
                <c:pt idx="94">
                  <c:v>6</c:v>
                </c:pt>
                <c:pt idx="95">
                  <c:v>3</c:v>
                </c:pt>
                <c:pt idx="96">
                  <c:v>14</c:v>
                </c:pt>
                <c:pt idx="97">
                  <c:v>9</c:v>
                </c:pt>
                <c:pt idx="98">
                  <c:v>29</c:v>
                </c:pt>
                <c:pt idx="99">
                  <c:v>15</c:v>
                </c:pt>
                <c:pt idx="100">
                  <c:v>8</c:v>
                </c:pt>
                <c:pt idx="101">
                  <c:v>14</c:v>
                </c:pt>
                <c:pt idx="102">
                  <c:v>0</c:v>
                </c:pt>
                <c:pt idx="103">
                  <c:v>0</c:v>
                </c:pt>
                <c:pt idx="104">
                  <c:v>1</c:v>
                </c:pt>
                <c:pt idx="105">
                  <c:v>2</c:v>
                </c:pt>
                <c:pt idx="106">
                  <c:v>0</c:v>
                </c:pt>
                <c:pt idx="107">
                  <c:v>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6-7060-4DDB-B9C7-5480CC3214BE}"/>
            </c:ext>
          </c:extLst>
        </c:ser>
        <c:ser>
          <c:idx val="5"/>
          <c:order val="5"/>
          <c:tx>
            <c:strRef>
              <c:f>'Curva S'!$G$1</c:f>
              <c:strCache>
                <c:ptCount val="1"/>
                <c:pt idx="0">
                  <c:v>Aprovação realizada por dia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'Curva S'!$A$2:$A$109</c:f>
              <c:numCache>
                <c:formatCode>m/d/yyyy</c:formatCode>
                <c:ptCount val="108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  <c:pt idx="22">
                  <c:v>46120</c:v>
                </c:pt>
                <c:pt idx="23">
                  <c:v>46121</c:v>
                </c:pt>
                <c:pt idx="24">
                  <c:v>46122</c:v>
                </c:pt>
                <c:pt idx="25">
                  <c:v>46123</c:v>
                </c:pt>
                <c:pt idx="26">
                  <c:v>46124</c:v>
                </c:pt>
                <c:pt idx="27">
                  <c:v>46125</c:v>
                </c:pt>
                <c:pt idx="28">
                  <c:v>46126</c:v>
                </c:pt>
                <c:pt idx="29">
                  <c:v>46127</c:v>
                </c:pt>
                <c:pt idx="30">
                  <c:v>46128</c:v>
                </c:pt>
                <c:pt idx="31">
                  <c:v>46129</c:v>
                </c:pt>
                <c:pt idx="32">
                  <c:v>46130</c:v>
                </c:pt>
                <c:pt idx="33">
                  <c:v>46131</c:v>
                </c:pt>
                <c:pt idx="34">
                  <c:v>46132</c:v>
                </c:pt>
                <c:pt idx="35">
                  <c:v>46133</c:v>
                </c:pt>
                <c:pt idx="36">
                  <c:v>46134</c:v>
                </c:pt>
                <c:pt idx="37">
                  <c:v>46135</c:v>
                </c:pt>
                <c:pt idx="38">
                  <c:v>46136</c:v>
                </c:pt>
                <c:pt idx="39">
                  <c:v>46137</c:v>
                </c:pt>
                <c:pt idx="40">
                  <c:v>46138</c:v>
                </c:pt>
                <c:pt idx="41">
                  <c:v>46139</c:v>
                </c:pt>
                <c:pt idx="42">
                  <c:v>46140</c:v>
                </c:pt>
                <c:pt idx="43">
                  <c:v>46141</c:v>
                </c:pt>
                <c:pt idx="44">
                  <c:v>46142</c:v>
                </c:pt>
                <c:pt idx="45">
                  <c:v>46143</c:v>
                </c:pt>
                <c:pt idx="46">
                  <c:v>46144</c:v>
                </c:pt>
                <c:pt idx="47">
                  <c:v>46145</c:v>
                </c:pt>
                <c:pt idx="48">
                  <c:v>46146</c:v>
                </c:pt>
                <c:pt idx="49">
                  <c:v>46147</c:v>
                </c:pt>
                <c:pt idx="50">
                  <c:v>46148</c:v>
                </c:pt>
                <c:pt idx="51">
                  <c:v>46149</c:v>
                </c:pt>
                <c:pt idx="52">
                  <c:v>46150</c:v>
                </c:pt>
                <c:pt idx="53">
                  <c:v>46151</c:v>
                </c:pt>
                <c:pt idx="54">
                  <c:v>46152</c:v>
                </c:pt>
                <c:pt idx="55">
                  <c:v>46153</c:v>
                </c:pt>
                <c:pt idx="56">
                  <c:v>46154</c:v>
                </c:pt>
                <c:pt idx="57">
                  <c:v>46155</c:v>
                </c:pt>
                <c:pt idx="58">
                  <c:v>46156</c:v>
                </c:pt>
                <c:pt idx="59">
                  <c:v>46157</c:v>
                </c:pt>
                <c:pt idx="60">
                  <c:v>46158</c:v>
                </c:pt>
                <c:pt idx="61">
                  <c:v>46159</c:v>
                </c:pt>
                <c:pt idx="62">
                  <c:v>46160</c:v>
                </c:pt>
                <c:pt idx="63">
                  <c:v>46161</c:v>
                </c:pt>
                <c:pt idx="64">
                  <c:v>46162</c:v>
                </c:pt>
                <c:pt idx="65">
                  <c:v>46163</c:v>
                </c:pt>
                <c:pt idx="66">
                  <c:v>46164</c:v>
                </c:pt>
                <c:pt idx="67">
                  <c:v>46165</c:v>
                </c:pt>
                <c:pt idx="68">
                  <c:v>46166</c:v>
                </c:pt>
                <c:pt idx="69">
                  <c:v>46167</c:v>
                </c:pt>
                <c:pt idx="70">
                  <c:v>46168</c:v>
                </c:pt>
                <c:pt idx="71">
                  <c:v>46169</c:v>
                </c:pt>
                <c:pt idx="72">
                  <c:v>46170</c:v>
                </c:pt>
                <c:pt idx="73">
                  <c:v>46171</c:v>
                </c:pt>
                <c:pt idx="74">
                  <c:v>46172</c:v>
                </c:pt>
                <c:pt idx="75">
                  <c:v>46173</c:v>
                </c:pt>
                <c:pt idx="76">
                  <c:v>46174</c:v>
                </c:pt>
                <c:pt idx="77">
                  <c:v>46175</c:v>
                </c:pt>
                <c:pt idx="78">
                  <c:v>46176</c:v>
                </c:pt>
                <c:pt idx="79">
                  <c:v>46177</c:v>
                </c:pt>
                <c:pt idx="80">
                  <c:v>46178</c:v>
                </c:pt>
                <c:pt idx="81">
                  <c:v>46179</c:v>
                </c:pt>
                <c:pt idx="82">
                  <c:v>46180</c:v>
                </c:pt>
                <c:pt idx="83">
                  <c:v>46181</c:v>
                </c:pt>
                <c:pt idx="84">
                  <c:v>46182</c:v>
                </c:pt>
                <c:pt idx="85">
                  <c:v>46183</c:v>
                </c:pt>
                <c:pt idx="86">
                  <c:v>46184</c:v>
                </c:pt>
                <c:pt idx="87">
                  <c:v>46185</c:v>
                </c:pt>
                <c:pt idx="88">
                  <c:v>46186</c:v>
                </c:pt>
                <c:pt idx="89">
                  <c:v>46187</c:v>
                </c:pt>
                <c:pt idx="90">
                  <c:v>46188</c:v>
                </c:pt>
                <c:pt idx="91">
                  <c:v>46189</c:v>
                </c:pt>
                <c:pt idx="92">
                  <c:v>46190</c:v>
                </c:pt>
                <c:pt idx="93">
                  <c:v>46191</c:v>
                </c:pt>
                <c:pt idx="94">
                  <c:v>46192</c:v>
                </c:pt>
                <c:pt idx="95">
                  <c:v>46193</c:v>
                </c:pt>
                <c:pt idx="96">
                  <c:v>46194</c:v>
                </c:pt>
                <c:pt idx="97">
                  <c:v>46195</c:v>
                </c:pt>
                <c:pt idx="98">
                  <c:v>46196</c:v>
                </c:pt>
                <c:pt idx="99">
                  <c:v>46197</c:v>
                </c:pt>
                <c:pt idx="100">
                  <c:v>46198</c:v>
                </c:pt>
                <c:pt idx="101">
                  <c:v>46199</c:v>
                </c:pt>
                <c:pt idx="102">
                  <c:v>46200</c:v>
                </c:pt>
                <c:pt idx="103">
                  <c:v>46201</c:v>
                </c:pt>
                <c:pt idx="104">
                  <c:v>46202</c:v>
                </c:pt>
                <c:pt idx="105">
                  <c:v>46203</c:v>
                </c:pt>
                <c:pt idx="106">
                  <c:v>46204</c:v>
                </c:pt>
                <c:pt idx="107">
                  <c:v>46205</c:v>
                </c:pt>
              </c:numCache>
            </c:numRef>
          </c:cat>
          <c:val>
            <c:numRef>
              <c:f>'Curva S'!$G$2:$G$109</c:f>
              <c:numCache>
                <c:formatCode>General</c:formatCode>
                <c:ptCount val="10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3</c:v>
                </c:pt>
                <c:pt idx="11">
                  <c:v>0</c:v>
                </c:pt>
                <c:pt idx="12">
                  <c:v>0</c:v>
                </c:pt>
                <c:pt idx="13">
                  <c:v>3</c:v>
                </c:pt>
                <c:pt idx="14">
                  <c:v>0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</c:v>
                </c:pt>
                <c:pt idx="29">
                  <c:v>0</c:v>
                </c:pt>
                <c:pt idx="30">
                  <c:v>4</c:v>
                </c:pt>
                <c:pt idx="31">
                  <c:v>1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4</c:v>
                </c:pt>
                <c:pt idx="50">
                  <c:v>10</c:v>
                </c:pt>
                <c:pt idx="51">
                  <c:v>0</c:v>
                </c:pt>
                <c:pt idx="52">
                  <c:v>7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3</c:v>
                </c:pt>
                <c:pt idx="57">
                  <c:v>1</c:v>
                </c:pt>
                <c:pt idx="58">
                  <c:v>15</c:v>
                </c:pt>
                <c:pt idx="59">
                  <c:v>4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6</c:v>
                </c:pt>
                <c:pt idx="65">
                  <c:v>1</c:v>
                </c:pt>
                <c:pt idx="66">
                  <c:v>9</c:v>
                </c:pt>
                <c:pt idx="67">
                  <c:v>0</c:v>
                </c:pt>
                <c:pt idx="68">
                  <c:v>0</c:v>
                </c:pt>
                <c:pt idx="69">
                  <c:v>8</c:v>
                </c:pt>
                <c:pt idx="70">
                  <c:v>10</c:v>
                </c:pt>
                <c:pt idx="71">
                  <c:v>2</c:v>
                </c:pt>
                <c:pt idx="72">
                  <c:v>9</c:v>
                </c:pt>
                <c:pt idx="73">
                  <c:v>14</c:v>
                </c:pt>
                <c:pt idx="74">
                  <c:v>0</c:v>
                </c:pt>
                <c:pt idx="75">
                  <c:v>0</c:v>
                </c:pt>
                <c:pt idx="76">
                  <c:v>10</c:v>
                </c:pt>
                <c:pt idx="77">
                  <c:v>2</c:v>
                </c:pt>
                <c:pt idx="78">
                  <c:v>11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6</c:v>
                </c:pt>
                <c:pt idx="84">
                  <c:v>1</c:v>
                </c:pt>
                <c:pt idx="85">
                  <c:v>14</c:v>
                </c:pt>
                <c:pt idx="86">
                  <c:v>4</c:v>
                </c:pt>
                <c:pt idx="87">
                  <c:v>1</c:v>
                </c:pt>
                <c:pt idx="88">
                  <c:v>0</c:v>
                </c:pt>
                <c:pt idx="89">
                  <c:v>0</c:v>
                </c:pt>
                <c:pt idx="90">
                  <c:v>8</c:v>
                </c:pt>
                <c:pt idx="91">
                  <c:v>6</c:v>
                </c:pt>
                <c:pt idx="92">
                  <c:v>10</c:v>
                </c:pt>
                <c:pt idx="93">
                  <c:v>5</c:v>
                </c:pt>
                <c:pt idx="94">
                  <c:v>14</c:v>
                </c:pt>
                <c:pt idx="95">
                  <c:v>0</c:v>
                </c:pt>
                <c:pt idx="96">
                  <c:v>0</c:v>
                </c:pt>
                <c:pt idx="97">
                  <c:v>3</c:v>
                </c:pt>
                <c:pt idx="98">
                  <c:v>4</c:v>
                </c:pt>
                <c:pt idx="99">
                  <c:v>15</c:v>
                </c:pt>
                <c:pt idx="100">
                  <c:v>8</c:v>
                </c:pt>
                <c:pt idx="101">
                  <c:v>14</c:v>
                </c:pt>
                <c:pt idx="102">
                  <c:v>0</c:v>
                </c:pt>
                <c:pt idx="103">
                  <c:v>0</c:v>
                </c:pt>
                <c:pt idx="104">
                  <c:v>1</c:v>
                </c:pt>
                <c:pt idx="105">
                  <c:v>2</c:v>
                </c:pt>
                <c:pt idx="106">
                  <c:v>0</c:v>
                </c:pt>
                <c:pt idx="107">
                  <c:v>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7-7060-4DDB-B9C7-5480CC3214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37411407"/>
        <c:axId val="1737410447"/>
        <c:extLst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S'!$A$2:$A$109</c:f>
              <c:numCache>
                <c:formatCode>m/d/yyyy</c:formatCode>
                <c:ptCount val="108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  <c:pt idx="22">
                  <c:v>46120</c:v>
                </c:pt>
                <c:pt idx="23">
                  <c:v>46121</c:v>
                </c:pt>
                <c:pt idx="24">
                  <c:v>46122</c:v>
                </c:pt>
                <c:pt idx="25">
                  <c:v>46123</c:v>
                </c:pt>
                <c:pt idx="26">
                  <c:v>46124</c:v>
                </c:pt>
                <c:pt idx="27">
                  <c:v>46125</c:v>
                </c:pt>
                <c:pt idx="28">
                  <c:v>46126</c:v>
                </c:pt>
                <c:pt idx="29">
                  <c:v>46127</c:v>
                </c:pt>
                <c:pt idx="30">
                  <c:v>46128</c:v>
                </c:pt>
                <c:pt idx="31">
                  <c:v>46129</c:v>
                </c:pt>
                <c:pt idx="32">
                  <c:v>46130</c:v>
                </c:pt>
                <c:pt idx="33">
                  <c:v>46131</c:v>
                </c:pt>
                <c:pt idx="34">
                  <c:v>46132</c:v>
                </c:pt>
                <c:pt idx="35">
                  <c:v>46133</c:v>
                </c:pt>
                <c:pt idx="36">
                  <c:v>46134</c:v>
                </c:pt>
                <c:pt idx="37">
                  <c:v>46135</c:v>
                </c:pt>
                <c:pt idx="38">
                  <c:v>46136</c:v>
                </c:pt>
                <c:pt idx="39">
                  <c:v>46137</c:v>
                </c:pt>
                <c:pt idx="40">
                  <c:v>46138</c:v>
                </c:pt>
                <c:pt idx="41">
                  <c:v>46139</c:v>
                </c:pt>
                <c:pt idx="42">
                  <c:v>46140</c:v>
                </c:pt>
                <c:pt idx="43">
                  <c:v>46141</c:v>
                </c:pt>
                <c:pt idx="44">
                  <c:v>46142</c:v>
                </c:pt>
                <c:pt idx="45">
                  <c:v>46143</c:v>
                </c:pt>
                <c:pt idx="46">
                  <c:v>46144</c:v>
                </c:pt>
                <c:pt idx="47">
                  <c:v>46145</c:v>
                </c:pt>
                <c:pt idx="48">
                  <c:v>46146</c:v>
                </c:pt>
                <c:pt idx="49">
                  <c:v>46147</c:v>
                </c:pt>
                <c:pt idx="50">
                  <c:v>46148</c:v>
                </c:pt>
                <c:pt idx="51">
                  <c:v>46149</c:v>
                </c:pt>
                <c:pt idx="52">
                  <c:v>46150</c:v>
                </c:pt>
                <c:pt idx="53">
                  <c:v>46151</c:v>
                </c:pt>
                <c:pt idx="54">
                  <c:v>46152</c:v>
                </c:pt>
                <c:pt idx="55">
                  <c:v>46153</c:v>
                </c:pt>
                <c:pt idx="56">
                  <c:v>46154</c:v>
                </c:pt>
                <c:pt idx="57">
                  <c:v>46155</c:v>
                </c:pt>
                <c:pt idx="58">
                  <c:v>46156</c:v>
                </c:pt>
                <c:pt idx="59">
                  <c:v>46157</c:v>
                </c:pt>
                <c:pt idx="60">
                  <c:v>46158</c:v>
                </c:pt>
                <c:pt idx="61">
                  <c:v>46159</c:v>
                </c:pt>
                <c:pt idx="62">
                  <c:v>46160</c:v>
                </c:pt>
                <c:pt idx="63">
                  <c:v>46161</c:v>
                </c:pt>
                <c:pt idx="64">
                  <c:v>46162</c:v>
                </c:pt>
                <c:pt idx="65">
                  <c:v>46163</c:v>
                </c:pt>
                <c:pt idx="66">
                  <c:v>46164</c:v>
                </c:pt>
                <c:pt idx="67">
                  <c:v>46165</c:v>
                </c:pt>
                <c:pt idx="68">
                  <c:v>46166</c:v>
                </c:pt>
                <c:pt idx="69">
                  <c:v>46167</c:v>
                </c:pt>
                <c:pt idx="70">
                  <c:v>46168</c:v>
                </c:pt>
                <c:pt idx="71">
                  <c:v>46169</c:v>
                </c:pt>
                <c:pt idx="72">
                  <c:v>46170</c:v>
                </c:pt>
                <c:pt idx="73">
                  <c:v>46171</c:v>
                </c:pt>
                <c:pt idx="74">
                  <c:v>46172</c:v>
                </c:pt>
                <c:pt idx="75">
                  <c:v>46173</c:v>
                </c:pt>
                <c:pt idx="76">
                  <c:v>46174</c:v>
                </c:pt>
                <c:pt idx="77">
                  <c:v>46175</c:v>
                </c:pt>
                <c:pt idx="78">
                  <c:v>46176</c:v>
                </c:pt>
                <c:pt idx="79">
                  <c:v>46177</c:v>
                </c:pt>
                <c:pt idx="80">
                  <c:v>46178</c:v>
                </c:pt>
                <c:pt idx="81">
                  <c:v>46179</c:v>
                </c:pt>
                <c:pt idx="82">
                  <c:v>46180</c:v>
                </c:pt>
                <c:pt idx="83">
                  <c:v>46181</c:v>
                </c:pt>
                <c:pt idx="84">
                  <c:v>46182</c:v>
                </c:pt>
                <c:pt idx="85">
                  <c:v>46183</c:v>
                </c:pt>
                <c:pt idx="86">
                  <c:v>46184</c:v>
                </c:pt>
                <c:pt idx="87">
                  <c:v>46185</c:v>
                </c:pt>
                <c:pt idx="88">
                  <c:v>46186</c:v>
                </c:pt>
                <c:pt idx="89">
                  <c:v>46187</c:v>
                </c:pt>
                <c:pt idx="90">
                  <c:v>46188</c:v>
                </c:pt>
                <c:pt idx="91">
                  <c:v>46189</c:v>
                </c:pt>
                <c:pt idx="92">
                  <c:v>46190</c:v>
                </c:pt>
                <c:pt idx="93">
                  <c:v>46191</c:v>
                </c:pt>
                <c:pt idx="94">
                  <c:v>46192</c:v>
                </c:pt>
                <c:pt idx="95">
                  <c:v>46193</c:v>
                </c:pt>
                <c:pt idx="96">
                  <c:v>46194</c:v>
                </c:pt>
                <c:pt idx="97">
                  <c:v>46195</c:v>
                </c:pt>
                <c:pt idx="98">
                  <c:v>46196</c:v>
                </c:pt>
                <c:pt idx="99">
                  <c:v>46197</c:v>
                </c:pt>
                <c:pt idx="100">
                  <c:v>46198</c:v>
                </c:pt>
                <c:pt idx="101">
                  <c:v>46199</c:v>
                </c:pt>
                <c:pt idx="102">
                  <c:v>46200</c:v>
                </c:pt>
                <c:pt idx="103">
                  <c:v>46201</c:v>
                </c:pt>
                <c:pt idx="104">
                  <c:v>46202</c:v>
                </c:pt>
                <c:pt idx="105">
                  <c:v>46203</c:v>
                </c:pt>
                <c:pt idx="106">
                  <c:v>46204</c:v>
                </c:pt>
                <c:pt idx="107">
                  <c:v>46205</c:v>
                </c:pt>
              </c:numCache>
            </c:numRef>
          </c:cat>
          <c:val>
            <c:numRef>
              <c:f>'Curva S'!$C$2:$C$109</c:f>
              <c:numCache>
                <c:formatCode>General</c:formatCode>
                <c:ptCount val="108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14</c:v>
                </c:pt>
                <c:pt idx="6">
                  <c:v>14</c:v>
                </c:pt>
                <c:pt idx="7">
                  <c:v>14</c:v>
                </c:pt>
                <c:pt idx="8">
                  <c:v>14</c:v>
                </c:pt>
                <c:pt idx="9">
                  <c:v>14</c:v>
                </c:pt>
                <c:pt idx="10">
                  <c:v>16</c:v>
                </c:pt>
                <c:pt idx="11">
                  <c:v>17</c:v>
                </c:pt>
                <c:pt idx="12">
                  <c:v>19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19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23</c:v>
                </c:pt>
                <c:pt idx="21">
                  <c:v>27</c:v>
                </c:pt>
                <c:pt idx="22">
                  <c:v>27</c:v>
                </c:pt>
                <c:pt idx="23">
                  <c:v>27</c:v>
                </c:pt>
                <c:pt idx="24">
                  <c:v>31</c:v>
                </c:pt>
                <c:pt idx="25">
                  <c:v>37</c:v>
                </c:pt>
                <c:pt idx="26">
                  <c:v>39</c:v>
                </c:pt>
                <c:pt idx="27">
                  <c:v>41</c:v>
                </c:pt>
                <c:pt idx="28">
                  <c:v>46</c:v>
                </c:pt>
                <c:pt idx="29">
                  <c:v>46</c:v>
                </c:pt>
                <c:pt idx="30">
                  <c:v>46</c:v>
                </c:pt>
                <c:pt idx="31">
                  <c:v>46</c:v>
                </c:pt>
                <c:pt idx="32">
                  <c:v>46</c:v>
                </c:pt>
                <c:pt idx="33">
                  <c:v>47</c:v>
                </c:pt>
                <c:pt idx="34">
                  <c:v>50</c:v>
                </c:pt>
                <c:pt idx="35">
                  <c:v>51</c:v>
                </c:pt>
                <c:pt idx="36">
                  <c:v>51</c:v>
                </c:pt>
                <c:pt idx="37">
                  <c:v>51</c:v>
                </c:pt>
                <c:pt idx="38">
                  <c:v>54</c:v>
                </c:pt>
                <c:pt idx="39">
                  <c:v>55</c:v>
                </c:pt>
                <c:pt idx="40">
                  <c:v>55</c:v>
                </c:pt>
                <c:pt idx="41">
                  <c:v>57</c:v>
                </c:pt>
                <c:pt idx="42">
                  <c:v>57</c:v>
                </c:pt>
                <c:pt idx="43">
                  <c:v>57</c:v>
                </c:pt>
                <c:pt idx="44">
                  <c:v>57</c:v>
                </c:pt>
                <c:pt idx="45">
                  <c:v>62</c:v>
                </c:pt>
                <c:pt idx="46">
                  <c:v>63</c:v>
                </c:pt>
                <c:pt idx="47">
                  <c:v>64</c:v>
                </c:pt>
                <c:pt idx="48">
                  <c:v>67</c:v>
                </c:pt>
                <c:pt idx="49">
                  <c:v>75</c:v>
                </c:pt>
                <c:pt idx="50">
                  <c:v>75</c:v>
                </c:pt>
                <c:pt idx="51">
                  <c:v>75</c:v>
                </c:pt>
                <c:pt idx="52">
                  <c:v>77</c:v>
                </c:pt>
                <c:pt idx="53">
                  <c:v>78</c:v>
                </c:pt>
                <c:pt idx="54">
                  <c:v>81</c:v>
                </c:pt>
                <c:pt idx="55">
                  <c:v>97</c:v>
                </c:pt>
                <c:pt idx="56">
                  <c:v>101</c:v>
                </c:pt>
                <c:pt idx="57">
                  <c:v>101</c:v>
                </c:pt>
                <c:pt idx="58">
                  <c:v>101</c:v>
                </c:pt>
                <c:pt idx="59">
                  <c:v>103</c:v>
                </c:pt>
                <c:pt idx="60">
                  <c:v>105</c:v>
                </c:pt>
                <c:pt idx="61">
                  <c:v>110</c:v>
                </c:pt>
                <c:pt idx="62">
                  <c:v>114</c:v>
                </c:pt>
                <c:pt idx="63">
                  <c:v>128</c:v>
                </c:pt>
                <c:pt idx="64">
                  <c:v>128</c:v>
                </c:pt>
                <c:pt idx="65">
                  <c:v>128</c:v>
                </c:pt>
                <c:pt idx="66">
                  <c:v>132</c:v>
                </c:pt>
                <c:pt idx="67">
                  <c:v>144</c:v>
                </c:pt>
                <c:pt idx="68">
                  <c:v>152</c:v>
                </c:pt>
                <c:pt idx="69">
                  <c:v>154</c:v>
                </c:pt>
                <c:pt idx="70">
                  <c:v>156</c:v>
                </c:pt>
                <c:pt idx="71">
                  <c:v>156</c:v>
                </c:pt>
                <c:pt idx="72">
                  <c:v>156</c:v>
                </c:pt>
                <c:pt idx="73">
                  <c:v>157</c:v>
                </c:pt>
                <c:pt idx="74">
                  <c:v>172</c:v>
                </c:pt>
                <c:pt idx="75">
                  <c:v>179</c:v>
                </c:pt>
                <c:pt idx="76">
                  <c:v>179</c:v>
                </c:pt>
                <c:pt idx="77">
                  <c:v>179</c:v>
                </c:pt>
                <c:pt idx="78">
                  <c:v>179</c:v>
                </c:pt>
                <c:pt idx="79">
                  <c:v>179</c:v>
                </c:pt>
                <c:pt idx="80">
                  <c:v>189</c:v>
                </c:pt>
                <c:pt idx="81">
                  <c:v>192</c:v>
                </c:pt>
                <c:pt idx="82">
                  <c:v>195</c:v>
                </c:pt>
                <c:pt idx="83">
                  <c:v>196</c:v>
                </c:pt>
                <c:pt idx="84">
                  <c:v>200</c:v>
                </c:pt>
                <c:pt idx="85">
                  <c:v>200</c:v>
                </c:pt>
                <c:pt idx="86">
                  <c:v>200</c:v>
                </c:pt>
                <c:pt idx="87">
                  <c:v>202</c:v>
                </c:pt>
                <c:pt idx="88">
                  <c:v>208</c:v>
                </c:pt>
                <c:pt idx="89">
                  <c:v>230</c:v>
                </c:pt>
                <c:pt idx="90">
                  <c:v>233</c:v>
                </c:pt>
                <c:pt idx="91">
                  <c:v>261</c:v>
                </c:pt>
                <c:pt idx="92">
                  <c:v>261</c:v>
                </c:pt>
                <c:pt idx="93">
                  <c:v>261</c:v>
                </c:pt>
                <c:pt idx="94">
                  <c:v>264</c:v>
                </c:pt>
                <c:pt idx="95">
                  <c:v>268</c:v>
                </c:pt>
                <c:pt idx="96">
                  <c:v>268</c:v>
                </c:pt>
                <c:pt idx="97">
                  <c:v>268</c:v>
                </c:pt>
                <c:pt idx="98">
                  <c:v>268</c:v>
                </c:pt>
                <c:pt idx="99">
                  <c:v>268</c:v>
                </c:pt>
                <c:pt idx="100">
                  <c:v>268</c:v>
                </c:pt>
                <c:pt idx="101">
                  <c:v>268</c:v>
                </c:pt>
                <c:pt idx="102">
                  <c:v>268</c:v>
                </c:pt>
                <c:pt idx="103">
                  <c:v>268</c:v>
                </c:pt>
                <c:pt idx="104">
                  <c:v>268</c:v>
                </c:pt>
                <c:pt idx="105">
                  <c:v>268</c:v>
                </c:pt>
                <c:pt idx="106">
                  <c:v>268</c:v>
                </c:pt>
                <c:pt idx="107">
                  <c:v>268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7060-4DDB-B9C7-5480CC3214BE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4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'Curva S'!$A$2:$A$109</c:f>
              <c:numCache>
                <c:formatCode>m/d/yyyy</c:formatCode>
                <c:ptCount val="108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  <c:pt idx="22">
                  <c:v>46120</c:v>
                </c:pt>
                <c:pt idx="23">
                  <c:v>46121</c:v>
                </c:pt>
                <c:pt idx="24">
                  <c:v>46122</c:v>
                </c:pt>
                <c:pt idx="25">
                  <c:v>46123</c:v>
                </c:pt>
                <c:pt idx="26">
                  <c:v>46124</c:v>
                </c:pt>
                <c:pt idx="27">
                  <c:v>46125</c:v>
                </c:pt>
                <c:pt idx="28">
                  <c:v>46126</c:v>
                </c:pt>
                <c:pt idx="29">
                  <c:v>46127</c:v>
                </c:pt>
                <c:pt idx="30">
                  <c:v>46128</c:v>
                </c:pt>
                <c:pt idx="31">
                  <c:v>46129</c:v>
                </c:pt>
                <c:pt idx="32">
                  <c:v>46130</c:v>
                </c:pt>
                <c:pt idx="33">
                  <c:v>46131</c:v>
                </c:pt>
                <c:pt idx="34">
                  <c:v>46132</c:v>
                </c:pt>
                <c:pt idx="35">
                  <c:v>46133</c:v>
                </c:pt>
                <c:pt idx="36">
                  <c:v>46134</c:v>
                </c:pt>
                <c:pt idx="37">
                  <c:v>46135</c:v>
                </c:pt>
                <c:pt idx="38">
                  <c:v>46136</c:v>
                </c:pt>
                <c:pt idx="39">
                  <c:v>46137</c:v>
                </c:pt>
                <c:pt idx="40">
                  <c:v>46138</c:v>
                </c:pt>
                <c:pt idx="41">
                  <c:v>46139</c:v>
                </c:pt>
                <c:pt idx="42">
                  <c:v>46140</c:v>
                </c:pt>
                <c:pt idx="43">
                  <c:v>46141</c:v>
                </c:pt>
                <c:pt idx="44">
                  <c:v>46142</c:v>
                </c:pt>
                <c:pt idx="45">
                  <c:v>46143</c:v>
                </c:pt>
                <c:pt idx="46">
                  <c:v>46144</c:v>
                </c:pt>
                <c:pt idx="47">
                  <c:v>46145</c:v>
                </c:pt>
                <c:pt idx="48">
                  <c:v>46146</c:v>
                </c:pt>
                <c:pt idx="49">
                  <c:v>46147</c:v>
                </c:pt>
                <c:pt idx="50">
                  <c:v>46148</c:v>
                </c:pt>
                <c:pt idx="51">
                  <c:v>46149</c:v>
                </c:pt>
                <c:pt idx="52">
                  <c:v>46150</c:v>
                </c:pt>
                <c:pt idx="53">
                  <c:v>46151</c:v>
                </c:pt>
                <c:pt idx="54">
                  <c:v>46152</c:v>
                </c:pt>
                <c:pt idx="55">
                  <c:v>46153</c:v>
                </c:pt>
                <c:pt idx="56">
                  <c:v>46154</c:v>
                </c:pt>
                <c:pt idx="57">
                  <c:v>46155</c:v>
                </c:pt>
                <c:pt idx="58">
                  <c:v>46156</c:v>
                </c:pt>
                <c:pt idx="59">
                  <c:v>46157</c:v>
                </c:pt>
                <c:pt idx="60">
                  <c:v>46158</c:v>
                </c:pt>
                <c:pt idx="61">
                  <c:v>46159</c:v>
                </c:pt>
                <c:pt idx="62">
                  <c:v>46160</c:v>
                </c:pt>
                <c:pt idx="63">
                  <c:v>46161</c:v>
                </c:pt>
                <c:pt idx="64">
                  <c:v>46162</c:v>
                </c:pt>
                <c:pt idx="65">
                  <c:v>46163</c:v>
                </c:pt>
                <c:pt idx="66">
                  <c:v>46164</c:v>
                </c:pt>
                <c:pt idx="67">
                  <c:v>46165</c:v>
                </c:pt>
                <c:pt idx="68">
                  <c:v>46166</c:v>
                </c:pt>
                <c:pt idx="69">
                  <c:v>46167</c:v>
                </c:pt>
                <c:pt idx="70">
                  <c:v>46168</c:v>
                </c:pt>
                <c:pt idx="71">
                  <c:v>46169</c:v>
                </c:pt>
                <c:pt idx="72">
                  <c:v>46170</c:v>
                </c:pt>
                <c:pt idx="73">
                  <c:v>46171</c:v>
                </c:pt>
                <c:pt idx="74">
                  <c:v>46172</c:v>
                </c:pt>
                <c:pt idx="75">
                  <c:v>46173</c:v>
                </c:pt>
                <c:pt idx="76">
                  <c:v>46174</c:v>
                </c:pt>
                <c:pt idx="77">
                  <c:v>46175</c:v>
                </c:pt>
                <c:pt idx="78">
                  <c:v>46176</c:v>
                </c:pt>
                <c:pt idx="79">
                  <c:v>46177</c:v>
                </c:pt>
                <c:pt idx="80">
                  <c:v>46178</c:v>
                </c:pt>
                <c:pt idx="81">
                  <c:v>46179</c:v>
                </c:pt>
                <c:pt idx="82">
                  <c:v>46180</c:v>
                </c:pt>
                <c:pt idx="83">
                  <c:v>46181</c:v>
                </c:pt>
                <c:pt idx="84">
                  <c:v>46182</c:v>
                </c:pt>
                <c:pt idx="85">
                  <c:v>46183</c:v>
                </c:pt>
                <c:pt idx="86">
                  <c:v>46184</c:v>
                </c:pt>
                <c:pt idx="87">
                  <c:v>46185</c:v>
                </c:pt>
                <c:pt idx="88">
                  <c:v>46186</c:v>
                </c:pt>
                <c:pt idx="89">
                  <c:v>46187</c:v>
                </c:pt>
                <c:pt idx="90">
                  <c:v>46188</c:v>
                </c:pt>
                <c:pt idx="91">
                  <c:v>46189</c:v>
                </c:pt>
                <c:pt idx="92">
                  <c:v>46190</c:v>
                </c:pt>
                <c:pt idx="93">
                  <c:v>46191</c:v>
                </c:pt>
                <c:pt idx="94">
                  <c:v>46192</c:v>
                </c:pt>
                <c:pt idx="95">
                  <c:v>46193</c:v>
                </c:pt>
                <c:pt idx="96">
                  <c:v>46194</c:v>
                </c:pt>
                <c:pt idx="97">
                  <c:v>46195</c:v>
                </c:pt>
                <c:pt idx="98">
                  <c:v>46196</c:v>
                </c:pt>
                <c:pt idx="99">
                  <c:v>46197</c:v>
                </c:pt>
                <c:pt idx="100">
                  <c:v>46198</c:v>
                </c:pt>
                <c:pt idx="101">
                  <c:v>46199</c:v>
                </c:pt>
                <c:pt idx="102">
                  <c:v>46200</c:v>
                </c:pt>
                <c:pt idx="103">
                  <c:v>46201</c:v>
                </c:pt>
                <c:pt idx="104">
                  <c:v>46202</c:v>
                </c:pt>
                <c:pt idx="105">
                  <c:v>46203</c:v>
                </c:pt>
                <c:pt idx="106">
                  <c:v>46204</c:v>
                </c:pt>
                <c:pt idx="107">
                  <c:v>46205</c:v>
                </c:pt>
              </c:numCache>
            </c:numRef>
          </c:cat>
          <c:val>
            <c:numRef>
              <c:f>'Curva S'!$E$2:$E$109</c:f>
              <c:numCache>
                <c:formatCode>General</c:formatCode>
                <c:ptCount val="10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8</c:v>
                </c:pt>
                <c:pt idx="7">
                  <c:v>10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13</c:v>
                </c:pt>
                <c:pt idx="15">
                  <c:v>13</c:v>
                </c:pt>
                <c:pt idx="16">
                  <c:v>13</c:v>
                </c:pt>
                <c:pt idx="17">
                  <c:v>13</c:v>
                </c:pt>
                <c:pt idx="18">
                  <c:v>13</c:v>
                </c:pt>
                <c:pt idx="19">
                  <c:v>13</c:v>
                </c:pt>
                <c:pt idx="20">
                  <c:v>13</c:v>
                </c:pt>
                <c:pt idx="21">
                  <c:v>14</c:v>
                </c:pt>
                <c:pt idx="22">
                  <c:v>15</c:v>
                </c:pt>
                <c:pt idx="23">
                  <c:v>17</c:v>
                </c:pt>
                <c:pt idx="24">
                  <c:v>22</c:v>
                </c:pt>
                <c:pt idx="25">
                  <c:v>22</c:v>
                </c:pt>
                <c:pt idx="26">
                  <c:v>22</c:v>
                </c:pt>
                <c:pt idx="27">
                  <c:v>27</c:v>
                </c:pt>
                <c:pt idx="28">
                  <c:v>33</c:v>
                </c:pt>
                <c:pt idx="29">
                  <c:v>36</c:v>
                </c:pt>
                <c:pt idx="30">
                  <c:v>38</c:v>
                </c:pt>
                <c:pt idx="31">
                  <c:v>43</c:v>
                </c:pt>
                <c:pt idx="32">
                  <c:v>43</c:v>
                </c:pt>
                <c:pt idx="33">
                  <c:v>43</c:v>
                </c:pt>
                <c:pt idx="34">
                  <c:v>43</c:v>
                </c:pt>
                <c:pt idx="35">
                  <c:v>43</c:v>
                </c:pt>
                <c:pt idx="36">
                  <c:v>44</c:v>
                </c:pt>
                <c:pt idx="37">
                  <c:v>47</c:v>
                </c:pt>
                <c:pt idx="38">
                  <c:v>48</c:v>
                </c:pt>
                <c:pt idx="39">
                  <c:v>48</c:v>
                </c:pt>
                <c:pt idx="40">
                  <c:v>48</c:v>
                </c:pt>
                <c:pt idx="41">
                  <c:v>51</c:v>
                </c:pt>
                <c:pt idx="42">
                  <c:v>52</c:v>
                </c:pt>
                <c:pt idx="43">
                  <c:v>52</c:v>
                </c:pt>
                <c:pt idx="44">
                  <c:v>54</c:v>
                </c:pt>
                <c:pt idx="45">
                  <c:v>54</c:v>
                </c:pt>
                <c:pt idx="46">
                  <c:v>54</c:v>
                </c:pt>
                <c:pt idx="47">
                  <c:v>54</c:v>
                </c:pt>
                <c:pt idx="48">
                  <c:v>60</c:v>
                </c:pt>
                <c:pt idx="49">
                  <c:v>61</c:v>
                </c:pt>
                <c:pt idx="50">
                  <c:v>62</c:v>
                </c:pt>
                <c:pt idx="51">
                  <c:v>65</c:v>
                </c:pt>
                <c:pt idx="52">
                  <c:v>76</c:v>
                </c:pt>
                <c:pt idx="53">
                  <c:v>76</c:v>
                </c:pt>
                <c:pt idx="54">
                  <c:v>76</c:v>
                </c:pt>
                <c:pt idx="55">
                  <c:v>78</c:v>
                </c:pt>
                <c:pt idx="56">
                  <c:v>79</c:v>
                </c:pt>
                <c:pt idx="57">
                  <c:v>82</c:v>
                </c:pt>
                <c:pt idx="58">
                  <c:v>104</c:v>
                </c:pt>
                <c:pt idx="59">
                  <c:v>109</c:v>
                </c:pt>
                <c:pt idx="60">
                  <c:v>109</c:v>
                </c:pt>
                <c:pt idx="61">
                  <c:v>109</c:v>
                </c:pt>
                <c:pt idx="62">
                  <c:v>111</c:v>
                </c:pt>
                <c:pt idx="63">
                  <c:v>115</c:v>
                </c:pt>
                <c:pt idx="64">
                  <c:v>119</c:v>
                </c:pt>
                <c:pt idx="65">
                  <c:v>123</c:v>
                </c:pt>
                <c:pt idx="66">
                  <c:v>136</c:v>
                </c:pt>
                <c:pt idx="67">
                  <c:v>136</c:v>
                </c:pt>
                <c:pt idx="68">
                  <c:v>136</c:v>
                </c:pt>
                <c:pt idx="69">
                  <c:v>142</c:v>
                </c:pt>
                <c:pt idx="70">
                  <c:v>155</c:v>
                </c:pt>
                <c:pt idx="71">
                  <c:v>163</c:v>
                </c:pt>
                <c:pt idx="72">
                  <c:v>164</c:v>
                </c:pt>
                <c:pt idx="73">
                  <c:v>166</c:v>
                </c:pt>
                <c:pt idx="74">
                  <c:v>166</c:v>
                </c:pt>
                <c:pt idx="75">
                  <c:v>166</c:v>
                </c:pt>
                <c:pt idx="76">
                  <c:v>167</c:v>
                </c:pt>
                <c:pt idx="77">
                  <c:v>185</c:v>
                </c:pt>
                <c:pt idx="78">
                  <c:v>192</c:v>
                </c:pt>
                <c:pt idx="79">
                  <c:v>192</c:v>
                </c:pt>
                <c:pt idx="80">
                  <c:v>192</c:v>
                </c:pt>
                <c:pt idx="81">
                  <c:v>192</c:v>
                </c:pt>
                <c:pt idx="82">
                  <c:v>192</c:v>
                </c:pt>
                <c:pt idx="83">
                  <c:v>203</c:v>
                </c:pt>
                <c:pt idx="84">
                  <c:v>206</c:v>
                </c:pt>
                <c:pt idx="85">
                  <c:v>209</c:v>
                </c:pt>
                <c:pt idx="86">
                  <c:v>209</c:v>
                </c:pt>
                <c:pt idx="87">
                  <c:v>217</c:v>
                </c:pt>
                <c:pt idx="88">
                  <c:v>217</c:v>
                </c:pt>
                <c:pt idx="89">
                  <c:v>217</c:v>
                </c:pt>
                <c:pt idx="90">
                  <c:v>220</c:v>
                </c:pt>
                <c:pt idx="91">
                  <c:v>222</c:v>
                </c:pt>
                <c:pt idx="92">
                  <c:v>231</c:v>
                </c:pt>
                <c:pt idx="93">
                  <c:v>234</c:v>
                </c:pt>
                <c:pt idx="94">
                  <c:v>248</c:v>
                </c:pt>
                <c:pt idx="95">
                  <c:v>248</c:v>
                </c:pt>
                <c:pt idx="96">
                  <c:v>248</c:v>
                </c:pt>
                <c:pt idx="97">
                  <c:v>256</c:v>
                </c:pt>
                <c:pt idx="98">
                  <c:v>265</c:v>
                </c:pt>
                <c:pt idx="99">
                  <c:v>265</c:v>
                </c:pt>
                <c:pt idx="100">
                  <c:v>265</c:v>
                </c:pt>
                <c:pt idx="101">
                  <c:v>266</c:v>
                </c:pt>
                <c:pt idx="102">
                  <c:v>266</c:v>
                </c:pt>
                <c:pt idx="103">
                  <c:v>266</c:v>
                </c:pt>
                <c:pt idx="104">
                  <c:v>266</c:v>
                </c:pt>
                <c:pt idx="105">
                  <c:v>267</c:v>
                </c:pt>
                <c:pt idx="106">
                  <c:v>267</c:v>
                </c:pt>
                <c:pt idx="107">
                  <c:v>267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7060-4DDB-B9C7-5480CC3214BE}"/>
            </c:ext>
          </c:extLst>
        </c:ser>
        <c:ser>
          <c:idx val="6"/>
          <c:order val="6"/>
          <c:tx>
            <c:strRef>
              <c:f>'Curva S'!$H$1</c:f>
              <c:strCache>
                <c:ptCount val="1"/>
                <c:pt idx="0">
                  <c:v>Aprovação prevista na LB acumulada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S'!$A$2:$A$109</c:f>
              <c:numCache>
                <c:formatCode>m/d/yyyy</c:formatCode>
                <c:ptCount val="108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  <c:pt idx="22">
                  <c:v>46120</c:v>
                </c:pt>
                <c:pt idx="23">
                  <c:v>46121</c:v>
                </c:pt>
                <c:pt idx="24">
                  <c:v>46122</c:v>
                </c:pt>
                <c:pt idx="25">
                  <c:v>46123</c:v>
                </c:pt>
                <c:pt idx="26">
                  <c:v>46124</c:v>
                </c:pt>
                <c:pt idx="27">
                  <c:v>46125</c:v>
                </c:pt>
                <c:pt idx="28">
                  <c:v>46126</c:v>
                </c:pt>
                <c:pt idx="29">
                  <c:v>46127</c:v>
                </c:pt>
                <c:pt idx="30">
                  <c:v>46128</c:v>
                </c:pt>
                <c:pt idx="31">
                  <c:v>46129</c:v>
                </c:pt>
                <c:pt idx="32">
                  <c:v>46130</c:v>
                </c:pt>
                <c:pt idx="33">
                  <c:v>46131</c:v>
                </c:pt>
                <c:pt idx="34">
                  <c:v>46132</c:v>
                </c:pt>
                <c:pt idx="35">
                  <c:v>46133</c:v>
                </c:pt>
                <c:pt idx="36">
                  <c:v>46134</c:v>
                </c:pt>
                <c:pt idx="37">
                  <c:v>46135</c:v>
                </c:pt>
                <c:pt idx="38">
                  <c:v>46136</c:v>
                </c:pt>
                <c:pt idx="39">
                  <c:v>46137</c:v>
                </c:pt>
                <c:pt idx="40">
                  <c:v>46138</c:v>
                </c:pt>
                <c:pt idx="41">
                  <c:v>46139</c:v>
                </c:pt>
                <c:pt idx="42">
                  <c:v>46140</c:v>
                </c:pt>
                <c:pt idx="43">
                  <c:v>46141</c:v>
                </c:pt>
                <c:pt idx="44">
                  <c:v>46142</c:v>
                </c:pt>
                <c:pt idx="45">
                  <c:v>46143</c:v>
                </c:pt>
                <c:pt idx="46">
                  <c:v>46144</c:v>
                </c:pt>
                <c:pt idx="47">
                  <c:v>46145</c:v>
                </c:pt>
                <c:pt idx="48">
                  <c:v>46146</c:v>
                </c:pt>
                <c:pt idx="49">
                  <c:v>46147</c:v>
                </c:pt>
                <c:pt idx="50">
                  <c:v>46148</c:v>
                </c:pt>
                <c:pt idx="51">
                  <c:v>46149</c:v>
                </c:pt>
                <c:pt idx="52">
                  <c:v>46150</c:v>
                </c:pt>
                <c:pt idx="53">
                  <c:v>46151</c:v>
                </c:pt>
                <c:pt idx="54">
                  <c:v>46152</c:v>
                </c:pt>
                <c:pt idx="55">
                  <c:v>46153</c:v>
                </c:pt>
                <c:pt idx="56">
                  <c:v>46154</c:v>
                </c:pt>
                <c:pt idx="57">
                  <c:v>46155</c:v>
                </c:pt>
                <c:pt idx="58">
                  <c:v>46156</c:v>
                </c:pt>
                <c:pt idx="59">
                  <c:v>46157</c:v>
                </c:pt>
                <c:pt idx="60">
                  <c:v>46158</c:v>
                </c:pt>
                <c:pt idx="61">
                  <c:v>46159</c:v>
                </c:pt>
                <c:pt idx="62">
                  <c:v>46160</c:v>
                </c:pt>
                <c:pt idx="63">
                  <c:v>46161</c:v>
                </c:pt>
                <c:pt idx="64">
                  <c:v>46162</c:v>
                </c:pt>
                <c:pt idx="65">
                  <c:v>46163</c:v>
                </c:pt>
                <c:pt idx="66">
                  <c:v>46164</c:v>
                </c:pt>
                <c:pt idx="67">
                  <c:v>46165</c:v>
                </c:pt>
                <c:pt idx="68">
                  <c:v>46166</c:v>
                </c:pt>
                <c:pt idx="69">
                  <c:v>46167</c:v>
                </c:pt>
                <c:pt idx="70">
                  <c:v>46168</c:v>
                </c:pt>
                <c:pt idx="71">
                  <c:v>46169</c:v>
                </c:pt>
                <c:pt idx="72">
                  <c:v>46170</c:v>
                </c:pt>
                <c:pt idx="73">
                  <c:v>46171</c:v>
                </c:pt>
                <c:pt idx="74">
                  <c:v>46172</c:v>
                </c:pt>
                <c:pt idx="75">
                  <c:v>46173</c:v>
                </c:pt>
                <c:pt idx="76">
                  <c:v>46174</c:v>
                </c:pt>
                <c:pt idx="77">
                  <c:v>46175</c:v>
                </c:pt>
                <c:pt idx="78">
                  <c:v>46176</c:v>
                </c:pt>
                <c:pt idx="79">
                  <c:v>46177</c:v>
                </c:pt>
                <c:pt idx="80">
                  <c:v>46178</c:v>
                </c:pt>
                <c:pt idx="81">
                  <c:v>46179</c:v>
                </c:pt>
                <c:pt idx="82">
                  <c:v>46180</c:v>
                </c:pt>
                <c:pt idx="83">
                  <c:v>46181</c:v>
                </c:pt>
                <c:pt idx="84">
                  <c:v>46182</c:v>
                </c:pt>
                <c:pt idx="85">
                  <c:v>46183</c:v>
                </c:pt>
                <c:pt idx="86">
                  <c:v>46184</c:v>
                </c:pt>
                <c:pt idx="87">
                  <c:v>46185</c:v>
                </c:pt>
                <c:pt idx="88">
                  <c:v>46186</c:v>
                </c:pt>
                <c:pt idx="89">
                  <c:v>46187</c:v>
                </c:pt>
                <c:pt idx="90">
                  <c:v>46188</c:v>
                </c:pt>
                <c:pt idx="91">
                  <c:v>46189</c:v>
                </c:pt>
                <c:pt idx="92">
                  <c:v>46190</c:v>
                </c:pt>
                <c:pt idx="93">
                  <c:v>46191</c:v>
                </c:pt>
                <c:pt idx="94">
                  <c:v>46192</c:v>
                </c:pt>
                <c:pt idx="95">
                  <c:v>46193</c:v>
                </c:pt>
                <c:pt idx="96">
                  <c:v>46194</c:v>
                </c:pt>
                <c:pt idx="97">
                  <c:v>46195</c:v>
                </c:pt>
                <c:pt idx="98">
                  <c:v>46196</c:v>
                </c:pt>
                <c:pt idx="99">
                  <c:v>46197</c:v>
                </c:pt>
                <c:pt idx="100">
                  <c:v>46198</c:v>
                </c:pt>
                <c:pt idx="101">
                  <c:v>46199</c:v>
                </c:pt>
                <c:pt idx="102">
                  <c:v>46200</c:v>
                </c:pt>
                <c:pt idx="103">
                  <c:v>46201</c:v>
                </c:pt>
                <c:pt idx="104">
                  <c:v>46202</c:v>
                </c:pt>
                <c:pt idx="105">
                  <c:v>46203</c:v>
                </c:pt>
                <c:pt idx="106">
                  <c:v>46204</c:v>
                </c:pt>
                <c:pt idx="107">
                  <c:v>46205</c:v>
                </c:pt>
              </c:numCache>
            </c:numRef>
          </c:cat>
          <c:val>
            <c:numRef>
              <c:f>'Curva S'!$H$2:$H$109</c:f>
              <c:numCache>
                <c:formatCode>General</c:formatCode>
                <c:ptCount val="10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9</c:v>
                </c:pt>
                <c:pt idx="11">
                  <c:v>9</c:v>
                </c:pt>
                <c:pt idx="12">
                  <c:v>11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16</c:v>
                </c:pt>
                <c:pt idx="19">
                  <c:v>16</c:v>
                </c:pt>
                <c:pt idx="20">
                  <c:v>16</c:v>
                </c:pt>
                <c:pt idx="21">
                  <c:v>16</c:v>
                </c:pt>
                <c:pt idx="22">
                  <c:v>16</c:v>
                </c:pt>
                <c:pt idx="23">
                  <c:v>16</c:v>
                </c:pt>
                <c:pt idx="24">
                  <c:v>16</c:v>
                </c:pt>
                <c:pt idx="25">
                  <c:v>18</c:v>
                </c:pt>
                <c:pt idx="26">
                  <c:v>18</c:v>
                </c:pt>
                <c:pt idx="27">
                  <c:v>22</c:v>
                </c:pt>
                <c:pt idx="28">
                  <c:v>23</c:v>
                </c:pt>
                <c:pt idx="29">
                  <c:v>23</c:v>
                </c:pt>
                <c:pt idx="30">
                  <c:v>23</c:v>
                </c:pt>
                <c:pt idx="31">
                  <c:v>23</c:v>
                </c:pt>
                <c:pt idx="32">
                  <c:v>23</c:v>
                </c:pt>
                <c:pt idx="33">
                  <c:v>23</c:v>
                </c:pt>
                <c:pt idx="34">
                  <c:v>24</c:v>
                </c:pt>
                <c:pt idx="35">
                  <c:v>24</c:v>
                </c:pt>
                <c:pt idx="36">
                  <c:v>24</c:v>
                </c:pt>
                <c:pt idx="37">
                  <c:v>24</c:v>
                </c:pt>
                <c:pt idx="38">
                  <c:v>25</c:v>
                </c:pt>
                <c:pt idx="39">
                  <c:v>25</c:v>
                </c:pt>
                <c:pt idx="40">
                  <c:v>25</c:v>
                </c:pt>
                <c:pt idx="41">
                  <c:v>25</c:v>
                </c:pt>
                <c:pt idx="42">
                  <c:v>25</c:v>
                </c:pt>
                <c:pt idx="43">
                  <c:v>25</c:v>
                </c:pt>
                <c:pt idx="44">
                  <c:v>25</c:v>
                </c:pt>
                <c:pt idx="45">
                  <c:v>26</c:v>
                </c:pt>
                <c:pt idx="46">
                  <c:v>29</c:v>
                </c:pt>
                <c:pt idx="47">
                  <c:v>37</c:v>
                </c:pt>
                <c:pt idx="48">
                  <c:v>37</c:v>
                </c:pt>
                <c:pt idx="49">
                  <c:v>42</c:v>
                </c:pt>
                <c:pt idx="50">
                  <c:v>42</c:v>
                </c:pt>
                <c:pt idx="51">
                  <c:v>42</c:v>
                </c:pt>
                <c:pt idx="52">
                  <c:v>43</c:v>
                </c:pt>
                <c:pt idx="53">
                  <c:v>46</c:v>
                </c:pt>
                <c:pt idx="54">
                  <c:v>47</c:v>
                </c:pt>
                <c:pt idx="55">
                  <c:v>58</c:v>
                </c:pt>
                <c:pt idx="56">
                  <c:v>62</c:v>
                </c:pt>
                <c:pt idx="57">
                  <c:v>62</c:v>
                </c:pt>
                <c:pt idx="58">
                  <c:v>62</c:v>
                </c:pt>
                <c:pt idx="59">
                  <c:v>62</c:v>
                </c:pt>
                <c:pt idx="60">
                  <c:v>62</c:v>
                </c:pt>
                <c:pt idx="61">
                  <c:v>66</c:v>
                </c:pt>
                <c:pt idx="62">
                  <c:v>67</c:v>
                </c:pt>
                <c:pt idx="63">
                  <c:v>76</c:v>
                </c:pt>
                <c:pt idx="64">
                  <c:v>76</c:v>
                </c:pt>
                <c:pt idx="65">
                  <c:v>76</c:v>
                </c:pt>
                <c:pt idx="66">
                  <c:v>85</c:v>
                </c:pt>
                <c:pt idx="67">
                  <c:v>94</c:v>
                </c:pt>
                <c:pt idx="68">
                  <c:v>98</c:v>
                </c:pt>
                <c:pt idx="69">
                  <c:v>104</c:v>
                </c:pt>
                <c:pt idx="70">
                  <c:v>119</c:v>
                </c:pt>
                <c:pt idx="71">
                  <c:v>119</c:v>
                </c:pt>
                <c:pt idx="72">
                  <c:v>119</c:v>
                </c:pt>
                <c:pt idx="73">
                  <c:v>129</c:v>
                </c:pt>
                <c:pt idx="74">
                  <c:v>132</c:v>
                </c:pt>
                <c:pt idx="75">
                  <c:v>146</c:v>
                </c:pt>
                <c:pt idx="76">
                  <c:v>146</c:v>
                </c:pt>
                <c:pt idx="77">
                  <c:v>146</c:v>
                </c:pt>
                <c:pt idx="78">
                  <c:v>146</c:v>
                </c:pt>
                <c:pt idx="79">
                  <c:v>146</c:v>
                </c:pt>
                <c:pt idx="80">
                  <c:v>153</c:v>
                </c:pt>
                <c:pt idx="81">
                  <c:v>155</c:v>
                </c:pt>
                <c:pt idx="82">
                  <c:v>172</c:v>
                </c:pt>
                <c:pt idx="83">
                  <c:v>175</c:v>
                </c:pt>
                <c:pt idx="84">
                  <c:v>179</c:v>
                </c:pt>
                <c:pt idx="85">
                  <c:v>179</c:v>
                </c:pt>
                <c:pt idx="86">
                  <c:v>179</c:v>
                </c:pt>
                <c:pt idx="87">
                  <c:v>192</c:v>
                </c:pt>
                <c:pt idx="88">
                  <c:v>194</c:v>
                </c:pt>
                <c:pt idx="89">
                  <c:v>192</c:v>
                </c:pt>
                <c:pt idx="90">
                  <c:v>193</c:v>
                </c:pt>
                <c:pt idx="91">
                  <c:v>206</c:v>
                </c:pt>
                <c:pt idx="92">
                  <c:v>206</c:v>
                </c:pt>
                <c:pt idx="93">
                  <c:v>206</c:v>
                </c:pt>
                <c:pt idx="94">
                  <c:v>212</c:v>
                </c:pt>
                <c:pt idx="95">
                  <c:v>215</c:v>
                </c:pt>
                <c:pt idx="96">
                  <c:v>229</c:v>
                </c:pt>
                <c:pt idx="97">
                  <c:v>238</c:v>
                </c:pt>
                <c:pt idx="98">
                  <c:v>267</c:v>
                </c:pt>
                <c:pt idx="99">
                  <c:v>267</c:v>
                </c:pt>
                <c:pt idx="100">
                  <c:v>267</c:v>
                </c:pt>
                <c:pt idx="101">
                  <c:v>268</c:v>
                </c:pt>
                <c:pt idx="102">
                  <c:v>268</c:v>
                </c:pt>
                <c:pt idx="103">
                  <c:v>268</c:v>
                </c:pt>
                <c:pt idx="104">
                  <c:v>268</c:v>
                </c:pt>
                <c:pt idx="105">
                  <c:v>268</c:v>
                </c:pt>
                <c:pt idx="106">
                  <c:v>268</c:v>
                </c:pt>
                <c:pt idx="107">
                  <c:v>268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60-4DDB-B9C7-5480CC3214BE}"/>
            </c:ext>
          </c:extLst>
        </c:ser>
        <c:ser>
          <c:idx val="7"/>
          <c:order val="7"/>
          <c:tx>
            <c:strRef>
              <c:f>'Curva S'!$I$1</c:f>
              <c:strCache>
                <c:ptCount val="1"/>
                <c:pt idx="0">
                  <c:v>Aprovação realizada acumulada</c:v>
                </c:pt>
              </c:strCache>
            </c:strRef>
          </c:tx>
          <c:spPr>
            <a:ln w="28575" cap="rnd">
              <a:solidFill>
                <a:srgbClr val="FF993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9933"/>
              </a:solidFill>
              <a:ln w="9525">
                <a:solidFill>
                  <a:srgbClr val="FF9933"/>
                </a:solidFill>
              </a:ln>
              <a:effectLst/>
            </c:spPr>
          </c:marker>
          <c:cat>
            <c:numRef>
              <c:f>'Curva S'!$A$2:$A$109</c:f>
              <c:numCache>
                <c:formatCode>m/d/yyyy</c:formatCode>
                <c:ptCount val="108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  <c:pt idx="22">
                  <c:v>46120</c:v>
                </c:pt>
                <c:pt idx="23">
                  <c:v>46121</c:v>
                </c:pt>
                <c:pt idx="24">
                  <c:v>46122</c:v>
                </c:pt>
                <c:pt idx="25">
                  <c:v>46123</c:v>
                </c:pt>
                <c:pt idx="26">
                  <c:v>46124</c:v>
                </c:pt>
                <c:pt idx="27">
                  <c:v>46125</c:v>
                </c:pt>
                <c:pt idx="28">
                  <c:v>46126</c:v>
                </c:pt>
                <c:pt idx="29">
                  <c:v>46127</c:v>
                </c:pt>
                <c:pt idx="30">
                  <c:v>46128</c:v>
                </c:pt>
                <c:pt idx="31">
                  <c:v>46129</c:v>
                </c:pt>
                <c:pt idx="32">
                  <c:v>46130</c:v>
                </c:pt>
                <c:pt idx="33">
                  <c:v>46131</c:v>
                </c:pt>
                <c:pt idx="34">
                  <c:v>46132</c:v>
                </c:pt>
                <c:pt idx="35">
                  <c:v>46133</c:v>
                </c:pt>
                <c:pt idx="36">
                  <c:v>46134</c:v>
                </c:pt>
                <c:pt idx="37">
                  <c:v>46135</c:v>
                </c:pt>
                <c:pt idx="38">
                  <c:v>46136</c:v>
                </c:pt>
                <c:pt idx="39">
                  <c:v>46137</c:v>
                </c:pt>
                <c:pt idx="40">
                  <c:v>46138</c:v>
                </c:pt>
                <c:pt idx="41">
                  <c:v>46139</c:v>
                </c:pt>
                <c:pt idx="42">
                  <c:v>46140</c:v>
                </c:pt>
                <c:pt idx="43">
                  <c:v>46141</c:v>
                </c:pt>
                <c:pt idx="44">
                  <c:v>46142</c:v>
                </c:pt>
                <c:pt idx="45">
                  <c:v>46143</c:v>
                </c:pt>
                <c:pt idx="46">
                  <c:v>46144</c:v>
                </c:pt>
                <c:pt idx="47">
                  <c:v>46145</c:v>
                </c:pt>
                <c:pt idx="48">
                  <c:v>46146</c:v>
                </c:pt>
                <c:pt idx="49">
                  <c:v>46147</c:v>
                </c:pt>
                <c:pt idx="50">
                  <c:v>46148</c:v>
                </c:pt>
                <c:pt idx="51">
                  <c:v>46149</c:v>
                </c:pt>
                <c:pt idx="52">
                  <c:v>46150</c:v>
                </c:pt>
                <c:pt idx="53">
                  <c:v>46151</c:v>
                </c:pt>
                <c:pt idx="54">
                  <c:v>46152</c:v>
                </c:pt>
                <c:pt idx="55">
                  <c:v>46153</c:v>
                </c:pt>
                <c:pt idx="56">
                  <c:v>46154</c:v>
                </c:pt>
                <c:pt idx="57">
                  <c:v>46155</c:v>
                </c:pt>
                <c:pt idx="58">
                  <c:v>46156</c:v>
                </c:pt>
                <c:pt idx="59">
                  <c:v>46157</c:v>
                </c:pt>
                <c:pt idx="60">
                  <c:v>46158</c:v>
                </c:pt>
                <c:pt idx="61">
                  <c:v>46159</c:v>
                </c:pt>
                <c:pt idx="62">
                  <c:v>46160</c:v>
                </c:pt>
                <c:pt idx="63">
                  <c:v>46161</c:v>
                </c:pt>
                <c:pt idx="64">
                  <c:v>46162</c:v>
                </c:pt>
                <c:pt idx="65">
                  <c:v>46163</c:v>
                </c:pt>
                <c:pt idx="66">
                  <c:v>46164</c:v>
                </c:pt>
                <c:pt idx="67">
                  <c:v>46165</c:v>
                </c:pt>
                <c:pt idx="68">
                  <c:v>46166</c:v>
                </c:pt>
                <c:pt idx="69">
                  <c:v>46167</c:v>
                </c:pt>
                <c:pt idx="70">
                  <c:v>46168</c:v>
                </c:pt>
                <c:pt idx="71">
                  <c:v>46169</c:v>
                </c:pt>
                <c:pt idx="72">
                  <c:v>46170</c:v>
                </c:pt>
                <c:pt idx="73">
                  <c:v>46171</c:v>
                </c:pt>
                <c:pt idx="74">
                  <c:v>46172</c:v>
                </c:pt>
                <c:pt idx="75">
                  <c:v>46173</c:v>
                </c:pt>
                <c:pt idx="76">
                  <c:v>46174</c:v>
                </c:pt>
                <c:pt idx="77">
                  <c:v>46175</c:v>
                </c:pt>
                <c:pt idx="78">
                  <c:v>46176</c:v>
                </c:pt>
                <c:pt idx="79">
                  <c:v>46177</c:v>
                </c:pt>
                <c:pt idx="80">
                  <c:v>46178</c:v>
                </c:pt>
                <c:pt idx="81">
                  <c:v>46179</c:v>
                </c:pt>
                <c:pt idx="82">
                  <c:v>46180</c:v>
                </c:pt>
                <c:pt idx="83">
                  <c:v>46181</c:v>
                </c:pt>
                <c:pt idx="84">
                  <c:v>46182</c:v>
                </c:pt>
                <c:pt idx="85">
                  <c:v>46183</c:v>
                </c:pt>
                <c:pt idx="86">
                  <c:v>46184</c:v>
                </c:pt>
                <c:pt idx="87">
                  <c:v>46185</c:v>
                </c:pt>
                <c:pt idx="88">
                  <c:v>46186</c:v>
                </c:pt>
                <c:pt idx="89">
                  <c:v>46187</c:v>
                </c:pt>
                <c:pt idx="90">
                  <c:v>46188</c:v>
                </c:pt>
                <c:pt idx="91">
                  <c:v>46189</c:v>
                </c:pt>
                <c:pt idx="92">
                  <c:v>46190</c:v>
                </c:pt>
                <c:pt idx="93">
                  <c:v>46191</c:v>
                </c:pt>
                <c:pt idx="94">
                  <c:v>46192</c:v>
                </c:pt>
                <c:pt idx="95">
                  <c:v>46193</c:v>
                </c:pt>
                <c:pt idx="96">
                  <c:v>46194</c:v>
                </c:pt>
                <c:pt idx="97">
                  <c:v>46195</c:v>
                </c:pt>
                <c:pt idx="98">
                  <c:v>46196</c:v>
                </c:pt>
                <c:pt idx="99">
                  <c:v>46197</c:v>
                </c:pt>
                <c:pt idx="100">
                  <c:v>46198</c:v>
                </c:pt>
                <c:pt idx="101">
                  <c:v>46199</c:v>
                </c:pt>
                <c:pt idx="102">
                  <c:v>46200</c:v>
                </c:pt>
                <c:pt idx="103">
                  <c:v>46201</c:v>
                </c:pt>
                <c:pt idx="104">
                  <c:v>46202</c:v>
                </c:pt>
                <c:pt idx="105">
                  <c:v>46203</c:v>
                </c:pt>
                <c:pt idx="106">
                  <c:v>46204</c:v>
                </c:pt>
                <c:pt idx="107">
                  <c:v>46205</c:v>
                </c:pt>
              </c:numCache>
            </c:numRef>
          </c:cat>
          <c:val>
            <c:numRef>
              <c:f>'Curva S'!$I$2:$I$109</c:f>
              <c:numCache>
                <c:formatCode>General</c:formatCode>
                <c:ptCount val="10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8</c:v>
                </c:pt>
                <c:pt idx="14">
                  <c:v>8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11</c:v>
                </c:pt>
                <c:pt idx="22">
                  <c:v>11</c:v>
                </c:pt>
                <c:pt idx="23">
                  <c:v>11</c:v>
                </c:pt>
                <c:pt idx="24">
                  <c:v>11</c:v>
                </c:pt>
                <c:pt idx="25">
                  <c:v>11</c:v>
                </c:pt>
                <c:pt idx="26">
                  <c:v>11</c:v>
                </c:pt>
                <c:pt idx="27">
                  <c:v>11</c:v>
                </c:pt>
                <c:pt idx="28">
                  <c:v>13</c:v>
                </c:pt>
                <c:pt idx="29">
                  <c:v>13</c:v>
                </c:pt>
                <c:pt idx="30">
                  <c:v>17</c:v>
                </c:pt>
                <c:pt idx="31">
                  <c:v>18</c:v>
                </c:pt>
                <c:pt idx="32">
                  <c:v>18</c:v>
                </c:pt>
                <c:pt idx="33">
                  <c:v>18</c:v>
                </c:pt>
                <c:pt idx="34">
                  <c:v>18</c:v>
                </c:pt>
                <c:pt idx="35">
                  <c:v>18</c:v>
                </c:pt>
                <c:pt idx="36">
                  <c:v>18</c:v>
                </c:pt>
                <c:pt idx="37">
                  <c:v>19</c:v>
                </c:pt>
                <c:pt idx="38">
                  <c:v>19</c:v>
                </c:pt>
                <c:pt idx="39">
                  <c:v>19</c:v>
                </c:pt>
                <c:pt idx="40">
                  <c:v>19</c:v>
                </c:pt>
                <c:pt idx="41">
                  <c:v>20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20</c:v>
                </c:pt>
                <c:pt idx="46">
                  <c:v>20</c:v>
                </c:pt>
                <c:pt idx="47">
                  <c:v>20</c:v>
                </c:pt>
                <c:pt idx="48">
                  <c:v>21</c:v>
                </c:pt>
                <c:pt idx="49">
                  <c:v>25</c:v>
                </c:pt>
                <c:pt idx="50">
                  <c:v>35</c:v>
                </c:pt>
                <c:pt idx="51">
                  <c:v>35</c:v>
                </c:pt>
                <c:pt idx="52">
                  <c:v>42</c:v>
                </c:pt>
                <c:pt idx="53">
                  <c:v>42</c:v>
                </c:pt>
                <c:pt idx="54">
                  <c:v>42</c:v>
                </c:pt>
                <c:pt idx="55">
                  <c:v>43</c:v>
                </c:pt>
                <c:pt idx="56">
                  <c:v>46</c:v>
                </c:pt>
                <c:pt idx="57">
                  <c:v>47</c:v>
                </c:pt>
                <c:pt idx="58">
                  <c:v>62</c:v>
                </c:pt>
                <c:pt idx="59">
                  <c:v>66</c:v>
                </c:pt>
                <c:pt idx="60">
                  <c:v>66</c:v>
                </c:pt>
                <c:pt idx="61">
                  <c:v>66</c:v>
                </c:pt>
                <c:pt idx="62">
                  <c:v>66</c:v>
                </c:pt>
                <c:pt idx="63">
                  <c:v>66</c:v>
                </c:pt>
                <c:pt idx="64">
                  <c:v>72</c:v>
                </c:pt>
                <c:pt idx="65">
                  <c:v>73</c:v>
                </c:pt>
                <c:pt idx="66">
                  <c:v>82</c:v>
                </c:pt>
                <c:pt idx="67">
                  <c:v>82</c:v>
                </c:pt>
                <c:pt idx="68">
                  <c:v>82</c:v>
                </c:pt>
                <c:pt idx="69">
                  <c:v>90</c:v>
                </c:pt>
                <c:pt idx="70">
                  <c:v>100</c:v>
                </c:pt>
                <c:pt idx="71">
                  <c:v>102</c:v>
                </c:pt>
                <c:pt idx="72">
                  <c:v>111</c:v>
                </c:pt>
                <c:pt idx="73">
                  <c:v>125</c:v>
                </c:pt>
                <c:pt idx="74">
                  <c:v>125</c:v>
                </c:pt>
                <c:pt idx="75">
                  <c:v>125</c:v>
                </c:pt>
                <c:pt idx="76">
                  <c:v>135</c:v>
                </c:pt>
                <c:pt idx="77">
                  <c:v>137</c:v>
                </c:pt>
                <c:pt idx="78">
                  <c:v>148</c:v>
                </c:pt>
                <c:pt idx="79">
                  <c:v>148</c:v>
                </c:pt>
                <c:pt idx="80">
                  <c:v>148</c:v>
                </c:pt>
                <c:pt idx="81">
                  <c:v>148</c:v>
                </c:pt>
                <c:pt idx="82">
                  <c:v>148</c:v>
                </c:pt>
                <c:pt idx="83">
                  <c:v>154</c:v>
                </c:pt>
                <c:pt idx="84">
                  <c:v>155</c:v>
                </c:pt>
                <c:pt idx="85">
                  <c:v>169</c:v>
                </c:pt>
                <c:pt idx="86">
                  <c:v>173</c:v>
                </c:pt>
                <c:pt idx="87">
                  <c:v>174</c:v>
                </c:pt>
                <c:pt idx="88">
                  <c:v>174</c:v>
                </c:pt>
                <c:pt idx="89">
                  <c:v>174</c:v>
                </c:pt>
                <c:pt idx="90">
                  <c:v>182</c:v>
                </c:pt>
                <c:pt idx="91">
                  <c:v>188</c:v>
                </c:pt>
                <c:pt idx="92">
                  <c:v>198</c:v>
                </c:pt>
                <c:pt idx="93">
                  <c:v>203</c:v>
                </c:pt>
                <c:pt idx="94">
                  <c:v>217</c:v>
                </c:pt>
                <c:pt idx="95">
                  <c:v>217</c:v>
                </c:pt>
                <c:pt idx="96">
                  <c:v>217</c:v>
                </c:pt>
                <c:pt idx="97">
                  <c:v>220</c:v>
                </c:pt>
                <c:pt idx="98">
                  <c:v>224</c:v>
                </c:pt>
                <c:pt idx="99">
                  <c:v>239</c:v>
                </c:pt>
                <c:pt idx="100">
                  <c:v>247</c:v>
                </c:pt>
                <c:pt idx="101">
                  <c:v>261</c:v>
                </c:pt>
                <c:pt idx="102">
                  <c:v>261</c:v>
                </c:pt>
                <c:pt idx="103">
                  <c:v>261</c:v>
                </c:pt>
                <c:pt idx="104">
                  <c:v>262</c:v>
                </c:pt>
                <c:pt idx="105">
                  <c:v>264</c:v>
                </c:pt>
                <c:pt idx="106">
                  <c:v>264</c:v>
                </c:pt>
                <c:pt idx="107">
                  <c:v>264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60-4DDB-B9C7-5480CC3214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386447"/>
        <c:axId val="1737387407"/>
        <c:extLst/>
      </c:lineChart>
      <c:dateAx>
        <c:axId val="173738644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387407"/>
        <c:crosses val="autoZero"/>
        <c:auto val="1"/>
        <c:lblOffset val="100"/>
        <c:baseTimeUnit val="days"/>
      </c:dateAx>
      <c:valAx>
        <c:axId val="173738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386447"/>
        <c:crosses val="autoZero"/>
        <c:crossBetween val="between"/>
      </c:valAx>
      <c:valAx>
        <c:axId val="173741044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11407"/>
        <c:crosses val="max"/>
        <c:crossBetween val="between"/>
      </c:valAx>
      <c:dateAx>
        <c:axId val="173741140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37410447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19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</xdr:row>
      <xdr:rowOff>0</xdr:rowOff>
    </xdr:from>
    <xdr:to>
      <xdr:col>34</xdr:col>
      <xdr:colOff>108678</xdr:colOff>
      <xdr:row>30</xdr:row>
      <xdr:rowOff>171383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28B758A-1030-4E73-AA9F-45069B32D3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32</xdr:row>
      <xdr:rowOff>0</xdr:rowOff>
    </xdr:from>
    <xdr:to>
      <xdr:col>33</xdr:col>
      <xdr:colOff>590549</xdr:colOff>
      <xdr:row>61</xdr:row>
      <xdr:rowOff>168870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699F78A-ABEC-4825-BE0E-86F3049767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ureauveritas.sharepoint.com/teams/POP-Planejamento/Shared%20Documents/Automacoes/Comparativo_Cronograma/saida/J0006/Comparativo%20Cronograma%2006-07-2026.xlsx" TargetMode="External"/><Relationship Id="rId1" Type="http://schemas.openxmlformats.org/officeDocument/2006/relationships/externalLinkPath" Target="Comparativo%20Cronograma%2006-07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e"/>
      <sheetName val="Resumo"/>
      <sheetName val="Curva S"/>
      <sheetName val="Concluídas"/>
      <sheetName val="Atrasadas"/>
      <sheetName val="Sprint Atual"/>
      <sheetName val="Próximo Sprint"/>
    </sheetNames>
    <sheetDataSet>
      <sheetData sheetId="0" refreshError="1"/>
      <sheetData sheetId="1" refreshError="1"/>
      <sheetData sheetId="2">
        <row r="1">
          <cell r="B1" t="str">
            <v>Emissão prevista na LB</v>
          </cell>
          <cell r="C1" t="str">
            <v>Emissão prevista na LB acumulada</v>
          </cell>
          <cell r="D1" t="str">
            <v>Emissão realizada por dia</v>
          </cell>
          <cell r="E1" t="str">
            <v>Emissão realizada acumulada</v>
          </cell>
          <cell r="F1" t="str">
            <v>Aprovação prevista na LB</v>
          </cell>
          <cell r="G1" t="str">
            <v>Aprovação realizada por dia</v>
          </cell>
          <cell r="H1" t="str">
            <v>Aprovação prevista na LB acumulada</v>
          </cell>
          <cell r="I1" t="str">
            <v>Aprovação realizada acumulada</v>
          </cell>
        </row>
        <row r="2">
          <cell r="A2">
            <v>46101</v>
          </cell>
          <cell r="B2">
            <v>4</v>
          </cell>
          <cell r="C2">
            <v>4</v>
          </cell>
          <cell r="D2">
            <v>4</v>
          </cell>
          <cell r="E2">
            <v>4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</row>
        <row r="3">
          <cell r="A3">
            <v>46102</v>
          </cell>
          <cell r="B3">
            <v>0</v>
          </cell>
          <cell r="C3">
            <v>4</v>
          </cell>
          <cell r="D3">
            <v>0</v>
          </cell>
          <cell r="E3">
            <v>4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</row>
        <row r="4">
          <cell r="A4">
            <v>46103</v>
          </cell>
          <cell r="B4">
            <v>0</v>
          </cell>
          <cell r="C4">
            <v>4</v>
          </cell>
          <cell r="D4">
            <v>0</v>
          </cell>
          <cell r="E4">
            <v>4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</row>
        <row r="5">
          <cell r="A5">
            <v>46104</v>
          </cell>
          <cell r="B5">
            <v>4</v>
          </cell>
          <cell r="C5">
            <v>8</v>
          </cell>
          <cell r="D5">
            <v>4</v>
          </cell>
          <cell r="E5">
            <v>8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</row>
        <row r="6">
          <cell r="A6">
            <v>46105</v>
          </cell>
          <cell r="B6">
            <v>4</v>
          </cell>
          <cell r="C6">
            <v>12</v>
          </cell>
          <cell r="D6">
            <v>3</v>
          </cell>
          <cell r="E6">
            <v>11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</row>
        <row r="7">
          <cell r="A7">
            <v>46106</v>
          </cell>
          <cell r="B7">
            <v>2</v>
          </cell>
          <cell r="C7">
            <v>14</v>
          </cell>
          <cell r="D7">
            <v>2</v>
          </cell>
          <cell r="E7">
            <v>13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</row>
        <row r="8">
          <cell r="A8">
            <v>46107</v>
          </cell>
          <cell r="B8">
            <v>0</v>
          </cell>
          <cell r="C8">
            <v>14</v>
          </cell>
          <cell r="D8">
            <v>0</v>
          </cell>
          <cell r="E8">
            <v>13</v>
          </cell>
          <cell r="F8">
            <v>2</v>
          </cell>
          <cell r="G8">
            <v>2</v>
          </cell>
          <cell r="H8">
            <v>2</v>
          </cell>
          <cell r="I8">
            <v>2</v>
          </cell>
        </row>
        <row r="9">
          <cell r="A9">
            <v>46108</v>
          </cell>
          <cell r="B9">
            <v>0</v>
          </cell>
          <cell r="C9">
            <v>14</v>
          </cell>
          <cell r="D9">
            <v>0</v>
          </cell>
          <cell r="E9">
            <v>13</v>
          </cell>
          <cell r="F9">
            <v>4</v>
          </cell>
          <cell r="G9">
            <v>3</v>
          </cell>
          <cell r="H9">
            <v>6</v>
          </cell>
          <cell r="I9">
            <v>5</v>
          </cell>
        </row>
        <row r="10">
          <cell r="A10">
            <v>46109</v>
          </cell>
          <cell r="B10">
            <v>0</v>
          </cell>
          <cell r="C10">
            <v>14</v>
          </cell>
          <cell r="D10">
            <v>0</v>
          </cell>
          <cell r="E10">
            <v>13</v>
          </cell>
          <cell r="F10">
            <v>0</v>
          </cell>
          <cell r="G10">
            <v>0</v>
          </cell>
          <cell r="H10">
            <v>6</v>
          </cell>
          <cell r="I10">
            <v>5</v>
          </cell>
        </row>
        <row r="11">
          <cell r="A11">
            <v>46110</v>
          </cell>
          <cell r="B11">
            <v>0</v>
          </cell>
          <cell r="C11">
            <v>14</v>
          </cell>
          <cell r="D11">
            <v>0</v>
          </cell>
          <cell r="E11">
            <v>13</v>
          </cell>
          <cell r="F11">
            <v>0</v>
          </cell>
          <cell r="G11">
            <v>0</v>
          </cell>
          <cell r="H11">
            <v>6</v>
          </cell>
          <cell r="I11">
            <v>5</v>
          </cell>
        </row>
        <row r="12">
          <cell r="A12">
            <v>46111</v>
          </cell>
          <cell r="B12">
            <v>2</v>
          </cell>
          <cell r="C12">
            <v>16</v>
          </cell>
          <cell r="D12">
            <v>0</v>
          </cell>
          <cell r="E12">
            <v>13</v>
          </cell>
          <cell r="F12">
            <v>3</v>
          </cell>
          <cell r="G12">
            <v>3</v>
          </cell>
          <cell r="H12">
            <v>9</v>
          </cell>
          <cell r="I12">
            <v>8</v>
          </cell>
        </row>
        <row r="13">
          <cell r="A13">
            <v>46112</v>
          </cell>
          <cell r="B13">
            <v>1</v>
          </cell>
          <cell r="C13">
            <v>17</v>
          </cell>
          <cell r="D13">
            <v>1</v>
          </cell>
          <cell r="E13">
            <v>14</v>
          </cell>
          <cell r="F13">
            <v>0</v>
          </cell>
          <cell r="G13">
            <v>0</v>
          </cell>
          <cell r="H13">
            <v>9</v>
          </cell>
          <cell r="I13">
            <v>8</v>
          </cell>
        </row>
        <row r="14">
          <cell r="A14">
            <v>46113</v>
          </cell>
          <cell r="B14">
            <v>2</v>
          </cell>
          <cell r="C14">
            <v>19</v>
          </cell>
          <cell r="D14">
            <v>0</v>
          </cell>
          <cell r="E14">
            <v>14</v>
          </cell>
          <cell r="F14">
            <v>2</v>
          </cell>
          <cell r="G14">
            <v>2</v>
          </cell>
          <cell r="H14">
            <v>11</v>
          </cell>
          <cell r="I14">
            <v>10</v>
          </cell>
        </row>
        <row r="15">
          <cell r="A15">
            <v>46114</v>
          </cell>
          <cell r="B15">
            <v>0</v>
          </cell>
          <cell r="C15">
            <v>19</v>
          </cell>
          <cell r="D15">
            <v>0</v>
          </cell>
          <cell r="E15">
            <v>14</v>
          </cell>
          <cell r="F15">
            <v>4</v>
          </cell>
          <cell r="G15">
            <v>0</v>
          </cell>
          <cell r="H15">
            <v>15</v>
          </cell>
          <cell r="I15">
            <v>10</v>
          </cell>
        </row>
        <row r="16">
          <cell r="A16">
            <v>46115</v>
          </cell>
          <cell r="B16">
            <v>0</v>
          </cell>
          <cell r="C16">
            <v>19</v>
          </cell>
          <cell r="D16">
            <v>0</v>
          </cell>
          <cell r="E16">
            <v>14</v>
          </cell>
          <cell r="F16">
            <v>0</v>
          </cell>
          <cell r="G16">
            <v>0</v>
          </cell>
          <cell r="H16">
            <v>15</v>
          </cell>
          <cell r="I16">
            <v>10</v>
          </cell>
        </row>
        <row r="17">
          <cell r="A17">
            <v>46116</v>
          </cell>
          <cell r="B17">
            <v>0</v>
          </cell>
          <cell r="C17">
            <v>19</v>
          </cell>
          <cell r="D17">
            <v>0</v>
          </cell>
          <cell r="E17">
            <v>14</v>
          </cell>
          <cell r="F17">
            <v>0</v>
          </cell>
          <cell r="G17">
            <v>0</v>
          </cell>
          <cell r="H17">
            <v>15</v>
          </cell>
          <cell r="I17">
            <v>10</v>
          </cell>
        </row>
        <row r="18">
          <cell r="A18">
            <v>46117</v>
          </cell>
          <cell r="B18">
            <v>0</v>
          </cell>
          <cell r="C18">
            <v>19</v>
          </cell>
          <cell r="D18">
            <v>0</v>
          </cell>
          <cell r="E18">
            <v>14</v>
          </cell>
          <cell r="F18">
            <v>0</v>
          </cell>
          <cell r="G18">
            <v>0</v>
          </cell>
          <cell r="H18">
            <v>15</v>
          </cell>
          <cell r="I18">
            <v>10</v>
          </cell>
        </row>
        <row r="19">
          <cell r="A19">
            <v>46118</v>
          </cell>
          <cell r="B19">
            <v>0</v>
          </cell>
          <cell r="C19">
            <v>19</v>
          </cell>
          <cell r="D19">
            <v>0</v>
          </cell>
          <cell r="E19">
            <v>14</v>
          </cell>
          <cell r="F19">
            <v>0</v>
          </cell>
          <cell r="G19">
            <v>0</v>
          </cell>
          <cell r="H19">
            <v>15</v>
          </cell>
          <cell r="I19">
            <v>10</v>
          </cell>
        </row>
        <row r="20">
          <cell r="A20">
            <v>46119</v>
          </cell>
          <cell r="B20">
            <v>1</v>
          </cell>
          <cell r="C20">
            <v>20</v>
          </cell>
          <cell r="D20">
            <v>1</v>
          </cell>
          <cell r="E20">
            <v>15</v>
          </cell>
          <cell r="F20">
            <v>1</v>
          </cell>
          <cell r="G20">
            <v>1</v>
          </cell>
          <cell r="H20">
            <v>16</v>
          </cell>
          <cell r="I20">
            <v>11</v>
          </cell>
        </row>
        <row r="21">
          <cell r="A21">
            <v>46120</v>
          </cell>
          <cell r="B21">
            <v>1</v>
          </cell>
          <cell r="C21">
            <v>21</v>
          </cell>
          <cell r="D21">
            <v>1</v>
          </cell>
          <cell r="E21">
            <v>16</v>
          </cell>
          <cell r="F21">
            <v>0</v>
          </cell>
          <cell r="G21">
            <v>0</v>
          </cell>
          <cell r="H21">
            <v>16</v>
          </cell>
          <cell r="I21">
            <v>11</v>
          </cell>
        </row>
        <row r="22">
          <cell r="A22">
            <v>46121</v>
          </cell>
          <cell r="B22">
            <v>2</v>
          </cell>
          <cell r="C22">
            <v>23</v>
          </cell>
          <cell r="D22">
            <v>2</v>
          </cell>
          <cell r="E22">
            <v>18</v>
          </cell>
          <cell r="F22">
            <v>0</v>
          </cell>
          <cell r="G22">
            <v>0</v>
          </cell>
          <cell r="H22">
            <v>16</v>
          </cell>
          <cell r="I22">
            <v>11</v>
          </cell>
        </row>
        <row r="23">
          <cell r="A23">
            <v>46122</v>
          </cell>
          <cell r="B23">
            <v>4</v>
          </cell>
          <cell r="C23">
            <v>27</v>
          </cell>
          <cell r="D23">
            <v>4</v>
          </cell>
          <cell r="E23">
            <v>22</v>
          </cell>
          <cell r="F23">
            <v>0</v>
          </cell>
          <cell r="G23">
            <v>0</v>
          </cell>
          <cell r="H23">
            <v>16</v>
          </cell>
          <cell r="I23">
            <v>11</v>
          </cell>
        </row>
        <row r="24">
          <cell r="A24">
            <v>46123</v>
          </cell>
          <cell r="B24">
            <v>0</v>
          </cell>
          <cell r="C24">
            <v>27</v>
          </cell>
          <cell r="D24">
            <v>0</v>
          </cell>
          <cell r="E24">
            <v>22</v>
          </cell>
          <cell r="F24">
            <v>0</v>
          </cell>
          <cell r="G24">
            <v>0</v>
          </cell>
          <cell r="H24">
            <v>16</v>
          </cell>
          <cell r="I24">
            <v>11</v>
          </cell>
        </row>
        <row r="25">
          <cell r="A25">
            <v>46124</v>
          </cell>
          <cell r="B25">
            <v>0</v>
          </cell>
          <cell r="C25">
            <v>27</v>
          </cell>
          <cell r="D25">
            <v>0</v>
          </cell>
          <cell r="E25">
            <v>22</v>
          </cell>
          <cell r="F25">
            <v>0</v>
          </cell>
          <cell r="G25">
            <v>0</v>
          </cell>
          <cell r="H25">
            <v>16</v>
          </cell>
          <cell r="I25">
            <v>11</v>
          </cell>
        </row>
        <row r="26">
          <cell r="A26">
            <v>46125</v>
          </cell>
          <cell r="B26">
            <v>4</v>
          </cell>
          <cell r="C26">
            <v>31</v>
          </cell>
          <cell r="D26">
            <v>4</v>
          </cell>
          <cell r="E26">
            <v>26</v>
          </cell>
          <cell r="F26">
            <v>0</v>
          </cell>
          <cell r="G26">
            <v>0</v>
          </cell>
          <cell r="H26">
            <v>16</v>
          </cell>
          <cell r="I26">
            <v>11</v>
          </cell>
        </row>
        <row r="27">
          <cell r="A27">
            <v>46126</v>
          </cell>
          <cell r="B27">
            <v>6</v>
          </cell>
          <cell r="C27">
            <v>37</v>
          </cell>
          <cell r="D27">
            <v>6</v>
          </cell>
          <cell r="E27">
            <v>32</v>
          </cell>
          <cell r="F27">
            <v>2</v>
          </cell>
          <cell r="G27">
            <v>2</v>
          </cell>
          <cell r="H27">
            <v>18</v>
          </cell>
          <cell r="I27">
            <v>13</v>
          </cell>
        </row>
        <row r="28">
          <cell r="A28">
            <v>46127</v>
          </cell>
          <cell r="B28">
            <v>2</v>
          </cell>
          <cell r="C28">
            <v>39</v>
          </cell>
          <cell r="D28">
            <v>2</v>
          </cell>
          <cell r="E28">
            <v>34</v>
          </cell>
          <cell r="F28">
            <v>0</v>
          </cell>
          <cell r="G28">
            <v>0</v>
          </cell>
          <cell r="H28">
            <v>18</v>
          </cell>
          <cell r="I28">
            <v>13</v>
          </cell>
        </row>
        <row r="29">
          <cell r="A29">
            <v>46128</v>
          </cell>
          <cell r="B29">
            <v>2</v>
          </cell>
          <cell r="C29">
            <v>41</v>
          </cell>
          <cell r="D29">
            <v>2</v>
          </cell>
          <cell r="E29">
            <v>36</v>
          </cell>
          <cell r="F29">
            <v>4</v>
          </cell>
          <cell r="G29">
            <v>4</v>
          </cell>
          <cell r="H29">
            <v>22</v>
          </cell>
          <cell r="I29">
            <v>17</v>
          </cell>
        </row>
        <row r="30">
          <cell r="A30">
            <v>46129</v>
          </cell>
          <cell r="B30">
            <v>5</v>
          </cell>
          <cell r="C30">
            <v>46</v>
          </cell>
          <cell r="D30">
            <v>5</v>
          </cell>
          <cell r="E30">
            <v>41</v>
          </cell>
          <cell r="F30">
            <v>1</v>
          </cell>
          <cell r="G30">
            <v>1</v>
          </cell>
          <cell r="H30">
            <v>23</v>
          </cell>
          <cell r="I30">
            <v>18</v>
          </cell>
        </row>
        <row r="31">
          <cell r="A31">
            <v>46130</v>
          </cell>
          <cell r="B31">
            <v>0</v>
          </cell>
          <cell r="C31">
            <v>46</v>
          </cell>
          <cell r="D31">
            <v>0</v>
          </cell>
          <cell r="E31">
            <v>41</v>
          </cell>
          <cell r="F31">
            <v>0</v>
          </cell>
          <cell r="G31">
            <v>0</v>
          </cell>
          <cell r="H31">
            <v>23</v>
          </cell>
          <cell r="I31">
            <v>18</v>
          </cell>
        </row>
        <row r="32">
          <cell r="A32">
            <v>46131</v>
          </cell>
          <cell r="B32">
            <v>0</v>
          </cell>
          <cell r="C32">
            <v>46</v>
          </cell>
          <cell r="D32">
            <v>0</v>
          </cell>
          <cell r="E32">
            <v>41</v>
          </cell>
          <cell r="F32">
            <v>0</v>
          </cell>
          <cell r="G32">
            <v>0</v>
          </cell>
          <cell r="H32">
            <v>23</v>
          </cell>
          <cell r="I32">
            <v>18</v>
          </cell>
        </row>
        <row r="33">
          <cell r="A33">
            <v>46132</v>
          </cell>
          <cell r="B33">
            <v>0</v>
          </cell>
          <cell r="C33">
            <v>46</v>
          </cell>
          <cell r="D33">
            <v>0</v>
          </cell>
          <cell r="E33">
            <v>41</v>
          </cell>
          <cell r="F33">
            <v>0</v>
          </cell>
          <cell r="G33">
            <v>0</v>
          </cell>
          <cell r="H33">
            <v>23</v>
          </cell>
          <cell r="I33">
            <v>18</v>
          </cell>
        </row>
        <row r="34">
          <cell r="A34">
            <v>46133</v>
          </cell>
          <cell r="B34">
            <v>0</v>
          </cell>
          <cell r="C34">
            <v>46</v>
          </cell>
          <cell r="D34">
            <v>0</v>
          </cell>
          <cell r="E34">
            <v>41</v>
          </cell>
          <cell r="F34">
            <v>0</v>
          </cell>
          <cell r="G34">
            <v>0</v>
          </cell>
          <cell r="H34">
            <v>23</v>
          </cell>
          <cell r="I34">
            <v>18</v>
          </cell>
        </row>
        <row r="35">
          <cell r="A35">
            <v>46134</v>
          </cell>
          <cell r="B35">
            <v>1</v>
          </cell>
          <cell r="C35">
            <v>47</v>
          </cell>
          <cell r="D35">
            <v>1</v>
          </cell>
          <cell r="E35">
            <v>42</v>
          </cell>
          <cell r="F35">
            <v>0</v>
          </cell>
          <cell r="G35">
            <v>0</v>
          </cell>
          <cell r="H35">
            <v>23</v>
          </cell>
          <cell r="I35">
            <v>18</v>
          </cell>
        </row>
        <row r="36">
          <cell r="A36">
            <v>46135</v>
          </cell>
          <cell r="B36">
            <v>3</v>
          </cell>
          <cell r="C36">
            <v>50</v>
          </cell>
          <cell r="D36">
            <v>3</v>
          </cell>
          <cell r="E36">
            <v>45</v>
          </cell>
          <cell r="F36">
            <v>1</v>
          </cell>
          <cell r="G36">
            <v>1</v>
          </cell>
          <cell r="H36">
            <v>24</v>
          </cell>
          <cell r="I36">
            <v>19</v>
          </cell>
        </row>
        <row r="37">
          <cell r="A37">
            <v>46136</v>
          </cell>
          <cell r="B37">
            <v>1</v>
          </cell>
          <cell r="C37">
            <v>51</v>
          </cell>
          <cell r="D37">
            <v>1</v>
          </cell>
          <cell r="E37">
            <v>46</v>
          </cell>
          <cell r="F37">
            <v>0</v>
          </cell>
          <cell r="G37">
            <v>0</v>
          </cell>
          <cell r="H37">
            <v>24</v>
          </cell>
          <cell r="I37">
            <v>19</v>
          </cell>
        </row>
        <row r="38">
          <cell r="A38">
            <v>46137</v>
          </cell>
          <cell r="B38">
            <v>0</v>
          </cell>
          <cell r="C38">
            <v>51</v>
          </cell>
          <cell r="D38">
            <v>0</v>
          </cell>
          <cell r="E38">
            <v>46</v>
          </cell>
          <cell r="F38">
            <v>0</v>
          </cell>
          <cell r="G38">
            <v>0</v>
          </cell>
          <cell r="H38">
            <v>24</v>
          </cell>
          <cell r="I38">
            <v>19</v>
          </cell>
        </row>
        <row r="39">
          <cell r="A39">
            <v>46138</v>
          </cell>
          <cell r="B39">
            <v>0</v>
          </cell>
          <cell r="C39">
            <v>51</v>
          </cell>
          <cell r="D39">
            <v>0</v>
          </cell>
          <cell r="E39">
            <v>46</v>
          </cell>
          <cell r="F39">
            <v>0</v>
          </cell>
          <cell r="G39">
            <v>0</v>
          </cell>
          <cell r="H39">
            <v>24</v>
          </cell>
          <cell r="I39">
            <v>19</v>
          </cell>
        </row>
        <row r="40">
          <cell r="A40">
            <v>46139</v>
          </cell>
          <cell r="B40">
            <v>3</v>
          </cell>
          <cell r="C40">
            <v>54</v>
          </cell>
          <cell r="D40">
            <v>3</v>
          </cell>
          <cell r="E40">
            <v>49</v>
          </cell>
          <cell r="F40">
            <v>1</v>
          </cell>
          <cell r="G40">
            <v>1</v>
          </cell>
          <cell r="H40">
            <v>25</v>
          </cell>
          <cell r="I40">
            <v>20</v>
          </cell>
        </row>
        <row r="41">
          <cell r="A41">
            <v>46140</v>
          </cell>
          <cell r="B41">
            <v>1</v>
          </cell>
          <cell r="C41">
            <v>55</v>
          </cell>
          <cell r="D41">
            <v>1</v>
          </cell>
          <cell r="E41">
            <v>50</v>
          </cell>
          <cell r="F41">
            <v>0</v>
          </cell>
          <cell r="G41">
            <v>0</v>
          </cell>
          <cell r="H41">
            <v>25</v>
          </cell>
          <cell r="I41">
            <v>20</v>
          </cell>
        </row>
        <row r="42">
          <cell r="A42">
            <v>46141</v>
          </cell>
          <cell r="B42">
            <v>0</v>
          </cell>
          <cell r="C42">
            <v>55</v>
          </cell>
          <cell r="D42">
            <v>0</v>
          </cell>
          <cell r="E42">
            <v>50</v>
          </cell>
          <cell r="F42">
            <v>0</v>
          </cell>
          <cell r="G42">
            <v>0</v>
          </cell>
          <cell r="H42">
            <v>25</v>
          </cell>
          <cell r="I42">
            <v>20</v>
          </cell>
        </row>
        <row r="43">
          <cell r="A43">
            <v>46142</v>
          </cell>
          <cell r="B43">
            <v>2</v>
          </cell>
          <cell r="C43">
            <v>57</v>
          </cell>
          <cell r="D43">
            <v>2</v>
          </cell>
          <cell r="E43">
            <v>52</v>
          </cell>
          <cell r="F43">
            <v>0</v>
          </cell>
          <cell r="G43">
            <v>0</v>
          </cell>
          <cell r="H43">
            <v>25</v>
          </cell>
          <cell r="I43">
            <v>20</v>
          </cell>
        </row>
        <row r="44">
          <cell r="A44">
            <v>46143</v>
          </cell>
          <cell r="B44">
            <v>0</v>
          </cell>
          <cell r="C44">
            <v>57</v>
          </cell>
          <cell r="D44">
            <v>0</v>
          </cell>
          <cell r="E44">
            <v>52</v>
          </cell>
          <cell r="F44">
            <v>0</v>
          </cell>
          <cell r="G44">
            <v>0</v>
          </cell>
          <cell r="H44">
            <v>25</v>
          </cell>
          <cell r="I44">
            <v>20</v>
          </cell>
        </row>
        <row r="45">
          <cell r="A45">
            <v>46144</v>
          </cell>
          <cell r="B45">
            <v>0</v>
          </cell>
          <cell r="C45">
            <v>57</v>
          </cell>
          <cell r="D45">
            <v>0</v>
          </cell>
          <cell r="E45">
            <v>52</v>
          </cell>
          <cell r="F45">
            <v>0</v>
          </cell>
          <cell r="G45">
            <v>0</v>
          </cell>
          <cell r="H45">
            <v>25</v>
          </cell>
          <cell r="I45">
            <v>20</v>
          </cell>
        </row>
        <row r="46">
          <cell r="A46">
            <v>46145</v>
          </cell>
          <cell r="B46">
            <v>0</v>
          </cell>
          <cell r="C46">
            <v>57</v>
          </cell>
          <cell r="D46">
            <v>0</v>
          </cell>
          <cell r="E46">
            <v>52</v>
          </cell>
          <cell r="F46">
            <v>0</v>
          </cell>
          <cell r="G46">
            <v>0</v>
          </cell>
          <cell r="H46">
            <v>25</v>
          </cell>
          <cell r="I46">
            <v>20</v>
          </cell>
        </row>
        <row r="47">
          <cell r="A47">
            <v>46146</v>
          </cell>
          <cell r="B47">
            <v>5</v>
          </cell>
          <cell r="C47">
            <v>62</v>
          </cell>
          <cell r="D47">
            <v>5</v>
          </cell>
          <cell r="E47">
            <v>57</v>
          </cell>
          <cell r="F47">
            <v>1</v>
          </cell>
          <cell r="G47">
            <v>1</v>
          </cell>
          <cell r="H47">
            <v>26</v>
          </cell>
          <cell r="I47">
            <v>21</v>
          </cell>
        </row>
        <row r="48">
          <cell r="A48">
            <v>46147</v>
          </cell>
          <cell r="B48">
            <v>1</v>
          </cell>
          <cell r="C48">
            <v>63</v>
          </cell>
          <cell r="D48">
            <v>1</v>
          </cell>
          <cell r="E48">
            <v>58</v>
          </cell>
          <cell r="F48">
            <v>3</v>
          </cell>
          <cell r="G48">
            <v>3</v>
          </cell>
          <cell r="H48">
            <v>29</v>
          </cell>
          <cell r="I48">
            <v>24</v>
          </cell>
        </row>
        <row r="49">
          <cell r="A49">
            <v>46148</v>
          </cell>
          <cell r="B49">
            <v>1</v>
          </cell>
          <cell r="C49">
            <v>64</v>
          </cell>
          <cell r="D49">
            <v>1</v>
          </cell>
          <cell r="E49">
            <v>59</v>
          </cell>
          <cell r="F49">
            <v>8</v>
          </cell>
          <cell r="G49">
            <v>8</v>
          </cell>
          <cell r="H49">
            <v>37</v>
          </cell>
          <cell r="I49">
            <v>32</v>
          </cell>
        </row>
        <row r="50">
          <cell r="A50">
            <v>46149</v>
          </cell>
          <cell r="B50">
            <v>3</v>
          </cell>
          <cell r="C50">
            <v>67</v>
          </cell>
          <cell r="D50">
            <v>3</v>
          </cell>
          <cell r="E50">
            <v>62</v>
          </cell>
          <cell r="F50">
            <v>0</v>
          </cell>
          <cell r="G50">
            <v>0</v>
          </cell>
          <cell r="H50">
            <v>37</v>
          </cell>
          <cell r="I50">
            <v>32</v>
          </cell>
        </row>
        <row r="51">
          <cell r="A51">
            <v>46150</v>
          </cell>
          <cell r="B51">
            <v>8</v>
          </cell>
          <cell r="C51">
            <v>75</v>
          </cell>
          <cell r="D51">
            <v>8</v>
          </cell>
          <cell r="E51">
            <v>70</v>
          </cell>
          <cell r="F51">
            <v>5</v>
          </cell>
          <cell r="G51">
            <v>5</v>
          </cell>
          <cell r="H51">
            <v>42</v>
          </cell>
          <cell r="I51">
            <v>37</v>
          </cell>
        </row>
        <row r="52">
          <cell r="A52">
            <v>46151</v>
          </cell>
          <cell r="B52">
            <v>0</v>
          </cell>
          <cell r="C52">
            <v>75</v>
          </cell>
          <cell r="D52">
            <v>0</v>
          </cell>
          <cell r="E52">
            <v>70</v>
          </cell>
          <cell r="F52">
            <v>0</v>
          </cell>
          <cell r="G52">
            <v>0</v>
          </cell>
          <cell r="H52">
            <v>42</v>
          </cell>
          <cell r="I52">
            <v>37</v>
          </cell>
        </row>
        <row r="53">
          <cell r="A53">
            <v>46152</v>
          </cell>
          <cell r="B53">
            <v>0</v>
          </cell>
          <cell r="C53">
            <v>75</v>
          </cell>
          <cell r="D53">
            <v>0</v>
          </cell>
          <cell r="E53">
            <v>70</v>
          </cell>
          <cell r="F53">
            <v>0</v>
          </cell>
          <cell r="G53">
            <v>0</v>
          </cell>
          <cell r="H53">
            <v>42</v>
          </cell>
          <cell r="I53">
            <v>37</v>
          </cell>
        </row>
        <row r="54">
          <cell r="A54">
            <v>46153</v>
          </cell>
          <cell r="B54">
            <v>2</v>
          </cell>
          <cell r="C54">
            <v>77</v>
          </cell>
          <cell r="D54">
            <v>2</v>
          </cell>
          <cell r="E54">
            <v>72</v>
          </cell>
          <cell r="F54">
            <v>1</v>
          </cell>
          <cell r="G54">
            <v>1</v>
          </cell>
          <cell r="H54">
            <v>43</v>
          </cell>
          <cell r="I54">
            <v>38</v>
          </cell>
        </row>
        <row r="55">
          <cell r="A55">
            <v>46154</v>
          </cell>
          <cell r="B55">
            <v>1</v>
          </cell>
          <cell r="C55">
            <v>78</v>
          </cell>
          <cell r="D55">
            <v>1</v>
          </cell>
          <cell r="E55">
            <v>73</v>
          </cell>
          <cell r="F55">
            <v>3</v>
          </cell>
          <cell r="G55">
            <v>3</v>
          </cell>
          <cell r="H55">
            <v>46</v>
          </cell>
          <cell r="I55">
            <v>41</v>
          </cell>
        </row>
        <row r="56">
          <cell r="A56">
            <v>46155</v>
          </cell>
          <cell r="B56">
            <v>3</v>
          </cell>
          <cell r="C56">
            <v>81</v>
          </cell>
          <cell r="D56">
            <v>3</v>
          </cell>
          <cell r="E56">
            <v>76</v>
          </cell>
          <cell r="F56">
            <v>1</v>
          </cell>
          <cell r="G56">
            <v>1</v>
          </cell>
          <cell r="H56">
            <v>47</v>
          </cell>
          <cell r="I56">
            <v>42</v>
          </cell>
        </row>
        <row r="57">
          <cell r="A57">
            <v>46156</v>
          </cell>
          <cell r="B57">
            <v>16</v>
          </cell>
          <cell r="C57">
            <v>97</v>
          </cell>
          <cell r="D57">
            <v>16</v>
          </cell>
          <cell r="E57">
            <v>92</v>
          </cell>
          <cell r="F57">
            <v>11</v>
          </cell>
          <cell r="G57">
            <v>11</v>
          </cell>
          <cell r="H57">
            <v>58</v>
          </cell>
          <cell r="I57">
            <v>53</v>
          </cell>
        </row>
        <row r="58">
          <cell r="A58">
            <v>46157</v>
          </cell>
          <cell r="B58">
            <v>4</v>
          </cell>
          <cell r="C58">
            <v>101</v>
          </cell>
          <cell r="D58">
            <v>3</v>
          </cell>
          <cell r="E58">
            <v>95</v>
          </cell>
          <cell r="F58">
            <v>4</v>
          </cell>
          <cell r="G58">
            <v>4</v>
          </cell>
          <cell r="H58">
            <v>62</v>
          </cell>
          <cell r="I58">
            <v>57</v>
          </cell>
        </row>
        <row r="59">
          <cell r="A59">
            <v>46158</v>
          </cell>
          <cell r="B59">
            <v>0</v>
          </cell>
          <cell r="C59">
            <v>101</v>
          </cell>
          <cell r="D59">
            <v>0</v>
          </cell>
          <cell r="E59">
            <v>95</v>
          </cell>
          <cell r="F59">
            <v>0</v>
          </cell>
          <cell r="G59">
            <v>0</v>
          </cell>
          <cell r="H59">
            <v>62</v>
          </cell>
          <cell r="I59">
            <v>57</v>
          </cell>
        </row>
        <row r="60">
          <cell r="A60">
            <v>46159</v>
          </cell>
          <cell r="B60">
            <v>0</v>
          </cell>
          <cell r="C60">
            <v>101</v>
          </cell>
          <cell r="D60">
            <v>0</v>
          </cell>
          <cell r="E60">
            <v>95</v>
          </cell>
          <cell r="F60">
            <v>0</v>
          </cell>
          <cell r="G60">
            <v>0</v>
          </cell>
          <cell r="H60">
            <v>62</v>
          </cell>
          <cell r="I60">
            <v>57</v>
          </cell>
        </row>
        <row r="61">
          <cell r="A61">
            <v>46160</v>
          </cell>
          <cell r="B61">
            <v>2</v>
          </cell>
          <cell r="C61">
            <v>103</v>
          </cell>
          <cell r="D61">
            <v>2</v>
          </cell>
          <cell r="E61">
            <v>97</v>
          </cell>
          <cell r="F61">
            <v>0</v>
          </cell>
          <cell r="G61">
            <v>0</v>
          </cell>
          <cell r="H61">
            <v>62</v>
          </cell>
          <cell r="I61">
            <v>57</v>
          </cell>
        </row>
        <row r="62">
          <cell r="A62">
            <v>46161</v>
          </cell>
          <cell r="B62">
            <v>2</v>
          </cell>
          <cell r="C62">
            <v>105</v>
          </cell>
          <cell r="D62">
            <v>2</v>
          </cell>
          <cell r="E62">
            <v>99</v>
          </cell>
          <cell r="F62">
            <v>0</v>
          </cell>
          <cell r="G62">
            <v>0</v>
          </cell>
          <cell r="H62">
            <v>62</v>
          </cell>
          <cell r="I62">
            <v>57</v>
          </cell>
        </row>
        <row r="63">
          <cell r="A63">
            <v>46162</v>
          </cell>
          <cell r="B63">
            <v>5</v>
          </cell>
          <cell r="C63">
            <v>110</v>
          </cell>
          <cell r="D63">
            <v>4</v>
          </cell>
          <cell r="E63">
            <v>103</v>
          </cell>
          <cell r="F63">
            <v>4</v>
          </cell>
          <cell r="G63">
            <v>4</v>
          </cell>
          <cell r="H63">
            <v>66</v>
          </cell>
          <cell r="I63">
            <v>61</v>
          </cell>
        </row>
        <row r="64">
          <cell r="A64">
            <v>46163</v>
          </cell>
          <cell r="B64">
            <v>4</v>
          </cell>
          <cell r="C64">
            <v>114</v>
          </cell>
          <cell r="D64">
            <v>4</v>
          </cell>
          <cell r="E64">
            <v>107</v>
          </cell>
          <cell r="F64">
            <v>1</v>
          </cell>
          <cell r="G64">
            <v>1</v>
          </cell>
          <cell r="H64">
            <v>67</v>
          </cell>
          <cell r="I64">
            <v>62</v>
          </cell>
        </row>
        <row r="65">
          <cell r="A65">
            <v>46164</v>
          </cell>
          <cell r="B65">
            <v>14</v>
          </cell>
          <cell r="C65">
            <v>128</v>
          </cell>
          <cell r="D65">
            <v>14</v>
          </cell>
          <cell r="E65">
            <v>121</v>
          </cell>
          <cell r="F65">
            <v>9</v>
          </cell>
          <cell r="G65">
            <v>8</v>
          </cell>
          <cell r="H65">
            <v>76</v>
          </cell>
          <cell r="I65">
            <v>70</v>
          </cell>
        </row>
        <row r="66">
          <cell r="A66">
            <v>46165</v>
          </cell>
          <cell r="B66">
            <v>0</v>
          </cell>
          <cell r="C66">
            <v>128</v>
          </cell>
          <cell r="D66">
            <v>0</v>
          </cell>
          <cell r="E66">
            <v>121</v>
          </cell>
          <cell r="F66">
            <v>0</v>
          </cell>
          <cell r="G66">
            <v>0</v>
          </cell>
          <cell r="H66">
            <v>76</v>
          </cell>
          <cell r="I66">
            <v>70</v>
          </cell>
        </row>
        <row r="67">
          <cell r="A67">
            <v>46166</v>
          </cell>
          <cell r="B67">
            <v>0</v>
          </cell>
          <cell r="C67">
            <v>128</v>
          </cell>
          <cell r="D67">
            <v>0</v>
          </cell>
          <cell r="E67">
            <v>121</v>
          </cell>
          <cell r="F67">
            <v>0</v>
          </cell>
          <cell r="G67">
            <v>0</v>
          </cell>
          <cell r="H67">
            <v>76</v>
          </cell>
          <cell r="I67">
            <v>70</v>
          </cell>
        </row>
        <row r="68">
          <cell r="A68">
            <v>46167</v>
          </cell>
          <cell r="B68">
            <v>4</v>
          </cell>
          <cell r="C68">
            <v>132</v>
          </cell>
          <cell r="D68">
            <v>3</v>
          </cell>
          <cell r="E68">
            <v>124</v>
          </cell>
          <cell r="F68">
            <v>9</v>
          </cell>
          <cell r="G68">
            <v>7</v>
          </cell>
          <cell r="H68">
            <v>85</v>
          </cell>
          <cell r="I68">
            <v>77</v>
          </cell>
        </row>
        <row r="69">
          <cell r="A69">
            <v>46168</v>
          </cell>
          <cell r="B69">
            <v>12</v>
          </cell>
          <cell r="C69">
            <v>144</v>
          </cell>
          <cell r="D69">
            <v>12</v>
          </cell>
          <cell r="E69">
            <v>136</v>
          </cell>
          <cell r="F69">
            <v>9</v>
          </cell>
          <cell r="G69">
            <v>9</v>
          </cell>
          <cell r="H69">
            <v>94</v>
          </cell>
          <cell r="I69">
            <v>86</v>
          </cell>
        </row>
        <row r="70">
          <cell r="A70">
            <v>46169</v>
          </cell>
          <cell r="B70">
            <v>8</v>
          </cell>
          <cell r="C70">
            <v>152</v>
          </cell>
          <cell r="D70">
            <v>8</v>
          </cell>
          <cell r="E70">
            <v>144</v>
          </cell>
          <cell r="F70">
            <v>4</v>
          </cell>
          <cell r="G70">
            <v>1</v>
          </cell>
          <cell r="H70">
            <v>98</v>
          </cell>
          <cell r="I70">
            <v>87</v>
          </cell>
        </row>
        <row r="71">
          <cell r="A71">
            <v>46170</v>
          </cell>
          <cell r="B71">
            <v>2</v>
          </cell>
          <cell r="C71">
            <v>154</v>
          </cell>
          <cell r="D71">
            <v>1</v>
          </cell>
          <cell r="E71">
            <v>145</v>
          </cell>
          <cell r="F71">
            <v>6</v>
          </cell>
          <cell r="G71">
            <v>6</v>
          </cell>
          <cell r="H71">
            <v>104</v>
          </cell>
          <cell r="I71">
            <v>93</v>
          </cell>
        </row>
        <row r="72">
          <cell r="A72">
            <v>46171</v>
          </cell>
          <cell r="B72">
            <v>2</v>
          </cell>
          <cell r="C72">
            <v>156</v>
          </cell>
          <cell r="D72">
            <v>2</v>
          </cell>
          <cell r="E72">
            <v>147</v>
          </cell>
          <cell r="F72">
            <v>15</v>
          </cell>
          <cell r="G72">
            <v>14</v>
          </cell>
          <cell r="H72">
            <v>119</v>
          </cell>
          <cell r="I72">
            <v>107</v>
          </cell>
        </row>
        <row r="73">
          <cell r="A73">
            <v>46172</v>
          </cell>
          <cell r="B73">
            <v>0</v>
          </cell>
          <cell r="C73">
            <v>156</v>
          </cell>
          <cell r="D73">
            <v>0</v>
          </cell>
          <cell r="E73">
            <v>147</v>
          </cell>
          <cell r="F73">
            <v>0</v>
          </cell>
          <cell r="G73">
            <v>0</v>
          </cell>
          <cell r="H73">
            <v>119</v>
          </cell>
          <cell r="I73">
            <v>107</v>
          </cell>
        </row>
        <row r="74">
          <cell r="A74">
            <v>46173</v>
          </cell>
          <cell r="B74">
            <v>0</v>
          </cell>
          <cell r="C74">
            <v>156</v>
          </cell>
          <cell r="D74">
            <v>0</v>
          </cell>
          <cell r="E74">
            <v>147</v>
          </cell>
          <cell r="F74">
            <v>0</v>
          </cell>
          <cell r="G74">
            <v>0</v>
          </cell>
          <cell r="H74">
            <v>119</v>
          </cell>
          <cell r="I74">
            <v>107</v>
          </cell>
        </row>
        <row r="75">
          <cell r="A75">
            <v>46174</v>
          </cell>
          <cell r="B75">
            <v>1</v>
          </cell>
          <cell r="C75">
            <v>157</v>
          </cell>
          <cell r="D75">
            <v>1</v>
          </cell>
          <cell r="E75">
            <v>148</v>
          </cell>
          <cell r="F75">
            <v>10</v>
          </cell>
          <cell r="G75">
            <v>8</v>
          </cell>
          <cell r="H75">
            <v>129</v>
          </cell>
          <cell r="I75">
            <v>115</v>
          </cell>
        </row>
        <row r="76">
          <cell r="A76">
            <v>46175</v>
          </cell>
          <cell r="B76">
            <v>15</v>
          </cell>
          <cell r="C76">
            <v>172</v>
          </cell>
          <cell r="D76">
            <v>14</v>
          </cell>
          <cell r="E76">
            <v>162</v>
          </cell>
          <cell r="F76">
            <v>3</v>
          </cell>
          <cell r="G76">
            <v>1</v>
          </cell>
          <cell r="H76">
            <v>132</v>
          </cell>
          <cell r="I76">
            <v>116</v>
          </cell>
        </row>
        <row r="77">
          <cell r="A77">
            <v>46176</v>
          </cell>
          <cell r="B77">
            <v>7</v>
          </cell>
          <cell r="C77">
            <v>179</v>
          </cell>
          <cell r="D77">
            <v>7</v>
          </cell>
          <cell r="E77">
            <v>169</v>
          </cell>
          <cell r="F77">
            <v>14</v>
          </cell>
          <cell r="G77">
            <v>13</v>
          </cell>
          <cell r="H77">
            <v>146</v>
          </cell>
          <cell r="I77">
            <v>129</v>
          </cell>
        </row>
        <row r="78">
          <cell r="A78">
            <v>46177</v>
          </cell>
          <cell r="B78">
            <v>0</v>
          </cell>
          <cell r="C78">
            <v>179</v>
          </cell>
          <cell r="D78">
            <v>0</v>
          </cell>
          <cell r="E78">
            <v>169</v>
          </cell>
          <cell r="F78">
            <v>0</v>
          </cell>
          <cell r="G78">
            <v>0</v>
          </cell>
          <cell r="H78">
            <v>146</v>
          </cell>
          <cell r="I78">
            <v>129</v>
          </cell>
        </row>
        <row r="79">
          <cell r="A79">
            <v>46178</v>
          </cell>
          <cell r="B79">
            <v>0</v>
          </cell>
          <cell r="C79">
            <v>179</v>
          </cell>
          <cell r="D79">
            <v>0</v>
          </cell>
          <cell r="E79">
            <v>169</v>
          </cell>
          <cell r="F79">
            <v>0</v>
          </cell>
          <cell r="G79">
            <v>0</v>
          </cell>
          <cell r="H79">
            <v>146</v>
          </cell>
          <cell r="I79">
            <v>129</v>
          </cell>
        </row>
        <row r="80">
          <cell r="A80">
            <v>46179</v>
          </cell>
          <cell r="B80">
            <v>0</v>
          </cell>
          <cell r="C80">
            <v>179</v>
          </cell>
          <cell r="D80">
            <v>0</v>
          </cell>
          <cell r="E80">
            <v>169</v>
          </cell>
          <cell r="F80">
            <v>0</v>
          </cell>
          <cell r="G80">
            <v>0</v>
          </cell>
          <cell r="H80">
            <v>146</v>
          </cell>
          <cell r="I80">
            <v>129</v>
          </cell>
        </row>
        <row r="81">
          <cell r="A81">
            <v>46180</v>
          </cell>
          <cell r="B81">
            <v>0</v>
          </cell>
          <cell r="C81">
            <v>179</v>
          </cell>
          <cell r="D81">
            <v>0</v>
          </cell>
          <cell r="E81">
            <v>169</v>
          </cell>
          <cell r="F81">
            <v>0</v>
          </cell>
          <cell r="G81">
            <v>0</v>
          </cell>
          <cell r="H81">
            <v>146</v>
          </cell>
          <cell r="I81">
            <v>129</v>
          </cell>
        </row>
        <row r="82">
          <cell r="A82">
            <v>46181</v>
          </cell>
          <cell r="B82">
            <v>10</v>
          </cell>
          <cell r="C82">
            <v>189</v>
          </cell>
          <cell r="D82">
            <v>9</v>
          </cell>
          <cell r="E82">
            <v>178</v>
          </cell>
          <cell r="F82">
            <v>7</v>
          </cell>
          <cell r="G82">
            <v>7</v>
          </cell>
          <cell r="H82">
            <v>153</v>
          </cell>
          <cell r="I82">
            <v>136</v>
          </cell>
        </row>
        <row r="83">
          <cell r="A83">
            <v>46182</v>
          </cell>
          <cell r="B83">
            <v>3</v>
          </cell>
          <cell r="C83">
            <v>192</v>
          </cell>
          <cell r="D83">
            <v>3</v>
          </cell>
          <cell r="E83">
            <v>181</v>
          </cell>
          <cell r="F83">
            <v>2</v>
          </cell>
          <cell r="G83">
            <v>0</v>
          </cell>
          <cell r="H83">
            <v>155</v>
          </cell>
          <cell r="I83">
            <v>136</v>
          </cell>
        </row>
        <row r="84">
          <cell r="A84">
            <v>46183</v>
          </cell>
          <cell r="B84">
            <v>3</v>
          </cell>
          <cell r="C84">
            <v>195</v>
          </cell>
          <cell r="D84">
            <v>2</v>
          </cell>
          <cell r="E84">
            <v>183</v>
          </cell>
          <cell r="F84">
            <v>17</v>
          </cell>
          <cell r="G84">
            <v>11</v>
          </cell>
          <cell r="H84">
            <v>172</v>
          </cell>
          <cell r="I84">
            <v>147</v>
          </cell>
        </row>
        <row r="85">
          <cell r="A85">
            <v>46184</v>
          </cell>
          <cell r="B85">
            <v>1</v>
          </cell>
          <cell r="C85">
            <v>196</v>
          </cell>
          <cell r="D85">
            <v>0</v>
          </cell>
          <cell r="E85">
            <v>183</v>
          </cell>
          <cell r="F85">
            <v>3</v>
          </cell>
          <cell r="G85">
            <v>2</v>
          </cell>
          <cell r="H85">
            <v>175</v>
          </cell>
          <cell r="I85">
            <v>149</v>
          </cell>
        </row>
        <row r="86">
          <cell r="A86">
            <v>46185</v>
          </cell>
          <cell r="B86">
            <v>4</v>
          </cell>
          <cell r="C86">
            <v>200</v>
          </cell>
          <cell r="D86">
            <v>4</v>
          </cell>
          <cell r="E86">
            <v>187</v>
          </cell>
          <cell r="F86">
            <v>4</v>
          </cell>
          <cell r="G86">
            <v>3</v>
          </cell>
          <cell r="H86">
            <v>179</v>
          </cell>
          <cell r="I86">
            <v>152</v>
          </cell>
        </row>
        <row r="87">
          <cell r="A87">
            <v>46186</v>
          </cell>
          <cell r="B87">
            <v>0</v>
          </cell>
          <cell r="C87">
            <v>200</v>
          </cell>
          <cell r="D87">
            <v>0</v>
          </cell>
          <cell r="E87">
            <v>187</v>
          </cell>
          <cell r="F87">
            <v>0</v>
          </cell>
          <cell r="G87">
            <v>0</v>
          </cell>
          <cell r="H87">
            <v>179</v>
          </cell>
          <cell r="I87">
            <v>152</v>
          </cell>
        </row>
        <row r="88">
          <cell r="A88">
            <v>46187</v>
          </cell>
          <cell r="B88">
            <v>0</v>
          </cell>
          <cell r="C88">
            <v>200</v>
          </cell>
          <cell r="D88">
            <v>0</v>
          </cell>
          <cell r="E88">
            <v>187</v>
          </cell>
          <cell r="F88">
            <v>0</v>
          </cell>
          <cell r="G88">
            <v>0</v>
          </cell>
          <cell r="H88">
            <v>179</v>
          </cell>
          <cell r="I88">
            <v>152</v>
          </cell>
        </row>
        <row r="89">
          <cell r="A89">
            <v>46188</v>
          </cell>
          <cell r="B89">
            <v>2</v>
          </cell>
          <cell r="C89">
            <v>202</v>
          </cell>
          <cell r="D89">
            <v>1</v>
          </cell>
          <cell r="E89">
            <v>188</v>
          </cell>
          <cell r="F89">
            <v>13</v>
          </cell>
          <cell r="G89">
            <v>1</v>
          </cell>
          <cell r="H89">
            <v>192</v>
          </cell>
          <cell r="I89">
            <v>153</v>
          </cell>
        </row>
        <row r="90">
          <cell r="A90">
            <v>46189</v>
          </cell>
          <cell r="B90">
            <v>6</v>
          </cell>
          <cell r="C90">
            <v>208</v>
          </cell>
          <cell r="D90">
            <v>0</v>
          </cell>
          <cell r="E90">
            <v>190</v>
          </cell>
          <cell r="F90">
            <v>2</v>
          </cell>
          <cell r="G90">
            <v>1</v>
          </cell>
          <cell r="H90">
            <v>194</v>
          </cell>
          <cell r="I90">
            <v>154</v>
          </cell>
        </row>
        <row r="91">
          <cell r="A91">
            <v>46190</v>
          </cell>
          <cell r="B91">
            <v>9</v>
          </cell>
          <cell r="C91">
            <v>230</v>
          </cell>
          <cell r="D91">
            <v>9</v>
          </cell>
          <cell r="E91">
            <v>231</v>
          </cell>
          <cell r="F91">
            <v>8</v>
          </cell>
          <cell r="G91">
            <v>10</v>
          </cell>
          <cell r="H91">
            <v>192</v>
          </cell>
          <cell r="I91">
            <v>198</v>
          </cell>
        </row>
        <row r="92">
          <cell r="A92">
            <v>46191</v>
          </cell>
          <cell r="B92">
            <v>3</v>
          </cell>
          <cell r="C92">
            <v>233</v>
          </cell>
          <cell r="D92">
            <v>3</v>
          </cell>
          <cell r="E92">
            <v>234</v>
          </cell>
          <cell r="F92">
            <v>1</v>
          </cell>
          <cell r="G92">
            <v>4</v>
          </cell>
          <cell r="H92">
            <v>193</v>
          </cell>
          <cell r="I92">
            <v>202</v>
          </cell>
        </row>
        <row r="93">
          <cell r="A93">
            <v>46192</v>
          </cell>
          <cell r="B93">
            <v>28</v>
          </cell>
          <cell r="C93">
            <v>261</v>
          </cell>
          <cell r="D93">
            <v>14</v>
          </cell>
          <cell r="E93">
            <v>248</v>
          </cell>
          <cell r="F93">
            <v>13</v>
          </cell>
          <cell r="G93">
            <v>14</v>
          </cell>
          <cell r="H93">
            <v>206</v>
          </cell>
          <cell r="I93">
            <v>216</v>
          </cell>
        </row>
        <row r="94">
          <cell r="A94">
            <v>46193</v>
          </cell>
          <cell r="B94">
            <v>0</v>
          </cell>
          <cell r="C94">
            <v>261</v>
          </cell>
          <cell r="D94">
            <v>0</v>
          </cell>
          <cell r="E94">
            <v>248</v>
          </cell>
          <cell r="F94">
            <v>0</v>
          </cell>
          <cell r="G94">
            <v>0</v>
          </cell>
          <cell r="H94">
            <v>206</v>
          </cell>
          <cell r="I94">
            <v>216</v>
          </cell>
        </row>
        <row r="95">
          <cell r="A95">
            <v>46194</v>
          </cell>
          <cell r="B95">
            <v>0</v>
          </cell>
          <cell r="C95">
            <v>261</v>
          </cell>
          <cell r="D95">
            <v>0</v>
          </cell>
          <cell r="E95">
            <v>248</v>
          </cell>
          <cell r="F95">
            <v>0</v>
          </cell>
          <cell r="G95">
            <v>0</v>
          </cell>
          <cell r="H95">
            <v>206</v>
          </cell>
          <cell r="I95">
            <v>216</v>
          </cell>
        </row>
        <row r="96">
          <cell r="A96">
            <v>46195</v>
          </cell>
          <cell r="B96">
            <v>3</v>
          </cell>
          <cell r="C96">
            <v>264</v>
          </cell>
          <cell r="D96">
            <v>8</v>
          </cell>
          <cell r="E96">
            <v>256</v>
          </cell>
          <cell r="F96">
            <v>6</v>
          </cell>
          <cell r="G96">
            <v>3</v>
          </cell>
          <cell r="H96">
            <v>212</v>
          </cell>
          <cell r="I96">
            <v>219</v>
          </cell>
        </row>
        <row r="97">
          <cell r="A97">
            <v>46196</v>
          </cell>
          <cell r="B97">
            <v>4</v>
          </cell>
          <cell r="C97">
            <v>268</v>
          </cell>
          <cell r="D97">
            <v>9</v>
          </cell>
          <cell r="E97">
            <v>265</v>
          </cell>
          <cell r="F97">
            <v>3</v>
          </cell>
          <cell r="G97">
            <v>4</v>
          </cell>
          <cell r="H97">
            <v>215</v>
          </cell>
          <cell r="I97">
            <v>223</v>
          </cell>
        </row>
        <row r="98">
          <cell r="A98">
            <v>46197</v>
          </cell>
          <cell r="B98">
            <v>0</v>
          </cell>
          <cell r="C98">
            <v>268</v>
          </cell>
          <cell r="D98">
            <v>0</v>
          </cell>
          <cell r="E98">
            <v>265</v>
          </cell>
          <cell r="F98">
            <v>14</v>
          </cell>
          <cell r="G98">
            <v>15</v>
          </cell>
          <cell r="H98">
            <v>229</v>
          </cell>
          <cell r="I98">
            <v>238</v>
          </cell>
        </row>
        <row r="99">
          <cell r="A99">
            <v>46198</v>
          </cell>
          <cell r="B99">
            <v>0</v>
          </cell>
          <cell r="C99">
            <v>268</v>
          </cell>
          <cell r="D99">
            <v>0</v>
          </cell>
          <cell r="E99">
            <v>265</v>
          </cell>
          <cell r="F99">
            <v>9</v>
          </cell>
          <cell r="G99">
            <v>8</v>
          </cell>
          <cell r="H99">
            <v>238</v>
          </cell>
          <cell r="I99">
            <v>246</v>
          </cell>
        </row>
        <row r="100">
          <cell r="A100">
            <v>46199</v>
          </cell>
          <cell r="B100">
            <v>0</v>
          </cell>
          <cell r="C100">
            <v>268</v>
          </cell>
          <cell r="D100">
            <v>1</v>
          </cell>
          <cell r="E100">
            <v>266</v>
          </cell>
          <cell r="F100">
            <v>29</v>
          </cell>
          <cell r="G100">
            <v>14</v>
          </cell>
          <cell r="H100">
            <v>267</v>
          </cell>
          <cell r="I100">
            <v>260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B942F7-A036-49CC-BD18-827FDC18E608}" name="Tabela1" displayName="Tabela1" ref="A1:AP1475" totalsRowShown="0">
  <autoFilter ref="A1:AP1475" xr:uid="{11B942F7-A036-49CC-BD18-827FDC18E608}"/>
  <tableColumns count="42">
    <tableColumn id="1" xr3:uid="{4E21731E-9930-4B46-8BB7-DFA504AF85C1}" name="Id"/>
    <tableColumn id="2" xr3:uid="{B5087200-D92A-403E-9023-30EAF342AF3C}" name="EDT"/>
    <tableColumn id="3" xr3:uid="{4B63B967-973F-409E-A448-843A562BF4FF}" name="Nome do Resumo da Tarefa"/>
    <tableColumn id="4" xr3:uid="{8C4906E4-E7DD-4570-AD28-966A8B784EC1}" name="Nome da Tarefa"/>
    <tableColumn id="5" xr3:uid="{4D195B05-A23A-4655-886C-8BF205CCC7C8}" name="% concluída" dataDxfId="26"/>
    <tableColumn id="6" xr3:uid="{0B21AAC0-ED2B-46AC-8E2A-37E6824C9A80}" name="Duração"/>
    <tableColumn id="7" xr3:uid="{0458B519-7E53-4DAB-B60B-F8545588A4A6}" name="Duração real"/>
    <tableColumn id="8" xr3:uid="{74623B61-CF7E-4831-9EF7-4E382336086E}" name="Início" dataDxfId="25"/>
    <tableColumn id="9" xr3:uid="{9D762447-3DE2-4C20-B246-D4055B114B74}" name="Término" dataDxfId="24"/>
    <tableColumn id="10" xr3:uid="{4C33085C-4416-480F-8CE7-550AC3EDC7AB}" name="Início da Linha de Base"/>
    <tableColumn id="11" xr3:uid="{F651E714-B5FC-436D-9A13-535D6BD86BD9}" name="Término da linha de base" dataDxfId="23"/>
    <tableColumn id="12" xr3:uid="{409B657D-3C4B-494A-90D7-77C250EBD32A}" name="Início_LB_R0" dataDxfId="22"/>
    <tableColumn id="13" xr3:uid="{1F01CA4B-86A5-4849-B452-C743820292DF}" name="Término_LB_R0" dataDxfId="21"/>
    <tableColumn id="14" xr3:uid="{4BAA6A53-4CFB-4317-9E74-B3A99C336197}" name="Término real" dataDxfId="20"/>
    <tableColumn id="15" xr3:uid="{ABED4ACB-382E-4F19-86BF-FBAA26355769}" name="Início real"/>
    <tableColumn id="16" xr3:uid="{39D25421-7B55-4448-8D5C-458E381EF957}" name="Status"/>
    <tableColumn id="17" xr3:uid="{E6466425-6A68-4E29-82FD-DC1ABDAA81A8}" name="Predecessoras"/>
    <tableColumn id="18" xr3:uid="{EE2B17EF-47AD-457B-B6BC-6F69149FFC12}" name="HORA EXECUTADA TENAX"/>
    <tableColumn id="19" xr3:uid="{B48EBACF-EC5C-4F94-A6C8-E955BF9212A3}" name="Nomes dos recursos"/>
    <tableColumn id="20" xr3:uid="{B4AB6B17-6368-44AA-BD28-348917062ABF}" name="Disciplina"/>
    <tableColumn id="21" xr3:uid="{3A0C1B25-A172-4742-A2D7-47324129E799}" name="Sucessoras"/>
    <tableColumn id="22" xr3:uid="{FED17E91-6266-494A-BFC4-E29D6664DC19}" name="Duração_LB_R0"/>
    <tableColumn id="23" xr3:uid="{49D0D966-EA55-487B-A869-3CBBA6E1F65D}" name="Duração Média (Tenax)"/>
    <tableColumn id="24" xr3:uid="{290EE3E7-6807-4D62-8AD4-EA826A3CC16F}" name="Crítica"/>
    <tableColumn id="25" xr3:uid="{5C93B691-EEFD-4B3F-ACF0-466AEEC6C9D1}" name="Duração Medida (h)"/>
    <tableColumn id="26" xr3:uid="{92B5BCB4-57A2-4E9A-940F-E19A8BC50CA4}" name="Nomes dos recursos.1"/>
    <tableColumn id="27" xr3:uid="{73ECD97B-A0ED-4F9F-B0F4-91B263CE2213}" name="Sprint"/>
    <tableColumn id="28" xr3:uid="{0CAEC642-FAFD-4D33-97E2-692F4D8A0046}" name="Comparação"/>
    <tableColumn id="29" xr3:uid="{C53DE2D2-D0BC-43B4-93D8-97C072E48234}" name="Inicio_LB_R0"/>
    <tableColumn id="30" xr3:uid="{B2B1BDEB-7ACE-49B3-893F-893FC6B1A2E9}" name="Término _LB_R0"/>
    <tableColumn id="31" xr3:uid="{8BCB76A3-1CDA-49F9-968E-7B155A9D67FF}" name="pct_val"/>
    <tableColumn id="32" xr3:uid="{A38E1660-F3AA-4F29-8236-35971970F27D}" name="Emissão inicial total"/>
    <tableColumn id="33" xr3:uid="{26854419-FB55-44BA-85C8-D6B42780CBB9}" name="Emissão inicial concluída"/>
    <tableColumn id="34" xr3:uid="{9908365A-32F4-4A3B-87BC-629FBE561553}" name="Emissão Inicial Atrasada"/>
    <tableColumn id="35" xr3:uid="{17CB5798-D8F5-446C-AAAE-A29D79C46A26}" name="Aprovação total"/>
    <tableColumn id="36" xr3:uid="{5933AA2F-3DCC-4552-AB1D-FB8A182B2ECC}" name="Avaliação do cliente concluída"/>
    <tableColumn id="37" xr3:uid="{9BD8E8EA-7DD5-4537-A1BE-8A9C70D61FC0}" name="Avaliação Cliente Atrasada"/>
    <tableColumn id="38" xr3:uid="{D15056E1-937A-4AC5-A7FD-9F3410980347}" name="Atendimento de comentário concluído"/>
    <tableColumn id="39" xr3:uid="{D05D8BD0-B321-4161-AC65-158DEEABEF8B}" name="Atendimento Atrasado"/>
    <tableColumn id="40" xr3:uid="{BB7C959F-AB77-4660-84A6-2B1A8D45F902}" name="Aprovação concluída"/>
    <tableColumn id="41" xr3:uid="{19C9A421-B965-4302-AC6D-70FA0B8A0766}" name="Aprovação Atrasada"/>
    <tableColumn id="42" xr3:uid="{60EFACE2-17D4-4DC5-B80C-1621FFEF3854}" name="Aderênci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1B826D-E7A4-417B-8404-4DA4C628CAB9}" name="Tabela2" displayName="Tabela2" ref="A3:H15" totalsRowCount="1">
  <autoFilter ref="A3:H14" xr:uid="{291B826D-E7A4-417B-8404-4DA4C628CAB9}"/>
  <tableColumns count="8">
    <tableColumn id="1" xr3:uid="{40DFF692-6FB4-41EB-B7F4-4BE0B05836B3}" name="Disciplina" totalsRowLabel="Total"/>
    <tableColumn id="2" xr3:uid="{0149E252-02E6-4F1B-A22C-C0AB3F88E3D0}" name="Emissão inicial total" totalsRowFunction="sum" totalsRowDxfId="35"/>
    <tableColumn id="3" xr3:uid="{8EC0DAF6-5D40-40EE-B366-478996394C7F}" name="Emissão inicial concluída" totalsRowFunction="sum" totalsRowDxfId="34"/>
    <tableColumn id="4" xr3:uid="{3085F1DB-03E5-4E54-9BCE-155E2CDF4664}" name="%EI" dataDxfId="33" totalsRowDxfId="32"/>
    <tableColumn id="5" xr3:uid="{C50D80D9-ACA2-49F5-8151-8B9CBC556889}" name="Avaliação do cliente concluída" totalsRowFunction="sum" totalsRowDxfId="31"/>
    <tableColumn id="6" xr3:uid="{5A530F2B-B089-4FF5-96C1-D99053ED205D}" name="Atendimento de comentário concluído" totalsRowFunction="sum" totalsRowDxfId="30"/>
    <tableColumn id="7" xr3:uid="{433CDE3C-7C33-4BAF-A668-93FB14D2DD49}" name="Aprovação concluída" totalsRowFunction="sum" totalsRowDxfId="29"/>
    <tableColumn id="8" xr3:uid="{85C13D7A-EDB8-4719-B829-44C72C6A2B8A}" name="%AP" dataDxfId="28" totalsRowDxfId="2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48DA25E-AB04-4CF3-B35F-07EC1EA80576}" name="Tabela3" displayName="Tabela3" ref="A20:E32" totalsRowCount="1">
  <autoFilter ref="A20:E31" xr:uid="{B48DA25E-AB04-4CF3-B35F-07EC1EA80576}"/>
  <tableColumns count="5">
    <tableColumn id="1" xr3:uid="{ACA35C63-ABE9-4710-95F7-7BBBCC89F208}" name="Disciplina" totalsRowLabel="Total"/>
    <tableColumn id="2" xr3:uid="{77E19D4F-4254-46ED-B2E9-A30CE3B939DF}" name="Emissão Inicial Atrasada" totalsRowFunction="sum"/>
    <tableColumn id="3" xr3:uid="{7F5508DF-A5FB-4A3D-97B3-C989CD73DED2}" name="Avaliação Cliente Atrasada" totalsRowFunction="sum"/>
    <tableColumn id="4" xr3:uid="{17FD3244-BFCB-4069-B8BD-710928DDC4E2}" name="Atendimento Atrasado" totalsRowFunction="sum"/>
    <tableColumn id="5" xr3:uid="{536806B7-2362-4107-83D8-250CA4887B01}" name="Aprovação Atrasada" totalsRowFunction="s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BA8E338-89AF-428C-8C4D-326896C76DA4}" name="Tabela4" displayName="Tabela4" ref="A1:O109" totalsRowShown="0" headerRowDxfId="19">
  <autoFilter ref="A1:O109" xr:uid="{ABA8E338-89AF-428C-8C4D-326896C76DA4}"/>
  <tableColumns count="15">
    <tableColumn id="1" xr3:uid="{FD3BB875-744E-4838-9DB0-303B7536EB2F}" name="Data" dataDxfId="18"/>
    <tableColumn id="2" xr3:uid="{79146A48-3963-48D8-AF90-960E9C167891}" name="Emissão prevista na LB"/>
    <tableColumn id="3" xr3:uid="{C0359CC9-2011-4433-904F-43014E740766}" name="Emissão prevista na LB acumulada"/>
    <tableColumn id="4" xr3:uid="{CF387CC6-19EF-4E12-AA7B-27BE4291247D}" name="Emissão realizada por dia"/>
    <tableColumn id="5" xr3:uid="{4EC6AC09-4D3C-43CE-AF4E-77B8034F12D1}" name="Emissão realizada acumulada"/>
    <tableColumn id="6" xr3:uid="{EC69F08C-7AE4-49DA-971B-8A2D73FA657A}" name="Aprovação prevista na LB"/>
    <tableColumn id="7" xr3:uid="{C438C960-650A-4CA5-A7E3-B982C3F16541}" name="Aprovação realizada por dia"/>
    <tableColumn id="8" xr3:uid="{5459C845-AF27-457E-A349-7AEDAEF9F586}" name="Aprovação prevista na LB acumulada"/>
    <tableColumn id="9" xr3:uid="{2CE2D6B9-2F33-4AF2-A1FB-627837BFA3CF}" name="Aprovação realizada acumulada"/>
    <tableColumn id="10" xr3:uid="{0D0F0C9C-CDAC-41BB-B007-00EACB364680}" name="Avanço da EI previsto na LB" dataDxfId="17"/>
    <tableColumn id="11" xr3:uid="{A60C34B1-5AC5-4598-904B-DDED06230E83}" name="Avanço real da EI na LB" dataDxfId="16"/>
    <tableColumn id="12" xr3:uid="{CE3984CB-95F2-4766-9299-5131E2E02A33}" name="COMP_EI"/>
    <tableColumn id="13" xr3:uid="{66E97DC1-5C84-4CAC-8675-B42CC7557477}" name="Avanço da AP previsto na LB" dataDxfId="15"/>
    <tableColumn id="14" xr3:uid="{D24524F6-DFC0-4F4A-B7D8-8803F30F1A42}" name="Avanço da AP real na LB" dataDxfId="14"/>
    <tableColumn id="15" xr3:uid="{C564CB81-8381-4522-B324-32EF4AB98D5D}" name="COMP_AP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410FF7F-D7EF-4C2D-A576-2F04D3813C6A}" name="Tabela5" displayName="Tabela5" ref="A1:AP1363" totalsRowShown="0">
  <autoFilter ref="A1:AP1363" xr:uid="{F410FF7F-D7EF-4C2D-A576-2F04D3813C6A}"/>
  <tableColumns count="42">
    <tableColumn id="1" xr3:uid="{F92D2889-43A8-4FCC-B1FC-C244C95DDADC}" name="Id"/>
    <tableColumn id="2" xr3:uid="{5D7A6B32-1606-41FB-9CEE-DD67260169D7}" name="EDT"/>
    <tableColumn id="3" xr3:uid="{798277FB-F4B7-4C05-897F-D88EF8B5AC44}" name="Nome do Resumo da Tarefa"/>
    <tableColumn id="4" xr3:uid="{2547A81A-9B5C-498D-9736-4745415AA601}" name="Nome da Tarefa"/>
    <tableColumn id="5" xr3:uid="{174EDFA3-AF5A-4130-B2AB-5684EDED3A67}" name="% concluída" dataDxfId="13"/>
    <tableColumn id="6" xr3:uid="{A2B6203E-3C49-48A6-AE93-E2AC0A786163}" name="Duração"/>
    <tableColumn id="7" xr3:uid="{2370D0BF-B78C-4488-BFCA-30D07329E506}" name="Duração real"/>
    <tableColumn id="8" xr3:uid="{BE561382-FD2A-4949-B260-22ED3C8276D3}" name="Início" dataDxfId="12"/>
    <tableColumn id="9" xr3:uid="{38D88FCC-A52D-427D-AD85-BED45756D2AD}" name="Término" dataDxfId="11"/>
    <tableColumn id="10" xr3:uid="{448A01D1-CE87-42A8-9715-1F46D4E39BD0}" name="Início da Linha de Base"/>
    <tableColumn id="11" xr3:uid="{855F03FB-856E-45FD-B7FC-605E333B7ADF}" name="Término da linha de base" dataDxfId="10"/>
    <tableColumn id="12" xr3:uid="{97EF2DEC-89B8-4165-9635-CFEFD5F5C99B}" name="Início_LB_R0" dataDxfId="9"/>
    <tableColumn id="13" xr3:uid="{22B408BA-9E03-46D0-AB8D-A848033F7B48}" name="Término_LB_R0" dataDxfId="8"/>
    <tableColumn id="14" xr3:uid="{A27C8FD7-1ED5-4780-A7EC-BFAD2FAA464C}" name="Término real" dataDxfId="7"/>
    <tableColumn id="15" xr3:uid="{ABF87359-11BB-4976-AE57-6B5AD40363B5}" name="Início real"/>
    <tableColumn id="16" xr3:uid="{4D31C02E-CCE6-4D1C-B59E-A0F2F0F53254}" name="Status"/>
    <tableColumn id="17" xr3:uid="{027B2477-0B22-4481-8F72-EAC562E6F55C}" name="Predecessoras"/>
    <tableColumn id="18" xr3:uid="{BAD24A4C-80A4-4FD5-B4A6-90498CCC9CCC}" name="HORA EXECUTADA TENAX"/>
    <tableColumn id="19" xr3:uid="{1D8F9F44-B7EA-4E50-ADB1-1FD962656CB6}" name="Nomes dos recursos"/>
    <tableColumn id="20" xr3:uid="{CE857561-F3A3-42A9-932B-D4CDB4C68B32}" name="Disciplina"/>
    <tableColumn id="21" xr3:uid="{FFC317B5-7596-4719-A9BD-264629401E65}" name="Sucessoras"/>
    <tableColumn id="22" xr3:uid="{70E2C973-C43C-4F4F-917E-4BAE77E539EC}" name="Duração_LB_R0"/>
    <tableColumn id="23" xr3:uid="{51888265-75AE-4571-BAC6-33A1DA0B0AC0}" name="Duração Média (Tenax)"/>
    <tableColumn id="24" xr3:uid="{7F8B0D1D-2B6E-499C-9075-EF68FD6E5E6A}" name="Crítica"/>
    <tableColumn id="25" xr3:uid="{EB972D32-4309-4215-9768-40792FDCC3AA}" name="Duração Medida (h)"/>
    <tableColumn id="26" xr3:uid="{61E4F8FD-0F82-46DA-A8E6-FF9CD56BDAF5}" name="Nomes dos recursos.1"/>
    <tableColumn id="27" xr3:uid="{3B1A2AB7-0918-4A33-9B29-6DCBC1A73ED3}" name="Sprint"/>
    <tableColumn id="28" xr3:uid="{D597FACB-4CBE-46DB-9D4B-CE6F6E0238BC}" name="Comparação"/>
    <tableColumn id="29" xr3:uid="{36DB9F83-160B-4EDA-B60B-72EDC6824313}" name="Inicio_LB_R0"/>
    <tableColumn id="30" xr3:uid="{04C94359-121D-41E8-8210-7FC288710D83}" name="Término _LB_R0"/>
    <tableColumn id="31" xr3:uid="{3A10CF8C-BE55-4F47-AB0F-84D734D608F8}" name="pct_val"/>
    <tableColumn id="32" xr3:uid="{85C4D27C-F37E-4B6B-8790-53FB35887462}" name="Emissão inicial total"/>
    <tableColumn id="33" xr3:uid="{B129FF8F-35BD-483F-9770-3833999FD81E}" name="Emissão inicial concluída"/>
    <tableColumn id="34" xr3:uid="{5007CFF7-95DB-430C-854C-5BBCB93C340F}" name="Emissão Inicial Atrasada"/>
    <tableColumn id="35" xr3:uid="{7654C9E9-1627-4546-92A4-E6679EB2837C}" name="Aprovação total"/>
    <tableColumn id="36" xr3:uid="{86FDA13F-9E4F-4D31-9E4E-B80BA90C97A3}" name="Avaliação do cliente concluída"/>
    <tableColumn id="37" xr3:uid="{44A901DF-0573-4767-9B0F-FAB14506D7D0}" name="Avaliação Cliente Atrasada"/>
    <tableColumn id="38" xr3:uid="{842B2A31-D6EF-44B8-AB99-3511551E582C}" name="Atendimento de comentário concluído"/>
    <tableColumn id="39" xr3:uid="{B133861F-1604-4B74-ADDA-3F404CA71834}" name="Atendimento Atrasado"/>
    <tableColumn id="40" xr3:uid="{16B0D4FE-D334-4132-A18F-82C74F094DAC}" name="Aprovação concluída"/>
    <tableColumn id="41" xr3:uid="{1D6B27EC-589F-46F4-BD6D-B234083B1A0D}" name="Aprovação Atrasada"/>
    <tableColumn id="42" xr3:uid="{FD5FEAE1-69F6-4C12-ADD0-AFA7377241C1}" name="Aderênci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565AA75-ED9C-4016-8237-A3AD41F3A68C}" name="Tabela6" displayName="Tabela6" ref="A1:AP113" totalsRowShown="0">
  <autoFilter ref="A1:AP113" xr:uid="{1565AA75-ED9C-4016-8237-A3AD41F3A68C}"/>
  <tableColumns count="42">
    <tableColumn id="1" xr3:uid="{FCD52EC8-CC4A-49A6-B52A-21F408C922A4}" name="Id"/>
    <tableColumn id="2" xr3:uid="{8E504133-6AE7-4C59-933D-5254D69235CF}" name="EDT"/>
    <tableColumn id="3" xr3:uid="{491A093E-2516-4ECC-A622-66331FA01F0C}" name="Nome do Resumo da Tarefa"/>
    <tableColumn id="4" xr3:uid="{DBED0681-D22C-4734-A27A-83E815C63D71}" name="Nome da Tarefa"/>
    <tableColumn id="5" xr3:uid="{9690AD9A-6952-4565-9C56-CB6951AAD7C0}" name="% concluída" dataDxfId="6"/>
    <tableColumn id="6" xr3:uid="{663480D3-8E17-449D-BEDA-8A1B99B2F438}" name="Duração"/>
    <tableColumn id="7" xr3:uid="{BA22EF56-8B09-4DB2-B593-33D8784FFE4F}" name="Duração real"/>
    <tableColumn id="8" xr3:uid="{703FF4A9-4BA8-424C-8ABE-FCAB2F2FD670}" name="Início" dataDxfId="5"/>
    <tableColumn id="9" xr3:uid="{D69647D7-CD3E-4959-A2EC-9AE20BA5D056}" name="Término" dataDxfId="4"/>
    <tableColumn id="10" xr3:uid="{3A419BD8-C70A-4644-A40E-5B717D37CB50}" name="Início da Linha de Base"/>
    <tableColumn id="11" xr3:uid="{D4ACE07F-746F-4611-96BE-2EDAB93039DC}" name="Término da linha de base" dataDxfId="3"/>
    <tableColumn id="12" xr3:uid="{D1BA87EF-BC97-4866-9638-AD7BA8F598A7}" name="Início_LB_R0" dataDxfId="2"/>
    <tableColumn id="13" xr3:uid="{77115CDB-0FEA-46A8-B94A-45C9C9158153}" name="Término_LB_R0" dataDxfId="1"/>
    <tableColumn id="14" xr3:uid="{1CA15A88-9B07-4691-A155-DF416EC8CDDB}" name="Término real"/>
    <tableColumn id="15" xr3:uid="{8104D090-A879-4363-9E3B-D420B56100EF}" name="Início real"/>
    <tableColumn id="16" xr3:uid="{7D4B2FEE-901F-441E-B28B-2D17C7AAAE34}" name="Status"/>
    <tableColumn id="17" xr3:uid="{9640BE38-8199-4FAF-A071-824F8F530082}" name="Predecessoras"/>
    <tableColumn id="18" xr3:uid="{16A4ADE9-A9ED-473A-921A-B2137A4D9767}" name="HORA EXECUTADA TENAX"/>
    <tableColumn id="19" xr3:uid="{A2C68968-0BDC-442D-8AFF-383A7EDB1E5C}" name="Nomes dos recursos"/>
    <tableColumn id="20" xr3:uid="{E83FBD30-8E1B-41F7-8426-CDC8675AB596}" name="Disciplina"/>
    <tableColumn id="21" xr3:uid="{B9D5C50F-92A0-4119-849C-A8585AF30503}" name="Sucessoras"/>
    <tableColumn id="22" xr3:uid="{1D83B31A-D0C8-4C79-8273-F3CF740DC2A9}" name="Duração_LB_R0"/>
    <tableColumn id="23" xr3:uid="{56FF4585-E35F-4BF7-8D7A-3FD7BF583D5E}" name="Duração Média (Tenax)"/>
    <tableColumn id="24" xr3:uid="{49B1373E-A8E7-4080-80D1-94826D287B68}" name="Crítica"/>
    <tableColumn id="25" xr3:uid="{B6D6DD9C-A8B9-4EDF-B00D-CA5F344B71D3}" name="Duração Medida (h)"/>
    <tableColumn id="26" xr3:uid="{C23D3DF0-155F-4EEC-929E-0726B97EAEF4}" name="Nomes dos recursos.1"/>
    <tableColumn id="27" xr3:uid="{05C41824-7528-4A1A-8610-89ABA21BE9E2}" name="Sprint"/>
    <tableColumn id="28" xr3:uid="{EC09B06C-4217-403F-8092-3D95EFC460AB}" name="Comparação"/>
    <tableColumn id="29" xr3:uid="{B2BC14C8-88E9-4ABA-B5B1-E9B5450B993E}" name="Inicio_LB_R0"/>
    <tableColumn id="30" xr3:uid="{E99A5C3C-09BD-4F5D-9DA8-1076F35058BC}" name="Término _LB_R0"/>
    <tableColumn id="31" xr3:uid="{BF58816F-6B6D-4F89-9D95-5A0B2CAC0CB6}" name="pct_val"/>
    <tableColumn id="32" xr3:uid="{0E803E67-42FA-46BD-9A40-EFB402F99BB2}" name="Emissão inicial total"/>
    <tableColumn id="33" xr3:uid="{AE392288-F5CB-4EF0-AA7A-7729A98C0DC8}" name="Emissão inicial concluída"/>
    <tableColumn id="34" xr3:uid="{F06DC771-7A0C-4D37-B818-7062D773F72B}" name="Emissão Inicial Atrasada"/>
    <tableColumn id="35" xr3:uid="{3A1B8CD1-7A06-4386-9D6E-F9EA80D26973}" name="Aprovação total"/>
    <tableColumn id="36" xr3:uid="{C7DAECA6-16D9-4761-A52F-B256C4035C7B}" name="Avaliação do cliente concluída"/>
    <tableColumn id="37" xr3:uid="{47AF2B75-9328-4AD4-97CC-9028C83832F5}" name="Avaliação Cliente Atrasada"/>
    <tableColumn id="38" xr3:uid="{6F196488-C8F3-47CB-8ED8-8084E566B3B2}" name="Atendimento de comentário concluído"/>
    <tableColumn id="39" xr3:uid="{F20E7F6F-19EF-4F19-8F5B-ABFDEE22D31F}" name="Atendimento Atrasado"/>
    <tableColumn id="40" xr3:uid="{FBEABD74-4CD6-4565-9ADA-6D977274A9B1}" name="Aprovação concluída"/>
    <tableColumn id="41" xr3:uid="{6DE76BBC-D337-4869-A621-EFE4BC3E02CA}" name="Aprovação Atrasada"/>
    <tableColumn id="42" xr3:uid="{1C2D24B3-F44A-4307-945D-B7569D56FC42}" name="Aderênci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6BD64E5-D2B1-49A9-A996-CF157311D337}" name="Tabela7" displayName="Tabela7" ref="A1:J113" totalsRowShown="0">
  <autoFilter ref="A1:J113" xr:uid="{56BD64E5-D2B1-49A9-A996-CF157311D337}"/>
  <tableColumns count="10">
    <tableColumn id="1" xr3:uid="{7D8BCE2F-87D3-4A12-B098-9F3FA8DC2357}" name="Sprint"/>
    <tableColumn id="2" xr3:uid="{FCD1050C-C970-4A6D-8983-1E11300F5D9F}" name="Id"/>
    <tableColumn id="3" xr3:uid="{B764F90D-D3AB-45DD-8B8B-1C67AD6A441C}" name="EDT"/>
    <tableColumn id="4" xr3:uid="{ED0C8EA5-B012-4FF2-A422-16744FD69721}" name="Nome do Resumo da Tarefa"/>
    <tableColumn id="5" xr3:uid="{71BF51FF-F488-4241-B4A3-E61E8FF61833}" name="Nome da Tarefa"/>
    <tableColumn id="6" xr3:uid="{D22FF896-FCE9-41A9-B9A0-F30666E2E4AE}" name="Status"/>
    <tableColumn id="7" xr3:uid="{410F254E-EE8A-4691-8FA6-F88C3EC8D4C2}" name="% concluída" dataDxfId="0"/>
    <tableColumn id="8" xr3:uid="{634DE6C3-B36F-488D-9C3F-EFF793B4FC28}" name="Nomes dos recursos"/>
    <tableColumn id="9" xr3:uid="{AE338DDD-2A17-4F87-B985-649673465415}" name="Disciplina"/>
    <tableColumn id="10" xr3:uid="{648EE431-6EB8-4CCC-8BCE-4C2E58C11F1A}" name="Crític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475"/>
  <sheetViews>
    <sheetView workbookViewId="0">
      <selection activeCell="E1" sqref="E1:E1048576"/>
    </sheetView>
  </sheetViews>
  <sheetFormatPr defaultRowHeight="15" x14ac:dyDescent="0.25"/>
  <cols>
    <col min="1" max="1" width="5" bestFit="1" customWidth="1"/>
    <col min="2" max="2" width="9.28515625" bestFit="1" customWidth="1"/>
    <col min="3" max="3" width="37.7109375" bestFit="1" customWidth="1"/>
    <col min="4" max="4" width="44.140625" bestFit="1" customWidth="1"/>
    <col min="5" max="5" width="13.7109375" style="4" bestFit="1" customWidth="1"/>
    <col min="6" max="6" width="10.42578125" bestFit="1" customWidth="1"/>
    <col min="7" max="7" width="14.28515625" bestFit="1" customWidth="1"/>
    <col min="8" max="9" width="18.28515625" style="3" bestFit="1" customWidth="1"/>
    <col min="10" max="10" width="23.42578125" bestFit="1" customWidth="1"/>
    <col min="11" max="11" width="25.85546875" style="3" bestFit="1" customWidth="1"/>
    <col min="12" max="14" width="18.28515625" style="3" bestFit="1" customWidth="1"/>
    <col min="15" max="15" width="12.7109375" bestFit="1" customWidth="1"/>
    <col min="16" max="16" width="12.42578125" bestFit="1" customWidth="1"/>
    <col min="17" max="17" width="90.7109375" bestFit="1" customWidth="1"/>
    <col min="18" max="18" width="26.140625" bestFit="1" customWidth="1"/>
    <col min="19" max="19" width="23.140625" bestFit="1" customWidth="1"/>
    <col min="20" max="20" width="33.140625" bestFit="1" customWidth="1"/>
    <col min="21" max="21" width="110.5703125" bestFit="1" customWidth="1"/>
    <col min="22" max="22" width="16.7109375" bestFit="1" customWidth="1"/>
    <col min="23" max="23" width="24.140625" bestFit="1" customWidth="1"/>
    <col min="24" max="24" width="8.85546875" bestFit="1" customWidth="1"/>
    <col min="25" max="25" width="21" bestFit="1" customWidth="1"/>
    <col min="26" max="26" width="23.140625" bestFit="1" customWidth="1"/>
    <col min="27" max="27" width="14.5703125" bestFit="1" customWidth="1"/>
    <col min="28" max="29" width="14.28515625" bestFit="1" customWidth="1"/>
    <col min="30" max="30" width="17.42578125" bestFit="1" customWidth="1"/>
    <col min="31" max="31" width="9.5703125" bestFit="1" customWidth="1"/>
    <col min="32" max="32" width="21" bestFit="1" customWidth="1"/>
    <col min="33" max="33" width="25.42578125" bestFit="1" customWidth="1"/>
    <col min="34" max="34" width="24.7109375" bestFit="1" customWidth="1"/>
    <col min="35" max="35" width="17.28515625" bestFit="1" customWidth="1"/>
    <col min="36" max="36" width="30.42578125" bestFit="1" customWidth="1"/>
    <col min="37" max="37" width="27.140625" bestFit="1" customWidth="1"/>
    <col min="38" max="38" width="38.28515625" bestFit="1" customWidth="1"/>
    <col min="39" max="39" width="23.85546875" bestFit="1" customWidth="1"/>
    <col min="40" max="40" width="21.7109375" bestFit="1" customWidth="1"/>
    <col min="41" max="41" width="21" bestFit="1" customWidth="1"/>
    <col min="42" max="42" width="12.28515625" bestFit="1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s="4" t="s">
        <v>4</v>
      </c>
      <c r="F1" t="s">
        <v>5</v>
      </c>
      <c r="G1" t="s">
        <v>6</v>
      </c>
      <c r="H1" s="3" t="s">
        <v>7</v>
      </c>
      <c r="I1" s="3" t="s">
        <v>8</v>
      </c>
      <c r="J1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>
        <v>1</v>
      </c>
      <c r="B2">
        <v>1</v>
      </c>
      <c r="D2" t="s">
        <v>42</v>
      </c>
      <c r="E2" s="4">
        <v>0.99</v>
      </c>
      <c r="F2" t="s">
        <v>43</v>
      </c>
      <c r="G2" t="s">
        <v>44</v>
      </c>
      <c r="H2" s="3">
        <v>46098</v>
      </c>
      <c r="I2" s="3">
        <v>46205</v>
      </c>
      <c r="J2" t="s">
        <v>45</v>
      </c>
      <c r="K2" s="3">
        <v>46199</v>
      </c>
      <c r="L2" s="3">
        <v>46098</v>
      </c>
      <c r="M2" s="3">
        <v>46205</v>
      </c>
      <c r="O2" t="s">
        <v>45</v>
      </c>
      <c r="P2" t="s">
        <v>46</v>
      </c>
      <c r="S2" t="s">
        <v>47</v>
      </c>
      <c r="V2" t="s">
        <v>48</v>
      </c>
      <c r="W2">
        <v>562</v>
      </c>
      <c r="X2" t="s">
        <v>49</v>
      </c>
      <c r="Z2" t="s">
        <v>47</v>
      </c>
      <c r="AA2" t="s">
        <v>50</v>
      </c>
      <c r="AE2">
        <v>0.99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>
        <v>2</v>
      </c>
      <c r="B3" t="s">
        <v>51</v>
      </c>
      <c r="C3" t="s">
        <v>52</v>
      </c>
      <c r="D3" t="s">
        <v>53</v>
      </c>
      <c r="E3" s="4">
        <v>1</v>
      </c>
      <c r="F3" t="s">
        <v>54</v>
      </c>
      <c r="G3" t="s">
        <v>54</v>
      </c>
      <c r="H3" s="3">
        <v>46098</v>
      </c>
      <c r="I3" s="3">
        <v>46190</v>
      </c>
      <c r="J3" t="s">
        <v>45</v>
      </c>
      <c r="K3" s="3">
        <v>46169</v>
      </c>
      <c r="L3" s="3">
        <v>46098</v>
      </c>
      <c r="M3" s="3">
        <v>46190</v>
      </c>
      <c r="N3" s="3">
        <v>46190</v>
      </c>
      <c r="O3" t="s">
        <v>45</v>
      </c>
      <c r="P3" t="s">
        <v>55</v>
      </c>
      <c r="S3" t="s">
        <v>47</v>
      </c>
      <c r="V3" t="s">
        <v>56</v>
      </c>
      <c r="X3" t="s">
        <v>57</v>
      </c>
      <c r="Z3" t="s">
        <v>47</v>
      </c>
      <c r="AA3" t="s">
        <v>50</v>
      </c>
      <c r="AE3">
        <v>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>
        <v>3</v>
      </c>
      <c r="B4" t="s">
        <v>58</v>
      </c>
      <c r="C4" t="s">
        <v>59</v>
      </c>
      <c r="D4" t="s">
        <v>60</v>
      </c>
      <c r="E4" s="4">
        <v>1</v>
      </c>
      <c r="F4" t="s">
        <v>61</v>
      </c>
      <c r="G4" t="s">
        <v>61</v>
      </c>
      <c r="H4" s="3">
        <v>46098</v>
      </c>
      <c r="I4" s="3">
        <v>46098</v>
      </c>
      <c r="J4" t="s">
        <v>45</v>
      </c>
      <c r="K4" s="3">
        <v>46098</v>
      </c>
      <c r="L4" s="3">
        <v>46098</v>
      </c>
      <c r="M4" s="3">
        <v>46098</v>
      </c>
      <c r="N4" s="3">
        <v>46098</v>
      </c>
      <c r="O4" t="s">
        <v>45</v>
      </c>
      <c r="P4" t="s">
        <v>55</v>
      </c>
      <c r="U4" t="s">
        <v>62</v>
      </c>
      <c r="V4" t="s">
        <v>63</v>
      </c>
      <c r="X4" t="s">
        <v>57</v>
      </c>
      <c r="AA4" t="s">
        <v>64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>
        <v>4</v>
      </c>
      <c r="B5" t="s">
        <v>65</v>
      </c>
      <c r="C5" s="3" t="s">
        <v>59</v>
      </c>
      <c r="D5" t="s">
        <v>66</v>
      </c>
      <c r="E5" s="4">
        <v>1</v>
      </c>
      <c r="F5" t="s">
        <v>61</v>
      </c>
      <c r="G5" t="s">
        <v>61</v>
      </c>
      <c r="H5" s="3">
        <v>46155</v>
      </c>
      <c r="I5" s="3">
        <v>46155</v>
      </c>
      <c r="J5" t="s">
        <v>67</v>
      </c>
      <c r="K5" s="3">
        <v>46136</v>
      </c>
      <c r="L5" s="3">
        <v>46136</v>
      </c>
      <c r="M5" s="3">
        <v>46155</v>
      </c>
      <c r="N5" s="3">
        <v>46155</v>
      </c>
      <c r="O5" t="s">
        <v>68</v>
      </c>
      <c r="P5" t="s">
        <v>55</v>
      </c>
      <c r="Q5" t="s">
        <v>69</v>
      </c>
      <c r="U5" t="s">
        <v>70</v>
      </c>
      <c r="V5" t="s">
        <v>63</v>
      </c>
      <c r="X5" t="s">
        <v>57</v>
      </c>
      <c r="AA5" t="s">
        <v>71</v>
      </c>
      <c r="AE5">
        <v>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>
        <v>5</v>
      </c>
      <c r="B6" t="s">
        <v>72</v>
      </c>
      <c r="C6" t="s">
        <v>59</v>
      </c>
      <c r="D6" t="s">
        <v>73</v>
      </c>
      <c r="E6" s="4">
        <v>1</v>
      </c>
      <c r="F6" t="s">
        <v>63</v>
      </c>
      <c r="G6" t="s">
        <v>63</v>
      </c>
      <c r="H6" s="3">
        <v>46190</v>
      </c>
      <c r="I6" s="3">
        <v>46190</v>
      </c>
      <c r="J6" t="s">
        <v>74</v>
      </c>
      <c r="K6" s="3">
        <v>46167</v>
      </c>
      <c r="L6" s="3">
        <v>46167</v>
      </c>
      <c r="M6" s="3">
        <v>46190</v>
      </c>
      <c r="N6" s="3">
        <v>46190</v>
      </c>
      <c r="O6" t="s">
        <v>75</v>
      </c>
      <c r="P6" t="s">
        <v>55</v>
      </c>
      <c r="Q6" t="s">
        <v>76</v>
      </c>
      <c r="V6" t="s">
        <v>63</v>
      </c>
      <c r="X6" t="s">
        <v>57</v>
      </c>
      <c r="AA6" t="s">
        <v>77</v>
      </c>
      <c r="AE6">
        <v>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>
        <v>6</v>
      </c>
      <c r="B7" t="s">
        <v>78</v>
      </c>
      <c r="C7" t="s">
        <v>59</v>
      </c>
      <c r="D7" t="s">
        <v>79</v>
      </c>
      <c r="E7" s="4">
        <v>1</v>
      </c>
      <c r="F7" t="s">
        <v>61</v>
      </c>
      <c r="G7" t="s">
        <v>61</v>
      </c>
      <c r="H7" s="3">
        <v>46122</v>
      </c>
      <c r="I7" s="3">
        <v>46122</v>
      </c>
      <c r="J7" t="s">
        <v>80</v>
      </c>
      <c r="K7" s="3">
        <v>46122</v>
      </c>
      <c r="L7" s="3">
        <v>46122</v>
      </c>
      <c r="M7" s="3">
        <v>46122</v>
      </c>
      <c r="N7" s="3">
        <v>46122</v>
      </c>
      <c r="O7" t="s">
        <v>80</v>
      </c>
      <c r="P7" t="s">
        <v>55</v>
      </c>
      <c r="U7" t="s">
        <v>81</v>
      </c>
      <c r="V7" t="s">
        <v>61</v>
      </c>
      <c r="X7" t="s">
        <v>57</v>
      </c>
      <c r="AA7" t="s">
        <v>82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>
        <v>7</v>
      </c>
      <c r="B8" t="s">
        <v>83</v>
      </c>
      <c r="C8" t="s">
        <v>59</v>
      </c>
      <c r="D8" t="s">
        <v>84</v>
      </c>
      <c r="E8" s="4">
        <v>1</v>
      </c>
      <c r="F8" t="s">
        <v>61</v>
      </c>
      <c r="G8" t="s">
        <v>61</v>
      </c>
      <c r="H8" s="3">
        <v>46140</v>
      </c>
      <c r="I8" s="3">
        <v>46141</v>
      </c>
      <c r="J8" t="s">
        <v>85</v>
      </c>
      <c r="K8" s="3">
        <v>46140</v>
      </c>
      <c r="L8" s="3">
        <v>46140</v>
      </c>
      <c r="M8" s="3">
        <v>46141</v>
      </c>
      <c r="N8" s="3">
        <v>46141</v>
      </c>
      <c r="O8" t="s">
        <v>85</v>
      </c>
      <c r="P8" t="s">
        <v>55</v>
      </c>
      <c r="Q8" t="s">
        <v>86</v>
      </c>
      <c r="U8" t="s">
        <v>87</v>
      </c>
      <c r="V8" t="s">
        <v>63</v>
      </c>
      <c r="X8" t="s">
        <v>57</v>
      </c>
      <c r="AA8" t="s">
        <v>71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>
        <v>8</v>
      </c>
      <c r="B9" t="s">
        <v>88</v>
      </c>
      <c r="C9" t="s">
        <v>59</v>
      </c>
      <c r="D9" t="s">
        <v>89</v>
      </c>
      <c r="E9" s="4">
        <v>1</v>
      </c>
      <c r="F9" t="s">
        <v>61</v>
      </c>
      <c r="G9" t="s">
        <v>61</v>
      </c>
      <c r="H9" s="3">
        <v>46161</v>
      </c>
      <c r="I9" s="3">
        <v>46161</v>
      </c>
      <c r="J9" t="s">
        <v>68</v>
      </c>
      <c r="K9" s="3">
        <v>46155</v>
      </c>
      <c r="L9" s="3">
        <v>46155</v>
      </c>
      <c r="M9" s="3">
        <v>46161</v>
      </c>
      <c r="N9" s="3">
        <v>46161</v>
      </c>
      <c r="O9" t="s">
        <v>90</v>
      </c>
      <c r="P9" t="s">
        <v>55</v>
      </c>
      <c r="Q9" t="s">
        <v>91</v>
      </c>
      <c r="U9" t="s">
        <v>92</v>
      </c>
      <c r="V9" t="s">
        <v>63</v>
      </c>
      <c r="X9" t="s">
        <v>57</v>
      </c>
      <c r="AA9" t="s">
        <v>93</v>
      </c>
      <c r="AB9" t="s">
        <v>94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>
        <v>10</v>
      </c>
      <c r="B10" t="s">
        <v>95</v>
      </c>
      <c r="C10" t="s">
        <v>59</v>
      </c>
      <c r="D10" t="s">
        <v>96</v>
      </c>
      <c r="E10" s="4">
        <v>1</v>
      </c>
      <c r="F10" t="s">
        <v>63</v>
      </c>
      <c r="G10" t="s">
        <v>63</v>
      </c>
      <c r="H10" s="3">
        <v>46169</v>
      </c>
      <c r="I10" s="3">
        <v>46169</v>
      </c>
      <c r="J10" t="s">
        <v>97</v>
      </c>
      <c r="K10" s="3">
        <v>46169</v>
      </c>
      <c r="L10" s="3">
        <v>46169</v>
      </c>
      <c r="M10" s="3">
        <v>46169</v>
      </c>
      <c r="N10" s="3">
        <v>46169</v>
      </c>
      <c r="O10" t="s">
        <v>97</v>
      </c>
      <c r="P10" t="s">
        <v>55</v>
      </c>
      <c r="Q10" t="s">
        <v>98</v>
      </c>
      <c r="U10">
        <v>535</v>
      </c>
      <c r="V10" t="s">
        <v>63</v>
      </c>
      <c r="X10" t="s">
        <v>57</v>
      </c>
      <c r="AA10" t="s">
        <v>77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>
        <v>11</v>
      </c>
      <c r="B11" t="s">
        <v>99</v>
      </c>
      <c r="C11" t="s">
        <v>52</v>
      </c>
      <c r="D11" t="s">
        <v>100</v>
      </c>
      <c r="E11" s="4">
        <v>1</v>
      </c>
      <c r="F11" t="s">
        <v>101</v>
      </c>
      <c r="G11" t="s">
        <v>101</v>
      </c>
      <c r="H11" s="3">
        <v>46098</v>
      </c>
      <c r="I11" s="3">
        <v>46101</v>
      </c>
      <c r="J11" t="s">
        <v>45</v>
      </c>
      <c r="K11" s="3">
        <v>46101</v>
      </c>
      <c r="L11" s="3">
        <v>46098</v>
      </c>
      <c r="M11" s="3">
        <v>46101</v>
      </c>
      <c r="N11" s="3">
        <v>46101</v>
      </c>
      <c r="O11" t="s">
        <v>45</v>
      </c>
      <c r="P11" t="s">
        <v>55</v>
      </c>
      <c r="S11" t="s">
        <v>47</v>
      </c>
      <c r="V11" t="s">
        <v>101</v>
      </c>
      <c r="X11" t="s">
        <v>57</v>
      </c>
      <c r="Z11" t="s">
        <v>47</v>
      </c>
      <c r="AA11" t="s">
        <v>50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>
        <v>12</v>
      </c>
      <c r="B12" t="s">
        <v>102</v>
      </c>
      <c r="C12" t="s">
        <v>103</v>
      </c>
      <c r="D12" t="s">
        <v>104</v>
      </c>
      <c r="E12" s="4">
        <v>1</v>
      </c>
      <c r="F12" t="s">
        <v>101</v>
      </c>
      <c r="G12" t="s">
        <v>101</v>
      </c>
      <c r="H12" s="3">
        <v>46098</v>
      </c>
      <c r="I12" s="3">
        <v>46101</v>
      </c>
      <c r="J12" t="s">
        <v>45</v>
      </c>
      <c r="K12" s="3">
        <v>46101</v>
      </c>
      <c r="L12" s="3">
        <v>46098</v>
      </c>
      <c r="M12" s="3">
        <v>46101</v>
      </c>
      <c r="N12" s="3">
        <v>46101</v>
      </c>
      <c r="O12" t="s">
        <v>45</v>
      </c>
      <c r="P12" t="s">
        <v>55</v>
      </c>
      <c r="Q12">
        <v>3</v>
      </c>
      <c r="U12" t="s">
        <v>105</v>
      </c>
      <c r="V12" t="s">
        <v>101</v>
      </c>
      <c r="X12" t="s">
        <v>57</v>
      </c>
      <c r="AA12" t="s">
        <v>64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>
        <v>13</v>
      </c>
      <c r="B13" t="s">
        <v>106</v>
      </c>
      <c r="C13" t="s">
        <v>103</v>
      </c>
      <c r="D13" t="s">
        <v>107</v>
      </c>
      <c r="E13" s="4">
        <v>1</v>
      </c>
      <c r="F13" t="s">
        <v>101</v>
      </c>
      <c r="G13" t="s">
        <v>101</v>
      </c>
      <c r="H13" s="3">
        <v>46098</v>
      </c>
      <c r="I13" s="3">
        <v>46101</v>
      </c>
      <c r="J13" t="s">
        <v>45</v>
      </c>
      <c r="K13" s="3">
        <v>46101</v>
      </c>
      <c r="L13" s="3">
        <v>46098</v>
      </c>
      <c r="M13" s="3">
        <v>46101</v>
      </c>
      <c r="N13" s="3">
        <v>46101</v>
      </c>
      <c r="O13" t="s">
        <v>45</v>
      </c>
      <c r="P13" t="s">
        <v>55</v>
      </c>
      <c r="Q13">
        <v>3</v>
      </c>
      <c r="V13" t="s">
        <v>101</v>
      </c>
      <c r="X13" t="s">
        <v>57</v>
      </c>
      <c r="AA13" t="s">
        <v>64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>
        <v>14</v>
      </c>
      <c r="B14" t="s">
        <v>108</v>
      </c>
      <c r="C14" t="s">
        <v>52</v>
      </c>
      <c r="D14" t="s">
        <v>109</v>
      </c>
      <c r="E14" s="4">
        <v>1</v>
      </c>
      <c r="F14" t="s">
        <v>110</v>
      </c>
      <c r="G14" t="s">
        <v>110</v>
      </c>
      <c r="H14" s="3">
        <v>46098</v>
      </c>
      <c r="I14" s="3">
        <v>46128</v>
      </c>
      <c r="J14" t="s">
        <v>45</v>
      </c>
      <c r="K14" s="3">
        <v>46199</v>
      </c>
      <c r="L14" s="3">
        <v>46098</v>
      </c>
      <c r="M14" s="3">
        <v>46128</v>
      </c>
      <c r="N14" s="3">
        <v>46128</v>
      </c>
      <c r="O14" t="s">
        <v>45</v>
      </c>
      <c r="P14" t="s">
        <v>55</v>
      </c>
      <c r="V14" t="s">
        <v>48</v>
      </c>
      <c r="W14">
        <v>27</v>
      </c>
      <c r="X14" t="s">
        <v>57</v>
      </c>
      <c r="AA14" t="s">
        <v>50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>
        <v>15</v>
      </c>
      <c r="B15" t="s">
        <v>111</v>
      </c>
      <c r="C15" t="s">
        <v>112</v>
      </c>
      <c r="D15" t="s">
        <v>113</v>
      </c>
      <c r="E15" s="4">
        <v>1</v>
      </c>
      <c r="F15" t="s">
        <v>114</v>
      </c>
      <c r="G15" t="s">
        <v>114</v>
      </c>
      <c r="H15" s="3">
        <v>46098</v>
      </c>
      <c r="I15" s="3">
        <v>46108</v>
      </c>
      <c r="J15" t="s">
        <v>45</v>
      </c>
      <c r="K15" s="3">
        <v>46199</v>
      </c>
      <c r="L15" s="3">
        <v>46098</v>
      </c>
      <c r="M15" s="3">
        <v>46108</v>
      </c>
      <c r="N15" s="3">
        <v>46108</v>
      </c>
      <c r="O15" t="s">
        <v>45</v>
      </c>
      <c r="P15" t="s">
        <v>55</v>
      </c>
      <c r="T15" t="s">
        <v>112</v>
      </c>
      <c r="V15" t="s">
        <v>48</v>
      </c>
      <c r="W15">
        <v>15</v>
      </c>
      <c r="X15" t="s">
        <v>57</v>
      </c>
      <c r="AA15" t="s">
        <v>50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>
        <v>16</v>
      </c>
      <c r="B16" t="s">
        <v>115</v>
      </c>
      <c r="C16" t="s">
        <v>116</v>
      </c>
      <c r="D16" t="s">
        <v>117</v>
      </c>
      <c r="E16" s="4">
        <v>1</v>
      </c>
      <c r="F16" t="s">
        <v>101</v>
      </c>
      <c r="G16" t="s">
        <v>101</v>
      </c>
      <c r="H16" s="3">
        <v>46098</v>
      </c>
      <c r="I16" s="3">
        <v>46101</v>
      </c>
      <c r="J16" t="s">
        <v>45</v>
      </c>
      <c r="K16" s="3">
        <v>46101</v>
      </c>
      <c r="L16" s="3">
        <v>46098</v>
      </c>
      <c r="M16" s="3">
        <v>46101</v>
      </c>
      <c r="N16" s="3">
        <v>46101</v>
      </c>
      <c r="O16" t="s">
        <v>45</v>
      </c>
      <c r="P16" t="s">
        <v>55</v>
      </c>
      <c r="Q16">
        <v>3</v>
      </c>
      <c r="S16" t="s">
        <v>118</v>
      </c>
      <c r="T16" t="s">
        <v>112</v>
      </c>
      <c r="U16" t="s">
        <v>119</v>
      </c>
      <c r="V16" t="s">
        <v>101</v>
      </c>
      <c r="W16">
        <v>13.4</v>
      </c>
      <c r="X16" t="s">
        <v>57</v>
      </c>
      <c r="Z16" t="s">
        <v>118</v>
      </c>
      <c r="AA16" t="s">
        <v>64</v>
      </c>
      <c r="AE16">
        <v>1</v>
      </c>
      <c r="AF16">
        <v>1</v>
      </c>
      <c r="AG16">
        <v>1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1</v>
      </c>
    </row>
    <row r="17" spans="1:42" x14ac:dyDescent="0.25">
      <c r="A17">
        <v>17</v>
      </c>
      <c r="B17" t="s">
        <v>120</v>
      </c>
      <c r="C17" t="s">
        <v>116</v>
      </c>
      <c r="D17" t="s">
        <v>121</v>
      </c>
      <c r="E17" s="4">
        <v>1</v>
      </c>
      <c r="F17" t="s">
        <v>122</v>
      </c>
      <c r="G17" t="s">
        <v>122</v>
      </c>
      <c r="H17" s="3">
        <v>46104</v>
      </c>
      <c r="I17" s="3">
        <v>46106</v>
      </c>
      <c r="J17" t="s">
        <v>123</v>
      </c>
      <c r="K17" s="3">
        <v>46106</v>
      </c>
      <c r="L17" s="3">
        <v>46104</v>
      </c>
      <c r="M17" s="3">
        <v>46106</v>
      </c>
      <c r="N17" s="3">
        <v>46106</v>
      </c>
      <c r="O17" t="s">
        <v>123</v>
      </c>
      <c r="P17" t="s">
        <v>55</v>
      </c>
      <c r="Q17">
        <v>16</v>
      </c>
      <c r="S17" t="s">
        <v>124</v>
      </c>
      <c r="T17" t="s">
        <v>112</v>
      </c>
      <c r="U17">
        <v>18</v>
      </c>
      <c r="V17" t="s">
        <v>122</v>
      </c>
      <c r="W17">
        <v>13.4</v>
      </c>
      <c r="X17" t="s">
        <v>57</v>
      </c>
      <c r="Z17" t="s">
        <v>124</v>
      </c>
      <c r="AA17" t="s">
        <v>64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1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>
        <v>18</v>
      </c>
      <c r="B18" t="s">
        <v>125</v>
      </c>
      <c r="C18" t="s">
        <v>116</v>
      </c>
      <c r="D18" t="s">
        <v>126</v>
      </c>
      <c r="E18" s="4">
        <v>1</v>
      </c>
      <c r="F18" t="s">
        <v>127</v>
      </c>
      <c r="G18" t="s">
        <v>127</v>
      </c>
      <c r="H18" s="3">
        <v>46107</v>
      </c>
      <c r="I18" s="3">
        <v>46108</v>
      </c>
      <c r="J18" t="s">
        <v>128</v>
      </c>
      <c r="K18" s="3">
        <v>46198</v>
      </c>
      <c r="L18" s="3">
        <v>46198</v>
      </c>
      <c r="M18" s="3">
        <v>46108</v>
      </c>
      <c r="N18" s="3">
        <v>46108</v>
      </c>
      <c r="O18" t="s">
        <v>129</v>
      </c>
      <c r="P18" t="s">
        <v>55</v>
      </c>
      <c r="Q18" t="s">
        <v>130</v>
      </c>
      <c r="S18" t="s">
        <v>118</v>
      </c>
      <c r="T18" t="s">
        <v>112</v>
      </c>
      <c r="U18">
        <v>19</v>
      </c>
      <c r="V18" t="s">
        <v>63</v>
      </c>
      <c r="W18">
        <v>13.4</v>
      </c>
      <c r="X18" t="s">
        <v>57</v>
      </c>
      <c r="Z18" t="s">
        <v>118</v>
      </c>
      <c r="AA18" t="s">
        <v>131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1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>
        <v>19</v>
      </c>
      <c r="B19" t="s">
        <v>132</v>
      </c>
      <c r="C19" t="s">
        <v>116</v>
      </c>
      <c r="D19" t="s">
        <v>133</v>
      </c>
      <c r="E19" s="4">
        <v>1</v>
      </c>
      <c r="F19" t="s">
        <v>61</v>
      </c>
      <c r="G19" t="s">
        <v>61</v>
      </c>
      <c r="H19" s="3">
        <v>46108</v>
      </c>
      <c r="I19" s="3">
        <v>46108</v>
      </c>
      <c r="J19" t="s">
        <v>134</v>
      </c>
      <c r="K19" s="3">
        <v>46199</v>
      </c>
      <c r="L19" s="3">
        <v>46199</v>
      </c>
      <c r="M19" s="3">
        <v>46108</v>
      </c>
      <c r="N19" s="3">
        <v>46108</v>
      </c>
      <c r="O19" t="s">
        <v>135</v>
      </c>
      <c r="P19" t="s">
        <v>55</v>
      </c>
      <c r="Q19">
        <v>18</v>
      </c>
      <c r="S19" t="s">
        <v>124</v>
      </c>
      <c r="T19" t="s">
        <v>112</v>
      </c>
      <c r="V19" t="s">
        <v>61</v>
      </c>
      <c r="W19">
        <v>13.4</v>
      </c>
      <c r="X19" t="s">
        <v>57</v>
      </c>
      <c r="Z19" t="s">
        <v>124</v>
      </c>
      <c r="AA19" t="s">
        <v>131</v>
      </c>
      <c r="AE19">
        <v>1</v>
      </c>
      <c r="AF19">
        <v>0</v>
      </c>
      <c r="AG19">
        <v>0</v>
      </c>
      <c r="AH19">
        <v>0</v>
      </c>
      <c r="AI19">
        <v>1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0</v>
      </c>
      <c r="AP19">
        <v>0</v>
      </c>
    </row>
    <row r="20" spans="1:42" x14ac:dyDescent="0.25">
      <c r="A20">
        <v>20</v>
      </c>
      <c r="B20" t="s">
        <v>136</v>
      </c>
      <c r="C20" t="s">
        <v>112</v>
      </c>
      <c r="D20" t="s">
        <v>137</v>
      </c>
      <c r="E20" s="4">
        <v>1</v>
      </c>
      <c r="F20" t="s">
        <v>138</v>
      </c>
      <c r="G20" t="s">
        <v>138</v>
      </c>
      <c r="H20" s="3">
        <v>46122</v>
      </c>
      <c r="I20" s="3">
        <v>46128</v>
      </c>
      <c r="J20" t="s">
        <v>80</v>
      </c>
      <c r="K20" s="3">
        <v>46128</v>
      </c>
      <c r="L20" s="3">
        <v>46122</v>
      </c>
      <c r="M20" s="3">
        <v>46128</v>
      </c>
      <c r="N20" s="3">
        <v>46128</v>
      </c>
      <c r="O20" t="s">
        <v>80</v>
      </c>
      <c r="P20" t="s">
        <v>55</v>
      </c>
      <c r="T20" t="s">
        <v>112</v>
      </c>
      <c r="V20" t="s">
        <v>48</v>
      </c>
      <c r="W20">
        <v>15</v>
      </c>
      <c r="X20" t="s">
        <v>57</v>
      </c>
      <c r="AA20" t="s">
        <v>50</v>
      </c>
      <c r="AB20" t="s">
        <v>94</v>
      </c>
      <c r="AE20">
        <v>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>
        <v>21</v>
      </c>
      <c r="B21" t="s">
        <v>139</v>
      </c>
      <c r="C21" t="s">
        <v>140</v>
      </c>
      <c r="D21" t="s">
        <v>117</v>
      </c>
      <c r="E21" s="4">
        <v>1</v>
      </c>
      <c r="F21" t="s">
        <v>61</v>
      </c>
      <c r="G21" t="s">
        <v>61</v>
      </c>
      <c r="H21" s="3">
        <v>46122</v>
      </c>
      <c r="I21" s="3">
        <v>46122</v>
      </c>
      <c r="J21" t="s">
        <v>80</v>
      </c>
      <c r="K21" s="3">
        <v>46122</v>
      </c>
      <c r="L21" s="3">
        <v>46122</v>
      </c>
      <c r="M21" s="3">
        <v>46122</v>
      </c>
      <c r="N21" s="3">
        <v>46122</v>
      </c>
      <c r="O21" t="s">
        <v>80</v>
      </c>
      <c r="P21" t="s">
        <v>55</v>
      </c>
      <c r="Q21" t="s">
        <v>141</v>
      </c>
      <c r="R21">
        <v>0.5</v>
      </c>
      <c r="S21" t="s">
        <v>142</v>
      </c>
      <c r="T21" t="s">
        <v>112</v>
      </c>
      <c r="U21">
        <v>22</v>
      </c>
      <c r="V21" t="s">
        <v>101</v>
      </c>
      <c r="W21">
        <v>0.5</v>
      </c>
      <c r="X21" t="s">
        <v>57</v>
      </c>
      <c r="Z21" t="s">
        <v>142</v>
      </c>
      <c r="AA21" t="s">
        <v>64</v>
      </c>
      <c r="AE21">
        <v>1</v>
      </c>
      <c r="AF21">
        <v>1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1</v>
      </c>
    </row>
    <row r="22" spans="1:42" x14ac:dyDescent="0.25">
      <c r="A22">
        <v>22</v>
      </c>
      <c r="B22" t="s">
        <v>143</v>
      </c>
      <c r="C22" t="s">
        <v>140</v>
      </c>
      <c r="D22" t="s">
        <v>121</v>
      </c>
      <c r="E22" s="4">
        <v>1</v>
      </c>
      <c r="F22" t="s">
        <v>122</v>
      </c>
      <c r="G22" t="s">
        <v>122</v>
      </c>
      <c r="H22" s="3">
        <v>46125</v>
      </c>
      <c r="I22" s="3">
        <v>46127</v>
      </c>
      <c r="J22" t="s">
        <v>144</v>
      </c>
      <c r="K22" s="3">
        <v>46127</v>
      </c>
      <c r="L22" s="3">
        <v>46125</v>
      </c>
      <c r="M22" s="3">
        <v>46127</v>
      </c>
      <c r="N22" s="3">
        <v>46127</v>
      </c>
      <c r="O22" t="s">
        <v>144</v>
      </c>
      <c r="P22" t="s">
        <v>55</v>
      </c>
      <c r="Q22">
        <v>21</v>
      </c>
      <c r="R22">
        <v>13.4</v>
      </c>
      <c r="S22" t="s">
        <v>124</v>
      </c>
      <c r="T22" t="s">
        <v>112</v>
      </c>
      <c r="U22">
        <v>23</v>
      </c>
      <c r="V22" t="s">
        <v>122</v>
      </c>
      <c r="W22">
        <v>13.4</v>
      </c>
      <c r="X22" t="s">
        <v>57</v>
      </c>
      <c r="Z22" t="s">
        <v>124</v>
      </c>
      <c r="AA22" t="s">
        <v>64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1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>
        <v>23</v>
      </c>
      <c r="B23" t="s">
        <v>145</v>
      </c>
      <c r="C23" t="s">
        <v>140</v>
      </c>
      <c r="D23" t="s">
        <v>126</v>
      </c>
      <c r="E23" s="4">
        <v>1</v>
      </c>
      <c r="F23" t="s">
        <v>61</v>
      </c>
      <c r="G23" t="s">
        <v>61</v>
      </c>
      <c r="H23" s="3">
        <v>46127</v>
      </c>
      <c r="I23" s="3">
        <v>46128</v>
      </c>
      <c r="J23" t="s">
        <v>146</v>
      </c>
      <c r="K23" s="3">
        <v>46128</v>
      </c>
      <c r="L23" s="3">
        <v>46127</v>
      </c>
      <c r="M23" s="3">
        <v>46128</v>
      </c>
      <c r="N23" s="3">
        <v>46128</v>
      </c>
      <c r="O23" t="s">
        <v>146</v>
      </c>
      <c r="P23" t="s">
        <v>55</v>
      </c>
      <c r="Q23">
        <v>22</v>
      </c>
      <c r="R23">
        <v>13.4</v>
      </c>
      <c r="S23" t="s">
        <v>118</v>
      </c>
      <c r="T23" t="s">
        <v>112</v>
      </c>
      <c r="U23">
        <v>24</v>
      </c>
      <c r="V23" t="s">
        <v>63</v>
      </c>
      <c r="W23">
        <v>13.4</v>
      </c>
      <c r="X23" t="s">
        <v>57</v>
      </c>
      <c r="Z23" t="s">
        <v>118</v>
      </c>
      <c r="AA23" t="s">
        <v>131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>
        <v>24</v>
      </c>
      <c r="B24" t="s">
        <v>147</v>
      </c>
      <c r="C24" t="s">
        <v>140</v>
      </c>
      <c r="D24" t="s">
        <v>133</v>
      </c>
      <c r="E24" s="4">
        <v>1</v>
      </c>
      <c r="F24" t="s">
        <v>61</v>
      </c>
      <c r="G24" t="s">
        <v>61</v>
      </c>
      <c r="H24" s="3">
        <v>46128</v>
      </c>
      <c r="I24" s="3">
        <v>46128</v>
      </c>
      <c r="J24" t="s">
        <v>148</v>
      </c>
      <c r="K24" s="3">
        <v>46128</v>
      </c>
      <c r="L24" s="3">
        <v>46128</v>
      </c>
      <c r="M24" s="3">
        <v>46128</v>
      </c>
      <c r="N24" s="3">
        <v>46128</v>
      </c>
      <c r="O24" t="s">
        <v>148</v>
      </c>
      <c r="P24" t="s">
        <v>55</v>
      </c>
      <c r="Q24">
        <v>23</v>
      </c>
      <c r="R24">
        <v>13.4</v>
      </c>
      <c r="S24" t="s">
        <v>124</v>
      </c>
      <c r="T24" t="s">
        <v>112</v>
      </c>
      <c r="V24" t="s">
        <v>61</v>
      </c>
      <c r="W24">
        <v>13.4</v>
      </c>
      <c r="X24" t="s">
        <v>57</v>
      </c>
      <c r="Z24" t="s">
        <v>124</v>
      </c>
      <c r="AA24" t="s">
        <v>131</v>
      </c>
      <c r="AE24">
        <v>1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0</v>
      </c>
      <c r="AP24">
        <v>0</v>
      </c>
    </row>
    <row r="25" spans="1:42" x14ac:dyDescent="0.25">
      <c r="A25">
        <v>25</v>
      </c>
      <c r="B25" t="s">
        <v>149</v>
      </c>
      <c r="C25" t="s">
        <v>112</v>
      </c>
      <c r="D25" t="s">
        <v>150</v>
      </c>
      <c r="E25" s="4">
        <v>1</v>
      </c>
      <c r="F25" t="s">
        <v>151</v>
      </c>
      <c r="G25" t="s">
        <v>151</v>
      </c>
      <c r="H25" s="3">
        <v>46098</v>
      </c>
      <c r="I25" s="3">
        <v>46111</v>
      </c>
      <c r="J25" t="s">
        <v>45</v>
      </c>
      <c r="K25" s="3">
        <v>46199</v>
      </c>
      <c r="L25" s="3">
        <v>46098</v>
      </c>
      <c r="M25" s="3">
        <v>46111</v>
      </c>
      <c r="N25" s="3">
        <v>46111</v>
      </c>
      <c r="O25" t="s">
        <v>45</v>
      </c>
      <c r="P25" t="s">
        <v>55</v>
      </c>
      <c r="T25" t="s">
        <v>112</v>
      </c>
      <c r="V25" t="s">
        <v>48</v>
      </c>
      <c r="W25">
        <v>27</v>
      </c>
      <c r="X25" t="s">
        <v>57</v>
      </c>
      <c r="AA25" t="s">
        <v>50</v>
      </c>
      <c r="AE25">
        <v>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>
        <v>26</v>
      </c>
      <c r="B26" t="s">
        <v>152</v>
      </c>
      <c r="C26" t="s">
        <v>153</v>
      </c>
      <c r="D26" t="s">
        <v>117</v>
      </c>
      <c r="E26" s="4">
        <v>1</v>
      </c>
      <c r="F26" t="s">
        <v>101</v>
      </c>
      <c r="G26" t="s">
        <v>101</v>
      </c>
      <c r="H26" s="3">
        <v>46098</v>
      </c>
      <c r="I26" s="3">
        <v>46101</v>
      </c>
      <c r="J26" t="s">
        <v>45</v>
      </c>
      <c r="K26" s="3">
        <v>46101</v>
      </c>
      <c r="L26" s="3">
        <v>46098</v>
      </c>
      <c r="M26" s="3">
        <v>46101</v>
      </c>
      <c r="N26" s="3">
        <v>46101</v>
      </c>
      <c r="O26" t="s">
        <v>45</v>
      </c>
      <c r="P26" t="s">
        <v>55</v>
      </c>
      <c r="Q26">
        <v>3</v>
      </c>
      <c r="S26" t="s">
        <v>118</v>
      </c>
      <c r="T26" t="s">
        <v>112</v>
      </c>
      <c r="U26" t="s">
        <v>154</v>
      </c>
      <c r="V26" t="s">
        <v>101</v>
      </c>
      <c r="W26">
        <v>13.4</v>
      </c>
      <c r="X26" t="s">
        <v>57</v>
      </c>
      <c r="Z26" t="s">
        <v>118</v>
      </c>
      <c r="AA26" t="s">
        <v>64</v>
      </c>
      <c r="AE26">
        <v>1</v>
      </c>
      <c r="AF26">
        <v>1</v>
      </c>
      <c r="AG26">
        <v>1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1</v>
      </c>
    </row>
    <row r="27" spans="1:42" x14ac:dyDescent="0.25">
      <c r="A27">
        <v>27</v>
      </c>
      <c r="B27" t="s">
        <v>155</v>
      </c>
      <c r="C27" t="s">
        <v>153</v>
      </c>
      <c r="D27" t="s">
        <v>121</v>
      </c>
      <c r="E27" s="4">
        <v>1</v>
      </c>
      <c r="F27" t="s">
        <v>122</v>
      </c>
      <c r="G27" t="s">
        <v>122</v>
      </c>
      <c r="H27" s="3">
        <v>46104</v>
      </c>
      <c r="I27" s="3">
        <v>46106</v>
      </c>
      <c r="J27" t="s">
        <v>123</v>
      </c>
      <c r="K27" s="3">
        <v>46106</v>
      </c>
      <c r="L27" s="3">
        <v>46104</v>
      </c>
      <c r="M27" s="3">
        <v>46106</v>
      </c>
      <c r="N27" s="3">
        <v>46106</v>
      </c>
      <c r="O27" t="s">
        <v>123</v>
      </c>
      <c r="P27" t="s">
        <v>55</v>
      </c>
      <c r="Q27">
        <v>26</v>
      </c>
      <c r="R27" t="s">
        <v>156</v>
      </c>
      <c r="S27" t="s">
        <v>124</v>
      </c>
      <c r="T27" t="s">
        <v>112</v>
      </c>
      <c r="V27" t="s">
        <v>122</v>
      </c>
      <c r="W27">
        <v>13.4</v>
      </c>
      <c r="X27" t="s">
        <v>57</v>
      </c>
      <c r="Z27" t="s">
        <v>124</v>
      </c>
      <c r="AA27" t="s">
        <v>64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>
        <v>28</v>
      </c>
      <c r="B28" t="s">
        <v>157</v>
      </c>
      <c r="C28" t="s">
        <v>153</v>
      </c>
      <c r="D28" t="s">
        <v>126</v>
      </c>
      <c r="E28" s="4">
        <v>1</v>
      </c>
      <c r="F28" t="s">
        <v>127</v>
      </c>
      <c r="G28" t="s">
        <v>127</v>
      </c>
      <c r="H28" s="3">
        <v>46107</v>
      </c>
      <c r="I28" s="3">
        <v>46108</v>
      </c>
      <c r="J28" t="s">
        <v>128</v>
      </c>
      <c r="K28" s="3">
        <v>46198</v>
      </c>
      <c r="L28" s="3">
        <v>46198</v>
      </c>
      <c r="M28" s="3">
        <v>46108</v>
      </c>
      <c r="N28" s="3">
        <v>46108</v>
      </c>
      <c r="O28" t="s">
        <v>129</v>
      </c>
      <c r="P28" t="s">
        <v>55</v>
      </c>
      <c r="Q28" t="s">
        <v>158</v>
      </c>
      <c r="S28" t="s">
        <v>118</v>
      </c>
      <c r="T28" t="s">
        <v>112</v>
      </c>
      <c r="U28">
        <v>29</v>
      </c>
      <c r="V28" t="s">
        <v>63</v>
      </c>
      <c r="W28">
        <v>13.4</v>
      </c>
      <c r="X28" t="s">
        <v>57</v>
      </c>
      <c r="Z28" t="s">
        <v>118</v>
      </c>
      <c r="AA28" t="s">
        <v>131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>
        <v>29</v>
      </c>
      <c r="B29" t="s">
        <v>159</v>
      </c>
      <c r="C29" t="s">
        <v>153</v>
      </c>
      <c r="D29" t="s">
        <v>133</v>
      </c>
      <c r="E29" s="4">
        <v>1</v>
      </c>
      <c r="F29" t="s">
        <v>127</v>
      </c>
      <c r="G29" t="s">
        <v>127</v>
      </c>
      <c r="H29" s="3">
        <v>46108</v>
      </c>
      <c r="I29" s="3">
        <v>46111</v>
      </c>
      <c r="J29" t="s">
        <v>134</v>
      </c>
      <c r="K29" s="3">
        <v>46199</v>
      </c>
      <c r="L29" s="3">
        <v>46199</v>
      </c>
      <c r="M29" s="3">
        <v>46111</v>
      </c>
      <c r="N29" s="3">
        <v>46111</v>
      </c>
      <c r="O29" t="s">
        <v>135</v>
      </c>
      <c r="P29" t="s">
        <v>55</v>
      </c>
      <c r="Q29">
        <v>28</v>
      </c>
      <c r="S29" t="s">
        <v>124</v>
      </c>
      <c r="T29" t="s">
        <v>112</v>
      </c>
      <c r="V29" t="s">
        <v>61</v>
      </c>
      <c r="W29">
        <v>13.4</v>
      </c>
      <c r="X29" t="s">
        <v>57</v>
      </c>
      <c r="Z29" t="s">
        <v>124</v>
      </c>
      <c r="AA29" t="s">
        <v>131</v>
      </c>
      <c r="AE29">
        <v>1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0</v>
      </c>
      <c r="AP29">
        <v>0</v>
      </c>
    </row>
    <row r="30" spans="1:42" x14ac:dyDescent="0.25">
      <c r="A30">
        <v>30</v>
      </c>
      <c r="B30" t="s">
        <v>160</v>
      </c>
      <c r="C30" t="s">
        <v>52</v>
      </c>
      <c r="D30" t="s">
        <v>161</v>
      </c>
      <c r="E30" s="4">
        <v>0.91</v>
      </c>
      <c r="F30" t="s">
        <v>43</v>
      </c>
      <c r="G30" t="s">
        <v>162</v>
      </c>
      <c r="H30" s="3">
        <v>46098</v>
      </c>
      <c r="I30" s="3">
        <v>46205</v>
      </c>
      <c r="J30" t="s">
        <v>45</v>
      </c>
      <c r="K30" s="3">
        <v>46199</v>
      </c>
      <c r="L30" s="3">
        <v>46098</v>
      </c>
      <c r="M30" s="3">
        <v>46205</v>
      </c>
      <c r="O30" t="s">
        <v>45</v>
      </c>
      <c r="P30" t="s">
        <v>46</v>
      </c>
      <c r="V30" t="s">
        <v>48</v>
      </c>
      <c r="W30">
        <v>539.20000000000005</v>
      </c>
      <c r="X30" t="s">
        <v>49</v>
      </c>
      <c r="AA30" t="s">
        <v>50</v>
      </c>
      <c r="AE30">
        <v>0.91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>
        <v>31</v>
      </c>
      <c r="B31" t="s">
        <v>163</v>
      </c>
      <c r="C31" t="s">
        <v>164</v>
      </c>
      <c r="D31" t="s">
        <v>165</v>
      </c>
      <c r="E31" s="4">
        <v>1</v>
      </c>
      <c r="F31" t="s">
        <v>114</v>
      </c>
      <c r="G31" t="s">
        <v>114</v>
      </c>
      <c r="H31" s="3">
        <v>46098</v>
      </c>
      <c r="I31" s="3">
        <v>46108</v>
      </c>
      <c r="J31" t="s">
        <v>45</v>
      </c>
      <c r="K31" s="3">
        <v>46108</v>
      </c>
      <c r="L31" s="3">
        <v>46098</v>
      </c>
      <c r="M31" s="3">
        <v>46108</v>
      </c>
      <c r="N31" s="3">
        <v>46108</v>
      </c>
      <c r="O31" t="s">
        <v>45</v>
      </c>
      <c r="P31" t="s">
        <v>55</v>
      </c>
      <c r="T31" t="s">
        <v>164</v>
      </c>
      <c r="V31" t="s">
        <v>114</v>
      </c>
      <c r="W31">
        <v>7</v>
      </c>
      <c r="X31" t="s">
        <v>57</v>
      </c>
      <c r="AA31" t="s">
        <v>50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>
        <v>32</v>
      </c>
      <c r="B32" t="s">
        <v>166</v>
      </c>
      <c r="C32" t="s">
        <v>167</v>
      </c>
      <c r="D32" t="s">
        <v>117</v>
      </c>
      <c r="E32" s="4">
        <v>1</v>
      </c>
      <c r="F32" t="s">
        <v>101</v>
      </c>
      <c r="G32" t="s">
        <v>101</v>
      </c>
      <c r="H32" s="3">
        <v>46098</v>
      </c>
      <c r="I32" s="3">
        <v>46101</v>
      </c>
      <c r="J32" t="s">
        <v>45</v>
      </c>
      <c r="K32" s="3">
        <v>46101</v>
      </c>
      <c r="L32" s="3">
        <v>46098</v>
      </c>
      <c r="M32" s="3">
        <v>46101</v>
      </c>
      <c r="N32" s="3">
        <v>46101</v>
      </c>
      <c r="O32" t="s">
        <v>45</v>
      </c>
      <c r="P32" t="s">
        <v>55</v>
      </c>
      <c r="Q32">
        <v>3</v>
      </c>
      <c r="S32" t="s">
        <v>168</v>
      </c>
      <c r="T32" t="s">
        <v>164</v>
      </c>
      <c r="U32">
        <v>33</v>
      </c>
      <c r="V32" t="s">
        <v>101</v>
      </c>
      <c r="W32">
        <v>13.4</v>
      </c>
      <c r="X32" t="s">
        <v>57</v>
      </c>
      <c r="Z32" t="s">
        <v>168</v>
      </c>
      <c r="AA32" t="s">
        <v>64</v>
      </c>
      <c r="AE32">
        <v>1</v>
      </c>
      <c r="AF32">
        <v>1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1</v>
      </c>
    </row>
    <row r="33" spans="1:42" x14ac:dyDescent="0.25">
      <c r="A33">
        <v>33</v>
      </c>
      <c r="B33" t="s">
        <v>169</v>
      </c>
      <c r="C33" t="s">
        <v>167</v>
      </c>
      <c r="D33" t="s">
        <v>121</v>
      </c>
      <c r="E33" s="4">
        <v>1</v>
      </c>
      <c r="F33" t="s">
        <v>122</v>
      </c>
      <c r="G33" t="s">
        <v>122</v>
      </c>
      <c r="H33" s="3">
        <v>46104</v>
      </c>
      <c r="I33" s="3">
        <v>46106</v>
      </c>
      <c r="J33" t="s">
        <v>123</v>
      </c>
      <c r="K33" s="3">
        <v>46106</v>
      </c>
      <c r="L33" s="3">
        <v>46104</v>
      </c>
      <c r="M33" s="3">
        <v>46106</v>
      </c>
      <c r="N33" s="3">
        <v>46106</v>
      </c>
      <c r="O33" t="s">
        <v>123</v>
      </c>
      <c r="P33" t="s">
        <v>55</v>
      </c>
      <c r="Q33">
        <v>32</v>
      </c>
      <c r="S33" t="s">
        <v>124</v>
      </c>
      <c r="T33" t="s">
        <v>164</v>
      </c>
      <c r="U33">
        <v>34</v>
      </c>
      <c r="V33" t="s">
        <v>122</v>
      </c>
      <c r="W33">
        <v>13.4</v>
      </c>
      <c r="X33" t="s">
        <v>57</v>
      </c>
      <c r="Z33" t="s">
        <v>124</v>
      </c>
      <c r="AA33" t="s">
        <v>64</v>
      </c>
      <c r="AE33">
        <v>1</v>
      </c>
      <c r="AF33">
        <v>0</v>
      </c>
      <c r="AG33">
        <v>0</v>
      </c>
      <c r="AH33">
        <v>0</v>
      </c>
      <c r="AI33">
        <v>0</v>
      </c>
      <c r="AJ33">
        <v>1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>
        <v>34</v>
      </c>
      <c r="B34" t="s">
        <v>170</v>
      </c>
      <c r="C34" t="s">
        <v>167</v>
      </c>
      <c r="D34" t="s">
        <v>126</v>
      </c>
      <c r="E34" s="4">
        <v>1</v>
      </c>
      <c r="F34" t="s">
        <v>61</v>
      </c>
      <c r="G34" t="s">
        <v>61</v>
      </c>
      <c r="H34" s="3">
        <v>46107</v>
      </c>
      <c r="I34" s="3">
        <v>46107</v>
      </c>
      <c r="J34" t="s">
        <v>129</v>
      </c>
      <c r="K34" s="3">
        <v>46107</v>
      </c>
      <c r="L34" s="3">
        <v>46107</v>
      </c>
      <c r="M34" s="3">
        <v>46107</v>
      </c>
      <c r="N34" s="3">
        <v>46107</v>
      </c>
      <c r="O34" t="s">
        <v>129</v>
      </c>
      <c r="P34" t="s">
        <v>55</v>
      </c>
      <c r="Q34">
        <v>33</v>
      </c>
      <c r="S34" t="s">
        <v>168</v>
      </c>
      <c r="T34" t="s">
        <v>164</v>
      </c>
      <c r="U34">
        <v>35</v>
      </c>
      <c r="V34" t="s">
        <v>61</v>
      </c>
      <c r="W34">
        <v>13.4</v>
      </c>
      <c r="X34" t="s">
        <v>57</v>
      </c>
      <c r="Z34" t="s">
        <v>168</v>
      </c>
      <c r="AA34" t="s">
        <v>64</v>
      </c>
      <c r="AE34">
        <v>1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1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>
        <v>35</v>
      </c>
      <c r="B35" t="s">
        <v>171</v>
      </c>
      <c r="C35" t="s">
        <v>167</v>
      </c>
      <c r="D35" t="s">
        <v>133</v>
      </c>
      <c r="E35" s="4">
        <v>1</v>
      </c>
      <c r="F35" t="s">
        <v>61</v>
      </c>
      <c r="G35" t="s">
        <v>61</v>
      </c>
      <c r="H35" s="3">
        <v>46108</v>
      </c>
      <c r="I35" s="3">
        <v>46108</v>
      </c>
      <c r="J35" t="s">
        <v>135</v>
      </c>
      <c r="K35" s="3">
        <v>46108</v>
      </c>
      <c r="L35" s="3">
        <v>46108</v>
      </c>
      <c r="M35" s="3">
        <v>46108</v>
      </c>
      <c r="N35" s="3">
        <v>46108</v>
      </c>
      <c r="O35" t="s">
        <v>135</v>
      </c>
      <c r="P35" t="s">
        <v>55</v>
      </c>
      <c r="Q35">
        <v>34</v>
      </c>
      <c r="S35" t="s">
        <v>124</v>
      </c>
      <c r="T35" t="s">
        <v>164</v>
      </c>
      <c r="V35" t="s">
        <v>61</v>
      </c>
      <c r="W35">
        <v>13.4</v>
      </c>
      <c r="X35" t="s">
        <v>57</v>
      </c>
      <c r="Z35" t="s">
        <v>124</v>
      </c>
      <c r="AA35" t="s">
        <v>64</v>
      </c>
      <c r="AE35">
        <v>1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0</v>
      </c>
      <c r="AP35">
        <v>0</v>
      </c>
    </row>
    <row r="36" spans="1:42" x14ac:dyDescent="0.25">
      <c r="A36">
        <v>36</v>
      </c>
      <c r="B36" t="s">
        <v>172</v>
      </c>
      <c r="C36" t="s">
        <v>164</v>
      </c>
      <c r="D36" t="s">
        <v>173</v>
      </c>
      <c r="E36" s="4">
        <v>1</v>
      </c>
      <c r="F36" t="s">
        <v>174</v>
      </c>
      <c r="G36" t="s">
        <v>174</v>
      </c>
      <c r="H36" s="3">
        <v>46127</v>
      </c>
      <c r="I36" s="3">
        <v>46199</v>
      </c>
      <c r="J36" t="s">
        <v>146</v>
      </c>
      <c r="K36" s="3">
        <v>46139</v>
      </c>
      <c r="L36" s="3">
        <v>46127</v>
      </c>
      <c r="M36" s="3">
        <v>46199</v>
      </c>
      <c r="N36" s="3">
        <v>46199</v>
      </c>
      <c r="O36" t="s">
        <v>146</v>
      </c>
      <c r="P36" t="s">
        <v>55</v>
      </c>
      <c r="T36" t="s">
        <v>164</v>
      </c>
      <c r="V36" t="s">
        <v>175</v>
      </c>
      <c r="W36">
        <v>21.1</v>
      </c>
      <c r="X36" t="s">
        <v>57</v>
      </c>
      <c r="AA36" t="s">
        <v>50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>
        <v>37</v>
      </c>
      <c r="B37" t="s">
        <v>176</v>
      </c>
      <c r="C37" t="s">
        <v>177</v>
      </c>
      <c r="D37" t="s">
        <v>117</v>
      </c>
      <c r="E37" s="4">
        <v>1</v>
      </c>
      <c r="F37" t="s">
        <v>127</v>
      </c>
      <c r="G37" t="s">
        <v>127</v>
      </c>
      <c r="H37" s="3">
        <v>46127</v>
      </c>
      <c r="I37" s="3">
        <v>46128</v>
      </c>
      <c r="J37" t="s">
        <v>146</v>
      </c>
      <c r="K37" s="3">
        <v>46128</v>
      </c>
      <c r="L37" s="3">
        <v>46127</v>
      </c>
      <c r="M37" s="3">
        <v>46128</v>
      </c>
      <c r="N37" s="3">
        <v>46128</v>
      </c>
      <c r="O37" t="s">
        <v>146</v>
      </c>
      <c r="P37" t="s">
        <v>55</v>
      </c>
      <c r="Q37" t="s">
        <v>178</v>
      </c>
      <c r="S37" t="s">
        <v>168</v>
      </c>
      <c r="T37" t="s">
        <v>164</v>
      </c>
      <c r="U37" t="s">
        <v>179</v>
      </c>
      <c r="V37" t="s">
        <v>127</v>
      </c>
      <c r="W37">
        <v>13.4</v>
      </c>
      <c r="X37" t="s">
        <v>57</v>
      </c>
      <c r="Y37">
        <v>4</v>
      </c>
      <c r="Z37" t="s">
        <v>168</v>
      </c>
      <c r="AA37" t="s">
        <v>180</v>
      </c>
      <c r="AE37">
        <v>1</v>
      </c>
      <c r="AF37">
        <v>1</v>
      </c>
      <c r="AG37">
        <v>1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1</v>
      </c>
    </row>
    <row r="38" spans="1:42" x14ac:dyDescent="0.25">
      <c r="A38">
        <v>38</v>
      </c>
      <c r="B38" t="s">
        <v>181</v>
      </c>
      <c r="C38" t="s">
        <v>177</v>
      </c>
      <c r="D38" t="s">
        <v>121</v>
      </c>
      <c r="E38" s="4">
        <v>1</v>
      </c>
      <c r="F38" t="s">
        <v>61</v>
      </c>
      <c r="G38" t="s">
        <v>61</v>
      </c>
      <c r="H38" s="3">
        <v>46147</v>
      </c>
      <c r="I38" s="3">
        <v>46147</v>
      </c>
      <c r="J38" t="s">
        <v>182</v>
      </c>
      <c r="K38" s="3">
        <v>46135</v>
      </c>
      <c r="L38" s="3">
        <v>46129</v>
      </c>
      <c r="M38" s="3">
        <v>46147</v>
      </c>
      <c r="N38" s="3">
        <v>46147</v>
      </c>
      <c r="O38" t="s">
        <v>183</v>
      </c>
      <c r="P38" t="s">
        <v>55</v>
      </c>
      <c r="Q38">
        <v>37</v>
      </c>
      <c r="S38" t="s">
        <v>124</v>
      </c>
      <c r="T38" t="s">
        <v>164</v>
      </c>
      <c r="U38">
        <v>39</v>
      </c>
      <c r="V38" t="s">
        <v>122</v>
      </c>
      <c r="W38">
        <v>13.4</v>
      </c>
      <c r="X38" t="s">
        <v>57</v>
      </c>
      <c r="Z38" t="s">
        <v>124</v>
      </c>
      <c r="AA38" t="s">
        <v>180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1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>
        <v>39</v>
      </c>
      <c r="B39" t="s">
        <v>184</v>
      </c>
      <c r="C39" t="s">
        <v>177</v>
      </c>
      <c r="D39" t="s">
        <v>126</v>
      </c>
      <c r="E39" s="4">
        <v>1</v>
      </c>
      <c r="F39" t="s">
        <v>114</v>
      </c>
      <c r="G39" t="s">
        <v>114</v>
      </c>
      <c r="H39" s="3">
        <v>46160</v>
      </c>
      <c r="I39" s="3">
        <v>46170</v>
      </c>
      <c r="J39" t="s">
        <v>67</v>
      </c>
      <c r="K39" s="3">
        <v>46136</v>
      </c>
      <c r="L39" s="3">
        <v>46136</v>
      </c>
      <c r="M39" s="3">
        <v>46170</v>
      </c>
      <c r="N39" s="3">
        <v>46170</v>
      </c>
      <c r="O39" t="s">
        <v>185</v>
      </c>
      <c r="P39" t="s">
        <v>55</v>
      </c>
      <c r="Q39">
        <v>38</v>
      </c>
      <c r="S39" t="s">
        <v>168</v>
      </c>
      <c r="T39" t="s">
        <v>164</v>
      </c>
      <c r="U39">
        <v>40</v>
      </c>
      <c r="V39" t="s">
        <v>61</v>
      </c>
      <c r="W39">
        <v>13.4</v>
      </c>
      <c r="X39" t="s">
        <v>57</v>
      </c>
      <c r="Z39" t="s">
        <v>168</v>
      </c>
      <c r="AA39" t="s">
        <v>71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1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>
        <v>40</v>
      </c>
      <c r="B40" t="s">
        <v>186</v>
      </c>
      <c r="C40" t="s">
        <v>177</v>
      </c>
      <c r="D40" t="s">
        <v>133</v>
      </c>
      <c r="E40" s="4">
        <v>1</v>
      </c>
      <c r="F40" t="s">
        <v>187</v>
      </c>
      <c r="G40" t="s">
        <v>187</v>
      </c>
      <c r="H40" s="3">
        <v>46171</v>
      </c>
      <c r="I40" s="3">
        <v>46199</v>
      </c>
      <c r="J40" t="s">
        <v>188</v>
      </c>
      <c r="K40" s="3">
        <v>46139</v>
      </c>
      <c r="L40" s="3">
        <v>46139</v>
      </c>
      <c r="M40" s="3">
        <v>46199</v>
      </c>
      <c r="N40" s="3">
        <v>46199</v>
      </c>
      <c r="O40" t="s">
        <v>189</v>
      </c>
      <c r="P40" t="s">
        <v>55</v>
      </c>
      <c r="Q40">
        <v>39</v>
      </c>
      <c r="S40" t="s">
        <v>124</v>
      </c>
      <c r="T40" t="s">
        <v>164</v>
      </c>
      <c r="V40" t="s">
        <v>61</v>
      </c>
      <c r="W40">
        <v>13.4</v>
      </c>
      <c r="X40" t="s">
        <v>57</v>
      </c>
      <c r="Z40" t="s">
        <v>124</v>
      </c>
      <c r="AA40" t="s">
        <v>71</v>
      </c>
      <c r="AE40">
        <v>1</v>
      </c>
      <c r="AF40">
        <v>0</v>
      </c>
      <c r="AG40">
        <v>0</v>
      </c>
      <c r="AH40">
        <v>0</v>
      </c>
      <c r="AI40">
        <v>1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0</v>
      </c>
      <c r="AP40">
        <v>0</v>
      </c>
    </row>
    <row r="41" spans="1:42" x14ac:dyDescent="0.25">
      <c r="A41">
        <v>41</v>
      </c>
      <c r="B41" t="s">
        <v>190</v>
      </c>
      <c r="C41" t="s">
        <v>164</v>
      </c>
      <c r="D41" t="s">
        <v>191</v>
      </c>
      <c r="E41" s="4">
        <v>1</v>
      </c>
      <c r="F41" t="s">
        <v>192</v>
      </c>
      <c r="G41" t="s">
        <v>192</v>
      </c>
      <c r="H41" s="3">
        <v>46174</v>
      </c>
      <c r="I41" s="3">
        <v>46199</v>
      </c>
      <c r="J41" t="s">
        <v>185</v>
      </c>
      <c r="K41" s="3">
        <v>46168</v>
      </c>
      <c r="L41" s="3">
        <v>46160</v>
      </c>
      <c r="M41" s="3">
        <v>46199</v>
      </c>
      <c r="N41" s="3">
        <v>46199</v>
      </c>
      <c r="O41" t="s">
        <v>193</v>
      </c>
      <c r="P41" t="s">
        <v>55</v>
      </c>
      <c r="T41" t="s">
        <v>164</v>
      </c>
      <c r="V41" t="s">
        <v>175</v>
      </c>
      <c r="W41">
        <v>21.6</v>
      </c>
      <c r="X41" t="s">
        <v>57</v>
      </c>
      <c r="AA41" t="s">
        <v>50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>
        <v>42</v>
      </c>
      <c r="B42" t="s">
        <v>194</v>
      </c>
      <c r="C42" t="s">
        <v>195</v>
      </c>
      <c r="D42" t="s">
        <v>117</v>
      </c>
      <c r="E42" s="4">
        <v>1</v>
      </c>
      <c r="F42" t="s">
        <v>122</v>
      </c>
      <c r="G42" t="s">
        <v>122</v>
      </c>
      <c r="H42" s="3">
        <v>46174</v>
      </c>
      <c r="I42" s="3">
        <v>46176</v>
      </c>
      <c r="J42" t="s">
        <v>185</v>
      </c>
      <c r="K42" s="3">
        <v>46161</v>
      </c>
      <c r="L42" s="3">
        <v>46160</v>
      </c>
      <c r="M42" s="3">
        <v>46176</v>
      </c>
      <c r="N42" s="3">
        <v>46176</v>
      </c>
      <c r="O42" t="s">
        <v>193</v>
      </c>
      <c r="P42" t="s">
        <v>55</v>
      </c>
      <c r="Q42" t="s">
        <v>196</v>
      </c>
      <c r="S42" t="s">
        <v>168</v>
      </c>
      <c r="T42" t="s">
        <v>164</v>
      </c>
      <c r="U42" t="s">
        <v>197</v>
      </c>
      <c r="V42" t="s">
        <v>127</v>
      </c>
      <c r="W42">
        <v>13.4</v>
      </c>
      <c r="X42" t="s">
        <v>57</v>
      </c>
      <c r="Z42" t="s">
        <v>168</v>
      </c>
      <c r="AA42" t="s">
        <v>198</v>
      </c>
      <c r="AE42">
        <v>1</v>
      </c>
      <c r="AF42">
        <v>1</v>
      </c>
      <c r="AG42">
        <v>1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1</v>
      </c>
    </row>
    <row r="43" spans="1:42" x14ac:dyDescent="0.25">
      <c r="A43">
        <v>43</v>
      </c>
      <c r="B43" t="s">
        <v>199</v>
      </c>
      <c r="C43" t="s">
        <v>195</v>
      </c>
      <c r="D43" t="s">
        <v>121</v>
      </c>
      <c r="E43" s="4">
        <v>1</v>
      </c>
      <c r="F43" t="s">
        <v>61</v>
      </c>
      <c r="G43" t="s">
        <v>61</v>
      </c>
      <c r="H43" s="3">
        <v>46181</v>
      </c>
      <c r="I43" s="3">
        <v>46181</v>
      </c>
      <c r="J43" t="s">
        <v>200</v>
      </c>
      <c r="K43" s="3">
        <v>46164</v>
      </c>
      <c r="L43" s="3">
        <v>46162</v>
      </c>
      <c r="M43" s="3">
        <v>46181</v>
      </c>
      <c r="N43" s="3">
        <v>46181</v>
      </c>
      <c r="O43" t="s">
        <v>201</v>
      </c>
      <c r="P43" t="s">
        <v>55</v>
      </c>
      <c r="Q43">
        <v>42</v>
      </c>
      <c r="S43" t="s">
        <v>124</v>
      </c>
      <c r="T43" t="s">
        <v>164</v>
      </c>
      <c r="U43">
        <v>44</v>
      </c>
      <c r="V43" t="s">
        <v>122</v>
      </c>
      <c r="W43">
        <v>13.4</v>
      </c>
      <c r="X43" t="s">
        <v>57</v>
      </c>
      <c r="Z43" t="s">
        <v>124</v>
      </c>
      <c r="AA43" t="s">
        <v>198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1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>
        <v>44</v>
      </c>
      <c r="B44" t="s">
        <v>202</v>
      </c>
      <c r="C44" t="s">
        <v>195</v>
      </c>
      <c r="D44" t="s">
        <v>126</v>
      </c>
      <c r="E44" s="4">
        <v>1</v>
      </c>
      <c r="F44" t="s">
        <v>203</v>
      </c>
      <c r="G44" t="s">
        <v>203</v>
      </c>
      <c r="H44" s="3">
        <v>46182</v>
      </c>
      <c r="I44" s="3">
        <v>46196</v>
      </c>
      <c r="J44" t="s">
        <v>74</v>
      </c>
      <c r="K44" s="3">
        <v>46167</v>
      </c>
      <c r="L44" s="3">
        <v>46167</v>
      </c>
      <c r="M44" s="3">
        <v>46196</v>
      </c>
      <c r="N44" s="3">
        <v>46196</v>
      </c>
      <c r="O44" t="s">
        <v>204</v>
      </c>
      <c r="P44" t="s">
        <v>55</v>
      </c>
      <c r="Q44">
        <v>43</v>
      </c>
      <c r="S44" t="s">
        <v>168</v>
      </c>
      <c r="T44" t="s">
        <v>164</v>
      </c>
      <c r="U44">
        <v>45</v>
      </c>
      <c r="V44" t="s">
        <v>61</v>
      </c>
      <c r="W44">
        <v>13.4</v>
      </c>
      <c r="X44" t="s">
        <v>57</v>
      </c>
      <c r="Z44" t="s">
        <v>168</v>
      </c>
      <c r="AA44" t="s">
        <v>77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1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>
        <v>45</v>
      </c>
      <c r="B45" t="s">
        <v>205</v>
      </c>
      <c r="C45" t="s">
        <v>195</v>
      </c>
      <c r="D45" t="s">
        <v>133</v>
      </c>
      <c r="E45" s="4">
        <v>1</v>
      </c>
      <c r="F45" t="s">
        <v>122</v>
      </c>
      <c r="G45" t="s">
        <v>122</v>
      </c>
      <c r="H45" s="3">
        <v>46197</v>
      </c>
      <c r="I45" s="3">
        <v>46199</v>
      </c>
      <c r="J45" t="s">
        <v>206</v>
      </c>
      <c r="K45" s="3">
        <v>46168</v>
      </c>
      <c r="L45" s="3">
        <v>46168</v>
      </c>
      <c r="M45" s="3">
        <v>46199</v>
      </c>
      <c r="N45" s="3">
        <v>46199</v>
      </c>
      <c r="O45" t="s">
        <v>207</v>
      </c>
      <c r="P45" t="s">
        <v>55</v>
      </c>
      <c r="Q45">
        <v>44</v>
      </c>
      <c r="S45" t="s">
        <v>124</v>
      </c>
      <c r="T45" t="s">
        <v>164</v>
      </c>
      <c r="V45" t="s">
        <v>61</v>
      </c>
      <c r="W45">
        <v>13.4</v>
      </c>
      <c r="X45" t="s">
        <v>57</v>
      </c>
      <c r="Z45" t="s">
        <v>124</v>
      </c>
      <c r="AA45" t="s">
        <v>77</v>
      </c>
      <c r="AE45">
        <v>1</v>
      </c>
      <c r="AF45">
        <v>0</v>
      </c>
      <c r="AG45">
        <v>0</v>
      </c>
      <c r="AH45">
        <v>0</v>
      </c>
      <c r="AI45">
        <v>1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0</v>
      </c>
      <c r="AP45">
        <v>0</v>
      </c>
    </row>
    <row r="46" spans="1:42" x14ac:dyDescent="0.25">
      <c r="A46">
        <v>51</v>
      </c>
      <c r="B46" t="s">
        <v>208</v>
      </c>
      <c r="C46" t="s">
        <v>164</v>
      </c>
      <c r="D46" t="s">
        <v>209</v>
      </c>
      <c r="E46" s="4">
        <v>0.13</v>
      </c>
      <c r="F46" t="s">
        <v>210</v>
      </c>
      <c r="G46" t="s">
        <v>61</v>
      </c>
      <c r="H46" s="3">
        <v>46196</v>
      </c>
      <c r="I46" s="3">
        <v>46205</v>
      </c>
      <c r="J46" t="s">
        <v>211</v>
      </c>
      <c r="K46" s="3">
        <v>46199</v>
      </c>
      <c r="L46" s="3">
        <v>46192</v>
      </c>
      <c r="M46" s="3">
        <v>46205</v>
      </c>
      <c r="O46" t="s">
        <v>212</v>
      </c>
      <c r="P46" t="s">
        <v>213</v>
      </c>
      <c r="T46" t="s">
        <v>164</v>
      </c>
      <c r="V46" t="s">
        <v>214</v>
      </c>
      <c r="W46">
        <v>16.8</v>
      </c>
      <c r="X46" t="s">
        <v>49</v>
      </c>
      <c r="AA46" t="s">
        <v>50</v>
      </c>
      <c r="AE46">
        <v>0.13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>
        <v>52</v>
      </c>
      <c r="B47" t="s">
        <v>215</v>
      </c>
      <c r="C47" t="s">
        <v>216</v>
      </c>
      <c r="D47" t="s">
        <v>117</v>
      </c>
      <c r="E47" s="4">
        <v>1</v>
      </c>
      <c r="F47" t="s">
        <v>61</v>
      </c>
      <c r="G47" t="s">
        <v>61</v>
      </c>
      <c r="H47" s="3">
        <v>46196</v>
      </c>
      <c r="I47" s="3">
        <v>46196</v>
      </c>
      <c r="J47" t="s">
        <v>211</v>
      </c>
      <c r="K47" s="3">
        <v>46192</v>
      </c>
      <c r="L47" s="3">
        <v>46192</v>
      </c>
      <c r="M47" s="3">
        <v>46196</v>
      </c>
      <c r="N47" s="3">
        <v>46196</v>
      </c>
      <c r="O47" t="s">
        <v>212</v>
      </c>
      <c r="P47" t="s">
        <v>55</v>
      </c>
      <c r="Q47">
        <v>49</v>
      </c>
      <c r="R47" s="1">
        <v>46134.6875</v>
      </c>
      <c r="S47" t="s">
        <v>168</v>
      </c>
      <c r="T47" t="s">
        <v>164</v>
      </c>
      <c r="U47">
        <v>53</v>
      </c>
      <c r="V47" t="s">
        <v>61</v>
      </c>
      <c r="W47">
        <v>13.4</v>
      </c>
      <c r="X47" t="s">
        <v>57</v>
      </c>
      <c r="Z47" t="s">
        <v>168</v>
      </c>
      <c r="AA47" t="s">
        <v>217</v>
      </c>
      <c r="AE47">
        <v>1</v>
      </c>
      <c r="AF47">
        <v>1</v>
      </c>
      <c r="AG47">
        <v>1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1</v>
      </c>
    </row>
    <row r="48" spans="1:42" x14ac:dyDescent="0.25">
      <c r="A48">
        <v>53</v>
      </c>
      <c r="B48" t="s">
        <v>218</v>
      </c>
      <c r="C48" t="s">
        <v>216</v>
      </c>
      <c r="D48" t="s">
        <v>121</v>
      </c>
      <c r="E48" s="4">
        <v>0</v>
      </c>
      <c r="F48" t="s">
        <v>61</v>
      </c>
      <c r="G48" t="s">
        <v>63</v>
      </c>
      <c r="H48" s="3">
        <v>46197</v>
      </c>
      <c r="I48" s="3">
        <v>46197</v>
      </c>
      <c r="J48" t="s">
        <v>219</v>
      </c>
      <c r="K48" s="3">
        <v>46197</v>
      </c>
      <c r="L48" s="3">
        <v>46195</v>
      </c>
      <c r="M48" s="3">
        <v>46197</v>
      </c>
      <c r="O48" t="s">
        <v>220</v>
      </c>
      <c r="P48" t="s">
        <v>213</v>
      </c>
      <c r="Q48">
        <v>52</v>
      </c>
      <c r="S48" t="s">
        <v>124</v>
      </c>
      <c r="T48" t="s">
        <v>164</v>
      </c>
      <c r="U48">
        <v>54</v>
      </c>
      <c r="V48" t="s">
        <v>122</v>
      </c>
      <c r="W48">
        <v>13.4</v>
      </c>
      <c r="X48" t="s">
        <v>49</v>
      </c>
      <c r="Z48" t="s">
        <v>124</v>
      </c>
      <c r="AA48" t="s">
        <v>131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>
        <v>54</v>
      </c>
      <c r="B49" t="s">
        <v>221</v>
      </c>
      <c r="C49" t="s">
        <v>216</v>
      </c>
      <c r="D49" t="s">
        <v>126</v>
      </c>
      <c r="E49" s="4">
        <v>0</v>
      </c>
      <c r="F49" t="s">
        <v>61</v>
      </c>
      <c r="G49" t="s">
        <v>63</v>
      </c>
      <c r="H49" s="3">
        <v>46198</v>
      </c>
      <c r="I49" s="3">
        <v>46198</v>
      </c>
      <c r="J49" t="s">
        <v>128</v>
      </c>
      <c r="K49" s="3">
        <v>46198</v>
      </c>
      <c r="L49" s="3">
        <v>46198</v>
      </c>
      <c r="M49" s="3">
        <v>46198</v>
      </c>
      <c r="O49" t="s">
        <v>220</v>
      </c>
      <c r="P49" t="s">
        <v>213</v>
      </c>
      <c r="Q49">
        <v>53</v>
      </c>
      <c r="S49" t="s">
        <v>168</v>
      </c>
      <c r="T49" t="s">
        <v>164</v>
      </c>
      <c r="U49" t="s">
        <v>222</v>
      </c>
      <c r="V49" t="s">
        <v>61</v>
      </c>
      <c r="W49">
        <v>13.4</v>
      </c>
      <c r="X49" t="s">
        <v>49</v>
      </c>
      <c r="Z49" t="s">
        <v>168</v>
      </c>
      <c r="AA49" t="s">
        <v>131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1</v>
      </c>
      <c r="AN49">
        <v>0</v>
      </c>
      <c r="AO49">
        <v>0</v>
      </c>
      <c r="AP49">
        <v>0</v>
      </c>
    </row>
    <row r="50" spans="1:42" x14ac:dyDescent="0.25">
      <c r="A50">
        <v>55</v>
      </c>
      <c r="B50" t="s">
        <v>223</v>
      </c>
      <c r="C50" t="s">
        <v>216</v>
      </c>
      <c r="D50" t="s">
        <v>133</v>
      </c>
      <c r="E50" s="4">
        <v>0</v>
      </c>
      <c r="F50" t="s">
        <v>138</v>
      </c>
      <c r="G50" t="s">
        <v>63</v>
      </c>
      <c r="H50" s="3">
        <v>46199</v>
      </c>
      <c r="I50" s="3">
        <v>46205</v>
      </c>
      <c r="J50" t="s">
        <v>134</v>
      </c>
      <c r="K50" s="3">
        <v>46199</v>
      </c>
      <c r="L50" s="3">
        <v>46199</v>
      </c>
      <c r="M50" s="3">
        <v>46205</v>
      </c>
      <c r="O50" t="s">
        <v>220</v>
      </c>
      <c r="P50" t="s">
        <v>46</v>
      </c>
      <c r="Q50">
        <v>54</v>
      </c>
      <c r="S50" t="s">
        <v>124</v>
      </c>
      <c r="T50" t="s">
        <v>164</v>
      </c>
      <c r="V50" t="s">
        <v>61</v>
      </c>
      <c r="W50">
        <v>13.4</v>
      </c>
      <c r="X50" t="s">
        <v>49</v>
      </c>
      <c r="Z50" t="s">
        <v>124</v>
      </c>
      <c r="AA50" t="s">
        <v>131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>
        <v>66</v>
      </c>
      <c r="B51" t="s">
        <v>224</v>
      </c>
      <c r="C51" t="s">
        <v>164</v>
      </c>
      <c r="D51" t="s">
        <v>225</v>
      </c>
      <c r="E51" s="4">
        <v>1</v>
      </c>
      <c r="F51" t="s">
        <v>226</v>
      </c>
      <c r="G51" t="s">
        <v>226</v>
      </c>
      <c r="H51" s="3">
        <v>46098</v>
      </c>
      <c r="I51" s="3">
        <v>46129</v>
      </c>
      <c r="J51" t="s">
        <v>45</v>
      </c>
      <c r="K51" s="3">
        <v>46199</v>
      </c>
      <c r="L51" s="3">
        <v>46098</v>
      </c>
      <c r="M51" s="3">
        <v>46129</v>
      </c>
      <c r="N51" s="3">
        <v>46129</v>
      </c>
      <c r="O51" t="s">
        <v>45</v>
      </c>
      <c r="P51" t="s">
        <v>55</v>
      </c>
      <c r="T51" t="s">
        <v>164</v>
      </c>
      <c r="V51" t="s">
        <v>48</v>
      </c>
      <c r="W51">
        <v>21.6</v>
      </c>
      <c r="X51" t="s">
        <v>57</v>
      </c>
      <c r="AA51" t="s">
        <v>50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>
        <v>67</v>
      </c>
      <c r="B52" t="s">
        <v>227</v>
      </c>
      <c r="C52" t="s">
        <v>228</v>
      </c>
      <c r="D52" t="s">
        <v>117</v>
      </c>
      <c r="E52" s="4">
        <v>1</v>
      </c>
      <c r="F52" t="s">
        <v>101</v>
      </c>
      <c r="G52" t="s">
        <v>101</v>
      </c>
      <c r="H52" s="3">
        <v>46098</v>
      </c>
      <c r="I52" s="3">
        <v>46101</v>
      </c>
      <c r="J52" t="s">
        <v>45</v>
      </c>
      <c r="K52" s="3">
        <v>46101</v>
      </c>
      <c r="L52" s="3">
        <v>46098</v>
      </c>
      <c r="M52" s="3">
        <v>46101</v>
      </c>
      <c r="N52" s="3">
        <v>46101</v>
      </c>
      <c r="O52" t="s">
        <v>45</v>
      </c>
      <c r="P52" t="s">
        <v>55</v>
      </c>
      <c r="Q52">
        <v>3</v>
      </c>
      <c r="S52" t="s">
        <v>168</v>
      </c>
      <c r="T52" t="s">
        <v>164</v>
      </c>
      <c r="U52">
        <v>68</v>
      </c>
      <c r="V52" t="s">
        <v>101</v>
      </c>
      <c r="W52">
        <v>13.4</v>
      </c>
      <c r="X52" t="s">
        <v>57</v>
      </c>
      <c r="Z52" t="s">
        <v>168</v>
      </c>
      <c r="AA52" t="s">
        <v>64</v>
      </c>
      <c r="AE52">
        <v>1</v>
      </c>
      <c r="AF52">
        <v>1</v>
      </c>
      <c r="AG52">
        <v>1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1</v>
      </c>
    </row>
    <row r="53" spans="1:42" x14ac:dyDescent="0.25">
      <c r="A53">
        <v>68</v>
      </c>
      <c r="B53" t="s">
        <v>229</v>
      </c>
      <c r="C53" t="s">
        <v>228</v>
      </c>
      <c r="D53" t="s">
        <v>121</v>
      </c>
      <c r="E53" s="4">
        <v>1</v>
      </c>
      <c r="F53" t="s">
        <v>61</v>
      </c>
      <c r="G53" t="s">
        <v>61</v>
      </c>
      <c r="H53" s="3">
        <v>46104</v>
      </c>
      <c r="I53" s="3">
        <v>46104</v>
      </c>
      <c r="J53" t="s">
        <v>123</v>
      </c>
      <c r="K53" s="3">
        <v>46104</v>
      </c>
      <c r="L53" s="3">
        <v>46104</v>
      </c>
      <c r="M53" s="3">
        <v>46104</v>
      </c>
      <c r="N53" s="3">
        <v>46104</v>
      </c>
      <c r="O53" t="s">
        <v>123</v>
      </c>
      <c r="P53" t="s">
        <v>55</v>
      </c>
      <c r="Q53">
        <v>67</v>
      </c>
      <c r="S53" t="s">
        <v>124</v>
      </c>
      <c r="T53" t="s">
        <v>164</v>
      </c>
      <c r="U53">
        <v>69</v>
      </c>
      <c r="V53" t="s">
        <v>61</v>
      </c>
      <c r="W53">
        <v>13.4</v>
      </c>
      <c r="X53" t="s">
        <v>57</v>
      </c>
      <c r="Z53" t="s">
        <v>124</v>
      </c>
      <c r="AA53" t="s">
        <v>64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1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>
        <v>69</v>
      </c>
      <c r="B54" t="s">
        <v>230</v>
      </c>
      <c r="C54" t="s">
        <v>228</v>
      </c>
      <c r="D54" t="s">
        <v>126</v>
      </c>
      <c r="E54" s="4">
        <v>1</v>
      </c>
      <c r="F54" t="s">
        <v>63</v>
      </c>
      <c r="G54" t="s">
        <v>63</v>
      </c>
      <c r="H54" s="3">
        <v>46128</v>
      </c>
      <c r="I54" s="3">
        <v>46128</v>
      </c>
      <c r="J54" t="s">
        <v>128</v>
      </c>
      <c r="K54" s="3">
        <v>46198</v>
      </c>
      <c r="L54" s="3">
        <v>46198</v>
      </c>
      <c r="M54" s="3">
        <v>46128</v>
      </c>
      <c r="N54" s="3">
        <v>46128</v>
      </c>
      <c r="O54" t="s">
        <v>148</v>
      </c>
      <c r="P54" t="s">
        <v>55</v>
      </c>
      <c r="Q54" t="s">
        <v>231</v>
      </c>
      <c r="S54" t="s">
        <v>168</v>
      </c>
      <c r="T54" t="s">
        <v>164</v>
      </c>
      <c r="U54">
        <v>70</v>
      </c>
      <c r="V54" t="s">
        <v>63</v>
      </c>
      <c r="W54">
        <v>13.4</v>
      </c>
      <c r="X54" t="s">
        <v>57</v>
      </c>
      <c r="Z54" t="s">
        <v>168</v>
      </c>
      <c r="AA54" t="s">
        <v>131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1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>
        <v>70</v>
      </c>
      <c r="B55" t="s">
        <v>232</v>
      </c>
      <c r="C55" t="s">
        <v>228</v>
      </c>
      <c r="D55" t="s">
        <v>133</v>
      </c>
      <c r="E55" s="4">
        <v>1</v>
      </c>
      <c r="F55" t="s">
        <v>61</v>
      </c>
      <c r="G55" t="s">
        <v>61</v>
      </c>
      <c r="H55" s="3">
        <v>46129</v>
      </c>
      <c r="I55" s="3">
        <v>46129</v>
      </c>
      <c r="J55" t="s">
        <v>134</v>
      </c>
      <c r="K55" s="3">
        <v>46199</v>
      </c>
      <c r="L55" s="3">
        <v>46199</v>
      </c>
      <c r="M55" s="3">
        <v>46129</v>
      </c>
      <c r="N55" s="3">
        <v>46129</v>
      </c>
      <c r="O55" t="s">
        <v>182</v>
      </c>
      <c r="P55" t="s">
        <v>55</v>
      </c>
      <c r="Q55">
        <v>69</v>
      </c>
      <c r="S55" t="s">
        <v>124</v>
      </c>
      <c r="T55" t="s">
        <v>164</v>
      </c>
      <c r="V55" t="s">
        <v>61</v>
      </c>
      <c r="W55">
        <v>13.4</v>
      </c>
      <c r="X55" t="s">
        <v>57</v>
      </c>
      <c r="Z55" t="s">
        <v>124</v>
      </c>
      <c r="AA55" t="s">
        <v>131</v>
      </c>
      <c r="AE55">
        <v>1</v>
      </c>
      <c r="AF55">
        <v>0</v>
      </c>
      <c r="AG55">
        <v>0</v>
      </c>
      <c r="AH55">
        <v>0</v>
      </c>
      <c r="AI55">
        <v>1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0</v>
      </c>
      <c r="AP55">
        <v>0</v>
      </c>
    </row>
    <row r="56" spans="1:42" x14ac:dyDescent="0.25">
      <c r="A56">
        <v>71</v>
      </c>
      <c r="B56" t="s">
        <v>233</v>
      </c>
      <c r="C56" t="s">
        <v>164</v>
      </c>
      <c r="D56" t="s">
        <v>234</v>
      </c>
      <c r="E56" s="4">
        <v>1</v>
      </c>
      <c r="F56" t="s">
        <v>101</v>
      </c>
      <c r="G56" t="s">
        <v>101</v>
      </c>
      <c r="H56" s="3">
        <v>46196</v>
      </c>
      <c r="I56" s="3">
        <v>46199</v>
      </c>
      <c r="J56" t="s">
        <v>212</v>
      </c>
      <c r="K56" s="3">
        <v>46199</v>
      </c>
      <c r="L56" s="3">
        <v>46196</v>
      </c>
      <c r="M56" s="3">
        <v>46199</v>
      </c>
      <c r="N56" s="3">
        <v>46199</v>
      </c>
      <c r="O56" t="s">
        <v>212</v>
      </c>
      <c r="P56" t="s">
        <v>55</v>
      </c>
      <c r="T56" t="s">
        <v>164</v>
      </c>
      <c r="V56" t="s">
        <v>235</v>
      </c>
      <c r="X56" t="s">
        <v>57</v>
      </c>
      <c r="AA56" t="s">
        <v>50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>
        <v>72</v>
      </c>
      <c r="B57" t="s">
        <v>236</v>
      </c>
      <c r="C57" t="s">
        <v>237</v>
      </c>
      <c r="D57" t="s">
        <v>117</v>
      </c>
      <c r="E57" s="4">
        <v>1</v>
      </c>
      <c r="F57" t="s">
        <v>61</v>
      </c>
      <c r="G57" t="s">
        <v>61</v>
      </c>
      <c r="H57" s="3">
        <v>46196</v>
      </c>
      <c r="I57" s="3">
        <v>46196</v>
      </c>
      <c r="J57" t="s">
        <v>212</v>
      </c>
      <c r="K57" s="3">
        <v>46196</v>
      </c>
      <c r="L57" s="3">
        <v>46196</v>
      </c>
      <c r="M57" s="3">
        <v>46196</v>
      </c>
      <c r="N57" s="3">
        <v>46196</v>
      </c>
      <c r="O57" t="s">
        <v>212</v>
      </c>
      <c r="P57" t="s">
        <v>55</v>
      </c>
      <c r="T57" t="s">
        <v>164</v>
      </c>
      <c r="V57" t="s">
        <v>61</v>
      </c>
      <c r="W57">
        <v>13.4</v>
      </c>
      <c r="X57" t="s">
        <v>57</v>
      </c>
      <c r="AA57" t="s">
        <v>180</v>
      </c>
      <c r="AE57">
        <v>1</v>
      </c>
      <c r="AF57">
        <v>1</v>
      </c>
      <c r="AG57">
        <v>1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1</v>
      </c>
    </row>
    <row r="58" spans="1:42" x14ac:dyDescent="0.25">
      <c r="A58">
        <v>73</v>
      </c>
      <c r="B58" t="s">
        <v>238</v>
      </c>
      <c r="C58" t="s">
        <v>237</v>
      </c>
      <c r="D58" t="s">
        <v>121</v>
      </c>
      <c r="E58" s="4">
        <v>1</v>
      </c>
      <c r="F58" t="s">
        <v>61</v>
      </c>
      <c r="G58" t="s">
        <v>61</v>
      </c>
      <c r="H58" s="3">
        <v>46197</v>
      </c>
      <c r="I58" s="3">
        <v>46197</v>
      </c>
      <c r="J58" t="s">
        <v>207</v>
      </c>
      <c r="K58" s="3">
        <v>46197</v>
      </c>
      <c r="L58" s="3">
        <v>46197</v>
      </c>
      <c r="M58" s="3">
        <v>46197</v>
      </c>
      <c r="N58" s="3">
        <v>46197</v>
      </c>
      <c r="O58" t="s">
        <v>207</v>
      </c>
      <c r="P58" t="s">
        <v>55</v>
      </c>
      <c r="T58" t="s">
        <v>164</v>
      </c>
      <c r="U58">
        <v>74</v>
      </c>
      <c r="V58" t="s">
        <v>175</v>
      </c>
      <c r="W58">
        <v>13.4</v>
      </c>
      <c r="X58" t="s">
        <v>57</v>
      </c>
      <c r="AA58" t="s">
        <v>180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1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>
        <v>74</v>
      </c>
      <c r="B59" t="s">
        <v>239</v>
      </c>
      <c r="C59" t="s">
        <v>237</v>
      </c>
      <c r="D59" t="s">
        <v>126</v>
      </c>
      <c r="E59" s="4">
        <v>1</v>
      </c>
      <c r="F59" t="s">
        <v>61</v>
      </c>
      <c r="G59" t="s">
        <v>61</v>
      </c>
      <c r="H59" s="3">
        <v>46198</v>
      </c>
      <c r="I59" s="3">
        <v>46198</v>
      </c>
      <c r="J59" t="s">
        <v>128</v>
      </c>
      <c r="K59" s="3">
        <v>46198</v>
      </c>
      <c r="L59" s="3">
        <v>46198</v>
      </c>
      <c r="M59" s="3">
        <v>46198</v>
      </c>
      <c r="N59" s="3">
        <v>46198</v>
      </c>
      <c r="O59" t="s">
        <v>128</v>
      </c>
      <c r="P59" t="s">
        <v>55</v>
      </c>
      <c r="Q59">
        <v>73</v>
      </c>
      <c r="T59" t="s">
        <v>164</v>
      </c>
      <c r="U59">
        <v>75</v>
      </c>
      <c r="V59" t="s">
        <v>138</v>
      </c>
      <c r="W59">
        <v>13.4</v>
      </c>
      <c r="X59" t="s">
        <v>57</v>
      </c>
      <c r="AA59" t="s">
        <v>217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1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>
        <v>75</v>
      </c>
      <c r="B60" t="s">
        <v>240</v>
      </c>
      <c r="C60" t="s">
        <v>237</v>
      </c>
      <c r="D60" t="s">
        <v>133</v>
      </c>
      <c r="E60" s="4">
        <v>1</v>
      </c>
      <c r="F60" t="s">
        <v>61</v>
      </c>
      <c r="G60" t="s">
        <v>61</v>
      </c>
      <c r="H60" s="3">
        <v>46199</v>
      </c>
      <c r="I60" s="3">
        <v>46199</v>
      </c>
      <c r="J60" t="s">
        <v>134</v>
      </c>
      <c r="K60" s="3">
        <v>46199</v>
      </c>
      <c r="L60" s="3">
        <v>46199</v>
      </c>
      <c r="M60" s="3">
        <v>46199</v>
      </c>
      <c r="N60" s="3">
        <v>46199</v>
      </c>
      <c r="O60" t="s">
        <v>134</v>
      </c>
      <c r="P60" t="s">
        <v>55</v>
      </c>
      <c r="Q60">
        <v>74</v>
      </c>
      <c r="T60" t="s">
        <v>164</v>
      </c>
      <c r="V60" t="s">
        <v>127</v>
      </c>
      <c r="W60">
        <v>13.4</v>
      </c>
      <c r="X60" t="s">
        <v>57</v>
      </c>
      <c r="AA60" t="s">
        <v>131</v>
      </c>
      <c r="AE60">
        <v>1</v>
      </c>
      <c r="AF60">
        <v>0</v>
      </c>
      <c r="AG60">
        <v>0</v>
      </c>
      <c r="AH60">
        <v>0</v>
      </c>
      <c r="AI60">
        <v>1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0</v>
      </c>
      <c r="AP60">
        <v>0</v>
      </c>
    </row>
    <row r="61" spans="1:42" x14ac:dyDescent="0.25">
      <c r="A61">
        <v>76</v>
      </c>
      <c r="B61" t="s">
        <v>241</v>
      </c>
      <c r="C61" t="s">
        <v>52</v>
      </c>
      <c r="D61" t="s">
        <v>242</v>
      </c>
      <c r="E61" s="4">
        <v>0.99</v>
      </c>
      <c r="F61" t="s">
        <v>48</v>
      </c>
      <c r="G61" t="s">
        <v>243</v>
      </c>
      <c r="H61" s="3">
        <v>46104</v>
      </c>
      <c r="I61" s="3">
        <v>46205</v>
      </c>
      <c r="J61" t="s">
        <v>123</v>
      </c>
      <c r="K61" s="3">
        <v>46156</v>
      </c>
      <c r="L61" s="3">
        <v>46104</v>
      </c>
      <c r="M61" s="3">
        <v>46205</v>
      </c>
      <c r="O61" t="s">
        <v>123</v>
      </c>
      <c r="P61" t="s">
        <v>46</v>
      </c>
      <c r="V61" t="s">
        <v>244</v>
      </c>
      <c r="W61">
        <v>105.4</v>
      </c>
      <c r="X61" t="s">
        <v>49</v>
      </c>
      <c r="AA61" t="s">
        <v>50</v>
      </c>
      <c r="AE61">
        <v>0.99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  <row r="62" spans="1:42" x14ac:dyDescent="0.25">
      <c r="A62">
        <v>77</v>
      </c>
      <c r="B62" t="s">
        <v>245</v>
      </c>
      <c r="C62" t="s">
        <v>246</v>
      </c>
      <c r="D62" t="s">
        <v>247</v>
      </c>
      <c r="E62" s="4">
        <v>1</v>
      </c>
      <c r="F62" t="s">
        <v>210</v>
      </c>
      <c r="G62" t="s">
        <v>210</v>
      </c>
      <c r="H62" s="3">
        <v>46104</v>
      </c>
      <c r="I62" s="3">
        <v>46113</v>
      </c>
      <c r="J62" t="s">
        <v>123</v>
      </c>
      <c r="K62" s="3">
        <v>46113</v>
      </c>
      <c r="L62" s="3">
        <v>46104</v>
      </c>
      <c r="M62" s="3">
        <v>46113</v>
      </c>
      <c r="N62" s="3">
        <v>46113</v>
      </c>
      <c r="O62" t="s">
        <v>123</v>
      </c>
      <c r="P62" t="s">
        <v>55</v>
      </c>
      <c r="T62" t="s">
        <v>246</v>
      </c>
      <c r="V62" t="s">
        <v>210</v>
      </c>
      <c r="W62">
        <v>26.4</v>
      </c>
      <c r="X62" t="s">
        <v>57</v>
      </c>
      <c r="AA62" t="s">
        <v>50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</row>
    <row r="63" spans="1:42" x14ac:dyDescent="0.25">
      <c r="A63">
        <v>78</v>
      </c>
      <c r="B63" t="s">
        <v>248</v>
      </c>
      <c r="C63" t="s">
        <v>249</v>
      </c>
      <c r="D63" t="s">
        <v>117</v>
      </c>
      <c r="E63" s="4">
        <v>1</v>
      </c>
      <c r="F63" t="s">
        <v>122</v>
      </c>
      <c r="G63" t="s">
        <v>122</v>
      </c>
      <c r="H63" s="3">
        <v>46104</v>
      </c>
      <c r="I63" s="3">
        <v>46106</v>
      </c>
      <c r="J63" t="s">
        <v>123</v>
      </c>
      <c r="K63" s="3">
        <v>46106</v>
      </c>
      <c r="L63" s="3">
        <v>46104</v>
      </c>
      <c r="M63" s="3">
        <v>46106</v>
      </c>
      <c r="N63" s="3">
        <v>46106</v>
      </c>
      <c r="O63" t="s">
        <v>123</v>
      </c>
      <c r="P63" t="s">
        <v>55</v>
      </c>
      <c r="Q63">
        <v>12</v>
      </c>
      <c r="S63" t="s">
        <v>124</v>
      </c>
      <c r="T63" t="s">
        <v>246</v>
      </c>
      <c r="U63">
        <v>79</v>
      </c>
      <c r="V63" t="s">
        <v>122</v>
      </c>
      <c r="W63">
        <v>13.4</v>
      </c>
      <c r="X63" t="s">
        <v>57</v>
      </c>
      <c r="Z63" t="s">
        <v>124</v>
      </c>
      <c r="AA63" t="s">
        <v>64</v>
      </c>
      <c r="AE63">
        <v>1</v>
      </c>
      <c r="AF63">
        <v>1</v>
      </c>
      <c r="AG63">
        <v>1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1</v>
      </c>
    </row>
    <row r="64" spans="1:42" x14ac:dyDescent="0.25">
      <c r="A64">
        <v>79</v>
      </c>
      <c r="B64" t="s">
        <v>250</v>
      </c>
      <c r="C64" t="s">
        <v>249</v>
      </c>
      <c r="D64" t="s">
        <v>121</v>
      </c>
      <c r="E64" s="4">
        <v>1</v>
      </c>
      <c r="F64" t="s">
        <v>122</v>
      </c>
      <c r="G64" t="s">
        <v>122</v>
      </c>
      <c r="H64" s="3">
        <v>46107</v>
      </c>
      <c r="I64" s="3">
        <v>46111</v>
      </c>
      <c r="J64" t="s">
        <v>129</v>
      </c>
      <c r="K64" s="3">
        <v>46111</v>
      </c>
      <c r="L64" s="3">
        <v>46107</v>
      </c>
      <c r="M64" s="3">
        <v>46111</v>
      </c>
      <c r="N64" s="3">
        <v>46111</v>
      </c>
      <c r="O64" t="s">
        <v>129</v>
      </c>
      <c r="P64" t="s">
        <v>55</v>
      </c>
      <c r="Q64">
        <v>78</v>
      </c>
      <c r="S64" t="s">
        <v>124</v>
      </c>
      <c r="T64" t="s">
        <v>246</v>
      </c>
      <c r="U64">
        <v>80</v>
      </c>
      <c r="V64" t="s">
        <v>122</v>
      </c>
      <c r="W64">
        <v>13.4</v>
      </c>
      <c r="X64" t="s">
        <v>57</v>
      </c>
      <c r="Z64" t="s">
        <v>124</v>
      </c>
      <c r="AA64" t="s">
        <v>64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1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</row>
    <row r="65" spans="1:42" x14ac:dyDescent="0.25">
      <c r="A65">
        <v>80</v>
      </c>
      <c r="B65" t="s">
        <v>251</v>
      </c>
      <c r="C65" t="s">
        <v>249</v>
      </c>
      <c r="D65" t="s">
        <v>126</v>
      </c>
      <c r="E65" s="4">
        <v>1</v>
      </c>
      <c r="F65" t="s">
        <v>61</v>
      </c>
      <c r="G65" t="s">
        <v>61</v>
      </c>
      <c r="H65" s="3">
        <v>46112</v>
      </c>
      <c r="I65" s="3">
        <v>46112</v>
      </c>
      <c r="J65" t="s">
        <v>252</v>
      </c>
      <c r="K65" s="3">
        <v>46112</v>
      </c>
      <c r="L65" s="3">
        <v>46112</v>
      </c>
      <c r="M65" s="3">
        <v>46112</v>
      </c>
      <c r="N65" s="3">
        <v>46112</v>
      </c>
      <c r="O65" t="s">
        <v>252</v>
      </c>
      <c r="P65" t="s">
        <v>55</v>
      </c>
      <c r="Q65">
        <v>79</v>
      </c>
      <c r="S65" t="s">
        <v>253</v>
      </c>
      <c r="T65" t="s">
        <v>246</v>
      </c>
      <c r="U65" t="s">
        <v>254</v>
      </c>
      <c r="V65" t="s">
        <v>61</v>
      </c>
      <c r="W65">
        <v>13.4</v>
      </c>
      <c r="X65" t="s">
        <v>57</v>
      </c>
      <c r="Z65" t="s">
        <v>253</v>
      </c>
      <c r="AA65" t="s">
        <v>255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1</v>
      </c>
      <c r="AM65">
        <v>0</v>
      </c>
      <c r="AN65">
        <v>0</v>
      </c>
      <c r="AO65">
        <v>0</v>
      </c>
      <c r="AP65">
        <v>0</v>
      </c>
    </row>
    <row r="66" spans="1:42" x14ac:dyDescent="0.25">
      <c r="A66">
        <v>81</v>
      </c>
      <c r="B66" t="s">
        <v>256</v>
      </c>
      <c r="C66" t="s">
        <v>249</v>
      </c>
      <c r="D66" t="s">
        <v>133</v>
      </c>
      <c r="E66" s="4">
        <v>1</v>
      </c>
      <c r="F66" t="s">
        <v>61</v>
      </c>
      <c r="G66" t="s">
        <v>61</v>
      </c>
      <c r="H66" s="3">
        <v>46113</v>
      </c>
      <c r="I66" s="3">
        <v>46113</v>
      </c>
      <c r="J66" t="s">
        <v>257</v>
      </c>
      <c r="K66" s="3">
        <v>46113</v>
      </c>
      <c r="L66" s="3">
        <v>46113</v>
      </c>
      <c r="M66" s="3">
        <v>46113</v>
      </c>
      <c r="N66" s="3">
        <v>46113</v>
      </c>
      <c r="O66" t="s">
        <v>257</v>
      </c>
      <c r="P66" t="s">
        <v>55</v>
      </c>
      <c r="Q66">
        <v>80</v>
      </c>
      <c r="S66" t="s">
        <v>124</v>
      </c>
      <c r="T66" t="s">
        <v>246</v>
      </c>
      <c r="V66" t="s">
        <v>61</v>
      </c>
      <c r="W66">
        <v>13.4</v>
      </c>
      <c r="X66" t="s">
        <v>57</v>
      </c>
      <c r="Z66" t="s">
        <v>124</v>
      </c>
      <c r="AA66" t="s">
        <v>255</v>
      </c>
      <c r="AE66">
        <v>1</v>
      </c>
      <c r="AF66">
        <v>0</v>
      </c>
      <c r="AG66">
        <v>0</v>
      </c>
      <c r="AH66">
        <v>0</v>
      </c>
      <c r="AI66">
        <v>1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0</v>
      </c>
      <c r="AP66">
        <v>0</v>
      </c>
    </row>
    <row r="67" spans="1:42" x14ac:dyDescent="0.25">
      <c r="A67">
        <v>82</v>
      </c>
      <c r="B67" t="s">
        <v>258</v>
      </c>
      <c r="C67" t="s">
        <v>246</v>
      </c>
      <c r="D67" t="s">
        <v>259</v>
      </c>
      <c r="E67" s="4">
        <v>1</v>
      </c>
      <c r="F67" t="s">
        <v>210</v>
      </c>
      <c r="G67" t="s">
        <v>210</v>
      </c>
      <c r="H67" s="3">
        <v>46104</v>
      </c>
      <c r="I67" s="3">
        <v>46113</v>
      </c>
      <c r="J67" t="s">
        <v>123</v>
      </c>
      <c r="K67" s="3">
        <v>46113</v>
      </c>
      <c r="L67" s="3">
        <v>46104</v>
      </c>
      <c r="M67" s="3">
        <v>46113</v>
      </c>
      <c r="N67" s="3">
        <v>46113</v>
      </c>
      <c r="O67" t="s">
        <v>123</v>
      </c>
      <c r="P67" t="s">
        <v>55</v>
      </c>
      <c r="T67" t="s">
        <v>246</v>
      </c>
      <c r="V67" t="s">
        <v>210</v>
      </c>
      <c r="W67">
        <v>26.4</v>
      </c>
      <c r="X67" t="s">
        <v>57</v>
      </c>
      <c r="AA67" t="s">
        <v>50</v>
      </c>
      <c r="AB67" t="s">
        <v>94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</row>
    <row r="68" spans="1:42" x14ac:dyDescent="0.25">
      <c r="A68">
        <v>83</v>
      </c>
      <c r="B68" t="s">
        <v>260</v>
      </c>
      <c r="C68" t="s">
        <v>261</v>
      </c>
      <c r="D68" t="s">
        <v>117</v>
      </c>
      <c r="E68" s="4">
        <v>1</v>
      </c>
      <c r="F68" t="s">
        <v>122</v>
      </c>
      <c r="G68" t="s">
        <v>122</v>
      </c>
      <c r="H68" s="3">
        <v>46104</v>
      </c>
      <c r="I68" s="3">
        <v>46106</v>
      </c>
      <c r="J68" t="s">
        <v>123</v>
      </c>
      <c r="K68" s="3">
        <v>46106</v>
      </c>
      <c r="L68" s="3">
        <v>46104</v>
      </c>
      <c r="M68" s="3">
        <v>46106</v>
      </c>
      <c r="N68" s="3">
        <v>46106</v>
      </c>
      <c r="O68" t="s">
        <v>123</v>
      </c>
      <c r="P68" t="s">
        <v>55</v>
      </c>
      <c r="Q68">
        <v>12</v>
      </c>
      <c r="S68" t="s">
        <v>124</v>
      </c>
      <c r="T68" t="s">
        <v>246</v>
      </c>
      <c r="U68">
        <v>84</v>
      </c>
      <c r="V68" t="s">
        <v>122</v>
      </c>
      <c r="W68">
        <v>13.4</v>
      </c>
      <c r="X68" t="s">
        <v>57</v>
      </c>
      <c r="Z68" t="s">
        <v>124</v>
      </c>
      <c r="AA68" t="s">
        <v>64</v>
      </c>
      <c r="AE68">
        <v>1</v>
      </c>
      <c r="AF68">
        <v>1</v>
      </c>
      <c r="AG68">
        <v>1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1</v>
      </c>
    </row>
    <row r="69" spans="1:42" x14ac:dyDescent="0.25">
      <c r="A69">
        <v>84</v>
      </c>
      <c r="B69" t="s">
        <v>262</v>
      </c>
      <c r="C69" t="s">
        <v>261</v>
      </c>
      <c r="D69" t="s">
        <v>121</v>
      </c>
      <c r="E69" s="4">
        <v>1</v>
      </c>
      <c r="F69" t="s">
        <v>122</v>
      </c>
      <c r="G69" t="s">
        <v>122</v>
      </c>
      <c r="H69" s="3">
        <v>46107</v>
      </c>
      <c r="I69" s="3">
        <v>46111</v>
      </c>
      <c r="J69" t="s">
        <v>129</v>
      </c>
      <c r="K69" s="3">
        <v>46111</v>
      </c>
      <c r="L69" s="3">
        <v>46107</v>
      </c>
      <c r="M69" s="3">
        <v>46111</v>
      </c>
      <c r="N69" s="3">
        <v>46111</v>
      </c>
      <c r="O69" t="s">
        <v>129</v>
      </c>
      <c r="P69" t="s">
        <v>55</v>
      </c>
      <c r="Q69">
        <v>83</v>
      </c>
      <c r="S69" t="s">
        <v>124</v>
      </c>
      <c r="T69" t="s">
        <v>246</v>
      </c>
      <c r="U69">
        <v>85</v>
      </c>
      <c r="V69" t="s">
        <v>122</v>
      </c>
      <c r="W69">
        <v>13.4</v>
      </c>
      <c r="X69" t="s">
        <v>57</v>
      </c>
      <c r="Z69" t="s">
        <v>124</v>
      </c>
      <c r="AA69" t="s">
        <v>64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1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</row>
    <row r="70" spans="1:42" x14ac:dyDescent="0.25">
      <c r="A70">
        <v>85</v>
      </c>
      <c r="B70" t="s">
        <v>263</v>
      </c>
      <c r="C70" t="s">
        <v>261</v>
      </c>
      <c r="D70" t="s">
        <v>126</v>
      </c>
      <c r="E70" s="4">
        <v>1</v>
      </c>
      <c r="F70" t="s">
        <v>61</v>
      </c>
      <c r="G70" t="s">
        <v>61</v>
      </c>
      <c r="H70" s="3">
        <v>46112</v>
      </c>
      <c r="I70" s="3">
        <v>46112</v>
      </c>
      <c r="J70" t="s">
        <v>252</v>
      </c>
      <c r="K70" s="3">
        <v>46112</v>
      </c>
      <c r="L70" s="3">
        <v>46112</v>
      </c>
      <c r="M70" s="3">
        <v>46112</v>
      </c>
      <c r="N70" s="3">
        <v>46112</v>
      </c>
      <c r="O70" t="s">
        <v>252</v>
      </c>
      <c r="P70" t="s">
        <v>55</v>
      </c>
      <c r="Q70">
        <v>84</v>
      </c>
      <c r="S70" t="s">
        <v>264</v>
      </c>
      <c r="T70" t="s">
        <v>246</v>
      </c>
      <c r="U70" t="s">
        <v>265</v>
      </c>
      <c r="V70" t="s">
        <v>61</v>
      </c>
      <c r="W70">
        <v>13.4</v>
      </c>
      <c r="X70" t="s">
        <v>57</v>
      </c>
      <c r="Z70" t="s">
        <v>264</v>
      </c>
      <c r="AA70" t="s">
        <v>255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1</v>
      </c>
      <c r="AM70">
        <v>0</v>
      </c>
      <c r="AN70">
        <v>0</v>
      </c>
      <c r="AO70">
        <v>0</v>
      </c>
      <c r="AP70">
        <v>0</v>
      </c>
    </row>
    <row r="71" spans="1:42" x14ac:dyDescent="0.25">
      <c r="A71">
        <v>86</v>
      </c>
      <c r="B71" t="s">
        <v>266</v>
      </c>
      <c r="C71" t="s">
        <v>261</v>
      </c>
      <c r="D71" t="s">
        <v>133</v>
      </c>
      <c r="E71" s="4">
        <v>1</v>
      </c>
      <c r="F71" t="s">
        <v>61</v>
      </c>
      <c r="G71" t="s">
        <v>61</v>
      </c>
      <c r="H71" s="3">
        <v>46113</v>
      </c>
      <c r="I71" s="3">
        <v>46113</v>
      </c>
      <c r="J71" t="s">
        <v>257</v>
      </c>
      <c r="K71" s="3">
        <v>46113</v>
      </c>
      <c r="L71" s="3">
        <v>46113</v>
      </c>
      <c r="M71" s="3">
        <v>46113</v>
      </c>
      <c r="N71" s="3">
        <v>46113</v>
      </c>
      <c r="O71" t="s">
        <v>257</v>
      </c>
      <c r="P71" t="s">
        <v>55</v>
      </c>
      <c r="Q71">
        <v>85</v>
      </c>
      <c r="S71" t="s">
        <v>124</v>
      </c>
      <c r="T71" t="s">
        <v>246</v>
      </c>
      <c r="V71" t="s">
        <v>61</v>
      </c>
      <c r="W71">
        <v>13.4</v>
      </c>
      <c r="X71" t="s">
        <v>57</v>
      </c>
      <c r="Z71" t="s">
        <v>124</v>
      </c>
      <c r="AA71" t="s">
        <v>255</v>
      </c>
      <c r="AE71">
        <v>1</v>
      </c>
      <c r="AF71">
        <v>0</v>
      </c>
      <c r="AG71">
        <v>0</v>
      </c>
      <c r="AH71">
        <v>0</v>
      </c>
      <c r="AI71">
        <v>1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0</v>
      </c>
      <c r="AP71">
        <v>0</v>
      </c>
    </row>
    <row r="72" spans="1:42" x14ac:dyDescent="0.25">
      <c r="A72">
        <v>87</v>
      </c>
      <c r="B72" t="s">
        <v>267</v>
      </c>
      <c r="C72" t="s">
        <v>246</v>
      </c>
      <c r="D72" t="s">
        <v>268</v>
      </c>
      <c r="E72" s="4">
        <v>1</v>
      </c>
      <c r="F72" t="s">
        <v>214</v>
      </c>
      <c r="G72" t="s">
        <v>214</v>
      </c>
      <c r="H72" s="3">
        <v>46104</v>
      </c>
      <c r="I72" s="3">
        <v>46111</v>
      </c>
      <c r="J72" t="s">
        <v>123</v>
      </c>
      <c r="K72" s="3">
        <v>46111</v>
      </c>
      <c r="L72" s="3">
        <v>46104</v>
      </c>
      <c r="M72" s="3">
        <v>46111</v>
      </c>
      <c r="N72" s="3">
        <v>46111</v>
      </c>
      <c r="O72" t="s">
        <v>123</v>
      </c>
      <c r="P72" t="s">
        <v>55</v>
      </c>
      <c r="T72" t="s">
        <v>246</v>
      </c>
      <c r="V72" t="s">
        <v>214</v>
      </c>
      <c r="W72">
        <v>15.6</v>
      </c>
      <c r="X72" t="s">
        <v>57</v>
      </c>
      <c r="AA72" t="s">
        <v>50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</row>
    <row r="73" spans="1:42" x14ac:dyDescent="0.25">
      <c r="A73">
        <v>88</v>
      </c>
      <c r="B73" t="s">
        <v>269</v>
      </c>
      <c r="C73" t="s">
        <v>270</v>
      </c>
      <c r="D73" t="s">
        <v>117</v>
      </c>
      <c r="E73" s="4">
        <v>1</v>
      </c>
      <c r="F73" t="s">
        <v>61</v>
      </c>
      <c r="G73" t="s">
        <v>61</v>
      </c>
      <c r="H73" s="3">
        <v>46104</v>
      </c>
      <c r="I73" s="3">
        <v>46104</v>
      </c>
      <c r="J73" t="s">
        <v>123</v>
      </c>
      <c r="K73" s="3">
        <v>46104</v>
      </c>
      <c r="L73" s="3">
        <v>46104</v>
      </c>
      <c r="M73" s="3">
        <v>46104</v>
      </c>
      <c r="N73" s="3">
        <v>46104</v>
      </c>
      <c r="O73" t="s">
        <v>123</v>
      </c>
      <c r="P73" t="s">
        <v>55</v>
      </c>
      <c r="Q73">
        <v>12</v>
      </c>
      <c r="S73" t="s">
        <v>124</v>
      </c>
      <c r="T73" t="s">
        <v>246</v>
      </c>
      <c r="U73">
        <v>89</v>
      </c>
      <c r="V73" t="s">
        <v>61</v>
      </c>
      <c r="W73">
        <v>13.4</v>
      </c>
      <c r="X73" t="s">
        <v>57</v>
      </c>
      <c r="Z73" t="s">
        <v>124</v>
      </c>
      <c r="AA73" t="s">
        <v>64</v>
      </c>
      <c r="AE73">
        <v>1</v>
      </c>
      <c r="AF73">
        <v>1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1</v>
      </c>
    </row>
    <row r="74" spans="1:42" x14ac:dyDescent="0.25">
      <c r="A74">
        <v>89</v>
      </c>
      <c r="B74" t="s">
        <v>271</v>
      </c>
      <c r="C74" t="s">
        <v>270</v>
      </c>
      <c r="D74" t="s">
        <v>121</v>
      </c>
      <c r="E74" s="4">
        <v>1</v>
      </c>
      <c r="F74" t="s">
        <v>122</v>
      </c>
      <c r="G74" t="s">
        <v>122</v>
      </c>
      <c r="H74" s="3">
        <v>46105</v>
      </c>
      <c r="I74" s="3">
        <v>46107</v>
      </c>
      <c r="J74" t="s">
        <v>272</v>
      </c>
      <c r="K74" s="3">
        <v>46107</v>
      </c>
      <c r="L74" s="3">
        <v>46105</v>
      </c>
      <c r="M74" s="3">
        <v>46107</v>
      </c>
      <c r="N74" s="3">
        <v>46107</v>
      </c>
      <c r="O74" t="s">
        <v>272</v>
      </c>
      <c r="P74" t="s">
        <v>55</v>
      </c>
      <c r="Q74">
        <v>88</v>
      </c>
      <c r="S74" t="s">
        <v>124</v>
      </c>
      <c r="T74" t="s">
        <v>246</v>
      </c>
      <c r="U74">
        <v>90</v>
      </c>
      <c r="V74" t="s">
        <v>122</v>
      </c>
      <c r="W74">
        <v>13.4</v>
      </c>
      <c r="X74" t="s">
        <v>57</v>
      </c>
      <c r="Z74" t="s">
        <v>124</v>
      </c>
      <c r="AA74" t="s">
        <v>64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1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</row>
    <row r="75" spans="1:42" x14ac:dyDescent="0.25">
      <c r="A75">
        <v>90</v>
      </c>
      <c r="B75" t="s">
        <v>273</v>
      </c>
      <c r="C75" t="s">
        <v>270</v>
      </c>
      <c r="D75" t="s">
        <v>126</v>
      </c>
      <c r="E75" s="4">
        <v>1</v>
      </c>
      <c r="F75" t="s">
        <v>61</v>
      </c>
      <c r="G75" t="s">
        <v>61</v>
      </c>
      <c r="H75" s="3">
        <v>46108</v>
      </c>
      <c r="I75" s="3">
        <v>46108</v>
      </c>
      <c r="J75" t="s">
        <v>135</v>
      </c>
      <c r="K75" s="3">
        <v>46108</v>
      </c>
      <c r="L75" s="3">
        <v>46108</v>
      </c>
      <c r="M75" s="3">
        <v>46108</v>
      </c>
      <c r="N75" s="3">
        <v>46108</v>
      </c>
      <c r="O75" t="s">
        <v>135</v>
      </c>
      <c r="P75" t="s">
        <v>55</v>
      </c>
      <c r="Q75">
        <v>89</v>
      </c>
      <c r="S75" t="s">
        <v>264</v>
      </c>
      <c r="T75" t="s">
        <v>246</v>
      </c>
      <c r="U75">
        <v>91</v>
      </c>
      <c r="V75" t="s">
        <v>61</v>
      </c>
      <c r="W75">
        <v>13.4</v>
      </c>
      <c r="X75" t="s">
        <v>57</v>
      </c>
      <c r="Z75" t="s">
        <v>264</v>
      </c>
      <c r="AA75" t="s">
        <v>64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1</v>
      </c>
      <c r="AM75">
        <v>0</v>
      </c>
      <c r="AN75">
        <v>0</v>
      </c>
      <c r="AO75">
        <v>0</v>
      </c>
      <c r="AP75">
        <v>0</v>
      </c>
    </row>
    <row r="76" spans="1:42" x14ac:dyDescent="0.25">
      <c r="A76">
        <v>91</v>
      </c>
      <c r="B76" t="s">
        <v>274</v>
      </c>
      <c r="C76" t="s">
        <v>270</v>
      </c>
      <c r="D76" t="s">
        <v>133</v>
      </c>
      <c r="E76" s="4">
        <v>1</v>
      </c>
      <c r="F76" t="s">
        <v>61</v>
      </c>
      <c r="G76" t="s">
        <v>61</v>
      </c>
      <c r="H76" s="3">
        <v>46111</v>
      </c>
      <c r="I76" s="3">
        <v>46111</v>
      </c>
      <c r="J76" t="s">
        <v>275</v>
      </c>
      <c r="K76" s="3">
        <v>46111</v>
      </c>
      <c r="L76" s="3">
        <v>46111</v>
      </c>
      <c r="M76" s="3">
        <v>46111</v>
      </c>
      <c r="N76" s="3">
        <v>46111</v>
      </c>
      <c r="O76" t="s">
        <v>275</v>
      </c>
      <c r="P76" t="s">
        <v>55</v>
      </c>
      <c r="Q76">
        <v>90</v>
      </c>
      <c r="S76" t="s">
        <v>124</v>
      </c>
      <c r="T76" t="s">
        <v>246</v>
      </c>
      <c r="U76">
        <v>98</v>
      </c>
      <c r="V76" t="s">
        <v>61</v>
      </c>
      <c r="W76">
        <v>13.4</v>
      </c>
      <c r="X76" t="s">
        <v>57</v>
      </c>
      <c r="Z76" t="s">
        <v>124</v>
      </c>
      <c r="AA76" t="s">
        <v>255</v>
      </c>
      <c r="AE76">
        <v>1</v>
      </c>
      <c r="AF76">
        <v>0</v>
      </c>
      <c r="AG76">
        <v>0</v>
      </c>
      <c r="AH76">
        <v>0</v>
      </c>
      <c r="AI76">
        <v>1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0</v>
      </c>
      <c r="AP76">
        <v>0</v>
      </c>
    </row>
    <row r="77" spans="1:42" x14ac:dyDescent="0.25">
      <c r="A77">
        <v>92</v>
      </c>
      <c r="B77" t="s">
        <v>276</v>
      </c>
      <c r="C77" t="s">
        <v>246</v>
      </c>
      <c r="D77" t="s">
        <v>277</v>
      </c>
      <c r="E77" s="4">
        <v>1</v>
      </c>
      <c r="F77" t="s">
        <v>214</v>
      </c>
      <c r="G77" t="s">
        <v>214</v>
      </c>
      <c r="H77" s="3">
        <v>46104</v>
      </c>
      <c r="I77" s="3">
        <v>46111</v>
      </c>
      <c r="J77" t="s">
        <v>123</v>
      </c>
      <c r="K77" s="3">
        <v>46111</v>
      </c>
      <c r="L77" s="3">
        <v>46104</v>
      </c>
      <c r="M77" s="3">
        <v>46111</v>
      </c>
      <c r="N77" s="3">
        <v>46111</v>
      </c>
      <c r="O77" t="s">
        <v>123</v>
      </c>
      <c r="P77" t="s">
        <v>55</v>
      </c>
      <c r="T77" t="s">
        <v>246</v>
      </c>
      <c r="V77" t="s">
        <v>214</v>
      </c>
      <c r="W77">
        <v>15.6</v>
      </c>
      <c r="X77" t="s">
        <v>57</v>
      </c>
      <c r="AA77" t="s">
        <v>50</v>
      </c>
      <c r="AB77" t="s">
        <v>94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</row>
    <row r="78" spans="1:42" x14ac:dyDescent="0.25">
      <c r="A78">
        <v>93</v>
      </c>
      <c r="B78" t="s">
        <v>278</v>
      </c>
      <c r="C78" t="s">
        <v>279</v>
      </c>
      <c r="D78" t="s">
        <v>117</v>
      </c>
      <c r="E78" s="4">
        <v>1</v>
      </c>
      <c r="F78" t="s">
        <v>61</v>
      </c>
      <c r="G78" t="s">
        <v>61</v>
      </c>
      <c r="H78" s="3">
        <v>46104</v>
      </c>
      <c r="I78" s="3">
        <v>46104</v>
      </c>
      <c r="J78" t="s">
        <v>123</v>
      </c>
      <c r="K78" s="3">
        <v>46104</v>
      </c>
      <c r="L78" s="3">
        <v>46104</v>
      </c>
      <c r="M78" s="3">
        <v>46104</v>
      </c>
      <c r="N78" s="3">
        <v>46104</v>
      </c>
      <c r="O78" t="s">
        <v>123</v>
      </c>
      <c r="P78" t="s">
        <v>55</v>
      </c>
      <c r="Q78">
        <v>12</v>
      </c>
      <c r="S78" t="s">
        <v>124</v>
      </c>
      <c r="T78" t="s">
        <v>246</v>
      </c>
      <c r="U78">
        <v>94</v>
      </c>
      <c r="V78" t="s">
        <v>61</v>
      </c>
      <c r="W78">
        <v>13.4</v>
      </c>
      <c r="X78" t="s">
        <v>57</v>
      </c>
      <c r="Z78" t="s">
        <v>124</v>
      </c>
      <c r="AA78" t="s">
        <v>64</v>
      </c>
      <c r="AE78">
        <v>1</v>
      </c>
      <c r="AF78">
        <v>1</v>
      </c>
      <c r="AG78">
        <v>1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1</v>
      </c>
    </row>
    <row r="79" spans="1:42" x14ac:dyDescent="0.25">
      <c r="A79">
        <v>94</v>
      </c>
      <c r="B79" t="s">
        <v>280</v>
      </c>
      <c r="C79" t="s">
        <v>279</v>
      </c>
      <c r="D79" t="s">
        <v>121</v>
      </c>
      <c r="E79" s="4">
        <v>1</v>
      </c>
      <c r="F79" t="s">
        <v>122</v>
      </c>
      <c r="G79" t="s">
        <v>122</v>
      </c>
      <c r="H79" s="3">
        <v>46105</v>
      </c>
      <c r="I79" s="3">
        <v>46107</v>
      </c>
      <c r="J79" t="s">
        <v>272</v>
      </c>
      <c r="K79" s="3">
        <v>46107</v>
      </c>
      <c r="L79" s="3">
        <v>46105</v>
      </c>
      <c r="M79" s="3">
        <v>46107</v>
      </c>
      <c r="N79" s="3">
        <v>46107</v>
      </c>
      <c r="O79" t="s">
        <v>272</v>
      </c>
      <c r="P79" t="s">
        <v>55</v>
      </c>
      <c r="Q79">
        <v>93</v>
      </c>
      <c r="S79" t="s">
        <v>124</v>
      </c>
      <c r="T79" t="s">
        <v>246</v>
      </c>
      <c r="U79">
        <v>95</v>
      </c>
      <c r="V79" t="s">
        <v>122</v>
      </c>
      <c r="W79">
        <v>13.4</v>
      </c>
      <c r="X79" t="s">
        <v>57</v>
      </c>
      <c r="Z79" t="s">
        <v>124</v>
      </c>
      <c r="AA79" t="s">
        <v>64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1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</row>
    <row r="80" spans="1:42" x14ac:dyDescent="0.25">
      <c r="A80">
        <v>95</v>
      </c>
      <c r="B80" t="s">
        <v>281</v>
      </c>
      <c r="C80" t="s">
        <v>279</v>
      </c>
      <c r="D80" t="s">
        <v>126</v>
      </c>
      <c r="E80" s="4">
        <v>1</v>
      </c>
      <c r="F80" t="s">
        <v>61</v>
      </c>
      <c r="G80" t="s">
        <v>61</v>
      </c>
      <c r="H80" s="3">
        <v>46108</v>
      </c>
      <c r="I80" s="3">
        <v>46108</v>
      </c>
      <c r="J80" t="s">
        <v>135</v>
      </c>
      <c r="K80" s="3">
        <v>46108</v>
      </c>
      <c r="L80" s="3">
        <v>46108</v>
      </c>
      <c r="M80" s="3">
        <v>46108</v>
      </c>
      <c r="N80" s="3">
        <v>46108</v>
      </c>
      <c r="O80" t="s">
        <v>135</v>
      </c>
      <c r="P80" t="s">
        <v>55</v>
      </c>
      <c r="Q80">
        <v>94</v>
      </c>
      <c r="S80" t="s">
        <v>264</v>
      </c>
      <c r="T80" t="s">
        <v>246</v>
      </c>
      <c r="U80">
        <v>96</v>
      </c>
      <c r="V80" t="s">
        <v>61</v>
      </c>
      <c r="W80">
        <v>13.4</v>
      </c>
      <c r="X80" t="s">
        <v>57</v>
      </c>
      <c r="Z80" t="s">
        <v>264</v>
      </c>
      <c r="AA80" t="s">
        <v>64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1</v>
      </c>
      <c r="AM80">
        <v>0</v>
      </c>
      <c r="AN80">
        <v>0</v>
      </c>
      <c r="AO80">
        <v>0</v>
      </c>
      <c r="AP80">
        <v>0</v>
      </c>
    </row>
    <row r="81" spans="1:42" x14ac:dyDescent="0.25">
      <c r="A81">
        <v>96</v>
      </c>
      <c r="B81" t="s">
        <v>282</v>
      </c>
      <c r="C81" t="s">
        <v>279</v>
      </c>
      <c r="D81" t="s">
        <v>133</v>
      </c>
      <c r="E81" s="4">
        <v>1</v>
      </c>
      <c r="F81" t="s">
        <v>61</v>
      </c>
      <c r="G81" t="s">
        <v>61</v>
      </c>
      <c r="H81" s="3">
        <v>46111</v>
      </c>
      <c r="I81" s="3">
        <v>46111</v>
      </c>
      <c r="J81" t="s">
        <v>275</v>
      </c>
      <c r="K81" s="3">
        <v>46111</v>
      </c>
      <c r="L81" s="3">
        <v>46111</v>
      </c>
      <c r="M81" s="3">
        <v>46111</v>
      </c>
      <c r="N81" s="3">
        <v>46111</v>
      </c>
      <c r="O81" t="s">
        <v>275</v>
      </c>
      <c r="P81" t="s">
        <v>55</v>
      </c>
      <c r="Q81">
        <v>95</v>
      </c>
      <c r="S81" t="s">
        <v>124</v>
      </c>
      <c r="T81" t="s">
        <v>246</v>
      </c>
      <c r="U81">
        <v>98</v>
      </c>
      <c r="V81" t="s">
        <v>61</v>
      </c>
      <c r="W81">
        <v>13.4</v>
      </c>
      <c r="X81" t="s">
        <v>57</v>
      </c>
      <c r="Z81" t="s">
        <v>124</v>
      </c>
      <c r="AA81" t="s">
        <v>255</v>
      </c>
      <c r="AE81">
        <v>1</v>
      </c>
      <c r="AF81">
        <v>0</v>
      </c>
      <c r="AG81">
        <v>0</v>
      </c>
      <c r="AH81">
        <v>0</v>
      </c>
      <c r="AI81">
        <v>1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0</v>
      </c>
      <c r="AP81">
        <v>0</v>
      </c>
    </row>
    <row r="82" spans="1:42" x14ac:dyDescent="0.25">
      <c r="A82">
        <v>97</v>
      </c>
      <c r="B82" t="s">
        <v>283</v>
      </c>
      <c r="C82" t="s">
        <v>246</v>
      </c>
      <c r="D82" t="s">
        <v>284</v>
      </c>
      <c r="E82" s="4">
        <v>1</v>
      </c>
      <c r="F82" t="s">
        <v>151</v>
      </c>
      <c r="G82" t="s">
        <v>151</v>
      </c>
      <c r="H82" s="3">
        <v>46113</v>
      </c>
      <c r="I82" s="3">
        <v>46128</v>
      </c>
      <c r="J82" t="s">
        <v>257</v>
      </c>
      <c r="K82" s="3">
        <v>46128</v>
      </c>
      <c r="L82" s="3">
        <v>46113</v>
      </c>
      <c r="M82" s="3">
        <v>46128</v>
      </c>
      <c r="N82" s="3">
        <v>46128</v>
      </c>
      <c r="O82" t="s">
        <v>257</v>
      </c>
      <c r="P82" t="s">
        <v>55</v>
      </c>
      <c r="T82" t="s">
        <v>246</v>
      </c>
      <c r="V82" t="s">
        <v>151</v>
      </c>
      <c r="W82">
        <v>19.2</v>
      </c>
      <c r="X82" t="s">
        <v>57</v>
      </c>
      <c r="AA82" t="s">
        <v>50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</row>
    <row r="83" spans="1:42" x14ac:dyDescent="0.25">
      <c r="A83">
        <v>98</v>
      </c>
      <c r="B83" t="s">
        <v>285</v>
      </c>
      <c r="C83" t="s">
        <v>286</v>
      </c>
      <c r="D83" t="s">
        <v>117</v>
      </c>
      <c r="E83" s="4">
        <v>1</v>
      </c>
      <c r="F83" t="s">
        <v>138</v>
      </c>
      <c r="G83" t="s">
        <v>138</v>
      </c>
      <c r="H83" s="3">
        <v>46113</v>
      </c>
      <c r="I83" s="3">
        <v>46121</v>
      </c>
      <c r="J83" t="s">
        <v>257</v>
      </c>
      <c r="K83" s="3">
        <v>46121</v>
      </c>
      <c r="L83" s="3">
        <v>46113</v>
      </c>
      <c r="M83" s="3">
        <v>46121</v>
      </c>
      <c r="N83" s="3">
        <v>46121</v>
      </c>
      <c r="O83" t="s">
        <v>257</v>
      </c>
      <c r="P83" t="s">
        <v>55</v>
      </c>
      <c r="Q83" t="s">
        <v>287</v>
      </c>
      <c r="R83" t="s">
        <v>288</v>
      </c>
      <c r="S83" t="s">
        <v>124</v>
      </c>
      <c r="T83" t="s">
        <v>246</v>
      </c>
      <c r="U83" t="s">
        <v>289</v>
      </c>
      <c r="V83" t="s">
        <v>138</v>
      </c>
      <c r="W83">
        <v>13.4</v>
      </c>
      <c r="X83" t="s">
        <v>57</v>
      </c>
      <c r="Z83" t="s">
        <v>124</v>
      </c>
      <c r="AA83" t="s">
        <v>255</v>
      </c>
      <c r="AE83">
        <v>1</v>
      </c>
      <c r="AF83">
        <v>1</v>
      </c>
      <c r="AG83">
        <v>1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1</v>
      </c>
    </row>
    <row r="84" spans="1:42" x14ac:dyDescent="0.25">
      <c r="A84">
        <v>99</v>
      </c>
      <c r="B84" t="s">
        <v>290</v>
      </c>
      <c r="C84" t="s">
        <v>286</v>
      </c>
      <c r="D84" t="s">
        <v>121</v>
      </c>
      <c r="E84" s="4">
        <v>1</v>
      </c>
      <c r="F84" t="s">
        <v>122</v>
      </c>
      <c r="G84" t="s">
        <v>122</v>
      </c>
      <c r="H84" s="3">
        <v>46122</v>
      </c>
      <c r="I84" s="3">
        <v>46126</v>
      </c>
      <c r="J84" t="s">
        <v>80</v>
      </c>
      <c r="K84" s="3">
        <v>46126</v>
      </c>
      <c r="L84" s="3">
        <v>46122</v>
      </c>
      <c r="M84" s="3">
        <v>46126</v>
      </c>
      <c r="N84" s="3">
        <v>46126</v>
      </c>
      <c r="O84" t="s">
        <v>80</v>
      </c>
      <c r="P84" t="s">
        <v>55</v>
      </c>
      <c r="Q84">
        <v>98</v>
      </c>
      <c r="S84" t="s">
        <v>124</v>
      </c>
      <c r="T84" t="s">
        <v>246</v>
      </c>
      <c r="U84">
        <v>100</v>
      </c>
      <c r="V84" t="s">
        <v>122</v>
      </c>
      <c r="W84">
        <v>13.4</v>
      </c>
      <c r="X84" t="s">
        <v>57</v>
      </c>
      <c r="Z84" t="s">
        <v>124</v>
      </c>
      <c r="AA84" t="s">
        <v>82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1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</row>
    <row r="85" spans="1:42" x14ac:dyDescent="0.25">
      <c r="A85">
        <v>100</v>
      </c>
      <c r="B85" t="s">
        <v>291</v>
      </c>
      <c r="C85" t="s">
        <v>286</v>
      </c>
      <c r="D85" t="s">
        <v>126</v>
      </c>
      <c r="E85" s="4">
        <v>1</v>
      </c>
      <c r="F85" t="s">
        <v>61</v>
      </c>
      <c r="G85" t="s">
        <v>61</v>
      </c>
      <c r="H85" s="3">
        <v>46127</v>
      </c>
      <c r="I85" s="3">
        <v>46127</v>
      </c>
      <c r="J85" t="s">
        <v>146</v>
      </c>
      <c r="K85" s="3">
        <v>46127</v>
      </c>
      <c r="L85" s="3">
        <v>46127</v>
      </c>
      <c r="M85" s="3">
        <v>46127</v>
      </c>
      <c r="N85" s="3">
        <v>46127</v>
      </c>
      <c r="O85" t="s">
        <v>146</v>
      </c>
      <c r="P85" t="s">
        <v>55</v>
      </c>
      <c r="Q85">
        <v>99</v>
      </c>
      <c r="S85" t="s">
        <v>264</v>
      </c>
      <c r="T85" t="s">
        <v>246</v>
      </c>
      <c r="U85">
        <v>101</v>
      </c>
      <c r="V85" t="s">
        <v>61</v>
      </c>
      <c r="W85">
        <v>13.4</v>
      </c>
      <c r="X85" t="s">
        <v>57</v>
      </c>
      <c r="Z85" t="s">
        <v>264</v>
      </c>
      <c r="AA85" t="s">
        <v>180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1</v>
      </c>
      <c r="AM85">
        <v>0</v>
      </c>
      <c r="AN85">
        <v>0</v>
      </c>
      <c r="AO85">
        <v>0</v>
      </c>
      <c r="AP85">
        <v>0</v>
      </c>
    </row>
    <row r="86" spans="1:42" x14ac:dyDescent="0.25">
      <c r="A86">
        <v>101</v>
      </c>
      <c r="B86" t="s">
        <v>292</v>
      </c>
      <c r="C86" t="s">
        <v>286</v>
      </c>
      <c r="D86" t="s">
        <v>133</v>
      </c>
      <c r="E86" s="4">
        <v>1</v>
      </c>
      <c r="F86" t="s">
        <v>61</v>
      </c>
      <c r="G86" t="s">
        <v>61</v>
      </c>
      <c r="H86" s="3">
        <v>46128</v>
      </c>
      <c r="I86" s="3">
        <v>46128</v>
      </c>
      <c r="J86" t="s">
        <v>148</v>
      </c>
      <c r="K86" s="3">
        <v>46128</v>
      </c>
      <c r="L86" s="3">
        <v>46128</v>
      </c>
      <c r="M86" s="3">
        <v>46128</v>
      </c>
      <c r="N86" s="3">
        <v>46128</v>
      </c>
      <c r="O86" t="s">
        <v>148</v>
      </c>
      <c r="P86" t="s">
        <v>55</v>
      </c>
      <c r="Q86">
        <v>100</v>
      </c>
      <c r="S86" t="s">
        <v>124</v>
      </c>
      <c r="T86" t="s">
        <v>246</v>
      </c>
      <c r="V86" t="s">
        <v>61</v>
      </c>
      <c r="W86">
        <v>13.4</v>
      </c>
      <c r="X86" t="s">
        <v>57</v>
      </c>
      <c r="Z86" t="s">
        <v>124</v>
      </c>
      <c r="AA86" t="s">
        <v>180</v>
      </c>
      <c r="AE86">
        <v>1</v>
      </c>
      <c r="AF86">
        <v>0</v>
      </c>
      <c r="AG86">
        <v>0</v>
      </c>
      <c r="AH86">
        <v>0</v>
      </c>
      <c r="AI86">
        <v>1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0</v>
      </c>
      <c r="AP86">
        <v>0</v>
      </c>
    </row>
    <row r="87" spans="1:42" x14ac:dyDescent="0.25">
      <c r="A87">
        <v>102</v>
      </c>
      <c r="B87" t="s">
        <v>293</v>
      </c>
      <c r="C87" t="s">
        <v>246</v>
      </c>
      <c r="D87" t="s">
        <v>294</v>
      </c>
      <c r="E87" s="4">
        <v>1</v>
      </c>
      <c r="F87" t="s">
        <v>295</v>
      </c>
      <c r="G87" t="s">
        <v>295</v>
      </c>
      <c r="H87" s="3">
        <v>46122</v>
      </c>
      <c r="I87" s="3">
        <v>46148</v>
      </c>
      <c r="J87" t="s">
        <v>80</v>
      </c>
      <c r="K87" s="3">
        <v>46129</v>
      </c>
      <c r="L87" s="3">
        <v>46122</v>
      </c>
      <c r="M87" s="3">
        <v>46148</v>
      </c>
      <c r="N87" s="3">
        <v>46148</v>
      </c>
      <c r="O87" t="s">
        <v>80</v>
      </c>
      <c r="P87" t="s">
        <v>55</v>
      </c>
      <c r="T87" t="s">
        <v>246</v>
      </c>
      <c r="U87" t="s">
        <v>296</v>
      </c>
      <c r="V87" t="s">
        <v>214</v>
      </c>
      <c r="W87">
        <v>15.6</v>
      </c>
      <c r="X87" t="s">
        <v>57</v>
      </c>
      <c r="AA87" t="s">
        <v>50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</row>
    <row r="88" spans="1:42" x14ac:dyDescent="0.25">
      <c r="A88">
        <v>103</v>
      </c>
      <c r="B88" t="s">
        <v>297</v>
      </c>
      <c r="C88" t="s">
        <v>298</v>
      </c>
      <c r="D88" t="s">
        <v>117</v>
      </c>
      <c r="E88" s="4">
        <v>1</v>
      </c>
      <c r="F88" t="s">
        <v>61</v>
      </c>
      <c r="G88" t="s">
        <v>61</v>
      </c>
      <c r="H88" s="3">
        <v>46122</v>
      </c>
      <c r="I88" s="3">
        <v>46122</v>
      </c>
      <c r="J88" t="s">
        <v>80</v>
      </c>
      <c r="K88" s="3">
        <v>46122</v>
      </c>
      <c r="L88" s="3">
        <v>46122</v>
      </c>
      <c r="M88" s="3">
        <v>46122</v>
      </c>
      <c r="N88" s="3">
        <v>46122</v>
      </c>
      <c r="O88" t="s">
        <v>80</v>
      </c>
      <c r="P88" t="s">
        <v>55</v>
      </c>
      <c r="Q88">
        <v>98</v>
      </c>
      <c r="R88" s="1">
        <v>46122</v>
      </c>
      <c r="S88" t="s">
        <v>124</v>
      </c>
      <c r="T88" t="s">
        <v>246</v>
      </c>
      <c r="U88" t="s">
        <v>299</v>
      </c>
      <c r="V88" t="s">
        <v>61</v>
      </c>
      <c r="W88">
        <v>13.4</v>
      </c>
      <c r="X88" t="s">
        <v>57</v>
      </c>
      <c r="Z88" t="s">
        <v>124</v>
      </c>
      <c r="AA88" t="s">
        <v>82</v>
      </c>
      <c r="AE88">
        <v>1</v>
      </c>
      <c r="AF88">
        <v>1</v>
      </c>
      <c r="AG88">
        <v>1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1</v>
      </c>
    </row>
    <row r="89" spans="1:42" x14ac:dyDescent="0.25">
      <c r="A89">
        <v>104</v>
      </c>
      <c r="B89" t="s">
        <v>300</v>
      </c>
      <c r="C89" t="s">
        <v>298</v>
      </c>
      <c r="D89" t="s">
        <v>121</v>
      </c>
      <c r="E89" s="4">
        <v>1</v>
      </c>
      <c r="F89" t="s">
        <v>122</v>
      </c>
      <c r="G89" t="s">
        <v>122</v>
      </c>
      <c r="H89" s="3">
        <v>46125</v>
      </c>
      <c r="I89" s="3">
        <v>46127</v>
      </c>
      <c r="J89" t="s">
        <v>144</v>
      </c>
      <c r="K89" s="3">
        <v>46127</v>
      </c>
      <c r="L89" s="3">
        <v>46125</v>
      </c>
      <c r="M89" s="3">
        <v>46127</v>
      </c>
      <c r="N89" s="3">
        <v>46127</v>
      </c>
      <c r="O89" t="s">
        <v>144</v>
      </c>
      <c r="P89" t="s">
        <v>55</v>
      </c>
      <c r="Q89">
        <v>103</v>
      </c>
      <c r="S89" t="s">
        <v>124</v>
      </c>
      <c r="T89" t="s">
        <v>246</v>
      </c>
      <c r="U89">
        <v>105</v>
      </c>
      <c r="V89" t="s">
        <v>122</v>
      </c>
      <c r="W89">
        <v>13.4</v>
      </c>
      <c r="X89" t="s">
        <v>57</v>
      </c>
      <c r="Z89" t="s">
        <v>124</v>
      </c>
      <c r="AA89" t="s">
        <v>180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1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</row>
    <row r="90" spans="1:42" x14ac:dyDescent="0.25">
      <c r="A90">
        <v>105</v>
      </c>
      <c r="B90" t="s">
        <v>301</v>
      </c>
      <c r="C90" t="s">
        <v>298</v>
      </c>
      <c r="D90" t="s">
        <v>126</v>
      </c>
      <c r="E90" s="4">
        <v>1</v>
      </c>
      <c r="F90" t="s">
        <v>61</v>
      </c>
      <c r="G90" t="s">
        <v>61</v>
      </c>
      <c r="H90" s="3">
        <v>46147</v>
      </c>
      <c r="I90" s="3">
        <v>46147</v>
      </c>
      <c r="J90" t="s">
        <v>148</v>
      </c>
      <c r="K90" s="3">
        <v>46128</v>
      </c>
      <c r="L90" s="3">
        <v>46128</v>
      </c>
      <c r="M90" s="3">
        <v>46147</v>
      </c>
      <c r="N90" s="3">
        <v>46147</v>
      </c>
      <c r="O90" t="s">
        <v>183</v>
      </c>
      <c r="P90" t="s">
        <v>55</v>
      </c>
      <c r="Q90">
        <v>104</v>
      </c>
      <c r="S90" t="s">
        <v>302</v>
      </c>
      <c r="T90" t="s">
        <v>246</v>
      </c>
      <c r="U90">
        <v>106</v>
      </c>
      <c r="V90" t="s">
        <v>61</v>
      </c>
      <c r="W90">
        <v>13.4</v>
      </c>
      <c r="X90" t="s">
        <v>57</v>
      </c>
      <c r="Z90" t="s">
        <v>302</v>
      </c>
      <c r="AA90" t="s">
        <v>180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1</v>
      </c>
      <c r="AM90">
        <v>0</v>
      </c>
      <c r="AN90">
        <v>0</v>
      </c>
      <c r="AO90">
        <v>0</v>
      </c>
      <c r="AP90">
        <v>0</v>
      </c>
    </row>
    <row r="91" spans="1:42" x14ac:dyDescent="0.25">
      <c r="A91">
        <v>106</v>
      </c>
      <c r="B91" t="s">
        <v>303</v>
      </c>
      <c r="C91" t="s">
        <v>298</v>
      </c>
      <c r="D91" t="s">
        <v>133</v>
      </c>
      <c r="E91" s="4">
        <v>1</v>
      </c>
      <c r="F91" t="s">
        <v>61</v>
      </c>
      <c r="G91" t="s">
        <v>61</v>
      </c>
      <c r="H91" s="3">
        <v>46148</v>
      </c>
      <c r="I91" s="3">
        <v>46148</v>
      </c>
      <c r="J91" t="s">
        <v>182</v>
      </c>
      <c r="K91" s="3">
        <v>46129</v>
      </c>
      <c r="L91" s="3">
        <v>46129</v>
      </c>
      <c r="M91" s="3">
        <v>46148</v>
      </c>
      <c r="N91" s="3">
        <v>46148</v>
      </c>
      <c r="O91" t="s">
        <v>304</v>
      </c>
      <c r="P91" t="s">
        <v>55</v>
      </c>
      <c r="Q91">
        <v>105</v>
      </c>
      <c r="S91" t="s">
        <v>124</v>
      </c>
      <c r="T91" t="s">
        <v>246</v>
      </c>
      <c r="V91" t="s">
        <v>61</v>
      </c>
      <c r="W91">
        <v>13.4</v>
      </c>
      <c r="X91" t="s">
        <v>57</v>
      </c>
      <c r="Z91" t="s">
        <v>124</v>
      </c>
      <c r="AA91" t="s">
        <v>180</v>
      </c>
      <c r="AE91">
        <v>1</v>
      </c>
      <c r="AF91">
        <v>0</v>
      </c>
      <c r="AG91">
        <v>0</v>
      </c>
      <c r="AH91">
        <v>0</v>
      </c>
      <c r="AI91">
        <v>1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0</v>
      </c>
      <c r="AP91">
        <v>0</v>
      </c>
    </row>
    <row r="92" spans="1:42" x14ac:dyDescent="0.25">
      <c r="A92">
        <v>107</v>
      </c>
      <c r="B92" t="s">
        <v>305</v>
      </c>
      <c r="C92" t="s">
        <v>246</v>
      </c>
      <c r="D92" t="s">
        <v>306</v>
      </c>
      <c r="E92" s="4">
        <v>1</v>
      </c>
      <c r="F92" t="s">
        <v>295</v>
      </c>
      <c r="G92" t="s">
        <v>295</v>
      </c>
      <c r="H92" s="3">
        <v>46122</v>
      </c>
      <c r="I92" s="3">
        <v>46148</v>
      </c>
      <c r="J92" t="s">
        <v>80</v>
      </c>
      <c r="K92" s="3">
        <v>46129</v>
      </c>
      <c r="L92" s="3">
        <v>46122</v>
      </c>
      <c r="M92" s="3">
        <v>46148</v>
      </c>
      <c r="N92" s="3">
        <v>46148</v>
      </c>
      <c r="O92" t="s">
        <v>80</v>
      </c>
      <c r="P92" t="s">
        <v>55</v>
      </c>
      <c r="T92" t="s">
        <v>246</v>
      </c>
      <c r="U92" t="s">
        <v>307</v>
      </c>
      <c r="V92" t="s">
        <v>214</v>
      </c>
      <c r="W92">
        <v>33.6</v>
      </c>
      <c r="X92" t="s">
        <v>57</v>
      </c>
      <c r="AA92" t="s">
        <v>50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</row>
    <row r="93" spans="1:42" x14ac:dyDescent="0.25">
      <c r="A93">
        <v>108</v>
      </c>
      <c r="B93" t="s">
        <v>308</v>
      </c>
      <c r="C93" t="s">
        <v>309</v>
      </c>
      <c r="D93" t="s">
        <v>117</v>
      </c>
      <c r="E93" s="4">
        <v>1</v>
      </c>
      <c r="F93" t="s">
        <v>61</v>
      </c>
      <c r="G93" t="s">
        <v>61</v>
      </c>
      <c r="H93" s="3">
        <v>46122</v>
      </c>
      <c r="I93" s="3">
        <v>46122</v>
      </c>
      <c r="J93" t="s">
        <v>80</v>
      </c>
      <c r="K93" s="3">
        <v>46122</v>
      </c>
      <c r="L93" s="3">
        <v>46122</v>
      </c>
      <c r="M93" s="3">
        <v>46122</v>
      </c>
      <c r="N93" s="3">
        <v>46122</v>
      </c>
      <c r="O93" t="s">
        <v>80</v>
      </c>
      <c r="P93" t="s">
        <v>55</v>
      </c>
      <c r="Q93">
        <v>98</v>
      </c>
      <c r="R93" s="1">
        <v>46122</v>
      </c>
      <c r="S93" t="s">
        <v>124</v>
      </c>
      <c r="T93" t="s">
        <v>246</v>
      </c>
      <c r="U93">
        <v>109</v>
      </c>
      <c r="V93" t="s">
        <v>61</v>
      </c>
      <c r="W93">
        <v>13.4</v>
      </c>
      <c r="X93" t="s">
        <v>57</v>
      </c>
      <c r="Z93" t="s">
        <v>124</v>
      </c>
      <c r="AA93" t="s">
        <v>82</v>
      </c>
      <c r="AE93">
        <v>1</v>
      </c>
      <c r="AF93">
        <v>1</v>
      </c>
      <c r="AG93">
        <v>1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1</v>
      </c>
    </row>
    <row r="94" spans="1:42" x14ac:dyDescent="0.25">
      <c r="A94">
        <v>109</v>
      </c>
      <c r="B94" t="s">
        <v>310</v>
      </c>
      <c r="C94" t="s">
        <v>309</v>
      </c>
      <c r="D94" t="s">
        <v>121</v>
      </c>
      <c r="E94" s="4">
        <v>1</v>
      </c>
      <c r="F94" t="s">
        <v>122</v>
      </c>
      <c r="G94" t="s">
        <v>122</v>
      </c>
      <c r="H94" s="3">
        <v>46125</v>
      </c>
      <c r="I94" s="3">
        <v>46127</v>
      </c>
      <c r="J94" t="s">
        <v>144</v>
      </c>
      <c r="K94" s="3">
        <v>46127</v>
      </c>
      <c r="L94" s="3">
        <v>46125</v>
      </c>
      <c r="M94" s="3">
        <v>46127</v>
      </c>
      <c r="N94" s="3">
        <v>46127</v>
      </c>
      <c r="O94" t="s">
        <v>144</v>
      </c>
      <c r="P94" t="s">
        <v>55</v>
      </c>
      <c r="Q94">
        <v>108</v>
      </c>
      <c r="S94" t="s">
        <v>124</v>
      </c>
      <c r="T94" t="s">
        <v>246</v>
      </c>
      <c r="U94">
        <v>110</v>
      </c>
      <c r="V94" t="s">
        <v>122</v>
      </c>
      <c r="W94">
        <v>13.4</v>
      </c>
      <c r="X94" t="s">
        <v>57</v>
      </c>
      <c r="Z94" t="s">
        <v>124</v>
      </c>
      <c r="AA94" t="s">
        <v>180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1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</row>
    <row r="95" spans="1:42" x14ac:dyDescent="0.25">
      <c r="A95">
        <v>110</v>
      </c>
      <c r="B95" t="s">
        <v>311</v>
      </c>
      <c r="C95" t="s">
        <v>309</v>
      </c>
      <c r="D95" t="s">
        <v>126</v>
      </c>
      <c r="E95" s="4">
        <v>1</v>
      </c>
      <c r="F95" t="s">
        <v>61</v>
      </c>
      <c r="G95" t="s">
        <v>61</v>
      </c>
      <c r="H95" s="3">
        <v>46147</v>
      </c>
      <c r="I95" s="3">
        <v>46147</v>
      </c>
      <c r="J95" t="s">
        <v>148</v>
      </c>
      <c r="K95" s="3">
        <v>46128</v>
      </c>
      <c r="L95" s="3">
        <v>46128</v>
      </c>
      <c r="M95" s="3">
        <v>46147</v>
      </c>
      <c r="N95" s="3">
        <v>46147</v>
      </c>
      <c r="O95" t="s">
        <v>183</v>
      </c>
      <c r="P95" t="s">
        <v>55</v>
      </c>
      <c r="Q95">
        <v>109</v>
      </c>
      <c r="S95" t="s">
        <v>302</v>
      </c>
      <c r="T95" t="s">
        <v>246</v>
      </c>
      <c r="U95">
        <v>111</v>
      </c>
      <c r="V95" t="s">
        <v>61</v>
      </c>
      <c r="W95">
        <v>13.4</v>
      </c>
      <c r="X95" t="s">
        <v>57</v>
      </c>
      <c r="Z95" t="s">
        <v>302</v>
      </c>
      <c r="AA95" t="s">
        <v>180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1</v>
      </c>
      <c r="AM95">
        <v>0</v>
      </c>
      <c r="AN95">
        <v>0</v>
      </c>
      <c r="AO95">
        <v>0</v>
      </c>
      <c r="AP95">
        <v>0</v>
      </c>
    </row>
    <row r="96" spans="1:42" x14ac:dyDescent="0.25">
      <c r="A96">
        <v>111</v>
      </c>
      <c r="B96" t="s">
        <v>312</v>
      </c>
      <c r="C96" t="s">
        <v>309</v>
      </c>
      <c r="D96" t="s">
        <v>133</v>
      </c>
      <c r="E96" s="4">
        <v>1</v>
      </c>
      <c r="F96" t="s">
        <v>61</v>
      </c>
      <c r="G96" t="s">
        <v>61</v>
      </c>
      <c r="H96" s="3">
        <v>46148</v>
      </c>
      <c r="I96" s="3">
        <v>46148</v>
      </c>
      <c r="J96" t="s">
        <v>182</v>
      </c>
      <c r="K96" s="3">
        <v>46129</v>
      </c>
      <c r="L96" s="3">
        <v>46129</v>
      </c>
      <c r="M96" s="3">
        <v>46148</v>
      </c>
      <c r="N96" s="3">
        <v>46148</v>
      </c>
      <c r="O96" t="s">
        <v>304</v>
      </c>
      <c r="P96" t="s">
        <v>55</v>
      </c>
      <c r="Q96">
        <v>110</v>
      </c>
      <c r="S96" t="s">
        <v>124</v>
      </c>
      <c r="T96" t="s">
        <v>246</v>
      </c>
      <c r="V96" t="s">
        <v>61</v>
      </c>
      <c r="W96">
        <v>13.4</v>
      </c>
      <c r="X96" t="s">
        <v>57</v>
      </c>
      <c r="Z96" t="s">
        <v>124</v>
      </c>
      <c r="AA96" t="s">
        <v>180</v>
      </c>
      <c r="AE96">
        <v>1</v>
      </c>
      <c r="AF96">
        <v>0</v>
      </c>
      <c r="AG96">
        <v>0</v>
      </c>
      <c r="AH96">
        <v>0</v>
      </c>
      <c r="AI96">
        <v>1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0</v>
      </c>
      <c r="AP96">
        <v>0</v>
      </c>
    </row>
    <row r="97" spans="1:42" x14ac:dyDescent="0.25">
      <c r="A97">
        <v>112</v>
      </c>
      <c r="B97" t="s">
        <v>313</v>
      </c>
      <c r="C97" t="s">
        <v>246</v>
      </c>
      <c r="D97" t="s">
        <v>314</v>
      </c>
      <c r="E97" s="4">
        <v>1</v>
      </c>
      <c r="F97" t="s">
        <v>295</v>
      </c>
      <c r="G97" t="s">
        <v>295</v>
      </c>
      <c r="H97" s="3">
        <v>46122</v>
      </c>
      <c r="I97" s="3">
        <v>46148</v>
      </c>
      <c r="J97" t="s">
        <v>80</v>
      </c>
      <c r="K97" s="3">
        <v>46129</v>
      </c>
      <c r="L97" s="3">
        <v>46122</v>
      </c>
      <c r="M97" s="3">
        <v>46148</v>
      </c>
      <c r="N97" s="3">
        <v>46148</v>
      </c>
      <c r="O97" t="s">
        <v>80</v>
      </c>
      <c r="P97" t="s">
        <v>55</v>
      </c>
      <c r="T97" t="s">
        <v>246</v>
      </c>
      <c r="U97">
        <v>1493</v>
      </c>
      <c r="V97" t="s">
        <v>214</v>
      </c>
      <c r="W97">
        <v>15.6</v>
      </c>
      <c r="X97" t="s">
        <v>57</v>
      </c>
      <c r="AA97" t="s">
        <v>50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</row>
    <row r="98" spans="1:42" x14ac:dyDescent="0.25">
      <c r="A98">
        <v>113</v>
      </c>
      <c r="B98" t="s">
        <v>315</v>
      </c>
      <c r="C98" t="s">
        <v>316</v>
      </c>
      <c r="D98" t="s">
        <v>117</v>
      </c>
      <c r="E98" s="4">
        <v>1</v>
      </c>
      <c r="F98" t="s">
        <v>61</v>
      </c>
      <c r="G98" t="s">
        <v>61</v>
      </c>
      <c r="H98" s="3">
        <v>46122</v>
      </c>
      <c r="I98" s="3">
        <v>46122</v>
      </c>
      <c r="J98" t="s">
        <v>80</v>
      </c>
      <c r="K98" s="3">
        <v>46122</v>
      </c>
      <c r="L98" s="3">
        <v>46122</v>
      </c>
      <c r="M98" s="3">
        <v>46122</v>
      </c>
      <c r="N98" s="3">
        <v>46122</v>
      </c>
      <c r="O98" t="s">
        <v>80</v>
      </c>
      <c r="P98" t="s">
        <v>55</v>
      </c>
      <c r="Q98">
        <v>98</v>
      </c>
      <c r="R98" s="1">
        <v>46122</v>
      </c>
      <c r="S98" t="s">
        <v>124</v>
      </c>
      <c r="T98" t="s">
        <v>246</v>
      </c>
      <c r="U98">
        <v>114</v>
      </c>
      <c r="V98" t="s">
        <v>61</v>
      </c>
      <c r="W98">
        <v>13.4</v>
      </c>
      <c r="X98" t="s">
        <v>57</v>
      </c>
      <c r="Z98" t="s">
        <v>124</v>
      </c>
      <c r="AA98" t="s">
        <v>82</v>
      </c>
      <c r="AE98">
        <v>1</v>
      </c>
      <c r="AF98">
        <v>1</v>
      </c>
      <c r="AG98">
        <v>1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1</v>
      </c>
    </row>
    <row r="99" spans="1:42" x14ac:dyDescent="0.25">
      <c r="A99">
        <v>114</v>
      </c>
      <c r="B99" t="s">
        <v>317</v>
      </c>
      <c r="C99" t="s">
        <v>316</v>
      </c>
      <c r="D99" t="s">
        <v>121</v>
      </c>
      <c r="E99" s="4">
        <v>1</v>
      </c>
      <c r="F99" t="s">
        <v>122</v>
      </c>
      <c r="G99" t="s">
        <v>122</v>
      </c>
      <c r="H99" s="3">
        <v>46125</v>
      </c>
      <c r="I99" s="3">
        <v>46127</v>
      </c>
      <c r="J99" t="s">
        <v>144</v>
      </c>
      <c r="K99" s="3">
        <v>46127</v>
      </c>
      <c r="L99" s="3">
        <v>46125</v>
      </c>
      <c r="M99" s="3">
        <v>46127</v>
      </c>
      <c r="N99" s="3">
        <v>46127</v>
      </c>
      <c r="O99" t="s">
        <v>144</v>
      </c>
      <c r="P99" t="s">
        <v>55</v>
      </c>
      <c r="Q99">
        <v>113</v>
      </c>
      <c r="S99" t="s">
        <v>124</v>
      </c>
      <c r="T99" t="s">
        <v>246</v>
      </c>
      <c r="U99">
        <v>115</v>
      </c>
      <c r="V99" t="s">
        <v>122</v>
      </c>
      <c r="W99">
        <v>13.4</v>
      </c>
      <c r="X99" t="s">
        <v>57</v>
      </c>
      <c r="Z99" t="s">
        <v>124</v>
      </c>
      <c r="AA99" t="s">
        <v>180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1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</row>
    <row r="100" spans="1:42" x14ac:dyDescent="0.25">
      <c r="A100">
        <v>115</v>
      </c>
      <c r="B100" t="s">
        <v>318</v>
      </c>
      <c r="C100" t="s">
        <v>316</v>
      </c>
      <c r="D100" t="s">
        <v>126</v>
      </c>
      <c r="E100" s="4">
        <v>1</v>
      </c>
      <c r="F100" t="s">
        <v>61</v>
      </c>
      <c r="G100" t="s">
        <v>61</v>
      </c>
      <c r="H100" s="3">
        <v>46147</v>
      </c>
      <c r="I100" s="3">
        <v>46147</v>
      </c>
      <c r="J100" t="s">
        <v>148</v>
      </c>
      <c r="K100" s="3">
        <v>46128</v>
      </c>
      <c r="L100" s="3">
        <v>46128</v>
      </c>
      <c r="M100" s="3">
        <v>46147</v>
      </c>
      <c r="N100" s="3">
        <v>46147</v>
      </c>
      <c r="O100" t="s">
        <v>183</v>
      </c>
      <c r="P100" t="s">
        <v>55</v>
      </c>
      <c r="Q100">
        <v>114</v>
      </c>
      <c r="S100" t="s">
        <v>302</v>
      </c>
      <c r="T100" t="s">
        <v>246</v>
      </c>
      <c r="U100">
        <v>116</v>
      </c>
      <c r="V100" t="s">
        <v>61</v>
      </c>
      <c r="W100">
        <v>13.4</v>
      </c>
      <c r="X100" t="s">
        <v>57</v>
      </c>
      <c r="Z100" t="s">
        <v>302</v>
      </c>
      <c r="AA100" t="s">
        <v>180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1</v>
      </c>
      <c r="AM100">
        <v>0</v>
      </c>
      <c r="AN100">
        <v>0</v>
      </c>
      <c r="AO100">
        <v>0</v>
      </c>
      <c r="AP100">
        <v>0</v>
      </c>
    </row>
    <row r="101" spans="1:42" x14ac:dyDescent="0.25">
      <c r="A101">
        <v>116</v>
      </c>
      <c r="B101" t="s">
        <v>319</v>
      </c>
      <c r="C101" t="s">
        <v>316</v>
      </c>
      <c r="D101" t="s">
        <v>133</v>
      </c>
      <c r="E101" s="4">
        <v>1</v>
      </c>
      <c r="F101" t="s">
        <v>61</v>
      </c>
      <c r="G101" t="s">
        <v>61</v>
      </c>
      <c r="H101" s="3">
        <v>46148</v>
      </c>
      <c r="I101" s="3">
        <v>46148</v>
      </c>
      <c r="J101" t="s">
        <v>182</v>
      </c>
      <c r="K101" s="3">
        <v>46129</v>
      </c>
      <c r="L101" s="3">
        <v>46129</v>
      </c>
      <c r="M101" s="3">
        <v>46148</v>
      </c>
      <c r="N101" s="3">
        <v>46148</v>
      </c>
      <c r="O101" t="s">
        <v>304</v>
      </c>
      <c r="P101" t="s">
        <v>55</v>
      </c>
      <c r="Q101">
        <v>115</v>
      </c>
      <c r="S101" t="s">
        <v>124</v>
      </c>
      <c r="T101" t="s">
        <v>246</v>
      </c>
      <c r="U101" t="s">
        <v>320</v>
      </c>
      <c r="V101" t="s">
        <v>61</v>
      </c>
      <c r="W101">
        <v>13.4</v>
      </c>
      <c r="X101" t="s">
        <v>57</v>
      </c>
      <c r="Z101" t="s">
        <v>124</v>
      </c>
      <c r="AA101" t="s">
        <v>180</v>
      </c>
      <c r="AE101">
        <v>1</v>
      </c>
      <c r="AF101">
        <v>0</v>
      </c>
      <c r="AG101">
        <v>0</v>
      </c>
      <c r="AH101">
        <v>0</v>
      </c>
      <c r="AI101">
        <v>1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0</v>
      </c>
      <c r="AP101">
        <v>0</v>
      </c>
    </row>
    <row r="102" spans="1:42" x14ac:dyDescent="0.25">
      <c r="A102">
        <v>117</v>
      </c>
      <c r="B102" t="s">
        <v>321</v>
      </c>
      <c r="C102" t="s">
        <v>246</v>
      </c>
      <c r="D102" t="s">
        <v>322</v>
      </c>
      <c r="E102" s="4">
        <v>1</v>
      </c>
      <c r="F102" t="s">
        <v>295</v>
      </c>
      <c r="G102" t="s">
        <v>295</v>
      </c>
      <c r="H102" s="3">
        <v>46122</v>
      </c>
      <c r="I102" s="3">
        <v>46148</v>
      </c>
      <c r="J102" t="s">
        <v>80</v>
      </c>
      <c r="K102" s="3">
        <v>46148</v>
      </c>
      <c r="L102" s="3">
        <v>46122</v>
      </c>
      <c r="M102" s="3">
        <v>46148</v>
      </c>
      <c r="N102" s="3">
        <v>46148</v>
      </c>
      <c r="O102" t="s">
        <v>80</v>
      </c>
      <c r="P102" t="s">
        <v>55</v>
      </c>
      <c r="T102" t="s">
        <v>246</v>
      </c>
      <c r="U102">
        <v>1493</v>
      </c>
      <c r="V102" t="s">
        <v>214</v>
      </c>
      <c r="W102">
        <v>15.6</v>
      </c>
      <c r="X102" t="s">
        <v>57</v>
      </c>
      <c r="AA102" t="s">
        <v>50</v>
      </c>
      <c r="AB102" t="s">
        <v>94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</row>
    <row r="103" spans="1:42" x14ac:dyDescent="0.25">
      <c r="A103">
        <v>118</v>
      </c>
      <c r="B103" t="s">
        <v>323</v>
      </c>
      <c r="C103" t="s">
        <v>324</v>
      </c>
      <c r="D103" t="s">
        <v>117</v>
      </c>
      <c r="E103" s="4">
        <v>1</v>
      </c>
      <c r="F103" t="s">
        <v>61</v>
      </c>
      <c r="G103" t="s">
        <v>61</v>
      </c>
      <c r="H103" s="3">
        <v>46122</v>
      </c>
      <c r="I103" s="3">
        <v>46122</v>
      </c>
      <c r="J103" t="s">
        <v>80</v>
      </c>
      <c r="K103" s="3">
        <v>46122</v>
      </c>
      <c r="L103" s="3">
        <v>46122</v>
      </c>
      <c r="M103" s="3">
        <v>46122</v>
      </c>
      <c r="N103" s="3">
        <v>46122</v>
      </c>
      <c r="O103" t="s">
        <v>80</v>
      </c>
      <c r="P103" t="s">
        <v>55</v>
      </c>
      <c r="Q103">
        <v>98</v>
      </c>
      <c r="R103" s="1">
        <v>46122</v>
      </c>
      <c r="S103" t="s">
        <v>124</v>
      </c>
      <c r="T103" t="s">
        <v>246</v>
      </c>
      <c r="U103">
        <v>119</v>
      </c>
      <c r="V103" t="s">
        <v>61</v>
      </c>
      <c r="W103">
        <v>13.4</v>
      </c>
      <c r="X103" t="s">
        <v>57</v>
      </c>
      <c r="Z103" t="s">
        <v>124</v>
      </c>
      <c r="AA103" t="s">
        <v>82</v>
      </c>
      <c r="AE103">
        <v>1</v>
      </c>
      <c r="AF103">
        <v>1</v>
      </c>
      <c r="AG103">
        <v>1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1</v>
      </c>
    </row>
    <row r="104" spans="1:42" x14ac:dyDescent="0.25">
      <c r="A104">
        <v>119</v>
      </c>
      <c r="B104" t="s">
        <v>325</v>
      </c>
      <c r="C104" t="s">
        <v>324</v>
      </c>
      <c r="D104" t="s">
        <v>121</v>
      </c>
      <c r="E104" s="4">
        <v>1</v>
      </c>
      <c r="F104" t="s">
        <v>122</v>
      </c>
      <c r="G104" t="s">
        <v>122</v>
      </c>
      <c r="H104" s="3">
        <v>46125</v>
      </c>
      <c r="I104" s="3">
        <v>46127</v>
      </c>
      <c r="J104" t="s">
        <v>144</v>
      </c>
      <c r="K104" s="3">
        <v>46127</v>
      </c>
      <c r="L104" s="3">
        <v>46125</v>
      </c>
      <c r="M104" s="3">
        <v>46127</v>
      </c>
      <c r="N104" s="3">
        <v>46127</v>
      </c>
      <c r="O104" t="s">
        <v>144</v>
      </c>
      <c r="P104" t="s">
        <v>55</v>
      </c>
      <c r="Q104">
        <v>118</v>
      </c>
      <c r="S104" t="s">
        <v>124</v>
      </c>
      <c r="T104" t="s">
        <v>246</v>
      </c>
      <c r="U104">
        <v>120</v>
      </c>
      <c r="V104" t="s">
        <v>122</v>
      </c>
      <c r="W104">
        <v>13.4</v>
      </c>
      <c r="X104" t="s">
        <v>57</v>
      </c>
      <c r="Z104" t="s">
        <v>124</v>
      </c>
      <c r="AA104" t="s">
        <v>180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1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</row>
    <row r="105" spans="1:42" x14ac:dyDescent="0.25">
      <c r="A105">
        <v>120</v>
      </c>
      <c r="B105" t="s">
        <v>326</v>
      </c>
      <c r="C105" t="s">
        <v>324</v>
      </c>
      <c r="D105" t="s">
        <v>126</v>
      </c>
      <c r="E105" s="4">
        <v>1</v>
      </c>
      <c r="F105" t="s">
        <v>61</v>
      </c>
      <c r="G105" t="s">
        <v>61</v>
      </c>
      <c r="H105" s="3">
        <v>46147</v>
      </c>
      <c r="I105" s="3">
        <v>46147</v>
      </c>
      <c r="J105" t="s">
        <v>183</v>
      </c>
      <c r="K105" s="3">
        <v>46147</v>
      </c>
      <c r="L105" s="3">
        <v>46147</v>
      </c>
      <c r="M105" s="3">
        <v>46147</v>
      </c>
      <c r="N105" s="3">
        <v>46147</v>
      </c>
      <c r="O105" t="s">
        <v>183</v>
      </c>
      <c r="P105" t="s">
        <v>55</v>
      </c>
      <c r="Q105">
        <v>119</v>
      </c>
      <c r="S105" t="s">
        <v>302</v>
      </c>
      <c r="T105" t="s">
        <v>246</v>
      </c>
      <c r="U105">
        <v>121</v>
      </c>
      <c r="V105" t="s">
        <v>61</v>
      </c>
      <c r="W105">
        <v>13.4</v>
      </c>
      <c r="X105" t="s">
        <v>57</v>
      </c>
      <c r="Z105" t="s">
        <v>302</v>
      </c>
      <c r="AA105" t="s">
        <v>180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1</v>
      </c>
      <c r="AM105">
        <v>0</v>
      </c>
      <c r="AN105">
        <v>0</v>
      </c>
      <c r="AO105">
        <v>0</v>
      </c>
      <c r="AP105">
        <v>0</v>
      </c>
    </row>
    <row r="106" spans="1:42" x14ac:dyDescent="0.25">
      <c r="A106">
        <v>121</v>
      </c>
      <c r="B106" t="s">
        <v>327</v>
      </c>
      <c r="C106" t="s">
        <v>324</v>
      </c>
      <c r="D106" t="s">
        <v>133</v>
      </c>
      <c r="E106" s="4">
        <v>1</v>
      </c>
      <c r="F106" t="s">
        <v>61</v>
      </c>
      <c r="G106" t="s">
        <v>61</v>
      </c>
      <c r="H106" s="3">
        <v>46148</v>
      </c>
      <c r="I106" s="3">
        <v>46148</v>
      </c>
      <c r="J106" t="s">
        <v>304</v>
      </c>
      <c r="K106" s="3">
        <v>46148</v>
      </c>
      <c r="L106" s="3">
        <v>46148</v>
      </c>
      <c r="M106" s="3">
        <v>46148</v>
      </c>
      <c r="N106" s="3">
        <v>46148</v>
      </c>
      <c r="O106" t="s">
        <v>304</v>
      </c>
      <c r="P106" t="s">
        <v>55</v>
      </c>
      <c r="Q106">
        <v>120</v>
      </c>
      <c r="S106" t="s">
        <v>124</v>
      </c>
      <c r="T106" t="s">
        <v>246</v>
      </c>
      <c r="U106" t="s">
        <v>320</v>
      </c>
      <c r="V106" t="s">
        <v>61</v>
      </c>
      <c r="W106">
        <v>13.4</v>
      </c>
      <c r="X106" t="s">
        <v>57</v>
      </c>
      <c r="Z106" t="s">
        <v>124</v>
      </c>
      <c r="AA106" t="s">
        <v>180</v>
      </c>
      <c r="AE106">
        <v>1</v>
      </c>
      <c r="AF106">
        <v>0</v>
      </c>
      <c r="AG106">
        <v>0</v>
      </c>
      <c r="AH106">
        <v>0</v>
      </c>
      <c r="AI106">
        <v>1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0</v>
      </c>
      <c r="AP106">
        <v>0</v>
      </c>
    </row>
    <row r="107" spans="1:42" x14ac:dyDescent="0.25">
      <c r="A107">
        <v>122</v>
      </c>
      <c r="B107" t="s">
        <v>328</v>
      </c>
      <c r="C107" t="s">
        <v>246</v>
      </c>
      <c r="D107" t="s">
        <v>329</v>
      </c>
      <c r="E107" s="4">
        <v>1</v>
      </c>
      <c r="F107" t="s">
        <v>330</v>
      </c>
      <c r="G107" t="s">
        <v>330</v>
      </c>
      <c r="H107" s="3">
        <v>46125</v>
      </c>
      <c r="I107" s="3">
        <v>46148</v>
      </c>
      <c r="J107" t="s">
        <v>144</v>
      </c>
      <c r="K107" s="3">
        <v>46134</v>
      </c>
      <c r="L107" s="3">
        <v>46125</v>
      </c>
      <c r="M107" s="3">
        <v>46148</v>
      </c>
      <c r="N107" s="3">
        <v>46148</v>
      </c>
      <c r="O107" t="s">
        <v>144</v>
      </c>
      <c r="P107" t="s">
        <v>55</v>
      </c>
      <c r="T107" t="s">
        <v>246</v>
      </c>
      <c r="U107">
        <v>1498</v>
      </c>
      <c r="V107" t="s">
        <v>214</v>
      </c>
      <c r="W107">
        <v>15.6</v>
      </c>
      <c r="X107" t="s">
        <v>57</v>
      </c>
      <c r="AA107" t="s">
        <v>50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</row>
    <row r="108" spans="1:42" x14ac:dyDescent="0.25">
      <c r="A108">
        <v>123</v>
      </c>
      <c r="B108" t="s">
        <v>331</v>
      </c>
      <c r="C108" t="s">
        <v>332</v>
      </c>
      <c r="D108" t="s">
        <v>117</v>
      </c>
      <c r="E108" s="4">
        <v>1</v>
      </c>
      <c r="F108" t="s">
        <v>61</v>
      </c>
      <c r="G108" t="s">
        <v>61</v>
      </c>
      <c r="H108" s="3">
        <v>46125</v>
      </c>
      <c r="I108" s="3">
        <v>46125</v>
      </c>
      <c r="J108" t="s">
        <v>144</v>
      </c>
      <c r="K108" s="3">
        <v>46125</v>
      </c>
      <c r="L108" s="3">
        <v>46125</v>
      </c>
      <c r="M108" s="3">
        <v>46125</v>
      </c>
      <c r="N108" s="3">
        <v>46125</v>
      </c>
      <c r="O108" t="s">
        <v>144</v>
      </c>
      <c r="P108" t="s">
        <v>55</v>
      </c>
      <c r="Q108">
        <v>103</v>
      </c>
      <c r="R108" s="1">
        <v>46122</v>
      </c>
      <c r="S108" t="s">
        <v>124</v>
      </c>
      <c r="T108" t="s">
        <v>246</v>
      </c>
      <c r="U108">
        <v>124</v>
      </c>
      <c r="V108" t="s">
        <v>61</v>
      </c>
      <c r="W108">
        <v>13.4</v>
      </c>
      <c r="X108" t="s">
        <v>57</v>
      </c>
      <c r="Z108" t="s">
        <v>124</v>
      </c>
      <c r="AA108" t="s">
        <v>180</v>
      </c>
      <c r="AE108">
        <v>1</v>
      </c>
      <c r="AF108">
        <v>1</v>
      </c>
      <c r="AG108">
        <v>1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1</v>
      </c>
    </row>
    <row r="109" spans="1:42" x14ac:dyDescent="0.25">
      <c r="A109">
        <v>124</v>
      </c>
      <c r="B109" t="s">
        <v>333</v>
      </c>
      <c r="C109" t="s">
        <v>332</v>
      </c>
      <c r="D109" t="s">
        <v>121</v>
      </c>
      <c r="E109" s="4">
        <v>1</v>
      </c>
      <c r="F109" t="s">
        <v>122</v>
      </c>
      <c r="G109" t="s">
        <v>122</v>
      </c>
      <c r="H109" s="3">
        <v>46126</v>
      </c>
      <c r="I109" s="3">
        <v>46128</v>
      </c>
      <c r="J109" t="s">
        <v>334</v>
      </c>
      <c r="K109" s="3">
        <v>46128</v>
      </c>
      <c r="L109" s="3">
        <v>46126</v>
      </c>
      <c r="M109" s="3">
        <v>46128</v>
      </c>
      <c r="N109" s="3">
        <v>46128</v>
      </c>
      <c r="O109" t="s">
        <v>334</v>
      </c>
      <c r="P109" t="s">
        <v>55</v>
      </c>
      <c r="Q109">
        <v>123</v>
      </c>
      <c r="S109" t="s">
        <v>124</v>
      </c>
      <c r="T109" t="s">
        <v>246</v>
      </c>
      <c r="U109">
        <v>125</v>
      </c>
      <c r="V109" t="s">
        <v>122</v>
      </c>
      <c r="W109">
        <v>13.4</v>
      </c>
      <c r="X109" t="s">
        <v>57</v>
      </c>
      <c r="Z109" t="s">
        <v>124</v>
      </c>
      <c r="AA109" t="s">
        <v>180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1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</row>
    <row r="110" spans="1:42" x14ac:dyDescent="0.25">
      <c r="A110">
        <v>125</v>
      </c>
      <c r="B110" t="s">
        <v>335</v>
      </c>
      <c r="C110" t="s">
        <v>332</v>
      </c>
      <c r="D110" t="s">
        <v>126</v>
      </c>
      <c r="E110" s="4">
        <v>1</v>
      </c>
      <c r="F110" t="s">
        <v>61</v>
      </c>
      <c r="G110" t="s">
        <v>61</v>
      </c>
      <c r="H110" s="3">
        <v>46147</v>
      </c>
      <c r="I110" s="3">
        <v>46147</v>
      </c>
      <c r="J110" t="s">
        <v>182</v>
      </c>
      <c r="K110" s="3">
        <v>46129</v>
      </c>
      <c r="L110" s="3">
        <v>46129</v>
      </c>
      <c r="M110" s="3">
        <v>46147</v>
      </c>
      <c r="N110" s="3">
        <v>46147</v>
      </c>
      <c r="O110" t="s">
        <v>183</v>
      </c>
      <c r="P110" t="s">
        <v>55</v>
      </c>
      <c r="Q110">
        <v>124</v>
      </c>
      <c r="S110" t="s">
        <v>302</v>
      </c>
      <c r="T110" t="s">
        <v>246</v>
      </c>
      <c r="U110">
        <v>126</v>
      </c>
      <c r="V110" t="s">
        <v>61</v>
      </c>
      <c r="W110">
        <v>13.4</v>
      </c>
      <c r="X110" t="s">
        <v>57</v>
      </c>
      <c r="Z110" t="s">
        <v>302</v>
      </c>
      <c r="AA110" t="s">
        <v>180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1</v>
      </c>
      <c r="AM110">
        <v>0</v>
      </c>
      <c r="AN110">
        <v>0</v>
      </c>
      <c r="AO110">
        <v>0</v>
      </c>
      <c r="AP110">
        <v>0</v>
      </c>
    </row>
    <row r="111" spans="1:42" x14ac:dyDescent="0.25">
      <c r="A111">
        <v>126</v>
      </c>
      <c r="B111" t="s">
        <v>336</v>
      </c>
      <c r="C111" t="s">
        <v>332</v>
      </c>
      <c r="D111" t="s">
        <v>133</v>
      </c>
      <c r="E111" s="4">
        <v>1</v>
      </c>
      <c r="F111" t="s">
        <v>61</v>
      </c>
      <c r="G111" t="s">
        <v>61</v>
      </c>
      <c r="H111" s="3">
        <v>46148</v>
      </c>
      <c r="I111" s="3">
        <v>46148</v>
      </c>
      <c r="J111" t="s">
        <v>337</v>
      </c>
      <c r="K111" s="3">
        <v>46134</v>
      </c>
      <c r="L111" s="3">
        <v>46134</v>
      </c>
      <c r="M111" s="3">
        <v>46148</v>
      </c>
      <c r="N111" s="3">
        <v>46148</v>
      </c>
      <c r="O111" t="s">
        <v>304</v>
      </c>
      <c r="P111" t="s">
        <v>55</v>
      </c>
      <c r="Q111">
        <v>125</v>
      </c>
      <c r="S111" t="s">
        <v>124</v>
      </c>
      <c r="T111" t="s">
        <v>246</v>
      </c>
      <c r="V111" t="s">
        <v>61</v>
      </c>
      <c r="W111">
        <v>13.4</v>
      </c>
      <c r="X111" t="s">
        <v>57</v>
      </c>
      <c r="Z111" t="s">
        <v>124</v>
      </c>
      <c r="AA111" t="s">
        <v>71</v>
      </c>
      <c r="AE111">
        <v>1</v>
      </c>
      <c r="AF111">
        <v>0</v>
      </c>
      <c r="AG111">
        <v>0</v>
      </c>
      <c r="AH111">
        <v>0</v>
      </c>
      <c r="AI111">
        <v>1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0</v>
      </c>
      <c r="AP111">
        <v>0</v>
      </c>
    </row>
    <row r="112" spans="1:42" x14ac:dyDescent="0.25">
      <c r="A112">
        <v>127</v>
      </c>
      <c r="B112" t="s">
        <v>338</v>
      </c>
      <c r="C112" t="s">
        <v>246</v>
      </c>
      <c r="D112" t="s">
        <v>339</v>
      </c>
      <c r="E112" s="4">
        <v>1</v>
      </c>
      <c r="F112" t="s">
        <v>340</v>
      </c>
      <c r="G112" t="s">
        <v>340</v>
      </c>
      <c r="H112" s="3">
        <v>46125</v>
      </c>
      <c r="I112" s="3">
        <v>46170</v>
      </c>
      <c r="J112" t="s">
        <v>144</v>
      </c>
      <c r="K112" s="3">
        <v>46134</v>
      </c>
      <c r="L112" s="3">
        <v>46125</v>
      </c>
      <c r="M112" s="3">
        <v>46170</v>
      </c>
      <c r="N112" s="3">
        <v>46170</v>
      </c>
      <c r="O112" t="s">
        <v>144</v>
      </c>
      <c r="P112" t="s">
        <v>55</v>
      </c>
      <c r="T112" t="s">
        <v>246</v>
      </c>
      <c r="U112">
        <v>1503</v>
      </c>
      <c r="V112" t="s">
        <v>214</v>
      </c>
      <c r="W112">
        <v>15.6</v>
      </c>
      <c r="X112" t="s">
        <v>57</v>
      </c>
      <c r="AA112" t="s">
        <v>50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</row>
    <row r="113" spans="1:42" x14ac:dyDescent="0.25">
      <c r="A113">
        <v>128</v>
      </c>
      <c r="B113" t="s">
        <v>341</v>
      </c>
      <c r="C113" t="s">
        <v>342</v>
      </c>
      <c r="D113" t="s">
        <v>117</v>
      </c>
      <c r="E113" s="4">
        <v>1</v>
      </c>
      <c r="F113" t="s">
        <v>61</v>
      </c>
      <c r="G113" t="s">
        <v>61</v>
      </c>
      <c r="H113" s="3">
        <v>46125</v>
      </c>
      <c r="I113" s="3">
        <v>46125</v>
      </c>
      <c r="J113" t="s">
        <v>144</v>
      </c>
      <c r="K113" s="3">
        <v>46125</v>
      </c>
      <c r="L113" s="3">
        <v>46125</v>
      </c>
      <c r="M113" s="3">
        <v>46125</v>
      </c>
      <c r="N113" s="3">
        <v>46125</v>
      </c>
      <c r="O113" t="s">
        <v>144</v>
      </c>
      <c r="P113" t="s">
        <v>55</v>
      </c>
      <c r="Q113">
        <v>103</v>
      </c>
      <c r="R113" s="1">
        <v>46134</v>
      </c>
      <c r="S113" t="s">
        <v>124</v>
      </c>
      <c r="T113" t="s">
        <v>246</v>
      </c>
      <c r="U113">
        <v>129</v>
      </c>
      <c r="V113" t="s">
        <v>61</v>
      </c>
      <c r="W113">
        <v>13.4</v>
      </c>
      <c r="X113" t="s">
        <v>57</v>
      </c>
      <c r="Z113" t="s">
        <v>124</v>
      </c>
      <c r="AA113" t="s">
        <v>180</v>
      </c>
      <c r="AE113">
        <v>1</v>
      </c>
      <c r="AF113">
        <v>1</v>
      </c>
      <c r="AG113">
        <v>1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1</v>
      </c>
    </row>
    <row r="114" spans="1:42" x14ac:dyDescent="0.25">
      <c r="A114">
        <v>129</v>
      </c>
      <c r="B114" t="s">
        <v>343</v>
      </c>
      <c r="C114" t="s">
        <v>342</v>
      </c>
      <c r="D114" t="s">
        <v>121</v>
      </c>
      <c r="E114" s="4">
        <v>1</v>
      </c>
      <c r="F114" t="s">
        <v>122</v>
      </c>
      <c r="G114" t="s">
        <v>122</v>
      </c>
      <c r="H114" s="3">
        <v>46126</v>
      </c>
      <c r="I114" s="3">
        <v>46128</v>
      </c>
      <c r="J114" t="s">
        <v>334</v>
      </c>
      <c r="K114" s="3">
        <v>46128</v>
      </c>
      <c r="L114" s="3">
        <v>46126</v>
      </c>
      <c r="M114" s="3">
        <v>46128</v>
      </c>
      <c r="N114" s="3">
        <v>46128</v>
      </c>
      <c r="O114" t="s">
        <v>334</v>
      </c>
      <c r="P114" t="s">
        <v>55</v>
      </c>
      <c r="Q114">
        <v>128</v>
      </c>
      <c r="S114" t="s">
        <v>124</v>
      </c>
      <c r="T114" t="s">
        <v>246</v>
      </c>
      <c r="U114">
        <v>130</v>
      </c>
      <c r="V114" t="s">
        <v>122</v>
      </c>
      <c r="W114">
        <v>13.4</v>
      </c>
      <c r="X114" t="s">
        <v>57</v>
      </c>
      <c r="Z114" t="s">
        <v>124</v>
      </c>
      <c r="AA114" t="s">
        <v>180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1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</row>
    <row r="115" spans="1:42" x14ac:dyDescent="0.25">
      <c r="A115">
        <v>130</v>
      </c>
      <c r="B115" t="s">
        <v>344</v>
      </c>
      <c r="C115" t="s">
        <v>342</v>
      </c>
      <c r="D115" t="s">
        <v>126</v>
      </c>
      <c r="E115" s="4">
        <v>1</v>
      </c>
      <c r="F115" t="s">
        <v>345</v>
      </c>
      <c r="G115" t="s">
        <v>345</v>
      </c>
      <c r="H115" s="3">
        <v>46129</v>
      </c>
      <c r="I115" s="3">
        <v>46169</v>
      </c>
      <c r="J115" t="s">
        <v>182</v>
      </c>
      <c r="K115" s="3">
        <v>46129</v>
      </c>
      <c r="L115" s="3">
        <v>46129</v>
      </c>
      <c r="M115" s="3">
        <v>46169</v>
      </c>
      <c r="N115" s="3">
        <v>46169</v>
      </c>
      <c r="O115" t="s">
        <v>182</v>
      </c>
      <c r="P115" t="s">
        <v>55</v>
      </c>
      <c r="Q115">
        <v>129</v>
      </c>
      <c r="S115" t="s">
        <v>302</v>
      </c>
      <c r="T115" t="s">
        <v>246</v>
      </c>
      <c r="U115">
        <v>131</v>
      </c>
      <c r="V115" t="s">
        <v>61</v>
      </c>
      <c r="W115">
        <v>13.4</v>
      </c>
      <c r="X115" t="s">
        <v>57</v>
      </c>
      <c r="Z115" t="s">
        <v>302</v>
      </c>
      <c r="AA115" t="s">
        <v>180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1</v>
      </c>
      <c r="AM115">
        <v>0</v>
      </c>
      <c r="AN115">
        <v>0</v>
      </c>
      <c r="AO115">
        <v>0</v>
      </c>
      <c r="AP115">
        <v>0</v>
      </c>
    </row>
    <row r="116" spans="1:42" x14ac:dyDescent="0.25">
      <c r="A116">
        <v>131</v>
      </c>
      <c r="B116" t="s">
        <v>346</v>
      </c>
      <c r="C116" t="s">
        <v>342</v>
      </c>
      <c r="D116" t="s">
        <v>133</v>
      </c>
      <c r="E116" s="4">
        <v>1</v>
      </c>
      <c r="F116" t="s">
        <v>347</v>
      </c>
      <c r="G116" t="s">
        <v>347</v>
      </c>
      <c r="H116" s="3">
        <v>46134</v>
      </c>
      <c r="I116" s="3">
        <v>46170</v>
      </c>
      <c r="J116" t="s">
        <v>337</v>
      </c>
      <c r="K116" s="3">
        <v>46134</v>
      </c>
      <c r="L116" s="3">
        <v>46134</v>
      </c>
      <c r="M116" s="3">
        <v>46170</v>
      </c>
      <c r="N116" s="3">
        <v>46170</v>
      </c>
      <c r="O116" t="s">
        <v>337</v>
      </c>
      <c r="P116" t="s">
        <v>55</v>
      </c>
      <c r="Q116">
        <v>130</v>
      </c>
      <c r="S116" t="s">
        <v>124</v>
      </c>
      <c r="T116" t="s">
        <v>246</v>
      </c>
      <c r="V116" t="s">
        <v>61</v>
      </c>
      <c r="W116">
        <v>13.4</v>
      </c>
      <c r="X116" t="s">
        <v>57</v>
      </c>
      <c r="Z116" t="s">
        <v>124</v>
      </c>
      <c r="AA116" t="s">
        <v>71</v>
      </c>
      <c r="AE116">
        <v>1</v>
      </c>
      <c r="AF116">
        <v>0</v>
      </c>
      <c r="AG116">
        <v>0</v>
      </c>
      <c r="AH116">
        <v>0</v>
      </c>
      <c r="AI116">
        <v>1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0</v>
      </c>
      <c r="AP116">
        <v>0</v>
      </c>
    </row>
    <row r="117" spans="1:42" x14ac:dyDescent="0.25">
      <c r="A117">
        <v>132</v>
      </c>
      <c r="B117" t="s">
        <v>348</v>
      </c>
      <c r="C117" t="s">
        <v>246</v>
      </c>
      <c r="D117" t="s">
        <v>349</v>
      </c>
      <c r="E117" s="4">
        <v>1</v>
      </c>
      <c r="F117" t="s">
        <v>340</v>
      </c>
      <c r="G117" t="s">
        <v>340</v>
      </c>
      <c r="H117" s="3">
        <v>46125</v>
      </c>
      <c r="I117" s="3">
        <v>46170</v>
      </c>
      <c r="J117" t="s">
        <v>144</v>
      </c>
      <c r="K117" s="3">
        <v>46170</v>
      </c>
      <c r="L117" s="3">
        <v>46125</v>
      </c>
      <c r="M117" s="3">
        <v>46170</v>
      </c>
      <c r="N117" s="3">
        <v>46170</v>
      </c>
      <c r="O117" t="s">
        <v>144</v>
      </c>
      <c r="P117" t="s">
        <v>55</v>
      </c>
      <c r="T117" t="s">
        <v>246</v>
      </c>
      <c r="U117">
        <v>1503</v>
      </c>
      <c r="V117" t="s">
        <v>214</v>
      </c>
      <c r="W117">
        <v>15.6</v>
      </c>
      <c r="X117" t="s">
        <v>57</v>
      </c>
      <c r="AA117" t="s">
        <v>50</v>
      </c>
      <c r="AB117" t="s">
        <v>94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</row>
    <row r="118" spans="1:42" x14ac:dyDescent="0.25">
      <c r="A118">
        <v>133</v>
      </c>
      <c r="B118" t="s">
        <v>350</v>
      </c>
      <c r="C118" t="s">
        <v>351</v>
      </c>
      <c r="D118" t="s">
        <v>117</v>
      </c>
      <c r="E118" s="4">
        <v>1</v>
      </c>
      <c r="F118" t="s">
        <v>61</v>
      </c>
      <c r="G118" t="s">
        <v>61</v>
      </c>
      <c r="H118" s="3">
        <v>46125</v>
      </c>
      <c r="I118" s="3">
        <v>46125</v>
      </c>
      <c r="J118" t="s">
        <v>144</v>
      </c>
      <c r="K118" s="3">
        <v>46125</v>
      </c>
      <c r="L118" s="3">
        <v>46125</v>
      </c>
      <c r="M118" s="3">
        <v>46125</v>
      </c>
      <c r="N118" s="3">
        <v>46125</v>
      </c>
      <c r="O118" t="s">
        <v>144</v>
      </c>
      <c r="P118" t="s">
        <v>55</v>
      </c>
      <c r="Q118">
        <v>103</v>
      </c>
      <c r="R118" s="1">
        <v>46134</v>
      </c>
      <c r="S118" t="s">
        <v>124</v>
      </c>
      <c r="T118" t="s">
        <v>246</v>
      </c>
      <c r="U118">
        <v>134</v>
      </c>
      <c r="V118" t="s">
        <v>61</v>
      </c>
      <c r="W118">
        <v>13.4</v>
      </c>
      <c r="X118" t="s">
        <v>57</v>
      </c>
      <c r="Z118" t="s">
        <v>124</v>
      </c>
      <c r="AA118" t="s">
        <v>180</v>
      </c>
      <c r="AE118">
        <v>1</v>
      </c>
      <c r="AF118">
        <v>1</v>
      </c>
      <c r="AG118">
        <v>1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1</v>
      </c>
    </row>
    <row r="119" spans="1:42" x14ac:dyDescent="0.25">
      <c r="A119">
        <v>134</v>
      </c>
      <c r="B119" t="s">
        <v>352</v>
      </c>
      <c r="C119" t="s">
        <v>351</v>
      </c>
      <c r="D119" t="s">
        <v>121</v>
      </c>
      <c r="E119" s="4">
        <v>1</v>
      </c>
      <c r="F119" t="s">
        <v>122</v>
      </c>
      <c r="G119" t="s">
        <v>122</v>
      </c>
      <c r="H119" s="3">
        <v>46126</v>
      </c>
      <c r="I119" s="3">
        <v>46128</v>
      </c>
      <c r="J119" t="s">
        <v>334</v>
      </c>
      <c r="K119" s="3">
        <v>46128</v>
      </c>
      <c r="L119" s="3">
        <v>46126</v>
      </c>
      <c r="M119" s="3">
        <v>46128</v>
      </c>
      <c r="N119" s="3">
        <v>46128</v>
      </c>
      <c r="O119" t="s">
        <v>334</v>
      </c>
      <c r="P119" t="s">
        <v>55</v>
      </c>
      <c r="Q119">
        <v>133</v>
      </c>
      <c r="S119" t="s">
        <v>124</v>
      </c>
      <c r="T119" t="s">
        <v>246</v>
      </c>
      <c r="U119">
        <v>135</v>
      </c>
      <c r="V119" t="s">
        <v>122</v>
      </c>
      <c r="W119">
        <v>13.4</v>
      </c>
      <c r="X119" t="s">
        <v>57</v>
      </c>
      <c r="Z119" t="s">
        <v>124</v>
      </c>
      <c r="AA119" t="s">
        <v>180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1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</row>
    <row r="120" spans="1:42" x14ac:dyDescent="0.25">
      <c r="A120">
        <v>135</v>
      </c>
      <c r="B120" t="s">
        <v>353</v>
      </c>
      <c r="C120" t="s">
        <v>351</v>
      </c>
      <c r="D120" t="s">
        <v>126</v>
      </c>
      <c r="E120" s="4">
        <v>1</v>
      </c>
      <c r="F120" t="s">
        <v>345</v>
      </c>
      <c r="G120" t="s">
        <v>345</v>
      </c>
      <c r="H120" s="3">
        <v>46129</v>
      </c>
      <c r="I120" s="3">
        <v>46169</v>
      </c>
      <c r="J120" t="s">
        <v>182</v>
      </c>
      <c r="K120" s="3">
        <v>46169</v>
      </c>
      <c r="L120" s="3">
        <v>46129</v>
      </c>
      <c r="M120" s="3">
        <v>46169</v>
      </c>
      <c r="N120" s="3">
        <v>46169</v>
      </c>
      <c r="O120" t="s">
        <v>182</v>
      </c>
      <c r="P120" t="s">
        <v>55</v>
      </c>
      <c r="Q120">
        <v>134</v>
      </c>
      <c r="S120" t="s">
        <v>302</v>
      </c>
      <c r="T120" t="s">
        <v>246</v>
      </c>
      <c r="U120">
        <v>136</v>
      </c>
      <c r="V120" t="s">
        <v>61</v>
      </c>
      <c r="W120">
        <v>13.4</v>
      </c>
      <c r="X120" t="s">
        <v>57</v>
      </c>
      <c r="Z120" t="s">
        <v>302</v>
      </c>
      <c r="AA120" t="s">
        <v>180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1</v>
      </c>
      <c r="AM120">
        <v>0</v>
      </c>
      <c r="AN120">
        <v>0</v>
      </c>
      <c r="AO120">
        <v>0</v>
      </c>
      <c r="AP120">
        <v>0</v>
      </c>
    </row>
    <row r="121" spans="1:42" x14ac:dyDescent="0.25">
      <c r="A121">
        <v>136</v>
      </c>
      <c r="B121" t="s">
        <v>354</v>
      </c>
      <c r="C121" t="s">
        <v>351</v>
      </c>
      <c r="D121" t="s">
        <v>133</v>
      </c>
      <c r="E121" s="4">
        <v>1</v>
      </c>
      <c r="F121" t="s">
        <v>347</v>
      </c>
      <c r="G121" t="s">
        <v>347</v>
      </c>
      <c r="H121" s="3">
        <v>46134</v>
      </c>
      <c r="I121" s="3">
        <v>46170</v>
      </c>
      <c r="J121" t="s">
        <v>337</v>
      </c>
      <c r="K121" s="3">
        <v>46170</v>
      </c>
      <c r="L121" s="3">
        <v>46134</v>
      </c>
      <c r="M121" s="3">
        <v>46170</v>
      </c>
      <c r="N121" s="3">
        <v>46170</v>
      </c>
      <c r="O121" t="s">
        <v>337</v>
      </c>
      <c r="P121" t="s">
        <v>55</v>
      </c>
      <c r="Q121">
        <v>135</v>
      </c>
      <c r="S121" t="s">
        <v>124</v>
      </c>
      <c r="T121" t="s">
        <v>246</v>
      </c>
      <c r="V121" t="s">
        <v>61</v>
      </c>
      <c r="W121">
        <v>13.4</v>
      </c>
      <c r="X121" t="s">
        <v>57</v>
      </c>
      <c r="Z121" t="s">
        <v>124</v>
      </c>
      <c r="AA121" t="s">
        <v>71</v>
      </c>
      <c r="AE121">
        <v>1</v>
      </c>
      <c r="AF121">
        <v>0</v>
      </c>
      <c r="AG121">
        <v>0</v>
      </c>
      <c r="AH121">
        <v>0</v>
      </c>
      <c r="AI121">
        <v>1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0</v>
      </c>
      <c r="AP121">
        <v>0</v>
      </c>
    </row>
    <row r="122" spans="1:42" x14ac:dyDescent="0.25">
      <c r="A122">
        <v>137</v>
      </c>
      <c r="B122" t="s">
        <v>355</v>
      </c>
      <c r="C122" t="s">
        <v>246</v>
      </c>
      <c r="D122" t="s">
        <v>356</v>
      </c>
      <c r="E122" s="4">
        <v>1</v>
      </c>
      <c r="F122" t="s">
        <v>330</v>
      </c>
      <c r="G122" t="s">
        <v>330</v>
      </c>
      <c r="H122" s="3">
        <v>46125</v>
      </c>
      <c r="I122" s="3">
        <v>46148</v>
      </c>
      <c r="J122" t="s">
        <v>144</v>
      </c>
      <c r="K122" s="3">
        <v>46134</v>
      </c>
      <c r="L122" s="3">
        <v>46125</v>
      </c>
      <c r="M122" s="3">
        <v>46148</v>
      </c>
      <c r="N122" s="3">
        <v>46148</v>
      </c>
      <c r="O122" t="s">
        <v>144</v>
      </c>
      <c r="P122" t="s">
        <v>55</v>
      </c>
      <c r="T122" t="s">
        <v>246</v>
      </c>
      <c r="U122">
        <v>1508</v>
      </c>
      <c r="V122" t="s">
        <v>214</v>
      </c>
      <c r="W122">
        <v>15.6</v>
      </c>
      <c r="X122" t="s">
        <v>57</v>
      </c>
      <c r="AA122" t="s">
        <v>50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</row>
    <row r="123" spans="1:42" x14ac:dyDescent="0.25">
      <c r="A123">
        <v>138</v>
      </c>
      <c r="B123" t="s">
        <v>357</v>
      </c>
      <c r="C123" t="s">
        <v>358</v>
      </c>
      <c r="D123" t="s">
        <v>117</v>
      </c>
      <c r="E123" s="4">
        <v>1</v>
      </c>
      <c r="F123" t="s">
        <v>61</v>
      </c>
      <c r="G123" t="s">
        <v>61</v>
      </c>
      <c r="H123" s="3">
        <v>46125</v>
      </c>
      <c r="I123" s="3">
        <v>46125</v>
      </c>
      <c r="J123" t="s">
        <v>144</v>
      </c>
      <c r="K123" s="3">
        <v>46125</v>
      </c>
      <c r="L123" s="3">
        <v>46125</v>
      </c>
      <c r="M123" s="3">
        <v>46125</v>
      </c>
      <c r="N123" s="3">
        <v>46125</v>
      </c>
      <c r="O123" t="s">
        <v>144</v>
      </c>
      <c r="P123" t="s">
        <v>55</v>
      </c>
      <c r="Q123">
        <v>103</v>
      </c>
      <c r="R123" s="1">
        <v>46122</v>
      </c>
      <c r="S123" t="s">
        <v>124</v>
      </c>
      <c r="T123" t="s">
        <v>246</v>
      </c>
      <c r="U123" t="s">
        <v>359</v>
      </c>
      <c r="V123" t="s">
        <v>61</v>
      </c>
      <c r="W123">
        <v>13.4</v>
      </c>
      <c r="X123" t="s">
        <v>57</v>
      </c>
      <c r="Z123" t="s">
        <v>124</v>
      </c>
      <c r="AA123" t="s">
        <v>180</v>
      </c>
      <c r="AE123">
        <v>1</v>
      </c>
      <c r="AF123">
        <v>1</v>
      </c>
      <c r="AG123">
        <v>1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1</v>
      </c>
    </row>
    <row r="124" spans="1:42" x14ac:dyDescent="0.25">
      <c r="A124">
        <v>139</v>
      </c>
      <c r="B124" t="s">
        <v>360</v>
      </c>
      <c r="C124" t="s">
        <v>358</v>
      </c>
      <c r="D124" t="s">
        <v>121</v>
      </c>
      <c r="E124" s="4">
        <v>1</v>
      </c>
      <c r="F124" t="s">
        <v>122</v>
      </c>
      <c r="G124" t="s">
        <v>122</v>
      </c>
      <c r="H124" s="3">
        <v>46126</v>
      </c>
      <c r="I124" s="3">
        <v>46128</v>
      </c>
      <c r="J124" t="s">
        <v>334</v>
      </c>
      <c r="K124" s="3">
        <v>46128</v>
      </c>
      <c r="L124" s="3">
        <v>46126</v>
      </c>
      <c r="M124" s="3">
        <v>46128</v>
      </c>
      <c r="N124" s="3">
        <v>46128</v>
      </c>
      <c r="O124" t="s">
        <v>334</v>
      </c>
      <c r="P124" t="s">
        <v>55</v>
      </c>
      <c r="Q124">
        <v>138</v>
      </c>
      <c r="S124" t="s">
        <v>124</v>
      </c>
      <c r="T124" t="s">
        <v>246</v>
      </c>
      <c r="U124">
        <v>140</v>
      </c>
      <c r="V124" t="s">
        <v>122</v>
      </c>
      <c r="W124">
        <v>13.4</v>
      </c>
      <c r="X124" t="s">
        <v>57</v>
      </c>
      <c r="Z124" t="s">
        <v>124</v>
      </c>
      <c r="AA124" t="s">
        <v>180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1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</row>
    <row r="125" spans="1:42" x14ac:dyDescent="0.25">
      <c r="A125">
        <v>140</v>
      </c>
      <c r="B125" t="s">
        <v>361</v>
      </c>
      <c r="C125" t="s">
        <v>358</v>
      </c>
      <c r="D125" t="s">
        <v>126</v>
      </c>
      <c r="E125" s="4">
        <v>1</v>
      </c>
      <c r="F125" t="s">
        <v>61</v>
      </c>
      <c r="G125" t="s">
        <v>61</v>
      </c>
      <c r="H125" s="3">
        <v>46147</v>
      </c>
      <c r="I125" s="3">
        <v>46147</v>
      </c>
      <c r="J125" t="s">
        <v>182</v>
      </c>
      <c r="K125" s="3">
        <v>46129</v>
      </c>
      <c r="L125" s="3">
        <v>46129</v>
      </c>
      <c r="M125" s="3">
        <v>46147</v>
      </c>
      <c r="N125" s="3">
        <v>46147</v>
      </c>
      <c r="O125" t="s">
        <v>183</v>
      </c>
      <c r="P125" t="s">
        <v>55</v>
      </c>
      <c r="Q125">
        <v>139</v>
      </c>
      <c r="S125" t="s">
        <v>302</v>
      </c>
      <c r="T125" t="s">
        <v>246</v>
      </c>
      <c r="U125">
        <v>141</v>
      </c>
      <c r="V125" t="s">
        <v>61</v>
      </c>
      <c r="W125">
        <v>13.4</v>
      </c>
      <c r="X125" t="s">
        <v>57</v>
      </c>
      <c r="Z125" t="s">
        <v>302</v>
      </c>
      <c r="AA125" t="s">
        <v>180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1</v>
      </c>
      <c r="AM125">
        <v>0</v>
      </c>
      <c r="AN125">
        <v>0</v>
      </c>
      <c r="AO125">
        <v>0</v>
      </c>
      <c r="AP125">
        <v>0</v>
      </c>
    </row>
    <row r="126" spans="1:42" x14ac:dyDescent="0.25">
      <c r="A126">
        <v>141</v>
      </c>
      <c r="B126" t="s">
        <v>362</v>
      </c>
      <c r="C126" t="s">
        <v>358</v>
      </c>
      <c r="D126" t="s">
        <v>133</v>
      </c>
      <c r="E126" s="4">
        <v>1</v>
      </c>
      <c r="F126" t="s">
        <v>61</v>
      </c>
      <c r="G126" t="s">
        <v>61</v>
      </c>
      <c r="H126" s="3">
        <v>46148</v>
      </c>
      <c r="I126" s="3">
        <v>46148</v>
      </c>
      <c r="J126" t="s">
        <v>337</v>
      </c>
      <c r="K126" s="3">
        <v>46134</v>
      </c>
      <c r="L126" s="3">
        <v>46134</v>
      </c>
      <c r="M126" s="3">
        <v>46148</v>
      </c>
      <c r="N126" s="3">
        <v>46148</v>
      </c>
      <c r="O126" t="s">
        <v>304</v>
      </c>
      <c r="P126" t="s">
        <v>55</v>
      </c>
      <c r="Q126">
        <v>140</v>
      </c>
      <c r="S126" t="s">
        <v>124</v>
      </c>
      <c r="T126" t="s">
        <v>246</v>
      </c>
      <c r="V126" t="s">
        <v>61</v>
      </c>
      <c r="W126">
        <v>13.4</v>
      </c>
      <c r="X126" t="s">
        <v>57</v>
      </c>
      <c r="Z126" t="s">
        <v>124</v>
      </c>
      <c r="AA126" t="s">
        <v>71</v>
      </c>
      <c r="AE126">
        <v>1</v>
      </c>
      <c r="AF126">
        <v>0</v>
      </c>
      <c r="AG126">
        <v>0</v>
      </c>
      <c r="AH126">
        <v>0</v>
      </c>
      <c r="AI126">
        <v>1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0</v>
      </c>
      <c r="AP126">
        <v>0</v>
      </c>
    </row>
    <row r="127" spans="1:42" x14ac:dyDescent="0.25">
      <c r="A127">
        <v>142</v>
      </c>
      <c r="B127" t="s">
        <v>363</v>
      </c>
      <c r="C127" t="s">
        <v>246</v>
      </c>
      <c r="D127" t="s">
        <v>364</v>
      </c>
      <c r="E127" s="4">
        <v>1</v>
      </c>
      <c r="F127" t="s">
        <v>365</v>
      </c>
      <c r="G127" t="s">
        <v>365</v>
      </c>
      <c r="H127" s="3">
        <v>46126</v>
      </c>
      <c r="I127" s="3">
        <v>46148</v>
      </c>
      <c r="J127" t="s">
        <v>334</v>
      </c>
      <c r="K127" s="3">
        <v>46135</v>
      </c>
      <c r="L127" s="3">
        <v>46126</v>
      </c>
      <c r="M127" s="3">
        <v>46148</v>
      </c>
      <c r="N127" s="3">
        <v>46148</v>
      </c>
      <c r="O127" t="s">
        <v>334</v>
      </c>
      <c r="P127" t="s">
        <v>55</v>
      </c>
      <c r="T127" t="s">
        <v>246</v>
      </c>
      <c r="U127">
        <v>1513</v>
      </c>
      <c r="V127" t="s">
        <v>214</v>
      </c>
      <c r="W127">
        <v>15.6</v>
      </c>
      <c r="X127" t="s">
        <v>57</v>
      </c>
      <c r="AA127" t="s">
        <v>50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</row>
    <row r="128" spans="1:42" x14ac:dyDescent="0.25">
      <c r="A128">
        <v>143</v>
      </c>
      <c r="B128" t="s">
        <v>366</v>
      </c>
      <c r="C128" t="s">
        <v>367</v>
      </c>
      <c r="D128" t="s">
        <v>117</v>
      </c>
      <c r="E128" s="4">
        <v>1</v>
      </c>
      <c r="F128" t="s">
        <v>61</v>
      </c>
      <c r="G128" t="s">
        <v>61</v>
      </c>
      <c r="H128" s="3">
        <v>46126</v>
      </c>
      <c r="I128" s="3">
        <v>46126</v>
      </c>
      <c r="J128" t="s">
        <v>334</v>
      </c>
      <c r="K128" s="3">
        <v>46126</v>
      </c>
      <c r="L128" s="3">
        <v>46126</v>
      </c>
      <c r="M128" s="3">
        <v>46126</v>
      </c>
      <c r="N128" s="3">
        <v>46126</v>
      </c>
      <c r="O128" t="s">
        <v>334</v>
      </c>
      <c r="P128" t="s">
        <v>55</v>
      </c>
      <c r="Q128">
        <v>138</v>
      </c>
      <c r="R128" s="1">
        <v>46122</v>
      </c>
      <c r="S128" t="s">
        <v>124</v>
      </c>
      <c r="T128" t="s">
        <v>246</v>
      </c>
      <c r="U128">
        <v>144</v>
      </c>
      <c r="V128" t="s">
        <v>61</v>
      </c>
      <c r="W128">
        <v>13.4</v>
      </c>
      <c r="X128" t="s">
        <v>57</v>
      </c>
      <c r="Z128" t="s">
        <v>124</v>
      </c>
      <c r="AA128" t="s">
        <v>180</v>
      </c>
      <c r="AE128">
        <v>1</v>
      </c>
      <c r="AF128">
        <v>1</v>
      </c>
      <c r="AG128">
        <v>1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1</v>
      </c>
    </row>
    <row r="129" spans="1:42" x14ac:dyDescent="0.25">
      <c r="A129">
        <v>144</v>
      </c>
      <c r="B129" t="s">
        <v>368</v>
      </c>
      <c r="C129" t="s">
        <v>367</v>
      </c>
      <c r="D129" t="s">
        <v>121</v>
      </c>
      <c r="E129" s="4">
        <v>1</v>
      </c>
      <c r="F129" t="s">
        <v>122</v>
      </c>
      <c r="G129" t="s">
        <v>122</v>
      </c>
      <c r="H129" s="3">
        <v>46127</v>
      </c>
      <c r="I129" s="3">
        <v>46129</v>
      </c>
      <c r="J129" t="s">
        <v>146</v>
      </c>
      <c r="K129" s="3">
        <v>46129</v>
      </c>
      <c r="L129" s="3">
        <v>46127</v>
      </c>
      <c r="M129" s="3">
        <v>46129</v>
      </c>
      <c r="N129" s="3">
        <v>46129</v>
      </c>
      <c r="O129" t="s">
        <v>146</v>
      </c>
      <c r="P129" t="s">
        <v>55</v>
      </c>
      <c r="Q129">
        <v>143</v>
      </c>
      <c r="S129" t="s">
        <v>124</v>
      </c>
      <c r="T129" t="s">
        <v>246</v>
      </c>
      <c r="U129">
        <v>145</v>
      </c>
      <c r="V129" t="s">
        <v>122</v>
      </c>
      <c r="W129">
        <v>13.4</v>
      </c>
      <c r="X129" t="s">
        <v>57</v>
      </c>
      <c r="Z129" t="s">
        <v>124</v>
      </c>
      <c r="AA129" t="s">
        <v>180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1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</row>
    <row r="130" spans="1:42" x14ac:dyDescent="0.25">
      <c r="A130">
        <v>145</v>
      </c>
      <c r="B130" t="s">
        <v>369</v>
      </c>
      <c r="C130" t="s">
        <v>367</v>
      </c>
      <c r="D130" t="s">
        <v>126</v>
      </c>
      <c r="E130" s="4">
        <v>1</v>
      </c>
      <c r="F130" t="s">
        <v>61</v>
      </c>
      <c r="G130" t="s">
        <v>61</v>
      </c>
      <c r="H130" s="3">
        <v>46147</v>
      </c>
      <c r="I130" s="3">
        <v>46147</v>
      </c>
      <c r="J130" t="s">
        <v>337</v>
      </c>
      <c r="K130" s="3">
        <v>46134</v>
      </c>
      <c r="L130" s="3">
        <v>46134</v>
      </c>
      <c r="M130" s="3">
        <v>46147</v>
      </c>
      <c r="N130" s="3">
        <v>46147</v>
      </c>
      <c r="O130" t="s">
        <v>183</v>
      </c>
      <c r="P130" t="s">
        <v>55</v>
      </c>
      <c r="Q130">
        <v>144</v>
      </c>
      <c r="S130" t="s">
        <v>302</v>
      </c>
      <c r="T130" t="s">
        <v>246</v>
      </c>
      <c r="U130">
        <v>146</v>
      </c>
      <c r="V130" t="s">
        <v>61</v>
      </c>
      <c r="W130">
        <v>13.4</v>
      </c>
      <c r="X130" t="s">
        <v>57</v>
      </c>
      <c r="Z130" t="s">
        <v>302</v>
      </c>
      <c r="AA130" t="s">
        <v>71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1</v>
      </c>
      <c r="AM130">
        <v>0</v>
      </c>
      <c r="AN130">
        <v>0</v>
      </c>
      <c r="AO130">
        <v>0</v>
      </c>
      <c r="AP130">
        <v>0</v>
      </c>
    </row>
    <row r="131" spans="1:42" x14ac:dyDescent="0.25">
      <c r="A131">
        <v>146</v>
      </c>
      <c r="B131" t="s">
        <v>370</v>
      </c>
      <c r="C131" t="s">
        <v>367</v>
      </c>
      <c r="D131" t="s">
        <v>133</v>
      </c>
      <c r="E131" s="4">
        <v>1</v>
      </c>
      <c r="F131" t="s">
        <v>61</v>
      </c>
      <c r="G131" t="s">
        <v>61</v>
      </c>
      <c r="H131" s="3">
        <v>46148</v>
      </c>
      <c r="I131" s="3">
        <v>46148</v>
      </c>
      <c r="J131" t="s">
        <v>371</v>
      </c>
      <c r="K131" s="3">
        <v>46135</v>
      </c>
      <c r="L131" s="3">
        <v>46135</v>
      </c>
      <c r="M131" s="3">
        <v>46148</v>
      </c>
      <c r="N131" s="3">
        <v>46148</v>
      </c>
      <c r="O131" t="s">
        <v>304</v>
      </c>
      <c r="P131" t="s">
        <v>55</v>
      </c>
      <c r="Q131">
        <v>145</v>
      </c>
      <c r="S131" t="s">
        <v>124</v>
      </c>
      <c r="T131" t="s">
        <v>246</v>
      </c>
      <c r="V131" t="s">
        <v>61</v>
      </c>
      <c r="W131">
        <v>13.4</v>
      </c>
      <c r="X131" t="s">
        <v>57</v>
      </c>
      <c r="Z131" t="s">
        <v>124</v>
      </c>
      <c r="AA131" t="s">
        <v>71</v>
      </c>
      <c r="AE131">
        <v>1</v>
      </c>
      <c r="AF131">
        <v>0</v>
      </c>
      <c r="AG131">
        <v>0</v>
      </c>
      <c r="AH131">
        <v>0</v>
      </c>
      <c r="AI131">
        <v>1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0</v>
      </c>
      <c r="AP131">
        <v>0</v>
      </c>
    </row>
    <row r="132" spans="1:42" x14ac:dyDescent="0.25">
      <c r="A132">
        <v>147</v>
      </c>
      <c r="B132" t="s">
        <v>372</v>
      </c>
      <c r="C132" t="s">
        <v>246</v>
      </c>
      <c r="D132" t="s">
        <v>373</v>
      </c>
      <c r="E132" s="4">
        <v>1</v>
      </c>
      <c r="F132" t="s">
        <v>365</v>
      </c>
      <c r="G132" t="s">
        <v>365</v>
      </c>
      <c r="H132" s="3">
        <v>46126</v>
      </c>
      <c r="I132" s="3">
        <v>46148</v>
      </c>
      <c r="J132" t="s">
        <v>334</v>
      </c>
      <c r="K132" s="3">
        <v>46136</v>
      </c>
      <c r="L132" s="3">
        <v>46126</v>
      </c>
      <c r="M132" s="3">
        <v>46148</v>
      </c>
      <c r="N132" s="3">
        <v>46148</v>
      </c>
      <c r="O132" t="s">
        <v>334</v>
      </c>
      <c r="P132" t="s">
        <v>55</v>
      </c>
      <c r="T132" t="s">
        <v>246</v>
      </c>
      <c r="U132">
        <v>1518</v>
      </c>
      <c r="V132" t="s">
        <v>175</v>
      </c>
      <c r="W132">
        <v>33.6</v>
      </c>
      <c r="X132" t="s">
        <v>57</v>
      </c>
      <c r="AA132" t="s">
        <v>50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</row>
    <row r="133" spans="1:42" x14ac:dyDescent="0.25">
      <c r="A133">
        <v>148</v>
      </c>
      <c r="B133" t="s">
        <v>374</v>
      </c>
      <c r="C133" t="s">
        <v>375</v>
      </c>
      <c r="D133" t="s">
        <v>117</v>
      </c>
      <c r="E133" s="4">
        <v>1</v>
      </c>
      <c r="F133" t="s">
        <v>127</v>
      </c>
      <c r="G133" t="s">
        <v>127</v>
      </c>
      <c r="H133" s="3">
        <v>46126</v>
      </c>
      <c r="I133" s="3">
        <v>46127</v>
      </c>
      <c r="J133" t="s">
        <v>334</v>
      </c>
      <c r="K133" s="3">
        <v>46127</v>
      </c>
      <c r="L133" s="3">
        <v>46126</v>
      </c>
      <c r="M133" s="3">
        <v>46127</v>
      </c>
      <c r="N133" s="3">
        <v>46127</v>
      </c>
      <c r="O133" t="s">
        <v>334</v>
      </c>
      <c r="P133" t="s">
        <v>55</v>
      </c>
      <c r="Q133">
        <v>138</v>
      </c>
      <c r="R133" s="1">
        <v>46122</v>
      </c>
      <c r="S133" t="s">
        <v>124</v>
      </c>
      <c r="T133" t="s">
        <v>246</v>
      </c>
      <c r="U133">
        <v>149</v>
      </c>
      <c r="V133" t="s">
        <v>127</v>
      </c>
      <c r="W133">
        <v>13.4</v>
      </c>
      <c r="X133" t="s">
        <v>57</v>
      </c>
      <c r="Z133" t="s">
        <v>124</v>
      </c>
      <c r="AA133" t="s">
        <v>180</v>
      </c>
      <c r="AE133">
        <v>1</v>
      </c>
      <c r="AF133">
        <v>1</v>
      </c>
      <c r="AG133">
        <v>1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1</v>
      </c>
    </row>
    <row r="134" spans="1:42" x14ac:dyDescent="0.25">
      <c r="A134">
        <v>149</v>
      </c>
      <c r="B134" t="s">
        <v>376</v>
      </c>
      <c r="C134" t="s">
        <v>375</v>
      </c>
      <c r="D134" t="s">
        <v>121</v>
      </c>
      <c r="E134" s="4">
        <v>1</v>
      </c>
      <c r="F134" t="s">
        <v>122</v>
      </c>
      <c r="G134" t="s">
        <v>122</v>
      </c>
      <c r="H134" s="3">
        <v>46128</v>
      </c>
      <c r="I134" s="3">
        <v>46134</v>
      </c>
      <c r="J134" t="s">
        <v>148</v>
      </c>
      <c r="K134" s="3">
        <v>46134</v>
      </c>
      <c r="L134" s="3">
        <v>46128</v>
      </c>
      <c r="M134" s="3">
        <v>46134</v>
      </c>
      <c r="N134" s="3">
        <v>46134</v>
      </c>
      <c r="O134" t="s">
        <v>148</v>
      </c>
      <c r="P134" t="s">
        <v>55</v>
      </c>
      <c r="Q134">
        <v>148</v>
      </c>
      <c r="S134" t="s">
        <v>124</v>
      </c>
      <c r="T134" t="s">
        <v>246</v>
      </c>
      <c r="U134">
        <v>150</v>
      </c>
      <c r="V134" t="s">
        <v>122</v>
      </c>
      <c r="W134">
        <v>13.4</v>
      </c>
      <c r="X134" t="s">
        <v>57</v>
      </c>
      <c r="Z134" t="s">
        <v>124</v>
      </c>
      <c r="AA134" t="s">
        <v>180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1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</row>
    <row r="135" spans="1:42" x14ac:dyDescent="0.25">
      <c r="A135">
        <v>150</v>
      </c>
      <c r="B135" t="s">
        <v>377</v>
      </c>
      <c r="C135" t="s">
        <v>375</v>
      </c>
      <c r="D135" t="s">
        <v>126</v>
      </c>
      <c r="E135" s="4">
        <v>1</v>
      </c>
      <c r="F135" t="s">
        <v>61</v>
      </c>
      <c r="G135" t="s">
        <v>61</v>
      </c>
      <c r="H135" s="3">
        <v>46147</v>
      </c>
      <c r="I135" s="3">
        <v>46147</v>
      </c>
      <c r="J135" t="s">
        <v>371</v>
      </c>
      <c r="K135" s="3">
        <v>46135</v>
      </c>
      <c r="L135" s="3">
        <v>46135</v>
      </c>
      <c r="M135" s="3">
        <v>46147</v>
      </c>
      <c r="N135" s="3">
        <v>46147</v>
      </c>
      <c r="O135" t="s">
        <v>183</v>
      </c>
      <c r="P135" t="s">
        <v>55</v>
      </c>
      <c r="Q135">
        <v>149</v>
      </c>
      <c r="S135" t="s">
        <v>302</v>
      </c>
      <c r="T135" t="s">
        <v>246</v>
      </c>
      <c r="U135">
        <v>151</v>
      </c>
      <c r="V135" t="s">
        <v>61</v>
      </c>
      <c r="W135">
        <v>13.4</v>
      </c>
      <c r="X135" t="s">
        <v>57</v>
      </c>
      <c r="Z135" t="s">
        <v>302</v>
      </c>
      <c r="AA135" t="s">
        <v>71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1</v>
      </c>
      <c r="AM135">
        <v>0</v>
      </c>
      <c r="AN135">
        <v>0</v>
      </c>
      <c r="AO135">
        <v>0</v>
      </c>
      <c r="AP135">
        <v>0</v>
      </c>
    </row>
    <row r="136" spans="1:42" x14ac:dyDescent="0.25">
      <c r="A136">
        <v>151</v>
      </c>
      <c r="B136" t="s">
        <v>378</v>
      </c>
      <c r="C136" t="s">
        <v>375</v>
      </c>
      <c r="D136" t="s">
        <v>133</v>
      </c>
      <c r="E136" s="4">
        <v>1</v>
      </c>
      <c r="F136" t="s">
        <v>61</v>
      </c>
      <c r="G136" t="s">
        <v>61</v>
      </c>
      <c r="H136" s="3">
        <v>46148</v>
      </c>
      <c r="I136" s="3">
        <v>46148</v>
      </c>
      <c r="J136" t="s">
        <v>67</v>
      </c>
      <c r="K136" s="3">
        <v>46136</v>
      </c>
      <c r="L136" s="3">
        <v>46136</v>
      </c>
      <c r="M136" s="3">
        <v>46148</v>
      </c>
      <c r="N136" s="3">
        <v>46148</v>
      </c>
      <c r="O136" t="s">
        <v>304</v>
      </c>
      <c r="P136" t="s">
        <v>55</v>
      </c>
      <c r="Q136">
        <v>150</v>
      </c>
      <c r="S136" t="s">
        <v>124</v>
      </c>
      <c r="T136" t="s">
        <v>246</v>
      </c>
      <c r="V136" t="s">
        <v>61</v>
      </c>
      <c r="W136">
        <v>13.4</v>
      </c>
      <c r="X136" t="s">
        <v>57</v>
      </c>
      <c r="Z136" t="s">
        <v>124</v>
      </c>
      <c r="AA136" t="s">
        <v>71</v>
      </c>
      <c r="AE136">
        <v>1</v>
      </c>
      <c r="AF136">
        <v>0</v>
      </c>
      <c r="AG136">
        <v>0</v>
      </c>
      <c r="AH136">
        <v>0</v>
      </c>
      <c r="AI136">
        <v>1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0</v>
      </c>
      <c r="AP136">
        <v>0</v>
      </c>
    </row>
    <row r="137" spans="1:42" x14ac:dyDescent="0.25">
      <c r="A137">
        <v>152</v>
      </c>
      <c r="B137" t="s">
        <v>379</v>
      </c>
      <c r="C137" t="s">
        <v>246</v>
      </c>
      <c r="D137" t="s">
        <v>380</v>
      </c>
      <c r="E137" s="4">
        <v>1</v>
      </c>
      <c r="F137" t="s">
        <v>365</v>
      </c>
      <c r="G137" t="s">
        <v>365</v>
      </c>
      <c r="H137" s="3">
        <v>46126</v>
      </c>
      <c r="I137" s="3">
        <v>46148</v>
      </c>
      <c r="J137" t="s">
        <v>334</v>
      </c>
      <c r="K137" s="3">
        <v>46136</v>
      </c>
      <c r="L137" s="3">
        <v>46126</v>
      </c>
      <c r="M137" s="3">
        <v>46148</v>
      </c>
      <c r="N137" s="3">
        <v>46148</v>
      </c>
      <c r="O137" t="s">
        <v>334</v>
      </c>
      <c r="P137" t="s">
        <v>55</v>
      </c>
      <c r="T137" t="s">
        <v>246</v>
      </c>
      <c r="U137" t="s">
        <v>381</v>
      </c>
      <c r="V137" t="s">
        <v>175</v>
      </c>
      <c r="W137">
        <v>15.6</v>
      </c>
      <c r="X137" t="s">
        <v>57</v>
      </c>
      <c r="AA137" t="s">
        <v>50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</row>
    <row r="138" spans="1:42" x14ac:dyDescent="0.25">
      <c r="A138">
        <v>153</v>
      </c>
      <c r="B138" t="s">
        <v>382</v>
      </c>
      <c r="C138" t="s">
        <v>383</v>
      </c>
      <c r="D138" t="s">
        <v>117</v>
      </c>
      <c r="E138" s="4">
        <v>1</v>
      </c>
      <c r="F138" t="s">
        <v>127</v>
      </c>
      <c r="G138" t="s">
        <v>127</v>
      </c>
      <c r="H138" s="3">
        <v>46126</v>
      </c>
      <c r="I138" s="3">
        <v>46127</v>
      </c>
      <c r="J138" t="s">
        <v>334</v>
      </c>
      <c r="K138" s="3">
        <v>46127</v>
      </c>
      <c r="L138" s="3">
        <v>46126</v>
      </c>
      <c r="M138" s="3">
        <v>46127</v>
      </c>
      <c r="N138" s="3">
        <v>46127</v>
      </c>
      <c r="O138" t="s">
        <v>334</v>
      </c>
      <c r="P138" t="s">
        <v>55</v>
      </c>
      <c r="Q138">
        <v>138</v>
      </c>
      <c r="R138" s="1">
        <v>46122</v>
      </c>
      <c r="S138" t="s">
        <v>124</v>
      </c>
      <c r="T138" t="s">
        <v>246</v>
      </c>
      <c r="U138" t="s">
        <v>384</v>
      </c>
      <c r="V138" t="s">
        <v>127</v>
      </c>
      <c r="W138">
        <v>13.4</v>
      </c>
      <c r="X138" t="s">
        <v>57</v>
      </c>
      <c r="Z138" t="s">
        <v>124</v>
      </c>
      <c r="AA138" t="s">
        <v>180</v>
      </c>
      <c r="AE138">
        <v>1</v>
      </c>
      <c r="AF138">
        <v>1</v>
      </c>
      <c r="AG138">
        <v>1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1</v>
      </c>
    </row>
    <row r="139" spans="1:42" x14ac:dyDescent="0.25">
      <c r="A139">
        <v>154</v>
      </c>
      <c r="B139" t="s">
        <v>385</v>
      </c>
      <c r="C139" t="s">
        <v>383</v>
      </c>
      <c r="D139" t="s">
        <v>121</v>
      </c>
      <c r="E139" s="4">
        <v>1</v>
      </c>
      <c r="F139" t="s">
        <v>122</v>
      </c>
      <c r="G139" t="s">
        <v>122</v>
      </c>
      <c r="H139" s="3">
        <v>46128</v>
      </c>
      <c r="I139" s="3">
        <v>46134</v>
      </c>
      <c r="J139" t="s">
        <v>148</v>
      </c>
      <c r="K139" s="3">
        <v>46134</v>
      </c>
      <c r="L139" s="3">
        <v>46128</v>
      </c>
      <c r="M139" s="3">
        <v>46134</v>
      </c>
      <c r="N139" s="3">
        <v>46134</v>
      </c>
      <c r="O139" t="s">
        <v>148</v>
      </c>
      <c r="P139" t="s">
        <v>55</v>
      </c>
      <c r="Q139">
        <v>153</v>
      </c>
      <c r="S139" t="s">
        <v>124</v>
      </c>
      <c r="T139" t="s">
        <v>246</v>
      </c>
      <c r="U139">
        <v>155</v>
      </c>
      <c r="V139" t="s">
        <v>122</v>
      </c>
      <c r="W139">
        <v>13.4</v>
      </c>
      <c r="X139" t="s">
        <v>57</v>
      </c>
      <c r="Z139" t="s">
        <v>124</v>
      </c>
      <c r="AA139" t="s">
        <v>180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1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</row>
    <row r="140" spans="1:42" x14ac:dyDescent="0.25">
      <c r="A140">
        <v>155</v>
      </c>
      <c r="B140" t="s">
        <v>386</v>
      </c>
      <c r="C140" t="s">
        <v>383</v>
      </c>
      <c r="D140" t="s">
        <v>126</v>
      </c>
      <c r="E140" s="4">
        <v>1</v>
      </c>
      <c r="F140" t="s">
        <v>61</v>
      </c>
      <c r="G140" t="s">
        <v>61</v>
      </c>
      <c r="H140" s="3">
        <v>46147</v>
      </c>
      <c r="I140" s="3">
        <v>46147</v>
      </c>
      <c r="J140" t="s">
        <v>371</v>
      </c>
      <c r="K140" s="3">
        <v>46135</v>
      </c>
      <c r="L140" s="3">
        <v>46135</v>
      </c>
      <c r="M140" s="3">
        <v>46147</v>
      </c>
      <c r="N140" s="3">
        <v>46147</v>
      </c>
      <c r="O140" t="s">
        <v>183</v>
      </c>
      <c r="P140" t="s">
        <v>55</v>
      </c>
      <c r="Q140">
        <v>154</v>
      </c>
      <c r="S140" t="s">
        <v>302</v>
      </c>
      <c r="T140" t="s">
        <v>246</v>
      </c>
      <c r="U140">
        <v>156</v>
      </c>
      <c r="V140" t="s">
        <v>61</v>
      </c>
      <c r="W140">
        <v>13.4</v>
      </c>
      <c r="X140" t="s">
        <v>57</v>
      </c>
      <c r="Z140" t="s">
        <v>302</v>
      </c>
      <c r="AA140" t="s">
        <v>71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1</v>
      </c>
      <c r="AM140">
        <v>0</v>
      </c>
      <c r="AN140">
        <v>0</v>
      </c>
      <c r="AO140">
        <v>0</v>
      </c>
      <c r="AP140">
        <v>0</v>
      </c>
    </row>
    <row r="141" spans="1:42" x14ac:dyDescent="0.25">
      <c r="A141">
        <v>156</v>
      </c>
      <c r="B141" t="s">
        <v>387</v>
      </c>
      <c r="C141" t="s">
        <v>383</v>
      </c>
      <c r="D141" t="s">
        <v>133</v>
      </c>
      <c r="E141" s="4">
        <v>1</v>
      </c>
      <c r="F141" t="s">
        <v>61</v>
      </c>
      <c r="G141" t="s">
        <v>61</v>
      </c>
      <c r="H141" s="3">
        <v>46148</v>
      </c>
      <c r="I141" s="3">
        <v>46148</v>
      </c>
      <c r="J141" t="s">
        <v>67</v>
      </c>
      <c r="K141" s="3">
        <v>46136</v>
      </c>
      <c r="L141" s="3">
        <v>46136</v>
      </c>
      <c r="M141" s="3">
        <v>46148</v>
      </c>
      <c r="N141" s="3">
        <v>46148</v>
      </c>
      <c r="O141" t="s">
        <v>304</v>
      </c>
      <c r="P141" t="s">
        <v>55</v>
      </c>
      <c r="Q141">
        <v>155</v>
      </c>
      <c r="S141" t="s">
        <v>124</v>
      </c>
      <c r="T141" t="s">
        <v>246</v>
      </c>
      <c r="V141" t="s">
        <v>61</v>
      </c>
      <c r="W141">
        <v>13.4</v>
      </c>
      <c r="X141" t="s">
        <v>57</v>
      </c>
      <c r="Z141" t="s">
        <v>124</v>
      </c>
      <c r="AA141" t="s">
        <v>71</v>
      </c>
      <c r="AE141">
        <v>1</v>
      </c>
      <c r="AF141">
        <v>0</v>
      </c>
      <c r="AG141">
        <v>0</v>
      </c>
      <c r="AH141">
        <v>0</v>
      </c>
      <c r="AI141">
        <v>1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0</v>
      </c>
      <c r="AP141">
        <v>0</v>
      </c>
    </row>
    <row r="142" spans="1:42" x14ac:dyDescent="0.25">
      <c r="A142">
        <v>157</v>
      </c>
      <c r="B142" t="s">
        <v>388</v>
      </c>
      <c r="C142" t="s">
        <v>246</v>
      </c>
      <c r="D142" t="s">
        <v>389</v>
      </c>
      <c r="E142" s="4">
        <v>1</v>
      </c>
      <c r="F142" t="s">
        <v>365</v>
      </c>
      <c r="G142" t="s">
        <v>365</v>
      </c>
      <c r="H142" s="3">
        <v>46126</v>
      </c>
      <c r="I142" s="3">
        <v>46148</v>
      </c>
      <c r="J142" t="s">
        <v>334</v>
      </c>
      <c r="K142" s="3">
        <v>46148</v>
      </c>
      <c r="L142" s="3">
        <v>46126</v>
      </c>
      <c r="M142" s="3">
        <v>46148</v>
      </c>
      <c r="N142" s="3">
        <v>46148</v>
      </c>
      <c r="O142" t="s">
        <v>334</v>
      </c>
      <c r="P142" t="s">
        <v>55</v>
      </c>
      <c r="T142" t="s">
        <v>246</v>
      </c>
      <c r="U142" t="s">
        <v>381</v>
      </c>
      <c r="V142" t="s">
        <v>175</v>
      </c>
      <c r="W142">
        <v>15.6</v>
      </c>
      <c r="X142" t="s">
        <v>57</v>
      </c>
      <c r="AA142" t="s">
        <v>50</v>
      </c>
      <c r="AB142" t="s">
        <v>94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</row>
    <row r="143" spans="1:42" x14ac:dyDescent="0.25">
      <c r="A143">
        <v>158</v>
      </c>
      <c r="B143" t="s">
        <v>390</v>
      </c>
      <c r="C143" t="s">
        <v>391</v>
      </c>
      <c r="D143" t="s">
        <v>117</v>
      </c>
      <c r="E143" s="4">
        <v>1</v>
      </c>
      <c r="F143" t="s">
        <v>127</v>
      </c>
      <c r="G143" t="s">
        <v>127</v>
      </c>
      <c r="H143" s="3">
        <v>46126</v>
      </c>
      <c r="I143" s="3">
        <v>46127</v>
      </c>
      <c r="J143" t="s">
        <v>334</v>
      </c>
      <c r="K143" s="3">
        <v>46127</v>
      </c>
      <c r="L143" s="3">
        <v>46126</v>
      </c>
      <c r="M143" s="3">
        <v>46127</v>
      </c>
      <c r="N143" s="3">
        <v>46127</v>
      </c>
      <c r="O143" t="s">
        <v>334</v>
      </c>
      <c r="P143" t="s">
        <v>55</v>
      </c>
      <c r="Q143">
        <v>138</v>
      </c>
      <c r="R143" s="1">
        <v>46122</v>
      </c>
      <c r="S143" t="s">
        <v>124</v>
      </c>
      <c r="T143" t="s">
        <v>246</v>
      </c>
      <c r="U143" t="s">
        <v>392</v>
      </c>
      <c r="V143" t="s">
        <v>127</v>
      </c>
      <c r="W143">
        <v>13.4</v>
      </c>
      <c r="X143" t="s">
        <v>57</v>
      </c>
      <c r="Z143" t="s">
        <v>124</v>
      </c>
      <c r="AA143" t="s">
        <v>180</v>
      </c>
      <c r="AE143">
        <v>1</v>
      </c>
      <c r="AF143">
        <v>1</v>
      </c>
      <c r="AG143">
        <v>1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1</v>
      </c>
    </row>
    <row r="144" spans="1:42" x14ac:dyDescent="0.25">
      <c r="A144">
        <v>159</v>
      </c>
      <c r="B144" t="s">
        <v>393</v>
      </c>
      <c r="C144" t="s">
        <v>391</v>
      </c>
      <c r="D144" t="s">
        <v>121</v>
      </c>
      <c r="E144" s="4">
        <v>1</v>
      </c>
      <c r="F144" t="s">
        <v>122</v>
      </c>
      <c r="G144" t="s">
        <v>122</v>
      </c>
      <c r="H144" s="3">
        <v>46128</v>
      </c>
      <c r="I144" s="3">
        <v>46134</v>
      </c>
      <c r="J144" t="s">
        <v>148</v>
      </c>
      <c r="K144" s="3">
        <v>46134</v>
      </c>
      <c r="L144" s="3">
        <v>46128</v>
      </c>
      <c r="M144" s="3">
        <v>46134</v>
      </c>
      <c r="N144" s="3">
        <v>46134</v>
      </c>
      <c r="O144" t="s">
        <v>148</v>
      </c>
      <c r="P144" t="s">
        <v>55</v>
      </c>
      <c r="Q144">
        <v>158</v>
      </c>
      <c r="S144" t="s">
        <v>124</v>
      </c>
      <c r="T144" t="s">
        <v>246</v>
      </c>
      <c r="U144">
        <v>160</v>
      </c>
      <c r="V144" t="s">
        <v>122</v>
      </c>
      <c r="W144">
        <v>13.4</v>
      </c>
      <c r="X144" t="s">
        <v>57</v>
      </c>
      <c r="Z144" t="s">
        <v>124</v>
      </c>
      <c r="AA144" t="s">
        <v>180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1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</row>
    <row r="145" spans="1:42" x14ac:dyDescent="0.25">
      <c r="A145">
        <v>160</v>
      </c>
      <c r="B145" t="s">
        <v>394</v>
      </c>
      <c r="C145" t="s">
        <v>391</v>
      </c>
      <c r="D145" t="s">
        <v>126</v>
      </c>
      <c r="E145" s="4">
        <v>1</v>
      </c>
      <c r="F145" t="s">
        <v>61</v>
      </c>
      <c r="G145" t="s">
        <v>61</v>
      </c>
      <c r="H145" s="3">
        <v>46147</v>
      </c>
      <c r="I145" s="3">
        <v>46147</v>
      </c>
      <c r="J145" t="s">
        <v>183</v>
      </c>
      <c r="K145" s="3">
        <v>46147</v>
      </c>
      <c r="L145" s="3">
        <v>46147</v>
      </c>
      <c r="M145" s="3">
        <v>46147</v>
      </c>
      <c r="N145" s="3">
        <v>46147</v>
      </c>
      <c r="O145" t="s">
        <v>183</v>
      </c>
      <c r="P145" t="s">
        <v>55</v>
      </c>
      <c r="Q145">
        <v>159</v>
      </c>
      <c r="S145" t="s">
        <v>302</v>
      </c>
      <c r="T145" t="s">
        <v>246</v>
      </c>
      <c r="U145">
        <v>161</v>
      </c>
      <c r="V145" t="s">
        <v>61</v>
      </c>
      <c r="W145">
        <v>13.4</v>
      </c>
      <c r="X145" t="s">
        <v>57</v>
      </c>
      <c r="Z145" t="s">
        <v>302</v>
      </c>
      <c r="AA145" t="s">
        <v>71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1</v>
      </c>
      <c r="AM145">
        <v>0</v>
      </c>
      <c r="AN145">
        <v>0</v>
      </c>
      <c r="AO145">
        <v>0</v>
      </c>
      <c r="AP145">
        <v>0</v>
      </c>
    </row>
    <row r="146" spans="1:42" x14ac:dyDescent="0.25">
      <c r="A146">
        <v>161</v>
      </c>
      <c r="B146" t="s">
        <v>395</v>
      </c>
      <c r="C146" t="s">
        <v>391</v>
      </c>
      <c r="D146" t="s">
        <v>133</v>
      </c>
      <c r="E146" s="4">
        <v>1</v>
      </c>
      <c r="F146" t="s">
        <v>61</v>
      </c>
      <c r="G146" t="s">
        <v>61</v>
      </c>
      <c r="H146" s="3">
        <v>46148</v>
      </c>
      <c r="I146" s="3">
        <v>46148</v>
      </c>
      <c r="J146" t="s">
        <v>304</v>
      </c>
      <c r="K146" s="3">
        <v>46148</v>
      </c>
      <c r="L146" s="3">
        <v>46148</v>
      </c>
      <c r="M146" s="3">
        <v>46148</v>
      </c>
      <c r="N146" s="3">
        <v>46148</v>
      </c>
      <c r="O146" t="s">
        <v>304</v>
      </c>
      <c r="P146" t="s">
        <v>55</v>
      </c>
      <c r="Q146">
        <v>160</v>
      </c>
      <c r="S146" t="s">
        <v>124</v>
      </c>
      <c r="T146" t="s">
        <v>246</v>
      </c>
      <c r="V146" t="s">
        <v>61</v>
      </c>
      <c r="W146">
        <v>13.4</v>
      </c>
      <c r="X146" t="s">
        <v>57</v>
      </c>
      <c r="Z146" t="s">
        <v>124</v>
      </c>
      <c r="AA146" t="s">
        <v>71</v>
      </c>
      <c r="AE146">
        <v>1</v>
      </c>
      <c r="AF146">
        <v>0</v>
      </c>
      <c r="AG146">
        <v>0</v>
      </c>
      <c r="AH146">
        <v>0</v>
      </c>
      <c r="AI146">
        <v>1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0</v>
      </c>
      <c r="AP146">
        <v>0</v>
      </c>
    </row>
    <row r="147" spans="1:42" x14ac:dyDescent="0.25">
      <c r="A147">
        <v>162</v>
      </c>
      <c r="B147" t="s">
        <v>396</v>
      </c>
      <c r="C147" t="s">
        <v>246</v>
      </c>
      <c r="D147" t="s">
        <v>397</v>
      </c>
      <c r="E147" s="4">
        <v>0</v>
      </c>
      <c r="F147" t="s">
        <v>61</v>
      </c>
      <c r="G147" t="s">
        <v>63</v>
      </c>
      <c r="H147" s="3">
        <v>46205</v>
      </c>
      <c r="I147" s="3">
        <v>46205</v>
      </c>
      <c r="J147" t="s">
        <v>183</v>
      </c>
      <c r="K147" s="3">
        <v>46156</v>
      </c>
      <c r="L147" s="3">
        <v>46147</v>
      </c>
      <c r="M147" s="3">
        <v>46205</v>
      </c>
      <c r="O147" t="s">
        <v>220</v>
      </c>
      <c r="P147" t="s">
        <v>398</v>
      </c>
      <c r="T147" t="s">
        <v>246</v>
      </c>
      <c r="V147" t="s">
        <v>210</v>
      </c>
      <c r="W147">
        <v>40.799999999999997</v>
      </c>
      <c r="X147" t="s">
        <v>49</v>
      </c>
      <c r="AA147" t="s">
        <v>50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</row>
    <row r="148" spans="1:42" x14ac:dyDescent="0.25">
      <c r="A148">
        <v>163</v>
      </c>
      <c r="B148" t="s">
        <v>399</v>
      </c>
      <c r="C148" t="s">
        <v>400</v>
      </c>
      <c r="D148" t="s">
        <v>117</v>
      </c>
      <c r="E148" s="4">
        <v>0</v>
      </c>
      <c r="F148" t="s">
        <v>61</v>
      </c>
      <c r="G148" t="s">
        <v>63</v>
      </c>
      <c r="H148" s="3">
        <v>46205</v>
      </c>
      <c r="I148" s="3">
        <v>46205</v>
      </c>
      <c r="J148" t="s">
        <v>183</v>
      </c>
      <c r="K148" s="3">
        <v>46149</v>
      </c>
      <c r="L148" s="3">
        <v>46147</v>
      </c>
      <c r="M148" s="3">
        <v>46205</v>
      </c>
      <c r="O148" t="s">
        <v>220</v>
      </c>
      <c r="P148" t="s">
        <v>398</v>
      </c>
      <c r="Q148">
        <v>173</v>
      </c>
      <c r="S148" t="s">
        <v>124</v>
      </c>
      <c r="T148" t="s">
        <v>246</v>
      </c>
      <c r="U148">
        <v>164</v>
      </c>
      <c r="V148" t="s">
        <v>122</v>
      </c>
      <c r="W148">
        <v>13.4</v>
      </c>
      <c r="X148" t="s">
        <v>49</v>
      </c>
      <c r="Z148" t="s">
        <v>124</v>
      </c>
      <c r="AA148" t="s">
        <v>401</v>
      </c>
      <c r="AE148">
        <v>0</v>
      </c>
      <c r="AF148">
        <v>1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</row>
    <row r="149" spans="1:42" x14ac:dyDescent="0.25">
      <c r="A149">
        <v>164</v>
      </c>
      <c r="B149" t="s">
        <v>402</v>
      </c>
      <c r="C149" t="s">
        <v>400</v>
      </c>
      <c r="D149" t="s">
        <v>121</v>
      </c>
      <c r="E149" s="4">
        <v>0</v>
      </c>
      <c r="F149" t="s">
        <v>63</v>
      </c>
      <c r="G149" t="s">
        <v>63</v>
      </c>
      <c r="H149" s="3">
        <v>46205</v>
      </c>
      <c r="I149" s="3">
        <v>46205</v>
      </c>
      <c r="J149" t="s">
        <v>403</v>
      </c>
      <c r="K149" s="3">
        <v>46154</v>
      </c>
      <c r="L149" s="3">
        <v>46150</v>
      </c>
      <c r="M149" s="3">
        <v>46205</v>
      </c>
      <c r="O149" t="s">
        <v>220</v>
      </c>
      <c r="P149" t="s">
        <v>398</v>
      </c>
      <c r="Q149">
        <v>163</v>
      </c>
      <c r="S149" t="s">
        <v>124</v>
      </c>
      <c r="T149" t="s">
        <v>246</v>
      </c>
      <c r="U149">
        <v>165</v>
      </c>
      <c r="V149" t="s">
        <v>122</v>
      </c>
      <c r="W149">
        <v>13.4</v>
      </c>
      <c r="X149" t="s">
        <v>49</v>
      </c>
      <c r="Z149" t="s">
        <v>124</v>
      </c>
      <c r="AA149" t="s">
        <v>401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</row>
    <row r="150" spans="1:42" x14ac:dyDescent="0.25">
      <c r="A150">
        <v>165</v>
      </c>
      <c r="B150" t="s">
        <v>404</v>
      </c>
      <c r="C150" t="s">
        <v>400</v>
      </c>
      <c r="D150" t="s">
        <v>126</v>
      </c>
      <c r="E150" s="4">
        <v>0</v>
      </c>
      <c r="F150" t="s">
        <v>63</v>
      </c>
      <c r="G150" t="s">
        <v>63</v>
      </c>
      <c r="H150" s="3">
        <v>46205</v>
      </c>
      <c r="I150" s="3">
        <v>46205</v>
      </c>
      <c r="J150" t="s">
        <v>68</v>
      </c>
      <c r="K150" s="3">
        <v>46155</v>
      </c>
      <c r="L150" s="3">
        <v>46155</v>
      </c>
      <c r="M150" s="3">
        <v>46205</v>
      </c>
      <c r="O150" t="s">
        <v>220</v>
      </c>
      <c r="P150" t="s">
        <v>398</v>
      </c>
      <c r="Q150">
        <v>164</v>
      </c>
      <c r="S150" t="s">
        <v>264</v>
      </c>
      <c r="T150" t="s">
        <v>246</v>
      </c>
      <c r="U150">
        <v>166</v>
      </c>
      <c r="V150" t="s">
        <v>61</v>
      </c>
      <c r="W150">
        <v>13.4</v>
      </c>
      <c r="X150" t="s">
        <v>49</v>
      </c>
      <c r="Z150" t="s">
        <v>264</v>
      </c>
      <c r="AA150" t="s">
        <v>93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</row>
    <row r="151" spans="1:42" x14ac:dyDescent="0.25">
      <c r="A151">
        <v>166</v>
      </c>
      <c r="B151" t="s">
        <v>405</v>
      </c>
      <c r="C151" t="s">
        <v>400</v>
      </c>
      <c r="D151" t="s">
        <v>133</v>
      </c>
      <c r="E151" s="4">
        <v>0</v>
      </c>
      <c r="F151" t="s">
        <v>63</v>
      </c>
      <c r="G151" t="s">
        <v>63</v>
      </c>
      <c r="H151" s="3">
        <v>46205</v>
      </c>
      <c r="I151" s="3">
        <v>46205</v>
      </c>
      <c r="J151" t="s">
        <v>406</v>
      </c>
      <c r="K151" s="3">
        <v>46156</v>
      </c>
      <c r="L151" s="3">
        <v>46156</v>
      </c>
      <c r="M151" s="3">
        <v>46205</v>
      </c>
      <c r="O151" t="s">
        <v>220</v>
      </c>
      <c r="P151" t="s">
        <v>398</v>
      </c>
      <c r="Q151">
        <v>165</v>
      </c>
      <c r="S151" t="s">
        <v>124</v>
      </c>
      <c r="T151" t="s">
        <v>246</v>
      </c>
      <c r="V151" t="s">
        <v>61</v>
      </c>
      <c r="W151">
        <v>13.4</v>
      </c>
      <c r="X151" t="s">
        <v>49</v>
      </c>
      <c r="Z151" t="s">
        <v>124</v>
      </c>
      <c r="AA151" t="s">
        <v>93</v>
      </c>
      <c r="AE151">
        <v>0</v>
      </c>
      <c r="AF151">
        <v>0</v>
      </c>
      <c r="AG151">
        <v>0</v>
      </c>
      <c r="AH151">
        <v>0</v>
      </c>
      <c r="AI151">
        <v>1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</row>
    <row r="152" spans="1:42" x14ac:dyDescent="0.25">
      <c r="A152">
        <v>167</v>
      </c>
      <c r="B152" t="s">
        <v>407</v>
      </c>
      <c r="C152" t="s">
        <v>246</v>
      </c>
      <c r="D152" t="s">
        <v>408</v>
      </c>
      <c r="E152" s="4">
        <v>1</v>
      </c>
      <c r="F152" t="s">
        <v>330</v>
      </c>
      <c r="G152" t="s">
        <v>330</v>
      </c>
      <c r="H152" s="3">
        <v>46146</v>
      </c>
      <c r="I152" s="3">
        <v>46164</v>
      </c>
      <c r="J152" t="s">
        <v>337</v>
      </c>
      <c r="K152" s="3">
        <v>46148</v>
      </c>
      <c r="L152" s="3">
        <v>46134</v>
      </c>
      <c r="M152" s="3">
        <v>46164</v>
      </c>
      <c r="N152" s="3">
        <v>46164</v>
      </c>
      <c r="O152" t="s">
        <v>409</v>
      </c>
      <c r="P152" t="s">
        <v>55</v>
      </c>
      <c r="T152" t="s">
        <v>246</v>
      </c>
      <c r="V152" t="s">
        <v>151</v>
      </c>
      <c r="W152">
        <v>33.6</v>
      </c>
      <c r="X152" t="s">
        <v>57</v>
      </c>
      <c r="AA152" t="s">
        <v>50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</row>
    <row r="153" spans="1:42" x14ac:dyDescent="0.25">
      <c r="A153">
        <v>168</v>
      </c>
      <c r="B153" t="s">
        <v>410</v>
      </c>
      <c r="C153" t="s">
        <v>411</v>
      </c>
      <c r="D153" t="s">
        <v>117</v>
      </c>
      <c r="E153" s="4">
        <v>1</v>
      </c>
      <c r="F153" t="s">
        <v>101</v>
      </c>
      <c r="G153" t="s">
        <v>101</v>
      </c>
      <c r="H153" s="3">
        <v>46146</v>
      </c>
      <c r="I153" s="3">
        <v>46149</v>
      </c>
      <c r="J153" t="s">
        <v>337</v>
      </c>
      <c r="K153" s="3">
        <v>46140</v>
      </c>
      <c r="L153" s="3">
        <v>46134</v>
      </c>
      <c r="M153" s="3">
        <v>46149</v>
      </c>
      <c r="N153" s="3">
        <v>46149</v>
      </c>
      <c r="O153" t="s">
        <v>409</v>
      </c>
      <c r="P153" t="s">
        <v>55</v>
      </c>
      <c r="Q153" t="s">
        <v>412</v>
      </c>
      <c r="S153" t="s">
        <v>124</v>
      </c>
      <c r="T153" t="s">
        <v>246</v>
      </c>
      <c r="U153" t="s">
        <v>413</v>
      </c>
      <c r="V153" t="s">
        <v>138</v>
      </c>
      <c r="W153">
        <v>13.4</v>
      </c>
      <c r="X153" t="s">
        <v>57</v>
      </c>
      <c r="Z153" t="s">
        <v>124</v>
      </c>
      <c r="AA153" t="s">
        <v>71</v>
      </c>
      <c r="AE153">
        <v>1</v>
      </c>
      <c r="AF153">
        <v>1</v>
      </c>
      <c r="AG153">
        <v>1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1</v>
      </c>
    </row>
    <row r="154" spans="1:42" x14ac:dyDescent="0.25">
      <c r="A154">
        <v>169</v>
      </c>
      <c r="B154" t="s">
        <v>414</v>
      </c>
      <c r="C154" t="s">
        <v>411</v>
      </c>
      <c r="D154" t="s">
        <v>121</v>
      </c>
      <c r="E154" s="4">
        <v>1</v>
      </c>
      <c r="F154" t="s">
        <v>61</v>
      </c>
      <c r="G154" t="s">
        <v>61</v>
      </c>
      <c r="H154" s="3">
        <v>46149</v>
      </c>
      <c r="I154" s="3">
        <v>46150</v>
      </c>
      <c r="J154" t="s">
        <v>415</v>
      </c>
      <c r="K154" s="3">
        <v>46146</v>
      </c>
      <c r="L154" s="3">
        <v>46141</v>
      </c>
      <c r="M154" s="3">
        <v>46150</v>
      </c>
      <c r="N154" s="3">
        <v>46150</v>
      </c>
      <c r="O154" t="s">
        <v>416</v>
      </c>
      <c r="P154" t="s">
        <v>55</v>
      </c>
      <c r="Q154">
        <v>168</v>
      </c>
      <c r="S154" t="s">
        <v>124</v>
      </c>
      <c r="T154" t="s">
        <v>246</v>
      </c>
      <c r="U154">
        <v>170</v>
      </c>
      <c r="V154" t="s">
        <v>122</v>
      </c>
      <c r="W154">
        <v>13.4</v>
      </c>
      <c r="X154" t="s">
        <v>57</v>
      </c>
      <c r="Z154" t="s">
        <v>124</v>
      </c>
      <c r="AA154" t="s">
        <v>71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1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</row>
    <row r="155" spans="1:42" x14ac:dyDescent="0.25">
      <c r="A155">
        <v>170</v>
      </c>
      <c r="B155" t="s">
        <v>417</v>
      </c>
      <c r="C155" t="s">
        <v>411</v>
      </c>
      <c r="D155" t="s">
        <v>126</v>
      </c>
      <c r="E155" s="4">
        <v>1</v>
      </c>
      <c r="F155" t="s">
        <v>122</v>
      </c>
      <c r="G155" t="s">
        <v>122</v>
      </c>
      <c r="H155" s="3">
        <v>46153</v>
      </c>
      <c r="I155" s="3">
        <v>46155</v>
      </c>
      <c r="J155" t="s">
        <v>183</v>
      </c>
      <c r="K155" s="3">
        <v>46147</v>
      </c>
      <c r="L155" s="3">
        <v>46147</v>
      </c>
      <c r="M155" s="3">
        <v>46155</v>
      </c>
      <c r="N155" s="3">
        <v>46155</v>
      </c>
      <c r="O155" t="s">
        <v>418</v>
      </c>
      <c r="P155" t="s">
        <v>55</v>
      </c>
      <c r="Q155">
        <v>169</v>
      </c>
      <c r="S155" t="s">
        <v>264</v>
      </c>
      <c r="T155" t="s">
        <v>246</v>
      </c>
      <c r="U155">
        <v>171</v>
      </c>
      <c r="V155" t="s">
        <v>61</v>
      </c>
      <c r="W155">
        <v>13.4</v>
      </c>
      <c r="X155" t="s">
        <v>57</v>
      </c>
      <c r="Z155" t="s">
        <v>264</v>
      </c>
      <c r="AA155" t="s">
        <v>401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1</v>
      </c>
      <c r="AM155">
        <v>0</v>
      </c>
      <c r="AN155">
        <v>0</v>
      </c>
      <c r="AO155">
        <v>0</v>
      </c>
      <c r="AP155">
        <v>0</v>
      </c>
    </row>
    <row r="156" spans="1:42" x14ac:dyDescent="0.25">
      <c r="A156">
        <v>171</v>
      </c>
      <c r="B156" t="s">
        <v>419</v>
      </c>
      <c r="C156" t="s">
        <v>411</v>
      </c>
      <c r="D156" t="s">
        <v>133</v>
      </c>
      <c r="E156" s="4">
        <v>1</v>
      </c>
      <c r="F156" t="s">
        <v>175</v>
      </c>
      <c r="G156" t="s">
        <v>175</v>
      </c>
      <c r="H156" s="3">
        <v>46155</v>
      </c>
      <c r="I156" s="3">
        <v>46164</v>
      </c>
      <c r="J156" t="s">
        <v>304</v>
      </c>
      <c r="K156" s="3">
        <v>46148</v>
      </c>
      <c r="L156" s="3">
        <v>46148</v>
      </c>
      <c r="M156" s="3">
        <v>46164</v>
      </c>
      <c r="N156" s="3">
        <v>46164</v>
      </c>
      <c r="O156" t="s">
        <v>68</v>
      </c>
      <c r="P156" t="s">
        <v>55</v>
      </c>
      <c r="Q156">
        <v>170</v>
      </c>
      <c r="S156" t="s">
        <v>124</v>
      </c>
      <c r="T156" t="s">
        <v>246</v>
      </c>
      <c r="V156" t="s">
        <v>61</v>
      </c>
      <c r="W156">
        <v>13.4</v>
      </c>
      <c r="X156" t="s">
        <v>57</v>
      </c>
      <c r="Z156" t="s">
        <v>124</v>
      </c>
      <c r="AA156" t="s">
        <v>401</v>
      </c>
      <c r="AE156">
        <v>1</v>
      </c>
      <c r="AF156">
        <v>0</v>
      </c>
      <c r="AG156">
        <v>0</v>
      </c>
      <c r="AH156">
        <v>0</v>
      </c>
      <c r="AI156">
        <v>1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0</v>
      </c>
      <c r="AP156">
        <v>0</v>
      </c>
    </row>
    <row r="157" spans="1:42" x14ac:dyDescent="0.25">
      <c r="A157">
        <v>177</v>
      </c>
      <c r="B157" t="s">
        <v>420</v>
      </c>
      <c r="C157" t="s">
        <v>52</v>
      </c>
      <c r="D157" t="s">
        <v>421</v>
      </c>
      <c r="E157" s="4">
        <v>0.99</v>
      </c>
      <c r="F157" t="s">
        <v>48</v>
      </c>
      <c r="G157" t="s">
        <v>422</v>
      </c>
      <c r="H157" s="3">
        <v>46104</v>
      </c>
      <c r="I157" s="3">
        <v>46205</v>
      </c>
      <c r="J157" t="s">
        <v>123</v>
      </c>
      <c r="K157" s="3">
        <v>46199</v>
      </c>
      <c r="L157" s="3">
        <v>46104</v>
      </c>
      <c r="M157" s="3">
        <v>46205</v>
      </c>
      <c r="O157" t="s">
        <v>123</v>
      </c>
      <c r="P157" t="s">
        <v>213</v>
      </c>
      <c r="V157" t="s">
        <v>423</v>
      </c>
      <c r="W157">
        <v>459.68</v>
      </c>
      <c r="X157" t="s">
        <v>49</v>
      </c>
      <c r="AA157" t="s">
        <v>50</v>
      </c>
      <c r="AE157">
        <v>0.99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</row>
    <row r="158" spans="1:42" x14ac:dyDescent="0.25">
      <c r="A158">
        <v>178</v>
      </c>
      <c r="B158" t="s">
        <v>424</v>
      </c>
      <c r="C158" t="s">
        <v>425</v>
      </c>
      <c r="D158" t="s">
        <v>426</v>
      </c>
      <c r="E158" s="4">
        <v>1</v>
      </c>
      <c r="F158" t="s">
        <v>427</v>
      </c>
      <c r="G158" t="s">
        <v>427</v>
      </c>
      <c r="H158" s="3">
        <v>46104</v>
      </c>
      <c r="I158" s="3">
        <v>46174</v>
      </c>
      <c r="J158" t="s">
        <v>123</v>
      </c>
      <c r="K158" s="3">
        <v>46112</v>
      </c>
      <c r="L158" s="3">
        <v>46104</v>
      </c>
      <c r="M158" s="3">
        <v>46174</v>
      </c>
      <c r="N158" s="3">
        <v>46174</v>
      </c>
      <c r="O158" t="s">
        <v>123</v>
      </c>
      <c r="P158" t="s">
        <v>55</v>
      </c>
      <c r="T158" t="s">
        <v>425</v>
      </c>
      <c r="V158" t="s">
        <v>175</v>
      </c>
      <c r="W158">
        <v>21.48</v>
      </c>
      <c r="X158" t="s">
        <v>57</v>
      </c>
      <c r="AA158" t="s">
        <v>50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</row>
    <row r="159" spans="1:42" x14ac:dyDescent="0.25">
      <c r="A159">
        <v>179</v>
      </c>
      <c r="B159" t="s">
        <v>428</v>
      </c>
      <c r="C159" t="s">
        <v>429</v>
      </c>
      <c r="D159" t="s">
        <v>117</v>
      </c>
      <c r="E159" s="4">
        <v>1</v>
      </c>
      <c r="F159" t="s">
        <v>127</v>
      </c>
      <c r="G159" t="s">
        <v>127</v>
      </c>
      <c r="H159" s="3">
        <v>46104</v>
      </c>
      <c r="I159" s="3">
        <v>46105</v>
      </c>
      <c r="J159" t="s">
        <v>123</v>
      </c>
      <c r="K159" s="3">
        <v>46105</v>
      </c>
      <c r="L159" s="3">
        <v>46104</v>
      </c>
      <c r="M159" s="3">
        <v>46105</v>
      </c>
      <c r="N159" s="3">
        <v>46105</v>
      </c>
      <c r="O159" t="s">
        <v>123</v>
      </c>
      <c r="P159" t="s">
        <v>55</v>
      </c>
      <c r="Q159">
        <v>12</v>
      </c>
      <c r="S159" t="s">
        <v>142</v>
      </c>
      <c r="T159" t="s">
        <v>425</v>
      </c>
      <c r="U159">
        <v>180</v>
      </c>
      <c r="V159" t="s">
        <v>127</v>
      </c>
      <c r="W159">
        <v>13.4</v>
      </c>
      <c r="X159" t="s">
        <v>57</v>
      </c>
      <c r="Z159" t="s">
        <v>142</v>
      </c>
      <c r="AA159" t="s">
        <v>64</v>
      </c>
      <c r="AE159">
        <v>1</v>
      </c>
      <c r="AF159">
        <v>1</v>
      </c>
      <c r="AG159">
        <v>1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1</v>
      </c>
    </row>
    <row r="160" spans="1:42" x14ac:dyDescent="0.25">
      <c r="A160">
        <v>180</v>
      </c>
      <c r="B160" t="s">
        <v>430</v>
      </c>
      <c r="C160" t="s">
        <v>429</v>
      </c>
      <c r="D160" t="s">
        <v>121</v>
      </c>
      <c r="E160" s="4">
        <v>1</v>
      </c>
      <c r="F160" t="s">
        <v>122</v>
      </c>
      <c r="G160" t="s">
        <v>122</v>
      </c>
      <c r="H160" s="3">
        <v>46106</v>
      </c>
      <c r="I160" s="3">
        <v>46108</v>
      </c>
      <c r="J160" t="s">
        <v>431</v>
      </c>
      <c r="K160" s="3">
        <v>46108</v>
      </c>
      <c r="L160" s="3">
        <v>46106</v>
      </c>
      <c r="M160" s="3">
        <v>46108</v>
      </c>
      <c r="N160" s="3">
        <v>46108</v>
      </c>
      <c r="O160" t="s">
        <v>431</v>
      </c>
      <c r="P160" t="s">
        <v>55</v>
      </c>
      <c r="Q160">
        <v>179</v>
      </c>
      <c r="R160" s="1">
        <v>46112</v>
      </c>
      <c r="S160" t="s">
        <v>124</v>
      </c>
      <c r="T160" t="s">
        <v>425</v>
      </c>
      <c r="U160">
        <v>181</v>
      </c>
      <c r="V160" t="s">
        <v>122</v>
      </c>
      <c r="W160">
        <v>13.4</v>
      </c>
      <c r="X160" t="s">
        <v>57</v>
      </c>
      <c r="Z160" t="s">
        <v>124</v>
      </c>
      <c r="AA160" t="s">
        <v>64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1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</row>
    <row r="161" spans="1:42" x14ac:dyDescent="0.25">
      <c r="A161">
        <v>181</v>
      </c>
      <c r="B161" t="s">
        <v>432</v>
      </c>
      <c r="C161" t="s">
        <v>429</v>
      </c>
      <c r="D161" t="s">
        <v>126</v>
      </c>
      <c r="E161" s="4">
        <v>1</v>
      </c>
      <c r="F161" t="s">
        <v>433</v>
      </c>
      <c r="G161" t="s">
        <v>433</v>
      </c>
      <c r="H161" s="3">
        <v>46112</v>
      </c>
      <c r="I161" s="3">
        <v>46162</v>
      </c>
      <c r="J161" t="s">
        <v>275</v>
      </c>
      <c r="K161" s="3">
        <v>46111</v>
      </c>
      <c r="L161" s="3">
        <v>46111</v>
      </c>
      <c r="M161" s="3">
        <v>46162</v>
      </c>
      <c r="N161" s="3">
        <v>46162</v>
      </c>
      <c r="O161" t="s">
        <v>252</v>
      </c>
      <c r="P161" t="s">
        <v>55</v>
      </c>
      <c r="Q161">
        <v>180</v>
      </c>
      <c r="S161" t="s">
        <v>142</v>
      </c>
      <c r="T161" t="s">
        <v>425</v>
      </c>
      <c r="U161">
        <v>182</v>
      </c>
      <c r="V161" t="s">
        <v>61</v>
      </c>
      <c r="W161">
        <v>13.4</v>
      </c>
      <c r="X161" t="s">
        <v>57</v>
      </c>
      <c r="Z161" t="s">
        <v>142</v>
      </c>
      <c r="AA161" t="s">
        <v>255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1</v>
      </c>
      <c r="AM161">
        <v>0</v>
      </c>
      <c r="AN161">
        <v>0</v>
      </c>
      <c r="AO161">
        <v>0</v>
      </c>
      <c r="AP161">
        <v>0</v>
      </c>
    </row>
    <row r="162" spans="1:42" x14ac:dyDescent="0.25">
      <c r="A162">
        <v>182</v>
      </c>
      <c r="B162" t="s">
        <v>434</v>
      </c>
      <c r="C162" t="s">
        <v>429</v>
      </c>
      <c r="D162" t="s">
        <v>133</v>
      </c>
      <c r="E162" s="4">
        <v>1</v>
      </c>
      <c r="F162" t="s">
        <v>435</v>
      </c>
      <c r="G162" t="s">
        <v>435</v>
      </c>
      <c r="H162" s="3">
        <v>46112</v>
      </c>
      <c r="I162" s="3">
        <v>46174</v>
      </c>
      <c r="J162" t="s">
        <v>252</v>
      </c>
      <c r="K162" s="3">
        <v>46112</v>
      </c>
      <c r="L162" s="3">
        <v>46112</v>
      </c>
      <c r="M162" s="3">
        <v>46174</v>
      </c>
      <c r="N162" s="3">
        <v>46174</v>
      </c>
      <c r="O162" t="s">
        <v>252</v>
      </c>
      <c r="P162" t="s">
        <v>55</v>
      </c>
      <c r="Q162">
        <v>181</v>
      </c>
      <c r="S162" t="s">
        <v>124</v>
      </c>
      <c r="T162" t="s">
        <v>425</v>
      </c>
      <c r="V162" t="s">
        <v>61</v>
      </c>
      <c r="W162">
        <v>13.4</v>
      </c>
      <c r="X162" t="s">
        <v>57</v>
      </c>
      <c r="Z162" t="s">
        <v>124</v>
      </c>
      <c r="AA162" t="s">
        <v>255</v>
      </c>
      <c r="AE162">
        <v>1</v>
      </c>
      <c r="AF162">
        <v>0</v>
      </c>
      <c r="AG162">
        <v>0</v>
      </c>
      <c r="AH162">
        <v>0</v>
      </c>
      <c r="AI162">
        <v>1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0</v>
      </c>
      <c r="AP162">
        <v>0</v>
      </c>
    </row>
    <row r="163" spans="1:42" x14ac:dyDescent="0.25">
      <c r="A163">
        <v>183</v>
      </c>
      <c r="B163" t="s">
        <v>436</v>
      </c>
      <c r="C163" t="s">
        <v>425</v>
      </c>
      <c r="D163" t="s">
        <v>437</v>
      </c>
      <c r="E163" s="4">
        <v>1</v>
      </c>
      <c r="F163" t="s">
        <v>438</v>
      </c>
      <c r="G163" t="s">
        <v>438</v>
      </c>
      <c r="H163" s="3">
        <v>46126</v>
      </c>
      <c r="I163" s="3">
        <v>46185</v>
      </c>
      <c r="J163" t="s">
        <v>334</v>
      </c>
      <c r="K163" s="3">
        <v>46185</v>
      </c>
      <c r="L163" s="3">
        <v>46126</v>
      </c>
      <c r="M163" s="3">
        <v>46185</v>
      </c>
      <c r="N163" s="3">
        <v>46185</v>
      </c>
      <c r="O163" t="s">
        <v>334</v>
      </c>
      <c r="P163" t="s">
        <v>55</v>
      </c>
      <c r="T163" t="s">
        <v>425</v>
      </c>
      <c r="U163">
        <v>1397</v>
      </c>
      <c r="V163" t="s">
        <v>214</v>
      </c>
      <c r="W163">
        <v>26.4</v>
      </c>
      <c r="X163" t="s">
        <v>57</v>
      </c>
      <c r="AA163" t="s">
        <v>50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</row>
    <row r="164" spans="1:42" x14ac:dyDescent="0.25">
      <c r="A164">
        <v>184</v>
      </c>
      <c r="B164" t="s">
        <v>439</v>
      </c>
      <c r="C164" t="s">
        <v>440</v>
      </c>
      <c r="D164" t="s">
        <v>117</v>
      </c>
      <c r="E164" s="4">
        <v>1</v>
      </c>
      <c r="F164" t="s">
        <v>441</v>
      </c>
      <c r="G164" t="s">
        <v>441</v>
      </c>
      <c r="H164" s="3">
        <v>46126</v>
      </c>
      <c r="I164" s="3">
        <v>46167</v>
      </c>
      <c r="J164" t="s">
        <v>334</v>
      </c>
      <c r="K164" s="3">
        <v>46167</v>
      </c>
      <c r="L164" s="3">
        <v>46126</v>
      </c>
      <c r="M164" s="3">
        <v>46167</v>
      </c>
      <c r="N164" s="3">
        <v>46167</v>
      </c>
      <c r="O164" t="s">
        <v>334</v>
      </c>
      <c r="P164" t="s">
        <v>55</v>
      </c>
      <c r="Q164" t="s">
        <v>442</v>
      </c>
      <c r="S164" t="s">
        <v>142</v>
      </c>
      <c r="T164" t="s">
        <v>425</v>
      </c>
      <c r="U164">
        <v>185</v>
      </c>
      <c r="V164" t="s">
        <v>61</v>
      </c>
      <c r="W164">
        <v>13.4</v>
      </c>
      <c r="X164" t="s">
        <v>57</v>
      </c>
      <c r="Z164" t="s">
        <v>142</v>
      </c>
      <c r="AA164" t="s">
        <v>93</v>
      </c>
      <c r="AE164">
        <v>1</v>
      </c>
      <c r="AF164">
        <v>1</v>
      </c>
      <c r="AG164">
        <v>1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1</v>
      </c>
    </row>
    <row r="165" spans="1:42" x14ac:dyDescent="0.25">
      <c r="A165">
        <v>185</v>
      </c>
      <c r="B165" t="s">
        <v>443</v>
      </c>
      <c r="C165" t="s">
        <v>440</v>
      </c>
      <c r="D165" t="s">
        <v>121</v>
      </c>
      <c r="E165" s="4">
        <v>1</v>
      </c>
      <c r="F165" t="s">
        <v>203</v>
      </c>
      <c r="G165" t="s">
        <v>203</v>
      </c>
      <c r="H165" s="3">
        <v>46157</v>
      </c>
      <c r="I165" s="3">
        <v>46181</v>
      </c>
      <c r="J165" t="s">
        <v>444</v>
      </c>
      <c r="K165" s="3">
        <v>46181</v>
      </c>
      <c r="L165" s="3">
        <v>46157</v>
      </c>
      <c r="M165" s="3">
        <v>46181</v>
      </c>
      <c r="N165" s="3">
        <v>46181</v>
      </c>
      <c r="O165" t="s">
        <v>444</v>
      </c>
      <c r="P165" t="s">
        <v>55</v>
      </c>
      <c r="Q165">
        <v>184</v>
      </c>
      <c r="S165" t="s">
        <v>124</v>
      </c>
      <c r="T165" t="s">
        <v>425</v>
      </c>
      <c r="U165" t="s">
        <v>445</v>
      </c>
      <c r="V165" t="s">
        <v>122</v>
      </c>
      <c r="W165">
        <v>13.4</v>
      </c>
      <c r="X165" t="s">
        <v>57</v>
      </c>
      <c r="Z165" t="s">
        <v>124</v>
      </c>
      <c r="AA165" t="s">
        <v>93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1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</row>
    <row r="166" spans="1:42" x14ac:dyDescent="0.25">
      <c r="A166">
        <v>186</v>
      </c>
      <c r="B166" t="s">
        <v>446</v>
      </c>
      <c r="C166" t="s">
        <v>440</v>
      </c>
      <c r="D166" t="s">
        <v>126</v>
      </c>
      <c r="E166" s="4">
        <v>1</v>
      </c>
      <c r="F166" t="s">
        <v>447</v>
      </c>
      <c r="G166" t="s">
        <v>447</v>
      </c>
      <c r="H166" s="3">
        <v>46170</v>
      </c>
      <c r="I166" s="3">
        <v>46185</v>
      </c>
      <c r="J166" t="s">
        <v>448</v>
      </c>
      <c r="K166" s="3">
        <v>46185</v>
      </c>
      <c r="L166" s="3">
        <v>46170</v>
      </c>
      <c r="M166" s="3">
        <v>46185</v>
      </c>
      <c r="N166" s="3">
        <v>46185</v>
      </c>
      <c r="O166" t="s">
        <v>448</v>
      </c>
      <c r="P166" t="s">
        <v>55</v>
      </c>
      <c r="Q166" t="s">
        <v>449</v>
      </c>
      <c r="R166" s="1">
        <v>46127</v>
      </c>
      <c r="S166" t="s">
        <v>142</v>
      </c>
      <c r="T166" t="s">
        <v>425</v>
      </c>
      <c r="U166">
        <v>187</v>
      </c>
      <c r="V166" t="s">
        <v>61</v>
      </c>
      <c r="W166">
        <v>13.4</v>
      </c>
      <c r="X166" t="s">
        <v>57</v>
      </c>
      <c r="Z166" t="s">
        <v>142</v>
      </c>
      <c r="AA166" t="s">
        <v>198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1</v>
      </c>
      <c r="AM166">
        <v>0</v>
      </c>
      <c r="AN166">
        <v>0</v>
      </c>
      <c r="AO166">
        <v>0</v>
      </c>
      <c r="AP166">
        <v>0</v>
      </c>
    </row>
    <row r="167" spans="1:42" x14ac:dyDescent="0.25">
      <c r="A167">
        <v>187</v>
      </c>
      <c r="B167" t="s">
        <v>450</v>
      </c>
      <c r="C167" t="s">
        <v>440</v>
      </c>
      <c r="D167" t="s">
        <v>133</v>
      </c>
      <c r="E167" s="4">
        <v>1</v>
      </c>
      <c r="F167" t="s">
        <v>451</v>
      </c>
      <c r="G167" t="s">
        <v>451</v>
      </c>
      <c r="H167" s="3">
        <v>46174</v>
      </c>
      <c r="I167" s="3">
        <v>46185</v>
      </c>
      <c r="J167" t="s">
        <v>193</v>
      </c>
      <c r="K167" s="3">
        <v>46185</v>
      </c>
      <c r="L167" s="3">
        <v>46174</v>
      </c>
      <c r="M167" s="3">
        <v>46185</v>
      </c>
      <c r="N167" s="3">
        <v>46185</v>
      </c>
      <c r="O167" t="s">
        <v>193</v>
      </c>
      <c r="P167" t="s">
        <v>55</v>
      </c>
      <c r="Q167">
        <v>186</v>
      </c>
      <c r="S167" t="s">
        <v>124</v>
      </c>
      <c r="T167" t="s">
        <v>425</v>
      </c>
      <c r="V167" t="s">
        <v>61</v>
      </c>
      <c r="W167">
        <v>13.4</v>
      </c>
      <c r="X167" t="s">
        <v>57</v>
      </c>
      <c r="Z167" t="s">
        <v>124</v>
      </c>
      <c r="AA167" t="s">
        <v>198</v>
      </c>
      <c r="AE167">
        <v>1</v>
      </c>
      <c r="AF167">
        <v>0</v>
      </c>
      <c r="AG167">
        <v>0</v>
      </c>
      <c r="AH167">
        <v>0</v>
      </c>
      <c r="AI167">
        <v>1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0</v>
      </c>
      <c r="AP167">
        <v>0</v>
      </c>
    </row>
    <row r="168" spans="1:42" x14ac:dyDescent="0.25">
      <c r="A168">
        <v>188</v>
      </c>
      <c r="B168" t="s">
        <v>452</v>
      </c>
      <c r="C168" t="s">
        <v>425</v>
      </c>
      <c r="D168" t="s">
        <v>453</v>
      </c>
      <c r="E168" s="4">
        <v>0.11</v>
      </c>
      <c r="F168" t="s">
        <v>114</v>
      </c>
      <c r="G168" t="s">
        <v>61</v>
      </c>
      <c r="H168" s="3">
        <v>46195</v>
      </c>
      <c r="I168" s="3">
        <v>46205</v>
      </c>
      <c r="J168" t="s">
        <v>206</v>
      </c>
      <c r="K168" s="3">
        <v>46181</v>
      </c>
      <c r="L168" s="3">
        <v>46168</v>
      </c>
      <c r="M168" s="3">
        <v>46205</v>
      </c>
      <c r="O168" t="s">
        <v>219</v>
      </c>
      <c r="P168" t="s">
        <v>213</v>
      </c>
      <c r="T168" t="s">
        <v>425</v>
      </c>
      <c r="V168" t="s">
        <v>210</v>
      </c>
      <c r="W168">
        <v>33.96</v>
      </c>
      <c r="X168" t="s">
        <v>49</v>
      </c>
      <c r="AA168" t="s">
        <v>50</v>
      </c>
      <c r="AE168">
        <v>0.11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</row>
    <row r="169" spans="1:42" x14ac:dyDescent="0.25">
      <c r="A169">
        <v>189</v>
      </c>
      <c r="B169" t="s">
        <v>454</v>
      </c>
      <c r="C169" t="s">
        <v>455</v>
      </c>
      <c r="D169" t="s">
        <v>117</v>
      </c>
      <c r="E169" s="4">
        <v>1</v>
      </c>
      <c r="F169" t="s">
        <v>61</v>
      </c>
      <c r="G169" t="s">
        <v>61</v>
      </c>
      <c r="H169" s="3">
        <v>46195</v>
      </c>
      <c r="I169" s="3">
        <v>46195</v>
      </c>
      <c r="J169" t="s">
        <v>206</v>
      </c>
      <c r="K169" s="3">
        <v>46170</v>
      </c>
      <c r="L169" s="3">
        <v>46168</v>
      </c>
      <c r="M169" s="3">
        <v>46195</v>
      </c>
      <c r="N169" s="3">
        <v>46195</v>
      </c>
      <c r="O169" t="s">
        <v>219</v>
      </c>
      <c r="P169" t="s">
        <v>55</v>
      </c>
      <c r="S169" t="s">
        <v>142</v>
      </c>
      <c r="T169" t="s">
        <v>425</v>
      </c>
      <c r="U169" t="s">
        <v>456</v>
      </c>
      <c r="V169" t="s">
        <v>122</v>
      </c>
      <c r="W169">
        <v>13.4</v>
      </c>
      <c r="X169" t="s">
        <v>57</v>
      </c>
      <c r="Z169" t="s">
        <v>142</v>
      </c>
      <c r="AA169" t="s">
        <v>77</v>
      </c>
      <c r="AE169">
        <v>1</v>
      </c>
      <c r="AF169">
        <v>1</v>
      </c>
      <c r="AG169">
        <v>1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1</v>
      </c>
    </row>
    <row r="170" spans="1:42" x14ac:dyDescent="0.25">
      <c r="A170">
        <v>190</v>
      </c>
      <c r="B170" t="s">
        <v>457</v>
      </c>
      <c r="C170" t="s">
        <v>455</v>
      </c>
      <c r="D170" t="s">
        <v>121</v>
      </c>
      <c r="E170" s="4">
        <v>0</v>
      </c>
      <c r="F170" t="s">
        <v>61</v>
      </c>
      <c r="G170" t="s">
        <v>63</v>
      </c>
      <c r="H170" s="3">
        <v>46196</v>
      </c>
      <c r="I170" s="3">
        <v>46196</v>
      </c>
      <c r="J170" t="s">
        <v>189</v>
      </c>
      <c r="K170" s="3">
        <v>46175</v>
      </c>
      <c r="L170" s="3">
        <v>46171</v>
      </c>
      <c r="M170" s="3">
        <v>46196</v>
      </c>
      <c r="O170" t="s">
        <v>220</v>
      </c>
      <c r="P170" t="s">
        <v>213</v>
      </c>
      <c r="Q170">
        <v>189</v>
      </c>
      <c r="S170" t="s">
        <v>124</v>
      </c>
      <c r="T170" t="s">
        <v>425</v>
      </c>
      <c r="U170">
        <v>191</v>
      </c>
      <c r="V170" t="s">
        <v>122</v>
      </c>
      <c r="W170">
        <v>13.4</v>
      </c>
      <c r="X170" t="s">
        <v>49</v>
      </c>
      <c r="Z170" t="s">
        <v>124</v>
      </c>
      <c r="AA170" t="s">
        <v>77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1</v>
      </c>
      <c r="AL170">
        <v>0</v>
      </c>
      <c r="AM170">
        <v>0</v>
      </c>
      <c r="AN170">
        <v>0</v>
      </c>
      <c r="AO170">
        <v>0</v>
      </c>
      <c r="AP170">
        <v>0</v>
      </c>
    </row>
    <row r="171" spans="1:42" x14ac:dyDescent="0.25">
      <c r="A171">
        <v>191</v>
      </c>
      <c r="B171" t="s">
        <v>458</v>
      </c>
      <c r="C171" t="s">
        <v>455</v>
      </c>
      <c r="D171" t="s">
        <v>126</v>
      </c>
      <c r="E171" s="4">
        <v>0</v>
      </c>
      <c r="F171" t="s">
        <v>61</v>
      </c>
      <c r="G171" t="s">
        <v>63</v>
      </c>
      <c r="H171" s="3">
        <v>46197</v>
      </c>
      <c r="I171" s="3">
        <v>46197</v>
      </c>
      <c r="J171" t="s">
        <v>459</v>
      </c>
      <c r="K171" s="3">
        <v>46176</v>
      </c>
      <c r="L171" s="3">
        <v>46176</v>
      </c>
      <c r="M171" s="3">
        <v>46197</v>
      </c>
      <c r="O171" t="s">
        <v>220</v>
      </c>
      <c r="P171" t="s">
        <v>213</v>
      </c>
      <c r="Q171">
        <v>190</v>
      </c>
      <c r="S171" t="s">
        <v>142</v>
      </c>
      <c r="T171" t="s">
        <v>425</v>
      </c>
      <c r="U171">
        <v>192</v>
      </c>
      <c r="V171" t="s">
        <v>61</v>
      </c>
      <c r="W171">
        <v>13.4</v>
      </c>
      <c r="X171" t="s">
        <v>49</v>
      </c>
      <c r="Z171" t="s">
        <v>142</v>
      </c>
      <c r="AA171" t="s">
        <v>460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1</v>
      </c>
      <c r="AN171">
        <v>0</v>
      </c>
      <c r="AO171">
        <v>0</v>
      </c>
      <c r="AP171">
        <v>0</v>
      </c>
    </row>
    <row r="172" spans="1:42" x14ac:dyDescent="0.25">
      <c r="A172">
        <v>192</v>
      </c>
      <c r="B172" t="s">
        <v>461</v>
      </c>
      <c r="C172" t="s">
        <v>455</v>
      </c>
      <c r="D172" t="s">
        <v>133</v>
      </c>
      <c r="E172" s="4">
        <v>0</v>
      </c>
      <c r="F172" t="s">
        <v>214</v>
      </c>
      <c r="G172" t="s">
        <v>63</v>
      </c>
      <c r="H172" s="3">
        <v>46198</v>
      </c>
      <c r="I172" s="3">
        <v>46205</v>
      </c>
      <c r="J172" t="s">
        <v>201</v>
      </c>
      <c r="K172" s="3">
        <v>46181</v>
      </c>
      <c r="L172" s="3">
        <v>46181</v>
      </c>
      <c r="M172" s="3">
        <v>46205</v>
      </c>
      <c r="O172" t="s">
        <v>220</v>
      </c>
      <c r="P172" t="s">
        <v>213</v>
      </c>
      <c r="Q172">
        <v>191</v>
      </c>
      <c r="S172" t="s">
        <v>124</v>
      </c>
      <c r="T172" t="s">
        <v>425</v>
      </c>
      <c r="V172" t="s">
        <v>61</v>
      </c>
      <c r="W172">
        <v>13.4</v>
      </c>
      <c r="X172" t="s">
        <v>49</v>
      </c>
      <c r="Z172" t="s">
        <v>124</v>
      </c>
      <c r="AA172" t="s">
        <v>462</v>
      </c>
      <c r="AE172">
        <v>0</v>
      </c>
      <c r="AF172">
        <v>0</v>
      </c>
      <c r="AG172">
        <v>0</v>
      </c>
      <c r="AH172">
        <v>0</v>
      </c>
      <c r="AI172">
        <v>1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1</v>
      </c>
      <c r="AP172">
        <v>0</v>
      </c>
    </row>
    <row r="173" spans="1:42" x14ac:dyDescent="0.25">
      <c r="A173">
        <v>193</v>
      </c>
      <c r="B173" t="s">
        <v>463</v>
      </c>
      <c r="C173" t="s">
        <v>425</v>
      </c>
      <c r="D173" t="s">
        <v>464</v>
      </c>
      <c r="E173" s="4">
        <v>1</v>
      </c>
      <c r="F173" t="s">
        <v>433</v>
      </c>
      <c r="G173" t="s">
        <v>433</v>
      </c>
      <c r="H173" s="3">
        <v>46153</v>
      </c>
      <c r="I173" s="3">
        <v>46198</v>
      </c>
      <c r="J173" t="s">
        <v>406</v>
      </c>
      <c r="K173" s="3">
        <v>46167</v>
      </c>
      <c r="L173" s="3">
        <v>46156</v>
      </c>
      <c r="M173" s="3">
        <v>46198</v>
      </c>
      <c r="N173" s="3">
        <v>46198</v>
      </c>
      <c r="O173" t="s">
        <v>418</v>
      </c>
      <c r="P173" t="s">
        <v>55</v>
      </c>
      <c r="T173" t="s">
        <v>425</v>
      </c>
      <c r="V173" t="s">
        <v>210</v>
      </c>
      <c r="W173">
        <v>56.2</v>
      </c>
      <c r="X173" t="s">
        <v>57</v>
      </c>
      <c r="AA173" t="s">
        <v>50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</row>
    <row r="174" spans="1:42" x14ac:dyDescent="0.25">
      <c r="A174">
        <v>194</v>
      </c>
      <c r="B174" t="s">
        <v>465</v>
      </c>
      <c r="C174" t="s">
        <v>466</v>
      </c>
      <c r="D174" t="s">
        <v>117</v>
      </c>
      <c r="E174" s="4">
        <v>1</v>
      </c>
      <c r="F174" t="s">
        <v>101</v>
      </c>
      <c r="G174" t="s">
        <v>101</v>
      </c>
      <c r="H174" s="3">
        <v>46153</v>
      </c>
      <c r="I174" s="3">
        <v>46156</v>
      </c>
      <c r="J174" t="s">
        <v>406</v>
      </c>
      <c r="K174" s="3">
        <v>46160</v>
      </c>
      <c r="L174" s="3">
        <v>46156</v>
      </c>
      <c r="M174" s="3">
        <v>46156</v>
      </c>
      <c r="N174" s="3">
        <v>46156</v>
      </c>
      <c r="O174" t="s">
        <v>418</v>
      </c>
      <c r="P174" t="s">
        <v>55</v>
      </c>
      <c r="Q174" t="s">
        <v>442</v>
      </c>
      <c r="S174" t="s">
        <v>142</v>
      </c>
      <c r="T174" t="s">
        <v>425</v>
      </c>
      <c r="U174" t="s">
        <v>467</v>
      </c>
      <c r="V174" t="s">
        <v>122</v>
      </c>
      <c r="W174">
        <v>13.4</v>
      </c>
      <c r="X174" t="s">
        <v>57</v>
      </c>
      <c r="Z174" t="s">
        <v>142</v>
      </c>
      <c r="AA174" t="s">
        <v>93</v>
      </c>
      <c r="AE174">
        <v>1</v>
      </c>
      <c r="AF174">
        <v>1</v>
      </c>
      <c r="AG174">
        <v>1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1</v>
      </c>
    </row>
    <row r="175" spans="1:42" x14ac:dyDescent="0.25">
      <c r="A175">
        <v>195</v>
      </c>
      <c r="B175" t="s">
        <v>468</v>
      </c>
      <c r="C175" t="s">
        <v>466</v>
      </c>
      <c r="D175" t="s">
        <v>121</v>
      </c>
      <c r="E175" s="4">
        <v>1</v>
      </c>
      <c r="F175" t="s">
        <v>122</v>
      </c>
      <c r="G175" t="s">
        <v>122</v>
      </c>
      <c r="H175" s="3">
        <v>46170</v>
      </c>
      <c r="I175" s="3">
        <v>46174</v>
      </c>
      <c r="J175" t="s">
        <v>90</v>
      </c>
      <c r="K175" s="3">
        <v>46163</v>
      </c>
      <c r="L175" s="3">
        <v>46161</v>
      </c>
      <c r="M175" s="3">
        <v>46174</v>
      </c>
      <c r="N175" s="3">
        <v>46174</v>
      </c>
      <c r="O175" t="s">
        <v>448</v>
      </c>
      <c r="P175" t="s">
        <v>55</v>
      </c>
      <c r="Q175" t="s">
        <v>469</v>
      </c>
      <c r="S175" t="s">
        <v>124</v>
      </c>
      <c r="T175" t="s">
        <v>425</v>
      </c>
      <c r="U175">
        <v>196</v>
      </c>
      <c r="V175" t="s">
        <v>122</v>
      </c>
      <c r="W175">
        <v>13.4</v>
      </c>
      <c r="X175" t="s">
        <v>57</v>
      </c>
      <c r="Z175" t="s">
        <v>124</v>
      </c>
      <c r="AA175" t="s">
        <v>198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1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</row>
    <row r="176" spans="1:42" x14ac:dyDescent="0.25">
      <c r="A176">
        <v>196</v>
      </c>
      <c r="B176" t="s">
        <v>470</v>
      </c>
      <c r="C176" t="s">
        <v>466</v>
      </c>
      <c r="D176" t="s">
        <v>126</v>
      </c>
      <c r="E176" s="4">
        <v>1</v>
      </c>
      <c r="F176" t="s">
        <v>61</v>
      </c>
      <c r="G176" t="s">
        <v>61</v>
      </c>
      <c r="H176" s="3">
        <v>46175</v>
      </c>
      <c r="I176" s="3">
        <v>46175</v>
      </c>
      <c r="J176" t="s">
        <v>471</v>
      </c>
      <c r="K176" s="3">
        <v>46164</v>
      </c>
      <c r="L176" s="3">
        <v>46164</v>
      </c>
      <c r="M176" s="3">
        <v>46175</v>
      </c>
      <c r="N176" s="3">
        <v>46175</v>
      </c>
      <c r="O176" t="s">
        <v>472</v>
      </c>
      <c r="P176" t="s">
        <v>55</v>
      </c>
      <c r="Q176">
        <v>195</v>
      </c>
      <c r="S176" t="s">
        <v>142</v>
      </c>
      <c r="T176" t="s">
        <v>425</v>
      </c>
      <c r="U176">
        <v>197</v>
      </c>
      <c r="V176" t="s">
        <v>61</v>
      </c>
      <c r="W176">
        <v>13.4</v>
      </c>
      <c r="X176" t="s">
        <v>57</v>
      </c>
      <c r="Z176" t="s">
        <v>142</v>
      </c>
      <c r="AA176" t="s">
        <v>198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1</v>
      </c>
      <c r="AM176">
        <v>0</v>
      </c>
      <c r="AN176">
        <v>0</v>
      </c>
      <c r="AO176">
        <v>0</v>
      </c>
      <c r="AP176">
        <v>0</v>
      </c>
    </row>
    <row r="177" spans="1:42" x14ac:dyDescent="0.25">
      <c r="A177">
        <v>197</v>
      </c>
      <c r="B177" t="s">
        <v>473</v>
      </c>
      <c r="C177" t="s">
        <v>466</v>
      </c>
      <c r="D177" t="s">
        <v>133</v>
      </c>
      <c r="E177" s="4">
        <v>1</v>
      </c>
      <c r="F177" t="s">
        <v>330</v>
      </c>
      <c r="G177" t="s">
        <v>330</v>
      </c>
      <c r="H177" s="3">
        <v>46176</v>
      </c>
      <c r="I177" s="3">
        <v>46198</v>
      </c>
      <c r="J177" t="s">
        <v>74</v>
      </c>
      <c r="K177" s="3">
        <v>46167</v>
      </c>
      <c r="L177" s="3">
        <v>46167</v>
      </c>
      <c r="M177" s="3">
        <v>46198</v>
      </c>
      <c r="N177" s="3">
        <v>46198</v>
      </c>
      <c r="O177" t="s">
        <v>459</v>
      </c>
      <c r="P177" t="s">
        <v>55</v>
      </c>
      <c r="Q177">
        <v>196</v>
      </c>
      <c r="S177" t="s">
        <v>124</v>
      </c>
      <c r="T177" t="s">
        <v>425</v>
      </c>
      <c r="V177" t="s">
        <v>61</v>
      </c>
      <c r="W177">
        <v>13.4</v>
      </c>
      <c r="X177" t="s">
        <v>57</v>
      </c>
      <c r="Z177" t="s">
        <v>124</v>
      </c>
      <c r="AA177" t="s">
        <v>77</v>
      </c>
      <c r="AE177">
        <v>1</v>
      </c>
      <c r="AF177">
        <v>0</v>
      </c>
      <c r="AG177">
        <v>0</v>
      </c>
      <c r="AH177">
        <v>0</v>
      </c>
      <c r="AI177">
        <v>1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0</v>
      </c>
      <c r="AP177">
        <v>0</v>
      </c>
    </row>
    <row r="178" spans="1:42" x14ac:dyDescent="0.25">
      <c r="A178">
        <v>198</v>
      </c>
      <c r="B178" t="s">
        <v>474</v>
      </c>
      <c r="C178" t="s">
        <v>425</v>
      </c>
      <c r="D178" t="s">
        <v>475</v>
      </c>
      <c r="E178" s="4">
        <v>1</v>
      </c>
      <c r="F178" t="s">
        <v>210</v>
      </c>
      <c r="G178" t="s">
        <v>210</v>
      </c>
      <c r="H178" s="3">
        <v>46184</v>
      </c>
      <c r="I178" s="3">
        <v>46195</v>
      </c>
      <c r="J178" t="s">
        <v>189</v>
      </c>
      <c r="K178" s="3">
        <v>46176</v>
      </c>
      <c r="L178" s="3">
        <v>46171</v>
      </c>
      <c r="M178" s="3">
        <v>46195</v>
      </c>
      <c r="N178" s="3">
        <v>46195</v>
      </c>
      <c r="O178" t="s">
        <v>476</v>
      </c>
      <c r="P178" t="s">
        <v>55</v>
      </c>
      <c r="T178" t="s">
        <v>425</v>
      </c>
      <c r="V178" t="s">
        <v>101</v>
      </c>
      <c r="W178">
        <v>27.72</v>
      </c>
      <c r="X178" t="s">
        <v>57</v>
      </c>
      <c r="AA178" t="s">
        <v>50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</row>
    <row r="179" spans="1:42" x14ac:dyDescent="0.25">
      <c r="A179">
        <v>199</v>
      </c>
      <c r="B179" t="s">
        <v>477</v>
      </c>
      <c r="C179" t="s">
        <v>478</v>
      </c>
      <c r="D179" t="s">
        <v>117</v>
      </c>
      <c r="E179" s="4">
        <v>1</v>
      </c>
      <c r="F179" t="s">
        <v>138</v>
      </c>
      <c r="G179" t="s">
        <v>138</v>
      </c>
      <c r="H179" s="3">
        <v>46184</v>
      </c>
      <c r="I179" s="3">
        <v>46190</v>
      </c>
      <c r="J179" t="s">
        <v>189</v>
      </c>
      <c r="K179" s="3">
        <v>46171</v>
      </c>
      <c r="L179" s="3">
        <v>46171</v>
      </c>
      <c r="M179" s="3">
        <v>46190</v>
      </c>
      <c r="N179" s="3">
        <v>46190</v>
      </c>
      <c r="O179" t="s">
        <v>476</v>
      </c>
      <c r="P179" t="s">
        <v>55</v>
      </c>
      <c r="Q179">
        <v>189</v>
      </c>
      <c r="S179" t="s">
        <v>142</v>
      </c>
      <c r="T179" t="s">
        <v>425</v>
      </c>
      <c r="U179">
        <v>200</v>
      </c>
      <c r="V179" t="s">
        <v>61</v>
      </c>
      <c r="W179">
        <v>13.4</v>
      </c>
      <c r="X179" t="s">
        <v>57</v>
      </c>
      <c r="Z179" t="s">
        <v>142</v>
      </c>
      <c r="AA179" t="s">
        <v>77</v>
      </c>
      <c r="AE179">
        <v>1</v>
      </c>
      <c r="AF179">
        <v>1</v>
      </c>
      <c r="AG179">
        <v>1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1</v>
      </c>
    </row>
    <row r="180" spans="1:42" x14ac:dyDescent="0.25">
      <c r="A180">
        <v>200</v>
      </c>
      <c r="B180" t="s">
        <v>479</v>
      </c>
      <c r="C180" t="s">
        <v>478</v>
      </c>
      <c r="D180" t="s">
        <v>121</v>
      </c>
      <c r="E180" s="4">
        <v>1</v>
      </c>
      <c r="F180" t="s">
        <v>61</v>
      </c>
      <c r="G180" t="s">
        <v>61</v>
      </c>
      <c r="H180" s="3">
        <v>46191</v>
      </c>
      <c r="I180" s="3">
        <v>46191</v>
      </c>
      <c r="J180" t="s">
        <v>193</v>
      </c>
      <c r="K180" s="3">
        <v>46174</v>
      </c>
      <c r="L180" s="3">
        <v>46174</v>
      </c>
      <c r="M180" s="3">
        <v>46191</v>
      </c>
      <c r="N180" s="3">
        <v>46191</v>
      </c>
      <c r="O180" t="s">
        <v>480</v>
      </c>
      <c r="P180" t="s">
        <v>55</v>
      </c>
      <c r="Q180">
        <v>199</v>
      </c>
      <c r="S180" t="s">
        <v>124</v>
      </c>
      <c r="T180" t="s">
        <v>425</v>
      </c>
      <c r="U180">
        <v>201</v>
      </c>
      <c r="V180" t="s">
        <v>61</v>
      </c>
      <c r="W180">
        <v>13.4</v>
      </c>
      <c r="X180" t="s">
        <v>57</v>
      </c>
      <c r="Z180" t="s">
        <v>124</v>
      </c>
      <c r="AA180" t="s">
        <v>460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1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</row>
    <row r="181" spans="1:42" x14ac:dyDescent="0.25">
      <c r="A181">
        <v>201</v>
      </c>
      <c r="B181" t="s">
        <v>481</v>
      </c>
      <c r="C181" t="s">
        <v>478</v>
      </c>
      <c r="D181" t="s">
        <v>126</v>
      </c>
      <c r="E181" s="4">
        <v>1</v>
      </c>
      <c r="F181" t="s">
        <v>61</v>
      </c>
      <c r="G181" t="s">
        <v>61</v>
      </c>
      <c r="H181" s="3">
        <v>46192</v>
      </c>
      <c r="I181" s="3">
        <v>46192</v>
      </c>
      <c r="J181" t="s">
        <v>472</v>
      </c>
      <c r="K181" s="3">
        <v>46175</v>
      </c>
      <c r="L181" s="3">
        <v>46175</v>
      </c>
      <c r="M181" s="3">
        <v>46192</v>
      </c>
      <c r="N181" s="3">
        <v>46192</v>
      </c>
      <c r="O181" t="s">
        <v>211</v>
      </c>
      <c r="P181" t="s">
        <v>55</v>
      </c>
      <c r="Q181">
        <v>200</v>
      </c>
      <c r="S181" t="s">
        <v>142</v>
      </c>
      <c r="T181" t="s">
        <v>425</v>
      </c>
      <c r="U181">
        <v>202</v>
      </c>
      <c r="V181" t="s">
        <v>61</v>
      </c>
      <c r="W181">
        <v>13.4</v>
      </c>
      <c r="X181" t="s">
        <v>57</v>
      </c>
      <c r="Z181" t="s">
        <v>142</v>
      </c>
      <c r="AA181" t="s">
        <v>460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1</v>
      </c>
      <c r="AM181">
        <v>0</v>
      </c>
      <c r="AN181">
        <v>0</v>
      </c>
      <c r="AO181">
        <v>0</v>
      </c>
      <c r="AP181">
        <v>0</v>
      </c>
    </row>
    <row r="182" spans="1:42" x14ac:dyDescent="0.25">
      <c r="A182">
        <v>202</v>
      </c>
      <c r="B182" t="s">
        <v>482</v>
      </c>
      <c r="C182" t="s">
        <v>478</v>
      </c>
      <c r="D182" t="s">
        <v>133</v>
      </c>
      <c r="E182" s="4">
        <v>1</v>
      </c>
      <c r="F182" t="s">
        <v>61</v>
      </c>
      <c r="G182" t="s">
        <v>61</v>
      </c>
      <c r="H182" s="3">
        <v>46195</v>
      </c>
      <c r="I182" s="3">
        <v>46195</v>
      </c>
      <c r="J182" t="s">
        <v>459</v>
      </c>
      <c r="K182" s="3">
        <v>46176</v>
      </c>
      <c r="L182" s="3">
        <v>46176</v>
      </c>
      <c r="M182" s="3">
        <v>46195</v>
      </c>
      <c r="N182" s="3">
        <v>46195</v>
      </c>
      <c r="O182" t="s">
        <v>219</v>
      </c>
      <c r="P182" t="s">
        <v>55</v>
      </c>
      <c r="Q182">
        <v>201</v>
      </c>
      <c r="S182" t="s">
        <v>124</v>
      </c>
      <c r="T182" t="s">
        <v>425</v>
      </c>
      <c r="V182" t="s">
        <v>61</v>
      </c>
      <c r="W182">
        <v>13.4</v>
      </c>
      <c r="X182" t="s">
        <v>57</v>
      </c>
      <c r="Z182" t="s">
        <v>124</v>
      </c>
      <c r="AA182" t="s">
        <v>460</v>
      </c>
      <c r="AE182">
        <v>1</v>
      </c>
      <c r="AF182">
        <v>0</v>
      </c>
      <c r="AG182">
        <v>0</v>
      </c>
      <c r="AH182">
        <v>0</v>
      </c>
      <c r="AI182">
        <v>1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0</v>
      </c>
      <c r="AP182">
        <v>0</v>
      </c>
    </row>
    <row r="183" spans="1:42" x14ac:dyDescent="0.25">
      <c r="A183">
        <v>203</v>
      </c>
      <c r="B183" t="s">
        <v>483</v>
      </c>
      <c r="C183" t="s">
        <v>425</v>
      </c>
      <c r="D183" t="s">
        <v>484</v>
      </c>
      <c r="E183" s="4">
        <v>1</v>
      </c>
      <c r="F183" t="s">
        <v>174</v>
      </c>
      <c r="G183" t="s">
        <v>174</v>
      </c>
      <c r="H183" s="3">
        <v>46104</v>
      </c>
      <c r="I183" s="3">
        <v>46176</v>
      </c>
      <c r="J183" t="s">
        <v>406</v>
      </c>
      <c r="K183" s="3">
        <v>46169</v>
      </c>
      <c r="L183" s="3">
        <v>46156</v>
      </c>
      <c r="M183" s="3">
        <v>46176</v>
      </c>
      <c r="N183" s="3">
        <v>46176</v>
      </c>
      <c r="O183" t="s">
        <v>123</v>
      </c>
      <c r="P183" t="s">
        <v>55</v>
      </c>
      <c r="T183" t="s">
        <v>425</v>
      </c>
      <c r="V183" t="s">
        <v>151</v>
      </c>
      <c r="W183">
        <v>27.72</v>
      </c>
      <c r="X183" t="s">
        <v>57</v>
      </c>
      <c r="AA183" t="s">
        <v>50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</row>
    <row r="184" spans="1:42" x14ac:dyDescent="0.25">
      <c r="A184">
        <v>204</v>
      </c>
      <c r="B184" t="s">
        <v>485</v>
      </c>
      <c r="C184" t="s">
        <v>486</v>
      </c>
      <c r="D184" t="s">
        <v>117</v>
      </c>
      <c r="E184" s="4">
        <v>1</v>
      </c>
      <c r="F184" t="s">
        <v>487</v>
      </c>
      <c r="G184" t="s">
        <v>487</v>
      </c>
      <c r="H184" s="3">
        <v>46104</v>
      </c>
      <c r="I184" s="3">
        <v>46168</v>
      </c>
      <c r="J184" t="s">
        <v>406</v>
      </c>
      <c r="K184" s="3">
        <v>46162</v>
      </c>
      <c r="L184" s="3">
        <v>46156</v>
      </c>
      <c r="M184" s="3">
        <v>46168</v>
      </c>
      <c r="N184" s="3">
        <v>46168</v>
      </c>
      <c r="O184" t="s">
        <v>123</v>
      </c>
      <c r="P184" t="s">
        <v>55</v>
      </c>
      <c r="Q184" t="s">
        <v>488</v>
      </c>
      <c r="S184" t="s">
        <v>302</v>
      </c>
      <c r="T184" t="s">
        <v>425</v>
      </c>
      <c r="U184" t="s">
        <v>489</v>
      </c>
      <c r="V184" t="s">
        <v>138</v>
      </c>
      <c r="W184">
        <v>13.4</v>
      </c>
      <c r="X184" t="s">
        <v>57</v>
      </c>
      <c r="Z184" t="s">
        <v>302</v>
      </c>
      <c r="AA184" t="s">
        <v>93</v>
      </c>
      <c r="AE184">
        <v>1</v>
      </c>
      <c r="AF184">
        <v>1</v>
      </c>
      <c r="AG184">
        <v>1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1</v>
      </c>
    </row>
    <row r="185" spans="1:42" x14ac:dyDescent="0.25">
      <c r="A185">
        <v>205</v>
      </c>
      <c r="B185" t="s">
        <v>490</v>
      </c>
      <c r="C185" t="s">
        <v>486</v>
      </c>
      <c r="D185" t="s">
        <v>121</v>
      </c>
      <c r="E185" s="4">
        <v>1</v>
      </c>
      <c r="F185" t="s">
        <v>122</v>
      </c>
      <c r="G185" t="s">
        <v>122</v>
      </c>
      <c r="H185" s="3">
        <v>46169</v>
      </c>
      <c r="I185" s="3">
        <v>46171</v>
      </c>
      <c r="J185" t="s">
        <v>491</v>
      </c>
      <c r="K185" s="3">
        <v>46167</v>
      </c>
      <c r="L185" s="3">
        <v>46163</v>
      </c>
      <c r="M185" s="3">
        <v>46171</v>
      </c>
      <c r="N185" s="3">
        <v>46171</v>
      </c>
      <c r="O185" t="s">
        <v>97</v>
      </c>
      <c r="P185" t="s">
        <v>55</v>
      </c>
      <c r="Q185">
        <v>204</v>
      </c>
      <c r="S185" t="s">
        <v>124</v>
      </c>
      <c r="T185" t="s">
        <v>425</v>
      </c>
      <c r="U185">
        <v>206</v>
      </c>
      <c r="V185" t="s">
        <v>122</v>
      </c>
      <c r="W185">
        <v>13.4</v>
      </c>
      <c r="X185" t="s">
        <v>57</v>
      </c>
      <c r="Z185" t="s">
        <v>124</v>
      </c>
      <c r="AA185" t="s">
        <v>198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1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</row>
    <row r="186" spans="1:42" x14ac:dyDescent="0.25">
      <c r="A186">
        <v>206</v>
      </c>
      <c r="B186" t="s">
        <v>492</v>
      </c>
      <c r="C186" t="s">
        <v>486</v>
      </c>
      <c r="D186" t="s">
        <v>126</v>
      </c>
      <c r="E186" s="4">
        <v>1</v>
      </c>
      <c r="F186" t="s">
        <v>122</v>
      </c>
      <c r="G186" t="s">
        <v>122</v>
      </c>
      <c r="H186" s="3">
        <v>46174</v>
      </c>
      <c r="I186" s="3">
        <v>46176</v>
      </c>
      <c r="J186" t="s">
        <v>206</v>
      </c>
      <c r="K186" s="3">
        <v>46168</v>
      </c>
      <c r="L186" s="3">
        <v>46168</v>
      </c>
      <c r="M186" s="3">
        <v>46176</v>
      </c>
      <c r="N186" s="3">
        <v>46176</v>
      </c>
      <c r="O186" t="s">
        <v>193</v>
      </c>
      <c r="P186" t="s">
        <v>55</v>
      </c>
      <c r="Q186">
        <v>205</v>
      </c>
      <c r="S186" t="s">
        <v>302</v>
      </c>
      <c r="T186" t="s">
        <v>425</v>
      </c>
      <c r="U186">
        <v>207</v>
      </c>
      <c r="V186" t="s">
        <v>61</v>
      </c>
      <c r="W186">
        <v>13.4</v>
      </c>
      <c r="X186" t="s">
        <v>57</v>
      </c>
      <c r="Z186" t="s">
        <v>302</v>
      </c>
      <c r="AA186" t="s">
        <v>77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1</v>
      </c>
      <c r="AM186">
        <v>0</v>
      </c>
      <c r="AN186">
        <v>0</v>
      </c>
      <c r="AO186">
        <v>0</v>
      </c>
      <c r="AP186">
        <v>0</v>
      </c>
    </row>
    <row r="187" spans="1:42" x14ac:dyDescent="0.25">
      <c r="A187">
        <v>207</v>
      </c>
      <c r="B187" t="s">
        <v>493</v>
      </c>
      <c r="C187" t="s">
        <v>486</v>
      </c>
      <c r="D187" t="s">
        <v>133</v>
      </c>
      <c r="E187" s="4">
        <v>1</v>
      </c>
      <c r="F187" t="s">
        <v>494</v>
      </c>
      <c r="G187" t="s">
        <v>494</v>
      </c>
      <c r="H187" s="3">
        <v>46175</v>
      </c>
      <c r="I187" s="3">
        <v>46175</v>
      </c>
      <c r="J187" t="s">
        <v>97</v>
      </c>
      <c r="K187" s="3">
        <v>46169</v>
      </c>
      <c r="L187" s="3">
        <v>46169</v>
      </c>
      <c r="M187" s="3">
        <v>46175</v>
      </c>
      <c r="N187" s="3">
        <v>46175</v>
      </c>
      <c r="O187" t="s">
        <v>472</v>
      </c>
      <c r="P187" t="s">
        <v>55</v>
      </c>
      <c r="Q187">
        <v>206</v>
      </c>
      <c r="S187" t="s">
        <v>124</v>
      </c>
      <c r="T187" t="s">
        <v>425</v>
      </c>
      <c r="V187" t="s">
        <v>61</v>
      </c>
      <c r="W187">
        <v>13.4</v>
      </c>
      <c r="X187" t="s">
        <v>57</v>
      </c>
      <c r="Z187" t="s">
        <v>124</v>
      </c>
      <c r="AA187" t="s">
        <v>77</v>
      </c>
      <c r="AE187">
        <v>1</v>
      </c>
      <c r="AF187">
        <v>0</v>
      </c>
      <c r="AG187">
        <v>0</v>
      </c>
      <c r="AH187">
        <v>0</v>
      </c>
      <c r="AI187">
        <v>1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0</v>
      </c>
      <c r="AP187">
        <v>0</v>
      </c>
    </row>
    <row r="188" spans="1:42" x14ac:dyDescent="0.25">
      <c r="A188">
        <v>208</v>
      </c>
      <c r="B188" t="s">
        <v>495</v>
      </c>
      <c r="C188" t="s">
        <v>425</v>
      </c>
      <c r="D188" t="s">
        <v>496</v>
      </c>
      <c r="E188" s="4">
        <v>1</v>
      </c>
      <c r="F188" t="s">
        <v>497</v>
      </c>
      <c r="G188" t="s">
        <v>497</v>
      </c>
      <c r="H188" s="3">
        <v>46104</v>
      </c>
      <c r="I188" s="3">
        <v>46181</v>
      </c>
      <c r="J188" t="s">
        <v>406</v>
      </c>
      <c r="K188" s="3">
        <v>46169</v>
      </c>
      <c r="L188" s="3">
        <v>46156</v>
      </c>
      <c r="M188" s="3">
        <v>46181</v>
      </c>
      <c r="N188" s="3">
        <v>46181</v>
      </c>
      <c r="O188" t="s">
        <v>123</v>
      </c>
      <c r="P188" t="s">
        <v>55</v>
      </c>
      <c r="T188" t="s">
        <v>425</v>
      </c>
      <c r="V188" t="s">
        <v>151</v>
      </c>
      <c r="W188">
        <v>27.72</v>
      </c>
      <c r="X188" t="s">
        <v>57</v>
      </c>
      <c r="AA188" t="s">
        <v>50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</row>
    <row r="189" spans="1:42" x14ac:dyDescent="0.25">
      <c r="A189">
        <v>209</v>
      </c>
      <c r="B189" t="s">
        <v>498</v>
      </c>
      <c r="C189" t="s">
        <v>499</v>
      </c>
      <c r="D189" t="s">
        <v>117</v>
      </c>
      <c r="E189" s="4">
        <v>1</v>
      </c>
      <c r="F189" t="s">
        <v>500</v>
      </c>
      <c r="G189" t="s">
        <v>500</v>
      </c>
      <c r="H189" s="3">
        <v>46104</v>
      </c>
      <c r="I189" s="3">
        <v>46168</v>
      </c>
      <c r="J189" t="s">
        <v>406</v>
      </c>
      <c r="K189" s="3">
        <v>46162</v>
      </c>
      <c r="L189" s="3">
        <v>46156</v>
      </c>
      <c r="M189" s="3">
        <v>46168</v>
      </c>
      <c r="N189" s="3">
        <v>46168</v>
      </c>
      <c r="O189" t="s">
        <v>123</v>
      </c>
      <c r="P189" t="s">
        <v>55</v>
      </c>
      <c r="Q189" t="s">
        <v>488</v>
      </c>
      <c r="S189" t="s">
        <v>302</v>
      </c>
      <c r="T189" t="s">
        <v>425</v>
      </c>
      <c r="U189" t="s">
        <v>501</v>
      </c>
      <c r="V189" t="s">
        <v>138</v>
      </c>
      <c r="W189">
        <v>13.4</v>
      </c>
      <c r="X189" t="s">
        <v>57</v>
      </c>
      <c r="Z189" t="s">
        <v>302</v>
      </c>
      <c r="AA189" t="s">
        <v>93</v>
      </c>
      <c r="AE189">
        <v>1</v>
      </c>
      <c r="AF189">
        <v>1</v>
      </c>
      <c r="AG189">
        <v>1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1</v>
      </c>
    </row>
    <row r="190" spans="1:42" x14ac:dyDescent="0.25">
      <c r="A190">
        <v>210</v>
      </c>
      <c r="B190" t="s">
        <v>502</v>
      </c>
      <c r="C190" t="s">
        <v>499</v>
      </c>
      <c r="D190" t="s">
        <v>121</v>
      </c>
      <c r="E190" s="4">
        <v>1</v>
      </c>
      <c r="F190" t="s">
        <v>63</v>
      </c>
      <c r="G190" t="s">
        <v>63</v>
      </c>
      <c r="H190" s="3">
        <v>46169</v>
      </c>
      <c r="I190" s="3">
        <v>46171</v>
      </c>
      <c r="J190" t="s">
        <v>491</v>
      </c>
      <c r="K190" s="3">
        <v>46167</v>
      </c>
      <c r="L190" s="3">
        <v>46163</v>
      </c>
      <c r="M190" s="3">
        <v>46171</v>
      </c>
      <c r="N190" s="3">
        <v>46171</v>
      </c>
      <c r="O190" t="s">
        <v>97</v>
      </c>
      <c r="P190" t="s">
        <v>55</v>
      </c>
      <c r="Q190" t="s">
        <v>503</v>
      </c>
      <c r="S190" t="s">
        <v>124</v>
      </c>
      <c r="T190" t="s">
        <v>425</v>
      </c>
      <c r="U190">
        <v>211</v>
      </c>
      <c r="V190" t="s">
        <v>122</v>
      </c>
      <c r="W190">
        <v>13.4</v>
      </c>
      <c r="X190" t="s">
        <v>57</v>
      </c>
      <c r="Z190" t="s">
        <v>124</v>
      </c>
      <c r="AA190" t="s">
        <v>198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1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</row>
    <row r="191" spans="1:42" x14ac:dyDescent="0.25">
      <c r="A191">
        <v>211</v>
      </c>
      <c r="B191" t="s">
        <v>504</v>
      </c>
      <c r="C191" t="s">
        <v>499</v>
      </c>
      <c r="D191" t="s">
        <v>126</v>
      </c>
      <c r="E191" s="4">
        <v>1</v>
      </c>
      <c r="F191" t="s">
        <v>122</v>
      </c>
      <c r="G191" t="s">
        <v>122</v>
      </c>
      <c r="H191" s="3">
        <v>46174</v>
      </c>
      <c r="I191" s="3">
        <v>46176</v>
      </c>
      <c r="J191" t="s">
        <v>206</v>
      </c>
      <c r="K191" s="3">
        <v>46168</v>
      </c>
      <c r="L191" s="3">
        <v>46168</v>
      </c>
      <c r="M191" s="3">
        <v>46176</v>
      </c>
      <c r="N191" s="3">
        <v>46176</v>
      </c>
      <c r="O191" t="s">
        <v>193</v>
      </c>
      <c r="P191" t="s">
        <v>55</v>
      </c>
      <c r="Q191">
        <v>210</v>
      </c>
      <c r="S191" t="s">
        <v>302</v>
      </c>
      <c r="T191" t="s">
        <v>425</v>
      </c>
      <c r="U191">
        <v>212</v>
      </c>
      <c r="V191" t="s">
        <v>61</v>
      </c>
      <c r="W191">
        <v>13.4</v>
      </c>
      <c r="X191" t="s">
        <v>57</v>
      </c>
      <c r="Z191" t="s">
        <v>302</v>
      </c>
      <c r="AA191" t="s">
        <v>77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1</v>
      </c>
      <c r="AM191">
        <v>0</v>
      </c>
      <c r="AN191">
        <v>0</v>
      </c>
      <c r="AO191">
        <v>0</v>
      </c>
      <c r="AP191">
        <v>0</v>
      </c>
    </row>
    <row r="192" spans="1:42" x14ac:dyDescent="0.25">
      <c r="A192">
        <v>212</v>
      </c>
      <c r="B192" t="s">
        <v>505</v>
      </c>
      <c r="C192" t="s">
        <v>499</v>
      </c>
      <c r="D192" t="s">
        <v>133</v>
      </c>
      <c r="E192" s="4">
        <v>1</v>
      </c>
      <c r="F192" t="s">
        <v>506</v>
      </c>
      <c r="G192" t="s">
        <v>506</v>
      </c>
      <c r="H192" s="3">
        <v>46175</v>
      </c>
      <c r="I192" s="3">
        <v>46181</v>
      </c>
      <c r="J192" t="s">
        <v>97</v>
      </c>
      <c r="K192" s="3">
        <v>46169</v>
      </c>
      <c r="L192" s="3">
        <v>46169</v>
      </c>
      <c r="M192" s="3">
        <v>46181</v>
      </c>
      <c r="N192" s="3">
        <v>46181</v>
      </c>
      <c r="O192" t="s">
        <v>472</v>
      </c>
      <c r="P192" t="s">
        <v>55</v>
      </c>
      <c r="Q192">
        <v>211</v>
      </c>
      <c r="S192" t="s">
        <v>124</v>
      </c>
      <c r="T192" t="s">
        <v>425</v>
      </c>
      <c r="V192" t="s">
        <v>61</v>
      </c>
      <c r="W192">
        <v>13.4</v>
      </c>
      <c r="X192" t="s">
        <v>57</v>
      </c>
      <c r="Z192" t="s">
        <v>124</v>
      </c>
      <c r="AA192" t="s">
        <v>77</v>
      </c>
      <c r="AE192">
        <v>1</v>
      </c>
      <c r="AF192">
        <v>0</v>
      </c>
      <c r="AG192">
        <v>0</v>
      </c>
      <c r="AH192">
        <v>0</v>
      </c>
      <c r="AI192">
        <v>1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0</v>
      </c>
      <c r="AP192">
        <v>0</v>
      </c>
    </row>
    <row r="193" spans="1:42" x14ac:dyDescent="0.25">
      <c r="A193">
        <v>213</v>
      </c>
      <c r="B193" t="s">
        <v>507</v>
      </c>
      <c r="C193" t="s">
        <v>425</v>
      </c>
      <c r="D193" t="s">
        <v>508</v>
      </c>
      <c r="E193" s="4">
        <v>1</v>
      </c>
      <c r="F193" t="s">
        <v>497</v>
      </c>
      <c r="G193" t="s">
        <v>497</v>
      </c>
      <c r="H193" s="3">
        <v>46104</v>
      </c>
      <c r="I193" s="3">
        <v>46181</v>
      </c>
      <c r="J193" t="s">
        <v>406</v>
      </c>
      <c r="K193" s="3">
        <v>46169</v>
      </c>
      <c r="L193" s="3">
        <v>46156</v>
      </c>
      <c r="M193" s="3">
        <v>46181</v>
      </c>
      <c r="N193" s="3">
        <v>46181</v>
      </c>
      <c r="O193" t="s">
        <v>123</v>
      </c>
      <c r="P193" t="s">
        <v>55</v>
      </c>
      <c r="T193" t="s">
        <v>425</v>
      </c>
      <c r="V193" t="s">
        <v>151</v>
      </c>
      <c r="W193">
        <v>27.72</v>
      </c>
      <c r="X193" t="s">
        <v>57</v>
      </c>
      <c r="AA193" t="s">
        <v>50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</row>
    <row r="194" spans="1:42" x14ac:dyDescent="0.25">
      <c r="A194">
        <v>214</v>
      </c>
      <c r="B194" t="s">
        <v>509</v>
      </c>
      <c r="C194" t="s">
        <v>510</v>
      </c>
      <c r="D194" t="s">
        <v>117</v>
      </c>
      <c r="E194" s="4">
        <v>1</v>
      </c>
      <c r="F194" t="s">
        <v>487</v>
      </c>
      <c r="G194" t="s">
        <v>487</v>
      </c>
      <c r="H194" s="3">
        <v>46104</v>
      </c>
      <c r="I194" s="3">
        <v>46168</v>
      </c>
      <c r="J194" t="s">
        <v>406</v>
      </c>
      <c r="K194" s="3">
        <v>46162</v>
      </c>
      <c r="L194" s="3">
        <v>46156</v>
      </c>
      <c r="M194" s="3">
        <v>46168</v>
      </c>
      <c r="N194" s="3">
        <v>46168</v>
      </c>
      <c r="O194" t="s">
        <v>123</v>
      </c>
      <c r="P194" t="s">
        <v>55</v>
      </c>
      <c r="Q194" t="s">
        <v>488</v>
      </c>
      <c r="S194" t="s">
        <v>302</v>
      </c>
      <c r="T194" t="s">
        <v>425</v>
      </c>
      <c r="U194" t="s">
        <v>511</v>
      </c>
      <c r="V194" t="s">
        <v>138</v>
      </c>
      <c r="W194">
        <v>13.4</v>
      </c>
      <c r="X194" t="s">
        <v>57</v>
      </c>
      <c r="Z194" t="s">
        <v>302</v>
      </c>
      <c r="AA194" t="s">
        <v>93</v>
      </c>
      <c r="AE194">
        <v>1</v>
      </c>
      <c r="AF194">
        <v>1</v>
      </c>
      <c r="AG194">
        <v>1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1</v>
      </c>
    </row>
    <row r="195" spans="1:42" x14ac:dyDescent="0.25">
      <c r="A195">
        <v>215</v>
      </c>
      <c r="B195" t="s">
        <v>512</v>
      </c>
      <c r="C195" t="s">
        <v>510</v>
      </c>
      <c r="D195" t="s">
        <v>121</v>
      </c>
      <c r="E195" s="4">
        <v>1</v>
      </c>
      <c r="F195" t="s">
        <v>122</v>
      </c>
      <c r="G195" t="s">
        <v>122</v>
      </c>
      <c r="H195" s="3">
        <v>46169</v>
      </c>
      <c r="I195" s="3">
        <v>46171</v>
      </c>
      <c r="J195" t="s">
        <v>491</v>
      </c>
      <c r="K195" s="3">
        <v>46167</v>
      </c>
      <c r="L195" s="3">
        <v>46163</v>
      </c>
      <c r="M195" s="3">
        <v>46171</v>
      </c>
      <c r="N195" s="3">
        <v>46171</v>
      </c>
      <c r="O195" t="s">
        <v>97</v>
      </c>
      <c r="P195" t="s">
        <v>55</v>
      </c>
      <c r="Q195" t="s">
        <v>513</v>
      </c>
      <c r="S195" t="s">
        <v>124</v>
      </c>
      <c r="T195" t="s">
        <v>425</v>
      </c>
      <c r="U195">
        <v>216</v>
      </c>
      <c r="V195" t="s">
        <v>122</v>
      </c>
      <c r="W195">
        <v>13.4</v>
      </c>
      <c r="X195" t="s">
        <v>57</v>
      </c>
      <c r="Z195" t="s">
        <v>124</v>
      </c>
      <c r="AA195" t="s">
        <v>198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1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</row>
    <row r="196" spans="1:42" x14ac:dyDescent="0.25">
      <c r="A196">
        <v>216</v>
      </c>
      <c r="B196" t="s">
        <v>514</v>
      </c>
      <c r="C196" t="s">
        <v>510</v>
      </c>
      <c r="D196" t="s">
        <v>126</v>
      </c>
      <c r="E196" s="4">
        <v>1</v>
      </c>
      <c r="F196" t="s">
        <v>122</v>
      </c>
      <c r="G196" t="s">
        <v>122</v>
      </c>
      <c r="H196" s="3">
        <v>46174</v>
      </c>
      <c r="I196" s="3">
        <v>46176</v>
      </c>
      <c r="J196" t="s">
        <v>206</v>
      </c>
      <c r="K196" s="3">
        <v>46168</v>
      </c>
      <c r="L196" s="3">
        <v>46168</v>
      </c>
      <c r="M196" s="3">
        <v>46176</v>
      </c>
      <c r="N196" s="3">
        <v>46176</v>
      </c>
      <c r="O196" t="s">
        <v>193</v>
      </c>
      <c r="P196" t="s">
        <v>55</v>
      </c>
      <c r="Q196">
        <v>215</v>
      </c>
      <c r="S196" t="s">
        <v>302</v>
      </c>
      <c r="T196" t="s">
        <v>425</v>
      </c>
      <c r="U196">
        <v>217</v>
      </c>
      <c r="V196" t="s">
        <v>61</v>
      </c>
      <c r="W196">
        <v>13.4</v>
      </c>
      <c r="X196" t="s">
        <v>57</v>
      </c>
      <c r="Z196" t="s">
        <v>302</v>
      </c>
      <c r="AA196" t="s">
        <v>77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1</v>
      </c>
      <c r="AM196">
        <v>0</v>
      </c>
      <c r="AN196">
        <v>0</v>
      </c>
      <c r="AO196">
        <v>0</v>
      </c>
      <c r="AP196">
        <v>0</v>
      </c>
    </row>
    <row r="197" spans="1:42" x14ac:dyDescent="0.25">
      <c r="A197">
        <v>217</v>
      </c>
      <c r="B197" t="s">
        <v>515</v>
      </c>
      <c r="C197" t="s">
        <v>510</v>
      </c>
      <c r="D197" t="s">
        <v>133</v>
      </c>
      <c r="E197" s="4">
        <v>1</v>
      </c>
      <c r="F197" t="s">
        <v>506</v>
      </c>
      <c r="G197" t="s">
        <v>506</v>
      </c>
      <c r="H197" s="3">
        <v>46175</v>
      </c>
      <c r="I197" s="3">
        <v>46181</v>
      </c>
      <c r="J197" t="s">
        <v>97</v>
      </c>
      <c r="K197" s="3">
        <v>46169</v>
      </c>
      <c r="L197" s="3">
        <v>46169</v>
      </c>
      <c r="M197" s="3">
        <v>46181</v>
      </c>
      <c r="N197" s="3">
        <v>46181</v>
      </c>
      <c r="O197" t="s">
        <v>472</v>
      </c>
      <c r="P197" t="s">
        <v>55</v>
      </c>
      <c r="Q197">
        <v>216</v>
      </c>
      <c r="S197" t="s">
        <v>124</v>
      </c>
      <c r="T197" t="s">
        <v>425</v>
      </c>
      <c r="V197" t="s">
        <v>61</v>
      </c>
      <c r="W197">
        <v>13.4</v>
      </c>
      <c r="X197" t="s">
        <v>57</v>
      </c>
      <c r="Z197" t="s">
        <v>124</v>
      </c>
      <c r="AA197" t="s">
        <v>77</v>
      </c>
      <c r="AE197">
        <v>1</v>
      </c>
      <c r="AF197">
        <v>0</v>
      </c>
      <c r="AG197">
        <v>0</v>
      </c>
      <c r="AH197">
        <v>0</v>
      </c>
      <c r="AI197">
        <v>1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0</v>
      </c>
      <c r="AP197">
        <v>0</v>
      </c>
    </row>
    <row r="198" spans="1:42" x14ac:dyDescent="0.25">
      <c r="A198">
        <v>218</v>
      </c>
      <c r="B198" t="s">
        <v>516</v>
      </c>
      <c r="C198" t="s">
        <v>425</v>
      </c>
      <c r="D198" t="s">
        <v>517</v>
      </c>
      <c r="E198" s="4">
        <v>1</v>
      </c>
      <c r="F198" t="s">
        <v>226</v>
      </c>
      <c r="G198" t="s">
        <v>226</v>
      </c>
      <c r="H198" s="3">
        <v>46125</v>
      </c>
      <c r="I198" s="3">
        <v>46157</v>
      </c>
      <c r="J198" t="s">
        <v>337</v>
      </c>
      <c r="K198" s="3">
        <v>46181</v>
      </c>
      <c r="L198" s="3">
        <v>46134</v>
      </c>
      <c r="M198" s="3">
        <v>46157</v>
      </c>
      <c r="N198" s="3">
        <v>46157</v>
      </c>
      <c r="O198" t="s">
        <v>144</v>
      </c>
      <c r="P198" t="s">
        <v>55</v>
      </c>
      <c r="T198" t="s">
        <v>425</v>
      </c>
      <c r="V198" t="s">
        <v>340</v>
      </c>
      <c r="X198" t="s">
        <v>57</v>
      </c>
      <c r="AA198" t="s">
        <v>50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</row>
    <row r="199" spans="1:42" x14ac:dyDescent="0.25">
      <c r="A199">
        <v>219</v>
      </c>
      <c r="B199" t="s">
        <v>518</v>
      </c>
      <c r="C199" t="s">
        <v>519</v>
      </c>
      <c r="D199" t="s">
        <v>520</v>
      </c>
      <c r="E199" s="4">
        <v>1</v>
      </c>
      <c r="F199" t="s">
        <v>210</v>
      </c>
      <c r="G199" t="s">
        <v>210</v>
      </c>
      <c r="H199" s="3">
        <v>46126</v>
      </c>
      <c r="I199" s="3">
        <v>46139</v>
      </c>
      <c r="J199" t="s">
        <v>337</v>
      </c>
      <c r="K199" s="3">
        <v>46146</v>
      </c>
      <c r="L199" s="3">
        <v>46134</v>
      </c>
      <c r="M199" s="3">
        <v>46139</v>
      </c>
      <c r="N199" s="3">
        <v>46139</v>
      </c>
      <c r="O199" t="s">
        <v>334</v>
      </c>
      <c r="P199" t="s">
        <v>55</v>
      </c>
      <c r="T199" t="s">
        <v>425</v>
      </c>
      <c r="U199">
        <v>879</v>
      </c>
      <c r="V199" t="s">
        <v>210</v>
      </c>
      <c r="X199" t="s">
        <v>57</v>
      </c>
      <c r="AA199" t="s">
        <v>50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</row>
    <row r="200" spans="1:42" x14ac:dyDescent="0.25">
      <c r="A200">
        <v>220</v>
      </c>
      <c r="B200" t="s">
        <v>521</v>
      </c>
      <c r="C200" t="s">
        <v>522</v>
      </c>
      <c r="D200" t="s">
        <v>117</v>
      </c>
      <c r="E200" s="4">
        <v>1</v>
      </c>
      <c r="F200" t="s">
        <v>122</v>
      </c>
      <c r="G200" t="s">
        <v>122</v>
      </c>
      <c r="H200" s="3">
        <v>46126</v>
      </c>
      <c r="I200" s="3">
        <v>46128</v>
      </c>
      <c r="J200" t="s">
        <v>337</v>
      </c>
      <c r="K200" s="3">
        <v>46136</v>
      </c>
      <c r="L200" s="3">
        <v>46134</v>
      </c>
      <c r="M200" s="3">
        <v>46128</v>
      </c>
      <c r="N200" s="3">
        <v>46128</v>
      </c>
      <c r="O200" t="s">
        <v>334</v>
      </c>
      <c r="P200" t="s">
        <v>55</v>
      </c>
      <c r="Q200">
        <v>102</v>
      </c>
      <c r="R200" s="1">
        <v>46126</v>
      </c>
      <c r="S200" t="s">
        <v>523</v>
      </c>
      <c r="T200" t="s">
        <v>425</v>
      </c>
      <c r="U200" t="s">
        <v>524</v>
      </c>
      <c r="V200" t="s">
        <v>122</v>
      </c>
      <c r="W200">
        <v>13.4</v>
      </c>
      <c r="X200" t="s">
        <v>57</v>
      </c>
      <c r="Y200">
        <v>47.2</v>
      </c>
      <c r="Z200" t="s">
        <v>523</v>
      </c>
      <c r="AA200" t="s">
        <v>71</v>
      </c>
      <c r="AE200">
        <v>1</v>
      </c>
      <c r="AF200">
        <v>1</v>
      </c>
      <c r="AG200">
        <v>1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1</v>
      </c>
    </row>
    <row r="201" spans="1:42" x14ac:dyDescent="0.25">
      <c r="A201">
        <v>221</v>
      </c>
      <c r="B201" t="s">
        <v>525</v>
      </c>
      <c r="C201" t="s">
        <v>522</v>
      </c>
      <c r="D201" t="s">
        <v>121</v>
      </c>
      <c r="E201" s="4">
        <v>1</v>
      </c>
      <c r="F201" t="s">
        <v>122</v>
      </c>
      <c r="G201" t="s">
        <v>122</v>
      </c>
      <c r="H201" s="3">
        <v>46129</v>
      </c>
      <c r="I201" s="3">
        <v>46135</v>
      </c>
      <c r="J201" t="s">
        <v>188</v>
      </c>
      <c r="K201" s="3">
        <v>46141</v>
      </c>
      <c r="L201" s="3">
        <v>46139</v>
      </c>
      <c r="M201" s="3">
        <v>46135</v>
      </c>
      <c r="N201" s="3">
        <v>46135</v>
      </c>
      <c r="O201" t="s">
        <v>182</v>
      </c>
      <c r="P201" t="s">
        <v>55</v>
      </c>
      <c r="Q201">
        <v>220</v>
      </c>
      <c r="S201" t="s">
        <v>124</v>
      </c>
      <c r="T201" t="s">
        <v>425</v>
      </c>
      <c r="U201">
        <v>222</v>
      </c>
      <c r="V201" t="s">
        <v>122</v>
      </c>
      <c r="W201">
        <v>13.4</v>
      </c>
      <c r="X201" t="s">
        <v>57</v>
      </c>
      <c r="Z201" t="s">
        <v>124</v>
      </c>
      <c r="AA201" t="s">
        <v>71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1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</row>
    <row r="202" spans="1:42" x14ac:dyDescent="0.25">
      <c r="A202">
        <v>222</v>
      </c>
      <c r="B202" t="s">
        <v>526</v>
      </c>
      <c r="C202" t="s">
        <v>522</v>
      </c>
      <c r="D202" t="s">
        <v>126</v>
      </c>
      <c r="E202" s="4">
        <v>1</v>
      </c>
      <c r="F202" t="s">
        <v>61</v>
      </c>
      <c r="G202" t="s">
        <v>61</v>
      </c>
      <c r="H202" s="3">
        <v>46136</v>
      </c>
      <c r="I202" s="3">
        <v>46136</v>
      </c>
      <c r="J202" t="s">
        <v>527</v>
      </c>
      <c r="K202" s="3">
        <v>46142</v>
      </c>
      <c r="L202" s="3">
        <v>46142</v>
      </c>
      <c r="M202" s="3">
        <v>46136</v>
      </c>
      <c r="N202" s="3">
        <v>46136</v>
      </c>
      <c r="O202" t="s">
        <v>67</v>
      </c>
      <c r="P202" t="s">
        <v>55</v>
      </c>
      <c r="Q202">
        <v>221</v>
      </c>
      <c r="S202" t="s">
        <v>523</v>
      </c>
      <c r="T202" t="s">
        <v>425</v>
      </c>
      <c r="U202">
        <v>223</v>
      </c>
      <c r="V202" t="s">
        <v>61</v>
      </c>
      <c r="W202">
        <v>13.4</v>
      </c>
      <c r="X202" t="s">
        <v>57</v>
      </c>
      <c r="Z202" t="s">
        <v>523</v>
      </c>
      <c r="AA202" t="s">
        <v>71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1</v>
      </c>
      <c r="AM202">
        <v>0</v>
      </c>
      <c r="AN202">
        <v>0</v>
      </c>
      <c r="AO202">
        <v>0</v>
      </c>
      <c r="AP202">
        <v>0</v>
      </c>
    </row>
    <row r="203" spans="1:42" x14ac:dyDescent="0.25">
      <c r="A203">
        <v>223</v>
      </c>
      <c r="B203" t="s">
        <v>528</v>
      </c>
      <c r="C203" t="s">
        <v>522</v>
      </c>
      <c r="D203" t="s">
        <v>133</v>
      </c>
      <c r="E203" s="4">
        <v>1</v>
      </c>
      <c r="F203" t="s">
        <v>61</v>
      </c>
      <c r="G203" t="s">
        <v>61</v>
      </c>
      <c r="H203" s="3">
        <v>46139</v>
      </c>
      <c r="I203" s="3">
        <v>46139</v>
      </c>
      <c r="J203" t="s">
        <v>409</v>
      </c>
      <c r="K203" s="3">
        <v>46146</v>
      </c>
      <c r="L203" s="3">
        <v>46146</v>
      </c>
      <c r="M203" s="3">
        <v>46139</v>
      </c>
      <c r="N203" s="3">
        <v>46139</v>
      </c>
      <c r="O203" t="s">
        <v>188</v>
      </c>
      <c r="P203" t="s">
        <v>55</v>
      </c>
      <c r="Q203">
        <v>222</v>
      </c>
      <c r="S203" t="s">
        <v>124</v>
      </c>
      <c r="T203" t="s">
        <v>425</v>
      </c>
      <c r="U203">
        <v>225</v>
      </c>
      <c r="V203" t="s">
        <v>61</v>
      </c>
      <c r="W203">
        <v>13.4</v>
      </c>
      <c r="X203" t="s">
        <v>57</v>
      </c>
      <c r="Z203" t="s">
        <v>124</v>
      </c>
      <c r="AA203" t="s">
        <v>401</v>
      </c>
      <c r="AE203">
        <v>1</v>
      </c>
      <c r="AF203">
        <v>0</v>
      </c>
      <c r="AG203">
        <v>0</v>
      </c>
      <c r="AH203">
        <v>0</v>
      </c>
      <c r="AI203">
        <v>1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0</v>
      </c>
      <c r="AP203">
        <v>0</v>
      </c>
    </row>
    <row r="204" spans="1:42" x14ac:dyDescent="0.25">
      <c r="A204">
        <v>224</v>
      </c>
      <c r="B204" t="s">
        <v>529</v>
      </c>
      <c r="C204" t="s">
        <v>519</v>
      </c>
      <c r="D204" t="s">
        <v>530</v>
      </c>
      <c r="E204" s="4">
        <v>1</v>
      </c>
      <c r="F204" t="s">
        <v>226</v>
      </c>
      <c r="G204" t="s">
        <v>226</v>
      </c>
      <c r="H204" s="3">
        <v>46125</v>
      </c>
      <c r="I204" s="3">
        <v>46157</v>
      </c>
      <c r="J204" t="s">
        <v>97</v>
      </c>
      <c r="K204" s="3">
        <v>46181</v>
      </c>
      <c r="L204" s="3">
        <v>46169</v>
      </c>
      <c r="M204" s="3">
        <v>46157</v>
      </c>
      <c r="N204" s="3">
        <v>46157</v>
      </c>
      <c r="O204" t="s">
        <v>144</v>
      </c>
      <c r="P204" t="s">
        <v>55</v>
      </c>
      <c r="T204" t="s">
        <v>425</v>
      </c>
      <c r="V204" t="s">
        <v>175</v>
      </c>
      <c r="X204" t="s">
        <v>57</v>
      </c>
      <c r="AA204" t="s">
        <v>50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</row>
    <row r="205" spans="1:42" x14ac:dyDescent="0.25">
      <c r="A205">
        <v>225</v>
      </c>
      <c r="B205" t="s">
        <v>531</v>
      </c>
      <c r="C205" t="s">
        <v>532</v>
      </c>
      <c r="D205" t="s">
        <v>117</v>
      </c>
      <c r="E205" s="4">
        <v>1</v>
      </c>
      <c r="F205" t="s">
        <v>127</v>
      </c>
      <c r="G205" t="s">
        <v>127</v>
      </c>
      <c r="H205" s="3">
        <v>46125</v>
      </c>
      <c r="I205" s="3">
        <v>46126</v>
      </c>
      <c r="J205" t="s">
        <v>97</v>
      </c>
      <c r="K205" s="3">
        <v>46170</v>
      </c>
      <c r="L205" s="3">
        <v>46169</v>
      </c>
      <c r="M205" s="3">
        <v>46126</v>
      </c>
      <c r="N205" s="3">
        <v>46126</v>
      </c>
      <c r="O205" t="s">
        <v>144</v>
      </c>
      <c r="P205" t="s">
        <v>55</v>
      </c>
      <c r="Q205" t="s">
        <v>533</v>
      </c>
      <c r="S205" t="s">
        <v>523</v>
      </c>
      <c r="T205" t="s">
        <v>425</v>
      </c>
      <c r="U205" t="s">
        <v>534</v>
      </c>
      <c r="V205" t="s">
        <v>127</v>
      </c>
      <c r="W205">
        <v>13.4</v>
      </c>
      <c r="X205" t="s">
        <v>57</v>
      </c>
      <c r="Z205" t="s">
        <v>523</v>
      </c>
      <c r="AA205" t="s">
        <v>77</v>
      </c>
      <c r="AE205">
        <v>1</v>
      </c>
      <c r="AF205">
        <v>1</v>
      </c>
      <c r="AG205">
        <v>1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1</v>
      </c>
    </row>
    <row r="206" spans="1:42" x14ac:dyDescent="0.25">
      <c r="A206">
        <v>226</v>
      </c>
      <c r="B206" t="s">
        <v>535</v>
      </c>
      <c r="C206" t="s">
        <v>532</v>
      </c>
      <c r="D206" t="s">
        <v>121</v>
      </c>
      <c r="E206" s="4">
        <v>1</v>
      </c>
      <c r="F206" t="s">
        <v>122</v>
      </c>
      <c r="G206" t="s">
        <v>122</v>
      </c>
      <c r="H206" s="3">
        <v>46127</v>
      </c>
      <c r="I206" s="3">
        <v>46129</v>
      </c>
      <c r="J206" t="s">
        <v>189</v>
      </c>
      <c r="K206" s="3">
        <v>46175</v>
      </c>
      <c r="L206" s="3">
        <v>46171</v>
      </c>
      <c r="M206" s="3">
        <v>46129</v>
      </c>
      <c r="N206" s="3">
        <v>46129</v>
      </c>
      <c r="O206" t="s">
        <v>146</v>
      </c>
      <c r="P206" t="s">
        <v>55</v>
      </c>
      <c r="Q206">
        <v>225</v>
      </c>
      <c r="S206" t="s">
        <v>124</v>
      </c>
      <c r="T206" t="s">
        <v>425</v>
      </c>
      <c r="U206">
        <v>227</v>
      </c>
      <c r="V206" t="s">
        <v>122</v>
      </c>
      <c r="W206">
        <v>13.4</v>
      </c>
      <c r="X206" t="s">
        <v>57</v>
      </c>
      <c r="Z206" t="s">
        <v>124</v>
      </c>
      <c r="AA206" t="s">
        <v>77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1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</row>
    <row r="207" spans="1:42" x14ac:dyDescent="0.25">
      <c r="A207">
        <v>227</v>
      </c>
      <c r="B207" t="s">
        <v>536</v>
      </c>
      <c r="C207" t="s">
        <v>532</v>
      </c>
      <c r="D207" t="s">
        <v>126</v>
      </c>
      <c r="E207" s="4">
        <v>1</v>
      </c>
      <c r="F207" t="s">
        <v>537</v>
      </c>
      <c r="G207" t="s">
        <v>537</v>
      </c>
      <c r="H207" s="3">
        <v>46129</v>
      </c>
      <c r="I207" s="3">
        <v>46156</v>
      </c>
      <c r="J207" t="s">
        <v>459</v>
      </c>
      <c r="K207" s="3">
        <v>46176</v>
      </c>
      <c r="L207" s="3">
        <v>46176</v>
      </c>
      <c r="M207" s="3">
        <v>46156</v>
      </c>
      <c r="N207" s="3">
        <v>46156</v>
      </c>
      <c r="O207" t="s">
        <v>182</v>
      </c>
      <c r="P207" t="s">
        <v>55</v>
      </c>
      <c r="Q207">
        <v>226</v>
      </c>
      <c r="S207" t="s">
        <v>523</v>
      </c>
      <c r="T207" t="s">
        <v>425</v>
      </c>
      <c r="U207">
        <v>228</v>
      </c>
      <c r="V207" t="s">
        <v>61</v>
      </c>
      <c r="W207">
        <v>13.4</v>
      </c>
      <c r="X207" t="s">
        <v>57</v>
      </c>
      <c r="Z207" t="s">
        <v>523</v>
      </c>
      <c r="AA207" t="s">
        <v>460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1</v>
      </c>
      <c r="AM207">
        <v>0</v>
      </c>
      <c r="AN207">
        <v>0</v>
      </c>
      <c r="AO207">
        <v>0</v>
      </c>
      <c r="AP207">
        <v>0</v>
      </c>
    </row>
    <row r="208" spans="1:42" x14ac:dyDescent="0.25">
      <c r="A208">
        <v>228</v>
      </c>
      <c r="B208" t="s">
        <v>538</v>
      </c>
      <c r="C208" t="s">
        <v>532</v>
      </c>
      <c r="D208" t="s">
        <v>133</v>
      </c>
      <c r="E208" s="4">
        <v>1</v>
      </c>
      <c r="F208" t="s">
        <v>539</v>
      </c>
      <c r="G208" t="s">
        <v>539</v>
      </c>
      <c r="H208" s="3">
        <v>46129</v>
      </c>
      <c r="I208" s="3">
        <v>46157</v>
      </c>
      <c r="J208" t="s">
        <v>201</v>
      </c>
      <c r="K208" s="3">
        <v>46181</v>
      </c>
      <c r="L208" s="3">
        <v>46181</v>
      </c>
      <c r="M208" s="3">
        <v>46157</v>
      </c>
      <c r="N208" s="3">
        <v>46157</v>
      </c>
      <c r="O208" t="s">
        <v>182</v>
      </c>
      <c r="P208" t="s">
        <v>55</v>
      </c>
      <c r="Q208">
        <v>227</v>
      </c>
      <c r="S208" t="s">
        <v>124</v>
      </c>
      <c r="T208" t="s">
        <v>425</v>
      </c>
      <c r="V208" t="s">
        <v>61</v>
      </c>
      <c r="W208">
        <v>13.4</v>
      </c>
      <c r="X208" t="s">
        <v>57</v>
      </c>
      <c r="Z208" t="s">
        <v>124</v>
      </c>
      <c r="AA208" t="s">
        <v>462</v>
      </c>
      <c r="AE208">
        <v>1</v>
      </c>
      <c r="AF208">
        <v>0</v>
      </c>
      <c r="AG208">
        <v>0</v>
      </c>
      <c r="AH208">
        <v>0</v>
      </c>
      <c r="AI208">
        <v>1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0</v>
      </c>
      <c r="AP208">
        <v>0</v>
      </c>
    </row>
    <row r="209" spans="1:42" x14ac:dyDescent="0.25">
      <c r="A209">
        <v>229</v>
      </c>
      <c r="B209" t="s">
        <v>540</v>
      </c>
      <c r="C209" t="s">
        <v>519</v>
      </c>
      <c r="D209" t="s">
        <v>541</v>
      </c>
      <c r="E209" s="4">
        <v>1</v>
      </c>
      <c r="F209" t="s">
        <v>226</v>
      </c>
      <c r="G209" t="s">
        <v>226</v>
      </c>
      <c r="H209" s="3">
        <v>46125</v>
      </c>
      <c r="I209" s="3">
        <v>46157</v>
      </c>
      <c r="J209" t="s">
        <v>97</v>
      </c>
      <c r="K209" s="3">
        <v>46181</v>
      </c>
      <c r="L209" s="3">
        <v>46169</v>
      </c>
      <c r="M209" s="3">
        <v>46157</v>
      </c>
      <c r="N209" s="3">
        <v>46157</v>
      </c>
      <c r="O209" t="s">
        <v>144</v>
      </c>
      <c r="P209" t="s">
        <v>55</v>
      </c>
      <c r="T209" t="s">
        <v>425</v>
      </c>
      <c r="V209" t="s">
        <v>175</v>
      </c>
      <c r="X209" t="s">
        <v>57</v>
      </c>
      <c r="AA209" t="s">
        <v>50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</row>
    <row r="210" spans="1:42" x14ac:dyDescent="0.25">
      <c r="A210">
        <v>230</v>
      </c>
      <c r="B210" t="s">
        <v>542</v>
      </c>
      <c r="C210" t="s">
        <v>543</v>
      </c>
      <c r="D210" t="s">
        <v>117</v>
      </c>
      <c r="E210" s="4">
        <v>1</v>
      </c>
      <c r="F210" t="s">
        <v>127</v>
      </c>
      <c r="G210" t="s">
        <v>127</v>
      </c>
      <c r="H210" s="3">
        <v>46125</v>
      </c>
      <c r="I210" s="3">
        <v>46126</v>
      </c>
      <c r="J210" t="s">
        <v>97</v>
      </c>
      <c r="K210" s="3">
        <v>46170</v>
      </c>
      <c r="L210" s="3">
        <v>46169</v>
      </c>
      <c r="M210" s="3">
        <v>46126</v>
      </c>
      <c r="N210" s="3">
        <v>46126</v>
      </c>
      <c r="O210" t="s">
        <v>144</v>
      </c>
      <c r="P210" t="s">
        <v>55</v>
      </c>
      <c r="Q210" t="s">
        <v>544</v>
      </c>
      <c r="S210" t="s">
        <v>523</v>
      </c>
      <c r="T210" t="s">
        <v>425</v>
      </c>
      <c r="U210">
        <v>231</v>
      </c>
      <c r="V210" t="s">
        <v>127</v>
      </c>
      <c r="W210">
        <v>13.4</v>
      </c>
      <c r="X210" t="s">
        <v>57</v>
      </c>
      <c r="Z210" t="s">
        <v>523</v>
      </c>
      <c r="AA210" t="s">
        <v>77</v>
      </c>
      <c r="AE210">
        <v>1</v>
      </c>
      <c r="AF210">
        <v>1</v>
      </c>
      <c r="AG210">
        <v>1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1</v>
      </c>
    </row>
    <row r="211" spans="1:42" x14ac:dyDescent="0.25">
      <c r="A211">
        <v>231</v>
      </c>
      <c r="B211" t="s">
        <v>545</v>
      </c>
      <c r="C211" t="s">
        <v>543</v>
      </c>
      <c r="D211" t="s">
        <v>121</v>
      </c>
      <c r="E211" s="4">
        <v>1</v>
      </c>
      <c r="F211" t="s">
        <v>122</v>
      </c>
      <c r="G211" t="s">
        <v>122</v>
      </c>
      <c r="H211" s="3">
        <v>46127</v>
      </c>
      <c r="I211" s="3">
        <v>46129</v>
      </c>
      <c r="J211" t="s">
        <v>189</v>
      </c>
      <c r="K211" s="3">
        <v>46175</v>
      </c>
      <c r="L211" s="3">
        <v>46171</v>
      </c>
      <c r="M211" s="3">
        <v>46129</v>
      </c>
      <c r="N211" s="3">
        <v>46129</v>
      </c>
      <c r="O211" t="s">
        <v>146</v>
      </c>
      <c r="P211" t="s">
        <v>55</v>
      </c>
      <c r="Q211">
        <v>230</v>
      </c>
      <c r="S211" t="s">
        <v>124</v>
      </c>
      <c r="T211" t="s">
        <v>425</v>
      </c>
      <c r="U211">
        <v>232</v>
      </c>
      <c r="V211" t="s">
        <v>122</v>
      </c>
      <c r="W211">
        <v>13.4</v>
      </c>
      <c r="X211" t="s">
        <v>57</v>
      </c>
      <c r="Z211" t="s">
        <v>124</v>
      </c>
      <c r="AA211" t="s">
        <v>77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1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</row>
    <row r="212" spans="1:42" x14ac:dyDescent="0.25">
      <c r="A212">
        <v>232</v>
      </c>
      <c r="B212" t="s">
        <v>546</v>
      </c>
      <c r="C212" t="s">
        <v>543</v>
      </c>
      <c r="D212" t="s">
        <v>126</v>
      </c>
      <c r="E212" s="4">
        <v>1</v>
      </c>
      <c r="F212" t="s">
        <v>537</v>
      </c>
      <c r="G212" t="s">
        <v>537</v>
      </c>
      <c r="H212" s="3">
        <v>46129</v>
      </c>
      <c r="I212" s="3">
        <v>46156</v>
      </c>
      <c r="J212" t="s">
        <v>459</v>
      </c>
      <c r="K212" s="3">
        <v>46176</v>
      </c>
      <c r="L212" s="3">
        <v>46176</v>
      </c>
      <c r="M212" s="3">
        <v>46156</v>
      </c>
      <c r="N212" s="3">
        <v>46156</v>
      </c>
      <c r="O212" t="s">
        <v>182</v>
      </c>
      <c r="P212" t="s">
        <v>55</v>
      </c>
      <c r="Q212">
        <v>231</v>
      </c>
      <c r="S212" t="s">
        <v>523</v>
      </c>
      <c r="T212" t="s">
        <v>425</v>
      </c>
      <c r="U212">
        <v>233</v>
      </c>
      <c r="V212" t="s">
        <v>61</v>
      </c>
      <c r="W212">
        <v>13.4</v>
      </c>
      <c r="X212" t="s">
        <v>57</v>
      </c>
      <c r="Z212" t="s">
        <v>523</v>
      </c>
      <c r="AA212" t="s">
        <v>460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1</v>
      </c>
      <c r="AM212">
        <v>0</v>
      </c>
      <c r="AN212">
        <v>0</v>
      </c>
      <c r="AO212">
        <v>0</v>
      </c>
      <c r="AP212">
        <v>0</v>
      </c>
    </row>
    <row r="213" spans="1:42" x14ac:dyDescent="0.25">
      <c r="A213">
        <v>233</v>
      </c>
      <c r="B213" t="s">
        <v>547</v>
      </c>
      <c r="C213" t="s">
        <v>543</v>
      </c>
      <c r="D213" t="s">
        <v>133</v>
      </c>
      <c r="E213" s="4">
        <v>1</v>
      </c>
      <c r="F213" t="s">
        <v>548</v>
      </c>
      <c r="G213" t="s">
        <v>548</v>
      </c>
      <c r="H213" s="3">
        <v>46129</v>
      </c>
      <c r="I213" s="3">
        <v>46157</v>
      </c>
      <c r="J213" t="s">
        <v>201</v>
      </c>
      <c r="K213" s="3">
        <v>46181</v>
      </c>
      <c r="L213" s="3">
        <v>46181</v>
      </c>
      <c r="M213" s="3">
        <v>46157</v>
      </c>
      <c r="N213" s="3">
        <v>46157</v>
      </c>
      <c r="O213" t="s">
        <v>182</v>
      </c>
      <c r="P213" t="s">
        <v>55</v>
      </c>
      <c r="Q213">
        <v>232</v>
      </c>
      <c r="S213" t="s">
        <v>124</v>
      </c>
      <c r="T213" t="s">
        <v>425</v>
      </c>
      <c r="V213" t="s">
        <v>61</v>
      </c>
      <c r="W213">
        <v>13.4</v>
      </c>
      <c r="X213" t="s">
        <v>57</v>
      </c>
      <c r="Z213" t="s">
        <v>124</v>
      </c>
      <c r="AA213" t="s">
        <v>462</v>
      </c>
      <c r="AE213">
        <v>1</v>
      </c>
      <c r="AF213">
        <v>0</v>
      </c>
      <c r="AG213">
        <v>0</v>
      </c>
      <c r="AH213">
        <v>0</v>
      </c>
      <c r="AI213">
        <v>1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0</v>
      </c>
      <c r="AP213">
        <v>0</v>
      </c>
    </row>
    <row r="214" spans="1:42" x14ac:dyDescent="0.25">
      <c r="A214">
        <v>234</v>
      </c>
      <c r="B214" t="s">
        <v>549</v>
      </c>
      <c r="C214" t="s">
        <v>519</v>
      </c>
      <c r="D214" t="s">
        <v>550</v>
      </c>
      <c r="E214" s="4">
        <v>1</v>
      </c>
      <c r="F214" t="s">
        <v>175</v>
      </c>
      <c r="G214" t="s">
        <v>175</v>
      </c>
      <c r="H214" s="3">
        <v>46125</v>
      </c>
      <c r="I214" s="3">
        <v>46135</v>
      </c>
      <c r="J214" t="s">
        <v>144</v>
      </c>
      <c r="K214" s="3">
        <v>46135</v>
      </c>
      <c r="L214" s="3">
        <v>46125</v>
      </c>
      <c r="M214" s="3">
        <v>46135</v>
      </c>
      <c r="N214" s="3">
        <v>46135</v>
      </c>
      <c r="O214" t="s">
        <v>144</v>
      </c>
      <c r="P214" t="s">
        <v>55</v>
      </c>
      <c r="T214" t="s">
        <v>425</v>
      </c>
      <c r="V214" t="s">
        <v>175</v>
      </c>
      <c r="X214" t="s">
        <v>57</v>
      </c>
      <c r="AA214" t="s">
        <v>50</v>
      </c>
      <c r="AB214" t="s">
        <v>94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</row>
    <row r="215" spans="1:42" x14ac:dyDescent="0.25">
      <c r="A215">
        <v>235</v>
      </c>
      <c r="B215" t="s">
        <v>551</v>
      </c>
      <c r="C215" t="s">
        <v>552</v>
      </c>
      <c r="D215" t="s">
        <v>117</v>
      </c>
      <c r="E215" s="4">
        <v>1</v>
      </c>
      <c r="F215" t="s">
        <v>127</v>
      </c>
      <c r="G215" t="s">
        <v>127</v>
      </c>
      <c r="H215" s="3">
        <v>46125</v>
      </c>
      <c r="I215" s="3">
        <v>46126</v>
      </c>
      <c r="J215" t="s">
        <v>144</v>
      </c>
      <c r="K215" s="3">
        <v>46126</v>
      </c>
      <c r="L215" s="3">
        <v>46125</v>
      </c>
      <c r="M215" s="3">
        <v>46126</v>
      </c>
      <c r="N215" s="3">
        <v>46126</v>
      </c>
      <c r="O215" t="s">
        <v>144</v>
      </c>
      <c r="P215" t="s">
        <v>55</v>
      </c>
      <c r="Q215" t="s">
        <v>544</v>
      </c>
      <c r="R215" s="1">
        <v>46126</v>
      </c>
      <c r="S215" t="s">
        <v>523</v>
      </c>
      <c r="T215" t="s">
        <v>425</v>
      </c>
      <c r="U215">
        <v>236</v>
      </c>
      <c r="V215" t="s">
        <v>127</v>
      </c>
      <c r="W215">
        <v>13.4</v>
      </c>
      <c r="X215" t="s">
        <v>57</v>
      </c>
      <c r="Y215">
        <v>9</v>
      </c>
      <c r="Z215" t="s">
        <v>523</v>
      </c>
      <c r="AA215" t="s">
        <v>77</v>
      </c>
      <c r="AE215">
        <v>1</v>
      </c>
      <c r="AF215">
        <v>1</v>
      </c>
      <c r="AG215">
        <v>1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1</v>
      </c>
    </row>
    <row r="216" spans="1:42" x14ac:dyDescent="0.25">
      <c r="A216">
        <v>236</v>
      </c>
      <c r="B216" t="s">
        <v>553</v>
      </c>
      <c r="C216" t="s">
        <v>552</v>
      </c>
      <c r="D216" t="s">
        <v>121</v>
      </c>
      <c r="E216" s="4">
        <v>1</v>
      </c>
      <c r="F216" t="s">
        <v>122</v>
      </c>
      <c r="G216" t="s">
        <v>122</v>
      </c>
      <c r="H216" s="3">
        <v>46127</v>
      </c>
      <c r="I216" s="3">
        <v>46129</v>
      </c>
      <c r="J216" t="s">
        <v>146</v>
      </c>
      <c r="K216" s="3">
        <v>46129</v>
      </c>
      <c r="L216" s="3">
        <v>46127</v>
      </c>
      <c r="M216" s="3">
        <v>46129</v>
      </c>
      <c r="N216" s="3">
        <v>46129</v>
      </c>
      <c r="O216" t="s">
        <v>146</v>
      </c>
      <c r="P216" t="s">
        <v>55</v>
      </c>
      <c r="Q216">
        <v>235</v>
      </c>
      <c r="S216" t="s">
        <v>124</v>
      </c>
      <c r="T216" t="s">
        <v>425</v>
      </c>
      <c r="U216">
        <v>237</v>
      </c>
      <c r="V216" t="s">
        <v>122</v>
      </c>
      <c r="W216">
        <v>13.4</v>
      </c>
      <c r="X216" t="s">
        <v>57</v>
      </c>
      <c r="Z216" t="s">
        <v>124</v>
      </c>
      <c r="AA216" t="s">
        <v>77</v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1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</row>
    <row r="217" spans="1:42" x14ac:dyDescent="0.25">
      <c r="A217">
        <v>237</v>
      </c>
      <c r="B217" t="s">
        <v>554</v>
      </c>
      <c r="C217" t="s">
        <v>552</v>
      </c>
      <c r="D217" t="s">
        <v>126</v>
      </c>
      <c r="E217" s="4">
        <v>1</v>
      </c>
      <c r="F217" t="s">
        <v>61</v>
      </c>
      <c r="G217" t="s">
        <v>61</v>
      </c>
      <c r="H217" s="3">
        <v>46134</v>
      </c>
      <c r="I217" s="3">
        <v>46134</v>
      </c>
      <c r="J217" t="s">
        <v>337</v>
      </c>
      <c r="K217" s="3">
        <v>46134</v>
      </c>
      <c r="L217" s="3">
        <v>46134</v>
      </c>
      <c r="M217" s="3">
        <v>46134</v>
      </c>
      <c r="N217" s="3">
        <v>46134</v>
      </c>
      <c r="O217" t="s">
        <v>337</v>
      </c>
      <c r="P217" t="s">
        <v>55</v>
      </c>
      <c r="Q217">
        <v>236</v>
      </c>
      <c r="S217" t="s">
        <v>523</v>
      </c>
      <c r="T217" t="s">
        <v>425</v>
      </c>
      <c r="U217">
        <v>238</v>
      </c>
      <c r="V217" t="s">
        <v>61</v>
      </c>
      <c r="W217">
        <v>13.4</v>
      </c>
      <c r="X217" t="s">
        <v>57</v>
      </c>
      <c r="Z217" t="s">
        <v>523</v>
      </c>
      <c r="AA217" t="s">
        <v>460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1</v>
      </c>
      <c r="AM217">
        <v>0</v>
      </c>
      <c r="AN217">
        <v>0</v>
      </c>
      <c r="AO217">
        <v>0</v>
      </c>
      <c r="AP217">
        <v>0</v>
      </c>
    </row>
    <row r="218" spans="1:42" x14ac:dyDescent="0.25">
      <c r="A218">
        <v>238</v>
      </c>
      <c r="B218" t="s">
        <v>555</v>
      </c>
      <c r="C218" t="s">
        <v>552</v>
      </c>
      <c r="D218" t="s">
        <v>133</v>
      </c>
      <c r="E218" s="4">
        <v>1</v>
      </c>
      <c r="F218" t="s">
        <v>61</v>
      </c>
      <c r="G218" t="s">
        <v>61</v>
      </c>
      <c r="H218" s="3">
        <v>46135</v>
      </c>
      <c r="I218" s="3">
        <v>46135</v>
      </c>
      <c r="J218" t="s">
        <v>371</v>
      </c>
      <c r="K218" s="3">
        <v>46135</v>
      </c>
      <c r="L218" s="3">
        <v>46135</v>
      </c>
      <c r="M218" s="3">
        <v>46135</v>
      </c>
      <c r="N218" s="3">
        <v>46135</v>
      </c>
      <c r="O218" t="s">
        <v>371</v>
      </c>
      <c r="P218" t="s">
        <v>55</v>
      </c>
      <c r="Q218">
        <v>237</v>
      </c>
      <c r="S218" t="s">
        <v>124</v>
      </c>
      <c r="T218" t="s">
        <v>425</v>
      </c>
      <c r="V218" t="s">
        <v>61</v>
      </c>
      <c r="W218">
        <v>13.4</v>
      </c>
      <c r="X218" t="s">
        <v>57</v>
      </c>
      <c r="Z218" t="s">
        <v>124</v>
      </c>
      <c r="AA218" t="s">
        <v>462</v>
      </c>
      <c r="AE218">
        <v>1</v>
      </c>
      <c r="AF218">
        <v>0</v>
      </c>
      <c r="AG218">
        <v>0</v>
      </c>
      <c r="AH218">
        <v>0</v>
      </c>
      <c r="AI218">
        <v>1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0</v>
      </c>
      <c r="AP218">
        <v>0</v>
      </c>
    </row>
    <row r="219" spans="1:42" x14ac:dyDescent="0.25">
      <c r="A219">
        <v>239</v>
      </c>
      <c r="B219" t="s">
        <v>556</v>
      </c>
      <c r="C219" t="s">
        <v>425</v>
      </c>
      <c r="D219" t="s">
        <v>557</v>
      </c>
      <c r="E219" s="4">
        <v>1</v>
      </c>
      <c r="F219" t="s">
        <v>433</v>
      </c>
      <c r="G219" t="s">
        <v>433</v>
      </c>
      <c r="H219" s="3">
        <v>46153</v>
      </c>
      <c r="I219" s="3">
        <v>46198</v>
      </c>
      <c r="J219" t="s">
        <v>337</v>
      </c>
      <c r="K219" s="3">
        <v>46197</v>
      </c>
      <c r="L219" s="3">
        <v>46134</v>
      </c>
      <c r="M219" s="3">
        <v>46198</v>
      </c>
      <c r="N219" s="3">
        <v>46198</v>
      </c>
      <c r="O219" t="s">
        <v>418</v>
      </c>
      <c r="P219" t="s">
        <v>55</v>
      </c>
      <c r="T219" t="s">
        <v>425</v>
      </c>
      <c r="V219" t="s">
        <v>558</v>
      </c>
      <c r="X219" t="s">
        <v>57</v>
      </c>
      <c r="AA219" t="s">
        <v>50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</row>
    <row r="220" spans="1:42" x14ac:dyDescent="0.25">
      <c r="A220">
        <v>240</v>
      </c>
      <c r="B220" t="s">
        <v>559</v>
      </c>
      <c r="C220" t="s">
        <v>560</v>
      </c>
      <c r="D220" t="s">
        <v>561</v>
      </c>
      <c r="E220" s="4">
        <v>1</v>
      </c>
      <c r="F220" t="s">
        <v>203</v>
      </c>
      <c r="G220" t="s">
        <v>203</v>
      </c>
      <c r="H220" s="3">
        <v>46153</v>
      </c>
      <c r="I220" s="3">
        <v>46167</v>
      </c>
      <c r="J220" t="s">
        <v>337</v>
      </c>
      <c r="K220" s="3">
        <v>46148</v>
      </c>
      <c r="L220" s="3">
        <v>46134</v>
      </c>
      <c r="M220" s="3">
        <v>46167</v>
      </c>
      <c r="N220" s="3">
        <v>46167</v>
      </c>
      <c r="O220" t="s">
        <v>418</v>
      </c>
      <c r="P220" t="s">
        <v>55</v>
      </c>
      <c r="T220" t="s">
        <v>425</v>
      </c>
      <c r="V220" t="s">
        <v>151</v>
      </c>
      <c r="X220" t="s">
        <v>57</v>
      </c>
      <c r="AA220" t="s">
        <v>50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</row>
    <row r="221" spans="1:42" x14ac:dyDescent="0.25">
      <c r="A221">
        <v>241</v>
      </c>
      <c r="B221" t="s">
        <v>562</v>
      </c>
      <c r="C221" t="s">
        <v>563</v>
      </c>
      <c r="D221" t="s">
        <v>117</v>
      </c>
      <c r="E221" s="4">
        <v>1</v>
      </c>
      <c r="F221" t="s">
        <v>101</v>
      </c>
      <c r="G221" t="s">
        <v>101</v>
      </c>
      <c r="H221" s="3">
        <v>46153</v>
      </c>
      <c r="I221" s="3">
        <v>46156</v>
      </c>
      <c r="J221" t="s">
        <v>337</v>
      </c>
      <c r="K221" s="3">
        <v>46140</v>
      </c>
      <c r="L221" s="3">
        <v>46134</v>
      </c>
      <c r="M221" s="3">
        <v>46156</v>
      </c>
      <c r="N221" s="3">
        <v>46156</v>
      </c>
      <c r="O221" t="s">
        <v>418</v>
      </c>
      <c r="P221" t="s">
        <v>55</v>
      </c>
      <c r="Q221">
        <v>107</v>
      </c>
      <c r="S221" t="s">
        <v>302</v>
      </c>
      <c r="T221" t="s">
        <v>425</v>
      </c>
      <c r="U221" t="s">
        <v>564</v>
      </c>
      <c r="V221" t="s">
        <v>138</v>
      </c>
      <c r="W221">
        <v>13.4</v>
      </c>
      <c r="X221" t="s">
        <v>57</v>
      </c>
      <c r="Z221" t="s">
        <v>302</v>
      </c>
      <c r="AA221" t="s">
        <v>71</v>
      </c>
      <c r="AE221">
        <v>1</v>
      </c>
      <c r="AF221">
        <v>1</v>
      </c>
      <c r="AG221">
        <v>1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1</v>
      </c>
    </row>
    <row r="222" spans="1:42" x14ac:dyDescent="0.25">
      <c r="A222">
        <v>242</v>
      </c>
      <c r="B222" t="s">
        <v>565</v>
      </c>
      <c r="C222" t="s">
        <v>563</v>
      </c>
      <c r="D222" t="s">
        <v>121</v>
      </c>
      <c r="E222" s="4">
        <v>1</v>
      </c>
      <c r="F222" t="s">
        <v>122</v>
      </c>
      <c r="G222" t="s">
        <v>122</v>
      </c>
      <c r="H222" s="3">
        <v>46157</v>
      </c>
      <c r="I222" s="3">
        <v>46161</v>
      </c>
      <c r="J222" t="s">
        <v>415</v>
      </c>
      <c r="K222" s="3">
        <v>46146</v>
      </c>
      <c r="L222" s="3">
        <v>46141</v>
      </c>
      <c r="M222" s="3">
        <v>46161</v>
      </c>
      <c r="N222" s="3">
        <v>46161</v>
      </c>
      <c r="O222" t="s">
        <v>444</v>
      </c>
      <c r="P222" t="s">
        <v>55</v>
      </c>
      <c r="Q222">
        <v>241</v>
      </c>
      <c r="S222" t="s">
        <v>124</v>
      </c>
      <c r="T222" t="s">
        <v>425</v>
      </c>
      <c r="U222">
        <v>243</v>
      </c>
      <c r="V222" t="s">
        <v>122</v>
      </c>
      <c r="W222">
        <v>13.4</v>
      </c>
      <c r="X222" t="s">
        <v>57</v>
      </c>
      <c r="Z222" t="s">
        <v>124</v>
      </c>
      <c r="AA222" t="s">
        <v>71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1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</row>
    <row r="223" spans="1:42" x14ac:dyDescent="0.25">
      <c r="A223">
        <v>243</v>
      </c>
      <c r="B223" t="s">
        <v>566</v>
      </c>
      <c r="C223" t="s">
        <v>563</v>
      </c>
      <c r="D223" t="s">
        <v>126</v>
      </c>
      <c r="E223" s="4">
        <v>1</v>
      </c>
      <c r="F223" t="s">
        <v>61</v>
      </c>
      <c r="G223" t="s">
        <v>61</v>
      </c>
      <c r="H223" s="3">
        <v>46162</v>
      </c>
      <c r="I223" s="3">
        <v>46162</v>
      </c>
      <c r="J223" t="s">
        <v>183</v>
      </c>
      <c r="K223" s="3">
        <v>46147</v>
      </c>
      <c r="L223" s="3">
        <v>46147</v>
      </c>
      <c r="M223" s="3">
        <v>46162</v>
      </c>
      <c r="N223" s="3">
        <v>46162</v>
      </c>
      <c r="O223" t="s">
        <v>200</v>
      </c>
      <c r="P223" t="s">
        <v>55</v>
      </c>
      <c r="Q223">
        <v>242</v>
      </c>
      <c r="S223" t="s">
        <v>302</v>
      </c>
      <c r="T223" t="s">
        <v>425</v>
      </c>
      <c r="U223">
        <v>244</v>
      </c>
      <c r="V223" t="s">
        <v>61</v>
      </c>
      <c r="W223">
        <v>13.4</v>
      </c>
      <c r="X223" t="s">
        <v>57</v>
      </c>
      <c r="Z223" t="s">
        <v>302</v>
      </c>
      <c r="AA223" t="s">
        <v>401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1</v>
      </c>
      <c r="AM223">
        <v>0</v>
      </c>
      <c r="AN223">
        <v>0</v>
      </c>
      <c r="AO223">
        <v>0</v>
      </c>
      <c r="AP223">
        <v>0</v>
      </c>
    </row>
    <row r="224" spans="1:42" x14ac:dyDescent="0.25">
      <c r="A224">
        <v>244</v>
      </c>
      <c r="B224" t="s">
        <v>567</v>
      </c>
      <c r="C224" t="s">
        <v>563</v>
      </c>
      <c r="D224" t="s">
        <v>133</v>
      </c>
      <c r="E224" s="4">
        <v>1</v>
      </c>
      <c r="F224" t="s">
        <v>122</v>
      </c>
      <c r="G224" t="s">
        <v>122</v>
      </c>
      <c r="H224" s="3">
        <v>46163</v>
      </c>
      <c r="I224" s="3">
        <v>46167</v>
      </c>
      <c r="J224" t="s">
        <v>304</v>
      </c>
      <c r="K224" s="3">
        <v>46148</v>
      </c>
      <c r="L224" s="3">
        <v>46148</v>
      </c>
      <c r="M224" s="3">
        <v>46167</v>
      </c>
      <c r="N224" s="3">
        <v>46167</v>
      </c>
      <c r="O224" t="s">
        <v>491</v>
      </c>
      <c r="P224" t="s">
        <v>55</v>
      </c>
      <c r="Q224">
        <v>243</v>
      </c>
      <c r="S224" t="s">
        <v>124</v>
      </c>
      <c r="T224" t="s">
        <v>425</v>
      </c>
      <c r="U224" t="s">
        <v>568</v>
      </c>
      <c r="V224" t="s">
        <v>61</v>
      </c>
      <c r="W224">
        <v>13.4</v>
      </c>
      <c r="X224" t="s">
        <v>57</v>
      </c>
      <c r="Z224" t="s">
        <v>124</v>
      </c>
      <c r="AA224" t="s">
        <v>401</v>
      </c>
      <c r="AE224">
        <v>1</v>
      </c>
      <c r="AF224">
        <v>0</v>
      </c>
      <c r="AG224">
        <v>0</v>
      </c>
      <c r="AH224">
        <v>0</v>
      </c>
      <c r="AI224">
        <v>1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0</v>
      </c>
      <c r="AP224">
        <v>0</v>
      </c>
    </row>
    <row r="225" spans="1:42" x14ac:dyDescent="0.25">
      <c r="A225">
        <v>245</v>
      </c>
      <c r="B225" t="s">
        <v>569</v>
      </c>
      <c r="C225" t="s">
        <v>560</v>
      </c>
      <c r="D225" t="s">
        <v>570</v>
      </c>
      <c r="E225" s="4">
        <v>1</v>
      </c>
      <c r="F225" t="s">
        <v>151</v>
      </c>
      <c r="G225" t="s">
        <v>151</v>
      </c>
      <c r="H225" s="3">
        <v>46168</v>
      </c>
      <c r="I225" s="3">
        <v>46183</v>
      </c>
      <c r="J225" t="s">
        <v>571</v>
      </c>
      <c r="K225" s="3">
        <v>46195</v>
      </c>
      <c r="L225" s="3">
        <v>46185</v>
      </c>
      <c r="M225" s="3">
        <v>46183</v>
      </c>
      <c r="N225" s="3">
        <v>46183</v>
      </c>
      <c r="O225" t="s">
        <v>206</v>
      </c>
      <c r="P225" t="s">
        <v>55</v>
      </c>
      <c r="T225" t="s">
        <v>425</v>
      </c>
      <c r="V225" t="s">
        <v>175</v>
      </c>
      <c r="X225" t="s">
        <v>57</v>
      </c>
      <c r="AA225" t="s">
        <v>50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</row>
    <row r="226" spans="1:42" x14ac:dyDescent="0.25">
      <c r="A226">
        <v>246</v>
      </c>
      <c r="B226" t="s">
        <v>572</v>
      </c>
      <c r="C226" t="s">
        <v>573</v>
      </c>
      <c r="D226" t="s">
        <v>117</v>
      </c>
      <c r="E226" s="4">
        <v>1</v>
      </c>
      <c r="F226" t="s">
        <v>101</v>
      </c>
      <c r="G226" t="s">
        <v>101</v>
      </c>
      <c r="H226" s="3">
        <v>46168</v>
      </c>
      <c r="I226" s="3">
        <v>46171</v>
      </c>
      <c r="J226" t="s">
        <v>571</v>
      </c>
      <c r="K226" s="3">
        <v>46188</v>
      </c>
      <c r="L226" s="3">
        <v>46185</v>
      </c>
      <c r="M226" s="3">
        <v>46171</v>
      </c>
      <c r="N226" s="3">
        <v>46171</v>
      </c>
      <c r="O226" t="s">
        <v>206</v>
      </c>
      <c r="P226" t="s">
        <v>55</v>
      </c>
      <c r="Q226">
        <v>244</v>
      </c>
      <c r="S226" t="s">
        <v>302</v>
      </c>
      <c r="T226" t="s">
        <v>425</v>
      </c>
      <c r="U226" t="s">
        <v>574</v>
      </c>
      <c r="V226" t="s">
        <v>127</v>
      </c>
      <c r="W226">
        <v>13.4</v>
      </c>
      <c r="X226" t="s">
        <v>57</v>
      </c>
      <c r="Z226" t="s">
        <v>302</v>
      </c>
      <c r="AA226" t="s">
        <v>462</v>
      </c>
      <c r="AE226">
        <v>1</v>
      </c>
      <c r="AF226">
        <v>1</v>
      </c>
      <c r="AG226">
        <v>1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1</v>
      </c>
    </row>
    <row r="227" spans="1:42" x14ac:dyDescent="0.25">
      <c r="A227">
        <v>247</v>
      </c>
      <c r="B227" t="s">
        <v>575</v>
      </c>
      <c r="C227" t="s">
        <v>573</v>
      </c>
      <c r="D227" t="s">
        <v>121</v>
      </c>
      <c r="E227" s="4">
        <v>1</v>
      </c>
      <c r="F227" t="s">
        <v>122</v>
      </c>
      <c r="G227" t="s">
        <v>122</v>
      </c>
      <c r="H227" s="3">
        <v>46174</v>
      </c>
      <c r="I227" s="3">
        <v>46176</v>
      </c>
      <c r="J227" t="s">
        <v>576</v>
      </c>
      <c r="K227" s="3">
        <v>46191</v>
      </c>
      <c r="L227" s="3">
        <v>46189</v>
      </c>
      <c r="M227" s="3">
        <v>46176</v>
      </c>
      <c r="N227" s="3">
        <v>46176</v>
      </c>
      <c r="O227" t="s">
        <v>193</v>
      </c>
      <c r="P227" t="s">
        <v>55</v>
      </c>
      <c r="Q227">
        <v>246</v>
      </c>
      <c r="S227" t="s">
        <v>124</v>
      </c>
      <c r="T227" t="s">
        <v>425</v>
      </c>
      <c r="U227">
        <v>248</v>
      </c>
      <c r="V227" t="s">
        <v>122</v>
      </c>
      <c r="W227">
        <v>13.4</v>
      </c>
      <c r="X227" t="s">
        <v>57</v>
      </c>
      <c r="Z227" t="s">
        <v>124</v>
      </c>
      <c r="AA227" t="s">
        <v>217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1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</row>
    <row r="228" spans="1:42" x14ac:dyDescent="0.25">
      <c r="A228">
        <v>248</v>
      </c>
      <c r="B228" t="s">
        <v>577</v>
      </c>
      <c r="C228" t="s">
        <v>573</v>
      </c>
      <c r="D228" t="s">
        <v>126</v>
      </c>
      <c r="E228" s="4">
        <v>1</v>
      </c>
      <c r="F228" t="s">
        <v>122</v>
      </c>
      <c r="G228" t="s">
        <v>122</v>
      </c>
      <c r="H228" s="3">
        <v>46176</v>
      </c>
      <c r="I228" s="3">
        <v>46183</v>
      </c>
      <c r="J228" t="s">
        <v>211</v>
      </c>
      <c r="K228" s="3">
        <v>46192</v>
      </c>
      <c r="L228" s="3">
        <v>46192</v>
      </c>
      <c r="M228" s="3">
        <v>46183</v>
      </c>
      <c r="N228" s="3">
        <v>46183</v>
      </c>
      <c r="O228" t="s">
        <v>459</v>
      </c>
      <c r="P228" t="s">
        <v>55</v>
      </c>
      <c r="Q228">
        <v>247</v>
      </c>
      <c r="S228" t="s">
        <v>302</v>
      </c>
      <c r="T228" t="s">
        <v>425</v>
      </c>
      <c r="U228">
        <v>249</v>
      </c>
      <c r="V228" t="s">
        <v>61</v>
      </c>
      <c r="W228">
        <v>13.4</v>
      </c>
      <c r="X228" t="s">
        <v>57</v>
      </c>
      <c r="Z228" t="s">
        <v>302</v>
      </c>
      <c r="AA228" t="s">
        <v>217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1</v>
      </c>
      <c r="AM228">
        <v>0</v>
      </c>
      <c r="AN228">
        <v>0</v>
      </c>
      <c r="AO228">
        <v>0</v>
      </c>
      <c r="AP228">
        <v>0</v>
      </c>
    </row>
    <row r="229" spans="1:42" x14ac:dyDescent="0.25">
      <c r="A229">
        <v>249</v>
      </c>
      <c r="B229" t="s">
        <v>578</v>
      </c>
      <c r="C229" t="s">
        <v>573</v>
      </c>
      <c r="D229" t="s">
        <v>133</v>
      </c>
      <c r="E229" s="4">
        <v>1</v>
      </c>
      <c r="F229" t="s">
        <v>127</v>
      </c>
      <c r="G229" t="s">
        <v>127</v>
      </c>
      <c r="H229" s="3">
        <v>46182</v>
      </c>
      <c r="I229" s="3">
        <v>46183</v>
      </c>
      <c r="J229" t="s">
        <v>219</v>
      </c>
      <c r="K229" s="3">
        <v>46195</v>
      </c>
      <c r="L229" s="3">
        <v>46195</v>
      </c>
      <c r="M229" s="3">
        <v>46183</v>
      </c>
      <c r="N229" s="3">
        <v>46183</v>
      </c>
      <c r="O229" t="s">
        <v>204</v>
      </c>
      <c r="P229" t="s">
        <v>55</v>
      </c>
      <c r="Q229">
        <v>248</v>
      </c>
      <c r="S229" t="s">
        <v>124</v>
      </c>
      <c r="T229" t="s">
        <v>425</v>
      </c>
      <c r="V229" t="s">
        <v>61</v>
      </c>
      <c r="W229">
        <v>13.4</v>
      </c>
      <c r="X229" t="s">
        <v>57</v>
      </c>
      <c r="Z229" t="s">
        <v>124</v>
      </c>
      <c r="AA229" t="s">
        <v>131</v>
      </c>
      <c r="AE229">
        <v>1</v>
      </c>
      <c r="AF229">
        <v>0</v>
      </c>
      <c r="AG229">
        <v>0</v>
      </c>
      <c r="AH229">
        <v>0</v>
      </c>
      <c r="AI229">
        <v>1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0</v>
      </c>
      <c r="AP229">
        <v>0</v>
      </c>
    </row>
    <row r="230" spans="1:42" x14ac:dyDescent="0.25">
      <c r="A230">
        <v>250</v>
      </c>
      <c r="B230" t="s">
        <v>579</v>
      </c>
      <c r="C230" t="s">
        <v>560</v>
      </c>
      <c r="D230" t="s">
        <v>580</v>
      </c>
      <c r="E230" s="4">
        <v>1</v>
      </c>
      <c r="F230" t="s">
        <v>151</v>
      </c>
      <c r="G230" t="s">
        <v>151</v>
      </c>
      <c r="H230" s="3">
        <v>46168</v>
      </c>
      <c r="I230" s="3">
        <v>46183</v>
      </c>
      <c r="J230" t="s">
        <v>576</v>
      </c>
      <c r="K230" s="3">
        <v>46197</v>
      </c>
      <c r="L230" s="3">
        <v>46189</v>
      </c>
      <c r="M230" s="3">
        <v>46183</v>
      </c>
      <c r="N230" s="3">
        <v>46183</v>
      </c>
      <c r="O230" t="s">
        <v>206</v>
      </c>
      <c r="P230" t="s">
        <v>55</v>
      </c>
      <c r="T230" t="s">
        <v>425</v>
      </c>
      <c r="V230" t="s">
        <v>175</v>
      </c>
      <c r="X230" t="s">
        <v>57</v>
      </c>
      <c r="AA230" t="s">
        <v>50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</row>
    <row r="231" spans="1:42" x14ac:dyDescent="0.25">
      <c r="A231">
        <v>251</v>
      </c>
      <c r="B231" t="s">
        <v>581</v>
      </c>
      <c r="C231" t="s">
        <v>582</v>
      </c>
      <c r="D231" t="s">
        <v>117</v>
      </c>
      <c r="E231" s="4">
        <v>1</v>
      </c>
      <c r="F231" t="s">
        <v>101</v>
      </c>
      <c r="G231" t="s">
        <v>101</v>
      </c>
      <c r="H231" s="3">
        <v>46168</v>
      </c>
      <c r="I231" s="3">
        <v>46171</v>
      </c>
      <c r="J231" t="s">
        <v>576</v>
      </c>
      <c r="K231" s="3">
        <v>46190</v>
      </c>
      <c r="L231" s="3">
        <v>46189</v>
      </c>
      <c r="M231" s="3">
        <v>46171</v>
      </c>
      <c r="N231" s="3">
        <v>46171</v>
      </c>
      <c r="O231" t="s">
        <v>206</v>
      </c>
      <c r="P231" t="s">
        <v>55</v>
      </c>
      <c r="Q231">
        <v>244</v>
      </c>
      <c r="S231" t="s">
        <v>302</v>
      </c>
      <c r="T231" t="s">
        <v>425</v>
      </c>
      <c r="U231">
        <v>252</v>
      </c>
      <c r="V231" t="s">
        <v>127</v>
      </c>
      <c r="W231">
        <v>13.4</v>
      </c>
      <c r="X231" t="s">
        <v>57</v>
      </c>
      <c r="Z231" t="s">
        <v>302</v>
      </c>
      <c r="AA231" t="s">
        <v>217</v>
      </c>
      <c r="AE231">
        <v>1</v>
      </c>
      <c r="AF231">
        <v>1</v>
      </c>
      <c r="AG231">
        <v>1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1</v>
      </c>
    </row>
    <row r="232" spans="1:42" x14ac:dyDescent="0.25">
      <c r="A232">
        <v>252</v>
      </c>
      <c r="B232" t="s">
        <v>583</v>
      </c>
      <c r="C232" t="s">
        <v>582</v>
      </c>
      <c r="D232" t="s">
        <v>121</v>
      </c>
      <c r="E232" s="4">
        <v>1</v>
      </c>
      <c r="F232" t="s">
        <v>122</v>
      </c>
      <c r="G232" t="s">
        <v>122</v>
      </c>
      <c r="H232" s="3">
        <v>46174</v>
      </c>
      <c r="I232" s="3">
        <v>46176</v>
      </c>
      <c r="J232" t="s">
        <v>480</v>
      </c>
      <c r="K232" s="3">
        <v>46195</v>
      </c>
      <c r="L232" s="3">
        <v>46191</v>
      </c>
      <c r="M232" s="3">
        <v>46176</v>
      </c>
      <c r="N232" s="3">
        <v>46176</v>
      </c>
      <c r="O232" t="s">
        <v>193</v>
      </c>
      <c r="P232" t="s">
        <v>55</v>
      </c>
      <c r="Q232">
        <v>251</v>
      </c>
      <c r="S232" t="s">
        <v>124</v>
      </c>
      <c r="T232" t="s">
        <v>425</v>
      </c>
      <c r="U232" t="s">
        <v>584</v>
      </c>
      <c r="V232" t="s">
        <v>122</v>
      </c>
      <c r="W232">
        <v>13.4</v>
      </c>
      <c r="X232" t="s">
        <v>57</v>
      </c>
      <c r="Z232" t="s">
        <v>124</v>
      </c>
      <c r="AA232" t="s">
        <v>217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1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</row>
    <row r="233" spans="1:42" x14ac:dyDescent="0.25">
      <c r="A233">
        <v>253</v>
      </c>
      <c r="B233" t="s">
        <v>585</v>
      </c>
      <c r="C233" t="s">
        <v>582</v>
      </c>
      <c r="D233" t="s">
        <v>126</v>
      </c>
      <c r="E233" s="4">
        <v>1</v>
      </c>
      <c r="F233" t="s">
        <v>122</v>
      </c>
      <c r="G233" t="s">
        <v>122</v>
      </c>
      <c r="H233" s="3">
        <v>46176</v>
      </c>
      <c r="I233" s="3">
        <v>46183</v>
      </c>
      <c r="J233" t="s">
        <v>212</v>
      </c>
      <c r="K233" s="3">
        <v>46196</v>
      </c>
      <c r="L233" s="3">
        <v>46196</v>
      </c>
      <c r="M233" s="3">
        <v>46183</v>
      </c>
      <c r="N233" s="3">
        <v>46183</v>
      </c>
      <c r="O233" t="s">
        <v>459</v>
      </c>
      <c r="P233" t="s">
        <v>55</v>
      </c>
      <c r="Q233">
        <v>252</v>
      </c>
      <c r="S233" t="s">
        <v>302</v>
      </c>
      <c r="T233" t="s">
        <v>425</v>
      </c>
      <c r="U233">
        <v>254</v>
      </c>
      <c r="V233" t="s">
        <v>61</v>
      </c>
      <c r="W233">
        <v>13.4</v>
      </c>
      <c r="X233" t="s">
        <v>57</v>
      </c>
      <c r="Z233" t="s">
        <v>302</v>
      </c>
      <c r="AA233" t="s">
        <v>131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1</v>
      </c>
      <c r="AM233">
        <v>0</v>
      </c>
      <c r="AN233">
        <v>0</v>
      </c>
      <c r="AO233">
        <v>0</v>
      </c>
      <c r="AP233">
        <v>0</v>
      </c>
    </row>
    <row r="234" spans="1:42" x14ac:dyDescent="0.25">
      <c r="A234">
        <v>254</v>
      </c>
      <c r="B234" t="s">
        <v>586</v>
      </c>
      <c r="C234" t="s">
        <v>582</v>
      </c>
      <c r="D234" t="s">
        <v>133</v>
      </c>
      <c r="E234" s="4">
        <v>1</v>
      </c>
      <c r="F234" t="s">
        <v>127</v>
      </c>
      <c r="G234" t="s">
        <v>127</v>
      </c>
      <c r="H234" s="3">
        <v>46182</v>
      </c>
      <c r="I234" s="3">
        <v>46183</v>
      </c>
      <c r="J234" t="s">
        <v>207</v>
      </c>
      <c r="K234" s="3">
        <v>46197</v>
      </c>
      <c r="L234" s="3">
        <v>46197</v>
      </c>
      <c r="M234" s="3">
        <v>46183</v>
      </c>
      <c r="N234" s="3">
        <v>46183</v>
      </c>
      <c r="O234" t="s">
        <v>204</v>
      </c>
      <c r="P234" t="s">
        <v>55</v>
      </c>
      <c r="Q234">
        <v>253</v>
      </c>
      <c r="S234" t="s">
        <v>124</v>
      </c>
      <c r="T234" t="s">
        <v>425</v>
      </c>
      <c r="V234" t="s">
        <v>61</v>
      </c>
      <c r="W234">
        <v>13.4</v>
      </c>
      <c r="X234" t="s">
        <v>57</v>
      </c>
      <c r="Z234" t="s">
        <v>124</v>
      </c>
      <c r="AA234" t="s">
        <v>131</v>
      </c>
      <c r="AE234">
        <v>1</v>
      </c>
      <c r="AF234">
        <v>0</v>
      </c>
      <c r="AG234">
        <v>0</v>
      </c>
      <c r="AH234">
        <v>0</v>
      </c>
      <c r="AI234">
        <v>1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0</v>
      </c>
      <c r="AP234">
        <v>0</v>
      </c>
    </row>
    <row r="235" spans="1:42" x14ac:dyDescent="0.25">
      <c r="A235">
        <v>255</v>
      </c>
      <c r="B235" t="s">
        <v>587</v>
      </c>
      <c r="C235" t="s">
        <v>560</v>
      </c>
      <c r="D235" t="s">
        <v>588</v>
      </c>
      <c r="E235" s="4">
        <v>1</v>
      </c>
      <c r="F235" t="s">
        <v>330</v>
      </c>
      <c r="G235" t="s">
        <v>330</v>
      </c>
      <c r="H235" s="3">
        <v>46176</v>
      </c>
      <c r="I235" s="3">
        <v>46198</v>
      </c>
      <c r="J235" t="s">
        <v>459</v>
      </c>
      <c r="K235" s="3">
        <v>46198</v>
      </c>
      <c r="L235" s="3">
        <v>46176</v>
      </c>
      <c r="M235" s="3">
        <v>46198</v>
      </c>
      <c r="N235" s="3">
        <v>46198</v>
      </c>
      <c r="O235" t="s">
        <v>459</v>
      </c>
      <c r="P235" t="s">
        <v>55</v>
      </c>
      <c r="T235" t="s">
        <v>425</v>
      </c>
      <c r="V235" t="s">
        <v>175</v>
      </c>
      <c r="X235" t="s">
        <v>57</v>
      </c>
      <c r="AA235" t="s">
        <v>50</v>
      </c>
      <c r="AB235" t="s">
        <v>94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</row>
    <row r="236" spans="1:42" x14ac:dyDescent="0.25">
      <c r="A236">
        <v>256</v>
      </c>
      <c r="B236" t="s">
        <v>589</v>
      </c>
      <c r="C236" t="s">
        <v>590</v>
      </c>
      <c r="D236" t="s">
        <v>117</v>
      </c>
      <c r="E236" s="4">
        <v>1</v>
      </c>
      <c r="F236" t="s">
        <v>122</v>
      </c>
      <c r="G236" t="s">
        <v>122</v>
      </c>
      <c r="H236" s="3">
        <v>46176</v>
      </c>
      <c r="I236" s="3">
        <v>46182</v>
      </c>
      <c r="J236" t="s">
        <v>459</v>
      </c>
      <c r="K236" s="3">
        <v>46182</v>
      </c>
      <c r="L236" s="3">
        <v>46176</v>
      </c>
      <c r="M236" s="3">
        <v>46182</v>
      </c>
      <c r="N236" s="3">
        <v>46182</v>
      </c>
      <c r="O236" t="s">
        <v>459</v>
      </c>
      <c r="P236" t="s">
        <v>55</v>
      </c>
      <c r="Q236">
        <v>252</v>
      </c>
      <c r="S236" t="s">
        <v>302</v>
      </c>
      <c r="T236" t="s">
        <v>425</v>
      </c>
      <c r="U236">
        <v>257</v>
      </c>
      <c r="V236" t="s">
        <v>127</v>
      </c>
      <c r="W236">
        <v>13.4</v>
      </c>
      <c r="X236" t="s">
        <v>57</v>
      </c>
      <c r="Z236" t="s">
        <v>302</v>
      </c>
      <c r="AA236" t="s">
        <v>217</v>
      </c>
      <c r="AE236">
        <v>1</v>
      </c>
      <c r="AF236">
        <v>1</v>
      </c>
      <c r="AG236">
        <v>1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1</v>
      </c>
    </row>
    <row r="237" spans="1:42" x14ac:dyDescent="0.25">
      <c r="A237">
        <v>257</v>
      </c>
      <c r="B237" t="s">
        <v>591</v>
      </c>
      <c r="C237" t="s">
        <v>590</v>
      </c>
      <c r="D237" t="s">
        <v>121</v>
      </c>
      <c r="E237" s="4">
        <v>1</v>
      </c>
      <c r="F237" t="s">
        <v>127</v>
      </c>
      <c r="G237" t="s">
        <v>127</v>
      </c>
      <c r="H237" s="3">
        <v>46183</v>
      </c>
      <c r="I237" s="3">
        <v>46184</v>
      </c>
      <c r="J237" t="s">
        <v>592</v>
      </c>
      <c r="K237" s="3">
        <v>46184</v>
      </c>
      <c r="L237" s="3">
        <v>46183</v>
      </c>
      <c r="M237" s="3">
        <v>46184</v>
      </c>
      <c r="N237" s="3">
        <v>46184</v>
      </c>
      <c r="O237" t="s">
        <v>592</v>
      </c>
      <c r="P237" t="s">
        <v>55</v>
      </c>
      <c r="Q237">
        <v>256</v>
      </c>
      <c r="S237" t="s">
        <v>124</v>
      </c>
      <c r="T237" t="s">
        <v>425</v>
      </c>
      <c r="U237">
        <v>258</v>
      </c>
      <c r="V237" t="s">
        <v>122</v>
      </c>
      <c r="W237">
        <v>13.4</v>
      </c>
      <c r="X237" t="s">
        <v>57</v>
      </c>
      <c r="Z237" t="s">
        <v>124</v>
      </c>
      <c r="AA237" t="s">
        <v>217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1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</row>
    <row r="238" spans="1:42" x14ac:dyDescent="0.25">
      <c r="A238">
        <v>258</v>
      </c>
      <c r="B238" t="s">
        <v>593</v>
      </c>
      <c r="C238" t="s">
        <v>590</v>
      </c>
      <c r="D238" t="s">
        <v>126</v>
      </c>
      <c r="E238" s="4">
        <v>1</v>
      </c>
      <c r="F238" t="s">
        <v>61</v>
      </c>
      <c r="G238" t="s">
        <v>61</v>
      </c>
      <c r="H238" s="3">
        <v>46185</v>
      </c>
      <c r="I238" s="3">
        <v>46185</v>
      </c>
      <c r="J238" t="s">
        <v>571</v>
      </c>
      <c r="K238" s="3">
        <v>46185</v>
      </c>
      <c r="L238" s="3">
        <v>46185</v>
      </c>
      <c r="M238" s="3">
        <v>46185</v>
      </c>
      <c r="N238" s="3">
        <v>46185</v>
      </c>
      <c r="O238" t="s">
        <v>571</v>
      </c>
      <c r="P238" t="s">
        <v>55</v>
      </c>
      <c r="Q238">
        <v>257</v>
      </c>
      <c r="S238" t="s">
        <v>302</v>
      </c>
      <c r="T238" t="s">
        <v>425</v>
      </c>
      <c r="U238">
        <v>259</v>
      </c>
      <c r="V238" t="s">
        <v>61</v>
      </c>
      <c r="W238">
        <v>13.4</v>
      </c>
      <c r="X238" t="s">
        <v>57</v>
      </c>
      <c r="Z238" t="s">
        <v>302</v>
      </c>
      <c r="AA238" t="s">
        <v>131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1</v>
      </c>
      <c r="AM238">
        <v>0</v>
      </c>
      <c r="AN238">
        <v>0</v>
      </c>
      <c r="AO238">
        <v>0</v>
      </c>
      <c r="AP238">
        <v>0</v>
      </c>
    </row>
    <row r="239" spans="1:42" x14ac:dyDescent="0.25">
      <c r="A239">
        <v>259</v>
      </c>
      <c r="B239" t="s">
        <v>594</v>
      </c>
      <c r="C239" t="s">
        <v>590</v>
      </c>
      <c r="D239" t="s">
        <v>133</v>
      </c>
      <c r="E239" s="4">
        <v>1</v>
      </c>
      <c r="F239" t="s">
        <v>114</v>
      </c>
      <c r="G239" t="s">
        <v>114</v>
      </c>
      <c r="H239" s="3">
        <v>46188</v>
      </c>
      <c r="I239" s="3">
        <v>46198</v>
      </c>
      <c r="J239" t="s">
        <v>595</v>
      </c>
      <c r="K239" s="3">
        <v>46198</v>
      </c>
      <c r="L239" s="3">
        <v>46188</v>
      </c>
      <c r="M239" s="3">
        <v>46198</v>
      </c>
      <c r="N239" s="3">
        <v>46198</v>
      </c>
      <c r="O239" t="s">
        <v>595</v>
      </c>
      <c r="P239" t="s">
        <v>55</v>
      </c>
      <c r="Q239">
        <v>258</v>
      </c>
      <c r="S239" t="s">
        <v>124</v>
      </c>
      <c r="T239" t="s">
        <v>425</v>
      </c>
      <c r="V239" t="s">
        <v>61</v>
      </c>
      <c r="W239">
        <v>13.4</v>
      </c>
      <c r="X239" t="s">
        <v>57</v>
      </c>
      <c r="Z239" t="s">
        <v>124</v>
      </c>
      <c r="AA239" t="s">
        <v>131</v>
      </c>
      <c r="AE239">
        <v>1</v>
      </c>
      <c r="AF239">
        <v>0</v>
      </c>
      <c r="AG239">
        <v>0</v>
      </c>
      <c r="AH239">
        <v>0</v>
      </c>
      <c r="AI239">
        <v>1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0</v>
      </c>
      <c r="AP239">
        <v>0</v>
      </c>
    </row>
    <row r="240" spans="1:42" x14ac:dyDescent="0.25">
      <c r="A240">
        <v>260</v>
      </c>
      <c r="B240" t="s">
        <v>596</v>
      </c>
      <c r="C240" t="s">
        <v>560</v>
      </c>
      <c r="D240" t="s">
        <v>597</v>
      </c>
      <c r="E240" s="4">
        <v>1</v>
      </c>
      <c r="F240" t="s">
        <v>330</v>
      </c>
      <c r="G240" t="s">
        <v>330</v>
      </c>
      <c r="H240" s="3">
        <v>46176</v>
      </c>
      <c r="I240" s="3">
        <v>46198</v>
      </c>
      <c r="J240" t="s">
        <v>459</v>
      </c>
      <c r="K240" s="3">
        <v>46198</v>
      </c>
      <c r="L240" s="3">
        <v>46176</v>
      </c>
      <c r="M240" s="3">
        <v>46198</v>
      </c>
      <c r="N240" s="3">
        <v>46198</v>
      </c>
      <c r="O240" t="s">
        <v>459</v>
      </c>
      <c r="P240" t="s">
        <v>55</v>
      </c>
      <c r="T240" t="s">
        <v>425</v>
      </c>
      <c r="V240" t="s">
        <v>175</v>
      </c>
      <c r="X240" t="s">
        <v>57</v>
      </c>
      <c r="AA240" t="s">
        <v>50</v>
      </c>
      <c r="AB240" t="s">
        <v>94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</row>
    <row r="241" spans="1:42" x14ac:dyDescent="0.25">
      <c r="A241">
        <v>261</v>
      </c>
      <c r="B241" t="s">
        <v>598</v>
      </c>
      <c r="C241" t="s">
        <v>599</v>
      </c>
      <c r="D241" t="s">
        <v>117</v>
      </c>
      <c r="E241" s="4">
        <v>1</v>
      </c>
      <c r="F241" t="s">
        <v>122</v>
      </c>
      <c r="G241" t="s">
        <v>122</v>
      </c>
      <c r="H241" s="3">
        <v>46176</v>
      </c>
      <c r="I241" s="3">
        <v>46182</v>
      </c>
      <c r="J241" t="s">
        <v>459</v>
      </c>
      <c r="K241" s="3">
        <v>46182</v>
      </c>
      <c r="L241" s="3">
        <v>46176</v>
      </c>
      <c r="M241" s="3">
        <v>46182</v>
      </c>
      <c r="N241" s="3">
        <v>46182</v>
      </c>
      <c r="O241" t="s">
        <v>459</v>
      </c>
      <c r="P241" t="s">
        <v>55</v>
      </c>
      <c r="Q241">
        <v>252</v>
      </c>
      <c r="S241" t="s">
        <v>302</v>
      </c>
      <c r="T241" t="s">
        <v>425</v>
      </c>
      <c r="U241">
        <v>262</v>
      </c>
      <c r="V241" t="s">
        <v>127</v>
      </c>
      <c r="W241">
        <v>13.4</v>
      </c>
      <c r="X241" t="s">
        <v>57</v>
      </c>
      <c r="Z241" t="s">
        <v>302</v>
      </c>
      <c r="AA241" t="s">
        <v>217</v>
      </c>
      <c r="AE241">
        <v>1</v>
      </c>
      <c r="AF241">
        <v>1</v>
      </c>
      <c r="AG241">
        <v>1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1</v>
      </c>
    </row>
    <row r="242" spans="1:42" x14ac:dyDescent="0.25">
      <c r="A242">
        <v>262</v>
      </c>
      <c r="B242" t="s">
        <v>600</v>
      </c>
      <c r="C242" t="s">
        <v>599</v>
      </c>
      <c r="D242" t="s">
        <v>121</v>
      </c>
      <c r="E242" s="4">
        <v>1</v>
      </c>
      <c r="F242" t="s">
        <v>127</v>
      </c>
      <c r="G242" t="s">
        <v>127</v>
      </c>
      <c r="H242" s="3">
        <v>46183</v>
      </c>
      <c r="I242" s="3">
        <v>46184</v>
      </c>
      <c r="J242" t="s">
        <v>592</v>
      </c>
      <c r="K242" s="3">
        <v>46184</v>
      </c>
      <c r="L242" s="3">
        <v>46183</v>
      </c>
      <c r="M242" s="3">
        <v>46184</v>
      </c>
      <c r="N242" s="3">
        <v>46184</v>
      </c>
      <c r="O242" t="s">
        <v>592</v>
      </c>
      <c r="P242" t="s">
        <v>55</v>
      </c>
      <c r="Q242">
        <v>261</v>
      </c>
      <c r="S242" t="s">
        <v>124</v>
      </c>
      <c r="T242" t="s">
        <v>425</v>
      </c>
      <c r="U242">
        <v>263</v>
      </c>
      <c r="V242" t="s">
        <v>122</v>
      </c>
      <c r="W242">
        <v>13.4</v>
      </c>
      <c r="X242" t="s">
        <v>57</v>
      </c>
      <c r="Z242" t="s">
        <v>124</v>
      </c>
      <c r="AA242" t="s">
        <v>217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1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</row>
    <row r="243" spans="1:42" x14ac:dyDescent="0.25">
      <c r="A243">
        <v>263</v>
      </c>
      <c r="B243" t="s">
        <v>601</v>
      </c>
      <c r="C243" t="s">
        <v>599</v>
      </c>
      <c r="D243" t="s">
        <v>126</v>
      </c>
      <c r="E243" s="4">
        <v>1</v>
      </c>
      <c r="F243" t="s">
        <v>61</v>
      </c>
      <c r="G243" t="s">
        <v>61</v>
      </c>
      <c r="H243" s="3">
        <v>46185</v>
      </c>
      <c r="I243" s="3">
        <v>46185</v>
      </c>
      <c r="J243" t="s">
        <v>571</v>
      </c>
      <c r="K243" s="3">
        <v>46185</v>
      </c>
      <c r="L243" s="3">
        <v>46185</v>
      </c>
      <c r="M243" s="3">
        <v>46185</v>
      </c>
      <c r="N243" s="3">
        <v>46185</v>
      </c>
      <c r="O243" t="s">
        <v>571</v>
      </c>
      <c r="P243" t="s">
        <v>55</v>
      </c>
      <c r="Q243">
        <v>262</v>
      </c>
      <c r="S243" t="s">
        <v>302</v>
      </c>
      <c r="T243" t="s">
        <v>425</v>
      </c>
      <c r="U243">
        <v>264</v>
      </c>
      <c r="V243" t="s">
        <v>61</v>
      </c>
      <c r="W243">
        <v>13.4</v>
      </c>
      <c r="X243" t="s">
        <v>57</v>
      </c>
      <c r="Z243" t="s">
        <v>302</v>
      </c>
      <c r="AA243" t="s">
        <v>131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1</v>
      </c>
      <c r="AM243">
        <v>0</v>
      </c>
      <c r="AN243">
        <v>0</v>
      </c>
      <c r="AO243">
        <v>0</v>
      </c>
      <c r="AP243">
        <v>0</v>
      </c>
    </row>
    <row r="244" spans="1:42" x14ac:dyDescent="0.25">
      <c r="A244">
        <v>264</v>
      </c>
      <c r="B244" t="s">
        <v>602</v>
      </c>
      <c r="C244" t="s">
        <v>599</v>
      </c>
      <c r="D244" t="s">
        <v>133</v>
      </c>
      <c r="E244" s="4">
        <v>1</v>
      </c>
      <c r="F244" t="s">
        <v>114</v>
      </c>
      <c r="G244" t="s">
        <v>114</v>
      </c>
      <c r="H244" s="3">
        <v>46188</v>
      </c>
      <c r="I244" s="3">
        <v>46198</v>
      </c>
      <c r="J244" t="s">
        <v>595</v>
      </c>
      <c r="K244" s="3">
        <v>46198</v>
      </c>
      <c r="L244" s="3">
        <v>46188</v>
      </c>
      <c r="M244" s="3">
        <v>46198</v>
      </c>
      <c r="N244" s="3">
        <v>46198</v>
      </c>
      <c r="O244" t="s">
        <v>595</v>
      </c>
      <c r="P244" t="s">
        <v>55</v>
      </c>
      <c r="Q244">
        <v>263</v>
      </c>
      <c r="S244" t="s">
        <v>124</v>
      </c>
      <c r="T244" t="s">
        <v>425</v>
      </c>
      <c r="V244" t="s">
        <v>61</v>
      </c>
      <c r="W244">
        <v>13.4</v>
      </c>
      <c r="X244" t="s">
        <v>57</v>
      </c>
      <c r="Z244" t="s">
        <v>124</v>
      </c>
      <c r="AA244" t="s">
        <v>131</v>
      </c>
      <c r="AE244">
        <v>1</v>
      </c>
      <c r="AF244">
        <v>0</v>
      </c>
      <c r="AG244">
        <v>0</v>
      </c>
      <c r="AH244">
        <v>0</v>
      </c>
      <c r="AI244">
        <v>1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0</v>
      </c>
      <c r="AP244">
        <v>0</v>
      </c>
    </row>
    <row r="245" spans="1:42" x14ac:dyDescent="0.25">
      <c r="A245">
        <v>265</v>
      </c>
      <c r="B245" t="s">
        <v>603</v>
      </c>
      <c r="C245" t="s">
        <v>560</v>
      </c>
      <c r="D245" t="s">
        <v>604</v>
      </c>
      <c r="E245" s="4">
        <v>1</v>
      </c>
      <c r="F245" t="s">
        <v>330</v>
      </c>
      <c r="G245" t="s">
        <v>330</v>
      </c>
      <c r="H245" s="3">
        <v>46176</v>
      </c>
      <c r="I245" s="3">
        <v>46198</v>
      </c>
      <c r="J245" t="s">
        <v>459</v>
      </c>
      <c r="K245" s="3">
        <v>46198</v>
      </c>
      <c r="L245" s="3">
        <v>46176</v>
      </c>
      <c r="M245" s="3">
        <v>46198</v>
      </c>
      <c r="N245" s="3">
        <v>46198</v>
      </c>
      <c r="O245" t="s">
        <v>459</v>
      </c>
      <c r="P245" t="s">
        <v>55</v>
      </c>
      <c r="T245" t="s">
        <v>425</v>
      </c>
      <c r="V245" t="s">
        <v>175</v>
      </c>
      <c r="X245" t="s">
        <v>57</v>
      </c>
      <c r="AA245" t="s">
        <v>50</v>
      </c>
      <c r="AB245" t="s">
        <v>94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</row>
    <row r="246" spans="1:42" x14ac:dyDescent="0.25">
      <c r="A246">
        <v>266</v>
      </c>
      <c r="B246" t="s">
        <v>605</v>
      </c>
      <c r="C246" t="s">
        <v>606</v>
      </c>
      <c r="D246" t="s">
        <v>117</v>
      </c>
      <c r="E246" s="4">
        <v>1</v>
      </c>
      <c r="F246" t="s">
        <v>122</v>
      </c>
      <c r="G246" t="s">
        <v>122</v>
      </c>
      <c r="H246" s="3">
        <v>46176</v>
      </c>
      <c r="I246" s="3">
        <v>46182</v>
      </c>
      <c r="J246" t="s">
        <v>459</v>
      </c>
      <c r="K246" s="3">
        <v>46182</v>
      </c>
      <c r="L246" s="3">
        <v>46176</v>
      </c>
      <c r="M246" s="3">
        <v>46182</v>
      </c>
      <c r="N246" s="3">
        <v>46182</v>
      </c>
      <c r="O246" t="s">
        <v>459</v>
      </c>
      <c r="P246" t="s">
        <v>55</v>
      </c>
      <c r="Q246">
        <v>252</v>
      </c>
      <c r="S246" t="s">
        <v>302</v>
      </c>
      <c r="T246" t="s">
        <v>425</v>
      </c>
      <c r="U246">
        <v>267</v>
      </c>
      <c r="V246" t="s">
        <v>127</v>
      </c>
      <c r="W246">
        <v>13.4</v>
      </c>
      <c r="X246" t="s">
        <v>57</v>
      </c>
      <c r="Z246" t="s">
        <v>302</v>
      </c>
      <c r="AA246" t="s">
        <v>217</v>
      </c>
      <c r="AE246">
        <v>1</v>
      </c>
      <c r="AF246">
        <v>1</v>
      </c>
      <c r="AG246">
        <v>1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1</v>
      </c>
    </row>
    <row r="247" spans="1:42" x14ac:dyDescent="0.25">
      <c r="A247">
        <v>267</v>
      </c>
      <c r="B247" t="s">
        <v>607</v>
      </c>
      <c r="C247" t="s">
        <v>606</v>
      </c>
      <c r="D247" t="s">
        <v>121</v>
      </c>
      <c r="E247" s="4">
        <v>1</v>
      </c>
      <c r="F247" t="s">
        <v>127</v>
      </c>
      <c r="G247" t="s">
        <v>127</v>
      </c>
      <c r="H247" s="3">
        <v>46183</v>
      </c>
      <c r="I247" s="3">
        <v>46184</v>
      </c>
      <c r="J247" t="s">
        <v>592</v>
      </c>
      <c r="K247" s="3">
        <v>46184</v>
      </c>
      <c r="L247" s="3">
        <v>46183</v>
      </c>
      <c r="M247" s="3">
        <v>46184</v>
      </c>
      <c r="N247" s="3">
        <v>46184</v>
      </c>
      <c r="O247" t="s">
        <v>592</v>
      </c>
      <c r="P247" t="s">
        <v>55</v>
      </c>
      <c r="Q247">
        <v>266</v>
      </c>
      <c r="S247" t="s">
        <v>124</v>
      </c>
      <c r="T247" t="s">
        <v>425</v>
      </c>
      <c r="U247">
        <v>268</v>
      </c>
      <c r="V247" t="s">
        <v>122</v>
      </c>
      <c r="W247">
        <v>13.4</v>
      </c>
      <c r="X247" t="s">
        <v>57</v>
      </c>
      <c r="Z247" t="s">
        <v>124</v>
      </c>
      <c r="AA247" t="s">
        <v>217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1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</row>
    <row r="248" spans="1:42" x14ac:dyDescent="0.25">
      <c r="A248">
        <v>268</v>
      </c>
      <c r="B248" t="s">
        <v>608</v>
      </c>
      <c r="C248" t="s">
        <v>606</v>
      </c>
      <c r="D248" t="s">
        <v>126</v>
      </c>
      <c r="E248" s="4">
        <v>1</v>
      </c>
      <c r="F248" t="s">
        <v>61</v>
      </c>
      <c r="G248" t="s">
        <v>61</v>
      </c>
      <c r="H248" s="3">
        <v>46185</v>
      </c>
      <c r="I248" s="3">
        <v>46185</v>
      </c>
      <c r="J248" t="s">
        <v>571</v>
      </c>
      <c r="K248" s="3">
        <v>46185</v>
      </c>
      <c r="L248" s="3">
        <v>46185</v>
      </c>
      <c r="M248" s="3">
        <v>46185</v>
      </c>
      <c r="N248" s="3">
        <v>46185</v>
      </c>
      <c r="O248" t="s">
        <v>571</v>
      </c>
      <c r="P248" t="s">
        <v>55</v>
      </c>
      <c r="Q248">
        <v>267</v>
      </c>
      <c r="S248" t="s">
        <v>302</v>
      </c>
      <c r="T248" t="s">
        <v>425</v>
      </c>
      <c r="U248">
        <v>269</v>
      </c>
      <c r="V248" t="s">
        <v>61</v>
      </c>
      <c r="W248">
        <v>13.4</v>
      </c>
      <c r="X248" t="s">
        <v>57</v>
      </c>
      <c r="Z248" t="s">
        <v>302</v>
      </c>
      <c r="AA248" t="s">
        <v>131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1</v>
      </c>
      <c r="AM248">
        <v>0</v>
      </c>
      <c r="AN248">
        <v>0</v>
      </c>
      <c r="AO248">
        <v>0</v>
      </c>
      <c r="AP248">
        <v>0</v>
      </c>
    </row>
    <row r="249" spans="1:42" x14ac:dyDescent="0.25">
      <c r="A249">
        <v>269</v>
      </c>
      <c r="B249" t="s">
        <v>609</v>
      </c>
      <c r="C249" t="s">
        <v>606</v>
      </c>
      <c r="D249" t="s">
        <v>133</v>
      </c>
      <c r="E249" s="4">
        <v>1</v>
      </c>
      <c r="F249" t="s">
        <v>114</v>
      </c>
      <c r="G249" t="s">
        <v>114</v>
      </c>
      <c r="H249" s="3">
        <v>46188</v>
      </c>
      <c r="I249" s="3">
        <v>46198</v>
      </c>
      <c r="J249" t="s">
        <v>595</v>
      </c>
      <c r="K249" s="3">
        <v>46198</v>
      </c>
      <c r="L249" s="3">
        <v>46188</v>
      </c>
      <c r="M249" s="3">
        <v>46198</v>
      </c>
      <c r="N249" s="3">
        <v>46198</v>
      </c>
      <c r="O249" t="s">
        <v>595</v>
      </c>
      <c r="P249" t="s">
        <v>55</v>
      </c>
      <c r="Q249">
        <v>268</v>
      </c>
      <c r="S249" t="s">
        <v>124</v>
      </c>
      <c r="T249" t="s">
        <v>425</v>
      </c>
      <c r="V249" t="s">
        <v>61</v>
      </c>
      <c r="W249">
        <v>13.4</v>
      </c>
      <c r="X249" t="s">
        <v>57</v>
      </c>
      <c r="Z249" t="s">
        <v>124</v>
      </c>
      <c r="AA249" t="s">
        <v>131</v>
      </c>
      <c r="AE249">
        <v>1</v>
      </c>
      <c r="AF249">
        <v>0</v>
      </c>
      <c r="AG249">
        <v>0</v>
      </c>
      <c r="AH249">
        <v>0</v>
      </c>
      <c r="AI249">
        <v>1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0</v>
      </c>
      <c r="AP249">
        <v>0</v>
      </c>
    </row>
    <row r="250" spans="1:42" x14ac:dyDescent="0.25">
      <c r="A250">
        <v>270</v>
      </c>
      <c r="B250" t="s">
        <v>610</v>
      </c>
      <c r="C250" t="s">
        <v>425</v>
      </c>
      <c r="D250" t="s">
        <v>611</v>
      </c>
      <c r="E250" s="4">
        <v>1</v>
      </c>
      <c r="F250" t="s">
        <v>612</v>
      </c>
      <c r="G250" t="s">
        <v>612</v>
      </c>
      <c r="H250" s="3">
        <v>46113</v>
      </c>
      <c r="I250" s="3">
        <v>46171</v>
      </c>
      <c r="J250" t="s">
        <v>337</v>
      </c>
      <c r="K250" s="3">
        <v>46167</v>
      </c>
      <c r="L250" s="3">
        <v>46134</v>
      </c>
      <c r="M250" s="3">
        <v>46171</v>
      </c>
      <c r="N250" s="3">
        <v>46171</v>
      </c>
      <c r="O250" t="s">
        <v>257</v>
      </c>
      <c r="P250" t="s">
        <v>55</v>
      </c>
      <c r="T250" t="s">
        <v>425</v>
      </c>
      <c r="V250" t="s">
        <v>613</v>
      </c>
      <c r="X250" t="s">
        <v>57</v>
      </c>
      <c r="AA250" t="s">
        <v>50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</row>
    <row r="251" spans="1:42" x14ac:dyDescent="0.25">
      <c r="A251">
        <v>271</v>
      </c>
      <c r="B251" t="s">
        <v>614</v>
      </c>
      <c r="C251" t="s">
        <v>615</v>
      </c>
      <c r="D251" t="s">
        <v>616</v>
      </c>
      <c r="E251" s="4">
        <v>1</v>
      </c>
      <c r="F251" t="s">
        <v>210</v>
      </c>
      <c r="G251" t="s">
        <v>210</v>
      </c>
      <c r="H251" s="3">
        <v>46113</v>
      </c>
      <c r="I251" s="3">
        <v>46126</v>
      </c>
      <c r="J251" t="s">
        <v>337</v>
      </c>
      <c r="K251" s="3">
        <v>46147</v>
      </c>
      <c r="L251" s="3">
        <v>46134</v>
      </c>
      <c r="M251" s="3">
        <v>46126</v>
      </c>
      <c r="N251" s="3">
        <v>46126</v>
      </c>
      <c r="O251" t="s">
        <v>257</v>
      </c>
      <c r="P251" t="s">
        <v>55</v>
      </c>
      <c r="T251" t="s">
        <v>425</v>
      </c>
      <c r="U251" t="s">
        <v>617</v>
      </c>
      <c r="V251" t="s">
        <v>114</v>
      </c>
      <c r="X251" t="s">
        <v>57</v>
      </c>
      <c r="AA251" t="s">
        <v>50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</row>
    <row r="252" spans="1:42" x14ac:dyDescent="0.25">
      <c r="A252">
        <v>272</v>
      </c>
      <c r="B252" t="s">
        <v>618</v>
      </c>
      <c r="C252" t="s">
        <v>619</v>
      </c>
      <c r="D252" t="s">
        <v>117</v>
      </c>
      <c r="E252" s="4">
        <v>1</v>
      </c>
      <c r="F252" t="s">
        <v>101</v>
      </c>
      <c r="G252" t="s">
        <v>101</v>
      </c>
      <c r="H252" s="3">
        <v>46113</v>
      </c>
      <c r="I252" s="3">
        <v>46120</v>
      </c>
      <c r="J252" t="s">
        <v>337</v>
      </c>
      <c r="K252" s="3">
        <v>46139</v>
      </c>
      <c r="L252" s="3">
        <v>46134</v>
      </c>
      <c r="M252" s="3">
        <v>46120</v>
      </c>
      <c r="N252" s="3">
        <v>46120</v>
      </c>
      <c r="O252" t="s">
        <v>257</v>
      </c>
      <c r="P252" t="s">
        <v>55</v>
      </c>
      <c r="Q252">
        <v>102</v>
      </c>
      <c r="R252" s="1">
        <v>46126</v>
      </c>
      <c r="S252" t="s">
        <v>302</v>
      </c>
      <c r="T252" t="s">
        <v>425</v>
      </c>
      <c r="U252" t="s">
        <v>620</v>
      </c>
      <c r="V252" t="s">
        <v>101</v>
      </c>
      <c r="W252">
        <v>13.4</v>
      </c>
      <c r="X252" t="s">
        <v>57</v>
      </c>
      <c r="Y252">
        <v>54.2</v>
      </c>
      <c r="Z252" t="s">
        <v>302</v>
      </c>
      <c r="AA252" t="s">
        <v>71</v>
      </c>
      <c r="AE252">
        <v>1</v>
      </c>
      <c r="AF252">
        <v>1</v>
      </c>
      <c r="AG252">
        <v>1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1</v>
      </c>
    </row>
    <row r="253" spans="1:42" x14ac:dyDescent="0.25">
      <c r="A253">
        <v>273</v>
      </c>
      <c r="B253" t="s">
        <v>621</v>
      </c>
      <c r="C253" t="s">
        <v>619</v>
      </c>
      <c r="D253" t="s">
        <v>121</v>
      </c>
      <c r="E253" s="4">
        <v>1</v>
      </c>
      <c r="F253" t="s">
        <v>61</v>
      </c>
      <c r="G253" t="s">
        <v>61</v>
      </c>
      <c r="H253" s="3">
        <v>46121</v>
      </c>
      <c r="I253" s="3">
        <v>46121</v>
      </c>
      <c r="J253" t="s">
        <v>85</v>
      </c>
      <c r="K253" s="3">
        <v>46142</v>
      </c>
      <c r="L253" s="3">
        <v>46140</v>
      </c>
      <c r="M253" s="3">
        <v>46121</v>
      </c>
      <c r="N253" s="3">
        <v>46121</v>
      </c>
      <c r="O253" t="s">
        <v>622</v>
      </c>
      <c r="P253" t="s">
        <v>55</v>
      </c>
      <c r="Q253">
        <v>272</v>
      </c>
      <c r="S253" t="s">
        <v>124</v>
      </c>
      <c r="T253" t="s">
        <v>425</v>
      </c>
      <c r="U253">
        <v>274</v>
      </c>
      <c r="V253" t="s">
        <v>122</v>
      </c>
      <c r="W253">
        <v>13.4</v>
      </c>
      <c r="X253" t="s">
        <v>57</v>
      </c>
      <c r="Z253" t="s">
        <v>124</v>
      </c>
      <c r="AA253" t="s">
        <v>71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1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</row>
    <row r="254" spans="1:42" x14ac:dyDescent="0.25">
      <c r="A254">
        <v>274</v>
      </c>
      <c r="B254" t="s">
        <v>623</v>
      </c>
      <c r="C254" t="s">
        <v>619</v>
      </c>
      <c r="D254" t="s">
        <v>126</v>
      </c>
      <c r="E254" s="4">
        <v>1</v>
      </c>
      <c r="F254" t="s">
        <v>122</v>
      </c>
      <c r="G254" t="s">
        <v>122</v>
      </c>
      <c r="H254" s="3">
        <v>46121</v>
      </c>
      <c r="I254" s="3">
        <v>46125</v>
      </c>
      <c r="J254" t="s">
        <v>409</v>
      </c>
      <c r="K254" s="3">
        <v>46146</v>
      </c>
      <c r="L254" s="3">
        <v>46146</v>
      </c>
      <c r="M254" s="3">
        <v>46125</v>
      </c>
      <c r="N254" s="3">
        <v>46125</v>
      </c>
      <c r="O254" t="s">
        <v>622</v>
      </c>
      <c r="P254" t="s">
        <v>55</v>
      </c>
      <c r="Q254">
        <v>273</v>
      </c>
      <c r="S254" t="s">
        <v>302</v>
      </c>
      <c r="T254" t="s">
        <v>425</v>
      </c>
      <c r="U254">
        <v>275</v>
      </c>
      <c r="V254" t="s">
        <v>61</v>
      </c>
      <c r="W254">
        <v>13.4</v>
      </c>
      <c r="X254" t="s">
        <v>57</v>
      </c>
      <c r="Z254" t="s">
        <v>302</v>
      </c>
      <c r="AA254" t="s">
        <v>401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1</v>
      </c>
      <c r="AM254">
        <v>0</v>
      </c>
      <c r="AN254">
        <v>0</v>
      </c>
      <c r="AO254">
        <v>0</v>
      </c>
      <c r="AP254">
        <v>0</v>
      </c>
    </row>
    <row r="255" spans="1:42" x14ac:dyDescent="0.25">
      <c r="A255">
        <v>275</v>
      </c>
      <c r="B255" t="s">
        <v>624</v>
      </c>
      <c r="C255" t="s">
        <v>619</v>
      </c>
      <c r="D255" t="s">
        <v>133</v>
      </c>
      <c r="E255" s="4">
        <v>1</v>
      </c>
      <c r="F255" t="s">
        <v>127</v>
      </c>
      <c r="G255" t="s">
        <v>127</v>
      </c>
      <c r="H255" s="3">
        <v>46125</v>
      </c>
      <c r="I255" s="3">
        <v>46126</v>
      </c>
      <c r="J255" t="s">
        <v>183</v>
      </c>
      <c r="K255" s="3">
        <v>46147</v>
      </c>
      <c r="L255" s="3">
        <v>46147</v>
      </c>
      <c r="M255" s="3">
        <v>46126</v>
      </c>
      <c r="N255" s="3">
        <v>46126</v>
      </c>
      <c r="O255" t="s">
        <v>144</v>
      </c>
      <c r="P255" t="s">
        <v>55</v>
      </c>
      <c r="Q255">
        <v>274</v>
      </c>
      <c r="S255" t="s">
        <v>124</v>
      </c>
      <c r="T255" t="s">
        <v>425</v>
      </c>
      <c r="U255" t="s">
        <v>625</v>
      </c>
      <c r="V255" t="s">
        <v>61</v>
      </c>
      <c r="W255">
        <v>13.4</v>
      </c>
      <c r="X255" t="s">
        <v>57</v>
      </c>
      <c r="Z255" t="s">
        <v>124</v>
      </c>
      <c r="AA255" t="s">
        <v>401</v>
      </c>
      <c r="AE255">
        <v>1</v>
      </c>
      <c r="AF255">
        <v>0</v>
      </c>
      <c r="AG255">
        <v>0</v>
      </c>
      <c r="AH255">
        <v>0</v>
      </c>
      <c r="AI255">
        <v>1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0</v>
      </c>
      <c r="AP255">
        <v>0</v>
      </c>
    </row>
    <row r="256" spans="1:42" x14ac:dyDescent="0.25">
      <c r="A256">
        <v>276</v>
      </c>
      <c r="B256" t="s">
        <v>626</v>
      </c>
      <c r="C256" t="s">
        <v>615</v>
      </c>
      <c r="D256" t="s">
        <v>627</v>
      </c>
      <c r="E256" s="4">
        <v>1</v>
      </c>
      <c r="F256" t="s">
        <v>340</v>
      </c>
      <c r="G256" t="s">
        <v>340</v>
      </c>
      <c r="H256" s="3">
        <v>46126</v>
      </c>
      <c r="I256" s="3">
        <v>46171</v>
      </c>
      <c r="J256" t="s">
        <v>444</v>
      </c>
      <c r="K256" s="3">
        <v>46167</v>
      </c>
      <c r="L256" s="3">
        <v>46157</v>
      </c>
      <c r="M256" s="3">
        <v>46171</v>
      </c>
      <c r="N256" s="3">
        <v>46171</v>
      </c>
      <c r="O256" t="s">
        <v>334</v>
      </c>
      <c r="P256" t="s">
        <v>55</v>
      </c>
      <c r="T256" t="s">
        <v>425</v>
      </c>
      <c r="V256" t="s">
        <v>175</v>
      </c>
      <c r="X256" t="s">
        <v>57</v>
      </c>
      <c r="AA256" t="s">
        <v>50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</row>
    <row r="257" spans="1:42" x14ac:dyDescent="0.25">
      <c r="A257">
        <v>277</v>
      </c>
      <c r="B257" t="s">
        <v>628</v>
      </c>
      <c r="C257" t="s">
        <v>629</v>
      </c>
      <c r="D257" t="s">
        <v>117</v>
      </c>
      <c r="E257" s="4">
        <v>1</v>
      </c>
      <c r="F257" t="s">
        <v>101</v>
      </c>
      <c r="G257" t="s">
        <v>101</v>
      </c>
      <c r="H257" s="3">
        <v>46126</v>
      </c>
      <c r="I257" s="3">
        <v>46129</v>
      </c>
      <c r="J257" t="s">
        <v>444</v>
      </c>
      <c r="K257" s="3">
        <v>46160</v>
      </c>
      <c r="L257" s="3">
        <v>46157</v>
      </c>
      <c r="M257" s="3">
        <v>46129</v>
      </c>
      <c r="N257" s="3">
        <v>46129</v>
      </c>
      <c r="O257" t="s">
        <v>334</v>
      </c>
      <c r="P257" t="s">
        <v>55</v>
      </c>
      <c r="Q257" t="s">
        <v>630</v>
      </c>
      <c r="S257" t="s">
        <v>302</v>
      </c>
      <c r="T257" t="s">
        <v>425</v>
      </c>
      <c r="U257" t="s">
        <v>631</v>
      </c>
      <c r="V257" t="s">
        <v>127</v>
      </c>
      <c r="W257">
        <v>13.4</v>
      </c>
      <c r="X257" t="s">
        <v>57</v>
      </c>
      <c r="Z257" t="s">
        <v>302</v>
      </c>
      <c r="AA257" t="s">
        <v>93</v>
      </c>
      <c r="AE257">
        <v>1</v>
      </c>
      <c r="AF257">
        <v>1</v>
      </c>
      <c r="AG257">
        <v>1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1</v>
      </c>
    </row>
    <row r="258" spans="1:42" x14ac:dyDescent="0.25">
      <c r="A258">
        <v>278</v>
      </c>
      <c r="B258" t="s">
        <v>632</v>
      </c>
      <c r="C258" t="s">
        <v>629</v>
      </c>
      <c r="D258" t="s">
        <v>121</v>
      </c>
      <c r="E258" s="4">
        <v>1</v>
      </c>
      <c r="F258" t="s">
        <v>214</v>
      </c>
      <c r="G258" t="s">
        <v>214</v>
      </c>
      <c r="H258" s="3">
        <v>46129</v>
      </c>
      <c r="I258" s="3">
        <v>46140</v>
      </c>
      <c r="J258" t="s">
        <v>90</v>
      </c>
      <c r="K258" s="3">
        <v>46163</v>
      </c>
      <c r="L258" s="3">
        <v>46161</v>
      </c>
      <c r="M258" s="3">
        <v>46140</v>
      </c>
      <c r="N258" s="3">
        <v>46140</v>
      </c>
      <c r="O258" t="s">
        <v>182</v>
      </c>
      <c r="P258" t="s">
        <v>55</v>
      </c>
      <c r="Q258">
        <v>277</v>
      </c>
      <c r="S258" t="s">
        <v>124</v>
      </c>
      <c r="T258" t="s">
        <v>425</v>
      </c>
      <c r="U258">
        <v>279</v>
      </c>
      <c r="V258" t="s">
        <v>122</v>
      </c>
      <c r="W258">
        <v>13.4</v>
      </c>
      <c r="X258" t="s">
        <v>57</v>
      </c>
      <c r="Z258" t="s">
        <v>124</v>
      </c>
      <c r="AA258" t="s">
        <v>198</v>
      </c>
      <c r="AE258">
        <v>1</v>
      </c>
      <c r="AF258">
        <v>0</v>
      </c>
      <c r="AG258">
        <v>0</v>
      </c>
      <c r="AH258">
        <v>0</v>
      </c>
      <c r="AI258">
        <v>0</v>
      </c>
      <c r="AJ258">
        <v>1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</row>
    <row r="259" spans="1:42" x14ac:dyDescent="0.25">
      <c r="A259">
        <v>279</v>
      </c>
      <c r="B259" t="s">
        <v>633</v>
      </c>
      <c r="C259" t="s">
        <v>629</v>
      </c>
      <c r="D259" t="s">
        <v>126</v>
      </c>
      <c r="E259" s="4">
        <v>1</v>
      </c>
      <c r="F259" t="s">
        <v>101</v>
      </c>
      <c r="G259" t="s">
        <v>101</v>
      </c>
      <c r="H259" s="3">
        <v>46141</v>
      </c>
      <c r="I259" s="3">
        <v>46147</v>
      </c>
      <c r="J259" t="s">
        <v>471</v>
      </c>
      <c r="K259" s="3">
        <v>46164</v>
      </c>
      <c r="L259" s="3">
        <v>46164</v>
      </c>
      <c r="M259" s="3">
        <v>46147</v>
      </c>
      <c r="N259" s="3">
        <v>46147</v>
      </c>
      <c r="O259" t="s">
        <v>415</v>
      </c>
      <c r="P259" t="s">
        <v>55</v>
      </c>
      <c r="Q259">
        <v>278</v>
      </c>
      <c r="S259" t="s">
        <v>302</v>
      </c>
      <c r="T259" t="s">
        <v>425</v>
      </c>
      <c r="U259" t="s">
        <v>634</v>
      </c>
      <c r="V259" t="s">
        <v>61</v>
      </c>
      <c r="W259">
        <v>13.4</v>
      </c>
      <c r="X259" t="s">
        <v>57</v>
      </c>
      <c r="Z259" t="s">
        <v>302</v>
      </c>
      <c r="AA259" t="s">
        <v>198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1</v>
      </c>
      <c r="AM259">
        <v>0</v>
      </c>
      <c r="AN259">
        <v>0</v>
      </c>
      <c r="AO259">
        <v>0</v>
      </c>
      <c r="AP259">
        <v>0</v>
      </c>
    </row>
    <row r="260" spans="1:42" x14ac:dyDescent="0.25">
      <c r="A260">
        <v>280</v>
      </c>
      <c r="B260" t="s">
        <v>635</v>
      </c>
      <c r="C260" t="s">
        <v>629</v>
      </c>
      <c r="D260" t="s">
        <v>133</v>
      </c>
      <c r="E260" s="4">
        <v>1</v>
      </c>
      <c r="F260" t="s">
        <v>636</v>
      </c>
      <c r="G260" t="s">
        <v>636</v>
      </c>
      <c r="H260" s="3">
        <v>46147</v>
      </c>
      <c r="I260" s="3">
        <v>46171</v>
      </c>
      <c r="J260" t="s">
        <v>74</v>
      </c>
      <c r="K260" s="3">
        <v>46167</v>
      </c>
      <c r="L260" s="3">
        <v>46167</v>
      </c>
      <c r="M260" s="3">
        <v>46171</v>
      </c>
      <c r="N260" s="3">
        <v>46171</v>
      </c>
      <c r="O260" t="s">
        <v>183</v>
      </c>
      <c r="P260" t="s">
        <v>55</v>
      </c>
      <c r="Q260" t="s">
        <v>637</v>
      </c>
      <c r="S260" t="s">
        <v>124</v>
      </c>
      <c r="T260" t="s">
        <v>425</v>
      </c>
      <c r="V260" t="s">
        <v>61</v>
      </c>
      <c r="W260">
        <v>13.4</v>
      </c>
      <c r="X260" t="s">
        <v>57</v>
      </c>
      <c r="Z260" t="s">
        <v>124</v>
      </c>
      <c r="AA260" t="s">
        <v>77</v>
      </c>
      <c r="AE260">
        <v>1</v>
      </c>
      <c r="AF260">
        <v>0</v>
      </c>
      <c r="AG260">
        <v>0</v>
      </c>
      <c r="AH260">
        <v>0</v>
      </c>
      <c r="AI260">
        <v>1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0</v>
      </c>
      <c r="AP260">
        <v>0</v>
      </c>
    </row>
    <row r="261" spans="1:42" x14ac:dyDescent="0.25">
      <c r="A261">
        <v>281</v>
      </c>
      <c r="B261" t="s">
        <v>638</v>
      </c>
      <c r="C261" t="s">
        <v>615</v>
      </c>
      <c r="D261" t="s">
        <v>639</v>
      </c>
      <c r="E261" s="4">
        <v>1</v>
      </c>
      <c r="F261" t="s">
        <v>340</v>
      </c>
      <c r="G261" t="s">
        <v>340</v>
      </c>
      <c r="H261" s="3">
        <v>46126</v>
      </c>
      <c r="I261" s="3">
        <v>46171</v>
      </c>
      <c r="J261" t="s">
        <v>304</v>
      </c>
      <c r="K261" s="3">
        <v>46156</v>
      </c>
      <c r="L261" s="3">
        <v>46148</v>
      </c>
      <c r="M261" s="3">
        <v>46171</v>
      </c>
      <c r="N261" s="3">
        <v>46171</v>
      </c>
      <c r="O261" t="s">
        <v>334</v>
      </c>
      <c r="P261" t="s">
        <v>55</v>
      </c>
      <c r="T261" t="s">
        <v>425</v>
      </c>
      <c r="V261" t="s">
        <v>175</v>
      </c>
      <c r="X261" t="s">
        <v>57</v>
      </c>
      <c r="AA261" t="s">
        <v>50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</row>
    <row r="262" spans="1:42" x14ac:dyDescent="0.25">
      <c r="A262">
        <v>282</v>
      </c>
      <c r="B262" t="s">
        <v>640</v>
      </c>
      <c r="C262" t="s">
        <v>641</v>
      </c>
      <c r="D262" t="s">
        <v>117</v>
      </c>
      <c r="E262" s="4">
        <v>1</v>
      </c>
      <c r="F262" t="s">
        <v>101</v>
      </c>
      <c r="G262" t="s">
        <v>101</v>
      </c>
      <c r="H262" s="3">
        <v>46126</v>
      </c>
      <c r="I262" s="3">
        <v>46129</v>
      </c>
      <c r="J262" t="s">
        <v>304</v>
      </c>
      <c r="K262" s="3">
        <v>46149</v>
      </c>
      <c r="L262" s="3">
        <v>46148</v>
      </c>
      <c r="M262" s="3">
        <v>46129</v>
      </c>
      <c r="N262" s="3">
        <v>46129</v>
      </c>
      <c r="O262" t="s">
        <v>334</v>
      </c>
      <c r="P262" t="s">
        <v>55</v>
      </c>
      <c r="Q262">
        <v>275</v>
      </c>
      <c r="S262" t="s">
        <v>302</v>
      </c>
      <c r="T262" t="s">
        <v>425</v>
      </c>
      <c r="U262">
        <v>283</v>
      </c>
      <c r="V262" t="s">
        <v>127</v>
      </c>
      <c r="W262">
        <v>13.4</v>
      </c>
      <c r="X262" t="s">
        <v>57</v>
      </c>
      <c r="Z262" t="s">
        <v>302</v>
      </c>
      <c r="AA262" t="s">
        <v>401</v>
      </c>
      <c r="AE262">
        <v>1</v>
      </c>
      <c r="AF262">
        <v>1</v>
      </c>
      <c r="AG262">
        <v>1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1</v>
      </c>
    </row>
    <row r="263" spans="1:42" x14ac:dyDescent="0.25">
      <c r="A263">
        <v>283</v>
      </c>
      <c r="B263" t="s">
        <v>642</v>
      </c>
      <c r="C263" t="s">
        <v>641</v>
      </c>
      <c r="D263" t="s">
        <v>121</v>
      </c>
      <c r="E263" s="4">
        <v>1</v>
      </c>
      <c r="F263" t="s">
        <v>214</v>
      </c>
      <c r="G263" t="s">
        <v>214</v>
      </c>
      <c r="H263" s="3">
        <v>46129</v>
      </c>
      <c r="I263" s="3">
        <v>46140</v>
      </c>
      <c r="J263" t="s">
        <v>403</v>
      </c>
      <c r="K263" s="3">
        <v>46154</v>
      </c>
      <c r="L263" s="3">
        <v>46150</v>
      </c>
      <c r="M263" s="3">
        <v>46140</v>
      </c>
      <c r="N263" s="3">
        <v>46140</v>
      </c>
      <c r="O263" t="s">
        <v>182</v>
      </c>
      <c r="P263" t="s">
        <v>55</v>
      </c>
      <c r="Q263">
        <v>282</v>
      </c>
      <c r="S263" t="s">
        <v>124</v>
      </c>
      <c r="T263" t="s">
        <v>425</v>
      </c>
      <c r="U263">
        <v>284</v>
      </c>
      <c r="V263" t="s">
        <v>122</v>
      </c>
      <c r="W263">
        <v>13.4</v>
      </c>
      <c r="X263" t="s">
        <v>57</v>
      </c>
      <c r="Z263" t="s">
        <v>124</v>
      </c>
      <c r="AA263" t="s">
        <v>401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1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</row>
    <row r="264" spans="1:42" x14ac:dyDescent="0.25">
      <c r="A264">
        <v>284</v>
      </c>
      <c r="B264" t="s">
        <v>643</v>
      </c>
      <c r="C264" t="s">
        <v>641</v>
      </c>
      <c r="D264" t="s">
        <v>126</v>
      </c>
      <c r="E264" s="4">
        <v>1</v>
      </c>
      <c r="F264" t="s">
        <v>101</v>
      </c>
      <c r="G264" t="s">
        <v>101</v>
      </c>
      <c r="H264" s="3">
        <v>46141</v>
      </c>
      <c r="I264" s="3">
        <v>46147</v>
      </c>
      <c r="J264" t="s">
        <v>68</v>
      </c>
      <c r="K264" s="3">
        <v>46155</v>
      </c>
      <c r="L264" s="3">
        <v>46155</v>
      </c>
      <c r="M264" s="3">
        <v>46147</v>
      </c>
      <c r="N264" s="3">
        <v>46147</v>
      </c>
      <c r="O264" t="s">
        <v>415</v>
      </c>
      <c r="P264" t="s">
        <v>55</v>
      </c>
      <c r="Q264">
        <v>283</v>
      </c>
      <c r="S264" t="s">
        <v>302</v>
      </c>
      <c r="T264" t="s">
        <v>425</v>
      </c>
      <c r="U264" t="s">
        <v>644</v>
      </c>
      <c r="V264" t="s">
        <v>61</v>
      </c>
      <c r="W264">
        <v>13.4</v>
      </c>
      <c r="X264" t="s">
        <v>57</v>
      </c>
      <c r="Z264" t="s">
        <v>302</v>
      </c>
      <c r="AA264" t="s">
        <v>93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1</v>
      </c>
      <c r="AM264">
        <v>0</v>
      </c>
      <c r="AN264">
        <v>0</v>
      </c>
      <c r="AO264">
        <v>0</v>
      </c>
      <c r="AP264">
        <v>0</v>
      </c>
    </row>
    <row r="265" spans="1:42" x14ac:dyDescent="0.25">
      <c r="A265">
        <v>285</v>
      </c>
      <c r="B265" t="s">
        <v>645</v>
      </c>
      <c r="C265" t="s">
        <v>641</v>
      </c>
      <c r="D265" t="s">
        <v>133</v>
      </c>
      <c r="E265" s="4">
        <v>1</v>
      </c>
      <c r="F265" t="s">
        <v>636</v>
      </c>
      <c r="G265" t="s">
        <v>636</v>
      </c>
      <c r="H265" s="3">
        <v>46147</v>
      </c>
      <c r="I265" s="3">
        <v>46171</v>
      </c>
      <c r="J265" t="s">
        <v>406</v>
      </c>
      <c r="K265" s="3">
        <v>46156</v>
      </c>
      <c r="L265" s="3">
        <v>46156</v>
      </c>
      <c r="M265" s="3">
        <v>46171</v>
      </c>
      <c r="N265" s="3">
        <v>46171</v>
      </c>
      <c r="O265" t="s">
        <v>183</v>
      </c>
      <c r="P265" t="s">
        <v>55</v>
      </c>
      <c r="Q265" t="s">
        <v>646</v>
      </c>
      <c r="S265" t="s">
        <v>124</v>
      </c>
      <c r="T265" t="s">
        <v>425</v>
      </c>
      <c r="V265" t="s">
        <v>61</v>
      </c>
      <c r="W265">
        <v>13.4</v>
      </c>
      <c r="X265" t="s">
        <v>57</v>
      </c>
      <c r="Z265" t="s">
        <v>124</v>
      </c>
      <c r="AA265" t="s">
        <v>93</v>
      </c>
      <c r="AE265">
        <v>1</v>
      </c>
      <c r="AF265">
        <v>0</v>
      </c>
      <c r="AG265">
        <v>0</v>
      </c>
      <c r="AH265">
        <v>0</v>
      </c>
      <c r="AI265">
        <v>1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0</v>
      </c>
      <c r="AP265">
        <v>0</v>
      </c>
    </row>
    <row r="266" spans="1:42" x14ac:dyDescent="0.25">
      <c r="A266">
        <v>286</v>
      </c>
      <c r="B266" t="s">
        <v>647</v>
      </c>
      <c r="C266" t="s">
        <v>615</v>
      </c>
      <c r="D266" t="s">
        <v>648</v>
      </c>
      <c r="E266" s="4">
        <v>1</v>
      </c>
      <c r="F266" t="s">
        <v>340</v>
      </c>
      <c r="G266" t="s">
        <v>340</v>
      </c>
      <c r="H266" s="3">
        <v>46126</v>
      </c>
      <c r="I266" s="3">
        <v>46171</v>
      </c>
      <c r="J266" t="s">
        <v>334</v>
      </c>
      <c r="K266" s="3">
        <v>46171</v>
      </c>
      <c r="L266" s="3">
        <v>46126</v>
      </c>
      <c r="M266" s="3">
        <v>46171</v>
      </c>
      <c r="N266" s="3">
        <v>46171</v>
      </c>
      <c r="O266" t="s">
        <v>334</v>
      </c>
      <c r="P266" t="s">
        <v>55</v>
      </c>
      <c r="T266" t="s">
        <v>425</v>
      </c>
      <c r="V266" t="s">
        <v>175</v>
      </c>
      <c r="X266" t="s">
        <v>57</v>
      </c>
      <c r="AA266" t="s">
        <v>50</v>
      </c>
      <c r="AB266" t="s">
        <v>94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</row>
    <row r="267" spans="1:42" x14ac:dyDescent="0.25">
      <c r="A267">
        <v>287</v>
      </c>
      <c r="B267" t="s">
        <v>649</v>
      </c>
      <c r="C267" t="s">
        <v>650</v>
      </c>
      <c r="D267" t="s">
        <v>117</v>
      </c>
      <c r="E267" s="4">
        <v>1</v>
      </c>
      <c r="F267" t="s">
        <v>101</v>
      </c>
      <c r="G267" t="s">
        <v>101</v>
      </c>
      <c r="H267" s="3">
        <v>46126</v>
      </c>
      <c r="I267" s="3">
        <v>46129</v>
      </c>
      <c r="J267" t="s">
        <v>334</v>
      </c>
      <c r="K267" s="3">
        <v>46129</v>
      </c>
      <c r="L267" s="3">
        <v>46126</v>
      </c>
      <c r="M267" s="3">
        <v>46129</v>
      </c>
      <c r="N267" s="3">
        <v>46129</v>
      </c>
      <c r="O267" t="s">
        <v>334</v>
      </c>
      <c r="P267" t="s">
        <v>55</v>
      </c>
      <c r="Q267">
        <v>275</v>
      </c>
      <c r="S267" t="s">
        <v>302</v>
      </c>
      <c r="T267" t="s">
        <v>425</v>
      </c>
      <c r="U267">
        <v>288</v>
      </c>
      <c r="V267" t="s">
        <v>127</v>
      </c>
      <c r="W267">
        <v>13.4</v>
      </c>
      <c r="X267" t="s">
        <v>57</v>
      </c>
      <c r="Z267" t="s">
        <v>302</v>
      </c>
      <c r="AA267" t="s">
        <v>401</v>
      </c>
      <c r="AE267">
        <v>1</v>
      </c>
      <c r="AF267">
        <v>1</v>
      </c>
      <c r="AG267">
        <v>1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1</v>
      </c>
    </row>
    <row r="268" spans="1:42" x14ac:dyDescent="0.25">
      <c r="A268">
        <v>288</v>
      </c>
      <c r="B268" t="s">
        <v>651</v>
      </c>
      <c r="C268" t="s">
        <v>650</v>
      </c>
      <c r="D268" t="s">
        <v>121</v>
      </c>
      <c r="E268" s="4">
        <v>1</v>
      </c>
      <c r="F268" t="s">
        <v>214</v>
      </c>
      <c r="G268" t="s">
        <v>214</v>
      </c>
      <c r="H268" s="3">
        <v>46129</v>
      </c>
      <c r="I268" s="3">
        <v>46140</v>
      </c>
      <c r="J268" t="s">
        <v>182</v>
      </c>
      <c r="K268" s="3">
        <v>46140</v>
      </c>
      <c r="L268" s="3">
        <v>46129</v>
      </c>
      <c r="M268" s="3">
        <v>46140</v>
      </c>
      <c r="N268" s="3">
        <v>46140</v>
      </c>
      <c r="O268" t="s">
        <v>182</v>
      </c>
      <c r="P268" t="s">
        <v>55</v>
      </c>
      <c r="Q268">
        <v>287</v>
      </c>
      <c r="S268" t="s">
        <v>124</v>
      </c>
      <c r="T268" t="s">
        <v>425</v>
      </c>
      <c r="U268">
        <v>289</v>
      </c>
      <c r="V268" t="s">
        <v>122</v>
      </c>
      <c r="W268">
        <v>13.4</v>
      </c>
      <c r="X268" t="s">
        <v>57</v>
      </c>
      <c r="Z268" t="s">
        <v>124</v>
      </c>
      <c r="AA268" t="s">
        <v>401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1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</row>
    <row r="269" spans="1:42" x14ac:dyDescent="0.25">
      <c r="A269">
        <v>289</v>
      </c>
      <c r="B269" t="s">
        <v>652</v>
      </c>
      <c r="C269" t="s">
        <v>650</v>
      </c>
      <c r="D269" t="s">
        <v>126</v>
      </c>
      <c r="E269" s="4">
        <v>1</v>
      </c>
      <c r="F269" t="s">
        <v>101</v>
      </c>
      <c r="G269" t="s">
        <v>101</v>
      </c>
      <c r="H269" s="3">
        <v>46141</v>
      </c>
      <c r="I269" s="3">
        <v>46147</v>
      </c>
      <c r="J269" t="s">
        <v>415</v>
      </c>
      <c r="K269" s="3">
        <v>46147</v>
      </c>
      <c r="L269" s="3">
        <v>46141</v>
      </c>
      <c r="M269" s="3">
        <v>46147</v>
      </c>
      <c r="N269" s="3">
        <v>46147</v>
      </c>
      <c r="O269" t="s">
        <v>415</v>
      </c>
      <c r="P269" t="s">
        <v>55</v>
      </c>
      <c r="Q269">
        <v>288</v>
      </c>
      <c r="S269" t="s">
        <v>302</v>
      </c>
      <c r="T269" t="s">
        <v>425</v>
      </c>
      <c r="U269" t="s">
        <v>653</v>
      </c>
      <c r="V269" t="s">
        <v>61</v>
      </c>
      <c r="W269">
        <v>13.4</v>
      </c>
      <c r="X269" t="s">
        <v>57</v>
      </c>
      <c r="Z269" t="s">
        <v>302</v>
      </c>
      <c r="AA269" t="s">
        <v>93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1</v>
      </c>
      <c r="AM269">
        <v>0</v>
      </c>
      <c r="AN269">
        <v>0</v>
      </c>
      <c r="AO269">
        <v>0</v>
      </c>
      <c r="AP269">
        <v>0</v>
      </c>
    </row>
    <row r="270" spans="1:42" x14ac:dyDescent="0.25">
      <c r="A270">
        <v>290</v>
      </c>
      <c r="B270" t="s">
        <v>654</v>
      </c>
      <c r="C270" t="s">
        <v>650</v>
      </c>
      <c r="D270" t="s">
        <v>133</v>
      </c>
      <c r="E270" s="4">
        <v>1</v>
      </c>
      <c r="F270" t="s">
        <v>636</v>
      </c>
      <c r="G270" t="s">
        <v>636</v>
      </c>
      <c r="H270" s="3">
        <v>46147</v>
      </c>
      <c r="I270" s="3">
        <v>46171</v>
      </c>
      <c r="J270" t="s">
        <v>183</v>
      </c>
      <c r="K270" s="3">
        <v>46171</v>
      </c>
      <c r="L270" s="3">
        <v>46147</v>
      </c>
      <c r="M270" s="3">
        <v>46171</v>
      </c>
      <c r="N270" s="3">
        <v>46171</v>
      </c>
      <c r="O270" t="s">
        <v>183</v>
      </c>
      <c r="P270" t="s">
        <v>55</v>
      </c>
      <c r="Q270" t="s">
        <v>655</v>
      </c>
      <c r="S270" t="s">
        <v>124</v>
      </c>
      <c r="T270" t="s">
        <v>425</v>
      </c>
      <c r="V270" t="s">
        <v>61</v>
      </c>
      <c r="W270">
        <v>13.4</v>
      </c>
      <c r="X270" t="s">
        <v>57</v>
      </c>
      <c r="Z270" t="s">
        <v>124</v>
      </c>
      <c r="AA270" t="s">
        <v>93</v>
      </c>
      <c r="AE270">
        <v>1</v>
      </c>
      <c r="AF270">
        <v>0</v>
      </c>
      <c r="AG270">
        <v>0</v>
      </c>
      <c r="AH270">
        <v>0</v>
      </c>
      <c r="AI270">
        <v>1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0</v>
      </c>
      <c r="AP270">
        <v>0</v>
      </c>
    </row>
    <row r="271" spans="1:42" x14ac:dyDescent="0.25">
      <c r="A271">
        <v>291</v>
      </c>
      <c r="B271" t="s">
        <v>656</v>
      </c>
      <c r="C271" t="s">
        <v>615</v>
      </c>
      <c r="D271" t="s">
        <v>657</v>
      </c>
      <c r="E271" s="4">
        <v>1</v>
      </c>
      <c r="F271" t="s">
        <v>340</v>
      </c>
      <c r="G271" t="s">
        <v>340</v>
      </c>
      <c r="H271" s="3">
        <v>46126</v>
      </c>
      <c r="I271" s="3">
        <v>46171</v>
      </c>
      <c r="J271" t="s">
        <v>334</v>
      </c>
      <c r="K271" s="3">
        <v>46171</v>
      </c>
      <c r="L271" s="3">
        <v>46126</v>
      </c>
      <c r="M271" s="3">
        <v>46171</v>
      </c>
      <c r="N271" s="3">
        <v>46171</v>
      </c>
      <c r="O271" t="s">
        <v>334</v>
      </c>
      <c r="P271" t="s">
        <v>55</v>
      </c>
      <c r="T271" t="s">
        <v>425</v>
      </c>
      <c r="V271" t="s">
        <v>175</v>
      </c>
      <c r="X271" t="s">
        <v>57</v>
      </c>
      <c r="AA271" t="s">
        <v>50</v>
      </c>
      <c r="AB271" t="s">
        <v>94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</row>
    <row r="272" spans="1:42" x14ac:dyDescent="0.25">
      <c r="A272">
        <v>292</v>
      </c>
      <c r="B272" t="s">
        <v>658</v>
      </c>
      <c r="C272" t="s">
        <v>659</v>
      </c>
      <c r="D272" t="s">
        <v>117</v>
      </c>
      <c r="E272" s="4">
        <v>1</v>
      </c>
      <c r="F272" t="s">
        <v>101</v>
      </c>
      <c r="G272" t="s">
        <v>101</v>
      </c>
      <c r="H272" s="3">
        <v>46126</v>
      </c>
      <c r="I272" s="3">
        <v>46129</v>
      </c>
      <c r="J272" t="s">
        <v>334</v>
      </c>
      <c r="K272" s="3">
        <v>46129</v>
      </c>
      <c r="L272" s="3">
        <v>46126</v>
      </c>
      <c r="M272" s="3">
        <v>46129</v>
      </c>
      <c r="N272" s="3">
        <v>46129</v>
      </c>
      <c r="O272" t="s">
        <v>334</v>
      </c>
      <c r="P272" t="s">
        <v>55</v>
      </c>
      <c r="Q272">
        <v>277</v>
      </c>
      <c r="S272" t="s">
        <v>302</v>
      </c>
      <c r="T272" t="s">
        <v>425</v>
      </c>
      <c r="U272">
        <v>293</v>
      </c>
      <c r="V272" t="s">
        <v>127</v>
      </c>
      <c r="W272">
        <v>13.4</v>
      </c>
      <c r="X272" t="s">
        <v>57</v>
      </c>
      <c r="Z272" t="s">
        <v>302</v>
      </c>
      <c r="AA272" t="s">
        <v>401</v>
      </c>
      <c r="AE272">
        <v>1</v>
      </c>
      <c r="AF272">
        <v>1</v>
      </c>
      <c r="AG272">
        <v>1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1</v>
      </c>
    </row>
    <row r="273" spans="1:42" x14ac:dyDescent="0.25">
      <c r="A273">
        <v>293</v>
      </c>
      <c r="B273" t="s">
        <v>660</v>
      </c>
      <c r="C273" t="s">
        <v>659</v>
      </c>
      <c r="D273" t="s">
        <v>121</v>
      </c>
      <c r="E273" s="4">
        <v>1</v>
      </c>
      <c r="F273" t="s">
        <v>214</v>
      </c>
      <c r="G273" t="s">
        <v>214</v>
      </c>
      <c r="H273" s="3">
        <v>46129</v>
      </c>
      <c r="I273" s="3">
        <v>46140</v>
      </c>
      <c r="J273" t="s">
        <v>182</v>
      </c>
      <c r="K273" s="3">
        <v>46140</v>
      </c>
      <c r="L273" s="3">
        <v>46129</v>
      </c>
      <c r="M273" s="3">
        <v>46140</v>
      </c>
      <c r="N273" s="3">
        <v>46140</v>
      </c>
      <c r="O273" t="s">
        <v>182</v>
      </c>
      <c r="P273" t="s">
        <v>55</v>
      </c>
      <c r="Q273">
        <v>292</v>
      </c>
      <c r="S273" t="s">
        <v>124</v>
      </c>
      <c r="T273" t="s">
        <v>425</v>
      </c>
      <c r="U273">
        <v>294</v>
      </c>
      <c r="V273" t="s">
        <v>122</v>
      </c>
      <c r="W273">
        <v>13.4</v>
      </c>
      <c r="X273" t="s">
        <v>57</v>
      </c>
      <c r="Z273" t="s">
        <v>124</v>
      </c>
      <c r="AA273" t="s">
        <v>401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1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</row>
    <row r="274" spans="1:42" x14ac:dyDescent="0.25">
      <c r="A274">
        <v>294</v>
      </c>
      <c r="B274" t="s">
        <v>661</v>
      </c>
      <c r="C274" t="s">
        <v>659</v>
      </c>
      <c r="D274" t="s">
        <v>126</v>
      </c>
      <c r="E274" s="4">
        <v>1</v>
      </c>
      <c r="F274" t="s">
        <v>101</v>
      </c>
      <c r="G274" t="s">
        <v>101</v>
      </c>
      <c r="H274" s="3">
        <v>46141</v>
      </c>
      <c r="I274" s="3">
        <v>46147</v>
      </c>
      <c r="J274" t="s">
        <v>415</v>
      </c>
      <c r="K274" s="3">
        <v>46147</v>
      </c>
      <c r="L274" s="3">
        <v>46141</v>
      </c>
      <c r="M274" s="3">
        <v>46147</v>
      </c>
      <c r="N274" s="3">
        <v>46147</v>
      </c>
      <c r="O274" t="s">
        <v>415</v>
      </c>
      <c r="P274" t="s">
        <v>55</v>
      </c>
      <c r="Q274">
        <v>293</v>
      </c>
      <c r="S274" t="s">
        <v>302</v>
      </c>
      <c r="T274" t="s">
        <v>425</v>
      </c>
      <c r="U274" t="s">
        <v>662</v>
      </c>
      <c r="V274" t="s">
        <v>61</v>
      </c>
      <c r="W274">
        <v>13.4</v>
      </c>
      <c r="X274" t="s">
        <v>57</v>
      </c>
      <c r="Z274" t="s">
        <v>302</v>
      </c>
      <c r="AA274" t="s">
        <v>93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1</v>
      </c>
      <c r="AM274">
        <v>0</v>
      </c>
      <c r="AN274">
        <v>0</v>
      </c>
      <c r="AO274">
        <v>0</v>
      </c>
      <c r="AP274">
        <v>0</v>
      </c>
    </row>
    <row r="275" spans="1:42" x14ac:dyDescent="0.25">
      <c r="A275">
        <v>295</v>
      </c>
      <c r="B275" t="s">
        <v>663</v>
      </c>
      <c r="C275" t="s">
        <v>659</v>
      </c>
      <c r="D275" t="s">
        <v>133</v>
      </c>
      <c r="E275" s="4">
        <v>1</v>
      </c>
      <c r="F275" t="s">
        <v>636</v>
      </c>
      <c r="G275" t="s">
        <v>636</v>
      </c>
      <c r="H275" s="3">
        <v>46147</v>
      </c>
      <c r="I275" s="3">
        <v>46171</v>
      </c>
      <c r="J275" t="s">
        <v>183</v>
      </c>
      <c r="K275" s="3">
        <v>46171</v>
      </c>
      <c r="L275" s="3">
        <v>46147</v>
      </c>
      <c r="M275" s="3">
        <v>46171</v>
      </c>
      <c r="N275" s="3">
        <v>46171</v>
      </c>
      <c r="O275" t="s">
        <v>183</v>
      </c>
      <c r="P275" t="s">
        <v>55</v>
      </c>
      <c r="Q275" t="s">
        <v>664</v>
      </c>
      <c r="S275" t="s">
        <v>124</v>
      </c>
      <c r="T275" t="s">
        <v>425</v>
      </c>
      <c r="V275" t="s">
        <v>61</v>
      </c>
      <c r="W275">
        <v>13.4</v>
      </c>
      <c r="X275" t="s">
        <v>57</v>
      </c>
      <c r="Z275" t="s">
        <v>124</v>
      </c>
      <c r="AA275" t="s">
        <v>93</v>
      </c>
      <c r="AE275">
        <v>1</v>
      </c>
      <c r="AF275">
        <v>0</v>
      </c>
      <c r="AG275">
        <v>0</v>
      </c>
      <c r="AH275">
        <v>0</v>
      </c>
      <c r="AI275">
        <v>1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0</v>
      </c>
      <c r="AP275">
        <v>0</v>
      </c>
    </row>
    <row r="276" spans="1:42" x14ac:dyDescent="0.25">
      <c r="A276">
        <v>296</v>
      </c>
      <c r="B276" t="s">
        <v>665</v>
      </c>
      <c r="C276" t="s">
        <v>615</v>
      </c>
      <c r="D276" t="s">
        <v>666</v>
      </c>
      <c r="E276" s="4">
        <v>1</v>
      </c>
      <c r="F276" t="s">
        <v>340</v>
      </c>
      <c r="G276" t="s">
        <v>340</v>
      </c>
      <c r="H276" s="3">
        <v>46126</v>
      </c>
      <c r="I276" s="3">
        <v>46171</v>
      </c>
      <c r="J276" t="s">
        <v>334</v>
      </c>
      <c r="K276" s="3">
        <v>46171</v>
      </c>
      <c r="L276" s="3">
        <v>46126</v>
      </c>
      <c r="M276" s="3">
        <v>46171</v>
      </c>
      <c r="N276" s="3">
        <v>46171</v>
      </c>
      <c r="O276" t="s">
        <v>334</v>
      </c>
      <c r="P276" t="s">
        <v>55</v>
      </c>
      <c r="T276" t="s">
        <v>425</v>
      </c>
      <c r="V276" t="s">
        <v>175</v>
      </c>
      <c r="X276" t="s">
        <v>57</v>
      </c>
      <c r="AA276" t="s">
        <v>50</v>
      </c>
      <c r="AB276" t="s">
        <v>94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</row>
    <row r="277" spans="1:42" x14ac:dyDescent="0.25">
      <c r="A277">
        <v>297</v>
      </c>
      <c r="B277" t="s">
        <v>667</v>
      </c>
      <c r="C277" t="s">
        <v>668</v>
      </c>
      <c r="D277" t="s">
        <v>117</v>
      </c>
      <c r="E277" s="4">
        <v>1</v>
      </c>
      <c r="F277" t="s">
        <v>101</v>
      </c>
      <c r="G277" t="s">
        <v>101</v>
      </c>
      <c r="H277" s="3">
        <v>46126</v>
      </c>
      <c r="I277" s="3">
        <v>46129</v>
      </c>
      <c r="J277" t="s">
        <v>334</v>
      </c>
      <c r="K277" s="3">
        <v>46129</v>
      </c>
      <c r="L277" s="3">
        <v>46126</v>
      </c>
      <c r="M277" s="3">
        <v>46129</v>
      </c>
      <c r="N277" s="3">
        <v>46129</v>
      </c>
      <c r="O277" t="s">
        <v>334</v>
      </c>
      <c r="P277" t="s">
        <v>55</v>
      </c>
      <c r="Q277">
        <v>277</v>
      </c>
      <c r="S277" t="s">
        <v>302</v>
      </c>
      <c r="T277" t="s">
        <v>425</v>
      </c>
      <c r="U277">
        <v>298</v>
      </c>
      <c r="V277" t="s">
        <v>127</v>
      </c>
      <c r="W277">
        <v>13.4</v>
      </c>
      <c r="X277" t="s">
        <v>57</v>
      </c>
      <c r="Z277" t="s">
        <v>302</v>
      </c>
      <c r="AA277" t="s">
        <v>401</v>
      </c>
      <c r="AE277">
        <v>1</v>
      </c>
      <c r="AF277">
        <v>1</v>
      </c>
      <c r="AG277">
        <v>1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1</v>
      </c>
    </row>
    <row r="278" spans="1:42" x14ac:dyDescent="0.25">
      <c r="A278">
        <v>298</v>
      </c>
      <c r="B278" t="s">
        <v>669</v>
      </c>
      <c r="C278" t="s">
        <v>668</v>
      </c>
      <c r="D278" t="s">
        <v>121</v>
      </c>
      <c r="E278" s="4">
        <v>1</v>
      </c>
      <c r="F278" t="s">
        <v>214</v>
      </c>
      <c r="G278" t="s">
        <v>214</v>
      </c>
      <c r="H278" s="3">
        <v>46129</v>
      </c>
      <c r="I278" s="3">
        <v>46140</v>
      </c>
      <c r="J278" t="s">
        <v>182</v>
      </c>
      <c r="K278" s="3">
        <v>46140</v>
      </c>
      <c r="L278" s="3">
        <v>46129</v>
      </c>
      <c r="M278" s="3">
        <v>46140</v>
      </c>
      <c r="N278" s="3">
        <v>46140</v>
      </c>
      <c r="O278" t="s">
        <v>182</v>
      </c>
      <c r="P278" t="s">
        <v>55</v>
      </c>
      <c r="Q278">
        <v>297</v>
      </c>
      <c r="S278" t="s">
        <v>124</v>
      </c>
      <c r="T278" t="s">
        <v>425</v>
      </c>
      <c r="U278">
        <v>299</v>
      </c>
      <c r="V278" t="s">
        <v>122</v>
      </c>
      <c r="W278">
        <v>13.4</v>
      </c>
      <c r="X278" t="s">
        <v>57</v>
      </c>
      <c r="Z278" t="s">
        <v>124</v>
      </c>
      <c r="AA278" t="s">
        <v>401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1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</row>
    <row r="279" spans="1:42" x14ac:dyDescent="0.25">
      <c r="A279">
        <v>299</v>
      </c>
      <c r="B279" t="s">
        <v>670</v>
      </c>
      <c r="C279" t="s">
        <v>668</v>
      </c>
      <c r="D279" t="s">
        <v>126</v>
      </c>
      <c r="E279" s="4">
        <v>1</v>
      </c>
      <c r="F279" t="s">
        <v>101</v>
      </c>
      <c r="G279" t="s">
        <v>101</v>
      </c>
      <c r="H279" s="3">
        <v>46141</v>
      </c>
      <c r="I279" s="3">
        <v>46147</v>
      </c>
      <c r="J279" t="s">
        <v>415</v>
      </c>
      <c r="K279" s="3">
        <v>46147</v>
      </c>
      <c r="L279" s="3">
        <v>46141</v>
      </c>
      <c r="M279" s="3">
        <v>46147</v>
      </c>
      <c r="N279" s="3">
        <v>46147</v>
      </c>
      <c r="O279" t="s">
        <v>415</v>
      </c>
      <c r="P279" t="s">
        <v>55</v>
      </c>
      <c r="Q279">
        <v>298</v>
      </c>
      <c r="S279" t="s">
        <v>302</v>
      </c>
      <c r="T279" t="s">
        <v>425</v>
      </c>
      <c r="U279" t="s">
        <v>671</v>
      </c>
      <c r="V279" t="s">
        <v>61</v>
      </c>
      <c r="W279">
        <v>13.4</v>
      </c>
      <c r="X279" t="s">
        <v>57</v>
      </c>
      <c r="Z279" t="s">
        <v>302</v>
      </c>
      <c r="AA279" t="s">
        <v>93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1</v>
      </c>
      <c r="AM279">
        <v>0</v>
      </c>
      <c r="AN279">
        <v>0</v>
      </c>
      <c r="AO279">
        <v>0</v>
      </c>
      <c r="AP279">
        <v>0</v>
      </c>
    </row>
    <row r="280" spans="1:42" x14ac:dyDescent="0.25">
      <c r="A280">
        <v>300</v>
      </c>
      <c r="B280" t="s">
        <v>672</v>
      </c>
      <c r="C280" t="s">
        <v>668</v>
      </c>
      <c r="D280" t="s">
        <v>133</v>
      </c>
      <c r="E280" s="4">
        <v>1</v>
      </c>
      <c r="F280" t="s">
        <v>636</v>
      </c>
      <c r="G280" t="s">
        <v>636</v>
      </c>
      <c r="H280" s="3">
        <v>46147</v>
      </c>
      <c r="I280" s="3">
        <v>46171</v>
      </c>
      <c r="J280" t="s">
        <v>183</v>
      </c>
      <c r="K280" s="3">
        <v>46171</v>
      </c>
      <c r="L280" s="3">
        <v>46147</v>
      </c>
      <c r="M280" s="3">
        <v>46171</v>
      </c>
      <c r="N280" s="3">
        <v>46171</v>
      </c>
      <c r="O280" t="s">
        <v>183</v>
      </c>
      <c r="P280" t="s">
        <v>55</v>
      </c>
      <c r="Q280" t="s">
        <v>673</v>
      </c>
      <c r="S280" t="s">
        <v>124</v>
      </c>
      <c r="T280" t="s">
        <v>425</v>
      </c>
      <c r="V280" t="s">
        <v>61</v>
      </c>
      <c r="W280">
        <v>13.4</v>
      </c>
      <c r="X280" t="s">
        <v>57</v>
      </c>
      <c r="Z280" t="s">
        <v>124</v>
      </c>
      <c r="AA280" t="s">
        <v>93</v>
      </c>
      <c r="AE280">
        <v>1</v>
      </c>
      <c r="AF280">
        <v>0</v>
      </c>
      <c r="AG280">
        <v>0</v>
      </c>
      <c r="AH280">
        <v>0</v>
      </c>
      <c r="AI280">
        <v>1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0</v>
      </c>
      <c r="AP280">
        <v>0</v>
      </c>
    </row>
    <row r="281" spans="1:42" x14ac:dyDescent="0.25">
      <c r="A281">
        <v>301</v>
      </c>
      <c r="B281" t="s">
        <v>674</v>
      </c>
      <c r="C281" t="s">
        <v>425</v>
      </c>
      <c r="D281" t="s">
        <v>675</v>
      </c>
      <c r="E281" s="4">
        <v>1</v>
      </c>
      <c r="F281" t="s">
        <v>433</v>
      </c>
      <c r="G281" t="s">
        <v>433</v>
      </c>
      <c r="H281" s="3">
        <v>46112</v>
      </c>
      <c r="I281" s="3">
        <v>46162</v>
      </c>
      <c r="J281" t="s">
        <v>188</v>
      </c>
      <c r="K281" s="3">
        <v>46183</v>
      </c>
      <c r="L281" s="3">
        <v>46139</v>
      </c>
      <c r="M281" s="3">
        <v>46162</v>
      </c>
      <c r="N281" s="3">
        <v>46162</v>
      </c>
      <c r="O281" t="s">
        <v>252</v>
      </c>
      <c r="P281" t="s">
        <v>55</v>
      </c>
      <c r="T281" t="s">
        <v>425</v>
      </c>
      <c r="V281" t="s">
        <v>676</v>
      </c>
      <c r="X281" t="s">
        <v>57</v>
      </c>
      <c r="AA281" t="s">
        <v>50</v>
      </c>
      <c r="AE281">
        <v>1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</row>
    <row r="282" spans="1:42" x14ac:dyDescent="0.25">
      <c r="A282">
        <v>302</v>
      </c>
      <c r="B282" t="s">
        <v>677</v>
      </c>
      <c r="C282" t="s">
        <v>678</v>
      </c>
      <c r="D282" t="s">
        <v>679</v>
      </c>
      <c r="E282" s="4">
        <v>1</v>
      </c>
      <c r="F282" t="s">
        <v>114</v>
      </c>
      <c r="G282" t="s">
        <v>114</v>
      </c>
      <c r="H282" s="3">
        <v>46112</v>
      </c>
      <c r="I282" s="3">
        <v>46126</v>
      </c>
      <c r="J282" t="s">
        <v>188</v>
      </c>
      <c r="K282" s="3">
        <v>46150</v>
      </c>
      <c r="L282" s="3">
        <v>46139</v>
      </c>
      <c r="M282" s="3">
        <v>46126</v>
      </c>
      <c r="N282" s="3">
        <v>46126</v>
      </c>
      <c r="O282" t="s">
        <v>252</v>
      </c>
      <c r="P282" t="s">
        <v>55</v>
      </c>
      <c r="T282" t="s">
        <v>425</v>
      </c>
      <c r="U282" t="s">
        <v>680</v>
      </c>
      <c r="V282" t="s">
        <v>114</v>
      </c>
      <c r="X282" t="s">
        <v>57</v>
      </c>
      <c r="AA282" t="s">
        <v>50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</row>
    <row r="283" spans="1:42" x14ac:dyDescent="0.25">
      <c r="A283">
        <v>303</v>
      </c>
      <c r="B283" t="s">
        <v>681</v>
      </c>
      <c r="C283" t="s">
        <v>682</v>
      </c>
      <c r="D283" t="s">
        <v>117</v>
      </c>
      <c r="E283" s="4">
        <v>1</v>
      </c>
      <c r="F283" t="s">
        <v>101</v>
      </c>
      <c r="G283" t="s">
        <v>101</v>
      </c>
      <c r="H283" s="3">
        <v>46112</v>
      </c>
      <c r="I283" s="3">
        <v>46119</v>
      </c>
      <c r="J283" t="s">
        <v>188</v>
      </c>
      <c r="K283" s="3">
        <v>46142</v>
      </c>
      <c r="L283" s="3">
        <v>46139</v>
      </c>
      <c r="M283" s="3">
        <v>46119</v>
      </c>
      <c r="N283" s="3">
        <v>46119</v>
      </c>
      <c r="O283" t="s">
        <v>252</v>
      </c>
      <c r="P283" t="s">
        <v>55</v>
      </c>
      <c r="Q283">
        <v>220</v>
      </c>
      <c r="S283" t="s">
        <v>523</v>
      </c>
      <c r="T283" t="s">
        <v>425</v>
      </c>
      <c r="U283" t="s">
        <v>683</v>
      </c>
      <c r="V283" t="s">
        <v>101</v>
      </c>
      <c r="W283">
        <v>13.4</v>
      </c>
      <c r="X283" t="s">
        <v>57</v>
      </c>
      <c r="Z283" t="s">
        <v>523</v>
      </c>
      <c r="AA283" t="s">
        <v>71</v>
      </c>
      <c r="AE283">
        <v>1</v>
      </c>
      <c r="AF283">
        <v>1</v>
      </c>
      <c r="AG283">
        <v>1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1</v>
      </c>
    </row>
    <row r="284" spans="1:42" x14ac:dyDescent="0.25">
      <c r="A284">
        <v>304</v>
      </c>
      <c r="B284" t="s">
        <v>684</v>
      </c>
      <c r="C284" t="s">
        <v>682</v>
      </c>
      <c r="D284" t="s">
        <v>121</v>
      </c>
      <c r="E284" s="4">
        <v>1</v>
      </c>
      <c r="F284" t="s">
        <v>122</v>
      </c>
      <c r="G284" t="s">
        <v>122</v>
      </c>
      <c r="H284" s="3">
        <v>46120</v>
      </c>
      <c r="I284" s="3">
        <v>46122</v>
      </c>
      <c r="J284" t="s">
        <v>409</v>
      </c>
      <c r="K284" s="3">
        <v>46148</v>
      </c>
      <c r="L284" s="3">
        <v>46146</v>
      </c>
      <c r="M284" s="3">
        <v>46122</v>
      </c>
      <c r="N284" s="3">
        <v>46122</v>
      </c>
      <c r="O284" t="s">
        <v>685</v>
      </c>
      <c r="P284" t="s">
        <v>55</v>
      </c>
      <c r="Q284">
        <v>303</v>
      </c>
      <c r="S284" t="s">
        <v>124</v>
      </c>
      <c r="T284" t="s">
        <v>425</v>
      </c>
      <c r="U284">
        <v>305</v>
      </c>
      <c r="V284" t="s">
        <v>122</v>
      </c>
      <c r="W284">
        <v>13.4</v>
      </c>
      <c r="X284" t="s">
        <v>57</v>
      </c>
      <c r="Z284" t="s">
        <v>124</v>
      </c>
      <c r="AA284" t="s">
        <v>401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1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</row>
    <row r="285" spans="1:42" x14ac:dyDescent="0.25">
      <c r="A285">
        <v>305</v>
      </c>
      <c r="B285" t="s">
        <v>686</v>
      </c>
      <c r="C285" t="s">
        <v>682</v>
      </c>
      <c r="D285" t="s">
        <v>126</v>
      </c>
      <c r="E285" s="4">
        <v>1</v>
      </c>
      <c r="F285" t="s">
        <v>61</v>
      </c>
      <c r="G285" t="s">
        <v>61</v>
      </c>
      <c r="H285" s="3">
        <v>46125</v>
      </c>
      <c r="I285" s="3">
        <v>46125</v>
      </c>
      <c r="J285" t="s">
        <v>416</v>
      </c>
      <c r="K285" s="3">
        <v>46149</v>
      </c>
      <c r="L285" s="3">
        <v>46149</v>
      </c>
      <c r="M285" s="3">
        <v>46125</v>
      </c>
      <c r="N285" s="3">
        <v>46125</v>
      </c>
      <c r="O285" t="s">
        <v>144</v>
      </c>
      <c r="P285" t="s">
        <v>55</v>
      </c>
      <c r="Q285">
        <v>304</v>
      </c>
      <c r="S285" t="s">
        <v>523</v>
      </c>
      <c r="T285" t="s">
        <v>425</v>
      </c>
      <c r="U285">
        <v>306</v>
      </c>
      <c r="V285" t="s">
        <v>61</v>
      </c>
      <c r="W285">
        <v>13.4</v>
      </c>
      <c r="X285" t="s">
        <v>57</v>
      </c>
      <c r="Z285" t="s">
        <v>523</v>
      </c>
      <c r="AA285" t="s">
        <v>401</v>
      </c>
      <c r="AE285">
        <v>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1</v>
      </c>
      <c r="AM285">
        <v>0</v>
      </c>
      <c r="AN285">
        <v>0</v>
      </c>
      <c r="AO285">
        <v>0</v>
      </c>
      <c r="AP285">
        <v>0</v>
      </c>
    </row>
    <row r="286" spans="1:42" x14ac:dyDescent="0.25">
      <c r="A286">
        <v>306</v>
      </c>
      <c r="B286" t="s">
        <v>687</v>
      </c>
      <c r="C286" t="s">
        <v>682</v>
      </c>
      <c r="D286" t="s">
        <v>133</v>
      </c>
      <c r="E286" s="4">
        <v>1</v>
      </c>
      <c r="F286" t="s">
        <v>61</v>
      </c>
      <c r="G286" t="s">
        <v>61</v>
      </c>
      <c r="H286" s="3">
        <v>46126</v>
      </c>
      <c r="I286" s="3">
        <v>46126</v>
      </c>
      <c r="J286" t="s">
        <v>403</v>
      </c>
      <c r="K286" s="3">
        <v>46150</v>
      </c>
      <c r="L286" s="3">
        <v>46150</v>
      </c>
      <c r="M286" s="3">
        <v>46126</v>
      </c>
      <c r="N286" s="3">
        <v>46126</v>
      </c>
      <c r="O286" t="s">
        <v>334</v>
      </c>
      <c r="P286" t="s">
        <v>55</v>
      </c>
      <c r="Q286">
        <v>305</v>
      </c>
      <c r="S286" t="s">
        <v>124</v>
      </c>
      <c r="T286" t="s">
        <v>425</v>
      </c>
      <c r="U286">
        <v>308</v>
      </c>
      <c r="V286" t="s">
        <v>61</v>
      </c>
      <c r="W286">
        <v>13.4</v>
      </c>
      <c r="X286" t="s">
        <v>57</v>
      </c>
      <c r="Z286" t="s">
        <v>124</v>
      </c>
      <c r="AA286" t="s">
        <v>401</v>
      </c>
      <c r="AE286">
        <v>1</v>
      </c>
      <c r="AF286">
        <v>0</v>
      </c>
      <c r="AG286">
        <v>0</v>
      </c>
      <c r="AH286">
        <v>0</v>
      </c>
      <c r="AI286">
        <v>1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0</v>
      </c>
      <c r="AP286">
        <v>0</v>
      </c>
    </row>
    <row r="287" spans="1:42" x14ac:dyDescent="0.25">
      <c r="A287">
        <v>307</v>
      </c>
      <c r="B287" t="s">
        <v>688</v>
      </c>
      <c r="C287" t="s">
        <v>678</v>
      </c>
      <c r="D287" t="s">
        <v>689</v>
      </c>
      <c r="E287" s="4">
        <v>1</v>
      </c>
      <c r="F287" t="s">
        <v>690</v>
      </c>
      <c r="G287" t="s">
        <v>690</v>
      </c>
      <c r="H287" s="3">
        <v>46134</v>
      </c>
      <c r="I287" s="3">
        <v>46150</v>
      </c>
      <c r="J287" t="s">
        <v>189</v>
      </c>
      <c r="K287" s="3">
        <v>46183</v>
      </c>
      <c r="L287" s="3">
        <v>46171</v>
      </c>
      <c r="M287" s="3">
        <v>46150</v>
      </c>
      <c r="N287" s="3">
        <v>46150</v>
      </c>
      <c r="O287" t="s">
        <v>337</v>
      </c>
      <c r="P287" t="s">
        <v>55</v>
      </c>
      <c r="T287" t="s">
        <v>425</v>
      </c>
      <c r="V287" t="s">
        <v>175</v>
      </c>
      <c r="X287" t="s">
        <v>57</v>
      </c>
      <c r="AA287" t="s">
        <v>50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</row>
    <row r="288" spans="1:42" x14ac:dyDescent="0.25">
      <c r="A288">
        <v>308</v>
      </c>
      <c r="B288" t="s">
        <v>691</v>
      </c>
      <c r="C288" t="s">
        <v>692</v>
      </c>
      <c r="D288" t="s">
        <v>117</v>
      </c>
      <c r="E288" s="4">
        <v>1</v>
      </c>
      <c r="F288" t="s">
        <v>101</v>
      </c>
      <c r="G288" t="s">
        <v>101</v>
      </c>
      <c r="H288" s="3">
        <v>46134</v>
      </c>
      <c r="I288" s="3">
        <v>46139</v>
      </c>
      <c r="J288" t="s">
        <v>189</v>
      </c>
      <c r="K288" s="3">
        <v>46174</v>
      </c>
      <c r="L288" s="3">
        <v>46171</v>
      </c>
      <c r="M288" s="3">
        <v>46139</v>
      </c>
      <c r="N288" s="3">
        <v>46139</v>
      </c>
      <c r="O288" t="s">
        <v>337</v>
      </c>
      <c r="P288" t="s">
        <v>55</v>
      </c>
      <c r="Q288" t="s">
        <v>693</v>
      </c>
      <c r="S288" t="s">
        <v>523</v>
      </c>
      <c r="T288" t="s">
        <v>425</v>
      </c>
      <c r="U288" t="s">
        <v>694</v>
      </c>
      <c r="V288" t="s">
        <v>127</v>
      </c>
      <c r="W288">
        <v>13.4</v>
      </c>
      <c r="X288" t="s">
        <v>57</v>
      </c>
      <c r="Z288" t="s">
        <v>523</v>
      </c>
      <c r="AA288" t="s">
        <v>77</v>
      </c>
      <c r="AE288">
        <v>1</v>
      </c>
      <c r="AF288">
        <v>1</v>
      </c>
      <c r="AG288">
        <v>1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1</v>
      </c>
    </row>
    <row r="289" spans="1:42" x14ac:dyDescent="0.25">
      <c r="A289">
        <v>309</v>
      </c>
      <c r="B289" t="s">
        <v>695</v>
      </c>
      <c r="C289" t="s">
        <v>692</v>
      </c>
      <c r="D289" t="s">
        <v>121</v>
      </c>
      <c r="E289" s="4">
        <v>1</v>
      </c>
      <c r="F289" t="s">
        <v>127</v>
      </c>
      <c r="G289" t="s">
        <v>127</v>
      </c>
      <c r="H289" s="3">
        <v>46149</v>
      </c>
      <c r="I289" s="3">
        <v>46150</v>
      </c>
      <c r="J289" t="s">
        <v>472</v>
      </c>
      <c r="K289" s="3">
        <v>46181</v>
      </c>
      <c r="L289" s="3">
        <v>46175</v>
      </c>
      <c r="M289" s="3">
        <v>46150</v>
      </c>
      <c r="N289" s="3">
        <v>46150</v>
      </c>
      <c r="O289" t="s">
        <v>416</v>
      </c>
      <c r="P289" t="s">
        <v>55</v>
      </c>
      <c r="Q289">
        <v>308</v>
      </c>
      <c r="S289" t="s">
        <v>124</v>
      </c>
      <c r="T289" t="s">
        <v>425</v>
      </c>
      <c r="U289">
        <v>310</v>
      </c>
      <c r="V289" t="s">
        <v>122</v>
      </c>
      <c r="W289">
        <v>13.4</v>
      </c>
      <c r="X289" t="s">
        <v>57</v>
      </c>
      <c r="Z289" t="s">
        <v>124</v>
      </c>
      <c r="AA289" t="s">
        <v>460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1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</row>
    <row r="290" spans="1:42" x14ac:dyDescent="0.25">
      <c r="A290">
        <v>310</v>
      </c>
      <c r="B290" t="s">
        <v>696</v>
      </c>
      <c r="C290" t="s">
        <v>692</v>
      </c>
      <c r="D290" t="s">
        <v>126</v>
      </c>
      <c r="E290" s="4">
        <v>1</v>
      </c>
      <c r="F290" t="s">
        <v>697</v>
      </c>
      <c r="G290" t="s">
        <v>697</v>
      </c>
      <c r="H290" s="3">
        <v>46150</v>
      </c>
      <c r="I290" s="3">
        <v>46150</v>
      </c>
      <c r="J290" t="s">
        <v>204</v>
      </c>
      <c r="K290" s="3">
        <v>46182</v>
      </c>
      <c r="L290" s="3">
        <v>46182</v>
      </c>
      <c r="M290" s="3">
        <v>46150</v>
      </c>
      <c r="N290" s="3">
        <v>46150</v>
      </c>
      <c r="O290" t="s">
        <v>403</v>
      </c>
      <c r="P290" t="s">
        <v>55</v>
      </c>
      <c r="Q290">
        <v>309</v>
      </c>
      <c r="S290" t="s">
        <v>523</v>
      </c>
      <c r="T290" t="s">
        <v>425</v>
      </c>
      <c r="U290">
        <v>311</v>
      </c>
      <c r="V290" t="s">
        <v>61</v>
      </c>
      <c r="W290">
        <v>13.4</v>
      </c>
      <c r="X290" t="s">
        <v>57</v>
      </c>
      <c r="Z290" t="s">
        <v>523</v>
      </c>
      <c r="AA290" t="s">
        <v>462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1</v>
      </c>
      <c r="AM290">
        <v>0</v>
      </c>
      <c r="AN290">
        <v>0</v>
      </c>
      <c r="AO290">
        <v>0</v>
      </c>
      <c r="AP290">
        <v>0</v>
      </c>
    </row>
    <row r="291" spans="1:42" x14ac:dyDescent="0.25">
      <c r="A291">
        <v>311</v>
      </c>
      <c r="B291" t="s">
        <v>698</v>
      </c>
      <c r="C291" t="s">
        <v>692</v>
      </c>
      <c r="D291" t="s">
        <v>133</v>
      </c>
      <c r="E291" s="4">
        <v>1</v>
      </c>
      <c r="F291" t="s">
        <v>697</v>
      </c>
      <c r="G291" t="s">
        <v>697</v>
      </c>
      <c r="H291" s="3">
        <v>46150</v>
      </c>
      <c r="I291" s="3">
        <v>46150</v>
      </c>
      <c r="J291" t="s">
        <v>592</v>
      </c>
      <c r="K291" s="3">
        <v>46183</v>
      </c>
      <c r="L291" s="3">
        <v>46183</v>
      </c>
      <c r="M291" s="3">
        <v>46150</v>
      </c>
      <c r="N291" s="3">
        <v>46150</v>
      </c>
      <c r="O291" t="s">
        <v>403</v>
      </c>
      <c r="P291" t="s">
        <v>55</v>
      </c>
      <c r="Q291">
        <v>310</v>
      </c>
      <c r="S291" t="s">
        <v>124</v>
      </c>
      <c r="T291" t="s">
        <v>425</v>
      </c>
      <c r="V291" t="s">
        <v>61</v>
      </c>
      <c r="W291">
        <v>13.4</v>
      </c>
      <c r="X291" t="s">
        <v>57</v>
      </c>
      <c r="Z291" t="s">
        <v>124</v>
      </c>
      <c r="AA291" t="s">
        <v>462</v>
      </c>
      <c r="AE291">
        <v>1</v>
      </c>
      <c r="AF291">
        <v>0</v>
      </c>
      <c r="AG291">
        <v>0</v>
      </c>
      <c r="AH291">
        <v>0</v>
      </c>
      <c r="AI291">
        <v>1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0</v>
      </c>
      <c r="AP291">
        <v>0</v>
      </c>
    </row>
    <row r="292" spans="1:42" x14ac:dyDescent="0.25">
      <c r="A292">
        <v>312</v>
      </c>
      <c r="B292" t="s">
        <v>699</v>
      </c>
      <c r="C292" t="s">
        <v>678</v>
      </c>
      <c r="D292" t="s">
        <v>700</v>
      </c>
      <c r="E292" s="4">
        <v>1</v>
      </c>
      <c r="F292" t="s">
        <v>690</v>
      </c>
      <c r="G292" t="s">
        <v>690</v>
      </c>
      <c r="H292" s="3">
        <v>46134</v>
      </c>
      <c r="I292" s="3">
        <v>46150</v>
      </c>
      <c r="J292" t="s">
        <v>189</v>
      </c>
      <c r="K292" s="3">
        <v>46183</v>
      </c>
      <c r="L292" s="3">
        <v>46171</v>
      </c>
      <c r="M292" s="3">
        <v>46150</v>
      </c>
      <c r="N292" s="3">
        <v>46150</v>
      </c>
      <c r="O292" t="s">
        <v>337</v>
      </c>
      <c r="P292" t="s">
        <v>55</v>
      </c>
      <c r="T292" t="s">
        <v>425</v>
      </c>
      <c r="V292" t="s">
        <v>175</v>
      </c>
      <c r="X292" t="s">
        <v>57</v>
      </c>
      <c r="AA292" t="s">
        <v>50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</row>
    <row r="293" spans="1:42" x14ac:dyDescent="0.25">
      <c r="A293">
        <v>313</v>
      </c>
      <c r="B293" t="s">
        <v>701</v>
      </c>
      <c r="C293" t="s">
        <v>702</v>
      </c>
      <c r="D293" t="s">
        <v>117</v>
      </c>
      <c r="E293" s="4">
        <v>1</v>
      </c>
      <c r="F293" t="s">
        <v>101</v>
      </c>
      <c r="G293" t="s">
        <v>101</v>
      </c>
      <c r="H293" s="3">
        <v>46134</v>
      </c>
      <c r="I293" s="3">
        <v>46139</v>
      </c>
      <c r="J293" t="s">
        <v>189</v>
      </c>
      <c r="K293" s="3">
        <v>46174</v>
      </c>
      <c r="L293" s="3">
        <v>46171</v>
      </c>
      <c r="M293" s="3">
        <v>46139</v>
      </c>
      <c r="N293" s="3">
        <v>46139</v>
      </c>
      <c r="O293" t="s">
        <v>337</v>
      </c>
      <c r="P293" t="s">
        <v>55</v>
      </c>
      <c r="Q293" t="s">
        <v>703</v>
      </c>
      <c r="S293" t="s">
        <v>523</v>
      </c>
      <c r="T293" t="s">
        <v>425</v>
      </c>
      <c r="U293">
        <v>314</v>
      </c>
      <c r="V293" t="s">
        <v>127</v>
      </c>
      <c r="W293">
        <v>13.4</v>
      </c>
      <c r="X293" t="s">
        <v>57</v>
      </c>
      <c r="Z293" t="s">
        <v>523</v>
      </c>
      <c r="AA293" t="s">
        <v>77</v>
      </c>
      <c r="AE293">
        <v>1</v>
      </c>
      <c r="AF293">
        <v>1</v>
      </c>
      <c r="AG293">
        <v>1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1</v>
      </c>
    </row>
    <row r="294" spans="1:42" x14ac:dyDescent="0.25">
      <c r="A294">
        <v>314</v>
      </c>
      <c r="B294" t="s">
        <v>704</v>
      </c>
      <c r="C294" t="s">
        <v>702</v>
      </c>
      <c r="D294" t="s">
        <v>121</v>
      </c>
      <c r="E294" s="4">
        <v>1</v>
      </c>
      <c r="F294" t="s">
        <v>127</v>
      </c>
      <c r="G294" t="s">
        <v>127</v>
      </c>
      <c r="H294" s="3">
        <v>46149</v>
      </c>
      <c r="I294" s="3">
        <v>46150</v>
      </c>
      <c r="J294" t="s">
        <v>472</v>
      </c>
      <c r="K294" s="3">
        <v>46181</v>
      </c>
      <c r="L294" s="3">
        <v>46175</v>
      </c>
      <c r="M294" s="3">
        <v>46150</v>
      </c>
      <c r="N294" s="3">
        <v>46150</v>
      </c>
      <c r="O294" t="s">
        <v>416</v>
      </c>
      <c r="P294" t="s">
        <v>55</v>
      </c>
      <c r="Q294">
        <v>313</v>
      </c>
      <c r="S294" t="s">
        <v>124</v>
      </c>
      <c r="T294" t="s">
        <v>425</v>
      </c>
      <c r="U294">
        <v>315</v>
      </c>
      <c r="V294" t="s">
        <v>122</v>
      </c>
      <c r="W294">
        <v>13.4</v>
      </c>
      <c r="X294" t="s">
        <v>57</v>
      </c>
      <c r="Z294" t="s">
        <v>124</v>
      </c>
      <c r="AA294" t="s">
        <v>460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1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</row>
    <row r="295" spans="1:42" x14ac:dyDescent="0.25">
      <c r="A295">
        <v>315</v>
      </c>
      <c r="B295" t="s">
        <v>705</v>
      </c>
      <c r="C295" t="s">
        <v>702</v>
      </c>
      <c r="D295" t="s">
        <v>126</v>
      </c>
      <c r="E295" s="4">
        <v>1</v>
      </c>
      <c r="F295" t="s">
        <v>697</v>
      </c>
      <c r="G295" t="s">
        <v>697</v>
      </c>
      <c r="H295" s="3">
        <v>46150</v>
      </c>
      <c r="I295" s="3">
        <v>46150</v>
      </c>
      <c r="J295" t="s">
        <v>204</v>
      </c>
      <c r="K295" s="3">
        <v>46182</v>
      </c>
      <c r="L295" s="3">
        <v>46182</v>
      </c>
      <c r="M295" s="3">
        <v>46150</v>
      </c>
      <c r="N295" s="3">
        <v>46150</v>
      </c>
      <c r="O295" t="s">
        <v>403</v>
      </c>
      <c r="P295" t="s">
        <v>55</v>
      </c>
      <c r="Q295">
        <v>314</v>
      </c>
      <c r="S295" t="s">
        <v>523</v>
      </c>
      <c r="T295" t="s">
        <v>425</v>
      </c>
      <c r="U295">
        <v>316</v>
      </c>
      <c r="V295" t="s">
        <v>61</v>
      </c>
      <c r="W295">
        <v>13.4</v>
      </c>
      <c r="X295" t="s">
        <v>57</v>
      </c>
      <c r="Z295" t="s">
        <v>523</v>
      </c>
      <c r="AA295" t="s">
        <v>462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1</v>
      </c>
      <c r="AM295">
        <v>0</v>
      </c>
      <c r="AN295">
        <v>0</v>
      </c>
      <c r="AO295">
        <v>0</v>
      </c>
      <c r="AP295">
        <v>0</v>
      </c>
    </row>
    <row r="296" spans="1:42" x14ac:dyDescent="0.25">
      <c r="A296">
        <v>316</v>
      </c>
      <c r="B296" t="s">
        <v>706</v>
      </c>
      <c r="C296" t="s">
        <v>702</v>
      </c>
      <c r="D296" t="s">
        <v>133</v>
      </c>
      <c r="E296" s="4">
        <v>1</v>
      </c>
      <c r="F296" t="s">
        <v>61</v>
      </c>
      <c r="G296" t="s">
        <v>61</v>
      </c>
      <c r="H296" s="3">
        <v>46150</v>
      </c>
      <c r="I296" s="3">
        <v>46150</v>
      </c>
      <c r="J296" t="s">
        <v>592</v>
      </c>
      <c r="K296" s="3">
        <v>46183</v>
      </c>
      <c r="L296" s="3">
        <v>46183</v>
      </c>
      <c r="M296" s="3">
        <v>46150</v>
      </c>
      <c r="N296" s="3">
        <v>46150</v>
      </c>
      <c r="O296" t="s">
        <v>403</v>
      </c>
      <c r="P296" t="s">
        <v>55</v>
      </c>
      <c r="Q296">
        <v>315</v>
      </c>
      <c r="S296" t="s">
        <v>124</v>
      </c>
      <c r="T296" t="s">
        <v>425</v>
      </c>
      <c r="V296" t="s">
        <v>61</v>
      </c>
      <c r="W296">
        <v>13.4</v>
      </c>
      <c r="X296" t="s">
        <v>57</v>
      </c>
      <c r="Z296" t="s">
        <v>124</v>
      </c>
      <c r="AA296" t="s">
        <v>462</v>
      </c>
      <c r="AE296">
        <v>1</v>
      </c>
      <c r="AF296">
        <v>0</v>
      </c>
      <c r="AG296">
        <v>0</v>
      </c>
      <c r="AH296">
        <v>0</v>
      </c>
      <c r="AI296">
        <v>1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0</v>
      </c>
      <c r="AP296">
        <v>0</v>
      </c>
    </row>
    <row r="297" spans="1:42" x14ac:dyDescent="0.25">
      <c r="A297">
        <v>317</v>
      </c>
      <c r="B297" t="s">
        <v>707</v>
      </c>
      <c r="C297" t="s">
        <v>678</v>
      </c>
      <c r="D297" t="s">
        <v>708</v>
      </c>
      <c r="E297" s="4">
        <v>1</v>
      </c>
      <c r="F297" t="s">
        <v>690</v>
      </c>
      <c r="G297" t="s">
        <v>690</v>
      </c>
      <c r="H297" s="3">
        <v>46134</v>
      </c>
      <c r="I297" s="3">
        <v>46150</v>
      </c>
      <c r="J297" t="s">
        <v>189</v>
      </c>
      <c r="K297" s="3">
        <v>46183</v>
      </c>
      <c r="L297" s="3">
        <v>46171</v>
      </c>
      <c r="M297" s="3">
        <v>46150</v>
      </c>
      <c r="N297" s="3">
        <v>46150</v>
      </c>
      <c r="O297" t="s">
        <v>337</v>
      </c>
      <c r="P297" t="s">
        <v>55</v>
      </c>
      <c r="T297" t="s">
        <v>425</v>
      </c>
      <c r="V297" t="s">
        <v>175</v>
      </c>
      <c r="X297" t="s">
        <v>57</v>
      </c>
      <c r="AA297" t="s">
        <v>50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</row>
    <row r="298" spans="1:42" x14ac:dyDescent="0.25">
      <c r="A298">
        <v>318</v>
      </c>
      <c r="B298" t="s">
        <v>709</v>
      </c>
      <c r="C298" t="s">
        <v>710</v>
      </c>
      <c r="D298" t="s">
        <v>117</v>
      </c>
      <c r="E298" s="4">
        <v>1</v>
      </c>
      <c r="F298" t="s">
        <v>101</v>
      </c>
      <c r="G298" t="s">
        <v>101</v>
      </c>
      <c r="H298" s="3">
        <v>46134</v>
      </c>
      <c r="I298" s="3">
        <v>46139</v>
      </c>
      <c r="J298" t="s">
        <v>189</v>
      </c>
      <c r="K298" s="3">
        <v>46174</v>
      </c>
      <c r="L298" s="3">
        <v>46171</v>
      </c>
      <c r="M298" s="3">
        <v>46139</v>
      </c>
      <c r="N298" s="3">
        <v>46139</v>
      </c>
      <c r="O298" t="s">
        <v>337</v>
      </c>
      <c r="P298" t="s">
        <v>55</v>
      </c>
      <c r="Q298" t="s">
        <v>703</v>
      </c>
      <c r="S298" t="s">
        <v>523</v>
      </c>
      <c r="T298" t="s">
        <v>425</v>
      </c>
      <c r="U298">
        <v>319</v>
      </c>
      <c r="V298" t="s">
        <v>127</v>
      </c>
      <c r="W298">
        <v>13.4</v>
      </c>
      <c r="X298" t="s">
        <v>57</v>
      </c>
      <c r="Z298" t="s">
        <v>523</v>
      </c>
      <c r="AA298" t="s">
        <v>77</v>
      </c>
      <c r="AE298">
        <v>1</v>
      </c>
      <c r="AF298">
        <v>1</v>
      </c>
      <c r="AG298">
        <v>1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1</v>
      </c>
    </row>
    <row r="299" spans="1:42" x14ac:dyDescent="0.25">
      <c r="A299">
        <v>319</v>
      </c>
      <c r="B299" t="s">
        <v>711</v>
      </c>
      <c r="C299" t="s">
        <v>710</v>
      </c>
      <c r="D299" t="s">
        <v>121</v>
      </c>
      <c r="E299" s="4">
        <v>1</v>
      </c>
      <c r="F299" t="s">
        <v>127</v>
      </c>
      <c r="G299" t="s">
        <v>127</v>
      </c>
      <c r="H299" s="3">
        <v>46149</v>
      </c>
      <c r="I299" s="3">
        <v>46150</v>
      </c>
      <c r="J299" t="s">
        <v>472</v>
      </c>
      <c r="K299" s="3">
        <v>46181</v>
      </c>
      <c r="L299" s="3">
        <v>46175</v>
      </c>
      <c r="M299" s="3">
        <v>46150</v>
      </c>
      <c r="N299" s="3">
        <v>46150</v>
      </c>
      <c r="O299" t="s">
        <v>416</v>
      </c>
      <c r="P299" t="s">
        <v>55</v>
      </c>
      <c r="Q299">
        <v>318</v>
      </c>
      <c r="S299" t="s">
        <v>124</v>
      </c>
      <c r="T299" t="s">
        <v>425</v>
      </c>
      <c r="U299">
        <v>320</v>
      </c>
      <c r="V299" t="s">
        <v>122</v>
      </c>
      <c r="W299">
        <v>13.4</v>
      </c>
      <c r="X299" t="s">
        <v>57</v>
      </c>
      <c r="Z299" t="s">
        <v>124</v>
      </c>
      <c r="AA299" t="s">
        <v>460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1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</row>
    <row r="300" spans="1:42" x14ac:dyDescent="0.25">
      <c r="A300">
        <v>320</v>
      </c>
      <c r="B300" t="s">
        <v>712</v>
      </c>
      <c r="C300" t="s">
        <v>710</v>
      </c>
      <c r="D300" t="s">
        <v>126</v>
      </c>
      <c r="E300" s="4">
        <v>1</v>
      </c>
      <c r="F300" t="s">
        <v>697</v>
      </c>
      <c r="G300" t="s">
        <v>697</v>
      </c>
      <c r="H300" s="3">
        <v>46150</v>
      </c>
      <c r="I300" s="3">
        <v>46150</v>
      </c>
      <c r="J300" t="s">
        <v>204</v>
      </c>
      <c r="K300" s="3">
        <v>46182</v>
      </c>
      <c r="L300" s="3">
        <v>46182</v>
      </c>
      <c r="M300" s="3">
        <v>46150</v>
      </c>
      <c r="N300" s="3">
        <v>46150</v>
      </c>
      <c r="O300" t="s">
        <v>403</v>
      </c>
      <c r="P300" t="s">
        <v>55</v>
      </c>
      <c r="Q300">
        <v>319</v>
      </c>
      <c r="S300" t="s">
        <v>523</v>
      </c>
      <c r="T300" t="s">
        <v>425</v>
      </c>
      <c r="U300">
        <v>321</v>
      </c>
      <c r="V300" t="s">
        <v>61</v>
      </c>
      <c r="W300">
        <v>13.4</v>
      </c>
      <c r="X300" t="s">
        <v>57</v>
      </c>
      <c r="Z300" t="s">
        <v>523</v>
      </c>
      <c r="AA300" t="s">
        <v>462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1</v>
      </c>
      <c r="AM300">
        <v>0</v>
      </c>
      <c r="AN300">
        <v>0</v>
      </c>
      <c r="AO300">
        <v>0</v>
      </c>
      <c r="AP300">
        <v>0</v>
      </c>
    </row>
    <row r="301" spans="1:42" x14ac:dyDescent="0.25">
      <c r="A301">
        <v>321</v>
      </c>
      <c r="B301" t="s">
        <v>713</v>
      </c>
      <c r="C301" t="s">
        <v>710</v>
      </c>
      <c r="D301" t="s">
        <v>133</v>
      </c>
      <c r="E301" s="4">
        <v>1</v>
      </c>
      <c r="F301" t="s">
        <v>61</v>
      </c>
      <c r="G301" t="s">
        <v>61</v>
      </c>
      <c r="H301" s="3">
        <v>46150</v>
      </c>
      <c r="I301" s="3">
        <v>46150</v>
      </c>
      <c r="J301" t="s">
        <v>592</v>
      </c>
      <c r="K301" s="3">
        <v>46183</v>
      </c>
      <c r="L301" s="3">
        <v>46183</v>
      </c>
      <c r="M301" s="3">
        <v>46150</v>
      </c>
      <c r="N301" s="3">
        <v>46150</v>
      </c>
      <c r="O301" t="s">
        <v>403</v>
      </c>
      <c r="P301" t="s">
        <v>55</v>
      </c>
      <c r="Q301">
        <v>320</v>
      </c>
      <c r="S301" t="s">
        <v>124</v>
      </c>
      <c r="T301" t="s">
        <v>425</v>
      </c>
      <c r="V301" t="s">
        <v>61</v>
      </c>
      <c r="W301">
        <v>13.4</v>
      </c>
      <c r="X301" t="s">
        <v>57</v>
      </c>
      <c r="Z301" t="s">
        <v>124</v>
      </c>
      <c r="AA301" t="s">
        <v>462</v>
      </c>
      <c r="AE301">
        <v>1</v>
      </c>
      <c r="AF301">
        <v>0</v>
      </c>
      <c r="AG301">
        <v>0</v>
      </c>
      <c r="AH301">
        <v>0</v>
      </c>
      <c r="AI301">
        <v>1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0</v>
      </c>
      <c r="AP301">
        <v>0</v>
      </c>
    </row>
    <row r="302" spans="1:42" x14ac:dyDescent="0.25">
      <c r="A302">
        <v>322</v>
      </c>
      <c r="B302" t="s">
        <v>714</v>
      </c>
      <c r="C302" t="s">
        <v>678</v>
      </c>
      <c r="D302" t="s">
        <v>715</v>
      </c>
      <c r="E302" s="4">
        <v>1</v>
      </c>
      <c r="F302" t="s">
        <v>210</v>
      </c>
      <c r="G302" t="s">
        <v>210</v>
      </c>
      <c r="H302" s="3">
        <v>46153</v>
      </c>
      <c r="I302" s="3">
        <v>46162</v>
      </c>
      <c r="J302" t="s">
        <v>418</v>
      </c>
      <c r="K302" s="3">
        <v>46162</v>
      </c>
      <c r="L302" s="3">
        <v>46153</v>
      </c>
      <c r="M302" s="3">
        <v>46162</v>
      </c>
      <c r="N302" s="3">
        <v>46162</v>
      </c>
      <c r="O302" t="s">
        <v>418</v>
      </c>
      <c r="P302" t="s">
        <v>55</v>
      </c>
      <c r="T302" t="s">
        <v>425</v>
      </c>
      <c r="V302" t="s">
        <v>175</v>
      </c>
      <c r="X302" t="s">
        <v>57</v>
      </c>
      <c r="AA302" t="s">
        <v>50</v>
      </c>
      <c r="AB302" t="s">
        <v>94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</row>
    <row r="303" spans="1:42" x14ac:dyDescent="0.25">
      <c r="A303">
        <v>323</v>
      </c>
      <c r="B303" t="s">
        <v>716</v>
      </c>
      <c r="C303" t="s">
        <v>717</v>
      </c>
      <c r="D303" t="s">
        <v>117</v>
      </c>
      <c r="E303" s="4">
        <v>1</v>
      </c>
      <c r="F303" t="s">
        <v>122</v>
      </c>
      <c r="G303" t="s">
        <v>122</v>
      </c>
      <c r="H303" s="3">
        <v>46153</v>
      </c>
      <c r="I303" s="3">
        <v>46155</v>
      </c>
      <c r="J303" t="s">
        <v>418</v>
      </c>
      <c r="K303" s="3">
        <v>46155</v>
      </c>
      <c r="L303" s="3">
        <v>46153</v>
      </c>
      <c r="M303" s="3">
        <v>46155</v>
      </c>
      <c r="N303" s="3">
        <v>46155</v>
      </c>
      <c r="O303" t="s">
        <v>418</v>
      </c>
      <c r="P303" t="s">
        <v>55</v>
      </c>
      <c r="Q303" t="s">
        <v>703</v>
      </c>
      <c r="S303" t="s">
        <v>523</v>
      </c>
      <c r="T303" t="s">
        <v>425</v>
      </c>
      <c r="U303">
        <v>324</v>
      </c>
      <c r="V303" t="s">
        <v>127</v>
      </c>
      <c r="W303">
        <v>13.4</v>
      </c>
      <c r="X303" t="s">
        <v>57</v>
      </c>
      <c r="Z303" t="s">
        <v>523</v>
      </c>
      <c r="AA303" t="s">
        <v>77</v>
      </c>
      <c r="AE303">
        <v>1</v>
      </c>
      <c r="AF303">
        <v>1</v>
      </c>
      <c r="AG303">
        <v>1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1</v>
      </c>
    </row>
    <row r="304" spans="1:42" x14ac:dyDescent="0.25">
      <c r="A304">
        <v>324</v>
      </c>
      <c r="B304" t="s">
        <v>718</v>
      </c>
      <c r="C304" t="s">
        <v>717</v>
      </c>
      <c r="D304" t="s">
        <v>121</v>
      </c>
      <c r="E304" s="4">
        <v>1</v>
      </c>
      <c r="F304" t="s">
        <v>61</v>
      </c>
      <c r="G304" t="s">
        <v>61</v>
      </c>
      <c r="H304" s="3">
        <v>46160</v>
      </c>
      <c r="I304" s="3">
        <v>46160</v>
      </c>
      <c r="J304" t="s">
        <v>185</v>
      </c>
      <c r="K304" s="3">
        <v>46160</v>
      </c>
      <c r="L304" s="3">
        <v>46160</v>
      </c>
      <c r="M304" s="3">
        <v>46160</v>
      </c>
      <c r="N304" s="3">
        <v>46160</v>
      </c>
      <c r="O304" t="s">
        <v>185</v>
      </c>
      <c r="P304" t="s">
        <v>55</v>
      </c>
      <c r="Q304">
        <v>323</v>
      </c>
      <c r="S304" t="s">
        <v>124</v>
      </c>
      <c r="T304" t="s">
        <v>425</v>
      </c>
      <c r="U304">
        <v>325</v>
      </c>
      <c r="V304" t="s">
        <v>122</v>
      </c>
      <c r="W304">
        <v>13.4</v>
      </c>
      <c r="X304" t="s">
        <v>57</v>
      </c>
      <c r="Z304" t="s">
        <v>124</v>
      </c>
      <c r="AA304" t="s">
        <v>460</v>
      </c>
      <c r="AE304">
        <v>1</v>
      </c>
      <c r="AF304">
        <v>0</v>
      </c>
      <c r="AG304">
        <v>0</v>
      </c>
      <c r="AH304">
        <v>0</v>
      </c>
      <c r="AI304">
        <v>0</v>
      </c>
      <c r="AJ304">
        <v>1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</row>
    <row r="305" spans="1:42" x14ac:dyDescent="0.25">
      <c r="A305">
        <v>325</v>
      </c>
      <c r="B305" t="s">
        <v>719</v>
      </c>
      <c r="C305" t="s">
        <v>717</v>
      </c>
      <c r="D305" t="s">
        <v>126</v>
      </c>
      <c r="E305" s="4">
        <v>1</v>
      </c>
      <c r="F305" t="s">
        <v>63</v>
      </c>
      <c r="G305" t="s">
        <v>63</v>
      </c>
      <c r="H305" s="3">
        <v>46161</v>
      </c>
      <c r="I305" s="3">
        <v>46161</v>
      </c>
      <c r="J305" t="s">
        <v>90</v>
      </c>
      <c r="K305" s="3">
        <v>46161</v>
      </c>
      <c r="L305" s="3">
        <v>46161</v>
      </c>
      <c r="M305" s="3">
        <v>46161</v>
      </c>
      <c r="N305" s="3">
        <v>46161</v>
      </c>
      <c r="O305" t="s">
        <v>90</v>
      </c>
      <c r="P305" t="s">
        <v>55</v>
      </c>
      <c r="Q305">
        <v>324</v>
      </c>
      <c r="S305" t="s">
        <v>523</v>
      </c>
      <c r="T305" t="s">
        <v>425</v>
      </c>
      <c r="U305">
        <v>326</v>
      </c>
      <c r="V305" t="s">
        <v>61</v>
      </c>
      <c r="W305">
        <v>13.4</v>
      </c>
      <c r="X305" t="s">
        <v>57</v>
      </c>
      <c r="Z305" t="s">
        <v>523</v>
      </c>
      <c r="AA305" t="s">
        <v>462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1</v>
      </c>
      <c r="AM305">
        <v>0</v>
      </c>
      <c r="AN305">
        <v>0</v>
      </c>
      <c r="AO305">
        <v>0</v>
      </c>
      <c r="AP305">
        <v>0</v>
      </c>
    </row>
    <row r="306" spans="1:42" x14ac:dyDescent="0.25">
      <c r="A306">
        <v>326</v>
      </c>
      <c r="B306" t="s">
        <v>720</v>
      </c>
      <c r="C306" t="s">
        <v>717</v>
      </c>
      <c r="D306" t="s">
        <v>133</v>
      </c>
      <c r="E306" s="4">
        <v>1</v>
      </c>
      <c r="F306" t="s">
        <v>63</v>
      </c>
      <c r="G306" t="s">
        <v>63</v>
      </c>
      <c r="H306" s="3">
        <v>46162</v>
      </c>
      <c r="I306" s="3">
        <v>46162</v>
      </c>
      <c r="J306" t="s">
        <v>200</v>
      </c>
      <c r="K306" s="3">
        <v>46162</v>
      </c>
      <c r="L306" s="3">
        <v>46162</v>
      </c>
      <c r="M306" s="3">
        <v>46162</v>
      </c>
      <c r="N306" s="3">
        <v>46162</v>
      </c>
      <c r="O306" t="s">
        <v>200</v>
      </c>
      <c r="P306" t="s">
        <v>55</v>
      </c>
      <c r="Q306">
        <v>325</v>
      </c>
      <c r="S306" t="s">
        <v>124</v>
      </c>
      <c r="T306" t="s">
        <v>425</v>
      </c>
      <c r="V306" t="s">
        <v>61</v>
      </c>
      <c r="W306">
        <v>13.4</v>
      </c>
      <c r="X306" t="s">
        <v>57</v>
      </c>
      <c r="Z306" t="s">
        <v>124</v>
      </c>
      <c r="AA306" t="s">
        <v>462</v>
      </c>
      <c r="AE306">
        <v>1</v>
      </c>
      <c r="AF306">
        <v>0</v>
      </c>
      <c r="AG306">
        <v>0</v>
      </c>
      <c r="AH306">
        <v>0</v>
      </c>
      <c r="AI306">
        <v>1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0</v>
      </c>
      <c r="AP306">
        <v>0</v>
      </c>
    </row>
    <row r="307" spans="1:42" x14ac:dyDescent="0.25">
      <c r="A307">
        <v>327</v>
      </c>
      <c r="B307" t="s">
        <v>721</v>
      </c>
      <c r="C307" t="s">
        <v>678</v>
      </c>
      <c r="D307" t="s">
        <v>722</v>
      </c>
      <c r="E307" s="4">
        <v>1</v>
      </c>
      <c r="F307" t="s">
        <v>210</v>
      </c>
      <c r="G307" t="s">
        <v>210</v>
      </c>
      <c r="H307" s="3">
        <v>46153</v>
      </c>
      <c r="I307" s="3">
        <v>46162</v>
      </c>
      <c r="J307" t="s">
        <v>418</v>
      </c>
      <c r="K307" s="3">
        <v>46162</v>
      </c>
      <c r="L307" s="3">
        <v>46153</v>
      </c>
      <c r="M307" s="3">
        <v>46162</v>
      </c>
      <c r="N307" s="3">
        <v>46162</v>
      </c>
      <c r="O307" t="s">
        <v>418</v>
      </c>
      <c r="P307" t="s">
        <v>55</v>
      </c>
      <c r="T307" t="s">
        <v>425</v>
      </c>
      <c r="V307" t="s">
        <v>175</v>
      </c>
      <c r="X307" t="s">
        <v>57</v>
      </c>
      <c r="AA307" t="s">
        <v>50</v>
      </c>
      <c r="AB307" t="s">
        <v>94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</row>
    <row r="308" spans="1:42" x14ac:dyDescent="0.25">
      <c r="A308">
        <v>328</v>
      </c>
      <c r="B308" t="s">
        <v>723</v>
      </c>
      <c r="C308" t="s">
        <v>724</v>
      </c>
      <c r="D308" t="s">
        <v>117</v>
      </c>
      <c r="E308" s="4">
        <v>1</v>
      </c>
      <c r="F308" t="s">
        <v>122</v>
      </c>
      <c r="G308" t="s">
        <v>122</v>
      </c>
      <c r="H308" s="3">
        <v>46153</v>
      </c>
      <c r="I308" s="3">
        <v>46155</v>
      </c>
      <c r="J308" t="s">
        <v>418</v>
      </c>
      <c r="K308" s="3">
        <v>46155</v>
      </c>
      <c r="L308" s="3">
        <v>46153</v>
      </c>
      <c r="M308" s="3">
        <v>46155</v>
      </c>
      <c r="N308" s="3">
        <v>46155</v>
      </c>
      <c r="O308" t="s">
        <v>418</v>
      </c>
      <c r="P308" t="s">
        <v>55</v>
      </c>
      <c r="Q308" t="s">
        <v>703</v>
      </c>
      <c r="S308" t="s">
        <v>523</v>
      </c>
      <c r="T308" t="s">
        <v>425</v>
      </c>
      <c r="U308">
        <v>329</v>
      </c>
      <c r="V308" t="s">
        <v>127</v>
      </c>
      <c r="W308">
        <v>13.4</v>
      </c>
      <c r="X308" t="s">
        <v>57</v>
      </c>
      <c r="Z308" t="s">
        <v>523</v>
      </c>
      <c r="AA308" t="s">
        <v>77</v>
      </c>
      <c r="AE308">
        <v>1</v>
      </c>
      <c r="AF308">
        <v>1</v>
      </c>
      <c r="AG308">
        <v>1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1</v>
      </c>
    </row>
    <row r="309" spans="1:42" x14ac:dyDescent="0.25">
      <c r="A309">
        <v>329</v>
      </c>
      <c r="B309" t="s">
        <v>725</v>
      </c>
      <c r="C309" t="s">
        <v>724</v>
      </c>
      <c r="D309" t="s">
        <v>121</v>
      </c>
      <c r="E309" s="4">
        <v>1</v>
      </c>
      <c r="F309" t="s">
        <v>61</v>
      </c>
      <c r="G309" t="s">
        <v>61</v>
      </c>
      <c r="H309" s="3">
        <v>46160</v>
      </c>
      <c r="I309" s="3">
        <v>46160</v>
      </c>
      <c r="J309" t="s">
        <v>185</v>
      </c>
      <c r="K309" s="3">
        <v>46160</v>
      </c>
      <c r="L309" s="3">
        <v>46160</v>
      </c>
      <c r="M309" s="3">
        <v>46160</v>
      </c>
      <c r="N309" s="3">
        <v>46160</v>
      </c>
      <c r="O309" t="s">
        <v>185</v>
      </c>
      <c r="P309" t="s">
        <v>55</v>
      </c>
      <c r="Q309">
        <v>328</v>
      </c>
      <c r="S309" t="s">
        <v>124</v>
      </c>
      <c r="T309" t="s">
        <v>425</v>
      </c>
      <c r="U309">
        <v>330</v>
      </c>
      <c r="V309" t="s">
        <v>122</v>
      </c>
      <c r="W309">
        <v>13.4</v>
      </c>
      <c r="X309" t="s">
        <v>57</v>
      </c>
      <c r="Z309" t="s">
        <v>124</v>
      </c>
      <c r="AA309" t="s">
        <v>460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1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</row>
    <row r="310" spans="1:42" x14ac:dyDescent="0.25">
      <c r="A310">
        <v>330</v>
      </c>
      <c r="B310" t="s">
        <v>726</v>
      </c>
      <c r="C310" t="s">
        <v>724</v>
      </c>
      <c r="D310" t="s">
        <v>126</v>
      </c>
      <c r="E310" s="4">
        <v>1</v>
      </c>
      <c r="F310" t="s">
        <v>61</v>
      </c>
      <c r="G310" t="s">
        <v>61</v>
      </c>
      <c r="H310" s="3">
        <v>46161</v>
      </c>
      <c r="I310" s="3">
        <v>46161</v>
      </c>
      <c r="J310" t="s">
        <v>90</v>
      </c>
      <c r="K310" s="3">
        <v>46161</v>
      </c>
      <c r="L310" s="3">
        <v>46161</v>
      </c>
      <c r="M310" s="3">
        <v>46161</v>
      </c>
      <c r="N310" s="3">
        <v>46161</v>
      </c>
      <c r="O310" t="s">
        <v>90</v>
      </c>
      <c r="P310" t="s">
        <v>55</v>
      </c>
      <c r="Q310">
        <v>329</v>
      </c>
      <c r="S310" t="s">
        <v>523</v>
      </c>
      <c r="T310" t="s">
        <v>425</v>
      </c>
      <c r="U310">
        <v>331</v>
      </c>
      <c r="V310" t="s">
        <v>61</v>
      </c>
      <c r="W310">
        <v>13.4</v>
      </c>
      <c r="X310" t="s">
        <v>57</v>
      </c>
      <c r="Z310" t="s">
        <v>523</v>
      </c>
      <c r="AA310" t="s">
        <v>462</v>
      </c>
      <c r="AE310">
        <v>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1</v>
      </c>
      <c r="AM310">
        <v>0</v>
      </c>
      <c r="AN310">
        <v>0</v>
      </c>
      <c r="AO310">
        <v>0</v>
      </c>
      <c r="AP310">
        <v>0</v>
      </c>
    </row>
    <row r="311" spans="1:42" x14ac:dyDescent="0.25">
      <c r="A311">
        <v>331</v>
      </c>
      <c r="B311" t="s">
        <v>727</v>
      </c>
      <c r="C311" t="s">
        <v>724</v>
      </c>
      <c r="D311" t="s">
        <v>133</v>
      </c>
      <c r="E311" s="4">
        <v>1</v>
      </c>
      <c r="F311" t="s">
        <v>61</v>
      </c>
      <c r="G311" t="s">
        <v>61</v>
      </c>
      <c r="H311" s="3">
        <v>46162</v>
      </c>
      <c r="I311" s="3">
        <v>46162</v>
      </c>
      <c r="J311" t="s">
        <v>200</v>
      </c>
      <c r="K311" s="3">
        <v>46162</v>
      </c>
      <c r="L311" s="3">
        <v>46162</v>
      </c>
      <c r="M311" s="3">
        <v>46162</v>
      </c>
      <c r="N311" s="3">
        <v>46162</v>
      </c>
      <c r="O311" t="s">
        <v>200</v>
      </c>
      <c r="P311" t="s">
        <v>55</v>
      </c>
      <c r="Q311">
        <v>330</v>
      </c>
      <c r="S311" t="s">
        <v>124</v>
      </c>
      <c r="T311" t="s">
        <v>425</v>
      </c>
      <c r="V311" t="s">
        <v>61</v>
      </c>
      <c r="W311">
        <v>13.4</v>
      </c>
      <c r="X311" t="s">
        <v>57</v>
      </c>
      <c r="Z311" t="s">
        <v>124</v>
      </c>
      <c r="AA311" t="s">
        <v>462</v>
      </c>
      <c r="AE311">
        <v>1</v>
      </c>
      <c r="AF311">
        <v>0</v>
      </c>
      <c r="AG311">
        <v>0</v>
      </c>
      <c r="AH311">
        <v>0</v>
      </c>
      <c r="AI311">
        <v>1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0</v>
      </c>
      <c r="AP311">
        <v>0</v>
      </c>
    </row>
    <row r="312" spans="1:42" x14ac:dyDescent="0.25">
      <c r="A312">
        <v>332</v>
      </c>
      <c r="B312" t="s">
        <v>728</v>
      </c>
      <c r="C312" t="s">
        <v>425</v>
      </c>
      <c r="D312" t="s">
        <v>729</v>
      </c>
      <c r="E312" s="4">
        <v>1</v>
      </c>
      <c r="F312" t="s">
        <v>730</v>
      </c>
      <c r="G312" t="s">
        <v>730</v>
      </c>
      <c r="H312" s="3">
        <v>46161</v>
      </c>
      <c r="I312" s="3">
        <v>46199</v>
      </c>
      <c r="J312" t="s">
        <v>415</v>
      </c>
      <c r="K312" s="3">
        <v>46197</v>
      </c>
      <c r="L312" s="3">
        <v>46141</v>
      </c>
      <c r="M312" s="3">
        <v>46199</v>
      </c>
      <c r="N312" s="3">
        <v>46199</v>
      </c>
      <c r="O312" t="s">
        <v>90</v>
      </c>
      <c r="P312" t="s">
        <v>55</v>
      </c>
      <c r="T312" t="s">
        <v>425</v>
      </c>
      <c r="V312" t="s">
        <v>612</v>
      </c>
      <c r="X312" t="s">
        <v>57</v>
      </c>
      <c r="AA312" t="s">
        <v>50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</row>
    <row r="313" spans="1:42" x14ac:dyDescent="0.25">
      <c r="A313">
        <v>333</v>
      </c>
      <c r="B313" t="s">
        <v>731</v>
      </c>
      <c r="C313" t="s">
        <v>732</v>
      </c>
      <c r="D313" t="s">
        <v>733</v>
      </c>
      <c r="E313" s="4">
        <v>1</v>
      </c>
      <c r="F313" t="s">
        <v>114</v>
      </c>
      <c r="G313" t="s">
        <v>114</v>
      </c>
      <c r="H313" s="3">
        <v>46161</v>
      </c>
      <c r="I313" s="3">
        <v>46171</v>
      </c>
      <c r="J313" t="s">
        <v>415</v>
      </c>
      <c r="K313" s="3">
        <v>46154</v>
      </c>
      <c r="L313" s="3">
        <v>46141</v>
      </c>
      <c r="M313" s="3">
        <v>46171</v>
      </c>
      <c r="N313" s="3">
        <v>46171</v>
      </c>
      <c r="O313" t="s">
        <v>90</v>
      </c>
      <c r="P313" t="s">
        <v>55</v>
      </c>
      <c r="T313" t="s">
        <v>425</v>
      </c>
      <c r="U313" t="s">
        <v>734</v>
      </c>
      <c r="V313" t="s">
        <v>114</v>
      </c>
      <c r="X313" t="s">
        <v>57</v>
      </c>
      <c r="AA313" t="s">
        <v>50</v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</row>
    <row r="314" spans="1:42" x14ac:dyDescent="0.25">
      <c r="A314">
        <v>334</v>
      </c>
      <c r="B314" t="s">
        <v>735</v>
      </c>
      <c r="C314" t="s">
        <v>736</v>
      </c>
      <c r="D314" t="s">
        <v>117</v>
      </c>
      <c r="E314" s="4">
        <v>1</v>
      </c>
      <c r="F314" t="s">
        <v>101</v>
      </c>
      <c r="G314" t="s">
        <v>101</v>
      </c>
      <c r="H314" s="3">
        <v>46161</v>
      </c>
      <c r="I314" s="3">
        <v>46164</v>
      </c>
      <c r="J314" t="s">
        <v>415</v>
      </c>
      <c r="K314" s="3">
        <v>46147</v>
      </c>
      <c r="L314" s="3">
        <v>46141</v>
      </c>
      <c r="M314" s="3">
        <v>46164</v>
      </c>
      <c r="N314" s="3">
        <v>46164</v>
      </c>
      <c r="O314" t="s">
        <v>90</v>
      </c>
      <c r="P314" t="s">
        <v>55</v>
      </c>
      <c r="Q314">
        <v>241</v>
      </c>
      <c r="S314" t="s">
        <v>302</v>
      </c>
      <c r="T314" t="s">
        <v>425</v>
      </c>
      <c r="U314" t="s">
        <v>737</v>
      </c>
      <c r="V314" t="s">
        <v>101</v>
      </c>
      <c r="W314">
        <v>13.4</v>
      </c>
      <c r="X314" t="s">
        <v>57</v>
      </c>
      <c r="Z314" t="s">
        <v>302</v>
      </c>
      <c r="AA314" t="s">
        <v>71</v>
      </c>
      <c r="AE314">
        <v>1</v>
      </c>
      <c r="AF314">
        <v>1</v>
      </c>
      <c r="AG314">
        <v>1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1</v>
      </c>
    </row>
    <row r="315" spans="1:42" x14ac:dyDescent="0.25">
      <c r="A315">
        <v>335</v>
      </c>
      <c r="B315" t="s">
        <v>738</v>
      </c>
      <c r="C315" t="s">
        <v>736</v>
      </c>
      <c r="D315" t="s">
        <v>121</v>
      </c>
      <c r="E315" s="4">
        <v>1</v>
      </c>
      <c r="F315" t="s">
        <v>63</v>
      </c>
      <c r="G315" t="s">
        <v>63</v>
      </c>
      <c r="H315" s="3">
        <v>46164</v>
      </c>
      <c r="I315" s="3">
        <v>46164</v>
      </c>
      <c r="J315" t="s">
        <v>304</v>
      </c>
      <c r="K315" s="3">
        <v>46150</v>
      </c>
      <c r="L315" s="3">
        <v>46148</v>
      </c>
      <c r="M315" s="3">
        <v>46164</v>
      </c>
      <c r="N315" s="3">
        <v>46164</v>
      </c>
      <c r="O315" t="s">
        <v>471</v>
      </c>
      <c r="P315" t="s">
        <v>55</v>
      </c>
      <c r="Q315">
        <v>334</v>
      </c>
      <c r="S315" t="s">
        <v>124</v>
      </c>
      <c r="T315" t="s">
        <v>425</v>
      </c>
      <c r="U315">
        <v>336</v>
      </c>
      <c r="V315" t="s">
        <v>122</v>
      </c>
      <c r="W315">
        <v>13.4</v>
      </c>
      <c r="X315" t="s">
        <v>57</v>
      </c>
      <c r="Z315" t="s">
        <v>124</v>
      </c>
      <c r="AA315" t="s">
        <v>401</v>
      </c>
      <c r="AE315">
        <v>1</v>
      </c>
      <c r="AF315">
        <v>0</v>
      </c>
      <c r="AG315">
        <v>0</v>
      </c>
      <c r="AH315">
        <v>0</v>
      </c>
      <c r="AI315">
        <v>0</v>
      </c>
      <c r="AJ315">
        <v>1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</row>
    <row r="316" spans="1:42" x14ac:dyDescent="0.25">
      <c r="A316">
        <v>336</v>
      </c>
      <c r="B316" t="s">
        <v>739</v>
      </c>
      <c r="C316" t="s">
        <v>736</v>
      </c>
      <c r="D316" t="s">
        <v>126</v>
      </c>
      <c r="E316" s="4">
        <v>1</v>
      </c>
      <c r="F316" t="s">
        <v>122</v>
      </c>
      <c r="G316" t="s">
        <v>122</v>
      </c>
      <c r="H316" s="3">
        <v>46167</v>
      </c>
      <c r="I316" s="3">
        <v>46169</v>
      </c>
      <c r="J316" t="s">
        <v>418</v>
      </c>
      <c r="K316" s="3">
        <v>46153</v>
      </c>
      <c r="L316" s="3">
        <v>46153</v>
      </c>
      <c r="M316" s="3">
        <v>46169</v>
      </c>
      <c r="N316" s="3">
        <v>46169</v>
      </c>
      <c r="O316" t="s">
        <v>74</v>
      </c>
      <c r="P316" t="s">
        <v>55</v>
      </c>
      <c r="Q316">
        <v>335</v>
      </c>
      <c r="S316" t="s">
        <v>302</v>
      </c>
      <c r="T316" t="s">
        <v>425</v>
      </c>
      <c r="U316">
        <v>337</v>
      </c>
      <c r="V316" t="s">
        <v>61</v>
      </c>
      <c r="W316">
        <v>13.4</v>
      </c>
      <c r="X316" t="s">
        <v>57</v>
      </c>
      <c r="Z316" t="s">
        <v>302</v>
      </c>
      <c r="AA316" t="s">
        <v>93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1</v>
      </c>
      <c r="AM316">
        <v>0</v>
      </c>
      <c r="AN316">
        <v>0</v>
      </c>
      <c r="AO316">
        <v>0</v>
      </c>
      <c r="AP316">
        <v>0</v>
      </c>
    </row>
    <row r="317" spans="1:42" x14ac:dyDescent="0.25">
      <c r="A317">
        <v>337</v>
      </c>
      <c r="B317" t="s">
        <v>740</v>
      </c>
      <c r="C317" t="s">
        <v>736</v>
      </c>
      <c r="D317" t="s">
        <v>133</v>
      </c>
      <c r="E317" s="4">
        <v>1</v>
      </c>
      <c r="F317" t="s">
        <v>127</v>
      </c>
      <c r="G317" t="s">
        <v>127</v>
      </c>
      <c r="H317" s="3">
        <v>46170</v>
      </c>
      <c r="I317" s="3">
        <v>46171</v>
      </c>
      <c r="J317" t="s">
        <v>741</v>
      </c>
      <c r="K317" s="3">
        <v>46154</v>
      </c>
      <c r="L317" s="3">
        <v>46154</v>
      </c>
      <c r="M317" s="3">
        <v>46171</v>
      </c>
      <c r="N317" s="3">
        <v>46171</v>
      </c>
      <c r="O317" t="s">
        <v>448</v>
      </c>
      <c r="P317" t="s">
        <v>55</v>
      </c>
      <c r="Q317">
        <v>336</v>
      </c>
      <c r="S317" t="s">
        <v>124</v>
      </c>
      <c r="T317" t="s">
        <v>425</v>
      </c>
      <c r="U317">
        <v>339</v>
      </c>
      <c r="V317" t="s">
        <v>61</v>
      </c>
      <c r="W317">
        <v>13.4</v>
      </c>
      <c r="X317" t="s">
        <v>57</v>
      </c>
      <c r="Z317" t="s">
        <v>124</v>
      </c>
      <c r="AA317" t="s">
        <v>93</v>
      </c>
      <c r="AE317">
        <v>1</v>
      </c>
      <c r="AF317">
        <v>0</v>
      </c>
      <c r="AG317">
        <v>0</v>
      </c>
      <c r="AH317">
        <v>0</v>
      </c>
      <c r="AI317">
        <v>1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0</v>
      </c>
      <c r="AP317">
        <v>0</v>
      </c>
    </row>
    <row r="318" spans="1:42" x14ac:dyDescent="0.25">
      <c r="A318">
        <v>338</v>
      </c>
      <c r="B318" t="s">
        <v>742</v>
      </c>
      <c r="C318" t="s">
        <v>732</v>
      </c>
      <c r="D318" t="s">
        <v>743</v>
      </c>
      <c r="E318" s="4">
        <v>1</v>
      </c>
      <c r="F318" t="s">
        <v>214</v>
      </c>
      <c r="G318" t="s">
        <v>214</v>
      </c>
      <c r="H318" s="3">
        <v>46169</v>
      </c>
      <c r="I318" s="3">
        <v>46176</v>
      </c>
      <c r="J318" t="s">
        <v>576</v>
      </c>
      <c r="K318" s="3">
        <v>46197</v>
      </c>
      <c r="L318" s="3">
        <v>46189</v>
      </c>
      <c r="M318" s="3">
        <v>46176</v>
      </c>
      <c r="N318" s="3">
        <v>46176</v>
      </c>
      <c r="O318" t="s">
        <v>97</v>
      </c>
      <c r="P318" t="s">
        <v>55</v>
      </c>
      <c r="T318" t="s">
        <v>425</v>
      </c>
      <c r="V318" t="s">
        <v>175</v>
      </c>
      <c r="X318" t="s">
        <v>57</v>
      </c>
      <c r="AA318" t="s">
        <v>50</v>
      </c>
      <c r="AE318">
        <v>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</row>
    <row r="319" spans="1:42" x14ac:dyDescent="0.25">
      <c r="A319">
        <v>339</v>
      </c>
      <c r="B319" t="s">
        <v>744</v>
      </c>
      <c r="C319" t="s">
        <v>745</v>
      </c>
      <c r="D319" t="s">
        <v>117</v>
      </c>
      <c r="E319" s="4">
        <v>1</v>
      </c>
      <c r="F319" t="s">
        <v>61</v>
      </c>
      <c r="G319" t="s">
        <v>61</v>
      </c>
      <c r="H319" s="3">
        <v>46169</v>
      </c>
      <c r="I319" s="3">
        <v>46174</v>
      </c>
      <c r="J319" t="s">
        <v>576</v>
      </c>
      <c r="K319" s="3">
        <v>46190</v>
      </c>
      <c r="L319" s="3">
        <v>46189</v>
      </c>
      <c r="M319" s="3">
        <v>46174</v>
      </c>
      <c r="N319" s="3">
        <v>46174</v>
      </c>
      <c r="O319" t="s">
        <v>97</v>
      </c>
      <c r="P319" t="s">
        <v>55</v>
      </c>
      <c r="Q319" t="s">
        <v>746</v>
      </c>
      <c r="S319" t="s">
        <v>302</v>
      </c>
      <c r="T319" t="s">
        <v>425</v>
      </c>
      <c r="U319" t="s">
        <v>747</v>
      </c>
      <c r="V319" t="s">
        <v>127</v>
      </c>
      <c r="W319">
        <v>13.4</v>
      </c>
      <c r="X319" t="s">
        <v>57</v>
      </c>
      <c r="Z319" t="s">
        <v>302</v>
      </c>
      <c r="AA319" t="s">
        <v>217</v>
      </c>
      <c r="AE319">
        <v>1</v>
      </c>
      <c r="AF319">
        <v>1</v>
      </c>
      <c r="AG319">
        <v>1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1</v>
      </c>
    </row>
    <row r="320" spans="1:42" x14ac:dyDescent="0.25">
      <c r="A320">
        <v>340</v>
      </c>
      <c r="B320" t="s">
        <v>748</v>
      </c>
      <c r="C320" t="s">
        <v>745</v>
      </c>
      <c r="D320" t="s">
        <v>121</v>
      </c>
      <c r="E320" s="4">
        <v>1</v>
      </c>
      <c r="F320" t="s">
        <v>61</v>
      </c>
      <c r="G320" t="s">
        <v>61</v>
      </c>
      <c r="H320" s="3">
        <v>46171</v>
      </c>
      <c r="I320" s="3">
        <v>46174</v>
      </c>
      <c r="J320" t="s">
        <v>480</v>
      </c>
      <c r="K320" s="3">
        <v>46195</v>
      </c>
      <c r="L320" s="3">
        <v>46191</v>
      </c>
      <c r="M320" s="3">
        <v>46174</v>
      </c>
      <c r="N320" s="3">
        <v>46174</v>
      </c>
      <c r="O320" t="s">
        <v>189</v>
      </c>
      <c r="P320" t="s">
        <v>55</v>
      </c>
      <c r="Q320">
        <v>339</v>
      </c>
      <c r="S320" t="s">
        <v>124</v>
      </c>
      <c r="T320" t="s">
        <v>425</v>
      </c>
      <c r="U320">
        <v>341</v>
      </c>
      <c r="V320" t="s">
        <v>122</v>
      </c>
      <c r="W320">
        <v>13.4</v>
      </c>
      <c r="X320" t="s">
        <v>57</v>
      </c>
      <c r="Z320" t="s">
        <v>124</v>
      </c>
      <c r="AA320" t="s">
        <v>217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1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</row>
    <row r="321" spans="1:42" x14ac:dyDescent="0.25">
      <c r="A321">
        <v>341</v>
      </c>
      <c r="B321" t="s">
        <v>749</v>
      </c>
      <c r="C321" t="s">
        <v>745</v>
      </c>
      <c r="D321" t="s">
        <v>126</v>
      </c>
      <c r="E321" s="4">
        <v>1</v>
      </c>
      <c r="F321" t="s">
        <v>61</v>
      </c>
      <c r="G321" t="s">
        <v>61</v>
      </c>
      <c r="H321" s="3">
        <v>46171</v>
      </c>
      <c r="I321" s="3">
        <v>46174</v>
      </c>
      <c r="J321" t="s">
        <v>212</v>
      </c>
      <c r="K321" s="3">
        <v>46196</v>
      </c>
      <c r="L321" s="3">
        <v>46196</v>
      </c>
      <c r="M321" s="3">
        <v>46174</v>
      </c>
      <c r="N321" s="3">
        <v>46174</v>
      </c>
      <c r="O321" t="s">
        <v>189</v>
      </c>
      <c r="P321" t="s">
        <v>55</v>
      </c>
      <c r="Q321">
        <v>340</v>
      </c>
      <c r="S321" t="s">
        <v>302</v>
      </c>
      <c r="T321" t="s">
        <v>425</v>
      </c>
      <c r="U321">
        <v>342</v>
      </c>
      <c r="V321" t="s">
        <v>61</v>
      </c>
      <c r="W321">
        <v>13.4</v>
      </c>
      <c r="X321" t="s">
        <v>57</v>
      </c>
      <c r="Z321" t="s">
        <v>302</v>
      </c>
      <c r="AA321" t="s">
        <v>131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1</v>
      </c>
      <c r="AM321">
        <v>0</v>
      </c>
      <c r="AN321">
        <v>0</v>
      </c>
      <c r="AO321">
        <v>0</v>
      </c>
      <c r="AP321">
        <v>0</v>
      </c>
    </row>
    <row r="322" spans="1:42" x14ac:dyDescent="0.25">
      <c r="A322">
        <v>342</v>
      </c>
      <c r="B322" t="s">
        <v>750</v>
      </c>
      <c r="C322" t="s">
        <v>745</v>
      </c>
      <c r="D322" t="s">
        <v>133</v>
      </c>
      <c r="E322" s="4">
        <v>1</v>
      </c>
      <c r="F322" t="s">
        <v>127</v>
      </c>
      <c r="G322" t="s">
        <v>127</v>
      </c>
      <c r="H322" s="3">
        <v>46174</v>
      </c>
      <c r="I322" s="3">
        <v>46176</v>
      </c>
      <c r="J322" t="s">
        <v>207</v>
      </c>
      <c r="K322" s="3">
        <v>46197</v>
      </c>
      <c r="L322" s="3">
        <v>46197</v>
      </c>
      <c r="M322" s="3">
        <v>46176</v>
      </c>
      <c r="N322" s="3">
        <v>46176</v>
      </c>
      <c r="O322" t="s">
        <v>193</v>
      </c>
      <c r="P322" t="s">
        <v>55</v>
      </c>
      <c r="Q322">
        <v>341</v>
      </c>
      <c r="S322" t="s">
        <v>124</v>
      </c>
      <c r="T322" t="s">
        <v>425</v>
      </c>
      <c r="V322" t="s">
        <v>61</v>
      </c>
      <c r="W322">
        <v>13.4</v>
      </c>
      <c r="X322" t="s">
        <v>57</v>
      </c>
      <c r="Z322" t="s">
        <v>124</v>
      </c>
      <c r="AA322" t="s">
        <v>131</v>
      </c>
      <c r="AE322">
        <v>1</v>
      </c>
      <c r="AF322">
        <v>0</v>
      </c>
      <c r="AG322">
        <v>0</v>
      </c>
      <c r="AH322">
        <v>0</v>
      </c>
      <c r="AI322">
        <v>1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0</v>
      </c>
      <c r="AP322">
        <v>0</v>
      </c>
    </row>
    <row r="323" spans="1:42" x14ac:dyDescent="0.25">
      <c r="A323">
        <v>348</v>
      </c>
      <c r="B323" t="s">
        <v>751</v>
      </c>
      <c r="C323" t="s">
        <v>732</v>
      </c>
      <c r="D323" t="s">
        <v>752</v>
      </c>
      <c r="E323" s="4">
        <v>1</v>
      </c>
      <c r="F323" t="s">
        <v>175</v>
      </c>
      <c r="G323" t="s">
        <v>175</v>
      </c>
      <c r="H323" s="3">
        <v>46189</v>
      </c>
      <c r="I323" s="3">
        <v>46197</v>
      </c>
      <c r="J323" t="s">
        <v>576</v>
      </c>
      <c r="K323" s="3">
        <v>46197</v>
      </c>
      <c r="L323" s="3">
        <v>46189</v>
      </c>
      <c r="M323" s="3">
        <v>46197</v>
      </c>
      <c r="N323" s="3">
        <v>46197</v>
      </c>
      <c r="O323" t="s">
        <v>576</v>
      </c>
      <c r="P323" t="s">
        <v>55</v>
      </c>
      <c r="T323" t="s">
        <v>425</v>
      </c>
      <c r="V323" t="s">
        <v>175</v>
      </c>
      <c r="X323" t="s">
        <v>57</v>
      </c>
      <c r="AA323" t="s">
        <v>50</v>
      </c>
      <c r="AB323" t="s">
        <v>94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</row>
    <row r="324" spans="1:42" x14ac:dyDescent="0.25">
      <c r="A324">
        <v>349</v>
      </c>
      <c r="B324" t="s">
        <v>753</v>
      </c>
      <c r="C324" t="s">
        <v>754</v>
      </c>
      <c r="D324" t="s">
        <v>117</v>
      </c>
      <c r="E324" s="4">
        <v>1</v>
      </c>
      <c r="F324" t="s">
        <v>127</v>
      </c>
      <c r="G324" t="s">
        <v>127</v>
      </c>
      <c r="H324" s="3">
        <v>46189</v>
      </c>
      <c r="I324" s="3">
        <v>46190</v>
      </c>
      <c r="J324" t="s">
        <v>576</v>
      </c>
      <c r="K324" s="3">
        <v>46190</v>
      </c>
      <c r="L324" s="3">
        <v>46189</v>
      </c>
      <c r="M324" s="3">
        <v>46190</v>
      </c>
      <c r="N324" s="3">
        <v>46190</v>
      </c>
      <c r="O324" t="s">
        <v>576</v>
      </c>
      <c r="P324" t="s">
        <v>55</v>
      </c>
      <c r="S324" t="s">
        <v>302</v>
      </c>
      <c r="T324" t="s">
        <v>425</v>
      </c>
      <c r="U324">
        <v>350</v>
      </c>
      <c r="V324" t="s">
        <v>127</v>
      </c>
      <c r="W324">
        <v>13.4</v>
      </c>
      <c r="X324" t="s">
        <v>57</v>
      </c>
      <c r="Z324" t="s">
        <v>302</v>
      </c>
      <c r="AA324" t="s">
        <v>217</v>
      </c>
      <c r="AE324">
        <v>1</v>
      </c>
      <c r="AF324">
        <v>1</v>
      </c>
      <c r="AG324">
        <v>1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1</v>
      </c>
    </row>
    <row r="325" spans="1:42" x14ac:dyDescent="0.25">
      <c r="A325">
        <v>350</v>
      </c>
      <c r="B325" t="s">
        <v>755</v>
      </c>
      <c r="C325" t="s">
        <v>754</v>
      </c>
      <c r="D325" t="s">
        <v>121</v>
      </c>
      <c r="E325" s="4">
        <v>1</v>
      </c>
      <c r="F325" t="s">
        <v>61</v>
      </c>
      <c r="G325" t="s">
        <v>61</v>
      </c>
      <c r="H325" s="3">
        <v>46190</v>
      </c>
      <c r="I325" s="3">
        <v>46191</v>
      </c>
      <c r="J325" t="s">
        <v>75</v>
      </c>
      <c r="K325" s="3">
        <v>46191</v>
      </c>
      <c r="L325" s="3">
        <v>46190</v>
      </c>
      <c r="M325" s="3">
        <v>46191</v>
      </c>
      <c r="N325" s="3">
        <v>46191</v>
      </c>
      <c r="O325" t="s">
        <v>75</v>
      </c>
      <c r="P325" t="s">
        <v>55</v>
      </c>
      <c r="Q325">
        <v>349</v>
      </c>
      <c r="S325" t="s">
        <v>124</v>
      </c>
      <c r="T325" t="s">
        <v>425</v>
      </c>
      <c r="U325">
        <v>351</v>
      </c>
      <c r="V325" t="s">
        <v>122</v>
      </c>
      <c r="W325">
        <v>13.4</v>
      </c>
      <c r="X325" t="s">
        <v>57</v>
      </c>
      <c r="Z325" t="s">
        <v>124</v>
      </c>
      <c r="AA325" t="s">
        <v>217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1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</row>
    <row r="326" spans="1:42" x14ac:dyDescent="0.25">
      <c r="A326">
        <v>351</v>
      </c>
      <c r="B326" t="s">
        <v>756</v>
      </c>
      <c r="C326" t="s">
        <v>754</v>
      </c>
      <c r="D326" t="s">
        <v>126</v>
      </c>
      <c r="E326" s="4">
        <v>1</v>
      </c>
      <c r="F326" t="s">
        <v>61</v>
      </c>
      <c r="G326" t="s">
        <v>61</v>
      </c>
      <c r="H326" s="3">
        <v>46192</v>
      </c>
      <c r="I326" s="3">
        <v>46195</v>
      </c>
      <c r="J326" t="s">
        <v>211</v>
      </c>
      <c r="K326" s="3">
        <v>46195</v>
      </c>
      <c r="L326" s="3">
        <v>46192</v>
      </c>
      <c r="M326" s="3">
        <v>46195</v>
      </c>
      <c r="N326" s="3">
        <v>46195</v>
      </c>
      <c r="O326" t="s">
        <v>211</v>
      </c>
      <c r="P326" t="s">
        <v>55</v>
      </c>
      <c r="Q326">
        <v>350</v>
      </c>
      <c r="S326" t="s">
        <v>302</v>
      </c>
      <c r="T326" t="s">
        <v>425</v>
      </c>
      <c r="U326">
        <v>352</v>
      </c>
      <c r="V326" t="s">
        <v>61</v>
      </c>
      <c r="W326">
        <v>13.4</v>
      </c>
      <c r="X326" t="s">
        <v>57</v>
      </c>
      <c r="Z326" t="s">
        <v>302</v>
      </c>
      <c r="AA326" t="s">
        <v>131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1</v>
      </c>
      <c r="AM326">
        <v>0</v>
      </c>
      <c r="AN326">
        <v>0</v>
      </c>
      <c r="AO326">
        <v>0</v>
      </c>
      <c r="AP326">
        <v>0</v>
      </c>
    </row>
    <row r="327" spans="1:42" x14ac:dyDescent="0.25">
      <c r="A327">
        <v>352</v>
      </c>
      <c r="B327" t="s">
        <v>757</v>
      </c>
      <c r="C327" t="s">
        <v>754</v>
      </c>
      <c r="D327" t="s">
        <v>133</v>
      </c>
      <c r="E327" s="4">
        <v>1</v>
      </c>
      <c r="F327" t="s">
        <v>61</v>
      </c>
      <c r="G327" t="s">
        <v>61</v>
      </c>
      <c r="H327" s="3">
        <v>46195</v>
      </c>
      <c r="I327" s="3">
        <v>46197</v>
      </c>
      <c r="J327" t="s">
        <v>219</v>
      </c>
      <c r="K327" s="3">
        <v>46197</v>
      </c>
      <c r="L327" s="3">
        <v>46195</v>
      </c>
      <c r="M327" s="3">
        <v>46197</v>
      </c>
      <c r="N327" s="3">
        <v>46197</v>
      </c>
      <c r="O327" t="s">
        <v>219</v>
      </c>
      <c r="P327" t="s">
        <v>55</v>
      </c>
      <c r="Q327">
        <v>351</v>
      </c>
      <c r="S327" t="s">
        <v>124</v>
      </c>
      <c r="T327" t="s">
        <v>425</v>
      </c>
      <c r="V327" t="s">
        <v>61</v>
      </c>
      <c r="W327">
        <v>13.4</v>
      </c>
      <c r="X327" t="s">
        <v>57</v>
      </c>
      <c r="Z327" t="s">
        <v>124</v>
      </c>
      <c r="AA327" t="s">
        <v>131</v>
      </c>
      <c r="AE327">
        <v>1</v>
      </c>
      <c r="AF327">
        <v>0</v>
      </c>
      <c r="AG327">
        <v>0</v>
      </c>
      <c r="AH327">
        <v>0</v>
      </c>
      <c r="AI327">
        <v>1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0</v>
      </c>
      <c r="AP327">
        <v>0</v>
      </c>
    </row>
    <row r="328" spans="1:42" x14ac:dyDescent="0.25">
      <c r="A328">
        <v>353</v>
      </c>
      <c r="B328" t="s">
        <v>758</v>
      </c>
      <c r="C328" t="s">
        <v>732</v>
      </c>
      <c r="D328" t="s">
        <v>759</v>
      </c>
      <c r="E328" s="4">
        <v>1</v>
      </c>
      <c r="F328" t="s">
        <v>114</v>
      </c>
      <c r="G328" t="s">
        <v>114</v>
      </c>
      <c r="H328" s="3">
        <v>46189</v>
      </c>
      <c r="I328" s="3">
        <v>46199</v>
      </c>
      <c r="J328" t="s">
        <v>576</v>
      </c>
      <c r="K328" s="3">
        <v>46199</v>
      </c>
      <c r="L328" s="3">
        <v>46189</v>
      </c>
      <c r="M328" s="3">
        <v>46199</v>
      </c>
      <c r="N328" s="3">
        <v>46199</v>
      </c>
      <c r="O328" t="s">
        <v>576</v>
      </c>
      <c r="P328" t="s">
        <v>55</v>
      </c>
      <c r="T328" t="s">
        <v>425</v>
      </c>
      <c r="V328" t="s">
        <v>175</v>
      </c>
      <c r="X328" t="s">
        <v>57</v>
      </c>
      <c r="AA328" t="s">
        <v>50</v>
      </c>
      <c r="AB328" t="s">
        <v>94</v>
      </c>
      <c r="AE328">
        <v>1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</row>
    <row r="329" spans="1:42" x14ac:dyDescent="0.25">
      <c r="A329">
        <v>354</v>
      </c>
      <c r="B329" t="s">
        <v>760</v>
      </c>
      <c r="C329" t="s">
        <v>761</v>
      </c>
      <c r="D329" t="s">
        <v>117</v>
      </c>
      <c r="E329" s="4">
        <v>1</v>
      </c>
      <c r="F329" t="s">
        <v>127</v>
      </c>
      <c r="G329" t="s">
        <v>127</v>
      </c>
      <c r="H329" s="3">
        <v>46189</v>
      </c>
      <c r="I329" s="3">
        <v>46190</v>
      </c>
      <c r="J329" t="s">
        <v>576</v>
      </c>
      <c r="K329" s="3">
        <v>46190</v>
      </c>
      <c r="L329" s="3">
        <v>46189</v>
      </c>
      <c r="M329" s="3">
        <v>46190</v>
      </c>
      <c r="N329" s="3">
        <v>46190</v>
      </c>
      <c r="O329" t="s">
        <v>576</v>
      </c>
      <c r="P329" t="s">
        <v>55</v>
      </c>
      <c r="S329" t="s">
        <v>302</v>
      </c>
      <c r="T329" t="s">
        <v>425</v>
      </c>
      <c r="U329">
        <v>355</v>
      </c>
      <c r="V329" t="s">
        <v>127</v>
      </c>
      <c r="W329">
        <v>13.4</v>
      </c>
      <c r="X329" t="s">
        <v>57</v>
      </c>
      <c r="Z329" t="s">
        <v>302</v>
      </c>
      <c r="AA329" t="s">
        <v>217</v>
      </c>
      <c r="AE329">
        <v>1</v>
      </c>
      <c r="AF329">
        <v>1</v>
      </c>
      <c r="AG329">
        <v>1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1</v>
      </c>
    </row>
    <row r="330" spans="1:42" x14ac:dyDescent="0.25">
      <c r="A330">
        <v>355</v>
      </c>
      <c r="B330" t="s">
        <v>762</v>
      </c>
      <c r="C330" t="s">
        <v>761</v>
      </c>
      <c r="D330" t="s">
        <v>121</v>
      </c>
      <c r="E330" s="4">
        <v>1</v>
      </c>
      <c r="F330" t="s">
        <v>127</v>
      </c>
      <c r="G330" t="s">
        <v>127</v>
      </c>
      <c r="H330" s="3">
        <v>46190</v>
      </c>
      <c r="I330" s="3">
        <v>46192</v>
      </c>
      <c r="J330" t="s">
        <v>75</v>
      </c>
      <c r="K330" s="3">
        <v>46192</v>
      </c>
      <c r="L330" s="3">
        <v>46190</v>
      </c>
      <c r="M330" s="3">
        <v>46192</v>
      </c>
      <c r="N330" s="3">
        <v>46192</v>
      </c>
      <c r="O330" t="s">
        <v>75</v>
      </c>
      <c r="P330" t="s">
        <v>55</v>
      </c>
      <c r="Q330">
        <v>354</v>
      </c>
      <c r="S330" t="s">
        <v>124</v>
      </c>
      <c r="T330" t="s">
        <v>425</v>
      </c>
      <c r="U330">
        <v>356</v>
      </c>
      <c r="V330" t="s">
        <v>122</v>
      </c>
      <c r="W330">
        <v>13.4</v>
      </c>
      <c r="X330" t="s">
        <v>57</v>
      </c>
      <c r="Z330" t="s">
        <v>124</v>
      </c>
      <c r="AA330" t="s">
        <v>217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1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</row>
    <row r="331" spans="1:42" x14ac:dyDescent="0.25">
      <c r="A331">
        <v>356</v>
      </c>
      <c r="B331" t="s">
        <v>763</v>
      </c>
      <c r="C331" t="s">
        <v>761</v>
      </c>
      <c r="D331" t="s">
        <v>126</v>
      </c>
      <c r="E331" s="4">
        <v>1</v>
      </c>
      <c r="F331" t="s">
        <v>127</v>
      </c>
      <c r="G331" t="s">
        <v>127</v>
      </c>
      <c r="H331" s="3">
        <v>46192</v>
      </c>
      <c r="I331" s="3">
        <v>46196</v>
      </c>
      <c r="J331" t="s">
        <v>211</v>
      </c>
      <c r="K331" s="3">
        <v>46196</v>
      </c>
      <c r="L331" s="3">
        <v>46192</v>
      </c>
      <c r="M331" s="3">
        <v>46196</v>
      </c>
      <c r="N331" s="3">
        <v>46196</v>
      </c>
      <c r="O331" t="s">
        <v>211</v>
      </c>
      <c r="P331" t="s">
        <v>55</v>
      </c>
      <c r="Q331">
        <v>355</v>
      </c>
      <c r="S331" t="s">
        <v>302</v>
      </c>
      <c r="T331" t="s">
        <v>425</v>
      </c>
      <c r="U331">
        <v>357</v>
      </c>
      <c r="V331" t="s">
        <v>61</v>
      </c>
      <c r="W331">
        <v>13.4</v>
      </c>
      <c r="X331" t="s">
        <v>57</v>
      </c>
      <c r="Z331" t="s">
        <v>302</v>
      </c>
      <c r="AA331" t="s">
        <v>131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1</v>
      </c>
      <c r="AM331">
        <v>0</v>
      </c>
      <c r="AN331">
        <v>0</v>
      </c>
      <c r="AO331">
        <v>0</v>
      </c>
      <c r="AP331">
        <v>0</v>
      </c>
    </row>
    <row r="332" spans="1:42" x14ac:dyDescent="0.25">
      <c r="A332">
        <v>357</v>
      </c>
      <c r="B332" t="s">
        <v>764</v>
      </c>
      <c r="C332" t="s">
        <v>761</v>
      </c>
      <c r="D332" t="s">
        <v>133</v>
      </c>
      <c r="E332" s="4">
        <v>1</v>
      </c>
      <c r="F332" t="s">
        <v>122</v>
      </c>
      <c r="G332" t="s">
        <v>122</v>
      </c>
      <c r="H332" s="3">
        <v>46195</v>
      </c>
      <c r="I332" s="3">
        <v>46199</v>
      </c>
      <c r="J332" t="s">
        <v>219</v>
      </c>
      <c r="K332" s="3">
        <v>46199</v>
      </c>
      <c r="L332" s="3">
        <v>46195</v>
      </c>
      <c r="M332" s="3">
        <v>46199</v>
      </c>
      <c r="N332" s="3">
        <v>46199</v>
      </c>
      <c r="O332" t="s">
        <v>219</v>
      </c>
      <c r="P332" t="s">
        <v>55</v>
      </c>
      <c r="Q332">
        <v>356</v>
      </c>
      <c r="S332" t="s">
        <v>124</v>
      </c>
      <c r="T332" t="s">
        <v>425</v>
      </c>
      <c r="V332" t="s">
        <v>61</v>
      </c>
      <c r="W332">
        <v>13.4</v>
      </c>
      <c r="X332" t="s">
        <v>57</v>
      </c>
      <c r="Z332" t="s">
        <v>124</v>
      </c>
      <c r="AA332" t="s">
        <v>131</v>
      </c>
      <c r="AE332">
        <v>1</v>
      </c>
      <c r="AF332">
        <v>0</v>
      </c>
      <c r="AG332">
        <v>0</v>
      </c>
      <c r="AH332">
        <v>0</v>
      </c>
      <c r="AI332">
        <v>1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0</v>
      </c>
      <c r="AP332">
        <v>0</v>
      </c>
    </row>
    <row r="333" spans="1:42" x14ac:dyDescent="0.25">
      <c r="A333">
        <v>358</v>
      </c>
      <c r="B333" t="s">
        <v>765</v>
      </c>
      <c r="C333" t="s">
        <v>425</v>
      </c>
      <c r="D333" t="s">
        <v>766</v>
      </c>
      <c r="E333" s="4">
        <v>1</v>
      </c>
      <c r="F333" t="s">
        <v>730</v>
      </c>
      <c r="G333" t="s">
        <v>730</v>
      </c>
      <c r="H333" s="3">
        <v>46140</v>
      </c>
      <c r="I333" s="3">
        <v>46181</v>
      </c>
      <c r="J333" t="s">
        <v>85</v>
      </c>
      <c r="K333" s="3">
        <v>46169</v>
      </c>
      <c r="L333" s="3">
        <v>46140</v>
      </c>
      <c r="M333" s="3">
        <v>46181</v>
      </c>
      <c r="N333" s="3">
        <v>46181</v>
      </c>
      <c r="O333" t="s">
        <v>85</v>
      </c>
      <c r="P333" t="s">
        <v>55</v>
      </c>
      <c r="T333" t="s">
        <v>425</v>
      </c>
      <c r="V333" t="s">
        <v>110</v>
      </c>
      <c r="X333" t="s">
        <v>57</v>
      </c>
      <c r="AA333" t="s">
        <v>50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</row>
    <row r="334" spans="1:42" x14ac:dyDescent="0.25">
      <c r="A334">
        <v>359</v>
      </c>
      <c r="B334" t="s">
        <v>767</v>
      </c>
      <c r="C334" t="s">
        <v>768</v>
      </c>
      <c r="D334" t="s">
        <v>769</v>
      </c>
      <c r="E334" s="4">
        <v>1</v>
      </c>
      <c r="F334" t="s">
        <v>114</v>
      </c>
      <c r="G334" t="s">
        <v>114</v>
      </c>
      <c r="H334" s="3">
        <v>46140</v>
      </c>
      <c r="I334" s="3">
        <v>46153</v>
      </c>
      <c r="J334" t="s">
        <v>85</v>
      </c>
      <c r="K334" s="3">
        <v>46153</v>
      </c>
      <c r="L334" s="3">
        <v>46140</v>
      </c>
      <c r="M334" s="3">
        <v>46153</v>
      </c>
      <c r="N334" s="3">
        <v>46153</v>
      </c>
      <c r="O334" t="s">
        <v>85</v>
      </c>
      <c r="P334" t="s">
        <v>55</v>
      </c>
      <c r="T334" t="s">
        <v>425</v>
      </c>
      <c r="U334" t="s">
        <v>770</v>
      </c>
      <c r="V334" t="s">
        <v>114</v>
      </c>
      <c r="X334" t="s">
        <v>57</v>
      </c>
      <c r="AA334" t="s">
        <v>50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</row>
    <row r="335" spans="1:42" x14ac:dyDescent="0.25">
      <c r="A335">
        <v>360</v>
      </c>
      <c r="B335" t="s">
        <v>771</v>
      </c>
      <c r="C335" t="s">
        <v>772</v>
      </c>
      <c r="D335" t="s">
        <v>117</v>
      </c>
      <c r="E335" s="4">
        <v>1</v>
      </c>
      <c r="F335" t="s">
        <v>101</v>
      </c>
      <c r="G335" t="s">
        <v>101</v>
      </c>
      <c r="H335" s="3">
        <v>46140</v>
      </c>
      <c r="I335" s="3">
        <v>46146</v>
      </c>
      <c r="J335" t="s">
        <v>85</v>
      </c>
      <c r="K335" s="3">
        <v>46146</v>
      </c>
      <c r="L335" s="3">
        <v>46140</v>
      </c>
      <c r="M335" s="3">
        <v>46146</v>
      </c>
      <c r="N335" s="3">
        <v>46146</v>
      </c>
      <c r="O335" t="s">
        <v>85</v>
      </c>
      <c r="P335" t="s">
        <v>55</v>
      </c>
      <c r="Q335">
        <v>272</v>
      </c>
      <c r="S335" t="s">
        <v>523</v>
      </c>
      <c r="T335" t="s">
        <v>425</v>
      </c>
      <c r="U335" t="s">
        <v>773</v>
      </c>
      <c r="V335" t="s">
        <v>101</v>
      </c>
      <c r="W335">
        <v>13.4</v>
      </c>
      <c r="X335" t="s">
        <v>57</v>
      </c>
      <c r="Z335" t="s">
        <v>523</v>
      </c>
      <c r="AA335" t="s">
        <v>71</v>
      </c>
      <c r="AE335">
        <v>1</v>
      </c>
      <c r="AF335">
        <v>1</v>
      </c>
      <c r="AG335">
        <v>1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1</v>
      </c>
    </row>
    <row r="336" spans="1:42" x14ac:dyDescent="0.25">
      <c r="A336">
        <v>361</v>
      </c>
      <c r="B336" t="s">
        <v>774</v>
      </c>
      <c r="C336" t="s">
        <v>772</v>
      </c>
      <c r="D336" t="s">
        <v>121</v>
      </c>
      <c r="E336" s="4">
        <v>1</v>
      </c>
      <c r="F336" t="s">
        <v>122</v>
      </c>
      <c r="G336" t="s">
        <v>122</v>
      </c>
      <c r="H336" s="3">
        <v>46147</v>
      </c>
      <c r="I336" s="3">
        <v>46149</v>
      </c>
      <c r="J336" t="s">
        <v>183</v>
      </c>
      <c r="K336" s="3">
        <v>46149</v>
      </c>
      <c r="L336" s="3">
        <v>46147</v>
      </c>
      <c r="M336" s="3">
        <v>46149</v>
      </c>
      <c r="N336" s="3">
        <v>46149</v>
      </c>
      <c r="O336" t="s">
        <v>183</v>
      </c>
      <c r="P336" t="s">
        <v>55</v>
      </c>
      <c r="Q336">
        <v>360</v>
      </c>
      <c r="S336" t="s">
        <v>124</v>
      </c>
      <c r="T336" t="s">
        <v>425</v>
      </c>
      <c r="U336">
        <v>362</v>
      </c>
      <c r="V336" t="s">
        <v>122</v>
      </c>
      <c r="W336">
        <v>13.4</v>
      </c>
      <c r="X336" t="s">
        <v>57</v>
      </c>
      <c r="Z336" t="s">
        <v>124</v>
      </c>
      <c r="AA336" t="s">
        <v>401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1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</row>
    <row r="337" spans="1:42" x14ac:dyDescent="0.25">
      <c r="A337">
        <v>362</v>
      </c>
      <c r="B337" t="s">
        <v>775</v>
      </c>
      <c r="C337" t="s">
        <v>772</v>
      </c>
      <c r="D337" t="s">
        <v>126</v>
      </c>
      <c r="E337" s="4">
        <v>1</v>
      </c>
      <c r="F337" t="s">
        <v>61</v>
      </c>
      <c r="G337" t="s">
        <v>61</v>
      </c>
      <c r="H337" s="3">
        <v>46150</v>
      </c>
      <c r="I337" s="3">
        <v>46150</v>
      </c>
      <c r="J337" t="s">
        <v>403</v>
      </c>
      <c r="K337" s="3">
        <v>46150</v>
      </c>
      <c r="L337" s="3">
        <v>46150</v>
      </c>
      <c r="M337" s="3">
        <v>46150</v>
      </c>
      <c r="N337" s="3">
        <v>46150</v>
      </c>
      <c r="O337" t="s">
        <v>403</v>
      </c>
      <c r="P337" t="s">
        <v>55</v>
      </c>
      <c r="Q337">
        <v>361</v>
      </c>
      <c r="S337" t="s">
        <v>523</v>
      </c>
      <c r="T337" t="s">
        <v>425</v>
      </c>
      <c r="U337" t="s">
        <v>776</v>
      </c>
      <c r="V337" t="s">
        <v>61</v>
      </c>
      <c r="W337">
        <v>13.4</v>
      </c>
      <c r="X337" t="s">
        <v>57</v>
      </c>
      <c r="Z337" t="s">
        <v>523</v>
      </c>
      <c r="AA337" t="s">
        <v>401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1</v>
      </c>
      <c r="AM337">
        <v>0</v>
      </c>
      <c r="AN337">
        <v>0</v>
      </c>
      <c r="AO337">
        <v>0</v>
      </c>
      <c r="AP337">
        <v>0</v>
      </c>
    </row>
    <row r="338" spans="1:42" x14ac:dyDescent="0.25">
      <c r="A338">
        <v>363</v>
      </c>
      <c r="B338" t="s">
        <v>777</v>
      </c>
      <c r="C338" t="s">
        <v>772</v>
      </c>
      <c r="D338" t="s">
        <v>133</v>
      </c>
      <c r="E338" s="4">
        <v>1</v>
      </c>
      <c r="F338" t="s">
        <v>61</v>
      </c>
      <c r="G338" t="s">
        <v>61</v>
      </c>
      <c r="H338" s="3">
        <v>46153</v>
      </c>
      <c r="I338" s="3">
        <v>46153</v>
      </c>
      <c r="J338" t="s">
        <v>418</v>
      </c>
      <c r="K338" s="3">
        <v>46153</v>
      </c>
      <c r="L338" s="3">
        <v>46153</v>
      </c>
      <c r="M338" s="3">
        <v>46153</v>
      </c>
      <c r="N338" s="3">
        <v>46153</v>
      </c>
      <c r="O338" t="s">
        <v>418</v>
      </c>
      <c r="P338" t="s">
        <v>55</v>
      </c>
      <c r="Q338">
        <v>362</v>
      </c>
      <c r="S338" t="s">
        <v>124</v>
      </c>
      <c r="T338" t="s">
        <v>425</v>
      </c>
      <c r="U338">
        <v>365</v>
      </c>
      <c r="V338" t="s">
        <v>61</v>
      </c>
      <c r="W338">
        <v>13.4</v>
      </c>
      <c r="X338" t="s">
        <v>57</v>
      </c>
      <c r="Z338" t="s">
        <v>124</v>
      </c>
      <c r="AA338" t="s">
        <v>93</v>
      </c>
      <c r="AE338">
        <v>1</v>
      </c>
      <c r="AF338">
        <v>0</v>
      </c>
      <c r="AG338">
        <v>0</v>
      </c>
      <c r="AH338">
        <v>0</v>
      </c>
      <c r="AI338">
        <v>1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0</v>
      </c>
      <c r="AP338">
        <v>0</v>
      </c>
    </row>
    <row r="339" spans="1:42" x14ac:dyDescent="0.25">
      <c r="A339">
        <v>364</v>
      </c>
      <c r="B339" t="s">
        <v>778</v>
      </c>
      <c r="C339" t="s">
        <v>768</v>
      </c>
      <c r="D339" t="s">
        <v>779</v>
      </c>
      <c r="E339" s="4">
        <v>1</v>
      </c>
      <c r="F339" t="s">
        <v>192</v>
      </c>
      <c r="G339" t="s">
        <v>192</v>
      </c>
      <c r="H339" s="3">
        <v>46148</v>
      </c>
      <c r="I339" s="3">
        <v>46171</v>
      </c>
      <c r="J339" t="s">
        <v>90</v>
      </c>
      <c r="K339" s="3">
        <v>46169</v>
      </c>
      <c r="L339" s="3">
        <v>46161</v>
      </c>
      <c r="M339" s="3">
        <v>46171</v>
      </c>
      <c r="N339" s="3">
        <v>46171</v>
      </c>
      <c r="O339" t="s">
        <v>304</v>
      </c>
      <c r="P339" t="s">
        <v>55</v>
      </c>
      <c r="T339" t="s">
        <v>425</v>
      </c>
      <c r="V339" t="s">
        <v>175</v>
      </c>
      <c r="X339" t="s">
        <v>57</v>
      </c>
      <c r="AA339" t="s">
        <v>50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</row>
    <row r="340" spans="1:42" x14ac:dyDescent="0.25">
      <c r="A340">
        <v>365</v>
      </c>
      <c r="B340" t="s">
        <v>780</v>
      </c>
      <c r="C340" t="s">
        <v>781</v>
      </c>
      <c r="D340" t="s">
        <v>117</v>
      </c>
      <c r="E340" s="4">
        <v>1</v>
      </c>
      <c r="F340" t="s">
        <v>63</v>
      </c>
      <c r="G340" t="s">
        <v>63</v>
      </c>
      <c r="H340" s="3">
        <v>46148</v>
      </c>
      <c r="I340" s="3">
        <v>46150</v>
      </c>
      <c r="J340" t="s">
        <v>90</v>
      </c>
      <c r="K340" s="3">
        <v>46162</v>
      </c>
      <c r="L340" s="3">
        <v>46161</v>
      </c>
      <c r="M340" s="3">
        <v>46150</v>
      </c>
      <c r="N340" s="3">
        <v>46150</v>
      </c>
      <c r="O340" t="s">
        <v>304</v>
      </c>
      <c r="P340" t="s">
        <v>55</v>
      </c>
      <c r="Q340" t="s">
        <v>776</v>
      </c>
      <c r="S340" t="s">
        <v>523</v>
      </c>
      <c r="T340" t="s">
        <v>425</v>
      </c>
      <c r="U340" t="s">
        <v>782</v>
      </c>
      <c r="V340" t="s">
        <v>127</v>
      </c>
      <c r="W340">
        <v>13.4</v>
      </c>
      <c r="X340" t="s">
        <v>57</v>
      </c>
      <c r="Z340" t="s">
        <v>523</v>
      </c>
      <c r="AA340" t="s">
        <v>198</v>
      </c>
      <c r="AE340">
        <v>1</v>
      </c>
      <c r="AF340">
        <v>1</v>
      </c>
      <c r="AG340">
        <v>1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1</v>
      </c>
    </row>
    <row r="341" spans="1:42" x14ac:dyDescent="0.25">
      <c r="A341">
        <v>366</v>
      </c>
      <c r="B341" t="s">
        <v>783</v>
      </c>
      <c r="C341" t="s">
        <v>781</v>
      </c>
      <c r="D341" t="s">
        <v>121</v>
      </c>
      <c r="E341" s="4">
        <v>1</v>
      </c>
      <c r="F341" t="s">
        <v>127</v>
      </c>
      <c r="G341" t="s">
        <v>127</v>
      </c>
      <c r="H341" s="3">
        <v>46153</v>
      </c>
      <c r="I341" s="3">
        <v>46154</v>
      </c>
      <c r="J341" t="s">
        <v>491</v>
      </c>
      <c r="K341" s="3">
        <v>46167</v>
      </c>
      <c r="L341" s="3">
        <v>46163</v>
      </c>
      <c r="M341" s="3">
        <v>46154</v>
      </c>
      <c r="N341" s="3">
        <v>46154</v>
      </c>
      <c r="O341" t="s">
        <v>418</v>
      </c>
      <c r="P341" t="s">
        <v>55</v>
      </c>
      <c r="Q341">
        <v>365</v>
      </c>
      <c r="S341" t="s">
        <v>124</v>
      </c>
      <c r="T341" t="s">
        <v>425</v>
      </c>
      <c r="U341" t="s">
        <v>784</v>
      </c>
      <c r="V341" t="s">
        <v>122</v>
      </c>
      <c r="W341">
        <v>13.4</v>
      </c>
      <c r="X341" t="s">
        <v>57</v>
      </c>
      <c r="Z341" t="s">
        <v>124</v>
      </c>
      <c r="AA341" t="s">
        <v>198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1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</row>
    <row r="342" spans="1:42" x14ac:dyDescent="0.25">
      <c r="A342">
        <v>367</v>
      </c>
      <c r="B342" t="s">
        <v>785</v>
      </c>
      <c r="C342" t="s">
        <v>781</v>
      </c>
      <c r="D342" t="s">
        <v>126</v>
      </c>
      <c r="E342" s="4">
        <v>1</v>
      </c>
      <c r="F342" t="s">
        <v>697</v>
      </c>
      <c r="G342" t="s">
        <v>697</v>
      </c>
      <c r="H342" s="3">
        <v>46154</v>
      </c>
      <c r="I342" s="3">
        <v>46171</v>
      </c>
      <c r="J342" t="s">
        <v>206</v>
      </c>
      <c r="K342" s="3">
        <v>46168</v>
      </c>
      <c r="L342" s="3">
        <v>46168</v>
      </c>
      <c r="M342" s="3">
        <v>46171</v>
      </c>
      <c r="N342" s="3">
        <v>46171</v>
      </c>
      <c r="O342" t="s">
        <v>741</v>
      </c>
      <c r="P342" t="s">
        <v>55</v>
      </c>
      <c r="Q342" t="s">
        <v>786</v>
      </c>
      <c r="S342" t="s">
        <v>523</v>
      </c>
      <c r="T342" t="s">
        <v>425</v>
      </c>
      <c r="U342">
        <v>368</v>
      </c>
      <c r="V342" t="s">
        <v>61</v>
      </c>
      <c r="W342">
        <v>13.4</v>
      </c>
      <c r="X342" t="s">
        <v>57</v>
      </c>
      <c r="Z342" t="s">
        <v>523</v>
      </c>
      <c r="AA342" t="s">
        <v>77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1</v>
      </c>
      <c r="AM342">
        <v>0</v>
      </c>
      <c r="AN342">
        <v>0</v>
      </c>
      <c r="AO342">
        <v>0</v>
      </c>
      <c r="AP342">
        <v>0</v>
      </c>
    </row>
    <row r="343" spans="1:42" x14ac:dyDescent="0.25">
      <c r="A343">
        <v>368</v>
      </c>
      <c r="B343" t="s">
        <v>787</v>
      </c>
      <c r="C343" t="s">
        <v>781</v>
      </c>
      <c r="D343" t="s">
        <v>133</v>
      </c>
      <c r="E343" s="4">
        <v>1</v>
      </c>
      <c r="F343" t="s">
        <v>788</v>
      </c>
      <c r="G343" t="s">
        <v>788</v>
      </c>
      <c r="H343" s="3">
        <v>46156</v>
      </c>
      <c r="I343" s="3">
        <v>46171</v>
      </c>
      <c r="J343" t="s">
        <v>97</v>
      </c>
      <c r="K343" s="3">
        <v>46169</v>
      </c>
      <c r="L343" s="3">
        <v>46169</v>
      </c>
      <c r="M343" s="3">
        <v>46171</v>
      </c>
      <c r="N343" s="3">
        <v>46171</v>
      </c>
      <c r="O343" t="s">
        <v>406</v>
      </c>
      <c r="P343" t="s">
        <v>55</v>
      </c>
      <c r="Q343">
        <v>367</v>
      </c>
      <c r="S343" t="s">
        <v>124</v>
      </c>
      <c r="T343" t="s">
        <v>425</v>
      </c>
      <c r="V343" t="s">
        <v>61</v>
      </c>
      <c r="W343">
        <v>13.4</v>
      </c>
      <c r="X343" t="s">
        <v>57</v>
      </c>
      <c r="Z343" t="s">
        <v>124</v>
      </c>
      <c r="AA343" t="s">
        <v>77</v>
      </c>
      <c r="AE343">
        <v>1</v>
      </c>
      <c r="AF343">
        <v>0</v>
      </c>
      <c r="AG343">
        <v>0</v>
      </c>
      <c r="AH343">
        <v>0</v>
      </c>
      <c r="AI343">
        <v>1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0</v>
      </c>
      <c r="AP343">
        <v>0</v>
      </c>
    </row>
    <row r="344" spans="1:42" x14ac:dyDescent="0.25">
      <c r="A344">
        <v>369</v>
      </c>
      <c r="B344" t="s">
        <v>789</v>
      </c>
      <c r="C344" t="s">
        <v>768</v>
      </c>
      <c r="D344" t="s">
        <v>790</v>
      </c>
      <c r="E344" s="4">
        <v>1</v>
      </c>
      <c r="F344" t="s">
        <v>192</v>
      </c>
      <c r="G344" t="s">
        <v>192</v>
      </c>
      <c r="H344" s="3">
        <v>46148</v>
      </c>
      <c r="I344" s="3">
        <v>46171</v>
      </c>
      <c r="J344" t="s">
        <v>90</v>
      </c>
      <c r="K344" s="3">
        <v>46169</v>
      </c>
      <c r="L344" s="3">
        <v>46161</v>
      </c>
      <c r="M344" s="3">
        <v>46171</v>
      </c>
      <c r="N344" s="3">
        <v>46171</v>
      </c>
      <c r="O344" t="s">
        <v>304</v>
      </c>
      <c r="P344" t="s">
        <v>55</v>
      </c>
      <c r="T344" t="s">
        <v>425</v>
      </c>
      <c r="V344" t="s">
        <v>175</v>
      </c>
      <c r="X344" t="s">
        <v>57</v>
      </c>
      <c r="AA344" t="s">
        <v>50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</row>
    <row r="345" spans="1:42" x14ac:dyDescent="0.25">
      <c r="A345">
        <v>370</v>
      </c>
      <c r="B345" t="s">
        <v>791</v>
      </c>
      <c r="C345" t="s">
        <v>792</v>
      </c>
      <c r="D345" t="s">
        <v>117</v>
      </c>
      <c r="E345" s="4">
        <v>1</v>
      </c>
      <c r="F345" t="s">
        <v>122</v>
      </c>
      <c r="G345" t="s">
        <v>122</v>
      </c>
      <c r="H345" s="3">
        <v>46148</v>
      </c>
      <c r="I345" s="3">
        <v>46150</v>
      </c>
      <c r="J345" t="s">
        <v>90</v>
      </c>
      <c r="K345" s="3">
        <v>46162</v>
      </c>
      <c r="L345" s="3">
        <v>46161</v>
      </c>
      <c r="M345" s="3">
        <v>46150</v>
      </c>
      <c r="N345" s="3">
        <v>46150</v>
      </c>
      <c r="O345" t="s">
        <v>304</v>
      </c>
      <c r="P345" t="s">
        <v>55</v>
      </c>
      <c r="Q345" t="s">
        <v>793</v>
      </c>
      <c r="S345" t="s">
        <v>523</v>
      </c>
      <c r="T345" t="s">
        <v>425</v>
      </c>
      <c r="U345">
        <v>371</v>
      </c>
      <c r="V345" t="s">
        <v>127</v>
      </c>
      <c r="W345">
        <v>13.4</v>
      </c>
      <c r="X345" t="s">
        <v>57</v>
      </c>
      <c r="Z345" t="s">
        <v>523</v>
      </c>
      <c r="AA345" t="s">
        <v>198</v>
      </c>
      <c r="AE345">
        <v>1</v>
      </c>
      <c r="AF345">
        <v>1</v>
      </c>
      <c r="AG345">
        <v>1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1</v>
      </c>
    </row>
    <row r="346" spans="1:42" x14ac:dyDescent="0.25">
      <c r="A346">
        <v>371</v>
      </c>
      <c r="B346" t="s">
        <v>794</v>
      </c>
      <c r="C346" t="s">
        <v>792</v>
      </c>
      <c r="D346" t="s">
        <v>121</v>
      </c>
      <c r="E346" s="4">
        <v>1</v>
      </c>
      <c r="F346" t="s">
        <v>127</v>
      </c>
      <c r="G346" t="s">
        <v>127</v>
      </c>
      <c r="H346" s="3">
        <v>46153</v>
      </c>
      <c r="I346" s="3">
        <v>46154</v>
      </c>
      <c r="J346" t="s">
        <v>491</v>
      </c>
      <c r="K346" s="3">
        <v>46167</v>
      </c>
      <c r="L346" s="3">
        <v>46163</v>
      </c>
      <c r="M346" s="3">
        <v>46154</v>
      </c>
      <c r="N346" s="3">
        <v>46154</v>
      </c>
      <c r="O346" t="s">
        <v>418</v>
      </c>
      <c r="P346" t="s">
        <v>55</v>
      </c>
      <c r="Q346">
        <v>370</v>
      </c>
      <c r="S346" t="s">
        <v>124</v>
      </c>
      <c r="T346" t="s">
        <v>425</v>
      </c>
      <c r="U346" t="s">
        <v>795</v>
      </c>
      <c r="V346" t="s">
        <v>122</v>
      </c>
      <c r="W346">
        <v>13.4</v>
      </c>
      <c r="X346" t="s">
        <v>57</v>
      </c>
      <c r="Z346" t="s">
        <v>124</v>
      </c>
      <c r="AA346" t="s">
        <v>198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1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</row>
    <row r="347" spans="1:42" x14ac:dyDescent="0.25">
      <c r="A347">
        <v>372</v>
      </c>
      <c r="B347" t="s">
        <v>796</v>
      </c>
      <c r="C347" t="s">
        <v>792</v>
      </c>
      <c r="D347" t="s">
        <v>126</v>
      </c>
      <c r="E347" s="4">
        <v>1</v>
      </c>
      <c r="F347" t="s">
        <v>697</v>
      </c>
      <c r="G347" t="s">
        <v>697</v>
      </c>
      <c r="H347" s="3">
        <v>46154</v>
      </c>
      <c r="I347" s="3">
        <v>46171</v>
      </c>
      <c r="J347" t="s">
        <v>206</v>
      </c>
      <c r="K347" s="3">
        <v>46168</v>
      </c>
      <c r="L347" s="3">
        <v>46168</v>
      </c>
      <c r="M347" s="3">
        <v>46171</v>
      </c>
      <c r="N347" s="3">
        <v>46171</v>
      </c>
      <c r="O347" t="s">
        <v>741</v>
      </c>
      <c r="P347" t="s">
        <v>55</v>
      </c>
      <c r="Q347" t="s">
        <v>797</v>
      </c>
      <c r="S347" t="s">
        <v>523</v>
      </c>
      <c r="T347" t="s">
        <v>425</v>
      </c>
      <c r="U347" t="s">
        <v>798</v>
      </c>
      <c r="V347" t="s">
        <v>61</v>
      </c>
      <c r="W347">
        <v>13.4</v>
      </c>
      <c r="X347" t="s">
        <v>57</v>
      </c>
      <c r="Z347" t="s">
        <v>523</v>
      </c>
      <c r="AA347" t="s">
        <v>77</v>
      </c>
      <c r="AE347">
        <v>1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1</v>
      </c>
      <c r="AM347">
        <v>0</v>
      </c>
      <c r="AN347">
        <v>0</v>
      </c>
      <c r="AO347">
        <v>0</v>
      </c>
      <c r="AP347">
        <v>0</v>
      </c>
    </row>
    <row r="348" spans="1:42" x14ac:dyDescent="0.25">
      <c r="A348">
        <v>373</v>
      </c>
      <c r="B348" t="s">
        <v>799</v>
      </c>
      <c r="C348" t="s">
        <v>792</v>
      </c>
      <c r="D348" t="s">
        <v>133</v>
      </c>
      <c r="E348" s="4">
        <v>1</v>
      </c>
      <c r="F348" t="s">
        <v>788</v>
      </c>
      <c r="G348" t="s">
        <v>788</v>
      </c>
      <c r="H348" s="3">
        <v>46156</v>
      </c>
      <c r="I348" s="3">
        <v>46171</v>
      </c>
      <c r="J348" t="s">
        <v>97</v>
      </c>
      <c r="K348" s="3">
        <v>46169</v>
      </c>
      <c r="L348" s="3">
        <v>46169</v>
      </c>
      <c r="M348" s="3">
        <v>46171</v>
      </c>
      <c r="N348" s="3">
        <v>46171</v>
      </c>
      <c r="O348" t="s">
        <v>406</v>
      </c>
      <c r="P348" t="s">
        <v>55</v>
      </c>
      <c r="Q348">
        <v>372</v>
      </c>
      <c r="S348" t="s">
        <v>124</v>
      </c>
      <c r="T348" t="s">
        <v>425</v>
      </c>
      <c r="V348" t="s">
        <v>61</v>
      </c>
      <c r="W348">
        <v>13.4</v>
      </c>
      <c r="X348" t="s">
        <v>57</v>
      </c>
      <c r="Z348" t="s">
        <v>124</v>
      </c>
      <c r="AA348" t="s">
        <v>77</v>
      </c>
      <c r="AE348">
        <v>1</v>
      </c>
      <c r="AF348">
        <v>0</v>
      </c>
      <c r="AG348">
        <v>0</v>
      </c>
      <c r="AH348">
        <v>0</v>
      </c>
      <c r="AI348">
        <v>1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0</v>
      </c>
      <c r="AP348">
        <v>0</v>
      </c>
    </row>
    <row r="349" spans="1:42" x14ac:dyDescent="0.25">
      <c r="A349">
        <v>374</v>
      </c>
      <c r="B349" t="s">
        <v>800</v>
      </c>
      <c r="C349" t="s">
        <v>768</v>
      </c>
      <c r="D349" t="s">
        <v>801</v>
      </c>
      <c r="E349" s="4">
        <v>1</v>
      </c>
      <c r="F349" t="s">
        <v>187</v>
      </c>
      <c r="G349" t="s">
        <v>187</v>
      </c>
      <c r="H349" s="3">
        <v>46153</v>
      </c>
      <c r="I349" s="3">
        <v>46181</v>
      </c>
      <c r="J349" t="s">
        <v>418</v>
      </c>
      <c r="K349" s="3">
        <v>46181</v>
      </c>
      <c r="L349" s="3">
        <v>46153</v>
      </c>
      <c r="M349" s="3">
        <v>46181</v>
      </c>
      <c r="N349" s="3">
        <v>46181</v>
      </c>
      <c r="O349" t="s">
        <v>418</v>
      </c>
      <c r="P349" t="s">
        <v>55</v>
      </c>
      <c r="T349" t="s">
        <v>425</v>
      </c>
      <c r="V349" t="s">
        <v>175</v>
      </c>
      <c r="X349" t="s">
        <v>57</v>
      </c>
      <c r="AA349" t="s">
        <v>50</v>
      </c>
      <c r="AB349" t="s">
        <v>94</v>
      </c>
      <c r="AE349">
        <v>1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</row>
    <row r="350" spans="1:42" x14ac:dyDescent="0.25">
      <c r="A350">
        <v>375</v>
      </c>
      <c r="B350" t="s">
        <v>802</v>
      </c>
      <c r="C350" t="s">
        <v>803</v>
      </c>
      <c r="D350" t="s">
        <v>117</v>
      </c>
      <c r="E350" s="4">
        <v>1</v>
      </c>
      <c r="F350" t="s">
        <v>804</v>
      </c>
      <c r="G350" t="s">
        <v>804</v>
      </c>
      <c r="H350" s="3">
        <v>46153</v>
      </c>
      <c r="I350" s="3">
        <v>46156</v>
      </c>
      <c r="J350" t="s">
        <v>418</v>
      </c>
      <c r="K350" s="3">
        <v>46156</v>
      </c>
      <c r="L350" s="3">
        <v>46153</v>
      </c>
      <c r="M350" s="3">
        <v>46156</v>
      </c>
      <c r="N350" s="3">
        <v>46156</v>
      </c>
      <c r="O350" t="s">
        <v>418</v>
      </c>
      <c r="P350" t="s">
        <v>55</v>
      </c>
      <c r="S350" t="s">
        <v>523</v>
      </c>
      <c r="T350" t="s">
        <v>425</v>
      </c>
      <c r="U350" t="s">
        <v>805</v>
      </c>
      <c r="V350" t="s">
        <v>127</v>
      </c>
      <c r="W350">
        <v>13.4</v>
      </c>
      <c r="X350" t="s">
        <v>57</v>
      </c>
      <c r="Z350" t="s">
        <v>523</v>
      </c>
      <c r="AA350" t="s">
        <v>198</v>
      </c>
      <c r="AE350">
        <v>1</v>
      </c>
      <c r="AF350">
        <v>1</v>
      </c>
      <c r="AG350">
        <v>1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1</v>
      </c>
    </row>
    <row r="351" spans="1:42" x14ac:dyDescent="0.25">
      <c r="A351">
        <v>376</v>
      </c>
      <c r="B351" t="s">
        <v>806</v>
      </c>
      <c r="C351" t="s">
        <v>803</v>
      </c>
      <c r="D351" t="s">
        <v>121</v>
      </c>
      <c r="E351" s="4">
        <v>1</v>
      </c>
      <c r="F351" t="s">
        <v>63</v>
      </c>
      <c r="G351" t="s">
        <v>63</v>
      </c>
      <c r="H351" s="3">
        <v>46160</v>
      </c>
      <c r="I351" s="3">
        <v>46162</v>
      </c>
      <c r="J351" t="s">
        <v>185</v>
      </c>
      <c r="K351" s="3">
        <v>46162</v>
      </c>
      <c r="L351" s="3">
        <v>46160</v>
      </c>
      <c r="M351" s="3">
        <v>46162</v>
      </c>
      <c r="N351" s="3">
        <v>46162</v>
      </c>
      <c r="O351" t="s">
        <v>185</v>
      </c>
      <c r="P351" t="s">
        <v>55</v>
      </c>
      <c r="Q351" t="s">
        <v>807</v>
      </c>
      <c r="S351" t="s">
        <v>124</v>
      </c>
      <c r="T351" t="s">
        <v>425</v>
      </c>
      <c r="U351">
        <v>377</v>
      </c>
      <c r="V351" t="s">
        <v>122</v>
      </c>
      <c r="W351">
        <v>13.4</v>
      </c>
      <c r="X351" t="s">
        <v>57</v>
      </c>
      <c r="Z351" t="s">
        <v>124</v>
      </c>
      <c r="AA351" t="s">
        <v>198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1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</row>
    <row r="352" spans="1:42" x14ac:dyDescent="0.25">
      <c r="A352">
        <v>377</v>
      </c>
      <c r="B352" t="s">
        <v>808</v>
      </c>
      <c r="C352" t="s">
        <v>803</v>
      </c>
      <c r="D352" t="s">
        <v>126</v>
      </c>
      <c r="E352" s="4">
        <v>1</v>
      </c>
      <c r="F352" t="s">
        <v>138</v>
      </c>
      <c r="G352" t="s">
        <v>138</v>
      </c>
      <c r="H352" s="3">
        <v>46169</v>
      </c>
      <c r="I352" s="3">
        <v>46175</v>
      </c>
      <c r="J352" t="s">
        <v>97</v>
      </c>
      <c r="K352" s="3">
        <v>46175</v>
      </c>
      <c r="L352" s="3">
        <v>46169</v>
      </c>
      <c r="M352" s="3">
        <v>46175</v>
      </c>
      <c r="N352" s="3">
        <v>46175</v>
      </c>
      <c r="O352" t="s">
        <v>97</v>
      </c>
      <c r="P352" t="s">
        <v>55</v>
      </c>
      <c r="Q352">
        <v>376</v>
      </c>
      <c r="S352" t="s">
        <v>523</v>
      </c>
      <c r="T352" t="s">
        <v>425</v>
      </c>
      <c r="U352">
        <v>378</v>
      </c>
      <c r="V352" t="s">
        <v>61</v>
      </c>
      <c r="W352">
        <v>13.4</v>
      </c>
      <c r="X352" t="s">
        <v>57</v>
      </c>
      <c r="Z352" t="s">
        <v>523</v>
      </c>
      <c r="AA352" t="s">
        <v>77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1</v>
      </c>
      <c r="AM352">
        <v>0</v>
      </c>
      <c r="AN352">
        <v>0</v>
      </c>
      <c r="AO352">
        <v>0</v>
      </c>
      <c r="AP352">
        <v>0</v>
      </c>
    </row>
    <row r="353" spans="1:42" x14ac:dyDescent="0.25">
      <c r="A353">
        <v>378</v>
      </c>
      <c r="B353" t="s">
        <v>809</v>
      </c>
      <c r="C353" t="s">
        <v>803</v>
      </c>
      <c r="D353" t="s">
        <v>133</v>
      </c>
      <c r="E353" s="4">
        <v>1</v>
      </c>
      <c r="F353" t="s">
        <v>127</v>
      </c>
      <c r="G353" t="s">
        <v>127</v>
      </c>
      <c r="H353" s="3">
        <v>46176</v>
      </c>
      <c r="I353" s="3">
        <v>46181</v>
      </c>
      <c r="J353" t="s">
        <v>459</v>
      </c>
      <c r="K353" s="3">
        <v>46181</v>
      </c>
      <c r="L353" s="3">
        <v>46176</v>
      </c>
      <c r="M353" s="3">
        <v>46181</v>
      </c>
      <c r="N353" s="3">
        <v>46181</v>
      </c>
      <c r="O353" t="s">
        <v>459</v>
      </c>
      <c r="P353" t="s">
        <v>55</v>
      </c>
      <c r="Q353">
        <v>377</v>
      </c>
      <c r="S353" t="s">
        <v>124</v>
      </c>
      <c r="T353" t="s">
        <v>425</v>
      </c>
      <c r="V353" t="s">
        <v>61</v>
      </c>
      <c r="W353">
        <v>13.4</v>
      </c>
      <c r="X353" t="s">
        <v>57</v>
      </c>
      <c r="Z353" t="s">
        <v>124</v>
      </c>
      <c r="AA353" t="s">
        <v>77</v>
      </c>
      <c r="AE353">
        <v>1</v>
      </c>
      <c r="AF353">
        <v>0</v>
      </c>
      <c r="AG353">
        <v>0</v>
      </c>
      <c r="AH353">
        <v>0</v>
      </c>
      <c r="AI353">
        <v>1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0</v>
      </c>
      <c r="AP353">
        <v>0</v>
      </c>
    </row>
    <row r="354" spans="1:42" x14ac:dyDescent="0.25">
      <c r="A354">
        <v>379</v>
      </c>
      <c r="B354" t="s">
        <v>810</v>
      </c>
      <c r="C354" t="s">
        <v>768</v>
      </c>
      <c r="D354" t="s">
        <v>811</v>
      </c>
      <c r="E354" s="4">
        <v>1</v>
      </c>
      <c r="F354" t="s">
        <v>187</v>
      </c>
      <c r="G354" t="s">
        <v>187</v>
      </c>
      <c r="H354" s="3">
        <v>46153</v>
      </c>
      <c r="I354" s="3">
        <v>46181</v>
      </c>
      <c r="J354" t="s">
        <v>418</v>
      </c>
      <c r="K354" s="3">
        <v>46181</v>
      </c>
      <c r="L354" s="3">
        <v>46153</v>
      </c>
      <c r="M354" s="3">
        <v>46181</v>
      </c>
      <c r="N354" s="3">
        <v>46181</v>
      </c>
      <c r="O354" t="s">
        <v>418</v>
      </c>
      <c r="P354" t="s">
        <v>55</v>
      </c>
      <c r="T354" t="s">
        <v>425</v>
      </c>
      <c r="V354" t="s">
        <v>175</v>
      </c>
      <c r="X354" t="s">
        <v>57</v>
      </c>
      <c r="AA354" t="s">
        <v>50</v>
      </c>
      <c r="AB354" t="s">
        <v>94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</row>
    <row r="355" spans="1:42" x14ac:dyDescent="0.25">
      <c r="A355">
        <v>380</v>
      </c>
      <c r="B355" t="s">
        <v>812</v>
      </c>
      <c r="C355" t="s">
        <v>813</v>
      </c>
      <c r="D355" t="s">
        <v>117</v>
      </c>
      <c r="E355" s="4">
        <v>1</v>
      </c>
      <c r="F355" t="s">
        <v>127</v>
      </c>
      <c r="G355" t="s">
        <v>127</v>
      </c>
      <c r="H355" s="3">
        <v>46153</v>
      </c>
      <c r="I355" s="3">
        <v>46154</v>
      </c>
      <c r="J355" t="s">
        <v>418</v>
      </c>
      <c r="K355" s="3">
        <v>46154</v>
      </c>
      <c r="L355" s="3">
        <v>46153</v>
      </c>
      <c r="M355" s="3">
        <v>46154</v>
      </c>
      <c r="N355" s="3">
        <v>46154</v>
      </c>
      <c r="O355" t="s">
        <v>418</v>
      </c>
      <c r="P355" t="s">
        <v>55</v>
      </c>
      <c r="S355" t="s">
        <v>523</v>
      </c>
      <c r="T355" t="s">
        <v>425</v>
      </c>
      <c r="V355" t="s">
        <v>127</v>
      </c>
      <c r="W355">
        <v>13.4</v>
      </c>
      <c r="X355" t="s">
        <v>57</v>
      </c>
      <c r="Z355" t="s">
        <v>523</v>
      </c>
      <c r="AA355" t="s">
        <v>198</v>
      </c>
      <c r="AE355">
        <v>1</v>
      </c>
      <c r="AF355">
        <v>1</v>
      </c>
      <c r="AG355">
        <v>1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1</v>
      </c>
    </row>
    <row r="356" spans="1:42" x14ac:dyDescent="0.25">
      <c r="A356">
        <v>381</v>
      </c>
      <c r="B356" t="s">
        <v>814</v>
      </c>
      <c r="C356" t="s">
        <v>813</v>
      </c>
      <c r="D356" t="s">
        <v>121</v>
      </c>
      <c r="E356" s="4">
        <v>1</v>
      </c>
      <c r="F356" t="s">
        <v>122</v>
      </c>
      <c r="G356" t="s">
        <v>122</v>
      </c>
      <c r="H356" s="3">
        <v>46160</v>
      </c>
      <c r="I356" s="3">
        <v>46162</v>
      </c>
      <c r="J356" t="s">
        <v>185</v>
      </c>
      <c r="K356" s="3">
        <v>46162</v>
      </c>
      <c r="L356" s="3">
        <v>46160</v>
      </c>
      <c r="M356" s="3">
        <v>46162</v>
      </c>
      <c r="N356" s="3">
        <v>46162</v>
      </c>
      <c r="O356" t="s">
        <v>185</v>
      </c>
      <c r="P356" t="s">
        <v>55</v>
      </c>
      <c r="Q356" t="s">
        <v>807</v>
      </c>
      <c r="S356" t="s">
        <v>124</v>
      </c>
      <c r="T356" t="s">
        <v>425</v>
      </c>
      <c r="U356">
        <v>382</v>
      </c>
      <c r="V356" t="s">
        <v>122</v>
      </c>
      <c r="W356">
        <v>13.4</v>
      </c>
      <c r="X356" t="s">
        <v>57</v>
      </c>
      <c r="Z356" t="s">
        <v>124</v>
      </c>
      <c r="AA356" t="s">
        <v>198</v>
      </c>
      <c r="AE356">
        <v>1</v>
      </c>
      <c r="AF356">
        <v>0</v>
      </c>
      <c r="AG356">
        <v>0</v>
      </c>
      <c r="AH356">
        <v>0</v>
      </c>
      <c r="AI356">
        <v>0</v>
      </c>
      <c r="AJ356">
        <v>1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</row>
    <row r="357" spans="1:42" x14ac:dyDescent="0.25">
      <c r="A357">
        <v>382</v>
      </c>
      <c r="B357" t="s">
        <v>815</v>
      </c>
      <c r="C357" t="s">
        <v>813</v>
      </c>
      <c r="D357" t="s">
        <v>126</v>
      </c>
      <c r="E357" s="4">
        <v>1</v>
      </c>
      <c r="F357" t="s">
        <v>138</v>
      </c>
      <c r="G357" t="s">
        <v>138</v>
      </c>
      <c r="H357" s="3">
        <v>46169</v>
      </c>
      <c r="I357" s="3">
        <v>46175</v>
      </c>
      <c r="J357" t="s">
        <v>97</v>
      </c>
      <c r="K357" s="3">
        <v>46175</v>
      </c>
      <c r="L357" s="3">
        <v>46169</v>
      </c>
      <c r="M357" s="3">
        <v>46175</v>
      </c>
      <c r="N357" s="3">
        <v>46175</v>
      </c>
      <c r="O357" t="s">
        <v>97</v>
      </c>
      <c r="P357" t="s">
        <v>55</v>
      </c>
      <c r="Q357">
        <v>381</v>
      </c>
      <c r="S357" t="s">
        <v>523</v>
      </c>
      <c r="T357" t="s">
        <v>425</v>
      </c>
      <c r="U357">
        <v>383</v>
      </c>
      <c r="V357" t="s">
        <v>61</v>
      </c>
      <c r="W357">
        <v>13.4</v>
      </c>
      <c r="X357" t="s">
        <v>57</v>
      </c>
      <c r="Z357" t="s">
        <v>523</v>
      </c>
      <c r="AA357" t="s">
        <v>77</v>
      </c>
      <c r="AE357">
        <v>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1</v>
      </c>
      <c r="AM357">
        <v>0</v>
      </c>
      <c r="AN357">
        <v>0</v>
      </c>
      <c r="AO357">
        <v>0</v>
      </c>
      <c r="AP357">
        <v>0</v>
      </c>
    </row>
    <row r="358" spans="1:42" x14ac:dyDescent="0.25">
      <c r="A358">
        <v>383</v>
      </c>
      <c r="B358" t="s">
        <v>816</v>
      </c>
      <c r="C358" t="s">
        <v>813</v>
      </c>
      <c r="D358" t="s">
        <v>133</v>
      </c>
      <c r="E358" s="4">
        <v>1</v>
      </c>
      <c r="F358" t="s">
        <v>127</v>
      </c>
      <c r="G358" t="s">
        <v>127</v>
      </c>
      <c r="H358" s="3">
        <v>46176</v>
      </c>
      <c r="I358" s="3">
        <v>46181</v>
      </c>
      <c r="J358" t="s">
        <v>459</v>
      </c>
      <c r="K358" s="3">
        <v>46181</v>
      </c>
      <c r="L358" s="3">
        <v>46176</v>
      </c>
      <c r="M358" s="3">
        <v>46181</v>
      </c>
      <c r="N358" s="3">
        <v>46181</v>
      </c>
      <c r="O358" t="s">
        <v>459</v>
      </c>
      <c r="P358" t="s">
        <v>55</v>
      </c>
      <c r="Q358">
        <v>382</v>
      </c>
      <c r="S358" t="s">
        <v>124</v>
      </c>
      <c r="T358" t="s">
        <v>425</v>
      </c>
      <c r="V358" t="s">
        <v>61</v>
      </c>
      <c r="W358">
        <v>13.4</v>
      </c>
      <c r="X358" t="s">
        <v>57</v>
      </c>
      <c r="Z358" t="s">
        <v>124</v>
      </c>
      <c r="AA358" t="s">
        <v>77</v>
      </c>
      <c r="AE358">
        <v>1</v>
      </c>
      <c r="AF358">
        <v>0</v>
      </c>
      <c r="AG358">
        <v>0</v>
      </c>
      <c r="AH358">
        <v>0</v>
      </c>
      <c r="AI358">
        <v>1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0</v>
      </c>
      <c r="AP358">
        <v>0</v>
      </c>
    </row>
    <row r="359" spans="1:42" x14ac:dyDescent="0.25">
      <c r="A359">
        <v>384</v>
      </c>
      <c r="B359" t="s">
        <v>817</v>
      </c>
      <c r="C359" t="s">
        <v>425</v>
      </c>
      <c r="D359" t="s">
        <v>818</v>
      </c>
      <c r="E359" s="4">
        <v>1</v>
      </c>
      <c r="F359" t="s">
        <v>613</v>
      </c>
      <c r="G359" t="s">
        <v>613</v>
      </c>
      <c r="H359" s="3">
        <v>46146</v>
      </c>
      <c r="I359" s="3">
        <v>46176</v>
      </c>
      <c r="J359" t="s">
        <v>409</v>
      </c>
      <c r="K359" s="3">
        <v>46185</v>
      </c>
      <c r="L359" s="3">
        <v>46146</v>
      </c>
      <c r="M359" s="3">
        <v>46176</v>
      </c>
      <c r="N359" s="3">
        <v>46176</v>
      </c>
      <c r="O359" t="s">
        <v>409</v>
      </c>
      <c r="P359" t="s">
        <v>55</v>
      </c>
      <c r="T359" t="s">
        <v>425</v>
      </c>
      <c r="V359" t="s">
        <v>819</v>
      </c>
      <c r="X359" t="s">
        <v>57</v>
      </c>
      <c r="AA359" t="s">
        <v>50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</row>
    <row r="360" spans="1:42" x14ac:dyDescent="0.25">
      <c r="A360">
        <v>385</v>
      </c>
      <c r="B360" t="s">
        <v>820</v>
      </c>
      <c r="C360" t="s">
        <v>821</v>
      </c>
      <c r="D360" t="s">
        <v>822</v>
      </c>
      <c r="E360" s="4">
        <v>1</v>
      </c>
      <c r="F360" t="s">
        <v>138</v>
      </c>
      <c r="G360" t="s">
        <v>138</v>
      </c>
      <c r="H360" s="3">
        <v>46146</v>
      </c>
      <c r="I360" s="3">
        <v>46150</v>
      </c>
      <c r="J360" t="s">
        <v>409</v>
      </c>
      <c r="K360" s="3">
        <v>46157</v>
      </c>
      <c r="L360" s="3">
        <v>46146</v>
      </c>
      <c r="M360" s="3">
        <v>46150</v>
      </c>
      <c r="N360" s="3">
        <v>46150</v>
      </c>
      <c r="O360" t="s">
        <v>409</v>
      </c>
      <c r="P360" t="s">
        <v>55</v>
      </c>
      <c r="T360" t="s">
        <v>425</v>
      </c>
      <c r="U360" t="s">
        <v>823</v>
      </c>
      <c r="V360" t="s">
        <v>151</v>
      </c>
      <c r="X360" t="s">
        <v>57</v>
      </c>
      <c r="AA360" t="s">
        <v>50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</row>
    <row r="361" spans="1:42" x14ac:dyDescent="0.25">
      <c r="A361">
        <v>386</v>
      </c>
      <c r="B361" t="s">
        <v>824</v>
      </c>
      <c r="C361" t="s">
        <v>825</v>
      </c>
      <c r="D361" t="s">
        <v>117</v>
      </c>
      <c r="E361" s="4">
        <v>1</v>
      </c>
      <c r="F361" t="s">
        <v>101</v>
      </c>
      <c r="G361" t="s">
        <v>101</v>
      </c>
      <c r="H361" s="3">
        <v>46146</v>
      </c>
      <c r="I361" s="3">
        <v>46149</v>
      </c>
      <c r="J361" t="s">
        <v>409</v>
      </c>
      <c r="K361" s="3">
        <v>46150</v>
      </c>
      <c r="L361" s="3">
        <v>46146</v>
      </c>
      <c r="M361" s="3">
        <v>46149</v>
      </c>
      <c r="N361" s="3">
        <v>46149</v>
      </c>
      <c r="O361" t="s">
        <v>409</v>
      </c>
      <c r="P361" t="s">
        <v>55</v>
      </c>
      <c r="Q361">
        <v>303</v>
      </c>
      <c r="S361" t="s">
        <v>302</v>
      </c>
      <c r="T361" t="s">
        <v>425</v>
      </c>
      <c r="U361" t="s">
        <v>826</v>
      </c>
      <c r="V361" t="s">
        <v>138</v>
      </c>
      <c r="W361">
        <v>13.4</v>
      </c>
      <c r="X361" t="s">
        <v>57</v>
      </c>
      <c r="Z361" t="s">
        <v>302</v>
      </c>
      <c r="AA361" t="s">
        <v>401</v>
      </c>
      <c r="AE361">
        <v>1</v>
      </c>
      <c r="AF361">
        <v>1</v>
      </c>
      <c r="AG361">
        <v>1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1</v>
      </c>
    </row>
    <row r="362" spans="1:42" x14ac:dyDescent="0.25">
      <c r="A362">
        <v>387</v>
      </c>
      <c r="B362" t="s">
        <v>827</v>
      </c>
      <c r="C362" t="s">
        <v>825</v>
      </c>
      <c r="D362" t="s">
        <v>121</v>
      </c>
      <c r="E362" s="4">
        <v>1</v>
      </c>
      <c r="F362" t="s">
        <v>61</v>
      </c>
      <c r="G362" t="s">
        <v>61</v>
      </c>
      <c r="H362" s="3">
        <v>46150</v>
      </c>
      <c r="I362" s="3">
        <v>46150</v>
      </c>
      <c r="J362" t="s">
        <v>418</v>
      </c>
      <c r="K362" s="3">
        <v>46155</v>
      </c>
      <c r="L362" s="3">
        <v>46153</v>
      </c>
      <c r="M362" s="3">
        <v>46150</v>
      </c>
      <c r="N362" s="3">
        <v>46150</v>
      </c>
      <c r="O362" t="s">
        <v>403</v>
      </c>
      <c r="P362" t="s">
        <v>55</v>
      </c>
      <c r="Q362">
        <v>386</v>
      </c>
      <c r="S362" t="s">
        <v>124</v>
      </c>
      <c r="T362" t="s">
        <v>425</v>
      </c>
      <c r="U362">
        <v>388</v>
      </c>
      <c r="V362" t="s">
        <v>122</v>
      </c>
      <c r="W362">
        <v>13.4</v>
      </c>
      <c r="X362" t="s">
        <v>57</v>
      </c>
      <c r="Z362" t="s">
        <v>124</v>
      </c>
      <c r="AA362" t="s">
        <v>93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1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</row>
    <row r="363" spans="1:42" x14ac:dyDescent="0.25">
      <c r="A363">
        <v>388</v>
      </c>
      <c r="B363" t="s">
        <v>828</v>
      </c>
      <c r="C363" t="s">
        <v>825</v>
      </c>
      <c r="D363" t="s">
        <v>126</v>
      </c>
      <c r="E363" s="4">
        <v>1</v>
      </c>
      <c r="F363" t="s">
        <v>61</v>
      </c>
      <c r="G363" t="s">
        <v>61</v>
      </c>
      <c r="H363" s="3">
        <v>46150</v>
      </c>
      <c r="I363" s="3">
        <v>46150</v>
      </c>
      <c r="J363" t="s">
        <v>406</v>
      </c>
      <c r="K363" s="3">
        <v>46156</v>
      </c>
      <c r="L363" s="3">
        <v>46156</v>
      </c>
      <c r="M363" s="3">
        <v>46150</v>
      </c>
      <c r="N363" s="3">
        <v>46150</v>
      </c>
      <c r="O363" t="s">
        <v>403</v>
      </c>
      <c r="P363" t="s">
        <v>55</v>
      </c>
      <c r="Q363">
        <v>387</v>
      </c>
      <c r="S363" t="s">
        <v>302</v>
      </c>
      <c r="T363" t="s">
        <v>425</v>
      </c>
      <c r="U363">
        <v>389</v>
      </c>
      <c r="V363" t="s">
        <v>61</v>
      </c>
      <c r="W363">
        <v>13.4</v>
      </c>
      <c r="X363" t="s">
        <v>57</v>
      </c>
      <c r="Z363" t="s">
        <v>302</v>
      </c>
      <c r="AA363" t="s">
        <v>93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1</v>
      </c>
      <c r="AM363">
        <v>0</v>
      </c>
      <c r="AN363">
        <v>0</v>
      </c>
      <c r="AO363">
        <v>0</v>
      </c>
      <c r="AP363">
        <v>0</v>
      </c>
    </row>
    <row r="364" spans="1:42" x14ac:dyDescent="0.25">
      <c r="A364">
        <v>389</v>
      </c>
      <c r="B364" t="s">
        <v>829</v>
      </c>
      <c r="C364" t="s">
        <v>825</v>
      </c>
      <c r="D364" t="s">
        <v>133</v>
      </c>
      <c r="E364" s="4">
        <v>1</v>
      </c>
      <c r="F364" t="s">
        <v>61</v>
      </c>
      <c r="G364" t="s">
        <v>61</v>
      </c>
      <c r="H364" s="3">
        <v>46150</v>
      </c>
      <c r="I364" s="3">
        <v>46150</v>
      </c>
      <c r="J364" t="s">
        <v>444</v>
      </c>
      <c r="K364" s="3">
        <v>46157</v>
      </c>
      <c r="L364" s="3">
        <v>46157</v>
      </c>
      <c r="M364" s="3">
        <v>46150</v>
      </c>
      <c r="N364" s="3">
        <v>46150</v>
      </c>
      <c r="O364" t="s">
        <v>403</v>
      </c>
      <c r="P364" t="s">
        <v>55</v>
      </c>
      <c r="Q364">
        <v>388</v>
      </c>
      <c r="S364" t="s">
        <v>124</v>
      </c>
      <c r="T364" t="s">
        <v>425</v>
      </c>
      <c r="V364" t="s">
        <v>61</v>
      </c>
      <c r="W364">
        <v>13.4</v>
      </c>
      <c r="X364" t="s">
        <v>57</v>
      </c>
      <c r="Z364" t="s">
        <v>124</v>
      </c>
      <c r="AA364" t="s">
        <v>93</v>
      </c>
      <c r="AE364">
        <v>1</v>
      </c>
      <c r="AF364">
        <v>0</v>
      </c>
      <c r="AG364">
        <v>0</v>
      </c>
      <c r="AH364">
        <v>0</v>
      </c>
      <c r="AI364">
        <v>1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0</v>
      </c>
      <c r="AP364">
        <v>0</v>
      </c>
    </row>
    <row r="365" spans="1:42" x14ac:dyDescent="0.25">
      <c r="A365">
        <v>390</v>
      </c>
      <c r="B365" t="s">
        <v>830</v>
      </c>
      <c r="C365" t="s">
        <v>821</v>
      </c>
      <c r="D365" t="s">
        <v>831</v>
      </c>
      <c r="E365" s="4">
        <v>1</v>
      </c>
      <c r="F365" t="s">
        <v>110</v>
      </c>
      <c r="G365" t="s">
        <v>110</v>
      </c>
      <c r="H365" s="3">
        <v>46148</v>
      </c>
      <c r="I365" s="3">
        <v>46176</v>
      </c>
      <c r="J365" t="s">
        <v>472</v>
      </c>
      <c r="K365" s="3">
        <v>46185</v>
      </c>
      <c r="L365" s="3">
        <v>46175</v>
      </c>
      <c r="M365" s="3">
        <v>46176</v>
      </c>
      <c r="N365" s="3">
        <v>46176</v>
      </c>
      <c r="O365" t="s">
        <v>304</v>
      </c>
      <c r="P365" t="s">
        <v>55</v>
      </c>
      <c r="T365" t="s">
        <v>425</v>
      </c>
      <c r="V365" t="s">
        <v>175</v>
      </c>
      <c r="X365" t="s">
        <v>57</v>
      </c>
      <c r="AA365" t="s">
        <v>50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</row>
    <row r="366" spans="1:42" x14ac:dyDescent="0.25">
      <c r="A366">
        <v>391</v>
      </c>
      <c r="B366" t="s">
        <v>832</v>
      </c>
      <c r="C366" t="s">
        <v>833</v>
      </c>
      <c r="D366" t="s">
        <v>117</v>
      </c>
      <c r="E366" s="4">
        <v>1</v>
      </c>
      <c r="F366" t="s">
        <v>63</v>
      </c>
      <c r="G366" t="s">
        <v>63</v>
      </c>
      <c r="H366" s="3">
        <v>46148</v>
      </c>
      <c r="I366" s="3">
        <v>46150</v>
      </c>
      <c r="J366" t="s">
        <v>472</v>
      </c>
      <c r="K366" s="3">
        <v>46176</v>
      </c>
      <c r="L366" s="3">
        <v>46175</v>
      </c>
      <c r="M366" s="3">
        <v>46150</v>
      </c>
      <c r="N366" s="3">
        <v>46150</v>
      </c>
      <c r="O366" t="s">
        <v>304</v>
      </c>
      <c r="P366" t="s">
        <v>55</v>
      </c>
      <c r="Q366" t="s">
        <v>834</v>
      </c>
      <c r="S366" t="s">
        <v>302</v>
      </c>
      <c r="T366" t="s">
        <v>425</v>
      </c>
      <c r="U366" t="s">
        <v>835</v>
      </c>
      <c r="V366" t="s">
        <v>127</v>
      </c>
      <c r="W366">
        <v>13.4</v>
      </c>
      <c r="X366" t="s">
        <v>57</v>
      </c>
      <c r="Z366" t="s">
        <v>302</v>
      </c>
      <c r="AA366" t="s">
        <v>460</v>
      </c>
      <c r="AE366">
        <v>1</v>
      </c>
      <c r="AF366">
        <v>1</v>
      </c>
      <c r="AG366">
        <v>1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1</v>
      </c>
    </row>
    <row r="367" spans="1:42" x14ac:dyDescent="0.25">
      <c r="A367">
        <v>392</v>
      </c>
      <c r="B367" t="s">
        <v>836</v>
      </c>
      <c r="C367" t="s">
        <v>833</v>
      </c>
      <c r="D367" t="s">
        <v>121</v>
      </c>
      <c r="E367" s="4">
        <v>1</v>
      </c>
      <c r="F367" t="s">
        <v>127</v>
      </c>
      <c r="G367" t="s">
        <v>127</v>
      </c>
      <c r="H367" s="3">
        <v>46153</v>
      </c>
      <c r="I367" s="3">
        <v>46154</v>
      </c>
      <c r="J367" t="s">
        <v>201</v>
      </c>
      <c r="K367" s="3">
        <v>46183</v>
      </c>
      <c r="L367" s="3">
        <v>46181</v>
      </c>
      <c r="M367" s="3">
        <v>46154</v>
      </c>
      <c r="N367" s="3">
        <v>46154</v>
      </c>
      <c r="O367" t="s">
        <v>418</v>
      </c>
      <c r="P367" t="s">
        <v>55</v>
      </c>
      <c r="Q367">
        <v>391</v>
      </c>
      <c r="S367" t="s">
        <v>124</v>
      </c>
      <c r="T367" t="s">
        <v>425</v>
      </c>
      <c r="U367">
        <v>393</v>
      </c>
      <c r="V367" t="s">
        <v>122</v>
      </c>
      <c r="W367">
        <v>13.4</v>
      </c>
      <c r="X367" t="s">
        <v>57</v>
      </c>
      <c r="Z367" t="s">
        <v>124</v>
      </c>
      <c r="AA367" t="s">
        <v>462</v>
      </c>
      <c r="AE367">
        <v>1</v>
      </c>
      <c r="AF367">
        <v>0</v>
      </c>
      <c r="AG367">
        <v>0</v>
      </c>
      <c r="AH367">
        <v>0</v>
      </c>
      <c r="AI367">
        <v>0</v>
      </c>
      <c r="AJ367">
        <v>1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</row>
    <row r="368" spans="1:42" x14ac:dyDescent="0.25">
      <c r="A368">
        <v>393</v>
      </c>
      <c r="B368" t="s">
        <v>837</v>
      </c>
      <c r="C368" t="s">
        <v>833</v>
      </c>
      <c r="D368" t="s">
        <v>126</v>
      </c>
      <c r="E368" s="4">
        <v>1</v>
      </c>
      <c r="F368" t="s">
        <v>101</v>
      </c>
      <c r="G368" t="s">
        <v>101</v>
      </c>
      <c r="H368" s="3">
        <v>46154</v>
      </c>
      <c r="I368" s="3">
        <v>46160</v>
      </c>
      <c r="J368" t="s">
        <v>476</v>
      </c>
      <c r="K368" s="3">
        <v>46184</v>
      </c>
      <c r="L368" s="3">
        <v>46184</v>
      </c>
      <c r="M368" s="3">
        <v>46160</v>
      </c>
      <c r="N368" s="3">
        <v>46160</v>
      </c>
      <c r="O368" t="s">
        <v>741</v>
      </c>
      <c r="P368" t="s">
        <v>55</v>
      </c>
      <c r="Q368">
        <v>392</v>
      </c>
      <c r="S368" t="s">
        <v>302</v>
      </c>
      <c r="T368" t="s">
        <v>425</v>
      </c>
      <c r="U368" t="s">
        <v>838</v>
      </c>
      <c r="V368" t="s">
        <v>61</v>
      </c>
      <c r="W368">
        <v>13.4</v>
      </c>
      <c r="X368" t="s">
        <v>57</v>
      </c>
      <c r="Z368" t="s">
        <v>302</v>
      </c>
      <c r="AA368" t="s">
        <v>462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1</v>
      </c>
      <c r="AM368">
        <v>0</v>
      </c>
      <c r="AN368">
        <v>0</v>
      </c>
      <c r="AO368">
        <v>0</v>
      </c>
      <c r="AP368">
        <v>0</v>
      </c>
    </row>
    <row r="369" spans="1:42" x14ac:dyDescent="0.25">
      <c r="A369">
        <v>394</v>
      </c>
      <c r="B369" t="s">
        <v>839</v>
      </c>
      <c r="C369" t="s">
        <v>833</v>
      </c>
      <c r="D369" t="s">
        <v>133</v>
      </c>
      <c r="E369" s="4">
        <v>1</v>
      </c>
      <c r="F369" t="s">
        <v>840</v>
      </c>
      <c r="G369" t="s">
        <v>840</v>
      </c>
      <c r="H369" s="3">
        <v>46160</v>
      </c>
      <c r="I369" s="3">
        <v>46176</v>
      </c>
      <c r="J369" t="s">
        <v>571</v>
      </c>
      <c r="K369" s="3">
        <v>46185</v>
      </c>
      <c r="L369" s="3">
        <v>46185</v>
      </c>
      <c r="M369" s="3">
        <v>46176</v>
      </c>
      <c r="N369" s="3">
        <v>46176</v>
      </c>
      <c r="O369" t="s">
        <v>185</v>
      </c>
      <c r="P369" t="s">
        <v>55</v>
      </c>
      <c r="Q369" t="s">
        <v>841</v>
      </c>
      <c r="S369" t="s">
        <v>124</v>
      </c>
      <c r="T369" t="s">
        <v>425</v>
      </c>
      <c r="V369" t="s">
        <v>61</v>
      </c>
      <c r="W369">
        <v>13.4</v>
      </c>
      <c r="X369" t="s">
        <v>57</v>
      </c>
      <c r="Z369" t="s">
        <v>124</v>
      </c>
      <c r="AA369" t="s">
        <v>462</v>
      </c>
      <c r="AE369">
        <v>1</v>
      </c>
      <c r="AF369">
        <v>0</v>
      </c>
      <c r="AG369">
        <v>0</v>
      </c>
      <c r="AH369">
        <v>0</v>
      </c>
      <c r="AI369">
        <v>1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0</v>
      </c>
      <c r="AP369">
        <v>0</v>
      </c>
    </row>
    <row r="370" spans="1:42" x14ac:dyDescent="0.25">
      <c r="A370">
        <v>395</v>
      </c>
      <c r="B370" t="s">
        <v>842</v>
      </c>
      <c r="C370" t="s">
        <v>821</v>
      </c>
      <c r="D370" t="s">
        <v>843</v>
      </c>
      <c r="E370" s="4">
        <v>1</v>
      </c>
      <c r="F370" t="s">
        <v>110</v>
      </c>
      <c r="G370" t="s">
        <v>110</v>
      </c>
      <c r="H370" s="3">
        <v>46148</v>
      </c>
      <c r="I370" s="3">
        <v>46176</v>
      </c>
      <c r="J370" t="s">
        <v>472</v>
      </c>
      <c r="K370" s="3">
        <v>46185</v>
      </c>
      <c r="L370" s="3">
        <v>46175</v>
      </c>
      <c r="M370" s="3">
        <v>46176</v>
      </c>
      <c r="N370" s="3">
        <v>46176</v>
      </c>
      <c r="O370" t="s">
        <v>304</v>
      </c>
      <c r="P370" t="s">
        <v>55</v>
      </c>
      <c r="T370" t="s">
        <v>425</v>
      </c>
      <c r="V370" t="s">
        <v>175</v>
      </c>
      <c r="X370" t="s">
        <v>57</v>
      </c>
      <c r="AA370" t="s">
        <v>50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</row>
    <row r="371" spans="1:42" x14ac:dyDescent="0.25">
      <c r="A371">
        <v>396</v>
      </c>
      <c r="B371" t="s">
        <v>844</v>
      </c>
      <c r="C371" t="s">
        <v>845</v>
      </c>
      <c r="D371" t="s">
        <v>117</v>
      </c>
      <c r="E371" s="4">
        <v>1</v>
      </c>
      <c r="F371" t="s">
        <v>122</v>
      </c>
      <c r="G371" t="s">
        <v>122</v>
      </c>
      <c r="H371" s="3">
        <v>46148</v>
      </c>
      <c r="I371" s="3">
        <v>46150</v>
      </c>
      <c r="J371" t="s">
        <v>472</v>
      </c>
      <c r="K371" s="3">
        <v>46176</v>
      </c>
      <c r="L371" s="3">
        <v>46175</v>
      </c>
      <c r="M371" s="3">
        <v>46150</v>
      </c>
      <c r="N371" s="3">
        <v>46150</v>
      </c>
      <c r="O371" t="s">
        <v>304</v>
      </c>
      <c r="P371" t="s">
        <v>55</v>
      </c>
      <c r="Q371" t="s">
        <v>846</v>
      </c>
      <c r="S371" t="s">
        <v>302</v>
      </c>
      <c r="T371" t="s">
        <v>425</v>
      </c>
      <c r="U371">
        <v>397</v>
      </c>
      <c r="V371" t="s">
        <v>127</v>
      </c>
      <c r="W371">
        <v>13.4</v>
      </c>
      <c r="X371" t="s">
        <v>57</v>
      </c>
      <c r="Z371" t="s">
        <v>302</v>
      </c>
      <c r="AA371" t="s">
        <v>460</v>
      </c>
      <c r="AE371">
        <v>1</v>
      </c>
      <c r="AF371">
        <v>1</v>
      </c>
      <c r="AG371">
        <v>1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1</v>
      </c>
    </row>
    <row r="372" spans="1:42" x14ac:dyDescent="0.25">
      <c r="A372">
        <v>397</v>
      </c>
      <c r="B372" t="s">
        <v>847</v>
      </c>
      <c r="C372" t="s">
        <v>845</v>
      </c>
      <c r="D372" t="s">
        <v>121</v>
      </c>
      <c r="E372" s="4">
        <v>1</v>
      </c>
      <c r="F372" t="s">
        <v>127</v>
      </c>
      <c r="G372" t="s">
        <v>127</v>
      </c>
      <c r="H372" s="3">
        <v>46153</v>
      </c>
      <c r="I372" s="3">
        <v>46154</v>
      </c>
      <c r="J372" t="s">
        <v>201</v>
      </c>
      <c r="K372" s="3">
        <v>46183</v>
      </c>
      <c r="L372" s="3">
        <v>46181</v>
      </c>
      <c r="M372" s="3">
        <v>46154</v>
      </c>
      <c r="N372" s="3">
        <v>46154</v>
      </c>
      <c r="O372" t="s">
        <v>418</v>
      </c>
      <c r="P372" t="s">
        <v>55</v>
      </c>
      <c r="Q372">
        <v>396</v>
      </c>
      <c r="S372" t="s">
        <v>124</v>
      </c>
      <c r="T372" t="s">
        <v>425</v>
      </c>
      <c r="U372">
        <v>398</v>
      </c>
      <c r="V372" t="s">
        <v>122</v>
      </c>
      <c r="W372">
        <v>13.4</v>
      </c>
      <c r="X372" t="s">
        <v>57</v>
      </c>
      <c r="Z372" t="s">
        <v>124</v>
      </c>
      <c r="AA372" t="s">
        <v>462</v>
      </c>
      <c r="AE372">
        <v>1</v>
      </c>
      <c r="AF372">
        <v>0</v>
      </c>
      <c r="AG372">
        <v>0</v>
      </c>
      <c r="AH372">
        <v>0</v>
      </c>
      <c r="AI372">
        <v>0</v>
      </c>
      <c r="AJ372">
        <v>1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</row>
    <row r="373" spans="1:42" x14ac:dyDescent="0.25">
      <c r="A373">
        <v>398</v>
      </c>
      <c r="B373" t="s">
        <v>848</v>
      </c>
      <c r="C373" t="s">
        <v>845</v>
      </c>
      <c r="D373" t="s">
        <v>126</v>
      </c>
      <c r="E373" s="4">
        <v>1</v>
      </c>
      <c r="F373" t="s">
        <v>101</v>
      </c>
      <c r="G373" t="s">
        <v>101</v>
      </c>
      <c r="H373" s="3">
        <v>46154</v>
      </c>
      <c r="I373" s="3">
        <v>46160</v>
      </c>
      <c r="J373" t="s">
        <v>476</v>
      </c>
      <c r="K373" s="3">
        <v>46184</v>
      </c>
      <c r="L373" s="3">
        <v>46184</v>
      </c>
      <c r="M373" s="3">
        <v>46160</v>
      </c>
      <c r="N373" s="3">
        <v>46160</v>
      </c>
      <c r="O373" t="s">
        <v>741</v>
      </c>
      <c r="P373" t="s">
        <v>55</v>
      </c>
      <c r="Q373">
        <v>397</v>
      </c>
      <c r="S373" t="s">
        <v>302</v>
      </c>
      <c r="T373" t="s">
        <v>425</v>
      </c>
      <c r="U373" t="s">
        <v>849</v>
      </c>
      <c r="V373" t="s">
        <v>61</v>
      </c>
      <c r="W373">
        <v>13.4</v>
      </c>
      <c r="X373" t="s">
        <v>57</v>
      </c>
      <c r="Z373" t="s">
        <v>302</v>
      </c>
      <c r="AA373" t="s">
        <v>462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1</v>
      </c>
      <c r="AM373">
        <v>0</v>
      </c>
      <c r="AN373">
        <v>0</v>
      </c>
      <c r="AO373">
        <v>0</v>
      </c>
      <c r="AP373">
        <v>0</v>
      </c>
    </row>
    <row r="374" spans="1:42" x14ac:dyDescent="0.25">
      <c r="A374">
        <v>399</v>
      </c>
      <c r="B374" t="s">
        <v>850</v>
      </c>
      <c r="C374" t="s">
        <v>845</v>
      </c>
      <c r="D374" t="s">
        <v>133</v>
      </c>
      <c r="E374" s="4">
        <v>1</v>
      </c>
      <c r="F374" t="s">
        <v>840</v>
      </c>
      <c r="G374" t="s">
        <v>840</v>
      </c>
      <c r="H374" s="3">
        <v>46160</v>
      </c>
      <c r="I374" s="3">
        <v>46176</v>
      </c>
      <c r="J374" t="s">
        <v>571</v>
      </c>
      <c r="K374" s="3">
        <v>46185</v>
      </c>
      <c r="L374" s="3">
        <v>46185</v>
      </c>
      <c r="M374" s="3">
        <v>46176</v>
      </c>
      <c r="N374" s="3">
        <v>46176</v>
      </c>
      <c r="O374" t="s">
        <v>185</v>
      </c>
      <c r="P374" t="s">
        <v>55</v>
      </c>
      <c r="Q374" t="s">
        <v>851</v>
      </c>
      <c r="S374" t="s">
        <v>124</v>
      </c>
      <c r="T374" t="s">
        <v>425</v>
      </c>
      <c r="V374" t="s">
        <v>61</v>
      </c>
      <c r="W374">
        <v>13.4</v>
      </c>
      <c r="X374" t="s">
        <v>57</v>
      </c>
      <c r="Z374" t="s">
        <v>124</v>
      </c>
      <c r="AA374" t="s">
        <v>462</v>
      </c>
      <c r="AE374">
        <v>1</v>
      </c>
      <c r="AF374">
        <v>0</v>
      </c>
      <c r="AG374">
        <v>0</v>
      </c>
      <c r="AH374">
        <v>0</v>
      </c>
      <c r="AI374">
        <v>1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0</v>
      </c>
      <c r="AP374">
        <v>0</v>
      </c>
    </row>
    <row r="375" spans="1:42" x14ac:dyDescent="0.25">
      <c r="A375">
        <v>400</v>
      </c>
      <c r="B375" t="s">
        <v>852</v>
      </c>
      <c r="C375" t="s">
        <v>821</v>
      </c>
      <c r="D375" t="s">
        <v>853</v>
      </c>
      <c r="E375" s="4">
        <v>1</v>
      </c>
      <c r="F375" t="s">
        <v>295</v>
      </c>
      <c r="G375" t="s">
        <v>295</v>
      </c>
      <c r="H375" s="3">
        <v>46148</v>
      </c>
      <c r="I375" s="3">
        <v>46169</v>
      </c>
      <c r="J375" t="s">
        <v>304</v>
      </c>
      <c r="K375" s="3">
        <v>46169</v>
      </c>
      <c r="L375" s="3">
        <v>46148</v>
      </c>
      <c r="M375" s="3">
        <v>46169</v>
      </c>
      <c r="N375" s="3">
        <v>46169</v>
      </c>
      <c r="O375" t="s">
        <v>304</v>
      </c>
      <c r="P375" t="s">
        <v>55</v>
      </c>
      <c r="T375" t="s">
        <v>425</v>
      </c>
      <c r="V375" t="s">
        <v>175</v>
      </c>
      <c r="X375" t="s">
        <v>57</v>
      </c>
      <c r="AA375" t="s">
        <v>50</v>
      </c>
      <c r="AB375" t="s">
        <v>94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</row>
    <row r="376" spans="1:42" x14ac:dyDescent="0.25">
      <c r="A376">
        <v>401</v>
      </c>
      <c r="B376" t="s">
        <v>854</v>
      </c>
      <c r="C376" t="s">
        <v>855</v>
      </c>
      <c r="D376" t="s">
        <v>117</v>
      </c>
      <c r="E376" s="4">
        <v>1</v>
      </c>
      <c r="F376" t="s">
        <v>122</v>
      </c>
      <c r="G376" t="s">
        <v>122</v>
      </c>
      <c r="H376" s="3">
        <v>46148</v>
      </c>
      <c r="I376" s="3">
        <v>46150</v>
      </c>
      <c r="J376" t="s">
        <v>304</v>
      </c>
      <c r="K376" s="3">
        <v>46150</v>
      </c>
      <c r="L376" s="3">
        <v>46148</v>
      </c>
      <c r="M376" s="3">
        <v>46150</v>
      </c>
      <c r="N376" s="3">
        <v>46150</v>
      </c>
      <c r="O376" t="s">
        <v>304</v>
      </c>
      <c r="P376" t="s">
        <v>55</v>
      </c>
      <c r="Q376" t="s">
        <v>846</v>
      </c>
      <c r="S376" t="s">
        <v>302</v>
      </c>
      <c r="T376" t="s">
        <v>425</v>
      </c>
      <c r="U376">
        <v>402</v>
      </c>
      <c r="V376" t="s">
        <v>127</v>
      </c>
      <c r="W376">
        <v>13.4</v>
      </c>
      <c r="X376" t="s">
        <v>57</v>
      </c>
      <c r="Z376" t="s">
        <v>302</v>
      </c>
      <c r="AA376" t="s">
        <v>460</v>
      </c>
      <c r="AE376">
        <v>1</v>
      </c>
      <c r="AF376">
        <v>1</v>
      </c>
      <c r="AG376">
        <v>1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1</v>
      </c>
    </row>
    <row r="377" spans="1:42" x14ac:dyDescent="0.25">
      <c r="A377">
        <v>402</v>
      </c>
      <c r="B377" t="s">
        <v>856</v>
      </c>
      <c r="C377" t="s">
        <v>855</v>
      </c>
      <c r="D377" t="s">
        <v>121</v>
      </c>
      <c r="E377" s="4">
        <v>1</v>
      </c>
      <c r="F377" t="s">
        <v>127</v>
      </c>
      <c r="G377" t="s">
        <v>127</v>
      </c>
      <c r="H377" s="3">
        <v>46153</v>
      </c>
      <c r="I377" s="3">
        <v>46154</v>
      </c>
      <c r="J377" t="s">
        <v>418</v>
      </c>
      <c r="K377" s="3">
        <v>46154</v>
      </c>
      <c r="L377" s="3">
        <v>46153</v>
      </c>
      <c r="M377" s="3">
        <v>46154</v>
      </c>
      <c r="N377" s="3">
        <v>46154</v>
      </c>
      <c r="O377" t="s">
        <v>418</v>
      </c>
      <c r="P377" t="s">
        <v>55</v>
      </c>
      <c r="Q377">
        <v>401</v>
      </c>
      <c r="S377" t="s">
        <v>124</v>
      </c>
      <c r="T377" t="s">
        <v>425</v>
      </c>
      <c r="U377">
        <v>403</v>
      </c>
      <c r="V377" t="s">
        <v>122</v>
      </c>
      <c r="W377">
        <v>13.4</v>
      </c>
      <c r="X377" t="s">
        <v>57</v>
      </c>
      <c r="Z377" t="s">
        <v>124</v>
      </c>
      <c r="AA377" t="s">
        <v>462</v>
      </c>
      <c r="AE377">
        <v>1</v>
      </c>
      <c r="AF377">
        <v>0</v>
      </c>
      <c r="AG377">
        <v>0</v>
      </c>
      <c r="AH377">
        <v>0</v>
      </c>
      <c r="AI377">
        <v>0</v>
      </c>
      <c r="AJ377">
        <v>1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</row>
    <row r="378" spans="1:42" x14ac:dyDescent="0.25">
      <c r="A378">
        <v>403</v>
      </c>
      <c r="B378" t="s">
        <v>857</v>
      </c>
      <c r="C378" t="s">
        <v>855</v>
      </c>
      <c r="D378" t="s">
        <v>126</v>
      </c>
      <c r="E378" s="4">
        <v>1</v>
      </c>
      <c r="F378" t="s">
        <v>101</v>
      </c>
      <c r="G378" t="s">
        <v>101</v>
      </c>
      <c r="H378" s="3">
        <v>46154</v>
      </c>
      <c r="I378" s="3">
        <v>46160</v>
      </c>
      <c r="J378" t="s">
        <v>741</v>
      </c>
      <c r="K378" s="3">
        <v>46160</v>
      </c>
      <c r="L378" s="3">
        <v>46154</v>
      </c>
      <c r="M378" s="3">
        <v>46160</v>
      </c>
      <c r="N378" s="3">
        <v>46160</v>
      </c>
      <c r="O378" t="s">
        <v>741</v>
      </c>
      <c r="P378" t="s">
        <v>55</v>
      </c>
      <c r="Q378">
        <v>402</v>
      </c>
      <c r="S378" t="s">
        <v>302</v>
      </c>
      <c r="T378" t="s">
        <v>425</v>
      </c>
      <c r="U378" t="s">
        <v>858</v>
      </c>
      <c r="V378" t="s">
        <v>61</v>
      </c>
      <c r="W378">
        <v>13.4</v>
      </c>
      <c r="X378" t="s">
        <v>57</v>
      </c>
      <c r="Z378" t="s">
        <v>302</v>
      </c>
      <c r="AA378" t="s">
        <v>462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1</v>
      </c>
      <c r="AM378">
        <v>0</v>
      </c>
      <c r="AN378">
        <v>0</v>
      </c>
      <c r="AO378">
        <v>0</v>
      </c>
      <c r="AP378">
        <v>0</v>
      </c>
    </row>
    <row r="379" spans="1:42" x14ac:dyDescent="0.25">
      <c r="A379">
        <v>404</v>
      </c>
      <c r="B379" t="s">
        <v>859</v>
      </c>
      <c r="C379" t="s">
        <v>855</v>
      </c>
      <c r="D379" t="s">
        <v>133</v>
      </c>
      <c r="E379" s="4">
        <v>1</v>
      </c>
      <c r="F379" t="s">
        <v>860</v>
      </c>
      <c r="G379" t="s">
        <v>860</v>
      </c>
      <c r="H379" s="3">
        <v>46160</v>
      </c>
      <c r="I379" s="3">
        <v>46169</v>
      </c>
      <c r="J379" t="s">
        <v>185</v>
      </c>
      <c r="K379" s="3">
        <v>46169</v>
      </c>
      <c r="L379" s="3">
        <v>46160</v>
      </c>
      <c r="M379" s="3">
        <v>46169</v>
      </c>
      <c r="N379" s="3">
        <v>46169</v>
      </c>
      <c r="O379" t="s">
        <v>185</v>
      </c>
      <c r="P379" t="s">
        <v>55</v>
      </c>
      <c r="Q379" t="s">
        <v>861</v>
      </c>
      <c r="S379" t="s">
        <v>124</v>
      </c>
      <c r="T379" t="s">
        <v>425</v>
      </c>
      <c r="V379" t="s">
        <v>61</v>
      </c>
      <c r="W379">
        <v>13.4</v>
      </c>
      <c r="X379" t="s">
        <v>57</v>
      </c>
      <c r="Z379" t="s">
        <v>124</v>
      </c>
      <c r="AA379" t="s">
        <v>462</v>
      </c>
      <c r="AE379">
        <v>1</v>
      </c>
      <c r="AF379">
        <v>0</v>
      </c>
      <c r="AG379">
        <v>0</v>
      </c>
      <c r="AH379">
        <v>0</v>
      </c>
      <c r="AI379">
        <v>1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0</v>
      </c>
      <c r="AP379">
        <v>0</v>
      </c>
    </row>
    <row r="380" spans="1:42" x14ac:dyDescent="0.25">
      <c r="A380">
        <v>405</v>
      </c>
      <c r="B380" t="s">
        <v>862</v>
      </c>
      <c r="C380" t="s">
        <v>821</v>
      </c>
      <c r="D380" t="s">
        <v>863</v>
      </c>
      <c r="E380" s="4">
        <v>1</v>
      </c>
      <c r="F380" t="s">
        <v>295</v>
      </c>
      <c r="G380" t="s">
        <v>295</v>
      </c>
      <c r="H380" s="3">
        <v>46148</v>
      </c>
      <c r="I380" s="3">
        <v>46169</v>
      </c>
      <c r="J380" t="s">
        <v>304</v>
      </c>
      <c r="K380" s="3">
        <v>46169</v>
      </c>
      <c r="L380" s="3">
        <v>46148</v>
      </c>
      <c r="M380" s="3">
        <v>46169</v>
      </c>
      <c r="N380" s="3">
        <v>46169</v>
      </c>
      <c r="O380" t="s">
        <v>304</v>
      </c>
      <c r="P380" t="s">
        <v>55</v>
      </c>
      <c r="T380" t="s">
        <v>425</v>
      </c>
      <c r="V380" t="s">
        <v>175</v>
      </c>
      <c r="X380" t="s">
        <v>57</v>
      </c>
      <c r="AA380" t="s">
        <v>50</v>
      </c>
      <c r="AB380" t="s">
        <v>94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</row>
    <row r="381" spans="1:42" x14ac:dyDescent="0.25">
      <c r="A381">
        <v>406</v>
      </c>
      <c r="B381" t="s">
        <v>864</v>
      </c>
      <c r="C381" t="s">
        <v>865</v>
      </c>
      <c r="D381" t="s">
        <v>117</v>
      </c>
      <c r="E381" s="4">
        <v>1</v>
      </c>
      <c r="F381" t="s">
        <v>122</v>
      </c>
      <c r="G381" t="s">
        <v>122</v>
      </c>
      <c r="H381" s="3">
        <v>46148</v>
      </c>
      <c r="I381" s="3">
        <v>46150</v>
      </c>
      <c r="J381" t="s">
        <v>304</v>
      </c>
      <c r="K381" s="3">
        <v>46150</v>
      </c>
      <c r="L381" s="3">
        <v>46148</v>
      </c>
      <c r="M381" s="3">
        <v>46150</v>
      </c>
      <c r="N381" s="3">
        <v>46150</v>
      </c>
      <c r="O381" t="s">
        <v>304</v>
      </c>
      <c r="P381" t="s">
        <v>55</v>
      </c>
      <c r="Q381" t="s">
        <v>846</v>
      </c>
      <c r="S381" t="s">
        <v>302</v>
      </c>
      <c r="T381" t="s">
        <v>425</v>
      </c>
      <c r="U381">
        <v>407</v>
      </c>
      <c r="V381" t="s">
        <v>127</v>
      </c>
      <c r="W381">
        <v>13.4</v>
      </c>
      <c r="X381" t="s">
        <v>57</v>
      </c>
      <c r="Z381" t="s">
        <v>302</v>
      </c>
      <c r="AA381" t="s">
        <v>460</v>
      </c>
      <c r="AE381">
        <v>1</v>
      </c>
      <c r="AF381">
        <v>1</v>
      </c>
      <c r="AG381">
        <v>1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1</v>
      </c>
    </row>
    <row r="382" spans="1:42" x14ac:dyDescent="0.25">
      <c r="A382">
        <v>407</v>
      </c>
      <c r="B382" t="s">
        <v>866</v>
      </c>
      <c r="C382" t="s">
        <v>865</v>
      </c>
      <c r="D382" t="s">
        <v>121</v>
      </c>
      <c r="E382" s="4">
        <v>1</v>
      </c>
      <c r="F382" t="s">
        <v>127</v>
      </c>
      <c r="G382" t="s">
        <v>127</v>
      </c>
      <c r="H382" s="3">
        <v>46153</v>
      </c>
      <c r="I382" s="3">
        <v>46154</v>
      </c>
      <c r="J382" t="s">
        <v>418</v>
      </c>
      <c r="K382" s="3">
        <v>46154</v>
      </c>
      <c r="L382" s="3">
        <v>46153</v>
      </c>
      <c r="M382" s="3">
        <v>46154</v>
      </c>
      <c r="N382" s="3">
        <v>46154</v>
      </c>
      <c r="O382" t="s">
        <v>418</v>
      </c>
      <c r="P382" t="s">
        <v>55</v>
      </c>
      <c r="Q382">
        <v>406</v>
      </c>
      <c r="S382" t="s">
        <v>124</v>
      </c>
      <c r="T382" t="s">
        <v>425</v>
      </c>
      <c r="U382">
        <v>408</v>
      </c>
      <c r="V382" t="s">
        <v>122</v>
      </c>
      <c r="W382">
        <v>13.4</v>
      </c>
      <c r="X382" t="s">
        <v>57</v>
      </c>
      <c r="Z382" t="s">
        <v>124</v>
      </c>
      <c r="AA382" t="s">
        <v>462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1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</row>
    <row r="383" spans="1:42" x14ac:dyDescent="0.25">
      <c r="A383">
        <v>408</v>
      </c>
      <c r="B383" t="s">
        <v>867</v>
      </c>
      <c r="C383" t="s">
        <v>865</v>
      </c>
      <c r="D383" t="s">
        <v>126</v>
      </c>
      <c r="E383" s="4">
        <v>1</v>
      </c>
      <c r="F383" t="s">
        <v>101</v>
      </c>
      <c r="G383" t="s">
        <v>101</v>
      </c>
      <c r="H383" s="3">
        <v>46154</v>
      </c>
      <c r="I383" s="3">
        <v>46160</v>
      </c>
      <c r="J383" t="s">
        <v>741</v>
      </c>
      <c r="K383" s="3">
        <v>46160</v>
      </c>
      <c r="L383" s="3">
        <v>46154</v>
      </c>
      <c r="M383" s="3">
        <v>46160</v>
      </c>
      <c r="N383" s="3">
        <v>46160</v>
      </c>
      <c r="O383" t="s">
        <v>741</v>
      </c>
      <c r="P383" t="s">
        <v>55</v>
      </c>
      <c r="Q383">
        <v>407</v>
      </c>
      <c r="S383" t="s">
        <v>302</v>
      </c>
      <c r="T383" t="s">
        <v>425</v>
      </c>
      <c r="U383" t="s">
        <v>868</v>
      </c>
      <c r="V383" t="s">
        <v>61</v>
      </c>
      <c r="W383">
        <v>13.4</v>
      </c>
      <c r="X383" t="s">
        <v>57</v>
      </c>
      <c r="Z383" t="s">
        <v>302</v>
      </c>
      <c r="AA383" t="s">
        <v>462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1</v>
      </c>
      <c r="AM383">
        <v>0</v>
      </c>
      <c r="AN383">
        <v>0</v>
      </c>
      <c r="AO383">
        <v>0</v>
      </c>
      <c r="AP383">
        <v>0</v>
      </c>
    </row>
    <row r="384" spans="1:42" x14ac:dyDescent="0.25">
      <c r="A384">
        <v>409</v>
      </c>
      <c r="B384" t="s">
        <v>869</v>
      </c>
      <c r="C384" t="s">
        <v>865</v>
      </c>
      <c r="D384" t="s">
        <v>133</v>
      </c>
      <c r="E384" s="4">
        <v>1</v>
      </c>
      <c r="F384" t="s">
        <v>860</v>
      </c>
      <c r="G384" t="s">
        <v>860</v>
      </c>
      <c r="H384" s="3">
        <v>46160</v>
      </c>
      <c r="I384" s="3">
        <v>46169</v>
      </c>
      <c r="J384" t="s">
        <v>185</v>
      </c>
      <c r="K384" s="3">
        <v>46169</v>
      </c>
      <c r="L384" s="3">
        <v>46160</v>
      </c>
      <c r="M384" s="3">
        <v>46169</v>
      </c>
      <c r="N384" s="3">
        <v>46169</v>
      </c>
      <c r="O384" t="s">
        <v>185</v>
      </c>
      <c r="P384" t="s">
        <v>55</v>
      </c>
      <c r="Q384" t="s">
        <v>870</v>
      </c>
      <c r="S384" t="s">
        <v>124</v>
      </c>
      <c r="T384" t="s">
        <v>425</v>
      </c>
      <c r="V384" t="s">
        <v>61</v>
      </c>
      <c r="W384">
        <v>13.4</v>
      </c>
      <c r="X384" t="s">
        <v>57</v>
      </c>
      <c r="Z384" t="s">
        <v>124</v>
      </c>
      <c r="AA384" t="s">
        <v>462</v>
      </c>
      <c r="AE384">
        <v>1</v>
      </c>
      <c r="AF384">
        <v>0</v>
      </c>
      <c r="AG384">
        <v>0</v>
      </c>
      <c r="AH384">
        <v>0</v>
      </c>
      <c r="AI384">
        <v>1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0</v>
      </c>
      <c r="AP384">
        <v>0</v>
      </c>
    </row>
    <row r="385" spans="1:42" x14ac:dyDescent="0.25">
      <c r="A385">
        <v>410</v>
      </c>
      <c r="B385" t="s">
        <v>871</v>
      </c>
      <c r="C385" t="s">
        <v>821</v>
      </c>
      <c r="D385" t="s">
        <v>872</v>
      </c>
      <c r="E385" s="4">
        <v>1</v>
      </c>
      <c r="F385" t="s">
        <v>330</v>
      </c>
      <c r="G385" t="s">
        <v>330</v>
      </c>
      <c r="H385" s="3">
        <v>46156</v>
      </c>
      <c r="I385" s="3">
        <v>46176</v>
      </c>
      <c r="J385" t="s">
        <v>406</v>
      </c>
      <c r="K385" s="3">
        <v>46176</v>
      </c>
      <c r="L385" s="3">
        <v>46156</v>
      </c>
      <c r="M385" s="3">
        <v>46176</v>
      </c>
      <c r="N385" s="3">
        <v>46176</v>
      </c>
      <c r="O385" t="s">
        <v>406</v>
      </c>
      <c r="P385" t="s">
        <v>55</v>
      </c>
      <c r="T385" t="s">
        <v>425</v>
      </c>
      <c r="V385" t="s">
        <v>175</v>
      </c>
      <c r="X385" t="s">
        <v>57</v>
      </c>
      <c r="AA385" t="s">
        <v>50</v>
      </c>
      <c r="AB385" t="s">
        <v>94</v>
      </c>
      <c r="AE385">
        <v>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</row>
    <row r="386" spans="1:42" x14ac:dyDescent="0.25">
      <c r="A386">
        <v>411</v>
      </c>
      <c r="B386" t="s">
        <v>873</v>
      </c>
      <c r="C386" t="s">
        <v>874</v>
      </c>
      <c r="D386" t="s">
        <v>117</v>
      </c>
      <c r="E386" s="4">
        <v>1</v>
      </c>
      <c r="F386" t="s">
        <v>61</v>
      </c>
      <c r="G386" t="s">
        <v>61</v>
      </c>
      <c r="H386" s="3">
        <v>46156</v>
      </c>
      <c r="I386" s="3">
        <v>46164</v>
      </c>
      <c r="J386" t="s">
        <v>406</v>
      </c>
      <c r="K386" s="3">
        <v>46164</v>
      </c>
      <c r="L386" s="3">
        <v>46156</v>
      </c>
      <c r="M386" s="3">
        <v>46164</v>
      </c>
      <c r="N386" s="3">
        <v>46164</v>
      </c>
      <c r="O386" t="s">
        <v>406</v>
      </c>
      <c r="P386" t="s">
        <v>55</v>
      </c>
      <c r="S386" t="s">
        <v>302</v>
      </c>
      <c r="T386" t="s">
        <v>425</v>
      </c>
      <c r="U386">
        <v>412</v>
      </c>
      <c r="V386" t="s">
        <v>127</v>
      </c>
      <c r="W386">
        <v>13.4</v>
      </c>
      <c r="X386" t="s">
        <v>57</v>
      </c>
      <c r="Z386" t="s">
        <v>302</v>
      </c>
      <c r="AA386" t="s">
        <v>460</v>
      </c>
      <c r="AE386">
        <v>1</v>
      </c>
      <c r="AF386">
        <v>1</v>
      </c>
      <c r="AG386">
        <v>1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1</v>
      </c>
    </row>
    <row r="387" spans="1:42" x14ac:dyDescent="0.25">
      <c r="A387">
        <v>412</v>
      </c>
      <c r="B387" t="s">
        <v>875</v>
      </c>
      <c r="C387" t="s">
        <v>874</v>
      </c>
      <c r="D387" t="s">
        <v>121</v>
      </c>
      <c r="E387" s="4">
        <v>1</v>
      </c>
      <c r="F387" t="s">
        <v>127</v>
      </c>
      <c r="G387" t="s">
        <v>127</v>
      </c>
      <c r="H387" s="3">
        <v>46167</v>
      </c>
      <c r="I387" s="3">
        <v>46168</v>
      </c>
      <c r="J387" t="s">
        <v>74</v>
      </c>
      <c r="K387" s="3">
        <v>46168</v>
      </c>
      <c r="L387" s="3">
        <v>46167</v>
      </c>
      <c r="M387" s="3">
        <v>46168</v>
      </c>
      <c r="N387" s="3">
        <v>46168</v>
      </c>
      <c r="O387" t="s">
        <v>74</v>
      </c>
      <c r="P387" t="s">
        <v>55</v>
      </c>
      <c r="Q387">
        <v>411</v>
      </c>
      <c r="S387" t="s">
        <v>124</v>
      </c>
      <c r="T387" t="s">
        <v>425</v>
      </c>
      <c r="U387">
        <v>413</v>
      </c>
      <c r="V387" t="s">
        <v>122</v>
      </c>
      <c r="W387">
        <v>13.4</v>
      </c>
      <c r="X387" t="s">
        <v>57</v>
      </c>
      <c r="Z387" t="s">
        <v>124</v>
      </c>
      <c r="AA387" t="s">
        <v>462</v>
      </c>
      <c r="AE387">
        <v>1</v>
      </c>
      <c r="AF387">
        <v>0</v>
      </c>
      <c r="AG387">
        <v>0</v>
      </c>
      <c r="AH387">
        <v>0</v>
      </c>
      <c r="AI387">
        <v>0</v>
      </c>
      <c r="AJ387">
        <v>1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</row>
    <row r="388" spans="1:42" x14ac:dyDescent="0.25">
      <c r="A388">
        <v>413</v>
      </c>
      <c r="B388" t="s">
        <v>876</v>
      </c>
      <c r="C388" t="s">
        <v>874</v>
      </c>
      <c r="D388" t="s">
        <v>126</v>
      </c>
      <c r="E388" s="4">
        <v>1</v>
      </c>
      <c r="F388" t="s">
        <v>127</v>
      </c>
      <c r="G388" t="s">
        <v>127</v>
      </c>
      <c r="H388" s="3">
        <v>46169</v>
      </c>
      <c r="I388" s="3">
        <v>46170</v>
      </c>
      <c r="J388" t="s">
        <v>97</v>
      </c>
      <c r="K388" s="3">
        <v>46170</v>
      </c>
      <c r="L388" s="3">
        <v>46169</v>
      </c>
      <c r="M388" s="3">
        <v>46170</v>
      </c>
      <c r="N388" s="3">
        <v>46170</v>
      </c>
      <c r="O388" t="s">
        <v>97</v>
      </c>
      <c r="P388" t="s">
        <v>55</v>
      </c>
      <c r="Q388">
        <v>412</v>
      </c>
      <c r="S388" t="s">
        <v>302</v>
      </c>
      <c r="T388" t="s">
        <v>425</v>
      </c>
      <c r="U388">
        <v>414</v>
      </c>
      <c r="V388" t="s">
        <v>61</v>
      </c>
      <c r="W388">
        <v>13.4</v>
      </c>
      <c r="X388" t="s">
        <v>57</v>
      </c>
      <c r="Z388" t="s">
        <v>302</v>
      </c>
      <c r="AA388" t="s">
        <v>462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1</v>
      </c>
      <c r="AM388">
        <v>0</v>
      </c>
      <c r="AN388">
        <v>0</v>
      </c>
      <c r="AO388">
        <v>0</v>
      </c>
      <c r="AP388">
        <v>0</v>
      </c>
    </row>
    <row r="389" spans="1:42" x14ac:dyDescent="0.25">
      <c r="A389">
        <v>414</v>
      </c>
      <c r="B389" t="s">
        <v>877</v>
      </c>
      <c r="C389" t="s">
        <v>874</v>
      </c>
      <c r="D389" t="s">
        <v>133</v>
      </c>
      <c r="E389" s="4">
        <v>1</v>
      </c>
      <c r="F389" t="s">
        <v>127</v>
      </c>
      <c r="G389" t="s">
        <v>127</v>
      </c>
      <c r="H389" s="3">
        <v>46175</v>
      </c>
      <c r="I389" s="3">
        <v>46176</v>
      </c>
      <c r="J389" t="s">
        <v>472</v>
      </c>
      <c r="K389" s="3">
        <v>46176</v>
      </c>
      <c r="L389" s="3">
        <v>46175</v>
      </c>
      <c r="M389" s="3">
        <v>46176</v>
      </c>
      <c r="N389" s="3">
        <v>46176</v>
      </c>
      <c r="O389" t="s">
        <v>472</v>
      </c>
      <c r="P389" t="s">
        <v>55</v>
      </c>
      <c r="Q389">
        <v>413</v>
      </c>
      <c r="S389" t="s">
        <v>124</v>
      </c>
      <c r="T389" t="s">
        <v>425</v>
      </c>
      <c r="V389" t="s">
        <v>61</v>
      </c>
      <c r="W389">
        <v>13.4</v>
      </c>
      <c r="X389" t="s">
        <v>57</v>
      </c>
      <c r="Z389" t="s">
        <v>124</v>
      </c>
      <c r="AA389" t="s">
        <v>462</v>
      </c>
      <c r="AE389">
        <v>1</v>
      </c>
      <c r="AF389">
        <v>0</v>
      </c>
      <c r="AG389">
        <v>0</v>
      </c>
      <c r="AH389">
        <v>0</v>
      </c>
      <c r="AI389">
        <v>1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0</v>
      </c>
      <c r="AP389">
        <v>0</v>
      </c>
    </row>
    <row r="390" spans="1:42" x14ac:dyDescent="0.25">
      <c r="A390">
        <v>415</v>
      </c>
      <c r="B390" t="s">
        <v>878</v>
      </c>
      <c r="C390" t="s">
        <v>821</v>
      </c>
      <c r="D390" t="s">
        <v>879</v>
      </c>
      <c r="E390" s="4">
        <v>1</v>
      </c>
      <c r="F390" t="s">
        <v>330</v>
      </c>
      <c r="G390" t="s">
        <v>330</v>
      </c>
      <c r="H390" s="3">
        <v>46156</v>
      </c>
      <c r="I390" s="3">
        <v>46176</v>
      </c>
      <c r="J390" t="s">
        <v>406</v>
      </c>
      <c r="K390" s="3">
        <v>46176</v>
      </c>
      <c r="L390" s="3">
        <v>46156</v>
      </c>
      <c r="M390" s="3">
        <v>46176</v>
      </c>
      <c r="N390" s="3">
        <v>46176</v>
      </c>
      <c r="O390" t="s">
        <v>406</v>
      </c>
      <c r="P390" t="s">
        <v>55</v>
      </c>
      <c r="T390" t="s">
        <v>425</v>
      </c>
      <c r="V390" t="s">
        <v>175</v>
      </c>
      <c r="X390" t="s">
        <v>57</v>
      </c>
      <c r="AA390" t="s">
        <v>50</v>
      </c>
      <c r="AB390" t="s">
        <v>94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</row>
    <row r="391" spans="1:42" x14ac:dyDescent="0.25">
      <c r="A391">
        <v>416</v>
      </c>
      <c r="B391" t="s">
        <v>880</v>
      </c>
      <c r="C391" t="s">
        <v>881</v>
      </c>
      <c r="D391" t="s">
        <v>117</v>
      </c>
      <c r="E391" s="4">
        <v>1</v>
      </c>
      <c r="F391" t="s">
        <v>63</v>
      </c>
      <c r="G391" t="s">
        <v>63</v>
      </c>
      <c r="H391" s="3">
        <v>46156</v>
      </c>
      <c r="I391" s="3">
        <v>46163</v>
      </c>
      <c r="J391" t="s">
        <v>406</v>
      </c>
      <c r="K391" s="3">
        <v>46163</v>
      </c>
      <c r="L391" s="3">
        <v>46156</v>
      </c>
      <c r="M391" s="3">
        <v>46163</v>
      </c>
      <c r="N391" s="3">
        <v>46163</v>
      </c>
      <c r="O391" t="s">
        <v>406</v>
      </c>
      <c r="P391" t="s">
        <v>55</v>
      </c>
      <c r="S391" t="s">
        <v>302</v>
      </c>
      <c r="T391" t="s">
        <v>425</v>
      </c>
      <c r="U391">
        <v>417</v>
      </c>
      <c r="V391" t="s">
        <v>127</v>
      </c>
      <c r="W391">
        <v>13.4</v>
      </c>
      <c r="X391" t="s">
        <v>57</v>
      </c>
      <c r="Z391" t="s">
        <v>302</v>
      </c>
      <c r="AA391" t="s">
        <v>460</v>
      </c>
      <c r="AE391">
        <v>1</v>
      </c>
      <c r="AF391">
        <v>1</v>
      </c>
      <c r="AG391">
        <v>1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1</v>
      </c>
    </row>
    <row r="392" spans="1:42" x14ac:dyDescent="0.25">
      <c r="A392">
        <v>417</v>
      </c>
      <c r="B392" t="s">
        <v>882</v>
      </c>
      <c r="C392" t="s">
        <v>881</v>
      </c>
      <c r="D392" t="s">
        <v>121</v>
      </c>
      <c r="E392" s="4">
        <v>1</v>
      </c>
      <c r="F392" t="s">
        <v>122</v>
      </c>
      <c r="G392" t="s">
        <v>122</v>
      </c>
      <c r="H392" s="3">
        <v>46163</v>
      </c>
      <c r="I392" s="3">
        <v>46167</v>
      </c>
      <c r="J392" t="s">
        <v>491</v>
      </c>
      <c r="K392" s="3">
        <v>46167</v>
      </c>
      <c r="L392" s="3">
        <v>46163</v>
      </c>
      <c r="M392" s="3">
        <v>46167</v>
      </c>
      <c r="N392" s="3">
        <v>46167</v>
      </c>
      <c r="O392" t="s">
        <v>491</v>
      </c>
      <c r="P392" t="s">
        <v>55</v>
      </c>
      <c r="Q392">
        <v>416</v>
      </c>
      <c r="S392" t="s">
        <v>124</v>
      </c>
      <c r="T392" t="s">
        <v>425</v>
      </c>
      <c r="U392">
        <v>418</v>
      </c>
      <c r="V392" t="s">
        <v>122</v>
      </c>
      <c r="W392">
        <v>13.4</v>
      </c>
      <c r="X392" t="s">
        <v>57</v>
      </c>
      <c r="Z392" t="s">
        <v>124</v>
      </c>
      <c r="AA392" t="s">
        <v>462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1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</row>
    <row r="393" spans="1:42" x14ac:dyDescent="0.25">
      <c r="A393">
        <v>418</v>
      </c>
      <c r="B393" t="s">
        <v>883</v>
      </c>
      <c r="C393" t="s">
        <v>881</v>
      </c>
      <c r="D393" t="s">
        <v>126</v>
      </c>
      <c r="E393" s="4">
        <v>1</v>
      </c>
      <c r="F393" t="s">
        <v>63</v>
      </c>
      <c r="G393" t="s">
        <v>63</v>
      </c>
      <c r="H393" s="3">
        <v>46169</v>
      </c>
      <c r="I393" s="3">
        <v>46171</v>
      </c>
      <c r="J393" t="s">
        <v>97</v>
      </c>
      <c r="K393" s="3">
        <v>46171</v>
      </c>
      <c r="L393" s="3">
        <v>46169</v>
      </c>
      <c r="M393" s="3">
        <v>46171</v>
      </c>
      <c r="N393" s="3">
        <v>46171</v>
      </c>
      <c r="O393" t="s">
        <v>97</v>
      </c>
      <c r="P393" t="s">
        <v>55</v>
      </c>
      <c r="Q393">
        <v>417</v>
      </c>
      <c r="S393" t="s">
        <v>302</v>
      </c>
      <c r="T393" t="s">
        <v>425</v>
      </c>
      <c r="U393">
        <v>419</v>
      </c>
      <c r="V393" t="s">
        <v>61</v>
      </c>
      <c r="W393">
        <v>13.4</v>
      </c>
      <c r="X393" t="s">
        <v>57</v>
      </c>
      <c r="Z393" t="s">
        <v>302</v>
      </c>
      <c r="AA393" t="s">
        <v>462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1</v>
      </c>
      <c r="AM393">
        <v>0</v>
      </c>
      <c r="AN393">
        <v>0</v>
      </c>
      <c r="AO393">
        <v>0</v>
      </c>
      <c r="AP393">
        <v>0</v>
      </c>
    </row>
    <row r="394" spans="1:42" x14ac:dyDescent="0.25">
      <c r="A394">
        <v>419</v>
      </c>
      <c r="B394" t="s">
        <v>884</v>
      </c>
      <c r="C394" t="s">
        <v>881</v>
      </c>
      <c r="D394" t="s">
        <v>133</v>
      </c>
      <c r="E394" s="4">
        <v>1</v>
      </c>
      <c r="F394" t="s">
        <v>127</v>
      </c>
      <c r="G394" t="s">
        <v>127</v>
      </c>
      <c r="H394" s="3">
        <v>46175</v>
      </c>
      <c r="I394" s="3">
        <v>46176</v>
      </c>
      <c r="J394" t="s">
        <v>472</v>
      </c>
      <c r="K394" s="3">
        <v>46176</v>
      </c>
      <c r="L394" s="3">
        <v>46175</v>
      </c>
      <c r="M394" s="3">
        <v>46176</v>
      </c>
      <c r="N394" s="3">
        <v>46176</v>
      </c>
      <c r="O394" t="s">
        <v>472</v>
      </c>
      <c r="P394" t="s">
        <v>55</v>
      </c>
      <c r="Q394">
        <v>418</v>
      </c>
      <c r="S394" t="s">
        <v>124</v>
      </c>
      <c r="T394" t="s">
        <v>425</v>
      </c>
      <c r="V394" t="s">
        <v>61</v>
      </c>
      <c r="W394">
        <v>13.4</v>
      </c>
      <c r="X394" t="s">
        <v>57</v>
      </c>
      <c r="Z394" t="s">
        <v>124</v>
      </c>
      <c r="AA394" t="s">
        <v>462</v>
      </c>
      <c r="AE394">
        <v>1</v>
      </c>
      <c r="AF394">
        <v>0</v>
      </c>
      <c r="AG394">
        <v>0</v>
      </c>
      <c r="AH394">
        <v>0</v>
      </c>
      <c r="AI394">
        <v>1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0</v>
      </c>
      <c r="AP394">
        <v>0</v>
      </c>
    </row>
    <row r="395" spans="1:42" x14ac:dyDescent="0.25">
      <c r="A395">
        <v>420</v>
      </c>
      <c r="B395" t="s">
        <v>885</v>
      </c>
      <c r="C395" t="s">
        <v>821</v>
      </c>
      <c r="D395" t="s">
        <v>886</v>
      </c>
      <c r="E395" s="4">
        <v>1</v>
      </c>
      <c r="F395" t="s">
        <v>330</v>
      </c>
      <c r="G395" t="s">
        <v>330</v>
      </c>
      <c r="H395" s="3">
        <v>46156</v>
      </c>
      <c r="I395" s="3">
        <v>46176</v>
      </c>
      <c r="J395" t="s">
        <v>406</v>
      </c>
      <c r="K395" s="3">
        <v>46176</v>
      </c>
      <c r="L395" s="3">
        <v>46156</v>
      </c>
      <c r="M395" s="3">
        <v>46176</v>
      </c>
      <c r="N395" s="3">
        <v>46176</v>
      </c>
      <c r="O395" t="s">
        <v>406</v>
      </c>
      <c r="P395" t="s">
        <v>55</v>
      </c>
      <c r="T395" t="s">
        <v>425</v>
      </c>
      <c r="V395" t="s">
        <v>175</v>
      </c>
      <c r="X395" t="s">
        <v>57</v>
      </c>
      <c r="AA395" t="s">
        <v>50</v>
      </c>
      <c r="AB395" t="s">
        <v>94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</row>
    <row r="396" spans="1:42" x14ac:dyDescent="0.25">
      <c r="A396">
        <v>421</v>
      </c>
      <c r="B396" t="s">
        <v>887</v>
      </c>
      <c r="C396" t="s">
        <v>888</v>
      </c>
      <c r="D396" t="s">
        <v>117</v>
      </c>
      <c r="E396" s="4">
        <v>1</v>
      </c>
      <c r="F396" t="s">
        <v>63</v>
      </c>
      <c r="G396" t="s">
        <v>63</v>
      </c>
      <c r="H396" s="3">
        <v>46156</v>
      </c>
      <c r="I396" s="3">
        <v>46163</v>
      </c>
      <c r="J396" t="s">
        <v>406</v>
      </c>
      <c r="K396" s="3">
        <v>46163</v>
      </c>
      <c r="L396" s="3">
        <v>46156</v>
      </c>
      <c r="M396" s="3">
        <v>46163</v>
      </c>
      <c r="N396" s="3">
        <v>46163</v>
      </c>
      <c r="O396" t="s">
        <v>406</v>
      </c>
      <c r="P396" t="s">
        <v>55</v>
      </c>
      <c r="S396" t="s">
        <v>302</v>
      </c>
      <c r="T396" t="s">
        <v>425</v>
      </c>
      <c r="U396">
        <v>422</v>
      </c>
      <c r="V396" t="s">
        <v>127</v>
      </c>
      <c r="W396">
        <v>13.4</v>
      </c>
      <c r="X396" t="s">
        <v>57</v>
      </c>
      <c r="Z396" t="s">
        <v>302</v>
      </c>
      <c r="AA396" t="s">
        <v>460</v>
      </c>
      <c r="AE396">
        <v>1</v>
      </c>
      <c r="AF396">
        <v>1</v>
      </c>
      <c r="AG396">
        <v>1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1</v>
      </c>
    </row>
    <row r="397" spans="1:42" x14ac:dyDescent="0.25">
      <c r="A397">
        <v>422</v>
      </c>
      <c r="B397" t="s">
        <v>889</v>
      </c>
      <c r="C397" t="s">
        <v>888</v>
      </c>
      <c r="D397" t="s">
        <v>121</v>
      </c>
      <c r="E397" s="4">
        <v>1</v>
      </c>
      <c r="F397" t="s">
        <v>122</v>
      </c>
      <c r="G397" t="s">
        <v>122</v>
      </c>
      <c r="H397" s="3">
        <v>46163</v>
      </c>
      <c r="I397" s="3">
        <v>46167</v>
      </c>
      <c r="J397" t="s">
        <v>491</v>
      </c>
      <c r="K397" s="3">
        <v>46167</v>
      </c>
      <c r="L397" s="3">
        <v>46163</v>
      </c>
      <c r="M397" s="3">
        <v>46167</v>
      </c>
      <c r="N397" s="3">
        <v>46167</v>
      </c>
      <c r="O397" t="s">
        <v>491</v>
      </c>
      <c r="P397" t="s">
        <v>55</v>
      </c>
      <c r="Q397">
        <v>421</v>
      </c>
      <c r="S397" t="s">
        <v>124</v>
      </c>
      <c r="T397" t="s">
        <v>425</v>
      </c>
      <c r="U397">
        <v>423</v>
      </c>
      <c r="V397" t="s">
        <v>122</v>
      </c>
      <c r="W397">
        <v>13.4</v>
      </c>
      <c r="X397" t="s">
        <v>57</v>
      </c>
      <c r="Z397" t="s">
        <v>124</v>
      </c>
      <c r="AA397" t="s">
        <v>462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1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</row>
    <row r="398" spans="1:42" x14ac:dyDescent="0.25">
      <c r="A398">
        <v>423</v>
      </c>
      <c r="B398" t="s">
        <v>890</v>
      </c>
      <c r="C398" t="s">
        <v>888</v>
      </c>
      <c r="D398" t="s">
        <v>126</v>
      </c>
      <c r="E398" s="4">
        <v>1</v>
      </c>
      <c r="F398" t="s">
        <v>63</v>
      </c>
      <c r="G398" t="s">
        <v>63</v>
      </c>
      <c r="H398" s="3">
        <v>46169</v>
      </c>
      <c r="I398" s="3">
        <v>46171</v>
      </c>
      <c r="J398" t="s">
        <v>97</v>
      </c>
      <c r="K398" s="3">
        <v>46171</v>
      </c>
      <c r="L398" s="3">
        <v>46169</v>
      </c>
      <c r="M398" s="3">
        <v>46171</v>
      </c>
      <c r="N398" s="3">
        <v>46171</v>
      </c>
      <c r="O398" t="s">
        <v>97</v>
      </c>
      <c r="P398" t="s">
        <v>55</v>
      </c>
      <c r="Q398">
        <v>422</v>
      </c>
      <c r="S398" t="s">
        <v>302</v>
      </c>
      <c r="T398" t="s">
        <v>425</v>
      </c>
      <c r="U398">
        <v>424</v>
      </c>
      <c r="V398" t="s">
        <v>61</v>
      </c>
      <c r="W398">
        <v>13.4</v>
      </c>
      <c r="X398" t="s">
        <v>57</v>
      </c>
      <c r="Z398" t="s">
        <v>302</v>
      </c>
      <c r="AA398" t="s">
        <v>462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1</v>
      </c>
      <c r="AM398">
        <v>0</v>
      </c>
      <c r="AN398">
        <v>0</v>
      </c>
      <c r="AO398">
        <v>0</v>
      </c>
      <c r="AP398">
        <v>0</v>
      </c>
    </row>
    <row r="399" spans="1:42" x14ac:dyDescent="0.25">
      <c r="A399">
        <v>424</v>
      </c>
      <c r="B399" t="s">
        <v>891</v>
      </c>
      <c r="C399" t="s">
        <v>888</v>
      </c>
      <c r="D399" t="s">
        <v>133</v>
      </c>
      <c r="E399" s="4">
        <v>1</v>
      </c>
      <c r="F399" t="s">
        <v>127</v>
      </c>
      <c r="G399" t="s">
        <v>127</v>
      </c>
      <c r="H399" s="3">
        <v>46175</v>
      </c>
      <c r="I399" s="3">
        <v>46176</v>
      </c>
      <c r="J399" t="s">
        <v>472</v>
      </c>
      <c r="K399" s="3">
        <v>46176</v>
      </c>
      <c r="L399" s="3">
        <v>46175</v>
      </c>
      <c r="M399" s="3">
        <v>46176</v>
      </c>
      <c r="N399" s="3">
        <v>46176</v>
      </c>
      <c r="O399" t="s">
        <v>472</v>
      </c>
      <c r="P399" t="s">
        <v>55</v>
      </c>
      <c r="Q399">
        <v>423</v>
      </c>
      <c r="S399" t="s">
        <v>124</v>
      </c>
      <c r="T399" t="s">
        <v>425</v>
      </c>
      <c r="V399" t="s">
        <v>61</v>
      </c>
      <c r="W399">
        <v>13.4</v>
      </c>
      <c r="X399" t="s">
        <v>57</v>
      </c>
      <c r="Z399" t="s">
        <v>124</v>
      </c>
      <c r="AA399" t="s">
        <v>462</v>
      </c>
      <c r="AE399">
        <v>1</v>
      </c>
      <c r="AF399">
        <v>0</v>
      </c>
      <c r="AG399">
        <v>0</v>
      </c>
      <c r="AH399">
        <v>0</v>
      </c>
      <c r="AI399">
        <v>1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0</v>
      </c>
      <c r="AP399">
        <v>0</v>
      </c>
    </row>
    <row r="400" spans="1:42" x14ac:dyDescent="0.25">
      <c r="A400">
        <v>425</v>
      </c>
      <c r="B400" t="s">
        <v>892</v>
      </c>
      <c r="C400" t="s">
        <v>821</v>
      </c>
      <c r="D400" t="s">
        <v>893</v>
      </c>
      <c r="E400" s="4">
        <v>1</v>
      </c>
      <c r="F400" t="s">
        <v>330</v>
      </c>
      <c r="G400" t="s">
        <v>330</v>
      </c>
      <c r="H400" s="3">
        <v>46156</v>
      </c>
      <c r="I400" s="3">
        <v>46176</v>
      </c>
      <c r="J400" t="s">
        <v>406</v>
      </c>
      <c r="K400" s="3">
        <v>46176</v>
      </c>
      <c r="L400" s="3">
        <v>46156</v>
      </c>
      <c r="M400" s="3">
        <v>46176</v>
      </c>
      <c r="N400" s="3">
        <v>46176</v>
      </c>
      <c r="O400" t="s">
        <v>406</v>
      </c>
      <c r="P400" t="s">
        <v>55</v>
      </c>
      <c r="T400" t="s">
        <v>425</v>
      </c>
      <c r="V400" t="s">
        <v>175</v>
      </c>
      <c r="X400" t="s">
        <v>57</v>
      </c>
      <c r="AA400" t="s">
        <v>50</v>
      </c>
      <c r="AB400" t="s">
        <v>94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</row>
    <row r="401" spans="1:42" x14ac:dyDescent="0.25">
      <c r="A401">
        <v>426</v>
      </c>
      <c r="B401" t="s">
        <v>894</v>
      </c>
      <c r="C401" t="s">
        <v>895</v>
      </c>
      <c r="D401" t="s">
        <v>117</v>
      </c>
      <c r="E401" s="4">
        <v>1</v>
      </c>
      <c r="F401" t="s">
        <v>63</v>
      </c>
      <c r="G401" t="s">
        <v>63</v>
      </c>
      <c r="H401" s="3">
        <v>46156</v>
      </c>
      <c r="I401" s="3">
        <v>46163</v>
      </c>
      <c r="J401" t="s">
        <v>406</v>
      </c>
      <c r="K401" s="3">
        <v>46163</v>
      </c>
      <c r="L401" s="3">
        <v>46156</v>
      </c>
      <c r="M401" s="3">
        <v>46163</v>
      </c>
      <c r="N401" s="3">
        <v>46163</v>
      </c>
      <c r="O401" t="s">
        <v>406</v>
      </c>
      <c r="P401" t="s">
        <v>55</v>
      </c>
      <c r="S401" t="s">
        <v>302</v>
      </c>
      <c r="T401" t="s">
        <v>425</v>
      </c>
      <c r="U401">
        <v>427</v>
      </c>
      <c r="V401" t="s">
        <v>127</v>
      </c>
      <c r="W401">
        <v>13.4</v>
      </c>
      <c r="X401" t="s">
        <v>57</v>
      </c>
      <c r="Z401" t="s">
        <v>302</v>
      </c>
      <c r="AA401" t="s">
        <v>460</v>
      </c>
      <c r="AE401">
        <v>1</v>
      </c>
      <c r="AF401">
        <v>1</v>
      </c>
      <c r="AG401">
        <v>1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1</v>
      </c>
    </row>
    <row r="402" spans="1:42" x14ac:dyDescent="0.25">
      <c r="A402">
        <v>427</v>
      </c>
      <c r="B402" t="s">
        <v>896</v>
      </c>
      <c r="C402" t="s">
        <v>895</v>
      </c>
      <c r="D402" t="s">
        <v>121</v>
      </c>
      <c r="E402" s="4">
        <v>1</v>
      </c>
      <c r="F402" t="s">
        <v>122</v>
      </c>
      <c r="G402" t="s">
        <v>122</v>
      </c>
      <c r="H402" s="3">
        <v>46163</v>
      </c>
      <c r="I402" s="3">
        <v>46167</v>
      </c>
      <c r="J402" t="s">
        <v>491</v>
      </c>
      <c r="K402" s="3">
        <v>46167</v>
      </c>
      <c r="L402" s="3">
        <v>46163</v>
      </c>
      <c r="M402" s="3">
        <v>46167</v>
      </c>
      <c r="N402" s="3">
        <v>46167</v>
      </c>
      <c r="O402" t="s">
        <v>491</v>
      </c>
      <c r="P402" t="s">
        <v>55</v>
      </c>
      <c r="Q402">
        <v>426</v>
      </c>
      <c r="S402" t="s">
        <v>124</v>
      </c>
      <c r="T402" t="s">
        <v>425</v>
      </c>
      <c r="U402">
        <v>428</v>
      </c>
      <c r="V402" t="s">
        <v>122</v>
      </c>
      <c r="W402">
        <v>13.4</v>
      </c>
      <c r="X402" t="s">
        <v>57</v>
      </c>
      <c r="Z402" t="s">
        <v>124</v>
      </c>
      <c r="AA402" t="s">
        <v>462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1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</row>
    <row r="403" spans="1:42" x14ac:dyDescent="0.25">
      <c r="A403">
        <v>428</v>
      </c>
      <c r="B403" t="s">
        <v>897</v>
      </c>
      <c r="C403" t="s">
        <v>895</v>
      </c>
      <c r="D403" t="s">
        <v>126</v>
      </c>
      <c r="E403" s="4">
        <v>1</v>
      </c>
      <c r="F403" t="s">
        <v>63</v>
      </c>
      <c r="G403" t="s">
        <v>63</v>
      </c>
      <c r="H403" s="3">
        <v>46169</v>
      </c>
      <c r="I403" s="3">
        <v>46171</v>
      </c>
      <c r="J403" t="s">
        <v>97</v>
      </c>
      <c r="K403" s="3">
        <v>46171</v>
      </c>
      <c r="L403" s="3">
        <v>46169</v>
      </c>
      <c r="M403" s="3">
        <v>46171</v>
      </c>
      <c r="N403" s="3">
        <v>46171</v>
      </c>
      <c r="O403" t="s">
        <v>97</v>
      </c>
      <c r="P403" t="s">
        <v>55</v>
      </c>
      <c r="Q403">
        <v>427</v>
      </c>
      <c r="S403" t="s">
        <v>302</v>
      </c>
      <c r="T403" t="s">
        <v>425</v>
      </c>
      <c r="U403">
        <v>429</v>
      </c>
      <c r="V403" t="s">
        <v>61</v>
      </c>
      <c r="W403">
        <v>13.4</v>
      </c>
      <c r="X403" t="s">
        <v>57</v>
      </c>
      <c r="Z403" t="s">
        <v>302</v>
      </c>
      <c r="AA403" t="s">
        <v>462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1</v>
      </c>
      <c r="AM403">
        <v>0</v>
      </c>
      <c r="AN403">
        <v>0</v>
      </c>
      <c r="AO403">
        <v>0</v>
      </c>
      <c r="AP403">
        <v>0</v>
      </c>
    </row>
    <row r="404" spans="1:42" x14ac:dyDescent="0.25">
      <c r="A404">
        <v>429</v>
      </c>
      <c r="B404" t="s">
        <v>898</v>
      </c>
      <c r="C404" t="s">
        <v>895</v>
      </c>
      <c r="D404" t="s">
        <v>133</v>
      </c>
      <c r="E404" s="4">
        <v>1</v>
      </c>
      <c r="F404" t="s">
        <v>127</v>
      </c>
      <c r="G404" t="s">
        <v>127</v>
      </c>
      <c r="H404" s="3">
        <v>46175</v>
      </c>
      <c r="I404" s="3">
        <v>46176</v>
      </c>
      <c r="J404" t="s">
        <v>472</v>
      </c>
      <c r="K404" s="3">
        <v>46176</v>
      </c>
      <c r="L404" s="3">
        <v>46175</v>
      </c>
      <c r="M404" s="3">
        <v>46176</v>
      </c>
      <c r="N404" s="3">
        <v>46176</v>
      </c>
      <c r="O404" t="s">
        <v>472</v>
      </c>
      <c r="P404" t="s">
        <v>55</v>
      </c>
      <c r="Q404">
        <v>428</v>
      </c>
      <c r="S404" t="s">
        <v>124</v>
      </c>
      <c r="T404" t="s">
        <v>425</v>
      </c>
      <c r="V404" t="s">
        <v>61</v>
      </c>
      <c r="W404">
        <v>13.4</v>
      </c>
      <c r="X404" t="s">
        <v>57</v>
      </c>
      <c r="Z404" t="s">
        <v>124</v>
      </c>
      <c r="AA404" t="s">
        <v>462</v>
      </c>
      <c r="AE404">
        <v>1</v>
      </c>
      <c r="AF404">
        <v>0</v>
      </c>
      <c r="AG404">
        <v>0</v>
      </c>
      <c r="AH404">
        <v>0</v>
      </c>
      <c r="AI404">
        <v>1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0</v>
      </c>
      <c r="AP404">
        <v>0</v>
      </c>
    </row>
    <row r="405" spans="1:42" x14ac:dyDescent="0.25">
      <c r="A405">
        <v>451</v>
      </c>
      <c r="B405" t="s">
        <v>899</v>
      </c>
      <c r="C405" t="s">
        <v>425</v>
      </c>
      <c r="D405" t="s">
        <v>900</v>
      </c>
      <c r="E405" s="4">
        <v>1</v>
      </c>
      <c r="F405" t="s">
        <v>345</v>
      </c>
      <c r="G405" t="s">
        <v>345</v>
      </c>
      <c r="H405" s="3">
        <v>46153</v>
      </c>
      <c r="I405" s="3">
        <v>46190</v>
      </c>
      <c r="J405" t="s">
        <v>183</v>
      </c>
      <c r="K405" s="3">
        <v>46171</v>
      </c>
      <c r="L405" s="3">
        <v>46147</v>
      </c>
      <c r="M405" s="3">
        <v>46190</v>
      </c>
      <c r="N405" s="3">
        <v>46190</v>
      </c>
      <c r="O405" t="s">
        <v>418</v>
      </c>
      <c r="P405" t="s">
        <v>55</v>
      </c>
      <c r="T405" t="s">
        <v>425</v>
      </c>
      <c r="V405" t="s">
        <v>187</v>
      </c>
      <c r="X405" t="s">
        <v>57</v>
      </c>
      <c r="AA405" t="s">
        <v>50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</row>
    <row r="406" spans="1:42" x14ac:dyDescent="0.25">
      <c r="A406">
        <v>452</v>
      </c>
      <c r="B406" t="s">
        <v>901</v>
      </c>
      <c r="C406" t="s">
        <v>902</v>
      </c>
      <c r="D406" t="s">
        <v>903</v>
      </c>
      <c r="E406" s="4">
        <v>1</v>
      </c>
      <c r="F406" t="s">
        <v>203</v>
      </c>
      <c r="G406" t="s">
        <v>203</v>
      </c>
      <c r="H406" s="3">
        <v>46153</v>
      </c>
      <c r="I406" s="3">
        <v>46167</v>
      </c>
      <c r="J406" t="s">
        <v>183</v>
      </c>
      <c r="K406" s="3">
        <v>46157</v>
      </c>
      <c r="L406" s="3">
        <v>46147</v>
      </c>
      <c r="M406" s="3">
        <v>46167</v>
      </c>
      <c r="N406" s="3">
        <v>46167</v>
      </c>
      <c r="O406" t="s">
        <v>418</v>
      </c>
      <c r="P406" t="s">
        <v>55</v>
      </c>
      <c r="T406" t="s">
        <v>425</v>
      </c>
      <c r="U406" t="s">
        <v>904</v>
      </c>
      <c r="V406" t="s">
        <v>114</v>
      </c>
      <c r="X406" t="s">
        <v>57</v>
      </c>
      <c r="AA406" t="s">
        <v>50</v>
      </c>
      <c r="AE406">
        <v>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</row>
    <row r="407" spans="1:42" x14ac:dyDescent="0.25">
      <c r="A407">
        <v>453</v>
      </c>
      <c r="B407" t="s">
        <v>905</v>
      </c>
      <c r="C407" t="s">
        <v>906</v>
      </c>
      <c r="D407" t="s">
        <v>117</v>
      </c>
      <c r="E407" s="4">
        <v>1</v>
      </c>
      <c r="F407" t="s">
        <v>175</v>
      </c>
      <c r="G407" t="s">
        <v>175</v>
      </c>
      <c r="H407" s="3">
        <v>46153</v>
      </c>
      <c r="I407" s="3">
        <v>46161</v>
      </c>
      <c r="J407" t="s">
        <v>183</v>
      </c>
      <c r="K407" s="3">
        <v>46150</v>
      </c>
      <c r="L407" s="3">
        <v>46147</v>
      </c>
      <c r="M407" s="3">
        <v>46161</v>
      </c>
      <c r="N407" s="3">
        <v>46161</v>
      </c>
      <c r="O407" t="s">
        <v>418</v>
      </c>
      <c r="P407" t="s">
        <v>55</v>
      </c>
      <c r="Q407" t="s">
        <v>907</v>
      </c>
      <c r="S407" t="s">
        <v>302</v>
      </c>
      <c r="T407" t="s">
        <v>425</v>
      </c>
      <c r="U407" t="s">
        <v>908</v>
      </c>
      <c r="V407" t="s">
        <v>101</v>
      </c>
      <c r="W407">
        <v>13.4</v>
      </c>
      <c r="X407" t="s">
        <v>57</v>
      </c>
      <c r="Z407" t="s">
        <v>302</v>
      </c>
      <c r="AA407" t="s">
        <v>401</v>
      </c>
      <c r="AE407">
        <v>1</v>
      </c>
      <c r="AF407">
        <v>1</v>
      </c>
      <c r="AG407">
        <v>1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1</v>
      </c>
    </row>
    <row r="408" spans="1:42" x14ac:dyDescent="0.25">
      <c r="A408">
        <v>454</v>
      </c>
      <c r="B408" t="s">
        <v>909</v>
      </c>
      <c r="C408" t="s">
        <v>906</v>
      </c>
      <c r="D408" t="s">
        <v>121</v>
      </c>
      <c r="E408" s="4">
        <v>1</v>
      </c>
      <c r="F408" t="s">
        <v>63</v>
      </c>
      <c r="G408" t="s">
        <v>63</v>
      </c>
      <c r="H408" s="3">
        <v>46161</v>
      </c>
      <c r="I408" s="3">
        <v>46161</v>
      </c>
      <c r="J408" t="s">
        <v>418</v>
      </c>
      <c r="K408" s="3">
        <v>46155</v>
      </c>
      <c r="L408" s="3">
        <v>46153</v>
      </c>
      <c r="M408" s="3">
        <v>46161</v>
      </c>
      <c r="N408" s="3">
        <v>46161</v>
      </c>
      <c r="O408" t="s">
        <v>90</v>
      </c>
      <c r="P408" t="s">
        <v>55</v>
      </c>
      <c r="Q408">
        <v>453</v>
      </c>
      <c r="S408" t="s">
        <v>124</v>
      </c>
      <c r="T408" t="s">
        <v>425</v>
      </c>
      <c r="U408">
        <v>455</v>
      </c>
      <c r="V408" t="s">
        <v>122</v>
      </c>
      <c r="W408">
        <v>13.4</v>
      </c>
      <c r="X408" t="s">
        <v>57</v>
      </c>
      <c r="Z408" t="s">
        <v>124</v>
      </c>
      <c r="AA408" t="s">
        <v>93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1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</row>
    <row r="409" spans="1:42" x14ac:dyDescent="0.25">
      <c r="A409">
        <v>455</v>
      </c>
      <c r="B409" t="s">
        <v>910</v>
      </c>
      <c r="C409" t="s">
        <v>906</v>
      </c>
      <c r="D409" t="s">
        <v>126</v>
      </c>
      <c r="E409" s="4">
        <v>1</v>
      </c>
      <c r="F409" t="s">
        <v>61</v>
      </c>
      <c r="G409" t="s">
        <v>61</v>
      </c>
      <c r="H409" s="3">
        <v>46161</v>
      </c>
      <c r="I409" s="3">
        <v>46162</v>
      </c>
      <c r="J409" t="s">
        <v>406</v>
      </c>
      <c r="K409" s="3">
        <v>46156</v>
      </c>
      <c r="L409" s="3">
        <v>46156</v>
      </c>
      <c r="M409" s="3">
        <v>46162</v>
      </c>
      <c r="N409" s="3">
        <v>46162</v>
      </c>
      <c r="O409" t="s">
        <v>90</v>
      </c>
      <c r="P409" t="s">
        <v>55</v>
      </c>
      <c r="Q409">
        <v>454</v>
      </c>
      <c r="S409" t="s">
        <v>302</v>
      </c>
      <c r="T409" t="s">
        <v>425</v>
      </c>
      <c r="U409" t="s">
        <v>911</v>
      </c>
      <c r="V409" t="s">
        <v>61</v>
      </c>
      <c r="W409">
        <v>13.4</v>
      </c>
      <c r="X409" t="s">
        <v>57</v>
      </c>
      <c r="Z409" t="s">
        <v>302</v>
      </c>
      <c r="AA409" t="s">
        <v>93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1</v>
      </c>
      <c r="AM409">
        <v>0</v>
      </c>
      <c r="AN409">
        <v>0</v>
      </c>
      <c r="AO409">
        <v>0</v>
      </c>
      <c r="AP409">
        <v>0</v>
      </c>
    </row>
    <row r="410" spans="1:42" x14ac:dyDescent="0.25">
      <c r="A410">
        <v>456</v>
      </c>
      <c r="B410" t="s">
        <v>912</v>
      </c>
      <c r="C410" t="s">
        <v>906</v>
      </c>
      <c r="D410" t="s">
        <v>133</v>
      </c>
      <c r="E410" s="4">
        <v>1</v>
      </c>
      <c r="F410" t="s">
        <v>122</v>
      </c>
      <c r="G410" t="s">
        <v>122</v>
      </c>
      <c r="H410" s="3">
        <v>46163</v>
      </c>
      <c r="I410" s="3">
        <v>46167</v>
      </c>
      <c r="J410" t="s">
        <v>444</v>
      </c>
      <c r="K410" s="3">
        <v>46157</v>
      </c>
      <c r="L410" s="3">
        <v>46157</v>
      </c>
      <c r="M410" s="3">
        <v>46167</v>
      </c>
      <c r="N410" s="3">
        <v>46167</v>
      </c>
      <c r="O410" t="s">
        <v>491</v>
      </c>
      <c r="P410" t="s">
        <v>55</v>
      </c>
      <c r="Q410">
        <v>455</v>
      </c>
      <c r="S410" t="s">
        <v>124</v>
      </c>
      <c r="T410" t="s">
        <v>425</v>
      </c>
      <c r="U410">
        <v>458</v>
      </c>
      <c r="V410" t="s">
        <v>61</v>
      </c>
      <c r="W410">
        <v>13.4</v>
      </c>
      <c r="X410" t="s">
        <v>57</v>
      </c>
      <c r="Z410" t="s">
        <v>124</v>
      </c>
      <c r="AA410" t="s">
        <v>93</v>
      </c>
      <c r="AE410">
        <v>1</v>
      </c>
      <c r="AF410">
        <v>0</v>
      </c>
      <c r="AG410">
        <v>0</v>
      </c>
      <c r="AH410">
        <v>0</v>
      </c>
      <c r="AI410">
        <v>1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0</v>
      </c>
      <c r="AP410">
        <v>0</v>
      </c>
    </row>
    <row r="411" spans="1:42" x14ac:dyDescent="0.25">
      <c r="A411">
        <v>457</v>
      </c>
      <c r="B411" t="s">
        <v>913</v>
      </c>
      <c r="C411" t="s">
        <v>902</v>
      </c>
      <c r="D411" t="s">
        <v>914</v>
      </c>
      <c r="E411" s="4">
        <v>1</v>
      </c>
      <c r="F411" t="s">
        <v>915</v>
      </c>
      <c r="G411" t="s">
        <v>915</v>
      </c>
      <c r="H411" s="3">
        <v>46162</v>
      </c>
      <c r="I411" s="3">
        <v>46184</v>
      </c>
      <c r="J411" t="s">
        <v>491</v>
      </c>
      <c r="K411" s="3">
        <v>46171</v>
      </c>
      <c r="L411" s="3">
        <v>46163</v>
      </c>
      <c r="M411" s="3">
        <v>46184</v>
      </c>
      <c r="N411" s="3">
        <v>46184</v>
      </c>
      <c r="O411" t="s">
        <v>200</v>
      </c>
      <c r="P411" t="s">
        <v>55</v>
      </c>
      <c r="T411" t="s">
        <v>425</v>
      </c>
      <c r="V411" t="s">
        <v>175</v>
      </c>
      <c r="X411" t="s">
        <v>57</v>
      </c>
      <c r="AA411" t="s">
        <v>50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</row>
    <row r="412" spans="1:42" x14ac:dyDescent="0.25">
      <c r="A412">
        <v>458</v>
      </c>
      <c r="B412" t="s">
        <v>916</v>
      </c>
      <c r="C412" t="s">
        <v>917</v>
      </c>
      <c r="D412" t="s">
        <v>117</v>
      </c>
      <c r="E412" s="4">
        <v>1</v>
      </c>
      <c r="F412" t="s">
        <v>122</v>
      </c>
      <c r="G412" t="s">
        <v>122</v>
      </c>
      <c r="H412" s="3">
        <v>46162</v>
      </c>
      <c r="I412" s="3">
        <v>46164</v>
      </c>
      <c r="J412" t="s">
        <v>491</v>
      </c>
      <c r="K412" s="3">
        <v>46164</v>
      </c>
      <c r="L412" s="3">
        <v>46163</v>
      </c>
      <c r="M412" s="3">
        <v>46164</v>
      </c>
      <c r="N412" s="3">
        <v>46164</v>
      </c>
      <c r="O412" t="s">
        <v>200</v>
      </c>
      <c r="P412" t="s">
        <v>55</v>
      </c>
      <c r="Q412" t="s">
        <v>918</v>
      </c>
      <c r="S412" t="s">
        <v>302</v>
      </c>
      <c r="T412" t="s">
        <v>425</v>
      </c>
      <c r="U412" t="s">
        <v>919</v>
      </c>
      <c r="V412" t="s">
        <v>127</v>
      </c>
      <c r="W412">
        <v>13.4</v>
      </c>
      <c r="X412" t="s">
        <v>57</v>
      </c>
      <c r="Z412" t="s">
        <v>302</v>
      </c>
      <c r="AA412" t="s">
        <v>198</v>
      </c>
      <c r="AE412">
        <v>1</v>
      </c>
      <c r="AF412">
        <v>1</v>
      </c>
      <c r="AG412">
        <v>1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1</v>
      </c>
    </row>
    <row r="413" spans="1:42" x14ac:dyDescent="0.25">
      <c r="A413">
        <v>459</v>
      </c>
      <c r="B413" t="s">
        <v>920</v>
      </c>
      <c r="C413" t="s">
        <v>917</v>
      </c>
      <c r="D413" t="s">
        <v>121</v>
      </c>
      <c r="E413" s="4">
        <v>1</v>
      </c>
      <c r="F413" t="s">
        <v>127</v>
      </c>
      <c r="G413" t="s">
        <v>127</v>
      </c>
      <c r="H413" s="3">
        <v>46167</v>
      </c>
      <c r="I413" s="3">
        <v>46168</v>
      </c>
      <c r="J413" t="s">
        <v>74</v>
      </c>
      <c r="K413" s="3">
        <v>46169</v>
      </c>
      <c r="L413" s="3">
        <v>46167</v>
      </c>
      <c r="M413" s="3">
        <v>46168</v>
      </c>
      <c r="N413" s="3">
        <v>46168</v>
      </c>
      <c r="O413" t="s">
        <v>74</v>
      </c>
      <c r="P413" t="s">
        <v>55</v>
      </c>
      <c r="Q413">
        <v>458</v>
      </c>
      <c r="S413" t="s">
        <v>124</v>
      </c>
      <c r="T413" t="s">
        <v>425</v>
      </c>
      <c r="U413">
        <v>460</v>
      </c>
      <c r="V413" t="s">
        <v>122</v>
      </c>
      <c r="W413">
        <v>13.4</v>
      </c>
      <c r="X413" t="s">
        <v>57</v>
      </c>
      <c r="Z413" t="s">
        <v>124</v>
      </c>
      <c r="AA413" t="s">
        <v>77</v>
      </c>
      <c r="AE413">
        <v>1</v>
      </c>
      <c r="AF413">
        <v>0</v>
      </c>
      <c r="AG413">
        <v>0</v>
      </c>
      <c r="AH413">
        <v>0</v>
      </c>
      <c r="AI413">
        <v>0</v>
      </c>
      <c r="AJ413">
        <v>1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</row>
    <row r="414" spans="1:42" x14ac:dyDescent="0.25">
      <c r="A414">
        <v>460</v>
      </c>
      <c r="B414" t="s">
        <v>921</v>
      </c>
      <c r="C414" t="s">
        <v>917</v>
      </c>
      <c r="D414" t="s">
        <v>126</v>
      </c>
      <c r="E414" s="4">
        <v>1</v>
      </c>
      <c r="F414" t="s">
        <v>114</v>
      </c>
      <c r="G414" t="s">
        <v>114</v>
      </c>
      <c r="H414" s="3">
        <v>46168</v>
      </c>
      <c r="I414" s="3">
        <v>46183</v>
      </c>
      <c r="J414" t="s">
        <v>448</v>
      </c>
      <c r="K414" s="3">
        <v>46170</v>
      </c>
      <c r="L414" s="3">
        <v>46170</v>
      </c>
      <c r="M414" s="3">
        <v>46183</v>
      </c>
      <c r="N414" s="3">
        <v>46183</v>
      </c>
      <c r="O414" t="s">
        <v>206</v>
      </c>
      <c r="P414" t="s">
        <v>55</v>
      </c>
      <c r="Q414">
        <v>459</v>
      </c>
      <c r="S414" t="s">
        <v>302</v>
      </c>
      <c r="T414" t="s">
        <v>425</v>
      </c>
      <c r="U414">
        <v>461</v>
      </c>
      <c r="V414" t="s">
        <v>61</v>
      </c>
      <c r="W414">
        <v>13.4</v>
      </c>
      <c r="X414" t="s">
        <v>57</v>
      </c>
      <c r="Z414" t="s">
        <v>302</v>
      </c>
      <c r="AA414" t="s">
        <v>77</v>
      </c>
      <c r="AE414">
        <v>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1</v>
      </c>
      <c r="AM414">
        <v>0</v>
      </c>
      <c r="AN414">
        <v>0</v>
      </c>
      <c r="AO414">
        <v>0</v>
      </c>
      <c r="AP414">
        <v>0</v>
      </c>
    </row>
    <row r="415" spans="1:42" x14ac:dyDescent="0.25">
      <c r="A415">
        <v>461</v>
      </c>
      <c r="B415" t="s">
        <v>922</v>
      </c>
      <c r="C415" t="s">
        <v>917</v>
      </c>
      <c r="D415" t="s">
        <v>133</v>
      </c>
      <c r="E415" s="4">
        <v>1</v>
      </c>
      <c r="F415" t="s">
        <v>923</v>
      </c>
      <c r="G415" t="s">
        <v>923</v>
      </c>
      <c r="H415" s="3">
        <v>46170</v>
      </c>
      <c r="I415" s="3">
        <v>46184</v>
      </c>
      <c r="J415" t="s">
        <v>189</v>
      </c>
      <c r="K415" s="3">
        <v>46171</v>
      </c>
      <c r="L415" s="3">
        <v>46171</v>
      </c>
      <c r="M415" s="3">
        <v>46184</v>
      </c>
      <c r="N415" s="3">
        <v>46184</v>
      </c>
      <c r="O415" t="s">
        <v>448</v>
      </c>
      <c r="P415" t="s">
        <v>55</v>
      </c>
      <c r="Q415">
        <v>460</v>
      </c>
      <c r="S415" t="s">
        <v>124</v>
      </c>
      <c r="T415" t="s">
        <v>425</v>
      </c>
      <c r="V415" t="s">
        <v>61</v>
      </c>
      <c r="W415">
        <v>13.4</v>
      </c>
      <c r="X415" t="s">
        <v>57</v>
      </c>
      <c r="Z415" t="s">
        <v>124</v>
      </c>
      <c r="AA415" t="s">
        <v>77</v>
      </c>
      <c r="AE415">
        <v>1</v>
      </c>
      <c r="AF415">
        <v>0</v>
      </c>
      <c r="AG415">
        <v>0</v>
      </c>
      <c r="AH415">
        <v>0</v>
      </c>
      <c r="AI415">
        <v>1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0</v>
      </c>
      <c r="AP415">
        <v>0</v>
      </c>
    </row>
    <row r="416" spans="1:42" x14ac:dyDescent="0.25">
      <c r="A416">
        <v>462</v>
      </c>
      <c r="B416" t="s">
        <v>924</v>
      </c>
      <c r="C416" t="s">
        <v>902</v>
      </c>
      <c r="D416" t="s">
        <v>925</v>
      </c>
      <c r="E416" s="4">
        <v>1</v>
      </c>
      <c r="F416" t="s">
        <v>210</v>
      </c>
      <c r="G416" t="s">
        <v>210</v>
      </c>
      <c r="H416" s="3">
        <v>46162</v>
      </c>
      <c r="I416" s="3">
        <v>46171</v>
      </c>
      <c r="J416" t="s">
        <v>491</v>
      </c>
      <c r="K416" s="3">
        <v>46171</v>
      </c>
      <c r="L416" s="3">
        <v>46163</v>
      </c>
      <c r="M416" s="3">
        <v>46171</v>
      </c>
      <c r="N416" s="3">
        <v>46171</v>
      </c>
      <c r="O416" t="s">
        <v>200</v>
      </c>
      <c r="P416" t="s">
        <v>55</v>
      </c>
      <c r="T416" t="s">
        <v>425</v>
      </c>
      <c r="V416" t="s">
        <v>175</v>
      </c>
      <c r="X416" t="s">
        <v>57</v>
      </c>
      <c r="AA416" t="s">
        <v>50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</row>
    <row r="417" spans="1:42" x14ac:dyDescent="0.25">
      <c r="A417">
        <v>463</v>
      </c>
      <c r="B417" t="s">
        <v>926</v>
      </c>
      <c r="C417" t="s">
        <v>927</v>
      </c>
      <c r="D417" t="s">
        <v>117</v>
      </c>
      <c r="E417" s="4">
        <v>1</v>
      </c>
      <c r="F417" t="s">
        <v>122</v>
      </c>
      <c r="G417" t="s">
        <v>122</v>
      </c>
      <c r="H417" s="3">
        <v>46162</v>
      </c>
      <c r="I417" s="3">
        <v>46164</v>
      </c>
      <c r="J417" t="s">
        <v>491</v>
      </c>
      <c r="K417" s="3">
        <v>46164</v>
      </c>
      <c r="L417" s="3">
        <v>46163</v>
      </c>
      <c r="M417" s="3">
        <v>46164</v>
      </c>
      <c r="N417" s="3">
        <v>46164</v>
      </c>
      <c r="O417" t="s">
        <v>200</v>
      </c>
      <c r="P417" t="s">
        <v>55</v>
      </c>
      <c r="Q417" t="s">
        <v>928</v>
      </c>
      <c r="S417" t="s">
        <v>302</v>
      </c>
      <c r="T417" t="s">
        <v>425</v>
      </c>
      <c r="U417">
        <v>464</v>
      </c>
      <c r="V417" t="s">
        <v>127</v>
      </c>
      <c r="W417">
        <v>13.4</v>
      </c>
      <c r="X417" t="s">
        <v>57</v>
      </c>
      <c r="Z417" t="s">
        <v>302</v>
      </c>
      <c r="AA417" t="s">
        <v>198</v>
      </c>
      <c r="AE417">
        <v>1</v>
      </c>
      <c r="AF417">
        <v>1</v>
      </c>
      <c r="AG417">
        <v>1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1</v>
      </c>
    </row>
    <row r="418" spans="1:42" x14ac:dyDescent="0.25">
      <c r="A418">
        <v>464</v>
      </c>
      <c r="B418" t="s">
        <v>929</v>
      </c>
      <c r="C418" t="s">
        <v>927</v>
      </c>
      <c r="D418" t="s">
        <v>121</v>
      </c>
      <c r="E418" s="4">
        <v>1</v>
      </c>
      <c r="F418" t="s">
        <v>127</v>
      </c>
      <c r="G418" t="s">
        <v>127</v>
      </c>
      <c r="H418" s="3">
        <v>46167</v>
      </c>
      <c r="I418" s="3">
        <v>46168</v>
      </c>
      <c r="J418" t="s">
        <v>74</v>
      </c>
      <c r="K418" s="3">
        <v>46169</v>
      </c>
      <c r="L418" s="3">
        <v>46167</v>
      </c>
      <c r="M418" s="3">
        <v>46168</v>
      </c>
      <c r="N418" s="3">
        <v>46168</v>
      </c>
      <c r="O418" t="s">
        <v>74</v>
      </c>
      <c r="P418" t="s">
        <v>55</v>
      </c>
      <c r="Q418">
        <v>463</v>
      </c>
      <c r="S418" t="s">
        <v>124</v>
      </c>
      <c r="T418" t="s">
        <v>425</v>
      </c>
      <c r="U418">
        <v>465</v>
      </c>
      <c r="V418" t="s">
        <v>122</v>
      </c>
      <c r="W418">
        <v>13.4</v>
      </c>
      <c r="X418" t="s">
        <v>57</v>
      </c>
      <c r="Z418" t="s">
        <v>124</v>
      </c>
      <c r="AA418" t="s">
        <v>77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1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</row>
    <row r="419" spans="1:42" x14ac:dyDescent="0.25">
      <c r="A419">
        <v>465</v>
      </c>
      <c r="B419" t="s">
        <v>930</v>
      </c>
      <c r="C419" t="s">
        <v>927</v>
      </c>
      <c r="D419" t="s">
        <v>126</v>
      </c>
      <c r="E419" s="4">
        <v>1</v>
      </c>
      <c r="F419" t="s">
        <v>61</v>
      </c>
      <c r="G419" t="s">
        <v>61</v>
      </c>
      <c r="H419" s="3">
        <v>46168</v>
      </c>
      <c r="I419" s="3">
        <v>46169</v>
      </c>
      <c r="J419" t="s">
        <v>448</v>
      </c>
      <c r="K419" s="3">
        <v>46170</v>
      </c>
      <c r="L419" s="3">
        <v>46170</v>
      </c>
      <c r="M419" s="3">
        <v>46169</v>
      </c>
      <c r="N419" s="3">
        <v>46169</v>
      </c>
      <c r="O419" t="s">
        <v>206</v>
      </c>
      <c r="P419" t="s">
        <v>55</v>
      </c>
      <c r="Q419">
        <v>464</v>
      </c>
      <c r="S419" t="s">
        <v>302</v>
      </c>
      <c r="T419" t="s">
        <v>425</v>
      </c>
      <c r="U419">
        <v>466</v>
      </c>
      <c r="V419" t="s">
        <v>61</v>
      </c>
      <c r="W419">
        <v>13.4</v>
      </c>
      <c r="X419" t="s">
        <v>57</v>
      </c>
      <c r="Z419" t="s">
        <v>302</v>
      </c>
      <c r="AA419" t="s">
        <v>77</v>
      </c>
      <c r="AE419">
        <v>1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1</v>
      </c>
      <c r="AM419">
        <v>0</v>
      </c>
      <c r="AN419">
        <v>0</v>
      </c>
      <c r="AO419">
        <v>0</v>
      </c>
      <c r="AP419">
        <v>0</v>
      </c>
    </row>
    <row r="420" spans="1:42" x14ac:dyDescent="0.25">
      <c r="A420">
        <v>466</v>
      </c>
      <c r="B420" t="s">
        <v>931</v>
      </c>
      <c r="C420" t="s">
        <v>927</v>
      </c>
      <c r="D420" t="s">
        <v>133</v>
      </c>
      <c r="E420" s="4">
        <v>1</v>
      </c>
      <c r="F420" t="s">
        <v>127</v>
      </c>
      <c r="G420" t="s">
        <v>127</v>
      </c>
      <c r="H420" s="3">
        <v>46169</v>
      </c>
      <c r="I420" s="3">
        <v>46171</v>
      </c>
      <c r="J420" t="s">
        <v>189</v>
      </c>
      <c r="K420" s="3">
        <v>46171</v>
      </c>
      <c r="L420" s="3">
        <v>46171</v>
      </c>
      <c r="M420" s="3">
        <v>46171</v>
      </c>
      <c r="N420" s="3">
        <v>46171</v>
      </c>
      <c r="O420" t="s">
        <v>97</v>
      </c>
      <c r="P420" t="s">
        <v>55</v>
      </c>
      <c r="Q420">
        <v>465</v>
      </c>
      <c r="S420" t="s">
        <v>124</v>
      </c>
      <c r="T420" t="s">
        <v>425</v>
      </c>
      <c r="V420" t="s">
        <v>61</v>
      </c>
      <c r="W420">
        <v>13.4</v>
      </c>
      <c r="X420" t="s">
        <v>57</v>
      </c>
      <c r="Z420" t="s">
        <v>124</v>
      </c>
      <c r="AA420" t="s">
        <v>77</v>
      </c>
      <c r="AE420">
        <v>1</v>
      </c>
      <c r="AF420">
        <v>0</v>
      </c>
      <c r="AG420">
        <v>0</v>
      </c>
      <c r="AH420">
        <v>0</v>
      </c>
      <c r="AI420">
        <v>1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0</v>
      </c>
      <c r="AP420">
        <v>0</v>
      </c>
    </row>
    <row r="421" spans="1:42" x14ac:dyDescent="0.25">
      <c r="A421">
        <v>467</v>
      </c>
      <c r="B421" t="s">
        <v>932</v>
      </c>
      <c r="C421" t="s">
        <v>902</v>
      </c>
      <c r="D421" t="s">
        <v>933</v>
      </c>
      <c r="E421" s="4">
        <v>1</v>
      </c>
      <c r="F421" t="s">
        <v>192</v>
      </c>
      <c r="G421" t="s">
        <v>192</v>
      </c>
      <c r="H421" s="3">
        <v>46163</v>
      </c>
      <c r="I421" s="3">
        <v>46190</v>
      </c>
      <c r="J421" t="s">
        <v>491</v>
      </c>
      <c r="K421" s="3">
        <v>46190</v>
      </c>
      <c r="L421" s="3">
        <v>46163</v>
      </c>
      <c r="M421" s="3">
        <v>46190</v>
      </c>
      <c r="N421" s="3">
        <v>46190</v>
      </c>
      <c r="O421" t="s">
        <v>491</v>
      </c>
      <c r="P421" t="s">
        <v>55</v>
      </c>
      <c r="T421" t="s">
        <v>425</v>
      </c>
      <c r="V421" t="s">
        <v>175</v>
      </c>
      <c r="X421" t="s">
        <v>57</v>
      </c>
      <c r="AA421" t="s">
        <v>50</v>
      </c>
      <c r="AB421" t="s">
        <v>94</v>
      </c>
      <c r="AE421">
        <v>1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</row>
    <row r="422" spans="1:42" x14ac:dyDescent="0.25">
      <c r="A422">
        <v>468</v>
      </c>
      <c r="B422" t="s">
        <v>934</v>
      </c>
      <c r="C422" t="s">
        <v>935</v>
      </c>
      <c r="D422" t="s">
        <v>117</v>
      </c>
      <c r="E422" s="4">
        <v>1</v>
      </c>
      <c r="F422" t="s">
        <v>114</v>
      </c>
      <c r="G422" t="s">
        <v>114</v>
      </c>
      <c r="H422" s="3">
        <v>46163</v>
      </c>
      <c r="I422" s="3">
        <v>46175</v>
      </c>
      <c r="J422" t="s">
        <v>491</v>
      </c>
      <c r="K422" s="3">
        <v>46175</v>
      </c>
      <c r="L422" s="3">
        <v>46163</v>
      </c>
      <c r="M422" s="3">
        <v>46175</v>
      </c>
      <c r="N422" s="3">
        <v>46175</v>
      </c>
      <c r="O422" t="s">
        <v>491</v>
      </c>
      <c r="P422" t="s">
        <v>55</v>
      </c>
      <c r="Q422" t="s">
        <v>928</v>
      </c>
      <c r="S422" t="s">
        <v>302</v>
      </c>
      <c r="T422" t="s">
        <v>425</v>
      </c>
      <c r="U422">
        <v>469</v>
      </c>
      <c r="V422" t="s">
        <v>127</v>
      </c>
      <c r="W422">
        <v>13.4</v>
      </c>
      <c r="X422" t="s">
        <v>57</v>
      </c>
      <c r="Z422" t="s">
        <v>302</v>
      </c>
      <c r="AA422" t="s">
        <v>198</v>
      </c>
      <c r="AE422">
        <v>1</v>
      </c>
      <c r="AF422">
        <v>1</v>
      </c>
      <c r="AG422">
        <v>1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1</v>
      </c>
    </row>
    <row r="423" spans="1:42" x14ac:dyDescent="0.25">
      <c r="A423">
        <v>469</v>
      </c>
      <c r="B423" t="s">
        <v>936</v>
      </c>
      <c r="C423" t="s">
        <v>935</v>
      </c>
      <c r="D423" t="s">
        <v>121</v>
      </c>
      <c r="E423" s="4">
        <v>1</v>
      </c>
      <c r="F423" t="s">
        <v>61</v>
      </c>
      <c r="G423" t="s">
        <v>61</v>
      </c>
      <c r="H423" s="3">
        <v>46175</v>
      </c>
      <c r="I423" s="3">
        <v>46176</v>
      </c>
      <c r="J423" t="s">
        <v>472</v>
      </c>
      <c r="K423" s="3">
        <v>46176</v>
      </c>
      <c r="L423" s="3">
        <v>46175</v>
      </c>
      <c r="M423" s="3">
        <v>46176</v>
      </c>
      <c r="N423" s="3">
        <v>46176</v>
      </c>
      <c r="O423" t="s">
        <v>472</v>
      </c>
      <c r="P423" t="s">
        <v>55</v>
      </c>
      <c r="Q423">
        <v>468</v>
      </c>
      <c r="S423" t="s">
        <v>124</v>
      </c>
      <c r="T423" t="s">
        <v>425</v>
      </c>
      <c r="U423">
        <v>470</v>
      </c>
      <c r="V423" t="s">
        <v>122</v>
      </c>
      <c r="W423">
        <v>13.4</v>
      </c>
      <c r="X423" t="s">
        <v>57</v>
      </c>
      <c r="Z423" t="s">
        <v>124</v>
      </c>
      <c r="AA423" t="s">
        <v>77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1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</row>
    <row r="424" spans="1:42" x14ac:dyDescent="0.25">
      <c r="A424">
        <v>470</v>
      </c>
      <c r="B424" t="s">
        <v>937</v>
      </c>
      <c r="C424" t="s">
        <v>935</v>
      </c>
      <c r="D424" t="s">
        <v>126</v>
      </c>
      <c r="E424" s="4">
        <v>1</v>
      </c>
      <c r="F424" t="s">
        <v>61</v>
      </c>
      <c r="G424" t="s">
        <v>61</v>
      </c>
      <c r="H424" s="3">
        <v>46175</v>
      </c>
      <c r="I424" s="3">
        <v>46181</v>
      </c>
      <c r="J424" t="s">
        <v>472</v>
      </c>
      <c r="K424" s="3">
        <v>46181</v>
      </c>
      <c r="L424" s="3">
        <v>46175</v>
      </c>
      <c r="M424" s="3">
        <v>46181</v>
      </c>
      <c r="N424" s="3">
        <v>46181</v>
      </c>
      <c r="O424" t="s">
        <v>472</v>
      </c>
      <c r="P424" t="s">
        <v>55</v>
      </c>
      <c r="Q424">
        <v>469</v>
      </c>
      <c r="S424" t="s">
        <v>302</v>
      </c>
      <c r="T424" t="s">
        <v>425</v>
      </c>
      <c r="U424">
        <v>471</v>
      </c>
      <c r="V424" t="s">
        <v>61</v>
      </c>
      <c r="W424">
        <v>13.4</v>
      </c>
      <c r="X424" t="s">
        <v>57</v>
      </c>
      <c r="Z424" t="s">
        <v>302</v>
      </c>
      <c r="AA424" t="s">
        <v>77</v>
      </c>
      <c r="AE424">
        <v>1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1</v>
      </c>
      <c r="AM424">
        <v>0</v>
      </c>
      <c r="AN424">
        <v>0</v>
      </c>
      <c r="AO424">
        <v>0</v>
      </c>
      <c r="AP424">
        <v>0</v>
      </c>
    </row>
    <row r="425" spans="1:42" x14ac:dyDescent="0.25">
      <c r="A425">
        <v>471</v>
      </c>
      <c r="B425" t="s">
        <v>938</v>
      </c>
      <c r="C425" t="s">
        <v>935</v>
      </c>
      <c r="D425" t="s">
        <v>133</v>
      </c>
      <c r="E425" s="4">
        <v>1</v>
      </c>
      <c r="F425" t="s">
        <v>151</v>
      </c>
      <c r="G425" t="s">
        <v>151</v>
      </c>
      <c r="H425" s="3">
        <v>46175</v>
      </c>
      <c r="I425" s="3">
        <v>46190</v>
      </c>
      <c r="J425" t="s">
        <v>472</v>
      </c>
      <c r="K425" s="3">
        <v>46190</v>
      </c>
      <c r="L425" s="3">
        <v>46175</v>
      </c>
      <c r="M425" s="3">
        <v>46190</v>
      </c>
      <c r="N425" s="3">
        <v>46190</v>
      </c>
      <c r="O425" t="s">
        <v>472</v>
      </c>
      <c r="P425" t="s">
        <v>55</v>
      </c>
      <c r="Q425">
        <v>470</v>
      </c>
      <c r="S425" t="s">
        <v>124</v>
      </c>
      <c r="T425" t="s">
        <v>425</v>
      </c>
      <c r="V425" t="s">
        <v>61</v>
      </c>
      <c r="W425">
        <v>13.4</v>
      </c>
      <c r="X425" t="s">
        <v>57</v>
      </c>
      <c r="Z425" t="s">
        <v>124</v>
      </c>
      <c r="AA425" t="s">
        <v>77</v>
      </c>
      <c r="AE425">
        <v>1</v>
      </c>
      <c r="AF425">
        <v>0</v>
      </c>
      <c r="AG425">
        <v>0</v>
      </c>
      <c r="AH425">
        <v>0</v>
      </c>
      <c r="AI425">
        <v>1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0</v>
      </c>
      <c r="AP425">
        <v>0</v>
      </c>
    </row>
    <row r="426" spans="1:42" x14ac:dyDescent="0.25">
      <c r="A426">
        <v>472</v>
      </c>
      <c r="B426" t="s">
        <v>939</v>
      </c>
      <c r="C426" t="s">
        <v>902</v>
      </c>
      <c r="D426" t="s">
        <v>940</v>
      </c>
      <c r="E426" s="4">
        <v>1</v>
      </c>
      <c r="F426" t="s">
        <v>192</v>
      </c>
      <c r="G426" t="s">
        <v>192</v>
      </c>
      <c r="H426" s="3">
        <v>46163</v>
      </c>
      <c r="I426" s="3">
        <v>46190</v>
      </c>
      <c r="J426" t="s">
        <v>491</v>
      </c>
      <c r="K426" s="3">
        <v>46190</v>
      </c>
      <c r="L426" s="3">
        <v>46163</v>
      </c>
      <c r="M426" s="3">
        <v>46190</v>
      </c>
      <c r="N426" s="3">
        <v>46190</v>
      </c>
      <c r="O426" t="s">
        <v>491</v>
      </c>
      <c r="P426" t="s">
        <v>55</v>
      </c>
      <c r="T426" t="s">
        <v>425</v>
      </c>
      <c r="V426" t="s">
        <v>175</v>
      </c>
      <c r="X426" t="s">
        <v>57</v>
      </c>
      <c r="AA426" t="s">
        <v>50</v>
      </c>
      <c r="AB426" t="s">
        <v>94</v>
      </c>
      <c r="AE426">
        <v>1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</row>
    <row r="427" spans="1:42" x14ac:dyDescent="0.25">
      <c r="A427">
        <v>473</v>
      </c>
      <c r="B427" t="s">
        <v>941</v>
      </c>
      <c r="C427" t="s">
        <v>942</v>
      </c>
      <c r="D427" t="s">
        <v>117</v>
      </c>
      <c r="E427" s="4">
        <v>1</v>
      </c>
      <c r="F427" t="s">
        <v>114</v>
      </c>
      <c r="G427" t="s">
        <v>114</v>
      </c>
      <c r="H427" s="3">
        <v>46163</v>
      </c>
      <c r="I427" s="3">
        <v>46175</v>
      </c>
      <c r="J427" t="s">
        <v>491</v>
      </c>
      <c r="K427" s="3">
        <v>46175</v>
      </c>
      <c r="L427" s="3">
        <v>46163</v>
      </c>
      <c r="M427" s="3">
        <v>46175</v>
      </c>
      <c r="N427" s="3">
        <v>46175</v>
      </c>
      <c r="O427" t="s">
        <v>491</v>
      </c>
      <c r="P427" t="s">
        <v>55</v>
      </c>
      <c r="Q427" t="s">
        <v>928</v>
      </c>
      <c r="S427" t="s">
        <v>302</v>
      </c>
      <c r="T427" t="s">
        <v>425</v>
      </c>
      <c r="U427">
        <v>474</v>
      </c>
      <c r="V427" t="s">
        <v>127</v>
      </c>
      <c r="W427">
        <v>13.4</v>
      </c>
      <c r="X427" t="s">
        <v>57</v>
      </c>
      <c r="Z427" t="s">
        <v>302</v>
      </c>
      <c r="AA427" t="s">
        <v>198</v>
      </c>
      <c r="AE427">
        <v>1</v>
      </c>
      <c r="AF427">
        <v>1</v>
      </c>
      <c r="AG427">
        <v>1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1</v>
      </c>
    </row>
    <row r="428" spans="1:42" x14ac:dyDescent="0.25">
      <c r="A428">
        <v>474</v>
      </c>
      <c r="B428" t="s">
        <v>943</v>
      </c>
      <c r="C428" t="s">
        <v>942</v>
      </c>
      <c r="D428" t="s">
        <v>121</v>
      </c>
      <c r="E428" s="4">
        <v>1</v>
      </c>
      <c r="F428" t="s">
        <v>61</v>
      </c>
      <c r="G428" t="s">
        <v>61</v>
      </c>
      <c r="H428" s="3">
        <v>46175</v>
      </c>
      <c r="I428" s="3">
        <v>46176</v>
      </c>
      <c r="J428" t="s">
        <v>472</v>
      </c>
      <c r="K428" s="3">
        <v>46176</v>
      </c>
      <c r="L428" s="3">
        <v>46175</v>
      </c>
      <c r="M428" s="3">
        <v>46176</v>
      </c>
      <c r="N428" s="3">
        <v>46176</v>
      </c>
      <c r="O428" t="s">
        <v>472</v>
      </c>
      <c r="P428" t="s">
        <v>55</v>
      </c>
      <c r="Q428">
        <v>473</v>
      </c>
      <c r="S428" t="s">
        <v>124</v>
      </c>
      <c r="T428" t="s">
        <v>425</v>
      </c>
      <c r="U428">
        <v>475</v>
      </c>
      <c r="V428" t="s">
        <v>122</v>
      </c>
      <c r="W428">
        <v>13.4</v>
      </c>
      <c r="X428" t="s">
        <v>57</v>
      </c>
      <c r="Z428" t="s">
        <v>124</v>
      </c>
      <c r="AA428" t="s">
        <v>77</v>
      </c>
      <c r="AE428">
        <v>1</v>
      </c>
      <c r="AF428">
        <v>0</v>
      </c>
      <c r="AG428">
        <v>0</v>
      </c>
      <c r="AH428">
        <v>0</v>
      </c>
      <c r="AI428">
        <v>0</v>
      </c>
      <c r="AJ428">
        <v>1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</row>
    <row r="429" spans="1:42" x14ac:dyDescent="0.25">
      <c r="A429">
        <v>475</v>
      </c>
      <c r="B429" t="s">
        <v>944</v>
      </c>
      <c r="C429" t="s">
        <v>942</v>
      </c>
      <c r="D429" t="s">
        <v>126</v>
      </c>
      <c r="E429" s="4">
        <v>1</v>
      </c>
      <c r="F429" t="s">
        <v>61</v>
      </c>
      <c r="G429" t="s">
        <v>61</v>
      </c>
      <c r="H429" s="3">
        <v>46175</v>
      </c>
      <c r="I429" s="3">
        <v>46181</v>
      </c>
      <c r="J429" t="s">
        <v>472</v>
      </c>
      <c r="K429" s="3">
        <v>46181</v>
      </c>
      <c r="L429" s="3">
        <v>46175</v>
      </c>
      <c r="M429" s="3">
        <v>46181</v>
      </c>
      <c r="N429" s="3">
        <v>46181</v>
      </c>
      <c r="O429" t="s">
        <v>472</v>
      </c>
      <c r="P429" t="s">
        <v>55</v>
      </c>
      <c r="Q429">
        <v>474</v>
      </c>
      <c r="S429" t="s">
        <v>302</v>
      </c>
      <c r="T429" t="s">
        <v>425</v>
      </c>
      <c r="U429">
        <v>476</v>
      </c>
      <c r="V429" t="s">
        <v>61</v>
      </c>
      <c r="W429">
        <v>13.4</v>
      </c>
      <c r="X429" t="s">
        <v>57</v>
      </c>
      <c r="Z429" t="s">
        <v>302</v>
      </c>
      <c r="AA429" t="s">
        <v>77</v>
      </c>
      <c r="AE429">
        <v>1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1</v>
      </c>
      <c r="AM429">
        <v>0</v>
      </c>
      <c r="AN429">
        <v>0</v>
      </c>
      <c r="AO429">
        <v>0</v>
      </c>
      <c r="AP429">
        <v>0</v>
      </c>
    </row>
    <row r="430" spans="1:42" x14ac:dyDescent="0.25">
      <c r="A430">
        <v>476</v>
      </c>
      <c r="B430" t="s">
        <v>945</v>
      </c>
      <c r="C430" t="s">
        <v>942</v>
      </c>
      <c r="D430" t="s">
        <v>133</v>
      </c>
      <c r="E430" s="4">
        <v>1</v>
      </c>
      <c r="F430" t="s">
        <v>114</v>
      </c>
      <c r="G430" t="s">
        <v>114</v>
      </c>
      <c r="H430" s="3">
        <v>46176</v>
      </c>
      <c r="I430" s="3">
        <v>46190</v>
      </c>
      <c r="J430" t="s">
        <v>459</v>
      </c>
      <c r="K430" s="3">
        <v>46190</v>
      </c>
      <c r="L430" s="3">
        <v>46176</v>
      </c>
      <c r="M430" s="3">
        <v>46190</v>
      </c>
      <c r="N430" s="3">
        <v>46190</v>
      </c>
      <c r="O430" t="s">
        <v>459</v>
      </c>
      <c r="P430" t="s">
        <v>55</v>
      </c>
      <c r="Q430">
        <v>475</v>
      </c>
      <c r="S430" t="s">
        <v>124</v>
      </c>
      <c r="T430" t="s">
        <v>425</v>
      </c>
      <c r="V430" t="s">
        <v>61</v>
      </c>
      <c r="W430">
        <v>13.4</v>
      </c>
      <c r="X430" t="s">
        <v>57</v>
      </c>
      <c r="Z430" t="s">
        <v>124</v>
      </c>
      <c r="AA430" t="s">
        <v>77</v>
      </c>
      <c r="AE430">
        <v>1</v>
      </c>
      <c r="AF430">
        <v>0</v>
      </c>
      <c r="AG430">
        <v>0</v>
      </c>
      <c r="AH430">
        <v>0</v>
      </c>
      <c r="AI430">
        <v>1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0</v>
      </c>
      <c r="AP430">
        <v>0</v>
      </c>
    </row>
    <row r="431" spans="1:42" x14ac:dyDescent="0.25">
      <c r="A431">
        <v>477</v>
      </c>
      <c r="B431" t="s">
        <v>946</v>
      </c>
      <c r="C431" t="s">
        <v>425</v>
      </c>
      <c r="D431" t="s">
        <v>947</v>
      </c>
      <c r="E431" s="4">
        <v>1</v>
      </c>
      <c r="F431" t="s">
        <v>345</v>
      </c>
      <c r="G431" t="s">
        <v>345</v>
      </c>
      <c r="H431" s="3">
        <v>46162</v>
      </c>
      <c r="I431" s="3">
        <v>46199</v>
      </c>
      <c r="J431" t="s">
        <v>183</v>
      </c>
      <c r="K431" s="3">
        <v>46171</v>
      </c>
      <c r="L431" s="3">
        <v>46147</v>
      </c>
      <c r="M431" s="3">
        <v>46199</v>
      </c>
      <c r="N431" s="3">
        <v>46199</v>
      </c>
      <c r="O431" t="s">
        <v>200</v>
      </c>
      <c r="P431" t="s">
        <v>55</v>
      </c>
      <c r="T431" t="s">
        <v>425</v>
      </c>
      <c r="V431" t="s">
        <v>187</v>
      </c>
      <c r="X431" t="s">
        <v>57</v>
      </c>
      <c r="AA431" t="s">
        <v>50</v>
      </c>
      <c r="AB431" t="s">
        <v>94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</row>
    <row r="432" spans="1:42" x14ac:dyDescent="0.25">
      <c r="A432">
        <v>478</v>
      </c>
      <c r="B432" t="s">
        <v>948</v>
      </c>
      <c r="C432" t="s">
        <v>949</v>
      </c>
      <c r="D432" t="s">
        <v>950</v>
      </c>
      <c r="E432" s="4">
        <v>1</v>
      </c>
      <c r="F432" t="s">
        <v>951</v>
      </c>
      <c r="G432" t="s">
        <v>951</v>
      </c>
      <c r="H432" s="3">
        <v>46162</v>
      </c>
      <c r="I432" s="3">
        <v>46196</v>
      </c>
      <c r="J432" t="s">
        <v>491</v>
      </c>
      <c r="K432" s="3">
        <v>46171</v>
      </c>
      <c r="L432" s="3">
        <v>46163</v>
      </c>
      <c r="M432" s="3">
        <v>46196</v>
      </c>
      <c r="N432" s="3">
        <v>46196</v>
      </c>
      <c r="O432" t="s">
        <v>200</v>
      </c>
      <c r="P432" t="s">
        <v>55</v>
      </c>
      <c r="T432" t="s">
        <v>425</v>
      </c>
      <c r="V432" t="s">
        <v>175</v>
      </c>
      <c r="X432" t="s">
        <v>57</v>
      </c>
      <c r="AA432" t="s">
        <v>50</v>
      </c>
      <c r="AB432" t="s">
        <v>94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</row>
    <row r="433" spans="1:42" x14ac:dyDescent="0.25">
      <c r="A433">
        <v>479</v>
      </c>
      <c r="B433" t="s">
        <v>952</v>
      </c>
      <c r="C433" t="s">
        <v>953</v>
      </c>
      <c r="D433" t="s">
        <v>117</v>
      </c>
      <c r="E433" s="4">
        <v>1</v>
      </c>
      <c r="F433" t="s">
        <v>122</v>
      </c>
      <c r="G433" t="s">
        <v>122</v>
      </c>
      <c r="H433" s="3">
        <v>46162</v>
      </c>
      <c r="I433" s="3">
        <v>46164</v>
      </c>
      <c r="J433" t="s">
        <v>491</v>
      </c>
      <c r="K433" s="3">
        <v>46164</v>
      </c>
      <c r="L433" s="3">
        <v>46163</v>
      </c>
      <c r="M433" s="3">
        <v>46164</v>
      </c>
      <c r="N433" s="3">
        <v>46164</v>
      </c>
      <c r="O433" t="s">
        <v>200</v>
      </c>
      <c r="P433" t="s">
        <v>55</v>
      </c>
      <c r="Q433">
        <v>365</v>
      </c>
      <c r="S433" t="s">
        <v>302</v>
      </c>
      <c r="T433" t="s">
        <v>425</v>
      </c>
      <c r="U433" t="s">
        <v>954</v>
      </c>
      <c r="V433" t="s">
        <v>127</v>
      </c>
      <c r="W433">
        <v>13.4</v>
      </c>
      <c r="X433" t="s">
        <v>57</v>
      </c>
      <c r="Z433" t="s">
        <v>302</v>
      </c>
      <c r="AA433" t="s">
        <v>198</v>
      </c>
      <c r="AE433">
        <v>1</v>
      </c>
      <c r="AF433">
        <v>1</v>
      </c>
      <c r="AG433">
        <v>1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1</v>
      </c>
    </row>
    <row r="434" spans="1:42" x14ac:dyDescent="0.25">
      <c r="A434">
        <v>480</v>
      </c>
      <c r="B434" t="s">
        <v>955</v>
      </c>
      <c r="C434" t="s">
        <v>953</v>
      </c>
      <c r="D434" t="s">
        <v>121</v>
      </c>
      <c r="E434" s="4">
        <v>1</v>
      </c>
      <c r="F434" t="s">
        <v>127</v>
      </c>
      <c r="G434" t="s">
        <v>127</v>
      </c>
      <c r="H434" s="3">
        <v>46167</v>
      </c>
      <c r="I434" s="3">
        <v>46168</v>
      </c>
      <c r="J434" t="s">
        <v>74</v>
      </c>
      <c r="K434" s="3">
        <v>46169</v>
      </c>
      <c r="L434" s="3">
        <v>46167</v>
      </c>
      <c r="M434" s="3">
        <v>46168</v>
      </c>
      <c r="N434" s="3">
        <v>46168</v>
      </c>
      <c r="O434" t="s">
        <v>74</v>
      </c>
      <c r="P434" t="s">
        <v>55</v>
      </c>
      <c r="Q434">
        <v>479</v>
      </c>
      <c r="S434" t="s">
        <v>124</v>
      </c>
      <c r="T434" t="s">
        <v>425</v>
      </c>
      <c r="U434">
        <v>481</v>
      </c>
      <c r="V434" t="s">
        <v>122</v>
      </c>
      <c r="W434">
        <v>13.4</v>
      </c>
      <c r="X434" t="s">
        <v>57</v>
      </c>
      <c r="Z434" t="s">
        <v>124</v>
      </c>
      <c r="AA434" t="s">
        <v>77</v>
      </c>
      <c r="AE434">
        <v>1</v>
      </c>
      <c r="AF434">
        <v>0</v>
      </c>
      <c r="AG434">
        <v>0</v>
      </c>
      <c r="AH434">
        <v>0</v>
      </c>
      <c r="AI434">
        <v>0</v>
      </c>
      <c r="AJ434">
        <v>1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</row>
    <row r="435" spans="1:42" x14ac:dyDescent="0.25">
      <c r="A435">
        <v>481</v>
      </c>
      <c r="B435" t="s">
        <v>956</v>
      </c>
      <c r="C435" t="s">
        <v>953</v>
      </c>
      <c r="D435" t="s">
        <v>126</v>
      </c>
      <c r="E435" s="4">
        <v>1</v>
      </c>
      <c r="F435" t="s">
        <v>114</v>
      </c>
      <c r="G435" t="s">
        <v>114</v>
      </c>
      <c r="H435" s="3">
        <v>46168</v>
      </c>
      <c r="I435" s="3">
        <v>46183</v>
      </c>
      <c r="J435" t="s">
        <v>448</v>
      </c>
      <c r="K435" s="3">
        <v>46170</v>
      </c>
      <c r="L435" s="3">
        <v>46170</v>
      </c>
      <c r="M435" s="3">
        <v>46183</v>
      </c>
      <c r="N435" s="3">
        <v>46183</v>
      </c>
      <c r="O435" t="s">
        <v>206</v>
      </c>
      <c r="P435" t="s">
        <v>55</v>
      </c>
      <c r="Q435">
        <v>480</v>
      </c>
      <c r="S435" t="s">
        <v>302</v>
      </c>
      <c r="T435" t="s">
        <v>425</v>
      </c>
      <c r="U435">
        <v>482</v>
      </c>
      <c r="V435" t="s">
        <v>61</v>
      </c>
      <c r="W435">
        <v>13.4</v>
      </c>
      <c r="X435" t="s">
        <v>57</v>
      </c>
      <c r="Z435" t="s">
        <v>302</v>
      </c>
      <c r="AA435" t="s">
        <v>77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1</v>
      </c>
      <c r="AM435">
        <v>0</v>
      </c>
      <c r="AN435">
        <v>0</v>
      </c>
      <c r="AO435">
        <v>0</v>
      </c>
      <c r="AP435">
        <v>0</v>
      </c>
    </row>
    <row r="436" spans="1:42" x14ac:dyDescent="0.25">
      <c r="A436">
        <v>482</v>
      </c>
      <c r="B436" t="s">
        <v>957</v>
      </c>
      <c r="C436" t="s">
        <v>953</v>
      </c>
      <c r="D436" t="s">
        <v>133</v>
      </c>
      <c r="E436" s="4">
        <v>1</v>
      </c>
      <c r="F436" t="s">
        <v>923</v>
      </c>
      <c r="G436" t="s">
        <v>923</v>
      </c>
      <c r="H436" s="3">
        <v>46184</v>
      </c>
      <c r="I436" s="3">
        <v>46196</v>
      </c>
      <c r="J436" t="s">
        <v>189</v>
      </c>
      <c r="K436" s="3">
        <v>46171</v>
      </c>
      <c r="L436" s="3">
        <v>46171</v>
      </c>
      <c r="M436" s="3">
        <v>46196</v>
      </c>
      <c r="N436" s="3">
        <v>46196</v>
      </c>
      <c r="O436" t="s">
        <v>476</v>
      </c>
      <c r="P436" t="s">
        <v>55</v>
      </c>
      <c r="Q436">
        <v>481</v>
      </c>
      <c r="S436" t="s">
        <v>124</v>
      </c>
      <c r="T436" t="s">
        <v>425</v>
      </c>
      <c r="V436" t="s">
        <v>61</v>
      </c>
      <c r="W436">
        <v>13.4</v>
      </c>
      <c r="X436" t="s">
        <v>57</v>
      </c>
      <c r="Z436" t="s">
        <v>124</v>
      </c>
      <c r="AA436" t="s">
        <v>77</v>
      </c>
      <c r="AE436">
        <v>1</v>
      </c>
      <c r="AF436">
        <v>0</v>
      </c>
      <c r="AG436">
        <v>0</v>
      </c>
      <c r="AH436">
        <v>0</v>
      </c>
      <c r="AI436">
        <v>1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0</v>
      </c>
      <c r="AP436">
        <v>0</v>
      </c>
    </row>
    <row r="437" spans="1:42" x14ac:dyDescent="0.25">
      <c r="A437">
        <v>483</v>
      </c>
      <c r="B437" t="s">
        <v>958</v>
      </c>
      <c r="C437" t="s">
        <v>949</v>
      </c>
      <c r="D437" t="s">
        <v>959</v>
      </c>
      <c r="E437" s="4">
        <v>1</v>
      </c>
      <c r="F437" t="s">
        <v>613</v>
      </c>
      <c r="G437" t="s">
        <v>613</v>
      </c>
      <c r="H437" s="3">
        <v>46162</v>
      </c>
      <c r="I437" s="3">
        <v>46196</v>
      </c>
      <c r="J437" t="s">
        <v>200</v>
      </c>
      <c r="K437" s="3">
        <v>46196</v>
      </c>
      <c r="L437" s="3">
        <v>46162</v>
      </c>
      <c r="M437" s="3">
        <v>46196</v>
      </c>
      <c r="N437" s="3">
        <v>46196</v>
      </c>
      <c r="O437" t="s">
        <v>200</v>
      </c>
      <c r="P437" t="s">
        <v>55</v>
      </c>
      <c r="T437" t="s">
        <v>425</v>
      </c>
      <c r="V437" t="s">
        <v>175</v>
      </c>
      <c r="X437" t="s">
        <v>57</v>
      </c>
      <c r="AA437" t="s">
        <v>50</v>
      </c>
      <c r="AB437" t="s">
        <v>94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</row>
    <row r="438" spans="1:42" x14ac:dyDescent="0.25">
      <c r="A438">
        <v>484</v>
      </c>
      <c r="B438" t="s">
        <v>960</v>
      </c>
      <c r="C438" t="s">
        <v>961</v>
      </c>
      <c r="D438" t="s">
        <v>117</v>
      </c>
      <c r="E438" s="4">
        <v>1</v>
      </c>
      <c r="F438" t="s">
        <v>122</v>
      </c>
      <c r="G438" t="s">
        <v>122</v>
      </c>
      <c r="H438" s="3">
        <v>46162</v>
      </c>
      <c r="I438" s="3">
        <v>46164</v>
      </c>
      <c r="J438" t="s">
        <v>200</v>
      </c>
      <c r="K438" s="3">
        <v>46164</v>
      </c>
      <c r="L438" s="3">
        <v>46162</v>
      </c>
      <c r="M438" s="3">
        <v>46164</v>
      </c>
      <c r="N438" s="3">
        <v>46164</v>
      </c>
      <c r="O438" t="s">
        <v>200</v>
      </c>
      <c r="P438" t="s">
        <v>55</v>
      </c>
      <c r="Q438">
        <v>365</v>
      </c>
      <c r="S438" t="s">
        <v>302</v>
      </c>
      <c r="T438" t="s">
        <v>425</v>
      </c>
      <c r="U438" t="s">
        <v>962</v>
      </c>
      <c r="V438" t="s">
        <v>127</v>
      </c>
      <c r="W438">
        <v>13.4</v>
      </c>
      <c r="X438" t="s">
        <v>57</v>
      </c>
      <c r="Z438" t="s">
        <v>302</v>
      </c>
      <c r="AA438" t="s">
        <v>198</v>
      </c>
      <c r="AE438">
        <v>1</v>
      </c>
      <c r="AF438">
        <v>1</v>
      </c>
      <c r="AG438">
        <v>1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1</v>
      </c>
    </row>
    <row r="439" spans="1:42" x14ac:dyDescent="0.25">
      <c r="A439">
        <v>485</v>
      </c>
      <c r="B439" t="s">
        <v>963</v>
      </c>
      <c r="C439" t="s">
        <v>961</v>
      </c>
      <c r="D439" t="s">
        <v>121</v>
      </c>
      <c r="E439" s="4">
        <v>1</v>
      </c>
      <c r="F439" t="s">
        <v>127</v>
      </c>
      <c r="G439" t="s">
        <v>127</v>
      </c>
      <c r="H439" s="3">
        <v>46167</v>
      </c>
      <c r="I439" s="3">
        <v>46168</v>
      </c>
      <c r="J439" t="s">
        <v>74</v>
      </c>
      <c r="K439" s="3">
        <v>46168</v>
      </c>
      <c r="L439" s="3">
        <v>46167</v>
      </c>
      <c r="M439" s="3">
        <v>46168</v>
      </c>
      <c r="N439" s="3">
        <v>46168</v>
      </c>
      <c r="O439" t="s">
        <v>74</v>
      </c>
      <c r="P439" t="s">
        <v>55</v>
      </c>
      <c r="Q439">
        <v>484</v>
      </c>
      <c r="S439" t="s">
        <v>124</v>
      </c>
      <c r="T439" t="s">
        <v>425</v>
      </c>
      <c r="U439">
        <v>486</v>
      </c>
      <c r="V439" t="s">
        <v>122</v>
      </c>
      <c r="W439">
        <v>13.4</v>
      </c>
      <c r="X439" t="s">
        <v>57</v>
      </c>
      <c r="Z439" t="s">
        <v>124</v>
      </c>
      <c r="AA439" t="s">
        <v>77</v>
      </c>
      <c r="AE439">
        <v>1</v>
      </c>
      <c r="AF439">
        <v>0</v>
      </c>
      <c r="AG439">
        <v>0</v>
      </c>
      <c r="AH439">
        <v>0</v>
      </c>
      <c r="AI439">
        <v>0</v>
      </c>
      <c r="AJ439">
        <v>1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</row>
    <row r="440" spans="1:42" x14ac:dyDescent="0.25">
      <c r="A440">
        <v>486</v>
      </c>
      <c r="B440" t="s">
        <v>964</v>
      </c>
      <c r="C440" t="s">
        <v>961</v>
      </c>
      <c r="D440" t="s">
        <v>126</v>
      </c>
      <c r="E440" s="4">
        <v>1</v>
      </c>
      <c r="F440" t="s">
        <v>114</v>
      </c>
      <c r="G440" t="s">
        <v>114</v>
      </c>
      <c r="H440" s="3">
        <v>46168</v>
      </c>
      <c r="I440" s="3">
        <v>46183</v>
      </c>
      <c r="J440" t="s">
        <v>206</v>
      </c>
      <c r="K440" s="3">
        <v>46183</v>
      </c>
      <c r="L440" s="3">
        <v>46168</v>
      </c>
      <c r="M440" s="3">
        <v>46183</v>
      </c>
      <c r="N440" s="3">
        <v>46183</v>
      </c>
      <c r="O440" t="s">
        <v>206</v>
      </c>
      <c r="P440" t="s">
        <v>55</v>
      </c>
      <c r="Q440">
        <v>485</v>
      </c>
      <c r="S440" t="s">
        <v>302</v>
      </c>
      <c r="T440" t="s">
        <v>425</v>
      </c>
      <c r="U440">
        <v>487</v>
      </c>
      <c r="V440" t="s">
        <v>61</v>
      </c>
      <c r="W440">
        <v>13.4</v>
      </c>
      <c r="X440" t="s">
        <v>57</v>
      </c>
      <c r="Z440" t="s">
        <v>302</v>
      </c>
      <c r="AA440" t="s">
        <v>77</v>
      </c>
      <c r="AE440">
        <v>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1</v>
      </c>
      <c r="AM440">
        <v>0</v>
      </c>
      <c r="AN440">
        <v>0</v>
      </c>
      <c r="AO440">
        <v>0</v>
      </c>
      <c r="AP440">
        <v>0</v>
      </c>
    </row>
    <row r="441" spans="1:42" x14ac:dyDescent="0.25">
      <c r="A441">
        <v>487</v>
      </c>
      <c r="B441" t="s">
        <v>965</v>
      </c>
      <c r="C441" t="s">
        <v>961</v>
      </c>
      <c r="D441" t="s">
        <v>133</v>
      </c>
      <c r="E441" s="4">
        <v>1</v>
      </c>
      <c r="F441" t="s">
        <v>114</v>
      </c>
      <c r="G441" t="s">
        <v>114</v>
      </c>
      <c r="H441" s="3">
        <v>46184</v>
      </c>
      <c r="I441" s="3">
        <v>46196</v>
      </c>
      <c r="J441" t="s">
        <v>476</v>
      </c>
      <c r="K441" s="3">
        <v>46196</v>
      </c>
      <c r="L441" s="3">
        <v>46184</v>
      </c>
      <c r="M441" s="3">
        <v>46196</v>
      </c>
      <c r="N441" s="3">
        <v>46196</v>
      </c>
      <c r="O441" t="s">
        <v>476</v>
      </c>
      <c r="P441" t="s">
        <v>55</v>
      </c>
      <c r="Q441">
        <v>486</v>
      </c>
      <c r="S441" t="s">
        <v>124</v>
      </c>
      <c r="T441" t="s">
        <v>425</v>
      </c>
      <c r="V441" t="s">
        <v>61</v>
      </c>
      <c r="W441">
        <v>13.4</v>
      </c>
      <c r="X441" t="s">
        <v>57</v>
      </c>
      <c r="Z441" t="s">
        <v>124</v>
      </c>
      <c r="AA441" t="s">
        <v>77</v>
      </c>
      <c r="AE441">
        <v>1</v>
      </c>
      <c r="AF441">
        <v>0</v>
      </c>
      <c r="AG441">
        <v>0</v>
      </c>
      <c r="AH441">
        <v>0</v>
      </c>
      <c r="AI441">
        <v>1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0</v>
      </c>
      <c r="AP441">
        <v>0</v>
      </c>
    </row>
    <row r="442" spans="1:42" x14ac:dyDescent="0.25">
      <c r="A442">
        <v>488</v>
      </c>
      <c r="B442" t="s">
        <v>966</v>
      </c>
      <c r="C442" t="s">
        <v>949</v>
      </c>
      <c r="D442" t="s">
        <v>967</v>
      </c>
      <c r="E442" s="4">
        <v>1</v>
      </c>
      <c r="F442" t="s">
        <v>210</v>
      </c>
      <c r="G442" t="s">
        <v>210</v>
      </c>
      <c r="H442" s="3">
        <v>46162</v>
      </c>
      <c r="I442" s="3">
        <v>46171</v>
      </c>
      <c r="J442" t="s">
        <v>200</v>
      </c>
      <c r="K442" s="3">
        <v>46171</v>
      </c>
      <c r="L442" s="3">
        <v>46162</v>
      </c>
      <c r="M442" s="3">
        <v>46171</v>
      </c>
      <c r="N442" s="3">
        <v>46171</v>
      </c>
      <c r="O442" t="s">
        <v>200</v>
      </c>
      <c r="P442" t="s">
        <v>55</v>
      </c>
      <c r="T442" t="s">
        <v>425</v>
      </c>
      <c r="V442" t="s">
        <v>175</v>
      </c>
      <c r="X442" t="s">
        <v>57</v>
      </c>
      <c r="AA442" t="s">
        <v>50</v>
      </c>
      <c r="AB442" t="s">
        <v>94</v>
      </c>
      <c r="AE442">
        <v>1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</row>
    <row r="443" spans="1:42" x14ac:dyDescent="0.25">
      <c r="A443">
        <v>489</v>
      </c>
      <c r="B443" t="s">
        <v>968</v>
      </c>
      <c r="C443" t="s">
        <v>969</v>
      </c>
      <c r="D443" t="s">
        <v>117</v>
      </c>
      <c r="E443" s="4">
        <v>1</v>
      </c>
      <c r="F443" t="s">
        <v>122</v>
      </c>
      <c r="G443" t="s">
        <v>122</v>
      </c>
      <c r="H443" s="3">
        <v>46162</v>
      </c>
      <c r="I443" s="3">
        <v>46164</v>
      </c>
      <c r="J443" t="s">
        <v>200</v>
      </c>
      <c r="K443" s="3">
        <v>46164</v>
      </c>
      <c r="L443" s="3">
        <v>46162</v>
      </c>
      <c r="M443" s="3">
        <v>46164</v>
      </c>
      <c r="N443" s="3">
        <v>46164</v>
      </c>
      <c r="O443" t="s">
        <v>200</v>
      </c>
      <c r="P443" t="s">
        <v>55</v>
      </c>
      <c r="Q443" t="s">
        <v>970</v>
      </c>
      <c r="S443" t="s">
        <v>302</v>
      </c>
      <c r="T443" t="s">
        <v>425</v>
      </c>
      <c r="U443">
        <v>490</v>
      </c>
      <c r="V443" t="s">
        <v>127</v>
      </c>
      <c r="W443">
        <v>13.4</v>
      </c>
      <c r="X443" t="s">
        <v>57</v>
      </c>
      <c r="Z443" t="s">
        <v>302</v>
      </c>
      <c r="AA443" t="s">
        <v>198</v>
      </c>
      <c r="AE443">
        <v>1</v>
      </c>
      <c r="AF443">
        <v>1</v>
      </c>
      <c r="AG443">
        <v>1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1</v>
      </c>
    </row>
    <row r="444" spans="1:42" x14ac:dyDescent="0.25">
      <c r="A444">
        <v>490</v>
      </c>
      <c r="B444" t="s">
        <v>971</v>
      </c>
      <c r="C444" t="s">
        <v>969</v>
      </c>
      <c r="D444" t="s">
        <v>121</v>
      </c>
      <c r="E444" s="4">
        <v>1</v>
      </c>
      <c r="F444" t="s">
        <v>127</v>
      </c>
      <c r="G444" t="s">
        <v>127</v>
      </c>
      <c r="H444" s="3">
        <v>46167</v>
      </c>
      <c r="I444" s="3">
        <v>46168</v>
      </c>
      <c r="J444" t="s">
        <v>74</v>
      </c>
      <c r="K444" s="3">
        <v>46168</v>
      </c>
      <c r="L444" s="3">
        <v>46167</v>
      </c>
      <c r="M444" s="3">
        <v>46168</v>
      </c>
      <c r="N444" s="3">
        <v>46168</v>
      </c>
      <c r="O444" t="s">
        <v>74</v>
      </c>
      <c r="P444" t="s">
        <v>55</v>
      </c>
      <c r="Q444">
        <v>489</v>
      </c>
      <c r="S444" t="s">
        <v>124</v>
      </c>
      <c r="T444" t="s">
        <v>425</v>
      </c>
      <c r="U444">
        <v>491</v>
      </c>
      <c r="V444" t="s">
        <v>122</v>
      </c>
      <c r="W444">
        <v>13.4</v>
      </c>
      <c r="X444" t="s">
        <v>57</v>
      </c>
      <c r="Z444" t="s">
        <v>124</v>
      </c>
      <c r="AA444" t="s">
        <v>77</v>
      </c>
      <c r="AE444">
        <v>1</v>
      </c>
      <c r="AF444">
        <v>0</v>
      </c>
      <c r="AG444">
        <v>0</v>
      </c>
      <c r="AH444">
        <v>0</v>
      </c>
      <c r="AI444">
        <v>0</v>
      </c>
      <c r="AJ444">
        <v>1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</row>
    <row r="445" spans="1:42" x14ac:dyDescent="0.25">
      <c r="A445">
        <v>491</v>
      </c>
      <c r="B445" t="s">
        <v>972</v>
      </c>
      <c r="C445" t="s">
        <v>969</v>
      </c>
      <c r="D445" t="s">
        <v>126</v>
      </c>
      <c r="E445" s="4">
        <v>1</v>
      </c>
      <c r="F445" t="s">
        <v>61</v>
      </c>
      <c r="G445" t="s">
        <v>61</v>
      </c>
      <c r="H445" s="3">
        <v>46168</v>
      </c>
      <c r="I445" s="3">
        <v>46169</v>
      </c>
      <c r="J445" t="s">
        <v>206</v>
      </c>
      <c r="K445" s="3">
        <v>46169</v>
      </c>
      <c r="L445" s="3">
        <v>46168</v>
      </c>
      <c r="M445" s="3">
        <v>46169</v>
      </c>
      <c r="N445" s="3">
        <v>46169</v>
      </c>
      <c r="O445" t="s">
        <v>206</v>
      </c>
      <c r="P445" t="s">
        <v>55</v>
      </c>
      <c r="Q445">
        <v>490</v>
      </c>
      <c r="S445" t="s">
        <v>302</v>
      </c>
      <c r="T445" t="s">
        <v>425</v>
      </c>
      <c r="U445">
        <v>492</v>
      </c>
      <c r="V445" t="s">
        <v>61</v>
      </c>
      <c r="W445">
        <v>13.4</v>
      </c>
      <c r="X445" t="s">
        <v>57</v>
      </c>
      <c r="Z445" t="s">
        <v>302</v>
      </c>
      <c r="AA445" t="s">
        <v>77</v>
      </c>
      <c r="AE445">
        <v>1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1</v>
      </c>
      <c r="AM445">
        <v>0</v>
      </c>
      <c r="AN445">
        <v>0</v>
      </c>
      <c r="AO445">
        <v>0</v>
      </c>
      <c r="AP445">
        <v>0</v>
      </c>
    </row>
    <row r="446" spans="1:42" x14ac:dyDescent="0.25">
      <c r="A446">
        <v>492</v>
      </c>
      <c r="B446" t="s">
        <v>973</v>
      </c>
      <c r="C446" t="s">
        <v>969</v>
      </c>
      <c r="D446" t="s">
        <v>133</v>
      </c>
      <c r="E446" s="4">
        <v>1</v>
      </c>
      <c r="F446" t="s">
        <v>127</v>
      </c>
      <c r="G446" t="s">
        <v>127</v>
      </c>
      <c r="H446" s="3">
        <v>46170</v>
      </c>
      <c r="I446" s="3">
        <v>46171</v>
      </c>
      <c r="J446" t="s">
        <v>448</v>
      </c>
      <c r="K446" s="3">
        <v>46171</v>
      </c>
      <c r="L446" s="3">
        <v>46170</v>
      </c>
      <c r="M446" s="3">
        <v>46171</v>
      </c>
      <c r="N446" s="3">
        <v>46171</v>
      </c>
      <c r="O446" t="s">
        <v>448</v>
      </c>
      <c r="P446" t="s">
        <v>55</v>
      </c>
      <c r="Q446">
        <v>491</v>
      </c>
      <c r="S446" t="s">
        <v>124</v>
      </c>
      <c r="T446" t="s">
        <v>425</v>
      </c>
      <c r="V446" t="s">
        <v>61</v>
      </c>
      <c r="W446">
        <v>13.4</v>
      </c>
      <c r="X446" t="s">
        <v>57</v>
      </c>
      <c r="Z446" t="s">
        <v>124</v>
      </c>
      <c r="AA446" t="s">
        <v>77</v>
      </c>
      <c r="AE446">
        <v>1</v>
      </c>
      <c r="AF446">
        <v>0</v>
      </c>
      <c r="AG446">
        <v>0</v>
      </c>
      <c r="AH446">
        <v>0</v>
      </c>
      <c r="AI446">
        <v>1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0</v>
      </c>
      <c r="AP446">
        <v>0</v>
      </c>
    </row>
    <row r="447" spans="1:42" x14ac:dyDescent="0.25">
      <c r="A447">
        <v>493</v>
      </c>
      <c r="B447" t="s">
        <v>974</v>
      </c>
      <c r="C447" t="s">
        <v>949</v>
      </c>
      <c r="D447" t="s">
        <v>975</v>
      </c>
      <c r="E447" s="4">
        <v>1</v>
      </c>
      <c r="F447" t="s">
        <v>976</v>
      </c>
      <c r="G447" t="s">
        <v>976</v>
      </c>
      <c r="H447" s="3">
        <v>46163</v>
      </c>
      <c r="I447" s="3">
        <v>46199</v>
      </c>
      <c r="J447" t="s">
        <v>491</v>
      </c>
      <c r="K447" s="3">
        <v>46199</v>
      </c>
      <c r="L447" s="3">
        <v>46163</v>
      </c>
      <c r="M447" s="3">
        <v>46199</v>
      </c>
      <c r="N447" s="3">
        <v>46199</v>
      </c>
      <c r="O447" t="s">
        <v>491</v>
      </c>
      <c r="P447" t="s">
        <v>55</v>
      </c>
      <c r="T447" t="s">
        <v>425</v>
      </c>
      <c r="V447" t="s">
        <v>175</v>
      </c>
      <c r="X447" t="s">
        <v>57</v>
      </c>
      <c r="AA447" t="s">
        <v>50</v>
      </c>
      <c r="AB447" t="s">
        <v>94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</row>
    <row r="448" spans="1:42" x14ac:dyDescent="0.25">
      <c r="A448">
        <v>494</v>
      </c>
      <c r="B448" t="s">
        <v>977</v>
      </c>
      <c r="C448" t="s">
        <v>978</v>
      </c>
      <c r="D448" t="s">
        <v>117</v>
      </c>
      <c r="E448" s="4">
        <v>1</v>
      </c>
      <c r="F448" t="s">
        <v>114</v>
      </c>
      <c r="G448" t="s">
        <v>114</v>
      </c>
      <c r="H448" s="3">
        <v>46163</v>
      </c>
      <c r="I448" s="3">
        <v>46175</v>
      </c>
      <c r="J448" t="s">
        <v>491</v>
      </c>
      <c r="K448" s="3">
        <v>46175</v>
      </c>
      <c r="L448" s="3">
        <v>46163</v>
      </c>
      <c r="M448" s="3">
        <v>46175</v>
      </c>
      <c r="N448" s="3">
        <v>46175</v>
      </c>
      <c r="O448" t="s">
        <v>491</v>
      </c>
      <c r="P448" t="s">
        <v>55</v>
      </c>
      <c r="Q448" t="s">
        <v>970</v>
      </c>
      <c r="S448" t="s">
        <v>302</v>
      </c>
      <c r="T448" t="s">
        <v>425</v>
      </c>
      <c r="U448">
        <v>495</v>
      </c>
      <c r="V448" t="s">
        <v>127</v>
      </c>
      <c r="W448">
        <v>13.4</v>
      </c>
      <c r="X448" t="s">
        <v>57</v>
      </c>
      <c r="Z448" t="s">
        <v>302</v>
      </c>
      <c r="AA448" t="s">
        <v>198</v>
      </c>
      <c r="AE448">
        <v>1</v>
      </c>
      <c r="AF448">
        <v>1</v>
      </c>
      <c r="AG448">
        <v>1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1</v>
      </c>
    </row>
    <row r="449" spans="1:42" x14ac:dyDescent="0.25">
      <c r="A449">
        <v>495</v>
      </c>
      <c r="B449" t="s">
        <v>979</v>
      </c>
      <c r="C449" t="s">
        <v>978</v>
      </c>
      <c r="D449" t="s">
        <v>121</v>
      </c>
      <c r="E449" s="4">
        <v>1</v>
      </c>
      <c r="F449" t="s">
        <v>61</v>
      </c>
      <c r="G449" t="s">
        <v>61</v>
      </c>
      <c r="H449" s="3">
        <v>46175</v>
      </c>
      <c r="I449" s="3">
        <v>46176</v>
      </c>
      <c r="J449" t="s">
        <v>472</v>
      </c>
      <c r="K449" s="3">
        <v>46176</v>
      </c>
      <c r="L449" s="3">
        <v>46175</v>
      </c>
      <c r="M449" s="3">
        <v>46176</v>
      </c>
      <c r="N449" s="3">
        <v>46176</v>
      </c>
      <c r="O449" t="s">
        <v>472</v>
      </c>
      <c r="P449" t="s">
        <v>55</v>
      </c>
      <c r="Q449">
        <v>494</v>
      </c>
      <c r="S449" t="s">
        <v>124</v>
      </c>
      <c r="T449" t="s">
        <v>425</v>
      </c>
      <c r="U449">
        <v>496</v>
      </c>
      <c r="V449" t="s">
        <v>122</v>
      </c>
      <c r="W449">
        <v>13.4</v>
      </c>
      <c r="X449" t="s">
        <v>57</v>
      </c>
      <c r="Z449" t="s">
        <v>124</v>
      </c>
      <c r="AA449" t="s">
        <v>77</v>
      </c>
      <c r="AE449">
        <v>1</v>
      </c>
      <c r="AF449">
        <v>0</v>
      </c>
      <c r="AG449">
        <v>0</v>
      </c>
      <c r="AH449">
        <v>0</v>
      </c>
      <c r="AI449">
        <v>0</v>
      </c>
      <c r="AJ449">
        <v>1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</row>
    <row r="450" spans="1:42" x14ac:dyDescent="0.25">
      <c r="A450">
        <v>496</v>
      </c>
      <c r="B450" t="s">
        <v>980</v>
      </c>
      <c r="C450" t="s">
        <v>978</v>
      </c>
      <c r="D450" t="s">
        <v>126</v>
      </c>
      <c r="E450" s="4">
        <v>1</v>
      </c>
      <c r="F450" t="s">
        <v>61</v>
      </c>
      <c r="G450" t="s">
        <v>61</v>
      </c>
      <c r="H450" s="3">
        <v>46175</v>
      </c>
      <c r="I450" s="3">
        <v>46181</v>
      </c>
      <c r="J450" t="s">
        <v>472</v>
      </c>
      <c r="K450" s="3">
        <v>46181</v>
      </c>
      <c r="L450" s="3">
        <v>46175</v>
      </c>
      <c r="M450" s="3">
        <v>46181</v>
      </c>
      <c r="N450" s="3">
        <v>46181</v>
      </c>
      <c r="O450" t="s">
        <v>472</v>
      </c>
      <c r="P450" t="s">
        <v>55</v>
      </c>
      <c r="Q450">
        <v>495</v>
      </c>
      <c r="S450" t="s">
        <v>302</v>
      </c>
      <c r="T450" t="s">
        <v>425</v>
      </c>
      <c r="U450">
        <v>497</v>
      </c>
      <c r="V450" t="s">
        <v>61</v>
      </c>
      <c r="W450">
        <v>13.4</v>
      </c>
      <c r="X450" t="s">
        <v>57</v>
      </c>
      <c r="Z450" t="s">
        <v>302</v>
      </c>
      <c r="AA450" t="s">
        <v>77</v>
      </c>
      <c r="AE450">
        <v>1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1</v>
      </c>
      <c r="AM450">
        <v>0</v>
      </c>
      <c r="AN450">
        <v>0</v>
      </c>
      <c r="AO450">
        <v>0</v>
      </c>
      <c r="AP450">
        <v>0</v>
      </c>
    </row>
    <row r="451" spans="1:42" x14ac:dyDescent="0.25">
      <c r="A451">
        <v>497</v>
      </c>
      <c r="B451" t="s">
        <v>981</v>
      </c>
      <c r="C451" t="s">
        <v>978</v>
      </c>
      <c r="D451" t="s">
        <v>133</v>
      </c>
      <c r="E451" s="4">
        <v>1</v>
      </c>
      <c r="F451" t="s">
        <v>982</v>
      </c>
      <c r="G451" t="s">
        <v>982</v>
      </c>
      <c r="H451" s="3">
        <v>46175</v>
      </c>
      <c r="I451" s="3">
        <v>46199</v>
      </c>
      <c r="J451" t="s">
        <v>472</v>
      </c>
      <c r="K451" s="3">
        <v>46199</v>
      </c>
      <c r="L451" s="3">
        <v>46175</v>
      </c>
      <c r="M451" s="3">
        <v>46199</v>
      </c>
      <c r="N451" s="3">
        <v>46199</v>
      </c>
      <c r="O451" t="s">
        <v>472</v>
      </c>
      <c r="P451" t="s">
        <v>55</v>
      </c>
      <c r="Q451">
        <v>496</v>
      </c>
      <c r="S451" t="s">
        <v>124</v>
      </c>
      <c r="T451" t="s">
        <v>425</v>
      </c>
      <c r="V451" t="s">
        <v>61</v>
      </c>
      <c r="W451">
        <v>13.4</v>
      </c>
      <c r="X451" t="s">
        <v>57</v>
      </c>
      <c r="Z451" t="s">
        <v>124</v>
      </c>
      <c r="AA451" t="s">
        <v>77</v>
      </c>
      <c r="AE451">
        <v>1</v>
      </c>
      <c r="AF451">
        <v>0</v>
      </c>
      <c r="AG451">
        <v>0</v>
      </c>
      <c r="AH451">
        <v>0</v>
      </c>
      <c r="AI451">
        <v>1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0</v>
      </c>
      <c r="AP451">
        <v>0</v>
      </c>
    </row>
    <row r="452" spans="1:42" x14ac:dyDescent="0.25">
      <c r="A452">
        <v>498</v>
      </c>
      <c r="B452" t="s">
        <v>983</v>
      </c>
      <c r="C452" t="s">
        <v>425</v>
      </c>
      <c r="D452" t="s">
        <v>984</v>
      </c>
      <c r="E452" s="4">
        <v>1</v>
      </c>
      <c r="F452" t="s">
        <v>114</v>
      </c>
      <c r="G452" t="s">
        <v>114</v>
      </c>
      <c r="H452" s="3">
        <v>46188</v>
      </c>
      <c r="I452" s="3">
        <v>46198</v>
      </c>
      <c r="J452" t="s">
        <v>183</v>
      </c>
      <c r="K452" s="3">
        <v>46171</v>
      </c>
      <c r="L452" s="3">
        <v>46147</v>
      </c>
      <c r="M452" s="3">
        <v>46198</v>
      </c>
      <c r="N452" s="3">
        <v>46198</v>
      </c>
      <c r="O452" t="s">
        <v>595</v>
      </c>
      <c r="P452" t="s">
        <v>55</v>
      </c>
      <c r="T452" t="s">
        <v>425</v>
      </c>
      <c r="V452" t="s">
        <v>187</v>
      </c>
      <c r="X452" t="s">
        <v>57</v>
      </c>
      <c r="AA452" t="s">
        <v>50</v>
      </c>
      <c r="AE452">
        <v>1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</row>
    <row r="453" spans="1:42" x14ac:dyDescent="0.25">
      <c r="A453">
        <v>499</v>
      </c>
      <c r="B453" t="s">
        <v>985</v>
      </c>
      <c r="C453" t="s">
        <v>986</v>
      </c>
      <c r="D453" t="s">
        <v>987</v>
      </c>
      <c r="E453" s="4">
        <v>1</v>
      </c>
      <c r="F453" t="s">
        <v>175</v>
      </c>
      <c r="G453" t="s">
        <v>175</v>
      </c>
      <c r="H453" s="3">
        <v>46188</v>
      </c>
      <c r="I453" s="3">
        <v>46196</v>
      </c>
      <c r="J453" t="s">
        <v>491</v>
      </c>
      <c r="K453" s="3">
        <v>46171</v>
      </c>
      <c r="L453" s="3">
        <v>46163</v>
      </c>
      <c r="M453" s="3">
        <v>46196</v>
      </c>
      <c r="N453" s="3">
        <v>46196</v>
      </c>
      <c r="O453" t="s">
        <v>595</v>
      </c>
      <c r="P453" t="s">
        <v>55</v>
      </c>
      <c r="T453" t="s">
        <v>425</v>
      </c>
      <c r="V453" t="s">
        <v>175</v>
      </c>
      <c r="X453" t="s">
        <v>57</v>
      </c>
      <c r="AA453" t="s">
        <v>50</v>
      </c>
      <c r="AE453">
        <v>1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</row>
    <row r="454" spans="1:42" x14ac:dyDescent="0.25">
      <c r="A454">
        <v>500</v>
      </c>
      <c r="B454" t="s">
        <v>988</v>
      </c>
      <c r="C454" t="s">
        <v>989</v>
      </c>
      <c r="D454" t="s">
        <v>117</v>
      </c>
      <c r="E454" s="4">
        <v>1</v>
      </c>
      <c r="F454" t="s">
        <v>101</v>
      </c>
      <c r="G454" t="s">
        <v>101</v>
      </c>
      <c r="H454" s="3">
        <v>46188</v>
      </c>
      <c r="I454" s="3">
        <v>46191</v>
      </c>
      <c r="J454" t="s">
        <v>491</v>
      </c>
      <c r="K454" s="3">
        <v>46164</v>
      </c>
      <c r="L454" s="3">
        <v>46163</v>
      </c>
      <c r="M454" s="3">
        <v>46191</v>
      </c>
      <c r="N454" s="3">
        <v>46191</v>
      </c>
      <c r="O454" t="s">
        <v>595</v>
      </c>
      <c r="P454" t="s">
        <v>55</v>
      </c>
      <c r="S454" t="s">
        <v>302</v>
      </c>
      <c r="T454" t="s">
        <v>425</v>
      </c>
      <c r="U454">
        <v>501</v>
      </c>
      <c r="V454" t="s">
        <v>127</v>
      </c>
      <c r="W454">
        <v>13.4</v>
      </c>
      <c r="X454" t="s">
        <v>57</v>
      </c>
      <c r="Z454" t="s">
        <v>302</v>
      </c>
      <c r="AA454" t="s">
        <v>198</v>
      </c>
      <c r="AE454">
        <v>1</v>
      </c>
      <c r="AF454">
        <v>1</v>
      </c>
      <c r="AG454">
        <v>1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1</v>
      </c>
    </row>
    <row r="455" spans="1:42" x14ac:dyDescent="0.25">
      <c r="A455">
        <v>501</v>
      </c>
      <c r="B455" t="s">
        <v>990</v>
      </c>
      <c r="C455" t="s">
        <v>989</v>
      </c>
      <c r="D455" t="s">
        <v>121</v>
      </c>
      <c r="E455" s="4">
        <v>1</v>
      </c>
      <c r="F455" t="s">
        <v>61</v>
      </c>
      <c r="G455" t="s">
        <v>61</v>
      </c>
      <c r="H455" s="3">
        <v>46192</v>
      </c>
      <c r="I455" s="3">
        <v>46192</v>
      </c>
      <c r="J455" t="s">
        <v>74</v>
      </c>
      <c r="K455" s="3">
        <v>46169</v>
      </c>
      <c r="L455" s="3">
        <v>46167</v>
      </c>
      <c r="M455" s="3">
        <v>46192</v>
      </c>
      <c r="N455" s="3">
        <v>46192</v>
      </c>
      <c r="O455" t="s">
        <v>211</v>
      </c>
      <c r="P455" t="s">
        <v>55</v>
      </c>
      <c r="Q455">
        <v>500</v>
      </c>
      <c r="S455" t="s">
        <v>124</v>
      </c>
      <c r="T455" t="s">
        <v>425</v>
      </c>
      <c r="U455">
        <v>502</v>
      </c>
      <c r="V455" t="s">
        <v>122</v>
      </c>
      <c r="W455">
        <v>13.4</v>
      </c>
      <c r="X455" t="s">
        <v>57</v>
      </c>
      <c r="Z455" t="s">
        <v>124</v>
      </c>
      <c r="AA455" t="s">
        <v>77</v>
      </c>
      <c r="AE455">
        <v>1</v>
      </c>
      <c r="AF455">
        <v>0</v>
      </c>
      <c r="AG455">
        <v>0</v>
      </c>
      <c r="AH455">
        <v>0</v>
      </c>
      <c r="AI455">
        <v>0</v>
      </c>
      <c r="AJ455">
        <v>1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</row>
    <row r="456" spans="1:42" x14ac:dyDescent="0.25">
      <c r="A456">
        <v>502</v>
      </c>
      <c r="B456" t="s">
        <v>991</v>
      </c>
      <c r="C456" t="s">
        <v>989</v>
      </c>
      <c r="D456" t="s">
        <v>126</v>
      </c>
      <c r="E456" s="4">
        <v>1</v>
      </c>
      <c r="F456" t="s">
        <v>61</v>
      </c>
      <c r="G456" t="s">
        <v>61</v>
      </c>
      <c r="H456" s="3">
        <v>46195</v>
      </c>
      <c r="I456" s="3">
        <v>46195</v>
      </c>
      <c r="J456" t="s">
        <v>448</v>
      </c>
      <c r="K456" s="3">
        <v>46170</v>
      </c>
      <c r="L456" s="3">
        <v>46170</v>
      </c>
      <c r="M456" s="3">
        <v>46195</v>
      </c>
      <c r="N456" s="3">
        <v>46195</v>
      </c>
      <c r="O456" t="s">
        <v>219</v>
      </c>
      <c r="P456" t="s">
        <v>55</v>
      </c>
      <c r="Q456">
        <v>501</v>
      </c>
      <c r="S456" t="s">
        <v>302</v>
      </c>
      <c r="T456" t="s">
        <v>425</v>
      </c>
      <c r="U456">
        <v>503</v>
      </c>
      <c r="V456" t="s">
        <v>61</v>
      </c>
      <c r="W456">
        <v>13.4</v>
      </c>
      <c r="X456" t="s">
        <v>57</v>
      </c>
      <c r="Z456" t="s">
        <v>302</v>
      </c>
      <c r="AA456" t="s">
        <v>77</v>
      </c>
      <c r="AE456">
        <v>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1</v>
      </c>
      <c r="AM456">
        <v>0</v>
      </c>
      <c r="AN456">
        <v>0</v>
      </c>
      <c r="AO456">
        <v>0</v>
      </c>
      <c r="AP456">
        <v>0</v>
      </c>
    </row>
    <row r="457" spans="1:42" x14ac:dyDescent="0.25">
      <c r="A457">
        <v>503</v>
      </c>
      <c r="B457" t="s">
        <v>992</v>
      </c>
      <c r="C457" t="s">
        <v>989</v>
      </c>
      <c r="D457" t="s">
        <v>133</v>
      </c>
      <c r="E457" s="4">
        <v>1</v>
      </c>
      <c r="F457" t="s">
        <v>61</v>
      </c>
      <c r="G457" t="s">
        <v>61</v>
      </c>
      <c r="H457" s="3">
        <v>46196</v>
      </c>
      <c r="I457" s="3">
        <v>46196</v>
      </c>
      <c r="J457" t="s">
        <v>189</v>
      </c>
      <c r="K457" s="3">
        <v>46171</v>
      </c>
      <c r="L457" s="3">
        <v>46171</v>
      </c>
      <c r="M457" s="3">
        <v>46196</v>
      </c>
      <c r="N457" s="3">
        <v>46196</v>
      </c>
      <c r="O457" t="s">
        <v>212</v>
      </c>
      <c r="P457" t="s">
        <v>55</v>
      </c>
      <c r="Q457">
        <v>502</v>
      </c>
      <c r="S457" t="s">
        <v>124</v>
      </c>
      <c r="T457" t="s">
        <v>425</v>
      </c>
      <c r="V457" t="s">
        <v>61</v>
      </c>
      <c r="W457">
        <v>13.4</v>
      </c>
      <c r="X457" t="s">
        <v>57</v>
      </c>
      <c r="Z457" t="s">
        <v>124</v>
      </c>
      <c r="AA457" t="s">
        <v>77</v>
      </c>
      <c r="AE457">
        <v>1</v>
      </c>
      <c r="AF457">
        <v>0</v>
      </c>
      <c r="AG457">
        <v>0</v>
      </c>
      <c r="AH457">
        <v>0</v>
      </c>
      <c r="AI457">
        <v>1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0</v>
      </c>
      <c r="AP457">
        <v>0</v>
      </c>
    </row>
    <row r="458" spans="1:42" x14ac:dyDescent="0.25">
      <c r="A458">
        <v>504</v>
      </c>
      <c r="B458" t="s">
        <v>993</v>
      </c>
      <c r="C458" t="s">
        <v>986</v>
      </c>
      <c r="D458" t="s">
        <v>994</v>
      </c>
      <c r="E458" s="4">
        <v>1</v>
      </c>
      <c r="F458" t="s">
        <v>114</v>
      </c>
      <c r="G458" t="s">
        <v>114</v>
      </c>
      <c r="H458" s="3">
        <v>46188</v>
      </c>
      <c r="I458" s="3">
        <v>46198</v>
      </c>
      <c r="J458" t="s">
        <v>595</v>
      </c>
      <c r="K458" s="3">
        <v>46198</v>
      </c>
      <c r="L458" s="3">
        <v>46188</v>
      </c>
      <c r="M458" s="3">
        <v>46198</v>
      </c>
      <c r="N458" s="3">
        <v>46198</v>
      </c>
      <c r="O458" t="s">
        <v>595</v>
      </c>
      <c r="P458" t="s">
        <v>55</v>
      </c>
      <c r="T458" t="s">
        <v>425</v>
      </c>
      <c r="V458" t="s">
        <v>175</v>
      </c>
      <c r="X458" t="s">
        <v>57</v>
      </c>
      <c r="AA458" t="s">
        <v>50</v>
      </c>
      <c r="AB458" t="s">
        <v>94</v>
      </c>
      <c r="AE458">
        <v>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</row>
    <row r="459" spans="1:42" x14ac:dyDescent="0.25">
      <c r="A459">
        <v>505</v>
      </c>
      <c r="B459" t="s">
        <v>995</v>
      </c>
      <c r="C459" t="s">
        <v>996</v>
      </c>
      <c r="D459" t="s">
        <v>117</v>
      </c>
      <c r="E459" s="4">
        <v>1</v>
      </c>
      <c r="F459" t="s">
        <v>138</v>
      </c>
      <c r="G459" t="s">
        <v>138</v>
      </c>
      <c r="H459" s="3">
        <v>46188</v>
      </c>
      <c r="I459" s="3">
        <v>46192</v>
      </c>
      <c r="J459" t="s">
        <v>595</v>
      </c>
      <c r="K459" s="3">
        <v>46192</v>
      </c>
      <c r="L459" s="3">
        <v>46188</v>
      </c>
      <c r="M459" s="3">
        <v>46192</v>
      </c>
      <c r="N459" s="3">
        <v>46192</v>
      </c>
      <c r="O459" t="s">
        <v>595</v>
      </c>
      <c r="P459" t="s">
        <v>55</v>
      </c>
      <c r="S459" t="s">
        <v>302</v>
      </c>
      <c r="T459" t="s">
        <v>425</v>
      </c>
      <c r="U459">
        <v>506</v>
      </c>
      <c r="V459" t="s">
        <v>127</v>
      </c>
      <c r="W459">
        <v>13.4</v>
      </c>
      <c r="X459" t="s">
        <v>57</v>
      </c>
      <c r="Z459" t="s">
        <v>302</v>
      </c>
      <c r="AA459" t="s">
        <v>198</v>
      </c>
      <c r="AE459">
        <v>1</v>
      </c>
      <c r="AF459">
        <v>1</v>
      </c>
      <c r="AG459">
        <v>1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1</v>
      </c>
    </row>
    <row r="460" spans="1:42" x14ac:dyDescent="0.25">
      <c r="A460">
        <v>506</v>
      </c>
      <c r="B460" t="s">
        <v>997</v>
      </c>
      <c r="C460" t="s">
        <v>996</v>
      </c>
      <c r="D460" t="s">
        <v>121</v>
      </c>
      <c r="E460" s="4">
        <v>1</v>
      </c>
      <c r="F460" t="s">
        <v>61</v>
      </c>
      <c r="G460" t="s">
        <v>61</v>
      </c>
      <c r="H460" s="3">
        <v>46195</v>
      </c>
      <c r="I460" s="3">
        <v>46195</v>
      </c>
      <c r="J460" t="s">
        <v>219</v>
      </c>
      <c r="K460" s="3">
        <v>46195</v>
      </c>
      <c r="L460" s="3">
        <v>46195</v>
      </c>
      <c r="M460" s="3">
        <v>46195</v>
      </c>
      <c r="N460" s="3">
        <v>46195</v>
      </c>
      <c r="O460" t="s">
        <v>219</v>
      </c>
      <c r="P460" t="s">
        <v>55</v>
      </c>
      <c r="Q460">
        <v>505</v>
      </c>
      <c r="S460" t="s">
        <v>124</v>
      </c>
      <c r="T460" t="s">
        <v>425</v>
      </c>
      <c r="U460">
        <v>507</v>
      </c>
      <c r="V460" t="s">
        <v>122</v>
      </c>
      <c r="W460">
        <v>13.4</v>
      </c>
      <c r="X460" t="s">
        <v>57</v>
      </c>
      <c r="Z460" t="s">
        <v>124</v>
      </c>
      <c r="AA460" t="s">
        <v>77</v>
      </c>
      <c r="AE460">
        <v>1</v>
      </c>
      <c r="AF460">
        <v>0</v>
      </c>
      <c r="AG460">
        <v>0</v>
      </c>
      <c r="AH460">
        <v>0</v>
      </c>
      <c r="AI460">
        <v>0</v>
      </c>
      <c r="AJ460">
        <v>1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</row>
    <row r="461" spans="1:42" x14ac:dyDescent="0.25">
      <c r="A461">
        <v>507</v>
      </c>
      <c r="B461" t="s">
        <v>998</v>
      </c>
      <c r="C461" t="s">
        <v>996</v>
      </c>
      <c r="D461" t="s">
        <v>126</v>
      </c>
      <c r="E461" s="4">
        <v>1</v>
      </c>
      <c r="F461" t="s">
        <v>61</v>
      </c>
      <c r="G461" t="s">
        <v>61</v>
      </c>
      <c r="H461" s="3">
        <v>46196</v>
      </c>
      <c r="I461" s="3">
        <v>46196</v>
      </c>
      <c r="J461" t="s">
        <v>212</v>
      </c>
      <c r="K461" s="3">
        <v>46196</v>
      </c>
      <c r="L461" s="3">
        <v>46196</v>
      </c>
      <c r="M461" s="3">
        <v>46196</v>
      </c>
      <c r="N461" s="3">
        <v>46196</v>
      </c>
      <c r="O461" t="s">
        <v>212</v>
      </c>
      <c r="P461" t="s">
        <v>55</v>
      </c>
      <c r="Q461">
        <v>506</v>
      </c>
      <c r="S461" t="s">
        <v>302</v>
      </c>
      <c r="T461" t="s">
        <v>425</v>
      </c>
      <c r="U461">
        <v>508</v>
      </c>
      <c r="V461" t="s">
        <v>61</v>
      </c>
      <c r="W461">
        <v>13.4</v>
      </c>
      <c r="X461" t="s">
        <v>57</v>
      </c>
      <c r="Z461" t="s">
        <v>302</v>
      </c>
      <c r="AA461" t="s">
        <v>77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1</v>
      </c>
      <c r="AM461">
        <v>0</v>
      </c>
      <c r="AN461">
        <v>0</v>
      </c>
      <c r="AO461">
        <v>0</v>
      </c>
      <c r="AP461">
        <v>0</v>
      </c>
    </row>
    <row r="462" spans="1:42" x14ac:dyDescent="0.25">
      <c r="A462">
        <v>508</v>
      </c>
      <c r="B462" t="s">
        <v>999</v>
      </c>
      <c r="C462" t="s">
        <v>996</v>
      </c>
      <c r="D462" t="s">
        <v>133</v>
      </c>
      <c r="E462" s="4">
        <v>1</v>
      </c>
      <c r="F462" t="s">
        <v>127</v>
      </c>
      <c r="G462" t="s">
        <v>127</v>
      </c>
      <c r="H462" s="3">
        <v>46197</v>
      </c>
      <c r="I462" s="3">
        <v>46198</v>
      </c>
      <c r="J462" t="s">
        <v>207</v>
      </c>
      <c r="K462" s="3">
        <v>46198</v>
      </c>
      <c r="L462" s="3">
        <v>46197</v>
      </c>
      <c r="M462" s="3">
        <v>46198</v>
      </c>
      <c r="N462" s="3">
        <v>46198</v>
      </c>
      <c r="O462" t="s">
        <v>207</v>
      </c>
      <c r="P462" t="s">
        <v>55</v>
      </c>
      <c r="Q462">
        <v>507</v>
      </c>
      <c r="S462" t="s">
        <v>124</v>
      </c>
      <c r="T462" t="s">
        <v>425</v>
      </c>
      <c r="V462" t="s">
        <v>61</v>
      </c>
      <c r="W462">
        <v>13.4</v>
      </c>
      <c r="X462" t="s">
        <v>57</v>
      </c>
      <c r="Z462" t="s">
        <v>124</v>
      </c>
      <c r="AA462" t="s">
        <v>77</v>
      </c>
      <c r="AE462">
        <v>1</v>
      </c>
      <c r="AF462">
        <v>0</v>
      </c>
      <c r="AG462">
        <v>0</v>
      </c>
      <c r="AH462">
        <v>0</v>
      </c>
      <c r="AI462">
        <v>1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0</v>
      </c>
      <c r="AP462">
        <v>0</v>
      </c>
    </row>
    <row r="463" spans="1:42" x14ac:dyDescent="0.25">
      <c r="A463">
        <v>514</v>
      </c>
      <c r="B463" t="s">
        <v>1000</v>
      </c>
      <c r="C463" t="s">
        <v>425</v>
      </c>
      <c r="D463" t="s">
        <v>1001</v>
      </c>
      <c r="E463" s="4">
        <v>1</v>
      </c>
      <c r="F463" t="s">
        <v>295</v>
      </c>
      <c r="G463" t="s">
        <v>295</v>
      </c>
      <c r="H463" s="3">
        <v>46161</v>
      </c>
      <c r="I463" s="3">
        <v>46184</v>
      </c>
      <c r="J463" t="s">
        <v>90</v>
      </c>
      <c r="K463" s="3">
        <v>46184</v>
      </c>
      <c r="L463" s="3">
        <v>46161</v>
      </c>
      <c r="M463" s="3">
        <v>46184</v>
      </c>
      <c r="N463" s="3">
        <v>46184</v>
      </c>
      <c r="O463" t="s">
        <v>90</v>
      </c>
      <c r="P463" t="s">
        <v>55</v>
      </c>
      <c r="T463" t="s">
        <v>425</v>
      </c>
      <c r="V463" t="s">
        <v>175</v>
      </c>
      <c r="W463">
        <v>21.48</v>
      </c>
      <c r="X463" t="s">
        <v>57</v>
      </c>
      <c r="AA463" t="s">
        <v>50</v>
      </c>
      <c r="AB463" t="s">
        <v>94</v>
      </c>
      <c r="AE463">
        <v>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</row>
    <row r="464" spans="1:42" x14ac:dyDescent="0.25">
      <c r="A464">
        <v>515</v>
      </c>
      <c r="B464" t="s">
        <v>1002</v>
      </c>
      <c r="C464" t="s">
        <v>1003</v>
      </c>
      <c r="D464" t="s">
        <v>117</v>
      </c>
      <c r="E464" s="4">
        <v>1</v>
      </c>
      <c r="F464" t="s">
        <v>127</v>
      </c>
      <c r="G464" t="s">
        <v>127</v>
      </c>
      <c r="H464" s="3">
        <v>46161</v>
      </c>
      <c r="I464" s="3">
        <v>46162</v>
      </c>
      <c r="J464" t="s">
        <v>90</v>
      </c>
      <c r="K464" s="3">
        <v>46162</v>
      </c>
      <c r="L464" s="3">
        <v>46161</v>
      </c>
      <c r="M464" s="3">
        <v>46162</v>
      </c>
      <c r="N464" s="3">
        <v>46162</v>
      </c>
      <c r="O464" t="s">
        <v>90</v>
      </c>
      <c r="P464" t="s">
        <v>55</v>
      </c>
      <c r="Q464" t="s">
        <v>1004</v>
      </c>
      <c r="S464" t="s">
        <v>1005</v>
      </c>
      <c r="T464" t="s">
        <v>425</v>
      </c>
      <c r="U464">
        <v>516</v>
      </c>
      <c r="V464" t="s">
        <v>127</v>
      </c>
      <c r="W464">
        <v>13.4</v>
      </c>
      <c r="X464" t="s">
        <v>57</v>
      </c>
      <c r="Z464" t="s">
        <v>1005</v>
      </c>
      <c r="AA464" t="s">
        <v>198</v>
      </c>
      <c r="AE464">
        <v>1</v>
      </c>
      <c r="AF464">
        <v>1</v>
      </c>
      <c r="AG464">
        <v>1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1</v>
      </c>
    </row>
    <row r="465" spans="1:42" x14ac:dyDescent="0.25">
      <c r="A465">
        <v>516</v>
      </c>
      <c r="B465" t="s">
        <v>1006</v>
      </c>
      <c r="C465" t="s">
        <v>1003</v>
      </c>
      <c r="D465" t="s">
        <v>121</v>
      </c>
      <c r="E465" s="4">
        <v>1</v>
      </c>
      <c r="F465" t="s">
        <v>365</v>
      </c>
      <c r="G465" t="s">
        <v>365</v>
      </c>
      <c r="H465" s="3">
        <v>46163</v>
      </c>
      <c r="I465" s="3">
        <v>46184</v>
      </c>
      <c r="J465" t="s">
        <v>491</v>
      </c>
      <c r="K465" s="3">
        <v>46184</v>
      </c>
      <c r="L465" s="3">
        <v>46163</v>
      </c>
      <c r="M465" s="3">
        <v>46184</v>
      </c>
      <c r="N465" s="3">
        <v>46184</v>
      </c>
      <c r="O465" t="s">
        <v>491</v>
      </c>
      <c r="P465" t="s">
        <v>55</v>
      </c>
      <c r="Q465">
        <v>515</v>
      </c>
      <c r="S465" t="s">
        <v>124</v>
      </c>
      <c r="T465" t="s">
        <v>425</v>
      </c>
      <c r="U465">
        <v>517</v>
      </c>
      <c r="V465" t="s">
        <v>122</v>
      </c>
      <c r="W465">
        <v>13.4</v>
      </c>
      <c r="X465" t="s">
        <v>57</v>
      </c>
      <c r="Z465" t="s">
        <v>124</v>
      </c>
      <c r="AA465" t="s">
        <v>198</v>
      </c>
      <c r="AE465">
        <v>1</v>
      </c>
      <c r="AF465">
        <v>0</v>
      </c>
      <c r="AG465">
        <v>0</v>
      </c>
      <c r="AH465">
        <v>0</v>
      </c>
      <c r="AI465">
        <v>0</v>
      </c>
      <c r="AJ465">
        <v>1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</row>
    <row r="466" spans="1:42" x14ac:dyDescent="0.25">
      <c r="A466">
        <v>517</v>
      </c>
      <c r="B466" t="s">
        <v>1007</v>
      </c>
      <c r="C466" t="s">
        <v>1003</v>
      </c>
      <c r="D466" t="s">
        <v>126</v>
      </c>
      <c r="E466" s="4">
        <v>1</v>
      </c>
      <c r="F466" t="s">
        <v>203</v>
      </c>
      <c r="G466" t="s">
        <v>203</v>
      </c>
      <c r="H466" s="3">
        <v>46168</v>
      </c>
      <c r="I466" s="3">
        <v>46184</v>
      </c>
      <c r="J466" t="s">
        <v>206</v>
      </c>
      <c r="K466" s="3">
        <v>46184</v>
      </c>
      <c r="L466" s="3">
        <v>46168</v>
      </c>
      <c r="M466" s="3">
        <v>46184</v>
      </c>
      <c r="N466" s="3">
        <v>46184</v>
      </c>
      <c r="O466" t="s">
        <v>206</v>
      </c>
      <c r="P466" t="s">
        <v>55</v>
      </c>
      <c r="Q466">
        <v>516</v>
      </c>
      <c r="S466" t="s">
        <v>1005</v>
      </c>
      <c r="T466" t="s">
        <v>425</v>
      </c>
      <c r="U466">
        <v>518</v>
      </c>
      <c r="V466" t="s">
        <v>61</v>
      </c>
      <c r="W466">
        <v>13.4</v>
      </c>
      <c r="X466" t="s">
        <v>57</v>
      </c>
      <c r="Z466" t="s">
        <v>1005</v>
      </c>
      <c r="AA466" t="s">
        <v>77</v>
      </c>
      <c r="AE466">
        <v>1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1</v>
      </c>
      <c r="AM466">
        <v>0</v>
      </c>
      <c r="AN466">
        <v>0</v>
      </c>
      <c r="AO466">
        <v>0</v>
      </c>
      <c r="AP466">
        <v>0</v>
      </c>
    </row>
    <row r="467" spans="1:42" x14ac:dyDescent="0.25">
      <c r="A467">
        <v>518</v>
      </c>
      <c r="B467" t="s">
        <v>1008</v>
      </c>
      <c r="C467" t="s">
        <v>1003</v>
      </c>
      <c r="D467" t="s">
        <v>133</v>
      </c>
      <c r="E467" s="4">
        <v>1</v>
      </c>
      <c r="F467" t="s">
        <v>151</v>
      </c>
      <c r="G467" t="s">
        <v>151</v>
      </c>
      <c r="H467" s="3">
        <v>46169</v>
      </c>
      <c r="I467" s="3">
        <v>46184</v>
      </c>
      <c r="J467" t="s">
        <v>97</v>
      </c>
      <c r="K467" s="3">
        <v>46184</v>
      </c>
      <c r="L467" s="3">
        <v>46169</v>
      </c>
      <c r="M467" s="3">
        <v>46184</v>
      </c>
      <c r="N467" s="3">
        <v>46184</v>
      </c>
      <c r="O467" t="s">
        <v>97</v>
      </c>
      <c r="P467" t="s">
        <v>55</v>
      </c>
      <c r="Q467">
        <v>517</v>
      </c>
      <c r="S467" t="s">
        <v>124</v>
      </c>
      <c r="T467" t="s">
        <v>425</v>
      </c>
      <c r="V467" t="s">
        <v>61</v>
      </c>
      <c r="W467">
        <v>13.4</v>
      </c>
      <c r="X467" t="s">
        <v>57</v>
      </c>
      <c r="Z467" t="s">
        <v>124</v>
      </c>
      <c r="AA467" t="s">
        <v>77</v>
      </c>
      <c r="AE467">
        <v>1</v>
      </c>
      <c r="AF467">
        <v>0</v>
      </c>
      <c r="AG467">
        <v>0</v>
      </c>
      <c r="AH467">
        <v>0</v>
      </c>
      <c r="AI467">
        <v>1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0</v>
      </c>
      <c r="AP467">
        <v>0</v>
      </c>
    </row>
    <row r="468" spans="1:42" x14ac:dyDescent="0.25">
      <c r="A468">
        <v>519</v>
      </c>
      <c r="B468" t="s">
        <v>1009</v>
      </c>
      <c r="C468" t="s">
        <v>425</v>
      </c>
      <c r="D468" t="s">
        <v>1010</v>
      </c>
      <c r="E468" s="4">
        <v>1</v>
      </c>
      <c r="F468" t="s">
        <v>101</v>
      </c>
      <c r="G468" t="s">
        <v>101</v>
      </c>
      <c r="H468" s="3">
        <v>46125</v>
      </c>
      <c r="I468" s="3">
        <v>46128</v>
      </c>
      <c r="J468" t="s">
        <v>144</v>
      </c>
      <c r="K468" s="3">
        <v>46128</v>
      </c>
      <c r="L468" s="3">
        <v>46125</v>
      </c>
      <c r="M468" s="3">
        <v>46128</v>
      </c>
      <c r="N468" s="3">
        <v>46128</v>
      </c>
      <c r="O468" t="s">
        <v>144</v>
      </c>
      <c r="P468" t="s">
        <v>55</v>
      </c>
      <c r="T468" t="s">
        <v>425</v>
      </c>
      <c r="V468" t="s">
        <v>101</v>
      </c>
      <c r="W468">
        <v>15.24</v>
      </c>
      <c r="X468" t="s">
        <v>57</v>
      </c>
      <c r="AA468" t="s">
        <v>50</v>
      </c>
      <c r="AE468">
        <v>1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</row>
    <row r="469" spans="1:42" x14ac:dyDescent="0.25">
      <c r="A469">
        <v>520</v>
      </c>
      <c r="B469" t="s">
        <v>1011</v>
      </c>
      <c r="C469" t="s">
        <v>1012</v>
      </c>
      <c r="D469" t="s">
        <v>117</v>
      </c>
      <c r="E469" s="4">
        <v>1</v>
      </c>
      <c r="F469" t="s">
        <v>61</v>
      </c>
      <c r="G469" t="s">
        <v>61</v>
      </c>
      <c r="H469" s="3">
        <v>46125</v>
      </c>
      <c r="I469" s="3">
        <v>46125</v>
      </c>
      <c r="J469" t="s">
        <v>144</v>
      </c>
      <c r="K469" s="3">
        <v>46125</v>
      </c>
      <c r="L469" s="3">
        <v>46125</v>
      </c>
      <c r="M469" s="3">
        <v>46125</v>
      </c>
      <c r="N469" s="3">
        <v>46125</v>
      </c>
      <c r="O469" t="s">
        <v>144</v>
      </c>
      <c r="P469" t="s">
        <v>55</v>
      </c>
      <c r="Q469">
        <v>6</v>
      </c>
      <c r="R469" s="1">
        <v>46134.722222222219</v>
      </c>
      <c r="S469" t="s">
        <v>142</v>
      </c>
      <c r="T469" t="s">
        <v>425</v>
      </c>
      <c r="U469">
        <v>521</v>
      </c>
      <c r="V469" t="s">
        <v>61</v>
      </c>
      <c r="W469">
        <v>13.4</v>
      </c>
      <c r="X469" t="s">
        <v>57</v>
      </c>
      <c r="Z469" t="s">
        <v>142</v>
      </c>
      <c r="AA469" t="s">
        <v>180</v>
      </c>
      <c r="AE469">
        <v>1</v>
      </c>
      <c r="AF469">
        <v>1</v>
      </c>
      <c r="AG469">
        <v>1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1</v>
      </c>
    </row>
    <row r="470" spans="1:42" x14ac:dyDescent="0.25">
      <c r="A470">
        <v>521</v>
      </c>
      <c r="B470" t="s">
        <v>1013</v>
      </c>
      <c r="C470" t="s">
        <v>1012</v>
      </c>
      <c r="D470" t="s">
        <v>121</v>
      </c>
      <c r="E470" s="4">
        <v>1</v>
      </c>
      <c r="F470" t="s">
        <v>61</v>
      </c>
      <c r="G470" t="s">
        <v>61</v>
      </c>
      <c r="H470" s="3">
        <v>46126</v>
      </c>
      <c r="I470" s="3">
        <v>46126</v>
      </c>
      <c r="J470" t="s">
        <v>334</v>
      </c>
      <c r="K470" s="3">
        <v>46126</v>
      </c>
      <c r="L470" s="3">
        <v>46126</v>
      </c>
      <c r="M470" s="3">
        <v>46126</v>
      </c>
      <c r="N470" s="3">
        <v>46126</v>
      </c>
      <c r="O470" t="s">
        <v>334</v>
      </c>
      <c r="P470" t="s">
        <v>55</v>
      </c>
      <c r="Q470">
        <v>520</v>
      </c>
      <c r="S470" t="s">
        <v>124</v>
      </c>
      <c r="T470" t="s">
        <v>425</v>
      </c>
      <c r="U470">
        <v>522</v>
      </c>
      <c r="V470" t="s">
        <v>61</v>
      </c>
      <c r="W470">
        <v>13.4</v>
      </c>
      <c r="X470" t="s">
        <v>57</v>
      </c>
      <c r="Z470" t="s">
        <v>124</v>
      </c>
      <c r="AA470" t="s">
        <v>180</v>
      </c>
      <c r="AE470">
        <v>1</v>
      </c>
      <c r="AF470">
        <v>0</v>
      </c>
      <c r="AG470">
        <v>0</v>
      </c>
      <c r="AH470">
        <v>0</v>
      </c>
      <c r="AI470">
        <v>0</v>
      </c>
      <c r="AJ470">
        <v>1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</row>
    <row r="471" spans="1:42" x14ac:dyDescent="0.25">
      <c r="A471">
        <v>522</v>
      </c>
      <c r="B471" t="s">
        <v>1014</v>
      </c>
      <c r="C471" t="s">
        <v>1012</v>
      </c>
      <c r="D471" t="s">
        <v>126</v>
      </c>
      <c r="E471" s="4">
        <v>1</v>
      </c>
      <c r="F471" t="s">
        <v>61</v>
      </c>
      <c r="G471" t="s">
        <v>61</v>
      </c>
      <c r="H471" s="3">
        <v>46127</v>
      </c>
      <c r="I471" s="3">
        <v>46127</v>
      </c>
      <c r="J471" t="s">
        <v>146</v>
      </c>
      <c r="K471" s="3">
        <v>46127</v>
      </c>
      <c r="L471" s="3">
        <v>46127</v>
      </c>
      <c r="M471" s="3">
        <v>46127</v>
      </c>
      <c r="N471" s="3">
        <v>46127</v>
      </c>
      <c r="O471" t="s">
        <v>146</v>
      </c>
      <c r="P471" t="s">
        <v>55</v>
      </c>
      <c r="Q471">
        <v>521</v>
      </c>
      <c r="S471" t="s">
        <v>142</v>
      </c>
      <c r="T471" t="s">
        <v>425</v>
      </c>
      <c r="U471">
        <v>523</v>
      </c>
      <c r="V471" t="s">
        <v>61</v>
      </c>
      <c r="W471">
        <v>13.4</v>
      </c>
      <c r="X471" t="s">
        <v>57</v>
      </c>
      <c r="Z471" t="s">
        <v>142</v>
      </c>
      <c r="AA471" t="s">
        <v>180</v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1</v>
      </c>
      <c r="AM471">
        <v>0</v>
      </c>
      <c r="AN471">
        <v>0</v>
      </c>
      <c r="AO471">
        <v>0</v>
      </c>
      <c r="AP471">
        <v>0</v>
      </c>
    </row>
    <row r="472" spans="1:42" x14ac:dyDescent="0.25">
      <c r="A472">
        <v>523</v>
      </c>
      <c r="B472" t="s">
        <v>1015</v>
      </c>
      <c r="C472" t="s">
        <v>1012</v>
      </c>
      <c r="D472" t="s">
        <v>133</v>
      </c>
      <c r="E472" s="4">
        <v>1</v>
      </c>
      <c r="F472" t="s">
        <v>61</v>
      </c>
      <c r="G472" t="s">
        <v>61</v>
      </c>
      <c r="H472" s="3">
        <v>46128</v>
      </c>
      <c r="I472" s="3">
        <v>46128</v>
      </c>
      <c r="J472" t="s">
        <v>148</v>
      </c>
      <c r="K472" s="3">
        <v>46128</v>
      </c>
      <c r="L472" s="3">
        <v>46128</v>
      </c>
      <c r="M472" s="3">
        <v>46128</v>
      </c>
      <c r="N472" s="3">
        <v>46128</v>
      </c>
      <c r="O472" t="s">
        <v>148</v>
      </c>
      <c r="P472" t="s">
        <v>55</v>
      </c>
      <c r="Q472">
        <v>522</v>
      </c>
      <c r="S472" t="s">
        <v>124</v>
      </c>
      <c r="T472" t="s">
        <v>425</v>
      </c>
      <c r="V472" t="s">
        <v>61</v>
      </c>
      <c r="W472">
        <v>13.4</v>
      </c>
      <c r="X472" t="s">
        <v>57</v>
      </c>
      <c r="Z472" t="s">
        <v>124</v>
      </c>
      <c r="AA472" t="s">
        <v>180</v>
      </c>
      <c r="AE472">
        <v>1</v>
      </c>
      <c r="AF472">
        <v>0</v>
      </c>
      <c r="AG472">
        <v>0</v>
      </c>
      <c r="AH472">
        <v>0</v>
      </c>
      <c r="AI472">
        <v>1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0</v>
      </c>
      <c r="AP472">
        <v>0</v>
      </c>
    </row>
    <row r="473" spans="1:42" x14ac:dyDescent="0.25">
      <c r="A473">
        <v>524</v>
      </c>
      <c r="B473" t="s">
        <v>1016</v>
      </c>
      <c r="C473" t="s">
        <v>425</v>
      </c>
      <c r="D473" t="s">
        <v>1017</v>
      </c>
      <c r="E473" s="4">
        <v>1</v>
      </c>
      <c r="F473" t="s">
        <v>210</v>
      </c>
      <c r="G473" t="s">
        <v>210</v>
      </c>
      <c r="H473" s="3">
        <v>46155</v>
      </c>
      <c r="I473" s="3">
        <v>46164</v>
      </c>
      <c r="J473" t="s">
        <v>415</v>
      </c>
      <c r="K473" s="3">
        <v>46147</v>
      </c>
      <c r="L473" s="3">
        <v>46141</v>
      </c>
      <c r="M473" s="3">
        <v>46164</v>
      </c>
      <c r="N473" s="3">
        <v>46164</v>
      </c>
      <c r="O473" t="s">
        <v>68</v>
      </c>
      <c r="P473" t="s">
        <v>55</v>
      </c>
      <c r="T473" t="s">
        <v>425</v>
      </c>
      <c r="V473" t="s">
        <v>101</v>
      </c>
      <c r="W473">
        <v>15.24</v>
      </c>
      <c r="X473" t="s">
        <v>57</v>
      </c>
      <c r="AA473" t="s">
        <v>50</v>
      </c>
      <c r="AE473">
        <v>1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</row>
    <row r="474" spans="1:42" x14ac:dyDescent="0.25">
      <c r="A474">
        <v>525</v>
      </c>
      <c r="B474" t="s">
        <v>1018</v>
      </c>
      <c r="C474" t="s">
        <v>1019</v>
      </c>
      <c r="D474" t="s">
        <v>117</v>
      </c>
      <c r="E474" s="4">
        <v>1</v>
      </c>
      <c r="F474" t="s">
        <v>122</v>
      </c>
      <c r="G474" t="s">
        <v>122</v>
      </c>
      <c r="H474" s="3">
        <v>46155</v>
      </c>
      <c r="I474" s="3">
        <v>46157</v>
      </c>
      <c r="J474" t="s">
        <v>415</v>
      </c>
      <c r="K474" s="3">
        <v>46141</v>
      </c>
      <c r="L474" s="3">
        <v>46141</v>
      </c>
      <c r="M474" s="3">
        <v>46157</v>
      </c>
      <c r="N474" s="3">
        <v>46157</v>
      </c>
      <c r="O474" t="s">
        <v>68</v>
      </c>
      <c r="P474" t="s">
        <v>55</v>
      </c>
      <c r="Q474">
        <v>7</v>
      </c>
      <c r="S474" t="s">
        <v>142</v>
      </c>
      <c r="T474" t="s">
        <v>425</v>
      </c>
      <c r="U474">
        <v>526</v>
      </c>
      <c r="V474" t="s">
        <v>61</v>
      </c>
      <c r="W474">
        <v>13.4</v>
      </c>
      <c r="X474" t="s">
        <v>57</v>
      </c>
      <c r="Z474" t="s">
        <v>142</v>
      </c>
      <c r="AA474" t="s">
        <v>71</v>
      </c>
      <c r="AE474">
        <v>1</v>
      </c>
      <c r="AF474">
        <v>1</v>
      </c>
      <c r="AG474">
        <v>1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1</v>
      </c>
    </row>
    <row r="475" spans="1:42" x14ac:dyDescent="0.25">
      <c r="A475">
        <v>526</v>
      </c>
      <c r="B475" t="s">
        <v>1020</v>
      </c>
      <c r="C475" t="s">
        <v>1019</v>
      </c>
      <c r="D475" t="s">
        <v>121</v>
      </c>
      <c r="E475" s="4">
        <v>1</v>
      </c>
      <c r="F475" t="s">
        <v>127</v>
      </c>
      <c r="G475" t="s">
        <v>127</v>
      </c>
      <c r="H475" s="3">
        <v>46160</v>
      </c>
      <c r="I475" s="3">
        <v>46161</v>
      </c>
      <c r="J475" t="s">
        <v>527</v>
      </c>
      <c r="K475" s="3">
        <v>46142</v>
      </c>
      <c r="L475" s="3">
        <v>46142</v>
      </c>
      <c r="M475" s="3">
        <v>46161</v>
      </c>
      <c r="N475" s="3">
        <v>46161</v>
      </c>
      <c r="O475" t="s">
        <v>185</v>
      </c>
      <c r="P475" t="s">
        <v>55</v>
      </c>
      <c r="Q475">
        <v>525</v>
      </c>
      <c r="S475" t="s">
        <v>124</v>
      </c>
      <c r="T475" t="s">
        <v>425</v>
      </c>
      <c r="U475">
        <v>527</v>
      </c>
      <c r="V475" t="s">
        <v>61</v>
      </c>
      <c r="W475">
        <v>13.4</v>
      </c>
      <c r="X475" t="s">
        <v>57</v>
      </c>
      <c r="Z475" t="s">
        <v>124</v>
      </c>
      <c r="AA475" t="s">
        <v>71</v>
      </c>
      <c r="AE475">
        <v>1</v>
      </c>
      <c r="AF475">
        <v>0</v>
      </c>
      <c r="AG475">
        <v>0</v>
      </c>
      <c r="AH475">
        <v>0</v>
      </c>
      <c r="AI475">
        <v>0</v>
      </c>
      <c r="AJ475">
        <v>1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</row>
    <row r="476" spans="1:42" x14ac:dyDescent="0.25">
      <c r="A476">
        <v>527</v>
      </c>
      <c r="B476" t="s">
        <v>1021</v>
      </c>
      <c r="C476" t="s">
        <v>1019</v>
      </c>
      <c r="D476" t="s">
        <v>126</v>
      </c>
      <c r="E476" s="4">
        <v>1</v>
      </c>
      <c r="F476" t="s">
        <v>61</v>
      </c>
      <c r="G476" t="s">
        <v>61</v>
      </c>
      <c r="H476" s="3">
        <v>46162</v>
      </c>
      <c r="I476" s="3">
        <v>46162</v>
      </c>
      <c r="J476" t="s">
        <v>409</v>
      </c>
      <c r="K476" s="3">
        <v>46146</v>
      </c>
      <c r="L476" s="3">
        <v>46146</v>
      </c>
      <c r="M476" s="3">
        <v>46162</v>
      </c>
      <c r="N476" s="3">
        <v>46162</v>
      </c>
      <c r="O476" t="s">
        <v>200</v>
      </c>
      <c r="P476" t="s">
        <v>55</v>
      </c>
      <c r="Q476">
        <v>526</v>
      </c>
      <c r="S476" t="s">
        <v>142</v>
      </c>
      <c r="T476" t="s">
        <v>425</v>
      </c>
      <c r="U476">
        <v>528</v>
      </c>
      <c r="V476" t="s">
        <v>61</v>
      </c>
      <c r="W476">
        <v>13.4</v>
      </c>
      <c r="X476" t="s">
        <v>57</v>
      </c>
      <c r="Z476" t="s">
        <v>142</v>
      </c>
      <c r="AA476" t="s">
        <v>401</v>
      </c>
      <c r="AE476">
        <v>1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1</v>
      </c>
      <c r="AM476">
        <v>0</v>
      </c>
      <c r="AN476">
        <v>0</v>
      </c>
      <c r="AO476">
        <v>0</v>
      </c>
      <c r="AP476">
        <v>0</v>
      </c>
    </row>
    <row r="477" spans="1:42" x14ac:dyDescent="0.25">
      <c r="A477">
        <v>528</v>
      </c>
      <c r="B477" t="s">
        <v>1022</v>
      </c>
      <c r="C477" t="s">
        <v>1019</v>
      </c>
      <c r="D477" t="s">
        <v>133</v>
      </c>
      <c r="E477" s="4">
        <v>1</v>
      </c>
      <c r="F477" t="s">
        <v>61</v>
      </c>
      <c r="G477" t="s">
        <v>61</v>
      </c>
      <c r="H477" s="3">
        <v>46164</v>
      </c>
      <c r="I477" s="3">
        <v>46164</v>
      </c>
      <c r="J477" t="s">
        <v>183</v>
      </c>
      <c r="K477" s="3">
        <v>46147</v>
      </c>
      <c r="L477" s="3">
        <v>46147</v>
      </c>
      <c r="M477" s="3">
        <v>46164</v>
      </c>
      <c r="N477" s="3">
        <v>46164</v>
      </c>
      <c r="O477" t="s">
        <v>471</v>
      </c>
      <c r="P477" t="s">
        <v>55</v>
      </c>
      <c r="Q477">
        <v>527</v>
      </c>
      <c r="S477" t="s">
        <v>124</v>
      </c>
      <c r="T477" t="s">
        <v>425</v>
      </c>
      <c r="V477" t="s">
        <v>61</v>
      </c>
      <c r="W477">
        <v>13.4</v>
      </c>
      <c r="X477" t="s">
        <v>57</v>
      </c>
      <c r="Z477" t="s">
        <v>124</v>
      </c>
      <c r="AA477" t="s">
        <v>401</v>
      </c>
      <c r="AE477">
        <v>1</v>
      </c>
      <c r="AF477">
        <v>0</v>
      </c>
      <c r="AG477">
        <v>0</v>
      </c>
      <c r="AH477">
        <v>0</v>
      </c>
      <c r="AI477">
        <v>1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0</v>
      </c>
      <c r="AP477">
        <v>0</v>
      </c>
    </row>
    <row r="478" spans="1:42" x14ac:dyDescent="0.25">
      <c r="A478">
        <v>529</v>
      </c>
      <c r="B478" t="s">
        <v>1023</v>
      </c>
      <c r="C478" t="s">
        <v>425</v>
      </c>
      <c r="D478" t="s">
        <v>1024</v>
      </c>
      <c r="E478" s="4">
        <v>0.5</v>
      </c>
      <c r="F478" t="s">
        <v>122</v>
      </c>
      <c r="G478" t="s">
        <v>804</v>
      </c>
      <c r="H478" s="3">
        <v>46203</v>
      </c>
      <c r="I478" s="3">
        <v>46205</v>
      </c>
      <c r="J478" t="s">
        <v>406</v>
      </c>
      <c r="K478" s="3">
        <v>46161</v>
      </c>
      <c r="L478" s="3">
        <v>46156</v>
      </c>
      <c r="M478" s="3">
        <v>46205</v>
      </c>
      <c r="O478" t="s">
        <v>1025</v>
      </c>
      <c r="P478" t="s">
        <v>398</v>
      </c>
      <c r="T478" t="s">
        <v>425</v>
      </c>
      <c r="V478" t="s">
        <v>101</v>
      </c>
      <c r="W478">
        <v>15.24</v>
      </c>
      <c r="X478" t="s">
        <v>49</v>
      </c>
      <c r="AA478" t="s">
        <v>50</v>
      </c>
      <c r="AE478">
        <v>0.5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</row>
    <row r="479" spans="1:42" x14ac:dyDescent="0.25">
      <c r="A479">
        <v>530</v>
      </c>
      <c r="B479" t="s">
        <v>1026</v>
      </c>
      <c r="C479" t="s">
        <v>1027</v>
      </c>
      <c r="D479" t="s">
        <v>117</v>
      </c>
      <c r="E479" s="4">
        <v>1</v>
      </c>
      <c r="F479" t="s">
        <v>61</v>
      </c>
      <c r="G479" t="s">
        <v>61</v>
      </c>
      <c r="H479" s="3">
        <v>46203</v>
      </c>
      <c r="I479" s="3">
        <v>46203</v>
      </c>
      <c r="J479" t="s">
        <v>406</v>
      </c>
      <c r="K479" s="3">
        <v>46156</v>
      </c>
      <c r="L479" s="3">
        <v>46156</v>
      </c>
      <c r="M479" s="3">
        <v>46203</v>
      </c>
      <c r="N479" s="3">
        <v>46203</v>
      </c>
      <c r="O479" t="s">
        <v>1025</v>
      </c>
      <c r="P479" t="s">
        <v>55</v>
      </c>
      <c r="Q479">
        <v>8</v>
      </c>
      <c r="S479" t="s">
        <v>142</v>
      </c>
      <c r="T479" t="s">
        <v>425</v>
      </c>
      <c r="U479">
        <v>531</v>
      </c>
      <c r="V479" t="s">
        <v>61</v>
      </c>
      <c r="W479">
        <v>13.4</v>
      </c>
      <c r="X479" t="s">
        <v>57</v>
      </c>
      <c r="Z479" t="s">
        <v>142</v>
      </c>
      <c r="AA479" t="s">
        <v>93</v>
      </c>
      <c r="AE479">
        <v>1</v>
      </c>
      <c r="AF479">
        <v>1</v>
      </c>
      <c r="AG479">
        <v>1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1</v>
      </c>
    </row>
    <row r="480" spans="1:42" x14ac:dyDescent="0.25">
      <c r="A480">
        <v>531</v>
      </c>
      <c r="B480" t="s">
        <v>1028</v>
      </c>
      <c r="C480" t="s">
        <v>1027</v>
      </c>
      <c r="D480" t="s">
        <v>121</v>
      </c>
      <c r="E480" s="4">
        <v>0</v>
      </c>
      <c r="F480" t="s">
        <v>63</v>
      </c>
      <c r="G480" t="s">
        <v>63</v>
      </c>
      <c r="H480" s="3">
        <v>46203</v>
      </c>
      <c r="I480" s="3">
        <v>46203</v>
      </c>
      <c r="J480" t="s">
        <v>444</v>
      </c>
      <c r="K480" s="3">
        <v>46157</v>
      </c>
      <c r="L480" s="3">
        <v>46157</v>
      </c>
      <c r="M480" s="3">
        <v>46203</v>
      </c>
      <c r="O480" t="s">
        <v>220</v>
      </c>
      <c r="P480" t="s">
        <v>398</v>
      </c>
      <c r="Q480">
        <v>530</v>
      </c>
      <c r="S480" t="s">
        <v>124</v>
      </c>
      <c r="T480" t="s">
        <v>425</v>
      </c>
      <c r="U480">
        <v>532</v>
      </c>
      <c r="V480" t="s">
        <v>61</v>
      </c>
      <c r="W480">
        <v>13.4</v>
      </c>
      <c r="X480" t="s">
        <v>57</v>
      </c>
      <c r="Z480" t="s">
        <v>124</v>
      </c>
      <c r="AA480" t="s">
        <v>93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</row>
    <row r="481" spans="1:42" x14ac:dyDescent="0.25">
      <c r="A481">
        <v>532</v>
      </c>
      <c r="B481" t="s">
        <v>1029</v>
      </c>
      <c r="C481" t="s">
        <v>1027</v>
      </c>
      <c r="D481" t="s">
        <v>126</v>
      </c>
      <c r="E481" s="4">
        <v>0</v>
      </c>
      <c r="F481" t="s">
        <v>63</v>
      </c>
      <c r="G481" t="s">
        <v>63</v>
      </c>
      <c r="H481" s="3">
        <v>46203</v>
      </c>
      <c r="I481" s="3">
        <v>46203</v>
      </c>
      <c r="J481" t="s">
        <v>185</v>
      </c>
      <c r="K481" s="3">
        <v>46160</v>
      </c>
      <c r="L481" s="3">
        <v>46160</v>
      </c>
      <c r="M481" s="3">
        <v>46203</v>
      </c>
      <c r="O481" t="s">
        <v>220</v>
      </c>
      <c r="P481" t="s">
        <v>398</v>
      </c>
      <c r="Q481">
        <v>531</v>
      </c>
      <c r="S481" t="s">
        <v>142</v>
      </c>
      <c r="T481" t="s">
        <v>425</v>
      </c>
      <c r="U481">
        <v>533</v>
      </c>
      <c r="V481" t="s">
        <v>61</v>
      </c>
      <c r="W481">
        <v>13.4</v>
      </c>
      <c r="X481" t="s">
        <v>57</v>
      </c>
      <c r="Z481" t="s">
        <v>142</v>
      </c>
      <c r="AA481" t="s">
        <v>198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</row>
    <row r="482" spans="1:42" x14ac:dyDescent="0.25">
      <c r="A482">
        <v>533</v>
      </c>
      <c r="B482" t="s">
        <v>1030</v>
      </c>
      <c r="C482" t="s">
        <v>1027</v>
      </c>
      <c r="D482" t="s">
        <v>133</v>
      </c>
      <c r="E482" s="4">
        <v>0</v>
      </c>
      <c r="F482" t="s">
        <v>61</v>
      </c>
      <c r="G482" t="s">
        <v>63</v>
      </c>
      <c r="H482" s="3">
        <v>46205</v>
      </c>
      <c r="I482" s="3">
        <v>46205</v>
      </c>
      <c r="J482" t="s">
        <v>90</v>
      </c>
      <c r="K482" s="3">
        <v>46161</v>
      </c>
      <c r="L482" s="3">
        <v>46161</v>
      </c>
      <c r="M482" s="3">
        <v>46205</v>
      </c>
      <c r="O482" t="s">
        <v>220</v>
      </c>
      <c r="P482" t="s">
        <v>398</v>
      </c>
      <c r="Q482">
        <v>532</v>
      </c>
      <c r="S482" t="s">
        <v>124</v>
      </c>
      <c r="T482" t="s">
        <v>425</v>
      </c>
      <c r="V482" t="s">
        <v>61</v>
      </c>
      <c r="W482">
        <v>13.4</v>
      </c>
      <c r="X482" t="s">
        <v>49</v>
      </c>
      <c r="Z482" t="s">
        <v>124</v>
      </c>
      <c r="AA482" t="s">
        <v>198</v>
      </c>
      <c r="AE482">
        <v>0</v>
      </c>
      <c r="AF482">
        <v>0</v>
      </c>
      <c r="AG482">
        <v>0</v>
      </c>
      <c r="AH482">
        <v>0</v>
      </c>
      <c r="AI482">
        <v>1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</row>
    <row r="483" spans="1:42" x14ac:dyDescent="0.25">
      <c r="A483">
        <v>539</v>
      </c>
      <c r="B483" t="s">
        <v>1031</v>
      </c>
      <c r="C483" t="s">
        <v>52</v>
      </c>
      <c r="D483" t="s">
        <v>1032</v>
      </c>
      <c r="E483" s="4">
        <v>1</v>
      </c>
      <c r="F483" t="s">
        <v>1033</v>
      </c>
      <c r="G483" t="s">
        <v>1033</v>
      </c>
      <c r="H483" s="3">
        <v>46104</v>
      </c>
      <c r="I483" s="3">
        <v>46190</v>
      </c>
      <c r="J483" t="s">
        <v>123</v>
      </c>
      <c r="K483" s="3">
        <v>46195</v>
      </c>
      <c r="L483" s="3">
        <v>46104</v>
      </c>
      <c r="M483" s="3">
        <v>46190</v>
      </c>
      <c r="N483" s="3">
        <v>46190</v>
      </c>
      <c r="O483" t="s">
        <v>123</v>
      </c>
      <c r="P483" t="s">
        <v>55</v>
      </c>
      <c r="V483" t="s">
        <v>1034</v>
      </c>
      <c r="W483">
        <v>562</v>
      </c>
      <c r="X483" t="s">
        <v>57</v>
      </c>
      <c r="AA483" t="s">
        <v>50</v>
      </c>
      <c r="AE483">
        <v>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</row>
    <row r="484" spans="1:42" x14ac:dyDescent="0.25">
      <c r="A484">
        <v>540</v>
      </c>
      <c r="B484" t="s">
        <v>1035</v>
      </c>
      <c r="C484" t="s">
        <v>1036</v>
      </c>
      <c r="D484" t="s">
        <v>1037</v>
      </c>
      <c r="E484" s="4">
        <v>1</v>
      </c>
      <c r="F484" t="s">
        <v>151</v>
      </c>
      <c r="G484" t="s">
        <v>151</v>
      </c>
      <c r="H484" s="3">
        <v>46167</v>
      </c>
      <c r="I484" s="3">
        <v>46182</v>
      </c>
      <c r="J484" t="s">
        <v>406</v>
      </c>
      <c r="K484" s="3">
        <v>46174</v>
      </c>
      <c r="L484" s="3">
        <v>46156</v>
      </c>
      <c r="M484" s="3">
        <v>46182</v>
      </c>
      <c r="N484" s="3">
        <v>46182</v>
      </c>
      <c r="O484" t="s">
        <v>74</v>
      </c>
      <c r="P484" t="s">
        <v>55</v>
      </c>
      <c r="T484" t="s">
        <v>1036</v>
      </c>
      <c r="U484">
        <v>606</v>
      </c>
      <c r="V484" t="s">
        <v>1038</v>
      </c>
      <c r="W484">
        <v>43.2</v>
      </c>
      <c r="X484" t="s">
        <v>57</v>
      </c>
      <c r="AA484" t="s">
        <v>50</v>
      </c>
      <c r="AE484">
        <v>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</row>
    <row r="485" spans="1:42" x14ac:dyDescent="0.25">
      <c r="A485">
        <v>541</v>
      </c>
      <c r="B485" t="s">
        <v>1039</v>
      </c>
      <c r="C485" t="s">
        <v>1040</v>
      </c>
      <c r="D485" t="s">
        <v>117</v>
      </c>
      <c r="E485" s="4">
        <v>1</v>
      </c>
      <c r="F485" t="s">
        <v>175</v>
      </c>
      <c r="G485" t="s">
        <v>175</v>
      </c>
      <c r="H485" s="3">
        <v>46167</v>
      </c>
      <c r="I485" s="3">
        <v>46175</v>
      </c>
      <c r="J485" t="s">
        <v>406</v>
      </c>
      <c r="K485" s="3">
        <v>46169</v>
      </c>
      <c r="L485" s="3">
        <v>46156</v>
      </c>
      <c r="M485" s="3">
        <v>46175</v>
      </c>
      <c r="N485" s="3">
        <v>46175</v>
      </c>
      <c r="O485" t="s">
        <v>74</v>
      </c>
      <c r="P485" t="s">
        <v>55</v>
      </c>
      <c r="Q485" t="s">
        <v>1041</v>
      </c>
      <c r="S485" t="s">
        <v>1042</v>
      </c>
      <c r="T485" t="s">
        <v>1036</v>
      </c>
      <c r="U485" t="s">
        <v>1043</v>
      </c>
      <c r="V485" t="s">
        <v>151</v>
      </c>
      <c r="W485">
        <v>13.4</v>
      </c>
      <c r="X485" t="s">
        <v>57</v>
      </c>
      <c r="Z485" t="s">
        <v>1042</v>
      </c>
      <c r="AA485" t="s">
        <v>93</v>
      </c>
      <c r="AE485">
        <v>1</v>
      </c>
      <c r="AF485">
        <v>1</v>
      </c>
      <c r="AG485">
        <v>1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1</v>
      </c>
    </row>
    <row r="486" spans="1:42" x14ac:dyDescent="0.25">
      <c r="A486">
        <v>542</v>
      </c>
      <c r="B486" t="s">
        <v>1044</v>
      </c>
      <c r="C486" t="s">
        <v>1040</v>
      </c>
      <c r="D486" t="s">
        <v>121</v>
      </c>
      <c r="E486" s="4">
        <v>1</v>
      </c>
      <c r="F486" t="s">
        <v>61</v>
      </c>
      <c r="G486" t="s">
        <v>61</v>
      </c>
      <c r="H486" s="3">
        <v>46176</v>
      </c>
      <c r="I486" s="3">
        <v>46176</v>
      </c>
      <c r="J486" t="s">
        <v>448</v>
      </c>
      <c r="K486" s="3">
        <v>46170</v>
      </c>
      <c r="L486" s="3">
        <v>46170</v>
      </c>
      <c r="M486" s="3">
        <v>46176</v>
      </c>
      <c r="N486" s="3">
        <v>46176</v>
      </c>
      <c r="O486" t="s">
        <v>459</v>
      </c>
      <c r="P486" t="s">
        <v>55</v>
      </c>
      <c r="Q486">
        <v>541</v>
      </c>
      <c r="S486" t="s">
        <v>124</v>
      </c>
      <c r="T486" t="s">
        <v>1036</v>
      </c>
      <c r="U486">
        <v>543</v>
      </c>
      <c r="V486" t="s">
        <v>61</v>
      </c>
      <c r="W486">
        <v>13.4</v>
      </c>
      <c r="X486" t="s">
        <v>57</v>
      </c>
      <c r="Z486" t="s">
        <v>124</v>
      </c>
      <c r="AA486" t="s">
        <v>77</v>
      </c>
      <c r="AE486">
        <v>1</v>
      </c>
      <c r="AF486">
        <v>0</v>
      </c>
      <c r="AG486">
        <v>0</v>
      </c>
      <c r="AH486">
        <v>0</v>
      </c>
      <c r="AI486">
        <v>0</v>
      </c>
      <c r="AJ486">
        <v>1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</row>
    <row r="487" spans="1:42" x14ac:dyDescent="0.25">
      <c r="A487">
        <v>543</v>
      </c>
      <c r="B487" t="s">
        <v>1045</v>
      </c>
      <c r="C487" t="s">
        <v>1040</v>
      </c>
      <c r="D487" t="s">
        <v>126</v>
      </c>
      <c r="E487" s="4">
        <v>1</v>
      </c>
      <c r="F487" t="s">
        <v>61</v>
      </c>
      <c r="G487" t="s">
        <v>61</v>
      </c>
      <c r="H487" s="3">
        <v>46181</v>
      </c>
      <c r="I487" s="3">
        <v>46181</v>
      </c>
      <c r="J487" t="s">
        <v>189</v>
      </c>
      <c r="K487" s="3">
        <v>46171</v>
      </c>
      <c r="L487" s="3">
        <v>46171</v>
      </c>
      <c r="M487" s="3">
        <v>46181</v>
      </c>
      <c r="N487" s="3">
        <v>46181</v>
      </c>
      <c r="O487" t="s">
        <v>201</v>
      </c>
      <c r="P487" t="s">
        <v>55</v>
      </c>
      <c r="Q487">
        <v>542</v>
      </c>
      <c r="S487" t="s">
        <v>1042</v>
      </c>
      <c r="T487" t="s">
        <v>1036</v>
      </c>
      <c r="U487">
        <v>544</v>
      </c>
      <c r="V487" t="s">
        <v>61</v>
      </c>
      <c r="W487">
        <v>13.4</v>
      </c>
      <c r="X487" t="s">
        <v>57</v>
      </c>
      <c r="Z487" t="s">
        <v>1042</v>
      </c>
      <c r="AA487" t="s">
        <v>77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1</v>
      </c>
      <c r="AM487">
        <v>0</v>
      </c>
      <c r="AN487">
        <v>0</v>
      </c>
      <c r="AO487">
        <v>0</v>
      </c>
      <c r="AP487">
        <v>0</v>
      </c>
    </row>
    <row r="488" spans="1:42" x14ac:dyDescent="0.25">
      <c r="A488">
        <v>544</v>
      </c>
      <c r="B488" t="s">
        <v>1046</v>
      </c>
      <c r="C488" t="s">
        <v>1040</v>
      </c>
      <c r="D488" t="s">
        <v>133</v>
      </c>
      <c r="E488" s="4">
        <v>1</v>
      </c>
      <c r="F488" t="s">
        <v>61</v>
      </c>
      <c r="G488" t="s">
        <v>61</v>
      </c>
      <c r="H488" s="3">
        <v>46182</v>
      </c>
      <c r="I488" s="3">
        <v>46182</v>
      </c>
      <c r="J488" t="s">
        <v>193</v>
      </c>
      <c r="K488" s="3">
        <v>46174</v>
      </c>
      <c r="L488" s="3">
        <v>46174</v>
      </c>
      <c r="M488" s="3">
        <v>46182</v>
      </c>
      <c r="N488" s="3">
        <v>46182</v>
      </c>
      <c r="O488" t="s">
        <v>204</v>
      </c>
      <c r="P488" t="s">
        <v>55</v>
      </c>
      <c r="Q488">
        <v>543</v>
      </c>
      <c r="S488" t="s">
        <v>124</v>
      </c>
      <c r="T488" t="s">
        <v>1036</v>
      </c>
      <c r="U488">
        <v>551</v>
      </c>
      <c r="V488" t="s">
        <v>61</v>
      </c>
      <c r="W488">
        <v>13.4</v>
      </c>
      <c r="X488" t="s">
        <v>57</v>
      </c>
      <c r="Z488" t="s">
        <v>124</v>
      </c>
      <c r="AA488" t="s">
        <v>460</v>
      </c>
      <c r="AE488">
        <v>1</v>
      </c>
      <c r="AF488">
        <v>0</v>
      </c>
      <c r="AG488">
        <v>0</v>
      </c>
      <c r="AH488">
        <v>0</v>
      </c>
      <c r="AI488">
        <v>1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0</v>
      </c>
      <c r="AP488">
        <v>0</v>
      </c>
    </row>
    <row r="489" spans="1:42" x14ac:dyDescent="0.25">
      <c r="A489">
        <v>545</v>
      </c>
      <c r="B489" t="s">
        <v>1047</v>
      </c>
      <c r="C489" t="s">
        <v>1036</v>
      </c>
      <c r="D489" t="s">
        <v>1048</v>
      </c>
      <c r="E489" s="4">
        <v>1</v>
      </c>
      <c r="F489" t="s">
        <v>138</v>
      </c>
      <c r="G489" t="s">
        <v>138</v>
      </c>
      <c r="H489" s="3">
        <v>46104</v>
      </c>
      <c r="I489" s="3">
        <v>46108</v>
      </c>
      <c r="J489" t="s">
        <v>123</v>
      </c>
      <c r="K489" s="3">
        <v>46113</v>
      </c>
      <c r="L489" s="3">
        <v>46104</v>
      </c>
      <c r="M489" s="3">
        <v>46108</v>
      </c>
      <c r="N489" s="3">
        <v>46108</v>
      </c>
      <c r="O489" t="s">
        <v>123</v>
      </c>
      <c r="P489" t="s">
        <v>55</v>
      </c>
      <c r="T489" t="s">
        <v>1036</v>
      </c>
      <c r="V489" t="s">
        <v>210</v>
      </c>
      <c r="W489">
        <v>24.48</v>
      </c>
      <c r="X489" t="s">
        <v>57</v>
      </c>
      <c r="AA489" t="s">
        <v>50</v>
      </c>
      <c r="AE489">
        <v>1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</row>
    <row r="490" spans="1:42" x14ac:dyDescent="0.25">
      <c r="A490">
        <v>546</v>
      </c>
      <c r="B490" t="s">
        <v>1049</v>
      </c>
      <c r="C490" t="s">
        <v>1050</v>
      </c>
      <c r="D490" t="s">
        <v>117</v>
      </c>
      <c r="E490" s="4">
        <v>1</v>
      </c>
      <c r="F490" t="s">
        <v>127</v>
      </c>
      <c r="G490" t="s">
        <v>127</v>
      </c>
      <c r="H490" s="3">
        <v>46104</v>
      </c>
      <c r="I490" s="3">
        <v>46105</v>
      </c>
      <c r="J490" t="s">
        <v>123</v>
      </c>
      <c r="K490" s="3">
        <v>46108</v>
      </c>
      <c r="L490" s="3">
        <v>46104</v>
      </c>
      <c r="M490" s="3">
        <v>46105</v>
      </c>
      <c r="N490" s="3">
        <v>46105</v>
      </c>
      <c r="O490" t="s">
        <v>123</v>
      </c>
      <c r="P490" t="s">
        <v>55</v>
      </c>
      <c r="Q490">
        <v>12</v>
      </c>
      <c r="S490" t="s">
        <v>1042</v>
      </c>
      <c r="T490" t="s">
        <v>1036</v>
      </c>
      <c r="U490">
        <v>547</v>
      </c>
      <c r="V490" t="s">
        <v>138</v>
      </c>
      <c r="W490">
        <v>13.4</v>
      </c>
      <c r="X490" t="s">
        <v>57</v>
      </c>
      <c r="Z490" t="s">
        <v>1042</v>
      </c>
      <c r="AA490" t="s">
        <v>64</v>
      </c>
      <c r="AE490">
        <v>1</v>
      </c>
      <c r="AF490">
        <v>1</v>
      </c>
      <c r="AG490">
        <v>1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1</v>
      </c>
    </row>
    <row r="491" spans="1:42" x14ac:dyDescent="0.25">
      <c r="A491">
        <v>547</v>
      </c>
      <c r="B491" t="s">
        <v>1051</v>
      </c>
      <c r="C491" t="s">
        <v>1050</v>
      </c>
      <c r="D491" t="s">
        <v>121</v>
      </c>
      <c r="E491" s="4">
        <v>1</v>
      </c>
      <c r="F491" t="s">
        <v>61</v>
      </c>
      <c r="G491" t="s">
        <v>61</v>
      </c>
      <c r="H491" s="3">
        <v>46106</v>
      </c>
      <c r="I491" s="3">
        <v>46106</v>
      </c>
      <c r="J491" t="s">
        <v>275</v>
      </c>
      <c r="K491" s="3">
        <v>46111</v>
      </c>
      <c r="L491" s="3">
        <v>46111</v>
      </c>
      <c r="M491" s="3">
        <v>46106</v>
      </c>
      <c r="N491" s="3">
        <v>46106</v>
      </c>
      <c r="O491" t="s">
        <v>431</v>
      </c>
      <c r="P491" t="s">
        <v>55</v>
      </c>
      <c r="Q491">
        <v>546</v>
      </c>
      <c r="R491" s="1">
        <v>46122.354166666657</v>
      </c>
      <c r="S491" t="s">
        <v>124</v>
      </c>
      <c r="T491" t="s">
        <v>1036</v>
      </c>
      <c r="U491">
        <v>548</v>
      </c>
      <c r="V491" t="s">
        <v>61</v>
      </c>
      <c r="W491">
        <v>13.4</v>
      </c>
      <c r="X491" t="s">
        <v>57</v>
      </c>
      <c r="Z491" t="s">
        <v>124</v>
      </c>
      <c r="AA491" t="s">
        <v>255</v>
      </c>
      <c r="AE491">
        <v>1</v>
      </c>
      <c r="AF491">
        <v>0</v>
      </c>
      <c r="AG491">
        <v>0</v>
      </c>
      <c r="AH491">
        <v>0</v>
      </c>
      <c r="AI491">
        <v>0</v>
      </c>
      <c r="AJ491">
        <v>1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</row>
    <row r="492" spans="1:42" x14ac:dyDescent="0.25">
      <c r="A492">
        <v>548</v>
      </c>
      <c r="B492" t="s">
        <v>1052</v>
      </c>
      <c r="C492" t="s">
        <v>1050</v>
      </c>
      <c r="D492" t="s">
        <v>126</v>
      </c>
      <c r="E492" s="4">
        <v>1</v>
      </c>
      <c r="F492" t="s">
        <v>61</v>
      </c>
      <c r="G492" t="s">
        <v>61</v>
      </c>
      <c r="H492" s="3">
        <v>46107</v>
      </c>
      <c r="I492" s="3">
        <v>46107</v>
      </c>
      <c r="J492" t="s">
        <v>252</v>
      </c>
      <c r="K492" s="3">
        <v>46112</v>
      </c>
      <c r="L492" s="3">
        <v>46112</v>
      </c>
      <c r="M492" s="3">
        <v>46107</v>
      </c>
      <c r="N492" s="3">
        <v>46107</v>
      </c>
      <c r="O492" t="s">
        <v>129</v>
      </c>
      <c r="P492" t="s">
        <v>55</v>
      </c>
      <c r="Q492">
        <v>547</v>
      </c>
      <c r="R492" s="1">
        <v>46129.746527777781</v>
      </c>
      <c r="S492" t="s">
        <v>1042</v>
      </c>
      <c r="T492" t="s">
        <v>1036</v>
      </c>
      <c r="U492">
        <v>549</v>
      </c>
      <c r="V492" t="s">
        <v>61</v>
      </c>
      <c r="W492">
        <v>13.4</v>
      </c>
      <c r="X492" t="s">
        <v>57</v>
      </c>
      <c r="Z492" t="s">
        <v>1042</v>
      </c>
      <c r="AA492" t="s">
        <v>255</v>
      </c>
      <c r="AE492">
        <v>1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1</v>
      </c>
      <c r="AM492">
        <v>0</v>
      </c>
      <c r="AN492">
        <v>0</v>
      </c>
      <c r="AO492">
        <v>0</v>
      </c>
      <c r="AP492">
        <v>0</v>
      </c>
    </row>
    <row r="493" spans="1:42" x14ac:dyDescent="0.25">
      <c r="A493">
        <v>549</v>
      </c>
      <c r="B493" t="s">
        <v>1053</v>
      </c>
      <c r="C493" t="s">
        <v>1050</v>
      </c>
      <c r="D493" t="s">
        <v>133</v>
      </c>
      <c r="E493" s="4">
        <v>1</v>
      </c>
      <c r="F493" t="s">
        <v>61</v>
      </c>
      <c r="G493" t="s">
        <v>61</v>
      </c>
      <c r="H493" s="3">
        <v>46108</v>
      </c>
      <c r="I493" s="3">
        <v>46108</v>
      </c>
      <c r="J493" t="s">
        <v>257</v>
      </c>
      <c r="K493" s="3">
        <v>46113</v>
      </c>
      <c r="L493" s="3">
        <v>46113</v>
      </c>
      <c r="M493" s="3">
        <v>46108</v>
      </c>
      <c r="N493" s="3">
        <v>46108</v>
      </c>
      <c r="O493" t="s">
        <v>135</v>
      </c>
      <c r="P493" t="s">
        <v>55</v>
      </c>
      <c r="Q493">
        <v>548</v>
      </c>
      <c r="R493" s="1">
        <v>46129.746527777781</v>
      </c>
      <c r="S493" t="s">
        <v>124</v>
      </c>
      <c r="T493" t="s">
        <v>1036</v>
      </c>
      <c r="V493" t="s">
        <v>61</v>
      </c>
      <c r="W493">
        <v>13.4</v>
      </c>
      <c r="X493" t="s">
        <v>57</v>
      </c>
      <c r="Z493" t="s">
        <v>124</v>
      </c>
      <c r="AE493">
        <v>1</v>
      </c>
      <c r="AF493">
        <v>0</v>
      </c>
      <c r="AG493">
        <v>0</v>
      </c>
      <c r="AH493">
        <v>0</v>
      </c>
      <c r="AI493">
        <v>1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0</v>
      </c>
      <c r="AP493">
        <v>0</v>
      </c>
    </row>
    <row r="494" spans="1:42" x14ac:dyDescent="0.25">
      <c r="A494">
        <v>570</v>
      </c>
      <c r="B494" t="s">
        <v>1054</v>
      </c>
      <c r="C494" t="s">
        <v>1036</v>
      </c>
      <c r="D494" t="s">
        <v>1055</v>
      </c>
      <c r="E494" s="4">
        <v>1</v>
      </c>
      <c r="F494" t="s">
        <v>151</v>
      </c>
      <c r="G494" t="s">
        <v>151</v>
      </c>
      <c r="H494" s="3">
        <v>46113</v>
      </c>
      <c r="I494" s="3">
        <v>46128</v>
      </c>
      <c r="J494" t="s">
        <v>188</v>
      </c>
      <c r="K494" s="3">
        <v>46153</v>
      </c>
      <c r="L494" s="3">
        <v>46139</v>
      </c>
      <c r="M494" s="3">
        <v>46128</v>
      </c>
      <c r="N494" s="3">
        <v>46128</v>
      </c>
      <c r="O494" t="s">
        <v>257</v>
      </c>
      <c r="P494" t="s">
        <v>55</v>
      </c>
      <c r="T494" t="s">
        <v>1036</v>
      </c>
      <c r="V494" t="s">
        <v>151</v>
      </c>
      <c r="W494">
        <v>18.239999999999998</v>
      </c>
      <c r="X494" t="s">
        <v>57</v>
      </c>
      <c r="AA494" t="s">
        <v>50</v>
      </c>
      <c r="AE494">
        <v>1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</row>
    <row r="495" spans="1:42" x14ac:dyDescent="0.25">
      <c r="A495">
        <v>571</v>
      </c>
      <c r="B495" t="s">
        <v>1056</v>
      </c>
      <c r="C495" t="s">
        <v>1057</v>
      </c>
      <c r="D495" t="s">
        <v>117</v>
      </c>
      <c r="E495" s="4">
        <v>1</v>
      </c>
      <c r="F495" t="s">
        <v>138</v>
      </c>
      <c r="G495" t="s">
        <v>138</v>
      </c>
      <c r="H495" s="3">
        <v>46113</v>
      </c>
      <c r="I495" s="3">
        <v>46121</v>
      </c>
      <c r="J495" t="s">
        <v>188</v>
      </c>
      <c r="K495" s="3">
        <v>46146</v>
      </c>
      <c r="L495" s="3">
        <v>46139</v>
      </c>
      <c r="M495" s="3">
        <v>46121</v>
      </c>
      <c r="N495" s="3">
        <v>46121</v>
      </c>
      <c r="O495" t="s">
        <v>257</v>
      </c>
      <c r="P495" t="s">
        <v>55</v>
      </c>
      <c r="R495" s="1">
        <v>46129.708333333343</v>
      </c>
      <c r="S495" t="s">
        <v>1058</v>
      </c>
      <c r="T495" t="s">
        <v>1036</v>
      </c>
      <c r="U495">
        <v>572</v>
      </c>
      <c r="V495" t="s">
        <v>138</v>
      </c>
      <c r="W495">
        <v>13.4</v>
      </c>
      <c r="X495" t="s">
        <v>57</v>
      </c>
      <c r="Z495" t="s">
        <v>1058</v>
      </c>
      <c r="AA495" t="s">
        <v>71</v>
      </c>
      <c r="AE495">
        <v>1</v>
      </c>
      <c r="AF495">
        <v>1</v>
      </c>
      <c r="AG495">
        <v>1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1</v>
      </c>
    </row>
    <row r="496" spans="1:42" x14ac:dyDescent="0.25">
      <c r="A496">
        <v>572</v>
      </c>
      <c r="B496" t="s">
        <v>1059</v>
      </c>
      <c r="C496" t="s">
        <v>1057</v>
      </c>
      <c r="D496" t="s">
        <v>121</v>
      </c>
      <c r="E496" s="4">
        <v>1</v>
      </c>
      <c r="F496" t="s">
        <v>61</v>
      </c>
      <c r="G496" t="s">
        <v>61</v>
      </c>
      <c r="H496" s="3">
        <v>46122</v>
      </c>
      <c r="I496" s="3">
        <v>46127</v>
      </c>
      <c r="J496" t="s">
        <v>183</v>
      </c>
      <c r="K496" s="3">
        <v>46149</v>
      </c>
      <c r="L496" s="3">
        <v>46147</v>
      </c>
      <c r="M496" s="3">
        <v>46127</v>
      </c>
      <c r="N496" s="3">
        <v>46127</v>
      </c>
      <c r="O496" t="s">
        <v>80</v>
      </c>
      <c r="P496" t="s">
        <v>55</v>
      </c>
      <c r="Q496">
        <v>571</v>
      </c>
      <c r="R496" s="1">
        <v>46129.71875</v>
      </c>
      <c r="S496" t="s">
        <v>124</v>
      </c>
      <c r="T496" t="s">
        <v>1036</v>
      </c>
      <c r="U496">
        <v>573</v>
      </c>
      <c r="V496" t="s">
        <v>122</v>
      </c>
      <c r="W496">
        <v>13.4</v>
      </c>
      <c r="X496" t="s">
        <v>57</v>
      </c>
      <c r="Z496" t="s">
        <v>124</v>
      </c>
      <c r="AA496" t="s">
        <v>401</v>
      </c>
      <c r="AE496">
        <v>1</v>
      </c>
      <c r="AF496">
        <v>0</v>
      </c>
      <c r="AG496">
        <v>0</v>
      </c>
      <c r="AH496">
        <v>0</v>
      </c>
      <c r="AI496">
        <v>0</v>
      </c>
      <c r="AJ496">
        <v>1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</row>
    <row r="497" spans="1:42" x14ac:dyDescent="0.25">
      <c r="A497">
        <v>573</v>
      </c>
      <c r="B497" t="s">
        <v>1060</v>
      </c>
      <c r="C497" t="s">
        <v>1057</v>
      </c>
      <c r="D497" t="s">
        <v>126</v>
      </c>
      <c r="E497" s="4">
        <v>1</v>
      </c>
      <c r="F497" t="s">
        <v>61</v>
      </c>
      <c r="G497" t="s">
        <v>61</v>
      </c>
      <c r="H497" s="3">
        <v>46127</v>
      </c>
      <c r="I497" s="3">
        <v>46127</v>
      </c>
      <c r="J497" t="s">
        <v>403</v>
      </c>
      <c r="K497" s="3">
        <v>46150</v>
      </c>
      <c r="L497" s="3">
        <v>46150</v>
      </c>
      <c r="M497" s="3">
        <v>46127</v>
      </c>
      <c r="N497" s="3">
        <v>46127</v>
      </c>
      <c r="O497" t="s">
        <v>146</v>
      </c>
      <c r="P497" t="s">
        <v>55</v>
      </c>
      <c r="Q497">
        <v>572</v>
      </c>
      <c r="R497" s="1">
        <v>46129.729166666657</v>
      </c>
      <c r="S497" t="s">
        <v>1058</v>
      </c>
      <c r="T497" t="s">
        <v>1036</v>
      </c>
      <c r="U497">
        <v>574</v>
      </c>
      <c r="V497" t="s">
        <v>61</v>
      </c>
      <c r="W497">
        <v>13.4</v>
      </c>
      <c r="X497" t="s">
        <v>57</v>
      </c>
      <c r="Z497" t="s">
        <v>1058</v>
      </c>
      <c r="AA497" t="s">
        <v>401</v>
      </c>
      <c r="AE497">
        <v>1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1</v>
      </c>
      <c r="AM497">
        <v>0</v>
      </c>
      <c r="AN497">
        <v>0</v>
      </c>
      <c r="AO497">
        <v>0</v>
      </c>
      <c r="AP497">
        <v>0</v>
      </c>
    </row>
    <row r="498" spans="1:42" x14ac:dyDescent="0.25">
      <c r="A498">
        <v>574</v>
      </c>
      <c r="B498" t="s">
        <v>1061</v>
      </c>
      <c r="C498" t="s">
        <v>1057</v>
      </c>
      <c r="D498" t="s">
        <v>133</v>
      </c>
      <c r="E498" s="4">
        <v>1</v>
      </c>
      <c r="F498" t="s">
        <v>61</v>
      </c>
      <c r="G498" t="s">
        <v>61</v>
      </c>
      <c r="H498" s="3">
        <v>46128</v>
      </c>
      <c r="I498" s="3">
        <v>46128</v>
      </c>
      <c r="J498" t="s">
        <v>418</v>
      </c>
      <c r="K498" s="3">
        <v>46153</v>
      </c>
      <c r="L498" s="3">
        <v>46153</v>
      </c>
      <c r="M498" s="3">
        <v>46128</v>
      </c>
      <c r="N498" s="3">
        <v>46128</v>
      </c>
      <c r="O498" t="s">
        <v>148</v>
      </c>
      <c r="P498" t="s">
        <v>55</v>
      </c>
      <c r="Q498">
        <v>573</v>
      </c>
      <c r="R498" s="1">
        <v>46129.740972222222</v>
      </c>
      <c r="S498" t="s">
        <v>124</v>
      </c>
      <c r="T498" t="s">
        <v>1036</v>
      </c>
      <c r="V498" t="s">
        <v>61</v>
      </c>
      <c r="W498">
        <v>13.4</v>
      </c>
      <c r="X498" t="s">
        <v>57</v>
      </c>
      <c r="Z498" t="s">
        <v>124</v>
      </c>
      <c r="AA498" t="s">
        <v>93</v>
      </c>
      <c r="AE498">
        <v>1</v>
      </c>
      <c r="AF498">
        <v>0</v>
      </c>
      <c r="AG498">
        <v>0</v>
      </c>
      <c r="AH498">
        <v>0</v>
      </c>
      <c r="AI498">
        <v>1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0</v>
      </c>
      <c r="AP498">
        <v>0</v>
      </c>
    </row>
    <row r="499" spans="1:42" x14ac:dyDescent="0.25">
      <c r="A499">
        <v>575</v>
      </c>
      <c r="B499" t="s">
        <v>1062</v>
      </c>
      <c r="C499" t="s">
        <v>1036</v>
      </c>
      <c r="D499" t="s">
        <v>1063</v>
      </c>
      <c r="E499" s="4">
        <v>1</v>
      </c>
      <c r="F499" t="s">
        <v>730</v>
      </c>
      <c r="G499" t="s">
        <v>730</v>
      </c>
      <c r="H499" s="3">
        <v>46139</v>
      </c>
      <c r="I499" s="3">
        <v>46176</v>
      </c>
      <c r="J499" t="s">
        <v>188</v>
      </c>
      <c r="K499" s="3">
        <v>46153</v>
      </c>
      <c r="L499" s="3">
        <v>46139</v>
      </c>
      <c r="M499" s="3">
        <v>46176</v>
      </c>
      <c r="N499" s="3">
        <v>46176</v>
      </c>
      <c r="O499" t="s">
        <v>188</v>
      </c>
      <c r="P499" t="s">
        <v>55</v>
      </c>
      <c r="T499" t="s">
        <v>1036</v>
      </c>
      <c r="V499" t="s">
        <v>151</v>
      </c>
      <c r="W499">
        <v>18.239999999999998</v>
      </c>
      <c r="X499" t="s">
        <v>57</v>
      </c>
      <c r="AA499" t="s">
        <v>50</v>
      </c>
      <c r="AE499">
        <v>1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</row>
    <row r="500" spans="1:42" x14ac:dyDescent="0.25">
      <c r="A500">
        <v>576</v>
      </c>
      <c r="B500" t="s">
        <v>1064</v>
      </c>
      <c r="C500" t="s">
        <v>1065</v>
      </c>
      <c r="D500" t="s">
        <v>117</v>
      </c>
      <c r="E500" s="4">
        <v>1</v>
      </c>
      <c r="F500" t="s">
        <v>1066</v>
      </c>
      <c r="G500" t="s">
        <v>1066</v>
      </c>
      <c r="H500" s="3">
        <v>46139</v>
      </c>
      <c r="I500" s="3">
        <v>46160</v>
      </c>
      <c r="J500" t="s">
        <v>188</v>
      </c>
      <c r="K500" s="3">
        <v>46146</v>
      </c>
      <c r="L500" s="3">
        <v>46139</v>
      </c>
      <c r="M500" s="3">
        <v>46160</v>
      </c>
      <c r="N500" s="3">
        <v>46160</v>
      </c>
      <c r="O500" t="s">
        <v>188</v>
      </c>
      <c r="P500" t="s">
        <v>55</v>
      </c>
      <c r="Q500">
        <v>4</v>
      </c>
      <c r="S500" t="s">
        <v>1058</v>
      </c>
      <c r="T500" t="s">
        <v>1036</v>
      </c>
      <c r="U500">
        <v>577</v>
      </c>
      <c r="V500" t="s">
        <v>138</v>
      </c>
      <c r="W500">
        <v>13.4</v>
      </c>
      <c r="X500" t="s">
        <v>57</v>
      </c>
      <c r="Z500" t="s">
        <v>1058</v>
      </c>
      <c r="AA500" t="s">
        <v>71</v>
      </c>
      <c r="AE500">
        <v>1</v>
      </c>
      <c r="AF500">
        <v>1</v>
      </c>
      <c r="AG500">
        <v>1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1</v>
      </c>
    </row>
    <row r="501" spans="1:42" x14ac:dyDescent="0.25">
      <c r="A501">
        <v>577</v>
      </c>
      <c r="B501" t="s">
        <v>1067</v>
      </c>
      <c r="C501" t="s">
        <v>1065</v>
      </c>
      <c r="D501" t="s">
        <v>121</v>
      </c>
      <c r="E501" s="4">
        <v>1</v>
      </c>
      <c r="F501" t="s">
        <v>138</v>
      </c>
      <c r="G501" t="s">
        <v>138</v>
      </c>
      <c r="H501" s="3">
        <v>46161</v>
      </c>
      <c r="I501" s="3">
        <v>46167</v>
      </c>
      <c r="J501" t="s">
        <v>183</v>
      </c>
      <c r="K501" s="3">
        <v>46149</v>
      </c>
      <c r="L501" s="3">
        <v>46147</v>
      </c>
      <c r="M501" s="3">
        <v>46167</v>
      </c>
      <c r="N501" s="3">
        <v>46167</v>
      </c>
      <c r="O501" t="s">
        <v>90</v>
      </c>
      <c r="P501" t="s">
        <v>55</v>
      </c>
      <c r="Q501">
        <v>576</v>
      </c>
      <c r="S501" t="s">
        <v>124</v>
      </c>
      <c r="T501" t="s">
        <v>1036</v>
      </c>
      <c r="U501">
        <v>578</v>
      </c>
      <c r="V501" t="s">
        <v>122</v>
      </c>
      <c r="W501">
        <v>13.4</v>
      </c>
      <c r="X501" t="s">
        <v>57</v>
      </c>
      <c r="Z501" t="s">
        <v>124</v>
      </c>
      <c r="AA501" t="s">
        <v>401</v>
      </c>
      <c r="AE501">
        <v>1</v>
      </c>
      <c r="AF501">
        <v>0</v>
      </c>
      <c r="AG501">
        <v>0</v>
      </c>
      <c r="AH501">
        <v>0</v>
      </c>
      <c r="AI501">
        <v>0</v>
      </c>
      <c r="AJ501">
        <v>1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</row>
    <row r="502" spans="1:42" x14ac:dyDescent="0.25">
      <c r="A502">
        <v>578</v>
      </c>
      <c r="B502" t="s">
        <v>1068</v>
      </c>
      <c r="C502" t="s">
        <v>1065</v>
      </c>
      <c r="D502" t="s">
        <v>126</v>
      </c>
      <c r="E502" s="4">
        <v>1</v>
      </c>
      <c r="F502" t="s">
        <v>175</v>
      </c>
      <c r="G502" t="s">
        <v>175</v>
      </c>
      <c r="H502" s="3">
        <v>46168</v>
      </c>
      <c r="I502" s="3">
        <v>46176</v>
      </c>
      <c r="J502" t="s">
        <v>403</v>
      </c>
      <c r="K502" s="3">
        <v>46150</v>
      </c>
      <c r="L502" s="3">
        <v>46150</v>
      </c>
      <c r="M502" s="3">
        <v>46176</v>
      </c>
      <c r="N502" s="3">
        <v>46176</v>
      </c>
      <c r="O502" t="s">
        <v>206</v>
      </c>
      <c r="P502" t="s">
        <v>55</v>
      </c>
      <c r="Q502">
        <v>577</v>
      </c>
      <c r="S502" t="s">
        <v>1058</v>
      </c>
      <c r="T502" t="s">
        <v>1036</v>
      </c>
      <c r="U502">
        <v>579</v>
      </c>
      <c r="V502" t="s">
        <v>61</v>
      </c>
      <c r="W502">
        <v>13.4</v>
      </c>
      <c r="X502" t="s">
        <v>57</v>
      </c>
      <c r="Z502" t="s">
        <v>1058</v>
      </c>
      <c r="AA502" t="s">
        <v>401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1</v>
      </c>
      <c r="AM502">
        <v>0</v>
      </c>
      <c r="AN502">
        <v>0</v>
      </c>
      <c r="AO502">
        <v>0</v>
      </c>
      <c r="AP502">
        <v>0</v>
      </c>
    </row>
    <row r="503" spans="1:42" x14ac:dyDescent="0.25">
      <c r="A503">
        <v>579</v>
      </c>
      <c r="B503" t="s">
        <v>1069</v>
      </c>
      <c r="C503" t="s">
        <v>1065</v>
      </c>
      <c r="D503" t="s">
        <v>133</v>
      </c>
      <c r="E503" s="4">
        <v>1</v>
      </c>
      <c r="F503" t="s">
        <v>63</v>
      </c>
      <c r="G503" t="s">
        <v>63</v>
      </c>
      <c r="H503" s="3">
        <v>46176</v>
      </c>
      <c r="I503" s="3">
        <v>46176</v>
      </c>
      <c r="J503" t="s">
        <v>418</v>
      </c>
      <c r="K503" s="3">
        <v>46153</v>
      </c>
      <c r="L503" s="3">
        <v>46153</v>
      </c>
      <c r="M503" s="3">
        <v>46176</v>
      </c>
      <c r="N503" s="3">
        <v>46176</v>
      </c>
      <c r="O503" t="s">
        <v>459</v>
      </c>
      <c r="P503" t="s">
        <v>55</v>
      </c>
      <c r="Q503">
        <v>578</v>
      </c>
      <c r="S503" t="s">
        <v>124</v>
      </c>
      <c r="T503" t="s">
        <v>1036</v>
      </c>
      <c r="V503" t="s">
        <v>61</v>
      </c>
      <c r="W503">
        <v>13.4</v>
      </c>
      <c r="X503" t="s">
        <v>57</v>
      </c>
      <c r="Z503" t="s">
        <v>124</v>
      </c>
      <c r="AA503" t="s">
        <v>93</v>
      </c>
      <c r="AE503">
        <v>1</v>
      </c>
      <c r="AF503">
        <v>0</v>
      </c>
      <c r="AG503">
        <v>0</v>
      </c>
      <c r="AH503">
        <v>0</v>
      </c>
      <c r="AI503">
        <v>1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0</v>
      </c>
      <c r="AP503">
        <v>0</v>
      </c>
    </row>
    <row r="504" spans="1:42" x14ac:dyDescent="0.25">
      <c r="A504">
        <v>580</v>
      </c>
      <c r="B504" t="s">
        <v>1070</v>
      </c>
      <c r="C504" t="s">
        <v>1036</v>
      </c>
      <c r="D504" t="s">
        <v>1071</v>
      </c>
      <c r="E504" s="4">
        <v>1</v>
      </c>
      <c r="F504" t="s">
        <v>214</v>
      </c>
      <c r="G504" t="s">
        <v>214</v>
      </c>
      <c r="H504" s="3">
        <v>46147</v>
      </c>
      <c r="I504" s="3">
        <v>46154</v>
      </c>
      <c r="J504" t="s">
        <v>188</v>
      </c>
      <c r="K504" s="3">
        <v>46153</v>
      </c>
      <c r="L504" s="3">
        <v>46139</v>
      </c>
      <c r="M504" s="3">
        <v>46154</v>
      </c>
      <c r="N504" s="3">
        <v>46154</v>
      </c>
      <c r="O504" t="s">
        <v>183</v>
      </c>
      <c r="P504" t="s">
        <v>55</v>
      </c>
      <c r="T504" t="s">
        <v>1036</v>
      </c>
      <c r="V504" t="s">
        <v>151</v>
      </c>
      <c r="W504">
        <v>18.239999999999998</v>
      </c>
      <c r="X504" t="s">
        <v>57</v>
      </c>
      <c r="AA504" t="s">
        <v>50</v>
      </c>
      <c r="AE504">
        <v>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</row>
    <row r="505" spans="1:42" x14ac:dyDescent="0.25">
      <c r="A505">
        <v>581</v>
      </c>
      <c r="B505" t="s">
        <v>1072</v>
      </c>
      <c r="C505" t="s">
        <v>1073</v>
      </c>
      <c r="D505" t="s">
        <v>117</v>
      </c>
      <c r="E505" s="4">
        <v>1</v>
      </c>
      <c r="F505" t="s">
        <v>63</v>
      </c>
      <c r="G505" t="s">
        <v>63</v>
      </c>
      <c r="H505" s="3">
        <v>46147</v>
      </c>
      <c r="I505" s="3">
        <v>46147</v>
      </c>
      <c r="J505" t="s">
        <v>188</v>
      </c>
      <c r="K505" s="3">
        <v>46146</v>
      </c>
      <c r="L505" s="3">
        <v>46139</v>
      </c>
      <c r="M505" s="3">
        <v>46147</v>
      </c>
      <c r="N505" s="3">
        <v>46147</v>
      </c>
      <c r="O505" t="s">
        <v>183</v>
      </c>
      <c r="P505" t="s">
        <v>55</v>
      </c>
      <c r="Q505">
        <v>4</v>
      </c>
      <c r="S505" t="s">
        <v>1058</v>
      </c>
      <c r="T505" t="s">
        <v>1036</v>
      </c>
      <c r="U505">
        <v>582</v>
      </c>
      <c r="V505" t="s">
        <v>138</v>
      </c>
      <c r="W505">
        <v>13.4</v>
      </c>
      <c r="X505" t="s">
        <v>57</v>
      </c>
      <c r="Z505" t="s">
        <v>1058</v>
      </c>
      <c r="AA505" t="s">
        <v>71</v>
      </c>
      <c r="AE505">
        <v>1</v>
      </c>
      <c r="AF505">
        <v>1</v>
      </c>
      <c r="AG505">
        <v>1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1</v>
      </c>
    </row>
    <row r="506" spans="1:42" x14ac:dyDescent="0.25">
      <c r="A506">
        <v>582</v>
      </c>
      <c r="B506" t="s">
        <v>1074</v>
      </c>
      <c r="C506" t="s">
        <v>1073</v>
      </c>
      <c r="D506" t="s">
        <v>121</v>
      </c>
      <c r="E506" s="4">
        <v>1</v>
      </c>
      <c r="F506" t="s">
        <v>122</v>
      </c>
      <c r="G506" t="s">
        <v>122</v>
      </c>
      <c r="H506" s="3">
        <v>46148</v>
      </c>
      <c r="I506" s="3">
        <v>46150</v>
      </c>
      <c r="J506" t="s">
        <v>183</v>
      </c>
      <c r="K506" s="3">
        <v>46149</v>
      </c>
      <c r="L506" s="3">
        <v>46147</v>
      </c>
      <c r="M506" s="3">
        <v>46150</v>
      </c>
      <c r="N506" s="3">
        <v>46150</v>
      </c>
      <c r="O506" t="s">
        <v>304</v>
      </c>
      <c r="P506" t="s">
        <v>55</v>
      </c>
      <c r="Q506">
        <v>581</v>
      </c>
      <c r="S506" t="s">
        <v>124</v>
      </c>
      <c r="T506" t="s">
        <v>1036</v>
      </c>
      <c r="U506">
        <v>583</v>
      </c>
      <c r="V506" t="s">
        <v>122</v>
      </c>
      <c r="W506">
        <v>13.4</v>
      </c>
      <c r="X506" t="s">
        <v>57</v>
      </c>
      <c r="Z506" t="s">
        <v>124</v>
      </c>
      <c r="AA506" t="s">
        <v>401</v>
      </c>
      <c r="AE506">
        <v>1</v>
      </c>
      <c r="AF506">
        <v>0</v>
      </c>
      <c r="AG506">
        <v>0</v>
      </c>
      <c r="AH506">
        <v>0</v>
      </c>
      <c r="AI506">
        <v>0</v>
      </c>
      <c r="AJ506">
        <v>1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</row>
    <row r="507" spans="1:42" x14ac:dyDescent="0.25">
      <c r="A507">
        <v>583</v>
      </c>
      <c r="B507" t="s">
        <v>1075</v>
      </c>
      <c r="C507" t="s">
        <v>1073</v>
      </c>
      <c r="D507" t="s">
        <v>126</v>
      </c>
      <c r="E507" s="4">
        <v>1</v>
      </c>
      <c r="F507" t="s">
        <v>539</v>
      </c>
      <c r="G507" t="s">
        <v>539</v>
      </c>
      <c r="H507" s="3">
        <v>46150</v>
      </c>
      <c r="I507" s="3">
        <v>46153</v>
      </c>
      <c r="J507" t="s">
        <v>403</v>
      </c>
      <c r="K507" s="3">
        <v>46150</v>
      </c>
      <c r="L507" s="3">
        <v>46150</v>
      </c>
      <c r="M507" s="3">
        <v>46153</v>
      </c>
      <c r="N507" s="3">
        <v>46153</v>
      </c>
      <c r="O507" t="s">
        <v>403</v>
      </c>
      <c r="P507" t="s">
        <v>55</v>
      </c>
      <c r="Q507">
        <v>582</v>
      </c>
      <c r="S507" t="s">
        <v>1058</v>
      </c>
      <c r="T507" t="s">
        <v>1036</v>
      </c>
      <c r="U507">
        <v>584</v>
      </c>
      <c r="V507" t="s">
        <v>61</v>
      </c>
      <c r="W507">
        <v>13.4</v>
      </c>
      <c r="X507" t="s">
        <v>57</v>
      </c>
      <c r="Z507" t="s">
        <v>1058</v>
      </c>
      <c r="AA507" t="s">
        <v>401</v>
      </c>
      <c r="AE507">
        <v>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1</v>
      </c>
      <c r="AM507">
        <v>0</v>
      </c>
      <c r="AN507">
        <v>0</v>
      </c>
      <c r="AO507">
        <v>0</v>
      </c>
      <c r="AP507">
        <v>0</v>
      </c>
    </row>
    <row r="508" spans="1:42" x14ac:dyDescent="0.25">
      <c r="A508">
        <v>584</v>
      </c>
      <c r="B508" t="s">
        <v>1076</v>
      </c>
      <c r="C508" t="s">
        <v>1073</v>
      </c>
      <c r="D508" t="s">
        <v>133</v>
      </c>
      <c r="E508" s="4">
        <v>1</v>
      </c>
      <c r="F508" t="s">
        <v>61</v>
      </c>
      <c r="G508" t="s">
        <v>61</v>
      </c>
      <c r="H508" s="3">
        <v>46153</v>
      </c>
      <c r="I508" s="3">
        <v>46154</v>
      </c>
      <c r="J508" t="s">
        <v>418</v>
      </c>
      <c r="K508" s="3">
        <v>46153</v>
      </c>
      <c r="L508" s="3">
        <v>46153</v>
      </c>
      <c r="M508" s="3">
        <v>46154</v>
      </c>
      <c r="N508" s="3">
        <v>46154</v>
      </c>
      <c r="O508" t="s">
        <v>418</v>
      </c>
      <c r="P508" t="s">
        <v>55</v>
      </c>
      <c r="Q508">
        <v>583</v>
      </c>
      <c r="S508" t="s">
        <v>124</v>
      </c>
      <c r="T508" t="s">
        <v>1036</v>
      </c>
      <c r="V508" t="s">
        <v>61</v>
      </c>
      <c r="W508">
        <v>13.4</v>
      </c>
      <c r="X508" t="s">
        <v>57</v>
      </c>
      <c r="Z508" t="s">
        <v>124</v>
      </c>
      <c r="AA508" t="s">
        <v>93</v>
      </c>
      <c r="AE508">
        <v>1</v>
      </c>
      <c r="AF508">
        <v>0</v>
      </c>
      <c r="AG508">
        <v>0</v>
      </c>
      <c r="AH508">
        <v>0</v>
      </c>
      <c r="AI508">
        <v>1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0</v>
      </c>
      <c r="AP508">
        <v>0</v>
      </c>
    </row>
    <row r="509" spans="1:42" x14ac:dyDescent="0.25">
      <c r="A509">
        <v>585</v>
      </c>
      <c r="B509" t="s">
        <v>1077</v>
      </c>
      <c r="C509" t="s">
        <v>1036</v>
      </c>
      <c r="D509" t="s">
        <v>1078</v>
      </c>
      <c r="E509" s="4">
        <v>1</v>
      </c>
      <c r="F509" t="s">
        <v>138</v>
      </c>
      <c r="G509" t="s">
        <v>138</v>
      </c>
      <c r="H509" s="3">
        <v>46148</v>
      </c>
      <c r="I509" s="3">
        <v>46154</v>
      </c>
      <c r="J509" t="s">
        <v>304</v>
      </c>
      <c r="K509" s="3">
        <v>46154</v>
      </c>
      <c r="L509" s="3">
        <v>46148</v>
      </c>
      <c r="M509" s="3">
        <v>46154</v>
      </c>
      <c r="N509" s="3">
        <v>46154</v>
      </c>
      <c r="O509" t="s">
        <v>304</v>
      </c>
      <c r="P509" t="s">
        <v>55</v>
      </c>
      <c r="T509" t="s">
        <v>1036</v>
      </c>
      <c r="V509" t="s">
        <v>151</v>
      </c>
      <c r="W509">
        <v>18.239999999999998</v>
      </c>
      <c r="X509" t="s">
        <v>57</v>
      </c>
      <c r="AA509" t="s">
        <v>50</v>
      </c>
      <c r="AB509" t="s">
        <v>94</v>
      </c>
      <c r="AE509">
        <v>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</row>
    <row r="510" spans="1:42" x14ac:dyDescent="0.25">
      <c r="A510">
        <v>586</v>
      </c>
      <c r="B510" t="s">
        <v>1079</v>
      </c>
      <c r="C510" t="s">
        <v>1080</v>
      </c>
      <c r="D510" t="s">
        <v>117</v>
      </c>
      <c r="E510" s="4">
        <v>1</v>
      </c>
      <c r="F510" t="s">
        <v>122</v>
      </c>
      <c r="G510" t="s">
        <v>122</v>
      </c>
      <c r="H510" s="3">
        <v>46148</v>
      </c>
      <c r="I510" s="3">
        <v>46150</v>
      </c>
      <c r="J510" t="s">
        <v>304</v>
      </c>
      <c r="K510" s="3">
        <v>46150</v>
      </c>
      <c r="L510" s="3">
        <v>46148</v>
      </c>
      <c r="M510" s="3">
        <v>46150</v>
      </c>
      <c r="N510" s="3">
        <v>46150</v>
      </c>
      <c r="O510" t="s">
        <v>304</v>
      </c>
      <c r="P510" t="s">
        <v>55</v>
      </c>
      <c r="Q510">
        <v>4</v>
      </c>
      <c r="S510" t="s">
        <v>1058</v>
      </c>
      <c r="T510" t="s">
        <v>1036</v>
      </c>
      <c r="U510">
        <v>587</v>
      </c>
      <c r="V510" t="s">
        <v>138</v>
      </c>
      <c r="W510">
        <v>13.4</v>
      </c>
      <c r="X510" t="s">
        <v>57</v>
      </c>
      <c r="Z510" t="s">
        <v>1058</v>
      </c>
      <c r="AA510" t="s">
        <v>71</v>
      </c>
      <c r="AE510">
        <v>1</v>
      </c>
      <c r="AF510">
        <v>1</v>
      </c>
      <c r="AG510">
        <v>1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1</v>
      </c>
    </row>
    <row r="511" spans="1:42" x14ac:dyDescent="0.25">
      <c r="A511">
        <v>587</v>
      </c>
      <c r="B511" t="s">
        <v>1081</v>
      </c>
      <c r="C511" t="s">
        <v>1080</v>
      </c>
      <c r="D511" t="s">
        <v>121</v>
      </c>
      <c r="E511" s="4">
        <v>1</v>
      </c>
      <c r="F511" t="s">
        <v>127</v>
      </c>
      <c r="G511" t="s">
        <v>127</v>
      </c>
      <c r="H511" s="3">
        <v>46150</v>
      </c>
      <c r="I511" s="3">
        <v>46153</v>
      </c>
      <c r="J511" t="s">
        <v>403</v>
      </c>
      <c r="K511" s="3">
        <v>46153</v>
      </c>
      <c r="L511" s="3">
        <v>46150</v>
      </c>
      <c r="M511" s="3">
        <v>46153</v>
      </c>
      <c r="N511" s="3">
        <v>46153</v>
      </c>
      <c r="O511" t="s">
        <v>403</v>
      </c>
      <c r="P511" t="s">
        <v>55</v>
      </c>
      <c r="Q511">
        <v>586</v>
      </c>
      <c r="S511" t="s">
        <v>124</v>
      </c>
      <c r="T511" t="s">
        <v>1036</v>
      </c>
      <c r="U511">
        <v>588</v>
      </c>
      <c r="V511" t="s">
        <v>122</v>
      </c>
      <c r="W511">
        <v>13.4</v>
      </c>
      <c r="X511" t="s">
        <v>57</v>
      </c>
      <c r="Z511" t="s">
        <v>124</v>
      </c>
      <c r="AA511" t="s">
        <v>401</v>
      </c>
      <c r="AE511">
        <v>1</v>
      </c>
      <c r="AF511">
        <v>0</v>
      </c>
      <c r="AG511">
        <v>0</v>
      </c>
      <c r="AH511">
        <v>0</v>
      </c>
      <c r="AI511">
        <v>0</v>
      </c>
      <c r="AJ511">
        <v>1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</row>
    <row r="512" spans="1:42" x14ac:dyDescent="0.25">
      <c r="A512">
        <v>588</v>
      </c>
      <c r="B512" t="s">
        <v>1082</v>
      </c>
      <c r="C512" t="s">
        <v>1080</v>
      </c>
      <c r="D512" t="s">
        <v>126</v>
      </c>
      <c r="E512" s="4">
        <v>1</v>
      </c>
      <c r="F512" t="s">
        <v>63</v>
      </c>
      <c r="G512" t="s">
        <v>63</v>
      </c>
      <c r="H512" s="3">
        <v>46153</v>
      </c>
      <c r="I512" s="3">
        <v>46153</v>
      </c>
      <c r="J512" t="s">
        <v>418</v>
      </c>
      <c r="K512" s="3">
        <v>46153</v>
      </c>
      <c r="L512" s="3">
        <v>46153</v>
      </c>
      <c r="M512" s="3">
        <v>46153</v>
      </c>
      <c r="N512" s="3">
        <v>46153</v>
      </c>
      <c r="O512" t="s">
        <v>418</v>
      </c>
      <c r="P512" t="s">
        <v>55</v>
      </c>
      <c r="Q512">
        <v>587</v>
      </c>
      <c r="S512" t="s">
        <v>1058</v>
      </c>
      <c r="T512" t="s">
        <v>1036</v>
      </c>
      <c r="U512">
        <v>589</v>
      </c>
      <c r="V512" t="s">
        <v>61</v>
      </c>
      <c r="W512">
        <v>13.4</v>
      </c>
      <c r="X512" t="s">
        <v>57</v>
      </c>
      <c r="Z512" t="s">
        <v>1058</v>
      </c>
      <c r="AA512" t="s">
        <v>401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1</v>
      </c>
      <c r="AM512">
        <v>0</v>
      </c>
      <c r="AN512">
        <v>0</v>
      </c>
      <c r="AO512">
        <v>0</v>
      </c>
      <c r="AP512">
        <v>0</v>
      </c>
    </row>
    <row r="513" spans="1:42" x14ac:dyDescent="0.25">
      <c r="A513">
        <v>589</v>
      </c>
      <c r="B513" t="s">
        <v>1083</v>
      </c>
      <c r="C513" t="s">
        <v>1080</v>
      </c>
      <c r="D513" t="s">
        <v>133</v>
      </c>
      <c r="E513" s="4">
        <v>1</v>
      </c>
      <c r="F513" t="s">
        <v>61</v>
      </c>
      <c r="G513" t="s">
        <v>61</v>
      </c>
      <c r="H513" s="3">
        <v>46153</v>
      </c>
      <c r="I513" s="3">
        <v>46154</v>
      </c>
      <c r="J513" t="s">
        <v>418</v>
      </c>
      <c r="K513" s="3">
        <v>46154</v>
      </c>
      <c r="L513" s="3">
        <v>46153</v>
      </c>
      <c r="M513" s="3">
        <v>46154</v>
      </c>
      <c r="N513" s="3">
        <v>46154</v>
      </c>
      <c r="O513" t="s">
        <v>418</v>
      </c>
      <c r="P513" t="s">
        <v>55</v>
      </c>
      <c r="Q513">
        <v>588</v>
      </c>
      <c r="S513" t="s">
        <v>124</v>
      </c>
      <c r="T513" t="s">
        <v>1036</v>
      </c>
      <c r="V513" t="s">
        <v>61</v>
      </c>
      <c r="W513">
        <v>13.4</v>
      </c>
      <c r="X513" t="s">
        <v>57</v>
      </c>
      <c r="Z513" t="s">
        <v>124</v>
      </c>
      <c r="AA513" t="s">
        <v>93</v>
      </c>
      <c r="AE513">
        <v>1</v>
      </c>
      <c r="AF513">
        <v>0</v>
      </c>
      <c r="AG513">
        <v>0</v>
      </c>
      <c r="AH513">
        <v>0</v>
      </c>
      <c r="AI513">
        <v>1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0</v>
      </c>
      <c r="AP513">
        <v>0</v>
      </c>
    </row>
    <row r="514" spans="1:42" x14ac:dyDescent="0.25">
      <c r="A514">
        <v>590</v>
      </c>
      <c r="B514" t="s">
        <v>1084</v>
      </c>
      <c r="C514" t="s">
        <v>1036</v>
      </c>
      <c r="D514" t="s">
        <v>1085</v>
      </c>
      <c r="E514" s="4">
        <v>1</v>
      </c>
      <c r="F514" t="s">
        <v>214</v>
      </c>
      <c r="G514" t="s">
        <v>214</v>
      </c>
      <c r="H514" s="3">
        <v>46164</v>
      </c>
      <c r="I514" s="3">
        <v>46171</v>
      </c>
      <c r="J514" t="s">
        <v>471</v>
      </c>
      <c r="K514" s="3">
        <v>46171</v>
      </c>
      <c r="L514" s="3">
        <v>46164</v>
      </c>
      <c r="M514" s="3">
        <v>46171</v>
      </c>
      <c r="N514" s="3">
        <v>46171</v>
      </c>
      <c r="O514" t="s">
        <v>471</v>
      </c>
      <c r="P514" t="s">
        <v>55</v>
      </c>
      <c r="T514" t="s">
        <v>1036</v>
      </c>
      <c r="V514" t="s">
        <v>151</v>
      </c>
      <c r="W514">
        <v>18.239999999999998</v>
      </c>
      <c r="X514" t="s">
        <v>57</v>
      </c>
      <c r="AA514" t="s">
        <v>50</v>
      </c>
      <c r="AB514" t="s">
        <v>94</v>
      </c>
      <c r="AE514">
        <v>1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</row>
    <row r="515" spans="1:42" x14ac:dyDescent="0.25">
      <c r="A515">
        <v>591</v>
      </c>
      <c r="B515" t="s">
        <v>1086</v>
      </c>
      <c r="C515" t="s">
        <v>1087</v>
      </c>
      <c r="D515" t="s">
        <v>117</v>
      </c>
      <c r="E515" s="4">
        <v>1</v>
      </c>
      <c r="F515" t="s">
        <v>122</v>
      </c>
      <c r="G515" t="s">
        <v>122</v>
      </c>
      <c r="H515" s="3">
        <v>46164</v>
      </c>
      <c r="I515" s="3">
        <v>46168</v>
      </c>
      <c r="J515" t="s">
        <v>471</v>
      </c>
      <c r="K515" s="3">
        <v>46168</v>
      </c>
      <c r="L515" s="3">
        <v>46164</v>
      </c>
      <c r="M515" s="3">
        <v>46168</v>
      </c>
      <c r="N515" s="3">
        <v>46168</v>
      </c>
      <c r="O515" t="s">
        <v>471</v>
      </c>
      <c r="P515" t="s">
        <v>55</v>
      </c>
      <c r="Q515">
        <v>4</v>
      </c>
      <c r="S515" t="s">
        <v>1058</v>
      </c>
      <c r="T515" t="s">
        <v>1036</v>
      </c>
      <c r="U515">
        <v>592</v>
      </c>
      <c r="V515" t="s">
        <v>138</v>
      </c>
      <c r="W515">
        <v>13.4</v>
      </c>
      <c r="X515" t="s">
        <v>57</v>
      </c>
      <c r="Z515" t="s">
        <v>1058</v>
      </c>
      <c r="AA515" t="s">
        <v>71</v>
      </c>
      <c r="AE515">
        <v>1</v>
      </c>
      <c r="AF515">
        <v>1</v>
      </c>
      <c r="AG515">
        <v>1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1</v>
      </c>
    </row>
    <row r="516" spans="1:42" x14ac:dyDescent="0.25">
      <c r="A516">
        <v>592</v>
      </c>
      <c r="B516" t="s">
        <v>1088</v>
      </c>
      <c r="C516" t="s">
        <v>1087</v>
      </c>
      <c r="D516" t="s">
        <v>121</v>
      </c>
      <c r="E516" s="4">
        <v>1</v>
      </c>
      <c r="F516" t="s">
        <v>63</v>
      </c>
      <c r="G516" t="s">
        <v>63</v>
      </c>
      <c r="H516" s="3">
        <v>46168</v>
      </c>
      <c r="I516" s="3">
        <v>46168</v>
      </c>
      <c r="J516" t="s">
        <v>206</v>
      </c>
      <c r="K516" s="3">
        <v>46168</v>
      </c>
      <c r="L516" s="3">
        <v>46168</v>
      </c>
      <c r="M516" s="3">
        <v>46168</v>
      </c>
      <c r="N516" s="3">
        <v>46168</v>
      </c>
      <c r="O516" t="s">
        <v>206</v>
      </c>
      <c r="P516" t="s">
        <v>55</v>
      </c>
      <c r="Q516">
        <v>591</v>
      </c>
      <c r="S516" t="s">
        <v>124</v>
      </c>
      <c r="T516" t="s">
        <v>1036</v>
      </c>
      <c r="U516">
        <v>593</v>
      </c>
      <c r="V516" t="s">
        <v>122</v>
      </c>
      <c r="W516">
        <v>13.4</v>
      </c>
      <c r="X516" t="s">
        <v>57</v>
      </c>
      <c r="Z516" t="s">
        <v>124</v>
      </c>
      <c r="AA516" t="s">
        <v>401</v>
      </c>
      <c r="AE516">
        <v>1</v>
      </c>
      <c r="AF516">
        <v>0</v>
      </c>
      <c r="AG516">
        <v>0</v>
      </c>
      <c r="AH516">
        <v>0</v>
      </c>
      <c r="AI516">
        <v>0</v>
      </c>
      <c r="AJ516">
        <v>1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</row>
    <row r="517" spans="1:42" x14ac:dyDescent="0.25">
      <c r="A517">
        <v>593</v>
      </c>
      <c r="B517" t="s">
        <v>1089</v>
      </c>
      <c r="C517" t="s">
        <v>1087</v>
      </c>
      <c r="D517" t="s">
        <v>126</v>
      </c>
      <c r="E517" s="4">
        <v>1</v>
      </c>
      <c r="F517" t="s">
        <v>61</v>
      </c>
      <c r="G517" t="s">
        <v>61</v>
      </c>
      <c r="H517" s="3">
        <v>46168</v>
      </c>
      <c r="I517" s="3">
        <v>46169</v>
      </c>
      <c r="J517" t="s">
        <v>206</v>
      </c>
      <c r="K517" s="3">
        <v>46169</v>
      </c>
      <c r="L517" s="3">
        <v>46168</v>
      </c>
      <c r="M517" s="3">
        <v>46169</v>
      </c>
      <c r="N517" s="3">
        <v>46169</v>
      </c>
      <c r="O517" t="s">
        <v>206</v>
      </c>
      <c r="P517" t="s">
        <v>55</v>
      </c>
      <c r="Q517">
        <v>592</v>
      </c>
      <c r="S517" t="s">
        <v>1058</v>
      </c>
      <c r="T517" t="s">
        <v>1036</v>
      </c>
      <c r="U517">
        <v>594</v>
      </c>
      <c r="V517" t="s">
        <v>61</v>
      </c>
      <c r="W517">
        <v>13.4</v>
      </c>
      <c r="X517" t="s">
        <v>57</v>
      </c>
      <c r="Z517" t="s">
        <v>1058</v>
      </c>
      <c r="AA517" t="s">
        <v>401</v>
      </c>
      <c r="AE517">
        <v>1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1</v>
      </c>
      <c r="AM517">
        <v>0</v>
      </c>
      <c r="AN517">
        <v>0</v>
      </c>
      <c r="AO517">
        <v>0</v>
      </c>
      <c r="AP517">
        <v>0</v>
      </c>
    </row>
    <row r="518" spans="1:42" x14ac:dyDescent="0.25">
      <c r="A518">
        <v>594</v>
      </c>
      <c r="B518" t="s">
        <v>1090</v>
      </c>
      <c r="C518" t="s">
        <v>1087</v>
      </c>
      <c r="D518" t="s">
        <v>133</v>
      </c>
      <c r="E518" s="4">
        <v>1</v>
      </c>
      <c r="F518" t="s">
        <v>127</v>
      </c>
      <c r="G518" t="s">
        <v>127</v>
      </c>
      <c r="H518" s="3">
        <v>46169</v>
      </c>
      <c r="I518" s="3">
        <v>46171</v>
      </c>
      <c r="J518" t="s">
        <v>97</v>
      </c>
      <c r="K518" s="3">
        <v>46171</v>
      </c>
      <c r="L518" s="3">
        <v>46169</v>
      </c>
      <c r="M518" s="3">
        <v>46171</v>
      </c>
      <c r="N518" s="3">
        <v>46171</v>
      </c>
      <c r="O518" t="s">
        <v>97</v>
      </c>
      <c r="P518" t="s">
        <v>55</v>
      </c>
      <c r="Q518">
        <v>593</v>
      </c>
      <c r="S518" t="s">
        <v>124</v>
      </c>
      <c r="T518" t="s">
        <v>1036</v>
      </c>
      <c r="V518" t="s">
        <v>61</v>
      </c>
      <c r="W518">
        <v>13.4</v>
      </c>
      <c r="X518" t="s">
        <v>57</v>
      </c>
      <c r="Z518" t="s">
        <v>124</v>
      </c>
      <c r="AA518" t="s">
        <v>93</v>
      </c>
      <c r="AE518">
        <v>1</v>
      </c>
      <c r="AF518">
        <v>0</v>
      </c>
      <c r="AG518">
        <v>0</v>
      </c>
      <c r="AH518">
        <v>0</v>
      </c>
      <c r="AI518">
        <v>1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0</v>
      </c>
      <c r="AP518">
        <v>0</v>
      </c>
    </row>
    <row r="519" spans="1:42" x14ac:dyDescent="0.25">
      <c r="A519">
        <v>595</v>
      </c>
      <c r="B519" t="s">
        <v>1091</v>
      </c>
      <c r="C519" t="s">
        <v>1036</v>
      </c>
      <c r="D519" t="s">
        <v>1092</v>
      </c>
      <c r="E519" s="4">
        <v>1</v>
      </c>
      <c r="F519" t="s">
        <v>114</v>
      </c>
      <c r="G519" t="s">
        <v>114</v>
      </c>
      <c r="H519" s="3">
        <v>46176</v>
      </c>
      <c r="I519" s="3">
        <v>46190</v>
      </c>
      <c r="J519" t="s">
        <v>448</v>
      </c>
      <c r="K519" s="3">
        <v>46184</v>
      </c>
      <c r="L519" s="3">
        <v>46170</v>
      </c>
      <c r="M519" s="3">
        <v>46190</v>
      </c>
      <c r="N519" s="3">
        <v>46190</v>
      </c>
      <c r="O519" t="s">
        <v>459</v>
      </c>
      <c r="P519" t="s">
        <v>55</v>
      </c>
      <c r="T519" t="s">
        <v>1036</v>
      </c>
      <c r="V519" t="s">
        <v>114</v>
      </c>
      <c r="W519">
        <v>30.72</v>
      </c>
      <c r="X519" t="s">
        <v>57</v>
      </c>
      <c r="AA519" t="s">
        <v>50</v>
      </c>
      <c r="AE519">
        <v>1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</row>
    <row r="520" spans="1:42" x14ac:dyDescent="0.25">
      <c r="A520">
        <v>596</v>
      </c>
      <c r="B520" t="s">
        <v>1093</v>
      </c>
      <c r="C520" t="s">
        <v>1094</v>
      </c>
      <c r="D520" t="s">
        <v>117</v>
      </c>
      <c r="E520" s="4">
        <v>1</v>
      </c>
      <c r="F520" t="s">
        <v>101</v>
      </c>
      <c r="G520" t="s">
        <v>101</v>
      </c>
      <c r="H520" s="3">
        <v>46176</v>
      </c>
      <c r="I520" s="3">
        <v>46183</v>
      </c>
      <c r="J520" t="s">
        <v>448</v>
      </c>
      <c r="K520" s="3">
        <v>46175</v>
      </c>
      <c r="L520" s="3">
        <v>46170</v>
      </c>
      <c r="M520" s="3">
        <v>46183</v>
      </c>
      <c r="N520" s="3">
        <v>46183</v>
      </c>
      <c r="O520" t="s">
        <v>459</v>
      </c>
      <c r="P520" t="s">
        <v>55</v>
      </c>
      <c r="Q520">
        <v>541</v>
      </c>
      <c r="S520" t="s">
        <v>1042</v>
      </c>
      <c r="T520" t="s">
        <v>1036</v>
      </c>
      <c r="U520">
        <v>597</v>
      </c>
      <c r="V520" t="s">
        <v>101</v>
      </c>
      <c r="W520">
        <v>13.4</v>
      </c>
      <c r="X520" t="s">
        <v>57</v>
      </c>
      <c r="Z520" t="s">
        <v>1042</v>
      </c>
      <c r="AA520" t="s">
        <v>77</v>
      </c>
      <c r="AE520">
        <v>1</v>
      </c>
      <c r="AF520">
        <v>1</v>
      </c>
      <c r="AG520">
        <v>1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1</v>
      </c>
    </row>
    <row r="521" spans="1:42" x14ac:dyDescent="0.25">
      <c r="A521">
        <v>597</v>
      </c>
      <c r="B521" t="s">
        <v>1095</v>
      </c>
      <c r="C521" t="s">
        <v>1094</v>
      </c>
      <c r="D521" t="s">
        <v>121</v>
      </c>
      <c r="E521" s="4">
        <v>1</v>
      </c>
      <c r="F521" t="s">
        <v>122</v>
      </c>
      <c r="G521" t="s">
        <v>122</v>
      </c>
      <c r="H521" s="3">
        <v>46184</v>
      </c>
      <c r="I521" s="3">
        <v>46188</v>
      </c>
      <c r="J521" t="s">
        <v>459</v>
      </c>
      <c r="K521" s="3">
        <v>46182</v>
      </c>
      <c r="L521" s="3">
        <v>46176</v>
      </c>
      <c r="M521" s="3">
        <v>46188</v>
      </c>
      <c r="N521" s="3">
        <v>46188</v>
      </c>
      <c r="O521" t="s">
        <v>476</v>
      </c>
      <c r="P521" t="s">
        <v>55</v>
      </c>
      <c r="Q521">
        <v>596</v>
      </c>
      <c r="S521" t="s">
        <v>124</v>
      </c>
      <c r="T521" t="s">
        <v>1036</v>
      </c>
      <c r="U521">
        <v>598</v>
      </c>
      <c r="V521" t="s">
        <v>122</v>
      </c>
      <c r="W521">
        <v>13.4</v>
      </c>
      <c r="X521" t="s">
        <v>57</v>
      </c>
      <c r="Z521" t="s">
        <v>124</v>
      </c>
      <c r="AA521" t="s">
        <v>460</v>
      </c>
      <c r="AE521">
        <v>1</v>
      </c>
      <c r="AF521">
        <v>0</v>
      </c>
      <c r="AG521">
        <v>0</v>
      </c>
      <c r="AH521">
        <v>0</v>
      </c>
      <c r="AI521">
        <v>0</v>
      </c>
      <c r="AJ521">
        <v>1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</row>
    <row r="522" spans="1:42" x14ac:dyDescent="0.25">
      <c r="A522">
        <v>598</v>
      </c>
      <c r="B522" t="s">
        <v>1096</v>
      </c>
      <c r="C522" t="s">
        <v>1094</v>
      </c>
      <c r="D522" t="s">
        <v>126</v>
      </c>
      <c r="E522" s="4">
        <v>1</v>
      </c>
      <c r="F522" t="s">
        <v>61</v>
      </c>
      <c r="G522" t="s">
        <v>61</v>
      </c>
      <c r="H522" s="3">
        <v>46189</v>
      </c>
      <c r="I522" s="3">
        <v>46189</v>
      </c>
      <c r="J522" t="s">
        <v>592</v>
      </c>
      <c r="K522" s="3">
        <v>46183</v>
      </c>
      <c r="L522" s="3">
        <v>46183</v>
      </c>
      <c r="M522" s="3">
        <v>46189</v>
      </c>
      <c r="N522" s="3">
        <v>46189</v>
      </c>
      <c r="O522" t="s">
        <v>576</v>
      </c>
      <c r="P522" t="s">
        <v>55</v>
      </c>
      <c r="Q522">
        <v>597</v>
      </c>
      <c r="S522" t="s">
        <v>1042</v>
      </c>
      <c r="T522" t="s">
        <v>1036</v>
      </c>
      <c r="U522">
        <v>599</v>
      </c>
      <c r="V522" t="s">
        <v>61</v>
      </c>
      <c r="W522">
        <v>13.4</v>
      </c>
      <c r="X522" t="s">
        <v>57</v>
      </c>
      <c r="Z522" t="s">
        <v>1042</v>
      </c>
      <c r="AA522" t="s">
        <v>462</v>
      </c>
      <c r="AE522">
        <v>1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1</v>
      </c>
      <c r="AM522">
        <v>0</v>
      </c>
      <c r="AN522">
        <v>0</v>
      </c>
      <c r="AO522">
        <v>0</v>
      </c>
      <c r="AP522">
        <v>0</v>
      </c>
    </row>
    <row r="523" spans="1:42" x14ac:dyDescent="0.25">
      <c r="A523">
        <v>599</v>
      </c>
      <c r="B523" t="s">
        <v>1097</v>
      </c>
      <c r="C523" t="s">
        <v>1094</v>
      </c>
      <c r="D523" t="s">
        <v>133</v>
      </c>
      <c r="E523" s="4">
        <v>1</v>
      </c>
      <c r="F523" t="s">
        <v>61</v>
      </c>
      <c r="G523" t="s">
        <v>61</v>
      </c>
      <c r="H523" s="3">
        <v>46190</v>
      </c>
      <c r="I523" s="3">
        <v>46190</v>
      </c>
      <c r="J523" t="s">
        <v>476</v>
      </c>
      <c r="K523" s="3">
        <v>46184</v>
      </c>
      <c r="L523" s="3">
        <v>46184</v>
      </c>
      <c r="M523" s="3">
        <v>46190</v>
      </c>
      <c r="N523" s="3">
        <v>46190</v>
      </c>
      <c r="O523" t="s">
        <v>75</v>
      </c>
      <c r="P523" t="s">
        <v>55</v>
      </c>
      <c r="Q523">
        <v>598</v>
      </c>
      <c r="S523" t="s">
        <v>124</v>
      </c>
      <c r="T523" t="s">
        <v>1036</v>
      </c>
      <c r="V523" t="s">
        <v>61</v>
      </c>
      <c r="W523">
        <v>13.4</v>
      </c>
      <c r="X523" t="s">
        <v>57</v>
      </c>
      <c r="Z523" t="s">
        <v>124</v>
      </c>
      <c r="AA523" t="s">
        <v>462</v>
      </c>
      <c r="AE523">
        <v>1</v>
      </c>
      <c r="AF523">
        <v>0</v>
      </c>
      <c r="AG523">
        <v>0</v>
      </c>
      <c r="AH523">
        <v>0</v>
      </c>
      <c r="AI523">
        <v>1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0</v>
      </c>
      <c r="AP523">
        <v>0</v>
      </c>
    </row>
    <row r="524" spans="1:42" x14ac:dyDescent="0.25">
      <c r="A524">
        <v>600</v>
      </c>
      <c r="B524" t="s">
        <v>1098</v>
      </c>
      <c r="C524" t="s">
        <v>1036</v>
      </c>
      <c r="D524" t="s">
        <v>1099</v>
      </c>
      <c r="E524" s="4">
        <v>1</v>
      </c>
      <c r="F524" t="s">
        <v>114</v>
      </c>
      <c r="G524" t="s">
        <v>114</v>
      </c>
      <c r="H524" s="3">
        <v>46176</v>
      </c>
      <c r="I524" s="3">
        <v>46190</v>
      </c>
      <c r="J524" t="s">
        <v>448</v>
      </c>
      <c r="K524" s="3">
        <v>46184</v>
      </c>
      <c r="L524" s="3">
        <v>46170</v>
      </c>
      <c r="M524" s="3">
        <v>46190</v>
      </c>
      <c r="N524" s="3">
        <v>46190</v>
      </c>
      <c r="O524" t="s">
        <v>459</v>
      </c>
      <c r="P524" t="s">
        <v>55</v>
      </c>
      <c r="T524" t="s">
        <v>1036</v>
      </c>
      <c r="V524" t="s">
        <v>114</v>
      </c>
      <c r="W524">
        <v>30.72</v>
      </c>
      <c r="X524" t="s">
        <v>57</v>
      </c>
      <c r="AA524" t="s">
        <v>50</v>
      </c>
      <c r="AE524">
        <v>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</row>
    <row r="525" spans="1:42" x14ac:dyDescent="0.25">
      <c r="A525">
        <v>601</v>
      </c>
      <c r="B525" t="s">
        <v>1100</v>
      </c>
      <c r="C525" t="s">
        <v>1101</v>
      </c>
      <c r="D525" t="s">
        <v>117</v>
      </c>
      <c r="E525" s="4">
        <v>1</v>
      </c>
      <c r="F525" t="s">
        <v>101</v>
      </c>
      <c r="G525" t="s">
        <v>101</v>
      </c>
      <c r="H525" s="3">
        <v>46176</v>
      </c>
      <c r="I525" s="3">
        <v>46183</v>
      </c>
      <c r="J525" t="s">
        <v>448</v>
      </c>
      <c r="K525" s="3">
        <v>46175</v>
      </c>
      <c r="L525" s="3">
        <v>46170</v>
      </c>
      <c r="M525" s="3">
        <v>46183</v>
      </c>
      <c r="N525" s="3">
        <v>46183</v>
      </c>
      <c r="O525" t="s">
        <v>459</v>
      </c>
      <c r="P525" t="s">
        <v>55</v>
      </c>
      <c r="Q525">
        <v>541</v>
      </c>
      <c r="S525" t="s">
        <v>1042</v>
      </c>
      <c r="T525" t="s">
        <v>1036</v>
      </c>
      <c r="U525">
        <v>602</v>
      </c>
      <c r="V525" t="s">
        <v>101</v>
      </c>
      <c r="W525">
        <v>13.4</v>
      </c>
      <c r="X525" t="s">
        <v>57</v>
      </c>
      <c r="Z525" t="s">
        <v>1042</v>
      </c>
      <c r="AA525" t="s">
        <v>77</v>
      </c>
      <c r="AE525">
        <v>1</v>
      </c>
      <c r="AF525">
        <v>1</v>
      </c>
      <c r="AG525">
        <v>1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1</v>
      </c>
    </row>
    <row r="526" spans="1:42" x14ac:dyDescent="0.25">
      <c r="A526">
        <v>602</v>
      </c>
      <c r="B526" t="s">
        <v>1102</v>
      </c>
      <c r="C526" t="s">
        <v>1101</v>
      </c>
      <c r="D526" t="s">
        <v>121</v>
      </c>
      <c r="E526" s="4">
        <v>1</v>
      </c>
      <c r="F526" t="s">
        <v>122</v>
      </c>
      <c r="G526" t="s">
        <v>122</v>
      </c>
      <c r="H526" s="3">
        <v>46184</v>
      </c>
      <c r="I526" s="3">
        <v>46188</v>
      </c>
      <c r="J526" t="s">
        <v>459</v>
      </c>
      <c r="K526" s="3">
        <v>46182</v>
      </c>
      <c r="L526" s="3">
        <v>46176</v>
      </c>
      <c r="M526" s="3">
        <v>46188</v>
      </c>
      <c r="N526" s="3">
        <v>46188</v>
      </c>
      <c r="O526" t="s">
        <v>476</v>
      </c>
      <c r="P526" t="s">
        <v>55</v>
      </c>
      <c r="Q526">
        <v>601</v>
      </c>
      <c r="S526" t="s">
        <v>124</v>
      </c>
      <c r="T526" t="s">
        <v>1036</v>
      </c>
      <c r="U526">
        <v>603</v>
      </c>
      <c r="V526" t="s">
        <v>122</v>
      </c>
      <c r="W526">
        <v>13.4</v>
      </c>
      <c r="X526" t="s">
        <v>57</v>
      </c>
      <c r="Z526" t="s">
        <v>124</v>
      </c>
      <c r="AA526" t="s">
        <v>460</v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1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</row>
    <row r="527" spans="1:42" x14ac:dyDescent="0.25">
      <c r="A527">
        <v>603</v>
      </c>
      <c r="B527" t="s">
        <v>1103</v>
      </c>
      <c r="C527" t="s">
        <v>1101</v>
      </c>
      <c r="D527" t="s">
        <v>126</v>
      </c>
      <c r="E527" s="4">
        <v>1</v>
      </c>
      <c r="F527" t="s">
        <v>61</v>
      </c>
      <c r="G527" t="s">
        <v>61</v>
      </c>
      <c r="H527" s="3">
        <v>46189</v>
      </c>
      <c r="I527" s="3">
        <v>46189</v>
      </c>
      <c r="J527" t="s">
        <v>592</v>
      </c>
      <c r="K527" s="3">
        <v>46183</v>
      </c>
      <c r="L527" s="3">
        <v>46183</v>
      </c>
      <c r="M527" s="3">
        <v>46189</v>
      </c>
      <c r="N527" s="3">
        <v>46189</v>
      </c>
      <c r="O527" t="s">
        <v>576</v>
      </c>
      <c r="P527" t="s">
        <v>55</v>
      </c>
      <c r="Q527">
        <v>602</v>
      </c>
      <c r="S527" t="s">
        <v>1042</v>
      </c>
      <c r="T527" t="s">
        <v>1036</v>
      </c>
      <c r="U527">
        <v>604</v>
      </c>
      <c r="V527" t="s">
        <v>61</v>
      </c>
      <c r="W527">
        <v>13.4</v>
      </c>
      <c r="X527" t="s">
        <v>57</v>
      </c>
      <c r="Z527" t="s">
        <v>1042</v>
      </c>
      <c r="AA527" t="s">
        <v>462</v>
      </c>
      <c r="AE527">
        <v>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1</v>
      </c>
      <c r="AM527">
        <v>0</v>
      </c>
      <c r="AN527">
        <v>0</v>
      </c>
      <c r="AO527">
        <v>0</v>
      </c>
      <c r="AP527">
        <v>0</v>
      </c>
    </row>
    <row r="528" spans="1:42" x14ac:dyDescent="0.25">
      <c r="A528">
        <v>604</v>
      </c>
      <c r="B528" t="s">
        <v>1104</v>
      </c>
      <c r="C528" t="s">
        <v>1101</v>
      </c>
      <c r="D528" t="s">
        <v>133</v>
      </c>
      <c r="E528" s="4">
        <v>1</v>
      </c>
      <c r="F528" t="s">
        <v>61</v>
      </c>
      <c r="G528" t="s">
        <v>61</v>
      </c>
      <c r="H528" s="3">
        <v>46190</v>
      </c>
      <c r="I528" s="3">
        <v>46190</v>
      </c>
      <c r="J528" t="s">
        <v>476</v>
      </c>
      <c r="K528" s="3">
        <v>46184</v>
      </c>
      <c r="L528" s="3">
        <v>46184</v>
      </c>
      <c r="M528" s="3">
        <v>46190</v>
      </c>
      <c r="N528" s="3">
        <v>46190</v>
      </c>
      <c r="O528" t="s">
        <v>75</v>
      </c>
      <c r="P528" t="s">
        <v>55</v>
      </c>
      <c r="Q528">
        <v>603</v>
      </c>
      <c r="S528" t="s">
        <v>124</v>
      </c>
      <c r="T528" t="s">
        <v>1036</v>
      </c>
      <c r="V528" t="s">
        <v>61</v>
      </c>
      <c r="W528">
        <v>13.4</v>
      </c>
      <c r="X528" t="s">
        <v>57</v>
      </c>
      <c r="Z528" t="s">
        <v>124</v>
      </c>
      <c r="AA528" t="s">
        <v>462</v>
      </c>
      <c r="AE528">
        <v>1</v>
      </c>
      <c r="AF528">
        <v>0</v>
      </c>
      <c r="AG528">
        <v>0</v>
      </c>
      <c r="AH528">
        <v>0</v>
      </c>
      <c r="AI528">
        <v>1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0</v>
      </c>
      <c r="AP528">
        <v>0</v>
      </c>
    </row>
    <row r="529" spans="1:42" x14ac:dyDescent="0.25">
      <c r="A529">
        <v>610</v>
      </c>
      <c r="B529" t="s">
        <v>1105</v>
      </c>
      <c r="C529" t="s">
        <v>52</v>
      </c>
      <c r="D529" t="s">
        <v>1106</v>
      </c>
      <c r="E529" s="4">
        <v>1</v>
      </c>
      <c r="F529" t="s">
        <v>1107</v>
      </c>
      <c r="G529" t="s">
        <v>1107</v>
      </c>
      <c r="H529" s="3">
        <v>46104</v>
      </c>
      <c r="I529" s="3">
        <v>46203</v>
      </c>
      <c r="J529" t="s">
        <v>123</v>
      </c>
      <c r="K529" s="3">
        <v>46199</v>
      </c>
      <c r="L529" s="3">
        <v>46104</v>
      </c>
      <c r="M529" s="3">
        <v>46203</v>
      </c>
      <c r="N529" s="3">
        <v>46203</v>
      </c>
      <c r="O529" t="s">
        <v>123</v>
      </c>
      <c r="P529" t="s">
        <v>55</v>
      </c>
      <c r="V529" t="s">
        <v>423</v>
      </c>
      <c r="W529">
        <v>538.04</v>
      </c>
      <c r="X529" t="s">
        <v>57</v>
      </c>
      <c r="AA529" t="s">
        <v>50</v>
      </c>
      <c r="AE529">
        <v>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</row>
    <row r="530" spans="1:42" x14ac:dyDescent="0.25">
      <c r="A530">
        <v>611</v>
      </c>
      <c r="B530" t="s">
        <v>1108</v>
      </c>
      <c r="C530" t="s">
        <v>1109</v>
      </c>
      <c r="D530" t="s">
        <v>1110</v>
      </c>
      <c r="E530" s="4">
        <v>1</v>
      </c>
      <c r="F530" t="s">
        <v>101</v>
      </c>
      <c r="G530" t="s">
        <v>101</v>
      </c>
      <c r="H530" s="3">
        <v>46104</v>
      </c>
      <c r="I530" s="3">
        <v>46107</v>
      </c>
      <c r="J530" t="s">
        <v>123</v>
      </c>
      <c r="K530" s="3">
        <v>46107</v>
      </c>
      <c r="L530" s="3">
        <v>46104</v>
      </c>
      <c r="M530" s="3">
        <v>46107</v>
      </c>
      <c r="N530" s="3">
        <v>46107</v>
      </c>
      <c r="O530" t="s">
        <v>123</v>
      </c>
      <c r="P530" t="s">
        <v>55</v>
      </c>
      <c r="T530" t="s">
        <v>1109</v>
      </c>
      <c r="V530" t="s">
        <v>101</v>
      </c>
      <c r="W530">
        <v>24.48</v>
      </c>
      <c r="X530" t="s">
        <v>57</v>
      </c>
      <c r="AA530" t="s">
        <v>50</v>
      </c>
      <c r="AE530">
        <v>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</row>
    <row r="531" spans="1:42" x14ac:dyDescent="0.25">
      <c r="A531">
        <v>612</v>
      </c>
      <c r="B531" t="s">
        <v>1111</v>
      </c>
      <c r="C531" t="s">
        <v>1112</v>
      </c>
      <c r="D531" t="s">
        <v>117</v>
      </c>
      <c r="E531" s="4">
        <v>1</v>
      </c>
      <c r="F531" t="s">
        <v>61</v>
      </c>
      <c r="G531" t="s">
        <v>61</v>
      </c>
      <c r="H531" s="3">
        <v>46104</v>
      </c>
      <c r="I531" s="3">
        <v>46104</v>
      </c>
      <c r="J531" t="s">
        <v>123</v>
      </c>
      <c r="K531" s="3">
        <v>46104</v>
      </c>
      <c r="L531" s="3">
        <v>46104</v>
      </c>
      <c r="M531" s="3">
        <v>46104</v>
      </c>
      <c r="N531" s="3">
        <v>46104</v>
      </c>
      <c r="O531" t="s">
        <v>123</v>
      </c>
      <c r="P531" t="s">
        <v>55</v>
      </c>
      <c r="Q531">
        <v>12</v>
      </c>
      <c r="S531" t="s">
        <v>1042</v>
      </c>
      <c r="T531" t="s">
        <v>1109</v>
      </c>
      <c r="U531">
        <v>613</v>
      </c>
      <c r="V531" t="s">
        <v>61</v>
      </c>
      <c r="W531">
        <v>13.4</v>
      </c>
      <c r="X531" t="s">
        <v>57</v>
      </c>
      <c r="Z531" t="s">
        <v>1042</v>
      </c>
      <c r="AA531" t="s">
        <v>64</v>
      </c>
      <c r="AE531">
        <v>1</v>
      </c>
      <c r="AF531">
        <v>1</v>
      </c>
      <c r="AG531">
        <v>1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1</v>
      </c>
    </row>
    <row r="532" spans="1:42" x14ac:dyDescent="0.25">
      <c r="A532">
        <v>613</v>
      </c>
      <c r="B532" t="s">
        <v>1113</v>
      </c>
      <c r="C532" t="s">
        <v>1112</v>
      </c>
      <c r="D532" t="s">
        <v>121</v>
      </c>
      <c r="E532" s="4">
        <v>1</v>
      </c>
      <c r="F532" t="s">
        <v>61</v>
      </c>
      <c r="G532" t="s">
        <v>61</v>
      </c>
      <c r="H532" s="3">
        <v>46105</v>
      </c>
      <c r="I532" s="3">
        <v>46105</v>
      </c>
      <c r="J532" t="s">
        <v>272</v>
      </c>
      <c r="K532" s="3">
        <v>46105</v>
      </c>
      <c r="L532" s="3">
        <v>46105</v>
      </c>
      <c r="M532" s="3">
        <v>46105</v>
      </c>
      <c r="N532" s="3">
        <v>46105</v>
      </c>
      <c r="O532" t="s">
        <v>272</v>
      </c>
      <c r="P532" t="s">
        <v>55</v>
      </c>
      <c r="Q532">
        <v>612</v>
      </c>
      <c r="R532" s="1">
        <v>46122.354166666657</v>
      </c>
      <c r="S532" t="s">
        <v>124</v>
      </c>
      <c r="T532" t="s">
        <v>1109</v>
      </c>
      <c r="U532">
        <v>614</v>
      </c>
      <c r="V532" t="s">
        <v>61</v>
      </c>
      <c r="W532">
        <v>13.4</v>
      </c>
      <c r="X532" t="s">
        <v>57</v>
      </c>
      <c r="Z532" t="s">
        <v>124</v>
      </c>
      <c r="AA532" t="s">
        <v>64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1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</row>
    <row r="533" spans="1:42" x14ac:dyDescent="0.25">
      <c r="A533">
        <v>614</v>
      </c>
      <c r="B533" t="s">
        <v>1114</v>
      </c>
      <c r="C533" t="s">
        <v>1112</v>
      </c>
      <c r="D533" t="s">
        <v>126</v>
      </c>
      <c r="E533" s="4">
        <v>1</v>
      </c>
      <c r="F533" t="s">
        <v>61</v>
      </c>
      <c r="G533" t="s">
        <v>61</v>
      </c>
      <c r="H533" s="3">
        <v>46106</v>
      </c>
      <c r="I533" s="3">
        <v>46106</v>
      </c>
      <c r="J533" t="s">
        <v>431</v>
      </c>
      <c r="K533" s="3">
        <v>46106</v>
      </c>
      <c r="L533" s="3">
        <v>46106</v>
      </c>
      <c r="M533" s="3">
        <v>46106</v>
      </c>
      <c r="N533" s="3">
        <v>46106</v>
      </c>
      <c r="O533" t="s">
        <v>431</v>
      </c>
      <c r="P533" t="s">
        <v>55</v>
      </c>
      <c r="Q533">
        <v>613</v>
      </c>
      <c r="R533" s="1">
        <v>46129.746527777781</v>
      </c>
      <c r="S533" t="s">
        <v>1042</v>
      </c>
      <c r="T533" t="s">
        <v>1109</v>
      </c>
      <c r="U533">
        <v>615</v>
      </c>
      <c r="V533" t="s">
        <v>61</v>
      </c>
      <c r="W533">
        <v>13.4</v>
      </c>
      <c r="X533" t="s">
        <v>57</v>
      </c>
      <c r="Z533" t="s">
        <v>1042</v>
      </c>
      <c r="AA533" t="s">
        <v>64</v>
      </c>
      <c r="AE533">
        <v>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1</v>
      </c>
      <c r="AM533">
        <v>0</v>
      </c>
      <c r="AN533">
        <v>0</v>
      </c>
      <c r="AO533">
        <v>0</v>
      </c>
      <c r="AP533">
        <v>0</v>
      </c>
    </row>
    <row r="534" spans="1:42" x14ac:dyDescent="0.25">
      <c r="A534">
        <v>615</v>
      </c>
      <c r="B534" t="s">
        <v>1115</v>
      </c>
      <c r="C534" t="s">
        <v>1112</v>
      </c>
      <c r="D534" t="s">
        <v>133</v>
      </c>
      <c r="E534" s="4">
        <v>1</v>
      </c>
      <c r="F534" t="s">
        <v>61</v>
      </c>
      <c r="G534" t="s">
        <v>61</v>
      </c>
      <c r="H534" s="3">
        <v>46107</v>
      </c>
      <c r="I534" s="3">
        <v>46107</v>
      </c>
      <c r="J534" t="s">
        <v>129</v>
      </c>
      <c r="K534" s="3">
        <v>46107</v>
      </c>
      <c r="L534" s="3">
        <v>46107</v>
      </c>
      <c r="M534" s="3">
        <v>46107</v>
      </c>
      <c r="N534" s="3">
        <v>46107</v>
      </c>
      <c r="O534" t="s">
        <v>129</v>
      </c>
      <c r="P534" t="s">
        <v>55</v>
      </c>
      <c r="Q534">
        <v>614</v>
      </c>
      <c r="R534" s="1">
        <v>46129.746527777781</v>
      </c>
      <c r="S534" t="s">
        <v>124</v>
      </c>
      <c r="T534" t="s">
        <v>1109</v>
      </c>
      <c r="V534" t="s">
        <v>61</v>
      </c>
      <c r="W534">
        <v>13.4</v>
      </c>
      <c r="X534" t="s">
        <v>57</v>
      </c>
      <c r="Z534" t="s">
        <v>124</v>
      </c>
      <c r="AA534" t="s">
        <v>64</v>
      </c>
      <c r="AE534">
        <v>1</v>
      </c>
      <c r="AF534">
        <v>0</v>
      </c>
      <c r="AG534">
        <v>0</v>
      </c>
      <c r="AH534">
        <v>0</v>
      </c>
      <c r="AI534">
        <v>1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0</v>
      </c>
      <c r="AP534">
        <v>0</v>
      </c>
    </row>
    <row r="535" spans="1:42" x14ac:dyDescent="0.25">
      <c r="A535">
        <v>616</v>
      </c>
      <c r="B535" t="s">
        <v>1116</v>
      </c>
      <c r="C535" t="s">
        <v>1109</v>
      </c>
      <c r="D535" t="s">
        <v>1117</v>
      </c>
      <c r="E535" s="4">
        <v>1</v>
      </c>
      <c r="F535" t="s">
        <v>438</v>
      </c>
      <c r="G535" t="s">
        <v>438</v>
      </c>
      <c r="H535" s="3">
        <v>46134</v>
      </c>
      <c r="I535" s="3">
        <v>46191</v>
      </c>
      <c r="J535" t="s">
        <v>406</v>
      </c>
      <c r="K535" s="3">
        <v>46176</v>
      </c>
      <c r="L535" s="3">
        <v>46156</v>
      </c>
      <c r="M535" s="3">
        <v>46191</v>
      </c>
      <c r="N535" s="3">
        <v>46191</v>
      </c>
      <c r="O535" t="s">
        <v>337</v>
      </c>
      <c r="P535" t="s">
        <v>55</v>
      </c>
      <c r="T535" t="s">
        <v>1109</v>
      </c>
      <c r="U535" t="s">
        <v>1118</v>
      </c>
      <c r="V535" t="s">
        <v>330</v>
      </c>
      <c r="W535">
        <v>43.2</v>
      </c>
      <c r="X535" t="s">
        <v>57</v>
      </c>
      <c r="AA535" t="s">
        <v>50</v>
      </c>
      <c r="AE535">
        <v>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</row>
    <row r="536" spans="1:42" x14ac:dyDescent="0.25">
      <c r="A536">
        <v>617</v>
      </c>
      <c r="B536" t="s">
        <v>1119</v>
      </c>
      <c r="C536" t="s">
        <v>1120</v>
      </c>
      <c r="D536" t="s">
        <v>117</v>
      </c>
      <c r="E536" s="4">
        <v>1</v>
      </c>
      <c r="F536" t="s">
        <v>840</v>
      </c>
      <c r="G536" t="s">
        <v>840</v>
      </c>
      <c r="H536" s="3">
        <v>46134</v>
      </c>
      <c r="I536" s="3">
        <v>46183</v>
      </c>
      <c r="J536" t="s">
        <v>406</v>
      </c>
      <c r="K536" s="3">
        <v>46169</v>
      </c>
      <c r="L536" s="3">
        <v>46156</v>
      </c>
      <c r="M536" s="3">
        <v>46183</v>
      </c>
      <c r="N536" s="3">
        <v>46183</v>
      </c>
      <c r="O536" t="s">
        <v>337</v>
      </c>
      <c r="P536" t="s">
        <v>55</v>
      </c>
      <c r="Q536" t="s">
        <v>1121</v>
      </c>
      <c r="S536" t="s">
        <v>1058</v>
      </c>
      <c r="T536" t="s">
        <v>1109</v>
      </c>
      <c r="U536" t="s">
        <v>1122</v>
      </c>
      <c r="V536" t="s">
        <v>151</v>
      </c>
      <c r="W536">
        <v>13.4</v>
      </c>
      <c r="X536" t="s">
        <v>57</v>
      </c>
      <c r="Z536" t="s">
        <v>1058</v>
      </c>
      <c r="AA536" t="s">
        <v>93</v>
      </c>
      <c r="AE536">
        <v>1</v>
      </c>
      <c r="AF536">
        <v>1</v>
      </c>
      <c r="AG536">
        <v>1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1</v>
      </c>
    </row>
    <row r="537" spans="1:42" x14ac:dyDescent="0.25">
      <c r="A537">
        <v>618</v>
      </c>
      <c r="B537" t="s">
        <v>1123</v>
      </c>
      <c r="C537" t="s">
        <v>1120</v>
      </c>
      <c r="D537" t="s">
        <v>121</v>
      </c>
      <c r="E537" s="4">
        <v>1</v>
      </c>
      <c r="F537" t="s">
        <v>127</v>
      </c>
      <c r="G537" t="s">
        <v>127</v>
      </c>
      <c r="H537" s="3">
        <v>46184</v>
      </c>
      <c r="I537" s="3">
        <v>46185</v>
      </c>
      <c r="J537" t="s">
        <v>448</v>
      </c>
      <c r="K537" s="3">
        <v>46174</v>
      </c>
      <c r="L537" s="3">
        <v>46170</v>
      </c>
      <c r="M537" s="3">
        <v>46185</v>
      </c>
      <c r="N537" s="3">
        <v>46185</v>
      </c>
      <c r="O537" t="s">
        <v>476</v>
      </c>
      <c r="P537" t="s">
        <v>55</v>
      </c>
      <c r="Q537">
        <v>617</v>
      </c>
      <c r="S537" t="s">
        <v>124</v>
      </c>
      <c r="T537" t="s">
        <v>1109</v>
      </c>
      <c r="U537">
        <v>619</v>
      </c>
      <c r="V537" t="s">
        <v>122</v>
      </c>
      <c r="W537">
        <v>13.4</v>
      </c>
      <c r="X537" t="s">
        <v>57</v>
      </c>
      <c r="Z537" t="s">
        <v>124</v>
      </c>
      <c r="AA537" t="s">
        <v>77</v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1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</row>
    <row r="538" spans="1:42" x14ac:dyDescent="0.25">
      <c r="A538">
        <v>619</v>
      </c>
      <c r="B538" t="s">
        <v>1124</v>
      </c>
      <c r="C538" t="s">
        <v>1120</v>
      </c>
      <c r="D538" t="s">
        <v>126</v>
      </c>
      <c r="E538" s="4">
        <v>1</v>
      </c>
      <c r="F538" t="s">
        <v>1125</v>
      </c>
      <c r="G538" t="s">
        <v>1125</v>
      </c>
      <c r="H538" s="3">
        <v>46188</v>
      </c>
      <c r="I538" s="3">
        <v>46189</v>
      </c>
      <c r="J538" t="s">
        <v>472</v>
      </c>
      <c r="K538" s="3">
        <v>46175</v>
      </c>
      <c r="L538" s="3">
        <v>46175</v>
      </c>
      <c r="M538" s="3">
        <v>46189</v>
      </c>
      <c r="N538" s="3">
        <v>46189</v>
      </c>
      <c r="O538" t="s">
        <v>595</v>
      </c>
      <c r="P538" t="s">
        <v>55</v>
      </c>
      <c r="Q538">
        <v>618</v>
      </c>
      <c r="S538" t="s">
        <v>1058</v>
      </c>
      <c r="T538" t="s">
        <v>1109</v>
      </c>
      <c r="U538">
        <v>620</v>
      </c>
      <c r="V538" t="s">
        <v>61</v>
      </c>
      <c r="W538">
        <v>13.4</v>
      </c>
      <c r="X538" t="s">
        <v>57</v>
      </c>
      <c r="Z538" t="s">
        <v>1058</v>
      </c>
      <c r="AA538" t="s">
        <v>460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1</v>
      </c>
      <c r="AM538">
        <v>0</v>
      </c>
      <c r="AN538">
        <v>0</v>
      </c>
      <c r="AO538">
        <v>0</v>
      </c>
      <c r="AP538">
        <v>0</v>
      </c>
    </row>
    <row r="539" spans="1:42" x14ac:dyDescent="0.25">
      <c r="A539">
        <v>620</v>
      </c>
      <c r="B539" t="s">
        <v>1126</v>
      </c>
      <c r="C539" t="s">
        <v>1120</v>
      </c>
      <c r="D539" t="s">
        <v>133</v>
      </c>
      <c r="E539" s="4">
        <v>1</v>
      </c>
      <c r="F539" t="s">
        <v>1125</v>
      </c>
      <c r="G539" t="s">
        <v>1125</v>
      </c>
      <c r="H539" s="3">
        <v>46190</v>
      </c>
      <c r="I539" s="3">
        <v>46191</v>
      </c>
      <c r="J539" t="s">
        <v>459</v>
      </c>
      <c r="K539" s="3">
        <v>46176</v>
      </c>
      <c r="L539" s="3">
        <v>46176</v>
      </c>
      <c r="M539" s="3">
        <v>46191</v>
      </c>
      <c r="N539" s="3">
        <v>46191</v>
      </c>
      <c r="O539" t="s">
        <v>75</v>
      </c>
      <c r="P539" t="s">
        <v>55</v>
      </c>
      <c r="Q539">
        <v>619</v>
      </c>
      <c r="S539" t="s">
        <v>124</v>
      </c>
      <c r="T539" t="s">
        <v>1109</v>
      </c>
      <c r="U539" t="s">
        <v>1127</v>
      </c>
      <c r="V539" t="s">
        <v>61</v>
      </c>
      <c r="W539">
        <v>13.4</v>
      </c>
      <c r="X539" t="s">
        <v>57</v>
      </c>
      <c r="Z539" t="s">
        <v>124</v>
      </c>
      <c r="AA539" t="s">
        <v>460</v>
      </c>
      <c r="AE539">
        <v>1</v>
      </c>
      <c r="AF539">
        <v>0</v>
      </c>
      <c r="AG539">
        <v>0</v>
      </c>
      <c r="AH539">
        <v>0</v>
      </c>
      <c r="AI539">
        <v>1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0</v>
      </c>
      <c r="AP539">
        <v>0</v>
      </c>
    </row>
    <row r="540" spans="1:42" x14ac:dyDescent="0.25">
      <c r="A540">
        <v>621</v>
      </c>
      <c r="B540" t="s">
        <v>1128</v>
      </c>
      <c r="C540" t="s">
        <v>1109</v>
      </c>
      <c r="D540" t="s">
        <v>1129</v>
      </c>
      <c r="E540" s="4">
        <v>1</v>
      </c>
      <c r="F540" t="s">
        <v>138</v>
      </c>
      <c r="G540" t="s">
        <v>138</v>
      </c>
      <c r="H540" s="3">
        <v>46195</v>
      </c>
      <c r="I540" s="3">
        <v>46199</v>
      </c>
      <c r="J540" t="s">
        <v>592</v>
      </c>
      <c r="K540" s="3">
        <v>46188</v>
      </c>
      <c r="L540" s="3">
        <v>46183</v>
      </c>
      <c r="M540" s="3">
        <v>46199</v>
      </c>
      <c r="N540" s="3">
        <v>46199</v>
      </c>
      <c r="O540" t="s">
        <v>219</v>
      </c>
      <c r="P540" t="s">
        <v>55</v>
      </c>
      <c r="T540" t="s">
        <v>1109</v>
      </c>
      <c r="V540" t="s">
        <v>101</v>
      </c>
      <c r="W540">
        <v>24.48</v>
      </c>
      <c r="X540" t="s">
        <v>57</v>
      </c>
      <c r="AA540" t="s">
        <v>50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</row>
    <row r="541" spans="1:42" x14ac:dyDescent="0.25">
      <c r="A541">
        <v>622</v>
      </c>
      <c r="B541" t="s">
        <v>1130</v>
      </c>
      <c r="C541" t="s">
        <v>1131</v>
      </c>
      <c r="D541" t="s">
        <v>117</v>
      </c>
      <c r="E541" s="4">
        <v>1</v>
      </c>
      <c r="F541" t="s">
        <v>61</v>
      </c>
      <c r="G541" t="s">
        <v>61</v>
      </c>
      <c r="H541" s="3">
        <v>46195</v>
      </c>
      <c r="I541" s="3">
        <v>46195</v>
      </c>
      <c r="J541" t="s">
        <v>592</v>
      </c>
      <c r="K541" s="3">
        <v>46183</v>
      </c>
      <c r="L541" s="3">
        <v>46183</v>
      </c>
      <c r="M541" s="3">
        <v>46195</v>
      </c>
      <c r="N541" s="3">
        <v>46195</v>
      </c>
      <c r="O541" t="s">
        <v>219</v>
      </c>
      <c r="P541" t="s">
        <v>55</v>
      </c>
      <c r="Q541">
        <v>632</v>
      </c>
      <c r="S541" t="s">
        <v>1042</v>
      </c>
      <c r="T541" t="s">
        <v>1109</v>
      </c>
      <c r="U541">
        <v>623</v>
      </c>
      <c r="V541" t="s">
        <v>61</v>
      </c>
      <c r="W541">
        <v>13.4</v>
      </c>
      <c r="X541" t="s">
        <v>57</v>
      </c>
      <c r="Z541" t="s">
        <v>1042</v>
      </c>
      <c r="AA541" t="s">
        <v>462</v>
      </c>
      <c r="AE541">
        <v>1</v>
      </c>
      <c r="AF541">
        <v>1</v>
      </c>
      <c r="AG541">
        <v>1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1</v>
      </c>
    </row>
    <row r="542" spans="1:42" x14ac:dyDescent="0.25">
      <c r="A542">
        <v>623</v>
      </c>
      <c r="B542" t="s">
        <v>1132</v>
      </c>
      <c r="C542" t="s">
        <v>1131</v>
      </c>
      <c r="D542" t="s">
        <v>121</v>
      </c>
      <c r="E542" s="4">
        <v>1</v>
      </c>
      <c r="F542" t="s">
        <v>61</v>
      </c>
      <c r="G542" t="s">
        <v>61</v>
      </c>
      <c r="H542" s="3">
        <v>46196</v>
      </c>
      <c r="I542" s="3">
        <v>46196</v>
      </c>
      <c r="J542" t="s">
        <v>476</v>
      </c>
      <c r="K542" s="3">
        <v>46184</v>
      </c>
      <c r="L542" s="3">
        <v>46184</v>
      </c>
      <c r="M542" s="3">
        <v>46196</v>
      </c>
      <c r="N542" s="3">
        <v>46196</v>
      </c>
      <c r="O542" t="s">
        <v>212</v>
      </c>
      <c r="P542" t="s">
        <v>55</v>
      </c>
      <c r="Q542">
        <v>622</v>
      </c>
      <c r="S542" t="s">
        <v>124</v>
      </c>
      <c r="T542" t="s">
        <v>1109</v>
      </c>
      <c r="U542">
        <v>624</v>
      </c>
      <c r="V542" t="s">
        <v>61</v>
      </c>
      <c r="W542">
        <v>13.4</v>
      </c>
      <c r="X542" t="s">
        <v>57</v>
      </c>
      <c r="Z542" t="s">
        <v>124</v>
      </c>
      <c r="AA542" t="s">
        <v>462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1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</row>
    <row r="543" spans="1:42" x14ac:dyDescent="0.25">
      <c r="A543">
        <v>624</v>
      </c>
      <c r="B543" t="s">
        <v>1133</v>
      </c>
      <c r="C543" t="s">
        <v>1131</v>
      </c>
      <c r="D543" t="s">
        <v>126</v>
      </c>
      <c r="E543" s="4">
        <v>1</v>
      </c>
      <c r="F543" t="s">
        <v>61</v>
      </c>
      <c r="G543" t="s">
        <v>61</v>
      </c>
      <c r="H543" s="3">
        <v>46197</v>
      </c>
      <c r="I543" s="3">
        <v>46197</v>
      </c>
      <c r="J543" t="s">
        <v>571</v>
      </c>
      <c r="K543" s="3">
        <v>46185</v>
      </c>
      <c r="L543" s="3">
        <v>46185</v>
      </c>
      <c r="M543" s="3">
        <v>46197</v>
      </c>
      <c r="N543" s="3">
        <v>46197</v>
      </c>
      <c r="O543" t="s">
        <v>207</v>
      </c>
      <c r="P543" t="s">
        <v>55</v>
      </c>
      <c r="Q543">
        <v>623</v>
      </c>
      <c r="S543" t="s">
        <v>1042</v>
      </c>
      <c r="T543" t="s">
        <v>1109</v>
      </c>
      <c r="U543">
        <v>625</v>
      </c>
      <c r="V543" t="s">
        <v>61</v>
      </c>
      <c r="W543">
        <v>13.4</v>
      </c>
      <c r="X543" t="s">
        <v>57</v>
      </c>
      <c r="Z543" t="s">
        <v>1042</v>
      </c>
      <c r="AA543" t="s">
        <v>462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1</v>
      </c>
      <c r="AM543">
        <v>0</v>
      </c>
      <c r="AN543">
        <v>0</v>
      </c>
      <c r="AO543">
        <v>0</v>
      </c>
      <c r="AP543">
        <v>0</v>
      </c>
    </row>
    <row r="544" spans="1:42" x14ac:dyDescent="0.25">
      <c r="A544">
        <v>625</v>
      </c>
      <c r="B544" t="s">
        <v>1134</v>
      </c>
      <c r="C544" t="s">
        <v>1131</v>
      </c>
      <c r="D544" t="s">
        <v>133</v>
      </c>
      <c r="E544" s="4">
        <v>1</v>
      </c>
      <c r="F544" t="s">
        <v>61</v>
      </c>
      <c r="G544" t="s">
        <v>61</v>
      </c>
      <c r="H544" s="3">
        <v>46199</v>
      </c>
      <c r="I544" s="3">
        <v>46199</v>
      </c>
      <c r="J544" t="s">
        <v>595</v>
      </c>
      <c r="K544" s="3">
        <v>46188</v>
      </c>
      <c r="L544" s="3">
        <v>46188</v>
      </c>
      <c r="M544" s="3">
        <v>46199</v>
      </c>
      <c r="N544" s="3">
        <v>46199</v>
      </c>
      <c r="O544" t="s">
        <v>134</v>
      </c>
      <c r="P544" t="s">
        <v>55</v>
      </c>
      <c r="Q544">
        <v>624</v>
      </c>
      <c r="S544" t="s">
        <v>124</v>
      </c>
      <c r="T544" t="s">
        <v>1109</v>
      </c>
      <c r="V544" t="s">
        <v>61</v>
      </c>
      <c r="W544">
        <v>13.4</v>
      </c>
      <c r="X544" t="s">
        <v>57</v>
      </c>
      <c r="Z544" t="s">
        <v>124</v>
      </c>
      <c r="AA544" t="s">
        <v>217</v>
      </c>
      <c r="AE544">
        <v>1</v>
      </c>
      <c r="AF544">
        <v>0</v>
      </c>
      <c r="AG544">
        <v>0</v>
      </c>
      <c r="AH544">
        <v>0</v>
      </c>
      <c r="AI544">
        <v>1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0</v>
      </c>
      <c r="AP544">
        <v>0</v>
      </c>
    </row>
    <row r="545" spans="1:42" x14ac:dyDescent="0.25">
      <c r="A545">
        <v>631</v>
      </c>
      <c r="B545" t="s">
        <v>1135</v>
      </c>
      <c r="C545" t="s">
        <v>1109</v>
      </c>
      <c r="D545" t="s">
        <v>1136</v>
      </c>
      <c r="E545" s="4">
        <v>1</v>
      </c>
      <c r="F545" t="s">
        <v>210</v>
      </c>
      <c r="G545" t="s">
        <v>210</v>
      </c>
      <c r="H545" s="3">
        <v>46192</v>
      </c>
      <c r="I545" s="3">
        <v>46203</v>
      </c>
      <c r="J545" t="s">
        <v>201</v>
      </c>
      <c r="K545" s="3">
        <v>46188</v>
      </c>
      <c r="L545" s="3">
        <v>46181</v>
      </c>
      <c r="M545" s="3">
        <v>46203</v>
      </c>
      <c r="N545" s="3">
        <v>46203</v>
      </c>
      <c r="O545" t="s">
        <v>211</v>
      </c>
      <c r="P545" t="s">
        <v>55</v>
      </c>
      <c r="T545" t="s">
        <v>1109</v>
      </c>
      <c r="V545" t="s">
        <v>214</v>
      </c>
      <c r="W545">
        <v>30.72</v>
      </c>
      <c r="X545" t="s">
        <v>57</v>
      </c>
      <c r="AA545" t="s">
        <v>50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</row>
    <row r="546" spans="1:42" x14ac:dyDescent="0.25">
      <c r="A546">
        <v>632</v>
      </c>
      <c r="B546" t="s">
        <v>1137</v>
      </c>
      <c r="C546" t="s">
        <v>1138</v>
      </c>
      <c r="D546" t="s">
        <v>117</v>
      </c>
      <c r="E546" s="4">
        <v>1</v>
      </c>
      <c r="F546" t="s">
        <v>61</v>
      </c>
      <c r="G546" t="s">
        <v>61</v>
      </c>
      <c r="H546" s="3">
        <v>46192</v>
      </c>
      <c r="I546" s="3">
        <v>46192</v>
      </c>
      <c r="J546" t="s">
        <v>201</v>
      </c>
      <c r="K546" s="3">
        <v>46181</v>
      </c>
      <c r="L546" s="3">
        <v>46181</v>
      </c>
      <c r="M546" s="3">
        <v>46192</v>
      </c>
      <c r="N546" s="3">
        <v>46192</v>
      </c>
      <c r="O546" t="s">
        <v>211</v>
      </c>
      <c r="P546" t="s">
        <v>55</v>
      </c>
      <c r="Q546">
        <v>616</v>
      </c>
      <c r="S546" t="s">
        <v>1042</v>
      </c>
      <c r="T546" t="s">
        <v>1109</v>
      </c>
      <c r="U546" t="s">
        <v>1139</v>
      </c>
      <c r="V546" t="s">
        <v>61</v>
      </c>
      <c r="W546">
        <v>13.4</v>
      </c>
      <c r="X546" t="s">
        <v>57</v>
      </c>
      <c r="Z546" t="s">
        <v>1042</v>
      </c>
      <c r="AA546" t="s">
        <v>462</v>
      </c>
      <c r="AE546">
        <v>1</v>
      </c>
      <c r="AF546">
        <v>1</v>
      </c>
      <c r="AG546">
        <v>1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1</v>
      </c>
    </row>
    <row r="547" spans="1:42" x14ac:dyDescent="0.25">
      <c r="A547">
        <v>633</v>
      </c>
      <c r="B547" t="s">
        <v>1140</v>
      </c>
      <c r="C547" t="s">
        <v>1138</v>
      </c>
      <c r="D547" t="s">
        <v>121</v>
      </c>
      <c r="E547" s="4">
        <v>1</v>
      </c>
      <c r="F547" t="s">
        <v>61</v>
      </c>
      <c r="G547" t="s">
        <v>61</v>
      </c>
      <c r="H547" s="3">
        <v>46195</v>
      </c>
      <c r="I547" s="3">
        <v>46195</v>
      </c>
      <c r="J547" t="s">
        <v>204</v>
      </c>
      <c r="K547" s="3">
        <v>46184</v>
      </c>
      <c r="L547" s="3">
        <v>46182</v>
      </c>
      <c r="M547" s="3">
        <v>46195</v>
      </c>
      <c r="N547" s="3">
        <v>46195</v>
      </c>
      <c r="O547" t="s">
        <v>219</v>
      </c>
      <c r="P547" t="s">
        <v>55</v>
      </c>
      <c r="Q547">
        <v>632</v>
      </c>
      <c r="S547" t="s">
        <v>124</v>
      </c>
      <c r="T547" t="s">
        <v>1109</v>
      </c>
      <c r="U547">
        <v>634</v>
      </c>
      <c r="V547" t="s">
        <v>122</v>
      </c>
      <c r="W547">
        <v>13.4</v>
      </c>
      <c r="X547" t="s">
        <v>57</v>
      </c>
      <c r="Z547" t="s">
        <v>124</v>
      </c>
      <c r="AA547" t="s">
        <v>462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1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</row>
    <row r="548" spans="1:42" x14ac:dyDescent="0.25">
      <c r="A548">
        <v>634</v>
      </c>
      <c r="B548" t="s">
        <v>1141</v>
      </c>
      <c r="C548" t="s">
        <v>1138</v>
      </c>
      <c r="D548" t="s">
        <v>126</v>
      </c>
      <c r="E548" s="4">
        <v>1</v>
      </c>
      <c r="F548" t="s">
        <v>61</v>
      </c>
      <c r="G548" t="s">
        <v>61</v>
      </c>
      <c r="H548" s="3">
        <v>46196</v>
      </c>
      <c r="I548" s="3">
        <v>46196</v>
      </c>
      <c r="J548" t="s">
        <v>571</v>
      </c>
      <c r="K548" s="3">
        <v>46185</v>
      </c>
      <c r="L548" s="3">
        <v>46185</v>
      </c>
      <c r="M548" s="3">
        <v>46196</v>
      </c>
      <c r="N548" s="3">
        <v>46196</v>
      </c>
      <c r="O548" t="s">
        <v>212</v>
      </c>
      <c r="P548" t="s">
        <v>55</v>
      </c>
      <c r="Q548">
        <v>633</v>
      </c>
      <c r="S548" t="s">
        <v>1042</v>
      </c>
      <c r="T548" t="s">
        <v>1109</v>
      </c>
      <c r="U548">
        <v>635</v>
      </c>
      <c r="V548" t="s">
        <v>61</v>
      </c>
      <c r="W548">
        <v>13.4</v>
      </c>
      <c r="X548" t="s">
        <v>57</v>
      </c>
      <c r="Z548" t="s">
        <v>1042</v>
      </c>
      <c r="AA548" t="s">
        <v>462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1</v>
      </c>
      <c r="AM548">
        <v>0</v>
      </c>
      <c r="AN548">
        <v>0</v>
      </c>
      <c r="AO548">
        <v>0</v>
      </c>
      <c r="AP548">
        <v>0</v>
      </c>
    </row>
    <row r="549" spans="1:42" x14ac:dyDescent="0.25">
      <c r="A549">
        <v>635</v>
      </c>
      <c r="B549" t="s">
        <v>1142</v>
      </c>
      <c r="C549" t="s">
        <v>1138</v>
      </c>
      <c r="D549" t="s">
        <v>133</v>
      </c>
      <c r="E549" s="4">
        <v>1</v>
      </c>
      <c r="F549" t="s">
        <v>61</v>
      </c>
      <c r="G549" t="s">
        <v>61</v>
      </c>
      <c r="H549" s="3">
        <v>46203</v>
      </c>
      <c r="I549" s="3">
        <v>46203</v>
      </c>
      <c r="J549" t="s">
        <v>595</v>
      </c>
      <c r="K549" s="3">
        <v>46188</v>
      </c>
      <c r="L549" s="3">
        <v>46188</v>
      </c>
      <c r="M549" s="3">
        <v>46203</v>
      </c>
      <c r="N549" s="3">
        <v>46203</v>
      </c>
      <c r="O549" t="s">
        <v>1025</v>
      </c>
      <c r="P549" t="s">
        <v>55</v>
      </c>
      <c r="Q549">
        <v>634</v>
      </c>
      <c r="S549" t="s">
        <v>124</v>
      </c>
      <c r="T549" t="s">
        <v>1109</v>
      </c>
      <c r="V549" t="s">
        <v>61</v>
      </c>
      <c r="W549">
        <v>13.4</v>
      </c>
      <c r="X549" t="s">
        <v>57</v>
      </c>
      <c r="Z549" t="s">
        <v>124</v>
      </c>
      <c r="AA549" t="s">
        <v>217</v>
      </c>
      <c r="AE549">
        <v>1</v>
      </c>
      <c r="AF549">
        <v>0</v>
      </c>
      <c r="AG549">
        <v>0</v>
      </c>
      <c r="AH549">
        <v>0</v>
      </c>
      <c r="AI549">
        <v>1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0</v>
      </c>
      <c r="AP549">
        <v>0</v>
      </c>
    </row>
    <row r="550" spans="1:42" x14ac:dyDescent="0.25">
      <c r="A550">
        <v>641</v>
      </c>
      <c r="B550" t="s">
        <v>1143</v>
      </c>
      <c r="C550" t="s">
        <v>1109</v>
      </c>
      <c r="D550" t="s">
        <v>1144</v>
      </c>
      <c r="E550" s="4">
        <v>1</v>
      </c>
      <c r="F550" t="s">
        <v>226</v>
      </c>
      <c r="G550" t="s">
        <v>226</v>
      </c>
      <c r="H550" s="3">
        <v>46134</v>
      </c>
      <c r="I550" s="3">
        <v>46167</v>
      </c>
      <c r="J550" t="s">
        <v>183</v>
      </c>
      <c r="K550" s="3">
        <v>46160</v>
      </c>
      <c r="L550" s="3">
        <v>46147</v>
      </c>
      <c r="M550" s="3">
        <v>46167</v>
      </c>
      <c r="N550" s="3">
        <v>46167</v>
      </c>
      <c r="O550" t="s">
        <v>337</v>
      </c>
      <c r="P550" t="s">
        <v>55</v>
      </c>
      <c r="T550" t="s">
        <v>1109</v>
      </c>
      <c r="V550" t="s">
        <v>151</v>
      </c>
      <c r="W550">
        <v>15.12</v>
      </c>
      <c r="X550" t="s">
        <v>57</v>
      </c>
      <c r="AA550" t="s">
        <v>50</v>
      </c>
      <c r="AE550">
        <v>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</row>
    <row r="551" spans="1:42" x14ac:dyDescent="0.25">
      <c r="A551">
        <v>642</v>
      </c>
      <c r="B551" t="s">
        <v>1145</v>
      </c>
      <c r="C551" t="s">
        <v>1146</v>
      </c>
      <c r="D551" t="s">
        <v>117</v>
      </c>
      <c r="E551" s="4">
        <v>1</v>
      </c>
      <c r="F551" t="s">
        <v>63</v>
      </c>
      <c r="G551" t="s">
        <v>63</v>
      </c>
      <c r="H551" s="3">
        <v>46134</v>
      </c>
      <c r="I551" s="3">
        <v>46134</v>
      </c>
      <c r="J551" t="s">
        <v>183</v>
      </c>
      <c r="K551" s="3">
        <v>46153</v>
      </c>
      <c r="L551" s="3">
        <v>46147</v>
      </c>
      <c r="M551" s="3">
        <v>46134</v>
      </c>
      <c r="N551" s="3">
        <v>46134</v>
      </c>
      <c r="O551" t="s">
        <v>337</v>
      </c>
      <c r="P551" t="s">
        <v>55</v>
      </c>
      <c r="Q551" t="s">
        <v>1147</v>
      </c>
      <c r="S551" t="s">
        <v>1058</v>
      </c>
      <c r="T551" t="s">
        <v>1109</v>
      </c>
      <c r="U551">
        <v>643</v>
      </c>
      <c r="V551" t="s">
        <v>138</v>
      </c>
      <c r="W551">
        <v>13.4</v>
      </c>
      <c r="X551" t="s">
        <v>57</v>
      </c>
      <c r="Z551" t="s">
        <v>1058</v>
      </c>
      <c r="AA551" t="s">
        <v>401</v>
      </c>
      <c r="AE551">
        <v>1</v>
      </c>
      <c r="AF551">
        <v>1</v>
      </c>
      <c r="AG551">
        <v>1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1</v>
      </c>
    </row>
    <row r="552" spans="1:42" x14ac:dyDescent="0.25">
      <c r="A552">
        <v>643</v>
      </c>
      <c r="B552" t="s">
        <v>1148</v>
      </c>
      <c r="C552" t="s">
        <v>1146</v>
      </c>
      <c r="D552" t="s">
        <v>121</v>
      </c>
      <c r="E552" s="4">
        <v>1</v>
      </c>
      <c r="F552" t="s">
        <v>122</v>
      </c>
      <c r="G552" t="s">
        <v>122</v>
      </c>
      <c r="H552" s="3">
        <v>46135</v>
      </c>
      <c r="I552" s="3">
        <v>46139</v>
      </c>
      <c r="J552" t="s">
        <v>741</v>
      </c>
      <c r="K552" s="3">
        <v>46156</v>
      </c>
      <c r="L552" s="3">
        <v>46154</v>
      </c>
      <c r="M552" s="3">
        <v>46139</v>
      </c>
      <c r="N552" s="3">
        <v>46139</v>
      </c>
      <c r="O552" t="s">
        <v>371</v>
      </c>
      <c r="P552" t="s">
        <v>55</v>
      </c>
      <c r="Q552">
        <v>642</v>
      </c>
      <c r="S552" t="s">
        <v>124</v>
      </c>
      <c r="T552" t="s">
        <v>1109</v>
      </c>
      <c r="U552">
        <v>644</v>
      </c>
      <c r="V552" t="s">
        <v>122</v>
      </c>
      <c r="W552">
        <v>13.4</v>
      </c>
      <c r="X552" t="s">
        <v>57</v>
      </c>
      <c r="Z552" t="s">
        <v>124</v>
      </c>
      <c r="AA552" t="s">
        <v>93</v>
      </c>
      <c r="AE552">
        <v>1</v>
      </c>
      <c r="AF552">
        <v>0</v>
      </c>
      <c r="AG552">
        <v>0</v>
      </c>
      <c r="AH552">
        <v>0</v>
      </c>
      <c r="AI552">
        <v>0</v>
      </c>
      <c r="AJ552">
        <v>1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</row>
    <row r="553" spans="1:42" x14ac:dyDescent="0.25">
      <c r="A553">
        <v>644</v>
      </c>
      <c r="B553" t="s">
        <v>1149</v>
      </c>
      <c r="C553" t="s">
        <v>1146</v>
      </c>
      <c r="D553" t="s">
        <v>126</v>
      </c>
      <c r="E553" s="4">
        <v>1</v>
      </c>
      <c r="F553" t="s">
        <v>114</v>
      </c>
      <c r="G553" t="s">
        <v>114</v>
      </c>
      <c r="H553" s="3">
        <v>46155</v>
      </c>
      <c r="I553" s="3">
        <v>46167</v>
      </c>
      <c r="J553" t="s">
        <v>444</v>
      </c>
      <c r="K553" s="3">
        <v>46157</v>
      </c>
      <c r="L553" s="3">
        <v>46157</v>
      </c>
      <c r="M553" s="3">
        <v>46167</v>
      </c>
      <c r="N553" s="3">
        <v>46167</v>
      </c>
      <c r="O553" t="s">
        <v>68</v>
      </c>
      <c r="P553" t="s">
        <v>55</v>
      </c>
      <c r="Q553">
        <v>643</v>
      </c>
      <c r="S553" t="s">
        <v>1058</v>
      </c>
      <c r="T553" t="s">
        <v>1109</v>
      </c>
      <c r="U553">
        <v>645</v>
      </c>
      <c r="V553" t="s">
        <v>61</v>
      </c>
      <c r="W553">
        <v>13.4</v>
      </c>
      <c r="X553" t="s">
        <v>57</v>
      </c>
      <c r="Z553" t="s">
        <v>1058</v>
      </c>
      <c r="AA553" t="s">
        <v>93</v>
      </c>
      <c r="AE553">
        <v>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1</v>
      </c>
      <c r="AM553">
        <v>0</v>
      </c>
      <c r="AN553">
        <v>0</v>
      </c>
      <c r="AO553">
        <v>0</v>
      </c>
      <c r="AP553">
        <v>0</v>
      </c>
    </row>
    <row r="554" spans="1:42" x14ac:dyDescent="0.25">
      <c r="A554">
        <v>645</v>
      </c>
      <c r="B554" t="s">
        <v>1150</v>
      </c>
      <c r="C554" t="s">
        <v>1146</v>
      </c>
      <c r="D554" t="s">
        <v>133</v>
      </c>
      <c r="E554" s="4">
        <v>1</v>
      </c>
      <c r="F554" t="s">
        <v>494</v>
      </c>
      <c r="G554" t="s">
        <v>494</v>
      </c>
      <c r="H554" s="3">
        <v>46167</v>
      </c>
      <c r="I554" s="3">
        <v>46167</v>
      </c>
      <c r="J554" t="s">
        <v>185</v>
      </c>
      <c r="K554" s="3">
        <v>46160</v>
      </c>
      <c r="L554" s="3">
        <v>46160</v>
      </c>
      <c r="M554" s="3">
        <v>46167</v>
      </c>
      <c r="N554" s="3">
        <v>46167</v>
      </c>
      <c r="O554" t="s">
        <v>74</v>
      </c>
      <c r="P554" t="s">
        <v>55</v>
      </c>
      <c r="Q554">
        <v>644</v>
      </c>
      <c r="S554" t="s">
        <v>124</v>
      </c>
      <c r="T554" t="s">
        <v>1109</v>
      </c>
      <c r="V554" t="s">
        <v>61</v>
      </c>
      <c r="W554">
        <v>13.4</v>
      </c>
      <c r="X554" t="s">
        <v>57</v>
      </c>
      <c r="Z554" t="s">
        <v>124</v>
      </c>
      <c r="AA554" t="s">
        <v>198</v>
      </c>
      <c r="AE554">
        <v>1</v>
      </c>
      <c r="AF554">
        <v>0</v>
      </c>
      <c r="AG554">
        <v>0</v>
      </c>
      <c r="AH554">
        <v>0</v>
      </c>
      <c r="AI554">
        <v>1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0</v>
      </c>
      <c r="AP554">
        <v>0</v>
      </c>
    </row>
    <row r="555" spans="1:42" x14ac:dyDescent="0.25">
      <c r="A555">
        <v>651</v>
      </c>
      <c r="B555" t="s">
        <v>1151</v>
      </c>
      <c r="C555" t="s">
        <v>1109</v>
      </c>
      <c r="D555" t="s">
        <v>1152</v>
      </c>
      <c r="E555" s="4">
        <v>1</v>
      </c>
      <c r="F555" t="s">
        <v>690</v>
      </c>
      <c r="G555" t="s">
        <v>690</v>
      </c>
      <c r="H555" s="3">
        <v>46135</v>
      </c>
      <c r="I555" s="3">
        <v>46155</v>
      </c>
      <c r="J555" t="s">
        <v>183</v>
      </c>
      <c r="K555" s="3">
        <v>46160</v>
      </c>
      <c r="L555" s="3">
        <v>46147</v>
      </c>
      <c r="M555" s="3">
        <v>46155</v>
      </c>
      <c r="N555" s="3">
        <v>46155</v>
      </c>
      <c r="O555" t="s">
        <v>371</v>
      </c>
      <c r="P555" t="s">
        <v>55</v>
      </c>
      <c r="T555" t="s">
        <v>1109</v>
      </c>
      <c r="V555" t="s">
        <v>151</v>
      </c>
      <c r="W555">
        <v>15.12</v>
      </c>
      <c r="X555" t="s">
        <v>57</v>
      </c>
      <c r="AA555" t="s">
        <v>50</v>
      </c>
      <c r="AE555">
        <v>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</row>
    <row r="556" spans="1:42" x14ac:dyDescent="0.25">
      <c r="A556">
        <v>652</v>
      </c>
      <c r="B556" t="s">
        <v>1153</v>
      </c>
      <c r="C556" t="s">
        <v>1154</v>
      </c>
      <c r="D556" t="s">
        <v>117</v>
      </c>
      <c r="E556" s="4">
        <v>1</v>
      </c>
      <c r="F556" t="s">
        <v>122</v>
      </c>
      <c r="G556" t="s">
        <v>122</v>
      </c>
      <c r="H556" s="3">
        <v>46135</v>
      </c>
      <c r="I556" s="3">
        <v>46140</v>
      </c>
      <c r="J556" t="s">
        <v>183</v>
      </c>
      <c r="K556" s="3">
        <v>46153</v>
      </c>
      <c r="L556" s="3">
        <v>46147</v>
      </c>
      <c r="M556" s="3">
        <v>46140</v>
      </c>
      <c r="N556" s="3">
        <v>46140</v>
      </c>
      <c r="O556" t="s">
        <v>371</v>
      </c>
      <c r="P556" t="s">
        <v>55</v>
      </c>
      <c r="Q556" t="s">
        <v>1147</v>
      </c>
      <c r="R556" s="1">
        <v>46135.461805555547</v>
      </c>
      <c r="S556" t="s">
        <v>1058</v>
      </c>
      <c r="T556" t="s">
        <v>1109</v>
      </c>
      <c r="U556">
        <v>653</v>
      </c>
      <c r="V556" t="s">
        <v>138</v>
      </c>
      <c r="W556">
        <v>13.4</v>
      </c>
      <c r="X556" t="s">
        <v>57</v>
      </c>
      <c r="Z556" t="s">
        <v>1058</v>
      </c>
      <c r="AA556" t="s">
        <v>401</v>
      </c>
      <c r="AE556">
        <v>1</v>
      </c>
      <c r="AF556">
        <v>1</v>
      </c>
      <c r="AG556">
        <v>1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1</v>
      </c>
    </row>
    <row r="557" spans="1:42" x14ac:dyDescent="0.25">
      <c r="A557">
        <v>653</v>
      </c>
      <c r="B557" t="s">
        <v>1155</v>
      </c>
      <c r="C557" t="s">
        <v>1154</v>
      </c>
      <c r="D557" t="s">
        <v>121</v>
      </c>
      <c r="E557" s="4">
        <v>1</v>
      </c>
      <c r="F557" t="s">
        <v>122</v>
      </c>
      <c r="G557" t="s">
        <v>122</v>
      </c>
      <c r="H557" s="3">
        <v>46140</v>
      </c>
      <c r="I557" s="3">
        <v>46142</v>
      </c>
      <c r="J557" t="s">
        <v>741</v>
      </c>
      <c r="K557" s="3">
        <v>46156</v>
      </c>
      <c r="L557" s="3">
        <v>46154</v>
      </c>
      <c r="M557" s="3">
        <v>46142</v>
      </c>
      <c r="N557" s="3">
        <v>46142</v>
      </c>
      <c r="O557" t="s">
        <v>85</v>
      </c>
      <c r="P557" t="s">
        <v>55</v>
      </c>
      <c r="Q557">
        <v>652</v>
      </c>
      <c r="S557" t="s">
        <v>124</v>
      </c>
      <c r="T557" t="s">
        <v>1109</v>
      </c>
      <c r="U557">
        <v>654</v>
      </c>
      <c r="V557" t="s">
        <v>122</v>
      </c>
      <c r="W557">
        <v>13.4</v>
      </c>
      <c r="X557" t="s">
        <v>57</v>
      </c>
      <c r="Z557" t="s">
        <v>124</v>
      </c>
      <c r="AA557" t="s">
        <v>93</v>
      </c>
      <c r="AE557">
        <v>1</v>
      </c>
      <c r="AF557">
        <v>0</v>
      </c>
      <c r="AG557">
        <v>0</v>
      </c>
      <c r="AH557">
        <v>0</v>
      </c>
      <c r="AI557">
        <v>0</v>
      </c>
      <c r="AJ557">
        <v>1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</row>
    <row r="558" spans="1:42" x14ac:dyDescent="0.25">
      <c r="A558">
        <v>654</v>
      </c>
      <c r="B558" t="s">
        <v>1156</v>
      </c>
      <c r="C558" t="s">
        <v>1154</v>
      </c>
      <c r="D558" t="s">
        <v>126</v>
      </c>
      <c r="E558" s="4">
        <v>1</v>
      </c>
      <c r="F558" t="s">
        <v>860</v>
      </c>
      <c r="G558" t="s">
        <v>860</v>
      </c>
      <c r="H558" s="3">
        <v>46141</v>
      </c>
      <c r="I558" s="3">
        <v>46154</v>
      </c>
      <c r="J558" t="s">
        <v>444</v>
      </c>
      <c r="K558" s="3">
        <v>46157</v>
      </c>
      <c r="L558" s="3">
        <v>46157</v>
      </c>
      <c r="M558" s="3">
        <v>46154</v>
      </c>
      <c r="N558" s="3">
        <v>46154</v>
      </c>
      <c r="O558" t="s">
        <v>415</v>
      </c>
      <c r="P558" t="s">
        <v>55</v>
      </c>
      <c r="Q558">
        <v>653</v>
      </c>
      <c r="S558" t="s">
        <v>1058</v>
      </c>
      <c r="T558" t="s">
        <v>1109</v>
      </c>
      <c r="U558">
        <v>655</v>
      </c>
      <c r="V558" t="s">
        <v>61</v>
      </c>
      <c r="W558">
        <v>13.4</v>
      </c>
      <c r="X558" t="s">
        <v>57</v>
      </c>
      <c r="Z558" t="s">
        <v>1058</v>
      </c>
      <c r="AA558" t="s">
        <v>93</v>
      </c>
      <c r="AE558">
        <v>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1</v>
      </c>
      <c r="AM558">
        <v>0</v>
      </c>
      <c r="AN558">
        <v>0</v>
      </c>
      <c r="AO558">
        <v>0</v>
      </c>
      <c r="AP558">
        <v>0</v>
      </c>
    </row>
    <row r="559" spans="1:42" x14ac:dyDescent="0.25">
      <c r="A559">
        <v>655</v>
      </c>
      <c r="B559" t="s">
        <v>1157</v>
      </c>
      <c r="C559" t="s">
        <v>1154</v>
      </c>
      <c r="D559" t="s">
        <v>133</v>
      </c>
      <c r="E559" s="4">
        <v>1</v>
      </c>
      <c r="F559" t="s">
        <v>63</v>
      </c>
      <c r="G559" t="s">
        <v>63</v>
      </c>
      <c r="H559" s="3">
        <v>46155</v>
      </c>
      <c r="I559" s="3">
        <v>46155</v>
      </c>
      <c r="J559" t="s">
        <v>185</v>
      </c>
      <c r="K559" s="3">
        <v>46160</v>
      </c>
      <c r="L559" s="3">
        <v>46160</v>
      </c>
      <c r="M559" s="3">
        <v>46155</v>
      </c>
      <c r="N559" s="3">
        <v>46155</v>
      </c>
      <c r="O559" t="s">
        <v>68</v>
      </c>
      <c r="P559" t="s">
        <v>55</v>
      </c>
      <c r="Q559">
        <v>654</v>
      </c>
      <c r="S559" t="s">
        <v>124</v>
      </c>
      <c r="T559" t="s">
        <v>1109</v>
      </c>
      <c r="V559" t="s">
        <v>61</v>
      </c>
      <c r="W559">
        <v>13.4</v>
      </c>
      <c r="X559" t="s">
        <v>57</v>
      </c>
      <c r="Z559" t="s">
        <v>124</v>
      </c>
      <c r="AA559" t="s">
        <v>198</v>
      </c>
      <c r="AE559">
        <v>1</v>
      </c>
      <c r="AF559">
        <v>0</v>
      </c>
      <c r="AG559">
        <v>0</v>
      </c>
      <c r="AH559">
        <v>0</v>
      </c>
      <c r="AI559">
        <v>1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0</v>
      </c>
      <c r="AP559">
        <v>0</v>
      </c>
    </row>
    <row r="560" spans="1:42" x14ac:dyDescent="0.25">
      <c r="A560">
        <v>656</v>
      </c>
      <c r="B560" t="s">
        <v>1158</v>
      </c>
      <c r="C560" t="s">
        <v>1109</v>
      </c>
      <c r="D560" t="s">
        <v>1159</v>
      </c>
      <c r="E560" s="4">
        <v>1</v>
      </c>
      <c r="F560" t="s">
        <v>690</v>
      </c>
      <c r="G560" t="s">
        <v>690</v>
      </c>
      <c r="H560" s="3">
        <v>46135</v>
      </c>
      <c r="I560" s="3">
        <v>46154</v>
      </c>
      <c r="J560" t="s">
        <v>183</v>
      </c>
      <c r="K560" s="3">
        <v>46160</v>
      </c>
      <c r="L560" s="3">
        <v>46147</v>
      </c>
      <c r="M560" s="3">
        <v>46154</v>
      </c>
      <c r="N560" s="3">
        <v>46154</v>
      </c>
      <c r="O560" t="s">
        <v>371</v>
      </c>
      <c r="P560" t="s">
        <v>55</v>
      </c>
      <c r="T560" t="s">
        <v>1109</v>
      </c>
      <c r="V560" t="s">
        <v>151</v>
      </c>
      <c r="W560">
        <v>15.12</v>
      </c>
      <c r="X560" t="s">
        <v>57</v>
      </c>
      <c r="AA560" t="s">
        <v>50</v>
      </c>
      <c r="AE560">
        <v>1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</row>
    <row r="561" spans="1:42" x14ac:dyDescent="0.25">
      <c r="A561">
        <v>657</v>
      </c>
      <c r="B561" t="s">
        <v>1160</v>
      </c>
      <c r="C561" t="s">
        <v>1161</v>
      </c>
      <c r="D561" t="s">
        <v>117</v>
      </c>
      <c r="E561" s="4">
        <v>1</v>
      </c>
      <c r="F561" t="s">
        <v>63</v>
      </c>
      <c r="G561" t="s">
        <v>63</v>
      </c>
      <c r="H561" s="3">
        <v>46135</v>
      </c>
      <c r="I561" s="3">
        <v>46135</v>
      </c>
      <c r="J561" t="s">
        <v>183</v>
      </c>
      <c r="K561" s="3">
        <v>46153</v>
      </c>
      <c r="L561" s="3">
        <v>46147</v>
      </c>
      <c r="M561" s="3">
        <v>46135</v>
      </c>
      <c r="N561" s="3">
        <v>46135</v>
      </c>
      <c r="O561" t="s">
        <v>371</v>
      </c>
      <c r="P561" t="s">
        <v>55</v>
      </c>
      <c r="Q561" t="s">
        <v>1147</v>
      </c>
      <c r="S561" t="s">
        <v>1058</v>
      </c>
      <c r="T561" t="s">
        <v>1109</v>
      </c>
      <c r="U561">
        <v>658</v>
      </c>
      <c r="V561" t="s">
        <v>138</v>
      </c>
      <c r="W561">
        <v>13.4</v>
      </c>
      <c r="X561" t="s">
        <v>57</v>
      </c>
      <c r="Z561" t="s">
        <v>1058</v>
      </c>
      <c r="AA561" t="s">
        <v>401</v>
      </c>
      <c r="AE561">
        <v>1</v>
      </c>
      <c r="AF561">
        <v>1</v>
      </c>
      <c r="AG561">
        <v>1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1</v>
      </c>
    </row>
    <row r="562" spans="1:42" x14ac:dyDescent="0.25">
      <c r="A562">
        <v>658</v>
      </c>
      <c r="B562" t="s">
        <v>1162</v>
      </c>
      <c r="C562" t="s">
        <v>1161</v>
      </c>
      <c r="D562" t="s">
        <v>121</v>
      </c>
      <c r="E562" s="4">
        <v>1</v>
      </c>
      <c r="F562" t="s">
        <v>61</v>
      </c>
      <c r="G562" t="s">
        <v>61</v>
      </c>
      <c r="H562" s="3">
        <v>46141</v>
      </c>
      <c r="I562" s="3">
        <v>46141</v>
      </c>
      <c r="J562" t="s">
        <v>741</v>
      </c>
      <c r="K562" s="3">
        <v>46156</v>
      </c>
      <c r="L562" s="3">
        <v>46154</v>
      </c>
      <c r="M562" s="3">
        <v>46141</v>
      </c>
      <c r="N562" s="3">
        <v>46141</v>
      </c>
      <c r="O562" t="s">
        <v>415</v>
      </c>
      <c r="P562" t="s">
        <v>55</v>
      </c>
      <c r="Q562">
        <v>657</v>
      </c>
      <c r="S562" t="s">
        <v>124</v>
      </c>
      <c r="T562" t="s">
        <v>1109</v>
      </c>
      <c r="U562">
        <v>659</v>
      </c>
      <c r="V562" t="s">
        <v>122</v>
      </c>
      <c r="W562">
        <v>13.4</v>
      </c>
      <c r="X562" t="s">
        <v>57</v>
      </c>
      <c r="Z562" t="s">
        <v>124</v>
      </c>
      <c r="AA562" t="s">
        <v>93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1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</row>
    <row r="563" spans="1:42" x14ac:dyDescent="0.25">
      <c r="A563">
        <v>659</v>
      </c>
      <c r="B563" t="s">
        <v>1163</v>
      </c>
      <c r="C563" t="s">
        <v>1161</v>
      </c>
      <c r="D563" t="s">
        <v>126</v>
      </c>
      <c r="E563" s="4">
        <v>1</v>
      </c>
      <c r="F563" t="s">
        <v>175</v>
      </c>
      <c r="G563" t="s">
        <v>175</v>
      </c>
      <c r="H563" s="3">
        <v>46142</v>
      </c>
      <c r="I563" s="3">
        <v>46153</v>
      </c>
      <c r="J563" t="s">
        <v>444</v>
      </c>
      <c r="K563" s="3">
        <v>46157</v>
      </c>
      <c r="L563" s="3">
        <v>46157</v>
      </c>
      <c r="M563" s="3">
        <v>46153</v>
      </c>
      <c r="N563" s="3">
        <v>46153</v>
      </c>
      <c r="O563" t="s">
        <v>527</v>
      </c>
      <c r="P563" t="s">
        <v>55</v>
      </c>
      <c r="Q563">
        <v>658</v>
      </c>
      <c r="S563" t="s">
        <v>1058</v>
      </c>
      <c r="T563" t="s">
        <v>1109</v>
      </c>
      <c r="U563">
        <v>660</v>
      </c>
      <c r="V563" t="s">
        <v>61</v>
      </c>
      <c r="W563">
        <v>13.4</v>
      </c>
      <c r="X563" t="s">
        <v>57</v>
      </c>
      <c r="Z563" t="s">
        <v>1058</v>
      </c>
      <c r="AA563" t="s">
        <v>93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1</v>
      </c>
      <c r="AM563">
        <v>0</v>
      </c>
      <c r="AN563">
        <v>0</v>
      </c>
      <c r="AO563">
        <v>0</v>
      </c>
      <c r="AP563">
        <v>0</v>
      </c>
    </row>
    <row r="564" spans="1:42" x14ac:dyDescent="0.25">
      <c r="A564">
        <v>660</v>
      </c>
      <c r="B564" t="s">
        <v>1164</v>
      </c>
      <c r="C564" t="s">
        <v>1161</v>
      </c>
      <c r="D564" t="s">
        <v>133</v>
      </c>
      <c r="E564" s="4">
        <v>1</v>
      </c>
      <c r="F564" t="s">
        <v>61</v>
      </c>
      <c r="G564" t="s">
        <v>61</v>
      </c>
      <c r="H564" s="3">
        <v>46153</v>
      </c>
      <c r="I564" s="3">
        <v>46154</v>
      </c>
      <c r="J564" t="s">
        <v>185</v>
      </c>
      <c r="K564" s="3">
        <v>46160</v>
      </c>
      <c r="L564" s="3">
        <v>46160</v>
      </c>
      <c r="M564" s="3">
        <v>46154</v>
      </c>
      <c r="N564" s="3">
        <v>46154</v>
      </c>
      <c r="O564" t="s">
        <v>418</v>
      </c>
      <c r="P564" t="s">
        <v>55</v>
      </c>
      <c r="Q564">
        <v>659</v>
      </c>
      <c r="S564" t="s">
        <v>124</v>
      </c>
      <c r="T564" t="s">
        <v>1109</v>
      </c>
      <c r="V564" t="s">
        <v>61</v>
      </c>
      <c r="W564">
        <v>13.4</v>
      </c>
      <c r="X564" t="s">
        <v>57</v>
      </c>
      <c r="Z564" t="s">
        <v>124</v>
      </c>
      <c r="AA564" t="s">
        <v>198</v>
      </c>
      <c r="AE564">
        <v>1</v>
      </c>
      <c r="AF564">
        <v>0</v>
      </c>
      <c r="AG564">
        <v>0</v>
      </c>
      <c r="AH564">
        <v>0</v>
      </c>
      <c r="AI564">
        <v>1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0</v>
      </c>
      <c r="AP564">
        <v>0</v>
      </c>
    </row>
    <row r="565" spans="1:42" x14ac:dyDescent="0.25">
      <c r="A565">
        <v>661</v>
      </c>
      <c r="B565" t="s">
        <v>1165</v>
      </c>
      <c r="C565" t="s">
        <v>1109</v>
      </c>
      <c r="D565" t="s">
        <v>1166</v>
      </c>
      <c r="E565" s="4">
        <v>1</v>
      </c>
      <c r="F565" t="s">
        <v>295</v>
      </c>
      <c r="G565" t="s">
        <v>295</v>
      </c>
      <c r="H565" s="3">
        <v>46156</v>
      </c>
      <c r="I565" s="3">
        <v>46181</v>
      </c>
      <c r="J565" t="s">
        <v>183</v>
      </c>
      <c r="K565" s="3">
        <v>46160</v>
      </c>
      <c r="L565" s="3">
        <v>46147</v>
      </c>
      <c r="M565" s="3">
        <v>46181</v>
      </c>
      <c r="N565" s="3">
        <v>46181</v>
      </c>
      <c r="O565" t="s">
        <v>406</v>
      </c>
      <c r="P565" t="s">
        <v>55</v>
      </c>
      <c r="T565" t="s">
        <v>1109</v>
      </c>
      <c r="V565" t="s">
        <v>151</v>
      </c>
      <c r="W565">
        <v>15.12</v>
      </c>
      <c r="X565" t="s">
        <v>57</v>
      </c>
      <c r="AA565" t="s">
        <v>50</v>
      </c>
      <c r="AB565" t="s">
        <v>94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</row>
    <row r="566" spans="1:42" x14ac:dyDescent="0.25">
      <c r="A566">
        <v>662</v>
      </c>
      <c r="B566" t="s">
        <v>1167</v>
      </c>
      <c r="C566" t="s">
        <v>1168</v>
      </c>
      <c r="D566" t="s">
        <v>117</v>
      </c>
      <c r="E566" s="4">
        <v>1</v>
      </c>
      <c r="F566" t="s">
        <v>804</v>
      </c>
      <c r="G566" t="s">
        <v>804</v>
      </c>
      <c r="H566" s="3">
        <v>46156</v>
      </c>
      <c r="I566" s="3">
        <v>46164</v>
      </c>
      <c r="J566" t="s">
        <v>183</v>
      </c>
      <c r="K566" s="3">
        <v>46153</v>
      </c>
      <c r="L566" s="3">
        <v>46147</v>
      </c>
      <c r="M566" s="3">
        <v>46164</v>
      </c>
      <c r="N566" s="3">
        <v>46164</v>
      </c>
      <c r="O566" t="s">
        <v>406</v>
      </c>
      <c r="P566" t="s">
        <v>55</v>
      </c>
      <c r="Q566" t="s">
        <v>1147</v>
      </c>
      <c r="S566" t="s">
        <v>1058</v>
      </c>
      <c r="T566" t="s">
        <v>1109</v>
      </c>
      <c r="U566">
        <v>663</v>
      </c>
      <c r="V566" t="s">
        <v>138</v>
      </c>
      <c r="W566">
        <v>13.4</v>
      </c>
      <c r="X566" t="s">
        <v>57</v>
      </c>
      <c r="Z566" t="s">
        <v>1058</v>
      </c>
      <c r="AA566" t="s">
        <v>401</v>
      </c>
      <c r="AE566">
        <v>1</v>
      </c>
      <c r="AF566">
        <v>1</v>
      </c>
      <c r="AG566">
        <v>1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1</v>
      </c>
    </row>
    <row r="567" spans="1:42" x14ac:dyDescent="0.25">
      <c r="A567">
        <v>663</v>
      </c>
      <c r="B567" t="s">
        <v>1169</v>
      </c>
      <c r="C567" t="s">
        <v>1168</v>
      </c>
      <c r="D567" t="s">
        <v>121</v>
      </c>
      <c r="E567" s="4">
        <v>1</v>
      </c>
      <c r="F567" t="s">
        <v>138</v>
      </c>
      <c r="G567" t="s">
        <v>138</v>
      </c>
      <c r="H567" s="3">
        <v>46164</v>
      </c>
      <c r="I567" s="3">
        <v>46171</v>
      </c>
      <c r="J567" t="s">
        <v>741</v>
      </c>
      <c r="K567" s="3">
        <v>46156</v>
      </c>
      <c r="L567" s="3">
        <v>46154</v>
      </c>
      <c r="M567" s="3">
        <v>46171</v>
      </c>
      <c r="N567" s="3">
        <v>46171</v>
      </c>
      <c r="O567" t="s">
        <v>471</v>
      </c>
      <c r="P567" t="s">
        <v>55</v>
      </c>
      <c r="Q567">
        <v>662</v>
      </c>
      <c r="S567" t="s">
        <v>124</v>
      </c>
      <c r="T567" t="s">
        <v>1109</v>
      </c>
      <c r="U567">
        <v>664</v>
      </c>
      <c r="V567" t="s">
        <v>122</v>
      </c>
      <c r="W567">
        <v>13.4</v>
      </c>
      <c r="X567" t="s">
        <v>57</v>
      </c>
      <c r="Z567" t="s">
        <v>124</v>
      </c>
      <c r="AA567" t="s">
        <v>93</v>
      </c>
      <c r="AE567">
        <v>1</v>
      </c>
      <c r="AF567">
        <v>0</v>
      </c>
      <c r="AG567">
        <v>0</v>
      </c>
      <c r="AH567">
        <v>0</v>
      </c>
      <c r="AI567">
        <v>0</v>
      </c>
      <c r="AJ567">
        <v>1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</row>
    <row r="568" spans="1:42" x14ac:dyDescent="0.25">
      <c r="A568">
        <v>664</v>
      </c>
      <c r="B568" t="s">
        <v>1170</v>
      </c>
      <c r="C568" t="s">
        <v>1168</v>
      </c>
      <c r="D568" t="s">
        <v>126</v>
      </c>
      <c r="E568" s="4">
        <v>1</v>
      </c>
      <c r="F568" t="s">
        <v>122</v>
      </c>
      <c r="G568" t="s">
        <v>122</v>
      </c>
      <c r="H568" s="3">
        <v>46174</v>
      </c>
      <c r="I568" s="3">
        <v>46176</v>
      </c>
      <c r="J568" t="s">
        <v>444</v>
      </c>
      <c r="K568" s="3">
        <v>46157</v>
      </c>
      <c r="L568" s="3">
        <v>46157</v>
      </c>
      <c r="M568" s="3">
        <v>46176</v>
      </c>
      <c r="N568" s="3">
        <v>46176</v>
      </c>
      <c r="O568" t="s">
        <v>193</v>
      </c>
      <c r="P568" t="s">
        <v>55</v>
      </c>
      <c r="Q568">
        <v>663</v>
      </c>
      <c r="S568" t="s">
        <v>1058</v>
      </c>
      <c r="T568" t="s">
        <v>1109</v>
      </c>
      <c r="U568">
        <v>665</v>
      </c>
      <c r="V568" t="s">
        <v>61</v>
      </c>
      <c r="W568">
        <v>13.4</v>
      </c>
      <c r="X568" t="s">
        <v>57</v>
      </c>
      <c r="Z568" t="s">
        <v>1058</v>
      </c>
      <c r="AA568" t="s">
        <v>93</v>
      </c>
      <c r="AE568">
        <v>1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1</v>
      </c>
      <c r="AM568">
        <v>0</v>
      </c>
      <c r="AN568">
        <v>0</v>
      </c>
      <c r="AO568">
        <v>0</v>
      </c>
      <c r="AP568">
        <v>0</v>
      </c>
    </row>
    <row r="569" spans="1:42" x14ac:dyDescent="0.25">
      <c r="A569">
        <v>665</v>
      </c>
      <c r="B569" t="s">
        <v>1171</v>
      </c>
      <c r="C569" t="s">
        <v>1168</v>
      </c>
      <c r="D569" t="s">
        <v>133</v>
      </c>
      <c r="E569" s="4">
        <v>1</v>
      </c>
      <c r="F569" t="s">
        <v>61</v>
      </c>
      <c r="G569" t="s">
        <v>61</v>
      </c>
      <c r="H569" s="3">
        <v>46177</v>
      </c>
      <c r="I569" s="3">
        <v>46181</v>
      </c>
      <c r="J569" t="s">
        <v>185</v>
      </c>
      <c r="K569" s="3">
        <v>46160</v>
      </c>
      <c r="L569" s="3">
        <v>46160</v>
      </c>
      <c r="M569" s="3">
        <v>46181</v>
      </c>
      <c r="N569" s="3">
        <v>46181</v>
      </c>
      <c r="O569" t="s">
        <v>1172</v>
      </c>
      <c r="P569" t="s">
        <v>55</v>
      </c>
      <c r="Q569">
        <v>664</v>
      </c>
      <c r="S569" t="s">
        <v>124</v>
      </c>
      <c r="T569" t="s">
        <v>1109</v>
      </c>
      <c r="V569" t="s">
        <v>61</v>
      </c>
      <c r="W569">
        <v>13.4</v>
      </c>
      <c r="X569" t="s">
        <v>57</v>
      </c>
      <c r="Z569" t="s">
        <v>124</v>
      </c>
      <c r="AA569" t="s">
        <v>198</v>
      </c>
      <c r="AE569">
        <v>1</v>
      </c>
      <c r="AF569">
        <v>0</v>
      </c>
      <c r="AG569">
        <v>0</v>
      </c>
      <c r="AH569">
        <v>0</v>
      </c>
      <c r="AI569">
        <v>1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0</v>
      </c>
      <c r="AP569">
        <v>0</v>
      </c>
    </row>
    <row r="570" spans="1:42" x14ac:dyDescent="0.25">
      <c r="A570">
        <v>666</v>
      </c>
      <c r="B570" t="s">
        <v>1173</v>
      </c>
      <c r="C570" t="s">
        <v>1109</v>
      </c>
      <c r="D570" t="s">
        <v>1174</v>
      </c>
      <c r="E570" s="4">
        <v>1</v>
      </c>
      <c r="F570" t="s">
        <v>114</v>
      </c>
      <c r="G570" t="s">
        <v>114</v>
      </c>
      <c r="H570" s="3">
        <v>46156</v>
      </c>
      <c r="I570" s="3">
        <v>46168</v>
      </c>
      <c r="J570" t="s">
        <v>406</v>
      </c>
      <c r="K570" s="3">
        <v>46168</v>
      </c>
      <c r="L570" s="3">
        <v>46156</v>
      </c>
      <c r="M570" s="3">
        <v>46168</v>
      </c>
      <c r="N570" s="3">
        <v>46168</v>
      </c>
      <c r="O570" t="s">
        <v>406</v>
      </c>
      <c r="P570" t="s">
        <v>55</v>
      </c>
      <c r="T570" t="s">
        <v>1109</v>
      </c>
      <c r="V570" t="s">
        <v>151</v>
      </c>
      <c r="W570">
        <v>15.12</v>
      </c>
      <c r="X570" t="s">
        <v>57</v>
      </c>
      <c r="AA570" t="s">
        <v>50</v>
      </c>
      <c r="AB570" t="s">
        <v>94</v>
      </c>
      <c r="AE570">
        <v>1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</row>
    <row r="571" spans="1:42" x14ac:dyDescent="0.25">
      <c r="A571">
        <v>667</v>
      </c>
      <c r="B571" t="s">
        <v>1175</v>
      </c>
      <c r="C571" t="s">
        <v>1176</v>
      </c>
      <c r="D571" t="s">
        <v>117</v>
      </c>
      <c r="E571" s="4">
        <v>1</v>
      </c>
      <c r="F571" t="s">
        <v>138</v>
      </c>
      <c r="G571" t="s">
        <v>138</v>
      </c>
      <c r="H571" s="3">
        <v>46156</v>
      </c>
      <c r="I571" s="3">
        <v>46164</v>
      </c>
      <c r="J571" t="s">
        <v>406</v>
      </c>
      <c r="K571" s="3">
        <v>46164</v>
      </c>
      <c r="L571" s="3">
        <v>46156</v>
      </c>
      <c r="M571" s="3">
        <v>46164</v>
      </c>
      <c r="N571" s="3">
        <v>46164</v>
      </c>
      <c r="O571" t="s">
        <v>406</v>
      </c>
      <c r="P571" t="s">
        <v>55</v>
      </c>
      <c r="Q571" t="s">
        <v>1147</v>
      </c>
      <c r="S571" t="s">
        <v>1058</v>
      </c>
      <c r="T571" t="s">
        <v>1109</v>
      </c>
      <c r="U571">
        <v>668</v>
      </c>
      <c r="V571" t="s">
        <v>138</v>
      </c>
      <c r="W571">
        <v>13.4</v>
      </c>
      <c r="X571" t="s">
        <v>57</v>
      </c>
      <c r="Z571" t="s">
        <v>1058</v>
      </c>
      <c r="AA571" t="s">
        <v>401</v>
      </c>
      <c r="AE571">
        <v>1</v>
      </c>
      <c r="AF571">
        <v>1</v>
      </c>
      <c r="AG571">
        <v>1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1</v>
      </c>
    </row>
    <row r="572" spans="1:42" x14ac:dyDescent="0.25">
      <c r="A572">
        <v>668</v>
      </c>
      <c r="B572" t="s">
        <v>1177</v>
      </c>
      <c r="C572" t="s">
        <v>1176</v>
      </c>
      <c r="D572" t="s">
        <v>121</v>
      </c>
      <c r="E572" s="4">
        <v>1</v>
      </c>
      <c r="F572" t="s">
        <v>61</v>
      </c>
      <c r="G572" t="s">
        <v>61</v>
      </c>
      <c r="H572" s="3">
        <v>46164</v>
      </c>
      <c r="I572" s="3">
        <v>46167</v>
      </c>
      <c r="J572" t="s">
        <v>471</v>
      </c>
      <c r="K572" s="3">
        <v>46167</v>
      </c>
      <c r="L572" s="3">
        <v>46164</v>
      </c>
      <c r="M572" s="3">
        <v>46167</v>
      </c>
      <c r="N572" s="3">
        <v>46167</v>
      </c>
      <c r="O572" t="s">
        <v>471</v>
      </c>
      <c r="P572" t="s">
        <v>55</v>
      </c>
      <c r="Q572">
        <v>667</v>
      </c>
      <c r="S572" t="s">
        <v>124</v>
      </c>
      <c r="T572" t="s">
        <v>1109</v>
      </c>
      <c r="U572">
        <v>669</v>
      </c>
      <c r="V572" t="s">
        <v>122</v>
      </c>
      <c r="W572">
        <v>13.4</v>
      </c>
      <c r="X572" t="s">
        <v>57</v>
      </c>
      <c r="Z572" t="s">
        <v>124</v>
      </c>
      <c r="AA572" t="s">
        <v>93</v>
      </c>
      <c r="AE572">
        <v>1</v>
      </c>
      <c r="AF572">
        <v>0</v>
      </c>
      <c r="AG572">
        <v>0</v>
      </c>
      <c r="AH572">
        <v>0</v>
      </c>
      <c r="AI572">
        <v>0</v>
      </c>
      <c r="AJ572">
        <v>1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</row>
    <row r="573" spans="1:42" x14ac:dyDescent="0.25">
      <c r="A573">
        <v>669</v>
      </c>
      <c r="B573" t="s">
        <v>1178</v>
      </c>
      <c r="C573" t="s">
        <v>1176</v>
      </c>
      <c r="D573" t="s">
        <v>126</v>
      </c>
      <c r="E573" s="4">
        <v>1</v>
      </c>
      <c r="F573" t="s">
        <v>63</v>
      </c>
      <c r="G573" t="s">
        <v>63</v>
      </c>
      <c r="H573" s="3">
        <v>46167</v>
      </c>
      <c r="I573" s="3">
        <v>46167</v>
      </c>
      <c r="J573" t="s">
        <v>74</v>
      </c>
      <c r="K573" s="3">
        <v>46167</v>
      </c>
      <c r="L573" s="3">
        <v>46167</v>
      </c>
      <c r="M573" s="3">
        <v>46167</v>
      </c>
      <c r="N573" s="3">
        <v>46167</v>
      </c>
      <c r="O573" t="s">
        <v>74</v>
      </c>
      <c r="P573" t="s">
        <v>55</v>
      </c>
      <c r="Q573">
        <v>668</v>
      </c>
      <c r="S573" t="s">
        <v>1058</v>
      </c>
      <c r="T573" t="s">
        <v>1109</v>
      </c>
      <c r="U573">
        <v>670</v>
      </c>
      <c r="V573" t="s">
        <v>61</v>
      </c>
      <c r="W573">
        <v>13.4</v>
      </c>
      <c r="X573" t="s">
        <v>57</v>
      </c>
      <c r="Z573" t="s">
        <v>1058</v>
      </c>
      <c r="AA573" t="s">
        <v>93</v>
      </c>
      <c r="AE573">
        <v>1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1</v>
      </c>
      <c r="AM573">
        <v>0</v>
      </c>
      <c r="AN573">
        <v>0</v>
      </c>
      <c r="AO573">
        <v>0</v>
      </c>
      <c r="AP573">
        <v>0</v>
      </c>
    </row>
    <row r="574" spans="1:42" x14ac:dyDescent="0.25">
      <c r="A574">
        <v>670</v>
      </c>
      <c r="B574" t="s">
        <v>1179</v>
      </c>
      <c r="C574" t="s">
        <v>1176</v>
      </c>
      <c r="D574" t="s">
        <v>133</v>
      </c>
      <c r="E574" s="4">
        <v>1</v>
      </c>
      <c r="F574" t="s">
        <v>61</v>
      </c>
      <c r="G574" t="s">
        <v>61</v>
      </c>
      <c r="H574" s="3">
        <v>46168</v>
      </c>
      <c r="I574" s="3">
        <v>46168</v>
      </c>
      <c r="J574" t="s">
        <v>206</v>
      </c>
      <c r="K574" s="3">
        <v>46168</v>
      </c>
      <c r="L574" s="3">
        <v>46168</v>
      </c>
      <c r="M574" s="3">
        <v>46168</v>
      </c>
      <c r="N574" s="3">
        <v>46168</v>
      </c>
      <c r="O574" t="s">
        <v>206</v>
      </c>
      <c r="P574" t="s">
        <v>55</v>
      </c>
      <c r="Q574">
        <v>669</v>
      </c>
      <c r="S574" t="s">
        <v>124</v>
      </c>
      <c r="T574" t="s">
        <v>1109</v>
      </c>
      <c r="V574" t="s">
        <v>61</v>
      </c>
      <c r="W574">
        <v>13.4</v>
      </c>
      <c r="X574" t="s">
        <v>57</v>
      </c>
      <c r="Z574" t="s">
        <v>124</v>
      </c>
      <c r="AA574" t="s">
        <v>198</v>
      </c>
      <c r="AE574">
        <v>1</v>
      </c>
      <c r="AF574">
        <v>0</v>
      </c>
      <c r="AG574">
        <v>0</v>
      </c>
      <c r="AH574">
        <v>0</v>
      </c>
      <c r="AI574">
        <v>1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0</v>
      </c>
      <c r="AP574">
        <v>0</v>
      </c>
    </row>
    <row r="575" spans="1:42" x14ac:dyDescent="0.25">
      <c r="A575">
        <v>671</v>
      </c>
      <c r="B575" t="s">
        <v>1180</v>
      </c>
      <c r="C575" t="s">
        <v>1109</v>
      </c>
      <c r="D575" t="s">
        <v>1181</v>
      </c>
      <c r="E575" s="4">
        <v>1</v>
      </c>
      <c r="F575" t="s">
        <v>330</v>
      </c>
      <c r="G575" t="s">
        <v>330</v>
      </c>
      <c r="H575" s="3">
        <v>46156</v>
      </c>
      <c r="I575" s="3">
        <v>46176</v>
      </c>
      <c r="J575" t="s">
        <v>406</v>
      </c>
      <c r="K575" s="3">
        <v>46176</v>
      </c>
      <c r="L575" s="3">
        <v>46156</v>
      </c>
      <c r="M575" s="3">
        <v>46176</v>
      </c>
      <c r="N575" s="3">
        <v>46176</v>
      </c>
      <c r="O575" t="s">
        <v>406</v>
      </c>
      <c r="P575" t="s">
        <v>55</v>
      </c>
      <c r="T575" t="s">
        <v>1109</v>
      </c>
      <c r="V575" t="s">
        <v>151</v>
      </c>
      <c r="W575">
        <v>15.12</v>
      </c>
      <c r="X575" t="s">
        <v>57</v>
      </c>
      <c r="AA575" t="s">
        <v>50</v>
      </c>
      <c r="AB575" t="s">
        <v>94</v>
      </c>
      <c r="AE575">
        <v>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</row>
    <row r="576" spans="1:42" x14ac:dyDescent="0.25">
      <c r="A576">
        <v>672</v>
      </c>
      <c r="B576" t="s">
        <v>1182</v>
      </c>
      <c r="C576" t="s">
        <v>1183</v>
      </c>
      <c r="D576" t="s">
        <v>117</v>
      </c>
      <c r="E576" s="4">
        <v>1</v>
      </c>
      <c r="F576" t="s">
        <v>138</v>
      </c>
      <c r="G576" t="s">
        <v>138</v>
      </c>
      <c r="H576" s="3">
        <v>46156</v>
      </c>
      <c r="I576" s="3">
        <v>46164</v>
      </c>
      <c r="J576" t="s">
        <v>406</v>
      </c>
      <c r="K576" s="3">
        <v>46164</v>
      </c>
      <c r="L576" s="3">
        <v>46156</v>
      </c>
      <c r="M576" s="3">
        <v>46164</v>
      </c>
      <c r="N576" s="3">
        <v>46164</v>
      </c>
      <c r="O576" t="s">
        <v>406</v>
      </c>
      <c r="P576" t="s">
        <v>55</v>
      </c>
      <c r="Q576" t="s">
        <v>1147</v>
      </c>
      <c r="S576" t="s">
        <v>1058</v>
      </c>
      <c r="T576" t="s">
        <v>1109</v>
      </c>
      <c r="U576">
        <v>673</v>
      </c>
      <c r="V576" t="s">
        <v>138</v>
      </c>
      <c r="W576">
        <v>13.4</v>
      </c>
      <c r="X576" t="s">
        <v>57</v>
      </c>
      <c r="Z576" t="s">
        <v>1058</v>
      </c>
      <c r="AA576" t="s">
        <v>401</v>
      </c>
      <c r="AE576">
        <v>1</v>
      </c>
      <c r="AF576">
        <v>1</v>
      </c>
      <c r="AG576">
        <v>1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1</v>
      </c>
    </row>
    <row r="577" spans="1:42" x14ac:dyDescent="0.25">
      <c r="A577">
        <v>673</v>
      </c>
      <c r="B577" t="s">
        <v>1184</v>
      </c>
      <c r="C577" t="s">
        <v>1183</v>
      </c>
      <c r="D577" t="s">
        <v>121</v>
      </c>
      <c r="E577" s="4">
        <v>1</v>
      </c>
      <c r="F577" t="s">
        <v>61</v>
      </c>
      <c r="G577" t="s">
        <v>61</v>
      </c>
      <c r="H577" s="3">
        <v>46164</v>
      </c>
      <c r="I577" s="3">
        <v>46167</v>
      </c>
      <c r="J577" t="s">
        <v>471</v>
      </c>
      <c r="K577" s="3">
        <v>46167</v>
      </c>
      <c r="L577" s="3">
        <v>46164</v>
      </c>
      <c r="M577" s="3">
        <v>46167</v>
      </c>
      <c r="N577" s="3">
        <v>46167</v>
      </c>
      <c r="O577" t="s">
        <v>471</v>
      </c>
      <c r="P577" t="s">
        <v>55</v>
      </c>
      <c r="Q577">
        <v>672</v>
      </c>
      <c r="S577" t="s">
        <v>124</v>
      </c>
      <c r="T577" t="s">
        <v>1109</v>
      </c>
      <c r="U577">
        <v>674</v>
      </c>
      <c r="V577" t="s">
        <v>122</v>
      </c>
      <c r="W577">
        <v>13.4</v>
      </c>
      <c r="X577" t="s">
        <v>57</v>
      </c>
      <c r="Z577" t="s">
        <v>124</v>
      </c>
      <c r="AA577" t="s">
        <v>93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1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</row>
    <row r="578" spans="1:42" x14ac:dyDescent="0.25">
      <c r="A578">
        <v>674</v>
      </c>
      <c r="B578" t="s">
        <v>1185</v>
      </c>
      <c r="C578" t="s">
        <v>1183</v>
      </c>
      <c r="D578" t="s">
        <v>126</v>
      </c>
      <c r="E578" s="4">
        <v>1</v>
      </c>
      <c r="F578" t="s">
        <v>127</v>
      </c>
      <c r="G578" t="s">
        <v>127</v>
      </c>
      <c r="H578" s="3">
        <v>46167</v>
      </c>
      <c r="I578" s="3">
        <v>46169</v>
      </c>
      <c r="J578" t="s">
        <v>74</v>
      </c>
      <c r="K578" s="3">
        <v>46169</v>
      </c>
      <c r="L578" s="3">
        <v>46167</v>
      </c>
      <c r="M578" s="3">
        <v>46169</v>
      </c>
      <c r="N578" s="3">
        <v>46169</v>
      </c>
      <c r="O578" t="s">
        <v>74</v>
      </c>
      <c r="P578" t="s">
        <v>55</v>
      </c>
      <c r="Q578">
        <v>673</v>
      </c>
      <c r="S578" t="s">
        <v>1058</v>
      </c>
      <c r="T578" t="s">
        <v>1109</v>
      </c>
      <c r="U578">
        <v>675</v>
      </c>
      <c r="V578" t="s">
        <v>61</v>
      </c>
      <c r="W578">
        <v>13.4</v>
      </c>
      <c r="X578" t="s">
        <v>57</v>
      </c>
      <c r="Z578" t="s">
        <v>1058</v>
      </c>
      <c r="AA578" t="s">
        <v>93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1</v>
      </c>
      <c r="AM578">
        <v>0</v>
      </c>
      <c r="AN578">
        <v>0</v>
      </c>
      <c r="AO578">
        <v>0</v>
      </c>
      <c r="AP578">
        <v>0</v>
      </c>
    </row>
    <row r="579" spans="1:42" x14ac:dyDescent="0.25">
      <c r="A579">
        <v>675</v>
      </c>
      <c r="B579" t="s">
        <v>1186</v>
      </c>
      <c r="C579" t="s">
        <v>1183</v>
      </c>
      <c r="D579" t="s">
        <v>133</v>
      </c>
      <c r="E579" s="4">
        <v>1</v>
      </c>
      <c r="F579" t="s">
        <v>138</v>
      </c>
      <c r="G579" t="s">
        <v>138</v>
      </c>
      <c r="H579" s="3">
        <v>46169</v>
      </c>
      <c r="I579" s="3">
        <v>46176</v>
      </c>
      <c r="J579" t="s">
        <v>97</v>
      </c>
      <c r="K579" s="3">
        <v>46176</v>
      </c>
      <c r="L579" s="3">
        <v>46169</v>
      </c>
      <c r="M579" s="3">
        <v>46176</v>
      </c>
      <c r="N579" s="3">
        <v>46176</v>
      </c>
      <c r="O579" t="s">
        <v>97</v>
      </c>
      <c r="P579" t="s">
        <v>55</v>
      </c>
      <c r="Q579">
        <v>674</v>
      </c>
      <c r="S579" t="s">
        <v>124</v>
      </c>
      <c r="T579" t="s">
        <v>1109</v>
      </c>
      <c r="V579" t="s">
        <v>61</v>
      </c>
      <c r="W579">
        <v>13.4</v>
      </c>
      <c r="X579" t="s">
        <v>57</v>
      </c>
      <c r="Z579" t="s">
        <v>124</v>
      </c>
      <c r="AA579" t="s">
        <v>198</v>
      </c>
      <c r="AE579">
        <v>1</v>
      </c>
      <c r="AF579">
        <v>0</v>
      </c>
      <c r="AG579">
        <v>0</v>
      </c>
      <c r="AH579">
        <v>0</v>
      </c>
      <c r="AI579">
        <v>1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0</v>
      </c>
      <c r="AP579">
        <v>0</v>
      </c>
    </row>
    <row r="580" spans="1:42" x14ac:dyDescent="0.25">
      <c r="A580">
        <v>676</v>
      </c>
      <c r="B580" t="s">
        <v>1187</v>
      </c>
      <c r="C580" t="s">
        <v>1109</v>
      </c>
      <c r="D580" t="s">
        <v>1188</v>
      </c>
      <c r="E580" s="4">
        <v>1</v>
      </c>
      <c r="F580" t="s">
        <v>330</v>
      </c>
      <c r="G580" t="s">
        <v>330</v>
      </c>
      <c r="H580" s="3">
        <v>46156</v>
      </c>
      <c r="I580" s="3">
        <v>46176</v>
      </c>
      <c r="J580" t="s">
        <v>406</v>
      </c>
      <c r="K580" s="3">
        <v>46176</v>
      </c>
      <c r="L580" s="3">
        <v>46156</v>
      </c>
      <c r="M580" s="3">
        <v>46176</v>
      </c>
      <c r="N580" s="3">
        <v>46176</v>
      </c>
      <c r="O580" t="s">
        <v>406</v>
      </c>
      <c r="P580" t="s">
        <v>55</v>
      </c>
      <c r="T580" t="s">
        <v>1109</v>
      </c>
      <c r="V580" t="s">
        <v>151</v>
      </c>
      <c r="W580">
        <v>15.12</v>
      </c>
      <c r="X580" t="s">
        <v>57</v>
      </c>
      <c r="AA580" t="s">
        <v>50</v>
      </c>
      <c r="AB580" t="s">
        <v>94</v>
      </c>
      <c r="AE580">
        <v>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</row>
    <row r="581" spans="1:42" x14ac:dyDescent="0.25">
      <c r="A581">
        <v>677</v>
      </c>
      <c r="B581" t="s">
        <v>1189</v>
      </c>
      <c r="C581" t="s">
        <v>1190</v>
      </c>
      <c r="D581" t="s">
        <v>117</v>
      </c>
      <c r="E581" s="4">
        <v>1</v>
      </c>
      <c r="F581" t="s">
        <v>101</v>
      </c>
      <c r="G581" t="s">
        <v>101</v>
      </c>
      <c r="H581" s="3">
        <v>46156</v>
      </c>
      <c r="I581" s="3">
        <v>46164</v>
      </c>
      <c r="J581" t="s">
        <v>406</v>
      </c>
      <c r="K581" s="3">
        <v>46164</v>
      </c>
      <c r="L581" s="3">
        <v>46156</v>
      </c>
      <c r="M581" s="3">
        <v>46164</v>
      </c>
      <c r="N581" s="3">
        <v>46164</v>
      </c>
      <c r="O581" t="s">
        <v>406</v>
      </c>
      <c r="P581" t="s">
        <v>55</v>
      </c>
      <c r="Q581" t="s">
        <v>1147</v>
      </c>
      <c r="S581" t="s">
        <v>1058</v>
      </c>
      <c r="T581" t="s">
        <v>1109</v>
      </c>
      <c r="U581">
        <v>678</v>
      </c>
      <c r="V581" t="s">
        <v>138</v>
      </c>
      <c r="W581">
        <v>13.4</v>
      </c>
      <c r="X581" t="s">
        <v>57</v>
      </c>
      <c r="Z581" t="s">
        <v>1058</v>
      </c>
      <c r="AA581" t="s">
        <v>401</v>
      </c>
      <c r="AE581">
        <v>1</v>
      </c>
      <c r="AF581">
        <v>1</v>
      </c>
      <c r="AG581">
        <v>1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1</v>
      </c>
    </row>
    <row r="582" spans="1:42" x14ac:dyDescent="0.25">
      <c r="A582">
        <v>678</v>
      </c>
      <c r="B582" t="s">
        <v>1191</v>
      </c>
      <c r="C582" t="s">
        <v>1190</v>
      </c>
      <c r="D582" t="s">
        <v>121</v>
      </c>
      <c r="E582" s="4">
        <v>1</v>
      </c>
      <c r="F582" t="s">
        <v>61</v>
      </c>
      <c r="G582" t="s">
        <v>61</v>
      </c>
      <c r="H582" s="3">
        <v>46164</v>
      </c>
      <c r="I582" s="3">
        <v>46167</v>
      </c>
      <c r="J582" t="s">
        <v>471</v>
      </c>
      <c r="K582" s="3">
        <v>46167</v>
      </c>
      <c r="L582" s="3">
        <v>46164</v>
      </c>
      <c r="M582" s="3">
        <v>46167</v>
      </c>
      <c r="N582" s="3">
        <v>46167</v>
      </c>
      <c r="O582" t="s">
        <v>471</v>
      </c>
      <c r="P582" t="s">
        <v>55</v>
      </c>
      <c r="Q582">
        <v>677</v>
      </c>
      <c r="S582" t="s">
        <v>124</v>
      </c>
      <c r="T582" t="s">
        <v>1109</v>
      </c>
      <c r="U582">
        <v>679</v>
      </c>
      <c r="V582" t="s">
        <v>122</v>
      </c>
      <c r="W582">
        <v>13.4</v>
      </c>
      <c r="X582" t="s">
        <v>57</v>
      </c>
      <c r="Z582" t="s">
        <v>124</v>
      </c>
      <c r="AA582" t="s">
        <v>93</v>
      </c>
      <c r="AE582">
        <v>1</v>
      </c>
      <c r="AF582">
        <v>0</v>
      </c>
      <c r="AG582">
        <v>0</v>
      </c>
      <c r="AH582">
        <v>0</v>
      </c>
      <c r="AI582">
        <v>0</v>
      </c>
      <c r="AJ582">
        <v>1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</row>
    <row r="583" spans="1:42" x14ac:dyDescent="0.25">
      <c r="A583">
        <v>679</v>
      </c>
      <c r="B583" t="s">
        <v>1192</v>
      </c>
      <c r="C583" t="s">
        <v>1190</v>
      </c>
      <c r="D583" t="s">
        <v>126</v>
      </c>
      <c r="E583" s="4">
        <v>1</v>
      </c>
      <c r="F583" t="s">
        <v>122</v>
      </c>
      <c r="G583" t="s">
        <v>122</v>
      </c>
      <c r="H583" s="3">
        <v>46167</v>
      </c>
      <c r="I583" s="3">
        <v>46170</v>
      </c>
      <c r="J583" t="s">
        <v>74</v>
      </c>
      <c r="K583" s="3">
        <v>46170</v>
      </c>
      <c r="L583" s="3">
        <v>46167</v>
      </c>
      <c r="M583" s="3">
        <v>46170</v>
      </c>
      <c r="N583" s="3">
        <v>46170</v>
      </c>
      <c r="O583" t="s">
        <v>74</v>
      </c>
      <c r="P583" t="s">
        <v>55</v>
      </c>
      <c r="Q583">
        <v>678</v>
      </c>
      <c r="S583" t="s">
        <v>1058</v>
      </c>
      <c r="T583" t="s">
        <v>1109</v>
      </c>
      <c r="U583">
        <v>680</v>
      </c>
      <c r="V583" t="s">
        <v>61</v>
      </c>
      <c r="W583">
        <v>13.4</v>
      </c>
      <c r="X583" t="s">
        <v>57</v>
      </c>
      <c r="Z583" t="s">
        <v>1058</v>
      </c>
      <c r="AA583" t="s">
        <v>93</v>
      </c>
      <c r="AE583">
        <v>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1</v>
      </c>
      <c r="AM583">
        <v>0</v>
      </c>
      <c r="AN583">
        <v>0</v>
      </c>
      <c r="AO583">
        <v>0</v>
      </c>
      <c r="AP583">
        <v>0</v>
      </c>
    </row>
    <row r="584" spans="1:42" x14ac:dyDescent="0.25">
      <c r="A584">
        <v>680</v>
      </c>
      <c r="B584" t="s">
        <v>1193</v>
      </c>
      <c r="C584" t="s">
        <v>1190</v>
      </c>
      <c r="D584" t="s">
        <v>133</v>
      </c>
      <c r="E584" s="4">
        <v>1</v>
      </c>
      <c r="F584" t="s">
        <v>1194</v>
      </c>
      <c r="G584" t="s">
        <v>1194</v>
      </c>
      <c r="H584" s="3">
        <v>46170</v>
      </c>
      <c r="I584" s="3">
        <v>46176</v>
      </c>
      <c r="J584" t="s">
        <v>448</v>
      </c>
      <c r="K584" s="3">
        <v>46176</v>
      </c>
      <c r="L584" s="3">
        <v>46170</v>
      </c>
      <c r="M584" s="3">
        <v>46176</v>
      </c>
      <c r="N584" s="3">
        <v>46176</v>
      </c>
      <c r="O584" t="s">
        <v>448</v>
      </c>
      <c r="P584" t="s">
        <v>55</v>
      </c>
      <c r="Q584">
        <v>679</v>
      </c>
      <c r="S584" t="s">
        <v>124</v>
      </c>
      <c r="T584" t="s">
        <v>1109</v>
      </c>
      <c r="V584" t="s">
        <v>61</v>
      </c>
      <c r="W584">
        <v>13.4</v>
      </c>
      <c r="X584" t="s">
        <v>57</v>
      </c>
      <c r="Z584" t="s">
        <v>124</v>
      </c>
      <c r="AA584" t="s">
        <v>198</v>
      </c>
      <c r="AE584">
        <v>1</v>
      </c>
      <c r="AF584">
        <v>0</v>
      </c>
      <c r="AG584">
        <v>0</v>
      </c>
      <c r="AH584">
        <v>0</v>
      </c>
      <c r="AI584">
        <v>1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0</v>
      </c>
      <c r="AP584">
        <v>0</v>
      </c>
    </row>
    <row r="585" spans="1:42" x14ac:dyDescent="0.25">
      <c r="A585">
        <v>681</v>
      </c>
      <c r="B585" t="s">
        <v>1195</v>
      </c>
      <c r="C585" t="s">
        <v>1109</v>
      </c>
      <c r="D585" t="s">
        <v>1196</v>
      </c>
      <c r="E585" s="4">
        <v>1</v>
      </c>
      <c r="F585" t="s">
        <v>295</v>
      </c>
      <c r="G585" t="s">
        <v>295</v>
      </c>
      <c r="H585" s="3">
        <v>46149</v>
      </c>
      <c r="I585" s="3">
        <v>46170</v>
      </c>
      <c r="J585" t="s">
        <v>183</v>
      </c>
      <c r="K585" s="3">
        <v>46160</v>
      </c>
      <c r="L585" s="3">
        <v>46147</v>
      </c>
      <c r="M585" s="3">
        <v>46170</v>
      </c>
      <c r="N585" s="3">
        <v>46170</v>
      </c>
      <c r="O585" t="s">
        <v>416</v>
      </c>
      <c r="P585" t="s">
        <v>55</v>
      </c>
      <c r="T585" t="s">
        <v>1109</v>
      </c>
      <c r="V585" t="s">
        <v>151</v>
      </c>
      <c r="W585">
        <v>15.12</v>
      </c>
      <c r="X585" t="s">
        <v>57</v>
      </c>
      <c r="AA585" t="s">
        <v>50</v>
      </c>
      <c r="AE585">
        <v>1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</row>
    <row r="586" spans="1:42" x14ac:dyDescent="0.25">
      <c r="A586">
        <v>682</v>
      </c>
      <c r="B586" t="s">
        <v>1197</v>
      </c>
      <c r="C586" t="s">
        <v>1198</v>
      </c>
      <c r="D586" t="s">
        <v>117</v>
      </c>
      <c r="E586" s="4">
        <v>1</v>
      </c>
      <c r="F586" t="s">
        <v>101</v>
      </c>
      <c r="G586" t="s">
        <v>101</v>
      </c>
      <c r="H586" s="3">
        <v>46149</v>
      </c>
      <c r="I586" s="3">
        <v>46155</v>
      </c>
      <c r="J586" t="s">
        <v>183</v>
      </c>
      <c r="K586" s="3">
        <v>46153</v>
      </c>
      <c r="L586" s="3">
        <v>46147</v>
      </c>
      <c r="M586" s="3">
        <v>46155</v>
      </c>
      <c r="N586" s="3">
        <v>46155</v>
      </c>
      <c r="O586" t="s">
        <v>416</v>
      </c>
      <c r="P586" t="s">
        <v>55</v>
      </c>
      <c r="Q586" t="s">
        <v>1147</v>
      </c>
      <c r="S586" t="s">
        <v>1058</v>
      </c>
      <c r="T586" t="s">
        <v>1109</v>
      </c>
      <c r="U586">
        <v>683</v>
      </c>
      <c r="V586" t="s">
        <v>138</v>
      </c>
      <c r="W586">
        <v>13.4</v>
      </c>
      <c r="X586" t="s">
        <v>57</v>
      </c>
      <c r="Z586" t="s">
        <v>1058</v>
      </c>
      <c r="AA586" t="s">
        <v>401</v>
      </c>
      <c r="AE586">
        <v>1</v>
      </c>
      <c r="AF586">
        <v>1</v>
      </c>
      <c r="AG586">
        <v>1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1</v>
      </c>
    </row>
    <row r="587" spans="1:42" x14ac:dyDescent="0.25">
      <c r="A587">
        <v>683</v>
      </c>
      <c r="B587" t="s">
        <v>1199</v>
      </c>
      <c r="C587" t="s">
        <v>1198</v>
      </c>
      <c r="D587" t="s">
        <v>121</v>
      </c>
      <c r="E587" s="4">
        <v>1</v>
      </c>
      <c r="F587" t="s">
        <v>127</v>
      </c>
      <c r="G587" t="s">
        <v>127</v>
      </c>
      <c r="H587" s="3">
        <v>46156</v>
      </c>
      <c r="I587" s="3">
        <v>46157</v>
      </c>
      <c r="J587" t="s">
        <v>741</v>
      </c>
      <c r="K587" s="3">
        <v>46156</v>
      </c>
      <c r="L587" s="3">
        <v>46154</v>
      </c>
      <c r="M587" s="3">
        <v>46157</v>
      </c>
      <c r="N587" s="3">
        <v>46157</v>
      </c>
      <c r="O587" t="s">
        <v>406</v>
      </c>
      <c r="P587" t="s">
        <v>55</v>
      </c>
      <c r="Q587">
        <v>682</v>
      </c>
      <c r="S587" t="s">
        <v>124</v>
      </c>
      <c r="T587" t="s">
        <v>1109</v>
      </c>
      <c r="U587">
        <v>684</v>
      </c>
      <c r="V587" t="s">
        <v>122</v>
      </c>
      <c r="W587">
        <v>13.4</v>
      </c>
      <c r="X587" t="s">
        <v>57</v>
      </c>
      <c r="Z587" t="s">
        <v>124</v>
      </c>
      <c r="AA587" t="s">
        <v>93</v>
      </c>
      <c r="AE587">
        <v>1</v>
      </c>
      <c r="AF587">
        <v>0</v>
      </c>
      <c r="AG587">
        <v>0</v>
      </c>
      <c r="AH587">
        <v>0</v>
      </c>
      <c r="AI587">
        <v>0</v>
      </c>
      <c r="AJ587">
        <v>1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</row>
    <row r="588" spans="1:42" x14ac:dyDescent="0.25">
      <c r="A588">
        <v>684</v>
      </c>
      <c r="B588" t="s">
        <v>1200</v>
      </c>
      <c r="C588" t="s">
        <v>1198</v>
      </c>
      <c r="D588" t="s">
        <v>126</v>
      </c>
      <c r="E588" s="4">
        <v>1</v>
      </c>
      <c r="F588" t="s">
        <v>138</v>
      </c>
      <c r="G588" t="s">
        <v>138</v>
      </c>
      <c r="H588" s="3">
        <v>46157</v>
      </c>
      <c r="I588" s="3">
        <v>46164</v>
      </c>
      <c r="J588" t="s">
        <v>444</v>
      </c>
      <c r="K588" s="3">
        <v>46157</v>
      </c>
      <c r="L588" s="3">
        <v>46157</v>
      </c>
      <c r="M588" s="3">
        <v>46164</v>
      </c>
      <c r="N588" s="3">
        <v>46164</v>
      </c>
      <c r="O588" t="s">
        <v>444</v>
      </c>
      <c r="P588" t="s">
        <v>55</v>
      </c>
      <c r="Q588">
        <v>683</v>
      </c>
      <c r="S588" t="s">
        <v>1058</v>
      </c>
      <c r="T588" t="s">
        <v>1109</v>
      </c>
      <c r="U588">
        <v>685</v>
      </c>
      <c r="V588" t="s">
        <v>61</v>
      </c>
      <c r="W588">
        <v>13.4</v>
      </c>
      <c r="X588" t="s">
        <v>57</v>
      </c>
      <c r="Z588" t="s">
        <v>1058</v>
      </c>
      <c r="AA588" t="s">
        <v>93</v>
      </c>
      <c r="AE588">
        <v>1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1</v>
      </c>
      <c r="AM588">
        <v>0</v>
      </c>
      <c r="AN588">
        <v>0</v>
      </c>
      <c r="AO588">
        <v>0</v>
      </c>
      <c r="AP588">
        <v>0</v>
      </c>
    </row>
    <row r="589" spans="1:42" x14ac:dyDescent="0.25">
      <c r="A589">
        <v>685</v>
      </c>
      <c r="B589" t="s">
        <v>1201</v>
      </c>
      <c r="C589" t="s">
        <v>1198</v>
      </c>
      <c r="D589" t="s">
        <v>133</v>
      </c>
      <c r="E589" s="4">
        <v>1</v>
      </c>
      <c r="F589" t="s">
        <v>1194</v>
      </c>
      <c r="G589" t="s">
        <v>1194</v>
      </c>
      <c r="H589" s="3">
        <v>46161</v>
      </c>
      <c r="I589" s="3">
        <v>46170</v>
      </c>
      <c r="J589" t="s">
        <v>185</v>
      </c>
      <c r="K589" s="3">
        <v>46160</v>
      </c>
      <c r="L589" s="3">
        <v>46160</v>
      </c>
      <c r="M589" s="3">
        <v>46170</v>
      </c>
      <c r="N589" s="3">
        <v>46170</v>
      </c>
      <c r="O589" t="s">
        <v>90</v>
      </c>
      <c r="P589" t="s">
        <v>55</v>
      </c>
      <c r="Q589">
        <v>684</v>
      </c>
      <c r="S589" t="s">
        <v>124</v>
      </c>
      <c r="T589" t="s">
        <v>1109</v>
      </c>
      <c r="V589" t="s">
        <v>61</v>
      </c>
      <c r="W589">
        <v>13.4</v>
      </c>
      <c r="X589" t="s">
        <v>57</v>
      </c>
      <c r="Z589" t="s">
        <v>124</v>
      </c>
      <c r="AA589" t="s">
        <v>198</v>
      </c>
      <c r="AE589">
        <v>1</v>
      </c>
      <c r="AF589">
        <v>0</v>
      </c>
      <c r="AG589">
        <v>0</v>
      </c>
      <c r="AH589">
        <v>0</v>
      </c>
      <c r="AI589">
        <v>1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0</v>
      </c>
      <c r="AP589">
        <v>0</v>
      </c>
    </row>
    <row r="590" spans="1:42" x14ac:dyDescent="0.25">
      <c r="A590">
        <v>686</v>
      </c>
      <c r="B590" t="s">
        <v>1202</v>
      </c>
      <c r="C590" t="s">
        <v>1109</v>
      </c>
      <c r="D590" t="s">
        <v>1203</v>
      </c>
      <c r="E590" s="4">
        <v>1</v>
      </c>
      <c r="F590" t="s">
        <v>613</v>
      </c>
      <c r="G590" t="s">
        <v>613</v>
      </c>
      <c r="H590" s="3">
        <v>46161</v>
      </c>
      <c r="I590" s="3">
        <v>46195</v>
      </c>
      <c r="J590" t="s">
        <v>183</v>
      </c>
      <c r="K590" s="3">
        <v>46160</v>
      </c>
      <c r="L590" s="3">
        <v>46147</v>
      </c>
      <c r="M590" s="3">
        <v>46195</v>
      </c>
      <c r="N590" s="3">
        <v>46195</v>
      </c>
      <c r="O590" t="s">
        <v>90</v>
      </c>
      <c r="P590" t="s">
        <v>55</v>
      </c>
      <c r="T590" t="s">
        <v>1109</v>
      </c>
      <c r="V590" t="s">
        <v>151</v>
      </c>
      <c r="W590">
        <v>15.12</v>
      </c>
      <c r="X590" t="s">
        <v>57</v>
      </c>
      <c r="AA590" t="s">
        <v>50</v>
      </c>
      <c r="AE590">
        <v>1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</row>
    <row r="591" spans="1:42" x14ac:dyDescent="0.25">
      <c r="A591">
        <v>687</v>
      </c>
      <c r="B591" t="s">
        <v>1204</v>
      </c>
      <c r="C591" t="s">
        <v>1205</v>
      </c>
      <c r="D591" t="s">
        <v>117</v>
      </c>
      <c r="E591" s="4">
        <v>1</v>
      </c>
      <c r="F591" t="s">
        <v>539</v>
      </c>
      <c r="G591" t="s">
        <v>539</v>
      </c>
      <c r="H591" s="3">
        <v>46161</v>
      </c>
      <c r="I591" s="3">
        <v>46162</v>
      </c>
      <c r="J591" t="s">
        <v>183</v>
      </c>
      <c r="K591" s="3">
        <v>46153</v>
      </c>
      <c r="L591" s="3">
        <v>46147</v>
      </c>
      <c r="M591" s="3">
        <v>46162</v>
      </c>
      <c r="N591" s="3">
        <v>46162</v>
      </c>
      <c r="O591" t="s">
        <v>90</v>
      </c>
      <c r="P591" t="s">
        <v>55</v>
      </c>
      <c r="Q591" t="s">
        <v>1147</v>
      </c>
      <c r="S591" t="s">
        <v>1058</v>
      </c>
      <c r="T591" t="s">
        <v>1109</v>
      </c>
      <c r="U591">
        <v>688</v>
      </c>
      <c r="V591" t="s">
        <v>138</v>
      </c>
      <c r="W591">
        <v>13.4</v>
      </c>
      <c r="X591" t="s">
        <v>57</v>
      </c>
      <c r="Z591" t="s">
        <v>1058</v>
      </c>
      <c r="AA591" t="s">
        <v>401</v>
      </c>
      <c r="AE591">
        <v>1</v>
      </c>
      <c r="AF591">
        <v>1</v>
      </c>
      <c r="AG591">
        <v>1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1</v>
      </c>
    </row>
    <row r="592" spans="1:42" x14ac:dyDescent="0.25">
      <c r="A592">
        <v>688</v>
      </c>
      <c r="B592" t="s">
        <v>1206</v>
      </c>
      <c r="C592" t="s">
        <v>1205</v>
      </c>
      <c r="D592" t="s">
        <v>121</v>
      </c>
      <c r="E592" s="4">
        <v>1</v>
      </c>
      <c r="F592" t="s">
        <v>122</v>
      </c>
      <c r="G592" t="s">
        <v>122</v>
      </c>
      <c r="H592" s="3">
        <v>46162</v>
      </c>
      <c r="I592" s="3">
        <v>46167</v>
      </c>
      <c r="J592" t="s">
        <v>741</v>
      </c>
      <c r="K592" s="3">
        <v>46156</v>
      </c>
      <c r="L592" s="3">
        <v>46154</v>
      </c>
      <c r="M592" s="3">
        <v>46167</v>
      </c>
      <c r="N592" s="3">
        <v>46167</v>
      </c>
      <c r="O592" t="s">
        <v>200</v>
      </c>
      <c r="P592" t="s">
        <v>55</v>
      </c>
      <c r="Q592">
        <v>687</v>
      </c>
      <c r="S592" t="s">
        <v>124</v>
      </c>
      <c r="T592" t="s">
        <v>1109</v>
      </c>
      <c r="U592">
        <v>689</v>
      </c>
      <c r="V592" t="s">
        <v>122</v>
      </c>
      <c r="W592">
        <v>13.4</v>
      </c>
      <c r="X592" t="s">
        <v>57</v>
      </c>
      <c r="Z592" t="s">
        <v>124</v>
      </c>
      <c r="AA592" t="s">
        <v>93</v>
      </c>
      <c r="AE592">
        <v>1</v>
      </c>
      <c r="AF592">
        <v>0</v>
      </c>
      <c r="AG592">
        <v>0</v>
      </c>
      <c r="AH592">
        <v>0</v>
      </c>
      <c r="AI592">
        <v>0</v>
      </c>
      <c r="AJ592">
        <v>1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</row>
    <row r="593" spans="1:42" x14ac:dyDescent="0.25">
      <c r="A593">
        <v>689</v>
      </c>
      <c r="B593" t="s">
        <v>1207</v>
      </c>
      <c r="C593" t="s">
        <v>1205</v>
      </c>
      <c r="D593" t="s">
        <v>126</v>
      </c>
      <c r="E593" s="4">
        <v>1</v>
      </c>
      <c r="F593" t="s">
        <v>61</v>
      </c>
      <c r="G593" t="s">
        <v>61</v>
      </c>
      <c r="H593" s="3">
        <v>46167</v>
      </c>
      <c r="I593" s="3">
        <v>46168</v>
      </c>
      <c r="J593" t="s">
        <v>444</v>
      </c>
      <c r="K593" s="3">
        <v>46157</v>
      </c>
      <c r="L593" s="3">
        <v>46157</v>
      </c>
      <c r="M593" s="3">
        <v>46168</v>
      </c>
      <c r="N593" s="3">
        <v>46168</v>
      </c>
      <c r="O593" t="s">
        <v>74</v>
      </c>
      <c r="P593" t="s">
        <v>55</v>
      </c>
      <c r="Q593">
        <v>688</v>
      </c>
      <c r="S593" t="s">
        <v>1058</v>
      </c>
      <c r="T593" t="s">
        <v>1109</v>
      </c>
      <c r="U593">
        <v>690</v>
      </c>
      <c r="V593" t="s">
        <v>61</v>
      </c>
      <c r="W593">
        <v>13.4</v>
      </c>
      <c r="X593" t="s">
        <v>57</v>
      </c>
      <c r="Z593" t="s">
        <v>1058</v>
      </c>
      <c r="AA593" t="s">
        <v>93</v>
      </c>
      <c r="AE593">
        <v>1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1</v>
      </c>
      <c r="AM593">
        <v>0</v>
      </c>
      <c r="AN593">
        <v>0</v>
      </c>
      <c r="AO593">
        <v>0</v>
      </c>
      <c r="AP593">
        <v>0</v>
      </c>
    </row>
    <row r="594" spans="1:42" x14ac:dyDescent="0.25">
      <c r="A594">
        <v>690</v>
      </c>
      <c r="B594" t="s">
        <v>1208</v>
      </c>
      <c r="C594" t="s">
        <v>1205</v>
      </c>
      <c r="D594" t="s">
        <v>133</v>
      </c>
      <c r="E594" s="4">
        <v>1</v>
      </c>
      <c r="F594" t="s">
        <v>1209</v>
      </c>
      <c r="G594" t="s">
        <v>1209</v>
      </c>
      <c r="H594" s="3">
        <v>46168</v>
      </c>
      <c r="I594" s="3">
        <v>46195</v>
      </c>
      <c r="J594" t="s">
        <v>185</v>
      </c>
      <c r="K594" s="3">
        <v>46160</v>
      </c>
      <c r="L594" s="3">
        <v>46160</v>
      </c>
      <c r="M594" s="3">
        <v>46195</v>
      </c>
      <c r="N594" s="3">
        <v>46195</v>
      </c>
      <c r="O594" t="s">
        <v>206</v>
      </c>
      <c r="P594" t="s">
        <v>55</v>
      </c>
      <c r="Q594">
        <v>689</v>
      </c>
      <c r="S594" t="s">
        <v>124</v>
      </c>
      <c r="T594" t="s">
        <v>1109</v>
      </c>
      <c r="V594" t="s">
        <v>61</v>
      </c>
      <c r="W594">
        <v>13.4</v>
      </c>
      <c r="X594" t="s">
        <v>57</v>
      </c>
      <c r="Z594" t="s">
        <v>124</v>
      </c>
      <c r="AA594" t="s">
        <v>198</v>
      </c>
      <c r="AE594">
        <v>1</v>
      </c>
      <c r="AF594">
        <v>0</v>
      </c>
      <c r="AG594">
        <v>0</v>
      </c>
      <c r="AH594">
        <v>0</v>
      </c>
      <c r="AI594">
        <v>1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0</v>
      </c>
      <c r="AP594">
        <v>0</v>
      </c>
    </row>
    <row r="595" spans="1:42" x14ac:dyDescent="0.25">
      <c r="A595">
        <v>701</v>
      </c>
      <c r="B595" t="s">
        <v>1210</v>
      </c>
      <c r="C595" t="s">
        <v>1109</v>
      </c>
      <c r="D595" t="s">
        <v>1211</v>
      </c>
      <c r="E595" s="4">
        <v>1</v>
      </c>
      <c r="F595" t="s">
        <v>295</v>
      </c>
      <c r="G595" t="s">
        <v>295</v>
      </c>
      <c r="H595" s="3">
        <v>46156</v>
      </c>
      <c r="I595" s="3">
        <v>46181</v>
      </c>
      <c r="J595" t="s">
        <v>183</v>
      </c>
      <c r="K595" s="3">
        <v>46160</v>
      </c>
      <c r="L595" s="3">
        <v>46147</v>
      </c>
      <c r="M595" s="3">
        <v>46181</v>
      </c>
      <c r="N595" s="3">
        <v>46181</v>
      </c>
      <c r="O595" t="s">
        <v>406</v>
      </c>
      <c r="P595" t="s">
        <v>55</v>
      </c>
      <c r="T595" t="s">
        <v>1109</v>
      </c>
      <c r="V595" t="s">
        <v>151</v>
      </c>
      <c r="W595">
        <v>15.12</v>
      </c>
      <c r="X595" t="s">
        <v>57</v>
      </c>
      <c r="AA595" t="s">
        <v>50</v>
      </c>
      <c r="AE595">
        <v>1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</row>
    <row r="596" spans="1:42" x14ac:dyDescent="0.25">
      <c r="A596">
        <v>702</v>
      </c>
      <c r="B596" t="s">
        <v>1212</v>
      </c>
      <c r="C596" t="s">
        <v>1213</v>
      </c>
      <c r="D596" t="s">
        <v>117</v>
      </c>
      <c r="E596" s="4">
        <v>1</v>
      </c>
      <c r="F596" t="s">
        <v>175</v>
      </c>
      <c r="G596" t="s">
        <v>175</v>
      </c>
      <c r="H596" s="3">
        <v>46156</v>
      </c>
      <c r="I596" s="3">
        <v>46164</v>
      </c>
      <c r="J596" t="s">
        <v>183</v>
      </c>
      <c r="K596" s="3">
        <v>46153</v>
      </c>
      <c r="L596" s="3">
        <v>46147</v>
      </c>
      <c r="M596" s="3">
        <v>46164</v>
      </c>
      <c r="N596" s="3">
        <v>46164</v>
      </c>
      <c r="O596" t="s">
        <v>406</v>
      </c>
      <c r="P596" t="s">
        <v>55</v>
      </c>
      <c r="Q596" t="s">
        <v>1147</v>
      </c>
      <c r="S596" t="s">
        <v>1058</v>
      </c>
      <c r="T596" t="s">
        <v>1109</v>
      </c>
      <c r="U596">
        <v>703</v>
      </c>
      <c r="V596" t="s">
        <v>138</v>
      </c>
      <c r="W596">
        <v>13.4</v>
      </c>
      <c r="X596" t="s">
        <v>57</v>
      </c>
      <c r="Z596" t="s">
        <v>1058</v>
      </c>
      <c r="AA596" t="s">
        <v>401</v>
      </c>
      <c r="AE596">
        <v>1</v>
      </c>
      <c r="AF596">
        <v>1</v>
      </c>
      <c r="AG596">
        <v>1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1</v>
      </c>
    </row>
    <row r="597" spans="1:42" x14ac:dyDescent="0.25">
      <c r="A597">
        <v>703</v>
      </c>
      <c r="B597" t="s">
        <v>1214</v>
      </c>
      <c r="C597" t="s">
        <v>1213</v>
      </c>
      <c r="D597" t="s">
        <v>121</v>
      </c>
      <c r="E597" s="4">
        <v>1</v>
      </c>
      <c r="F597" t="s">
        <v>63</v>
      </c>
      <c r="G597" t="s">
        <v>63</v>
      </c>
      <c r="H597" s="3">
        <v>46163</v>
      </c>
      <c r="I597" s="3">
        <v>46164</v>
      </c>
      <c r="J597" t="s">
        <v>741</v>
      </c>
      <c r="K597" s="3">
        <v>46156</v>
      </c>
      <c r="L597" s="3">
        <v>46154</v>
      </c>
      <c r="M597" s="3">
        <v>46164</v>
      </c>
      <c r="N597" s="3">
        <v>46164</v>
      </c>
      <c r="O597" t="s">
        <v>491</v>
      </c>
      <c r="P597" t="s">
        <v>55</v>
      </c>
      <c r="Q597">
        <v>702</v>
      </c>
      <c r="S597" t="s">
        <v>124</v>
      </c>
      <c r="T597" t="s">
        <v>1109</v>
      </c>
      <c r="U597">
        <v>704</v>
      </c>
      <c r="V597" t="s">
        <v>122</v>
      </c>
      <c r="W597">
        <v>13.4</v>
      </c>
      <c r="X597" t="s">
        <v>57</v>
      </c>
      <c r="Z597" t="s">
        <v>124</v>
      </c>
      <c r="AA597" t="s">
        <v>93</v>
      </c>
      <c r="AE597">
        <v>1</v>
      </c>
      <c r="AF597">
        <v>0</v>
      </c>
      <c r="AG597">
        <v>0</v>
      </c>
      <c r="AH597">
        <v>0</v>
      </c>
      <c r="AI597">
        <v>0</v>
      </c>
      <c r="AJ597">
        <v>1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</row>
    <row r="598" spans="1:42" x14ac:dyDescent="0.25">
      <c r="A598">
        <v>704</v>
      </c>
      <c r="B598" t="s">
        <v>1215</v>
      </c>
      <c r="C598" t="s">
        <v>1213</v>
      </c>
      <c r="D598" t="s">
        <v>126</v>
      </c>
      <c r="E598" s="4">
        <v>1</v>
      </c>
      <c r="F598" t="s">
        <v>214</v>
      </c>
      <c r="G598" t="s">
        <v>214</v>
      </c>
      <c r="H598" s="3">
        <v>46167</v>
      </c>
      <c r="I598" s="3">
        <v>46174</v>
      </c>
      <c r="J598" t="s">
        <v>444</v>
      </c>
      <c r="K598" s="3">
        <v>46157</v>
      </c>
      <c r="L598" s="3">
        <v>46157</v>
      </c>
      <c r="M598" s="3">
        <v>46174</v>
      </c>
      <c r="N598" s="3">
        <v>46174</v>
      </c>
      <c r="O598" t="s">
        <v>74</v>
      </c>
      <c r="P598" t="s">
        <v>55</v>
      </c>
      <c r="Q598">
        <v>703</v>
      </c>
      <c r="S598" t="s">
        <v>1058</v>
      </c>
      <c r="T598" t="s">
        <v>1109</v>
      </c>
      <c r="U598">
        <v>705</v>
      </c>
      <c r="V598" t="s">
        <v>61</v>
      </c>
      <c r="W598">
        <v>13.4</v>
      </c>
      <c r="X598" t="s">
        <v>57</v>
      </c>
      <c r="Z598" t="s">
        <v>1058</v>
      </c>
      <c r="AA598" t="s">
        <v>93</v>
      </c>
      <c r="AE598">
        <v>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1</v>
      </c>
      <c r="AM598">
        <v>0</v>
      </c>
      <c r="AN598">
        <v>0</v>
      </c>
      <c r="AO598">
        <v>0</v>
      </c>
      <c r="AP598">
        <v>0</v>
      </c>
    </row>
    <row r="599" spans="1:42" x14ac:dyDescent="0.25">
      <c r="A599">
        <v>705</v>
      </c>
      <c r="B599" t="s">
        <v>1216</v>
      </c>
      <c r="C599" t="s">
        <v>1213</v>
      </c>
      <c r="D599" t="s">
        <v>133</v>
      </c>
      <c r="E599" s="4">
        <v>1</v>
      </c>
      <c r="F599" t="s">
        <v>840</v>
      </c>
      <c r="G599" t="s">
        <v>840</v>
      </c>
      <c r="H599" s="3">
        <v>46174</v>
      </c>
      <c r="I599" s="3">
        <v>46181</v>
      </c>
      <c r="J599" t="s">
        <v>185</v>
      </c>
      <c r="K599" s="3">
        <v>46160</v>
      </c>
      <c r="L599" s="3">
        <v>46160</v>
      </c>
      <c r="M599" s="3">
        <v>46181</v>
      </c>
      <c r="N599" s="3">
        <v>46181</v>
      </c>
      <c r="O599" t="s">
        <v>193</v>
      </c>
      <c r="P599" t="s">
        <v>55</v>
      </c>
      <c r="Q599">
        <v>704</v>
      </c>
      <c r="S599" t="s">
        <v>124</v>
      </c>
      <c r="T599" t="s">
        <v>1109</v>
      </c>
      <c r="V599" t="s">
        <v>61</v>
      </c>
      <c r="W599">
        <v>13.4</v>
      </c>
      <c r="X599" t="s">
        <v>57</v>
      </c>
      <c r="Z599" t="s">
        <v>124</v>
      </c>
      <c r="AA599" t="s">
        <v>198</v>
      </c>
      <c r="AE599">
        <v>1</v>
      </c>
      <c r="AF599">
        <v>0</v>
      </c>
      <c r="AG599">
        <v>0</v>
      </c>
      <c r="AH599">
        <v>0</v>
      </c>
      <c r="AI599">
        <v>1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0</v>
      </c>
      <c r="AP599">
        <v>0</v>
      </c>
    </row>
    <row r="600" spans="1:42" x14ac:dyDescent="0.25">
      <c r="A600">
        <v>706</v>
      </c>
      <c r="B600" t="s">
        <v>1217</v>
      </c>
      <c r="C600" t="s">
        <v>1109</v>
      </c>
      <c r="D600" t="s">
        <v>1218</v>
      </c>
      <c r="E600" s="4">
        <v>1</v>
      </c>
      <c r="F600" t="s">
        <v>690</v>
      </c>
      <c r="G600" t="s">
        <v>690</v>
      </c>
      <c r="H600" s="3">
        <v>46155</v>
      </c>
      <c r="I600" s="3">
        <v>46170</v>
      </c>
      <c r="J600" t="s">
        <v>68</v>
      </c>
      <c r="K600" s="3">
        <v>46170</v>
      </c>
      <c r="L600" s="3">
        <v>46155</v>
      </c>
      <c r="M600" s="3">
        <v>46170</v>
      </c>
      <c r="N600" s="3">
        <v>46170</v>
      </c>
      <c r="O600" t="s">
        <v>68</v>
      </c>
      <c r="P600" t="s">
        <v>55</v>
      </c>
      <c r="T600" t="s">
        <v>1109</v>
      </c>
      <c r="V600" t="s">
        <v>330</v>
      </c>
      <c r="W600">
        <v>30.72</v>
      </c>
      <c r="X600" t="s">
        <v>57</v>
      </c>
      <c r="AA600" t="s">
        <v>50</v>
      </c>
      <c r="AB600" t="s">
        <v>94</v>
      </c>
      <c r="AE600">
        <v>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</row>
    <row r="601" spans="1:42" x14ac:dyDescent="0.25">
      <c r="A601">
        <v>707</v>
      </c>
      <c r="B601" t="s">
        <v>1219</v>
      </c>
      <c r="C601" t="s">
        <v>1220</v>
      </c>
      <c r="D601" t="s">
        <v>117</v>
      </c>
      <c r="E601" s="4">
        <v>1</v>
      </c>
      <c r="F601" t="s">
        <v>127</v>
      </c>
      <c r="G601" t="s">
        <v>127</v>
      </c>
      <c r="H601" s="3">
        <v>46155</v>
      </c>
      <c r="I601" s="3">
        <v>46156</v>
      </c>
      <c r="J601" t="s">
        <v>68</v>
      </c>
      <c r="K601" s="3">
        <v>46156</v>
      </c>
      <c r="L601" s="3">
        <v>46155</v>
      </c>
      <c r="M601" s="3">
        <v>46156</v>
      </c>
      <c r="N601" s="3">
        <v>46156</v>
      </c>
      <c r="O601" t="s">
        <v>68</v>
      </c>
      <c r="P601" t="s">
        <v>55</v>
      </c>
      <c r="Q601">
        <v>620</v>
      </c>
      <c r="S601" t="s">
        <v>1058</v>
      </c>
      <c r="T601" t="s">
        <v>1109</v>
      </c>
      <c r="U601">
        <v>708</v>
      </c>
      <c r="V601" t="s">
        <v>151</v>
      </c>
      <c r="W601">
        <v>13.4</v>
      </c>
      <c r="X601" t="s">
        <v>57</v>
      </c>
      <c r="Z601" t="s">
        <v>1058</v>
      </c>
      <c r="AA601" t="s">
        <v>462</v>
      </c>
      <c r="AE601">
        <v>1</v>
      </c>
      <c r="AF601">
        <v>1</v>
      </c>
      <c r="AG601">
        <v>1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1</v>
      </c>
    </row>
    <row r="602" spans="1:42" x14ac:dyDescent="0.25">
      <c r="A602">
        <v>708</v>
      </c>
      <c r="B602" t="s">
        <v>1221</v>
      </c>
      <c r="C602" t="s">
        <v>1220</v>
      </c>
      <c r="D602" t="s">
        <v>121</v>
      </c>
      <c r="E602" s="4">
        <v>1</v>
      </c>
      <c r="F602" t="s">
        <v>122</v>
      </c>
      <c r="G602" t="s">
        <v>122</v>
      </c>
      <c r="H602" s="3">
        <v>46156</v>
      </c>
      <c r="I602" s="3">
        <v>46160</v>
      </c>
      <c r="J602" t="s">
        <v>406</v>
      </c>
      <c r="K602" s="3">
        <v>46160</v>
      </c>
      <c r="L602" s="3">
        <v>46156</v>
      </c>
      <c r="M602" s="3">
        <v>46160</v>
      </c>
      <c r="N602" s="3">
        <v>46160</v>
      </c>
      <c r="O602" t="s">
        <v>406</v>
      </c>
      <c r="P602" t="s">
        <v>55</v>
      </c>
      <c r="Q602">
        <v>707</v>
      </c>
      <c r="S602" t="s">
        <v>124</v>
      </c>
      <c r="T602" t="s">
        <v>1109</v>
      </c>
      <c r="U602">
        <v>709</v>
      </c>
      <c r="V602" t="s">
        <v>122</v>
      </c>
      <c r="W602">
        <v>13.4</v>
      </c>
      <c r="X602" t="s">
        <v>57</v>
      </c>
      <c r="Z602" t="s">
        <v>124</v>
      </c>
      <c r="AA602" t="s">
        <v>131</v>
      </c>
      <c r="AE602">
        <v>1</v>
      </c>
      <c r="AF602">
        <v>0</v>
      </c>
      <c r="AG602">
        <v>0</v>
      </c>
      <c r="AH602">
        <v>0</v>
      </c>
      <c r="AI602">
        <v>0</v>
      </c>
      <c r="AJ602">
        <v>1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</row>
    <row r="603" spans="1:42" x14ac:dyDescent="0.25">
      <c r="A603">
        <v>709</v>
      </c>
      <c r="B603" t="s">
        <v>1222</v>
      </c>
      <c r="C603" t="s">
        <v>1220</v>
      </c>
      <c r="D603" t="s">
        <v>126</v>
      </c>
      <c r="E603" s="4">
        <v>1</v>
      </c>
      <c r="F603" t="s">
        <v>61</v>
      </c>
      <c r="G603" t="s">
        <v>61</v>
      </c>
      <c r="H603" s="3">
        <v>46160</v>
      </c>
      <c r="I603" s="3">
        <v>46160</v>
      </c>
      <c r="J603" t="s">
        <v>185</v>
      </c>
      <c r="K603" s="3">
        <v>46160</v>
      </c>
      <c r="L603" s="3">
        <v>46160</v>
      </c>
      <c r="M603" s="3">
        <v>46160</v>
      </c>
      <c r="N603" s="3">
        <v>46160</v>
      </c>
      <c r="O603" t="s">
        <v>185</v>
      </c>
      <c r="P603" t="s">
        <v>55</v>
      </c>
      <c r="Q603">
        <v>708</v>
      </c>
      <c r="S603" t="s">
        <v>1058</v>
      </c>
      <c r="T603" t="s">
        <v>1109</v>
      </c>
      <c r="U603">
        <v>710</v>
      </c>
      <c r="V603" t="s">
        <v>61</v>
      </c>
      <c r="W603">
        <v>13.4</v>
      </c>
      <c r="X603" t="s">
        <v>57</v>
      </c>
      <c r="Z603" t="s">
        <v>1058</v>
      </c>
      <c r="AA603" t="s">
        <v>131</v>
      </c>
      <c r="AE603">
        <v>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1</v>
      </c>
      <c r="AM603">
        <v>0</v>
      </c>
      <c r="AN603">
        <v>0</v>
      </c>
      <c r="AO603">
        <v>0</v>
      </c>
      <c r="AP603">
        <v>0</v>
      </c>
    </row>
    <row r="604" spans="1:42" x14ac:dyDescent="0.25">
      <c r="A604">
        <v>710</v>
      </c>
      <c r="B604" t="s">
        <v>1223</v>
      </c>
      <c r="C604" t="s">
        <v>1220</v>
      </c>
      <c r="D604" t="s">
        <v>133</v>
      </c>
      <c r="E604" s="4">
        <v>1</v>
      </c>
      <c r="F604" t="s">
        <v>210</v>
      </c>
      <c r="G604" t="s">
        <v>210</v>
      </c>
      <c r="H604" s="3">
        <v>46160</v>
      </c>
      <c r="I604" s="3">
        <v>46170</v>
      </c>
      <c r="J604" t="s">
        <v>185</v>
      </c>
      <c r="K604" s="3">
        <v>46170</v>
      </c>
      <c r="L604" s="3">
        <v>46160</v>
      </c>
      <c r="M604" s="3">
        <v>46170</v>
      </c>
      <c r="N604" s="3">
        <v>46170</v>
      </c>
      <c r="O604" t="s">
        <v>185</v>
      </c>
      <c r="P604" t="s">
        <v>55</v>
      </c>
      <c r="Q604">
        <v>709</v>
      </c>
      <c r="S604" t="s">
        <v>124</v>
      </c>
      <c r="T604" t="s">
        <v>1109</v>
      </c>
      <c r="V604" t="s">
        <v>61</v>
      </c>
      <c r="W604">
        <v>13.4</v>
      </c>
      <c r="X604" t="s">
        <v>57</v>
      </c>
      <c r="Z604" t="s">
        <v>124</v>
      </c>
      <c r="AA604" t="s">
        <v>131</v>
      </c>
      <c r="AE604">
        <v>1</v>
      </c>
      <c r="AF604">
        <v>0</v>
      </c>
      <c r="AG604">
        <v>0</v>
      </c>
      <c r="AH604">
        <v>0</v>
      </c>
      <c r="AI604">
        <v>1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0</v>
      </c>
      <c r="AP604">
        <v>0</v>
      </c>
    </row>
    <row r="605" spans="1:42" x14ac:dyDescent="0.25">
      <c r="A605">
        <v>711</v>
      </c>
      <c r="B605" t="s">
        <v>1224</v>
      </c>
      <c r="C605" t="s">
        <v>1109</v>
      </c>
      <c r="D605" t="s">
        <v>1225</v>
      </c>
      <c r="E605" s="4">
        <v>1</v>
      </c>
      <c r="F605" t="s">
        <v>690</v>
      </c>
      <c r="G605" t="s">
        <v>690</v>
      </c>
      <c r="H605" s="3">
        <v>46155</v>
      </c>
      <c r="I605" s="3">
        <v>46170</v>
      </c>
      <c r="J605" t="s">
        <v>68</v>
      </c>
      <c r="K605" s="3">
        <v>46170</v>
      </c>
      <c r="L605" s="3">
        <v>46155</v>
      </c>
      <c r="M605" s="3">
        <v>46170</v>
      </c>
      <c r="N605" s="3">
        <v>46170</v>
      </c>
      <c r="O605" t="s">
        <v>68</v>
      </c>
      <c r="P605" t="s">
        <v>55</v>
      </c>
      <c r="T605" t="s">
        <v>1109</v>
      </c>
      <c r="V605" t="s">
        <v>330</v>
      </c>
      <c r="W605">
        <v>30.72</v>
      </c>
      <c r="X605" t="s">
        <v>57</v>
      </c>
      <c r="AA605" t="s">
        <v>50</v>
      </c>
      <c r="AB605" t="s">
        <v>94</v>
      </c>
      <c r="AE605">
        <v>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</row>
    <row r="606" spans="1:42" x14ac:dyDescent="0.25">
      <c r="A606">
        <v>712</v>
      </c>
      <c r="B606" t="s">
        <v>1226</v>
      </c>
      <c r="C606" t="s">
        <v>1227</v>
      </c>
      <c r="D606" t="s">
        <v>117</v>
      </c>
      <c r="E606" s="4">
        <v>1</v>
      </c>
      <c r="F606" t="s">
        <v>127</v>
      </c>
      <c r="G606" t="s">
        <v>127</v>
      </c>
      <c r="H606" s="3">
        <v>46155</v>
      </c>
      <c r="I606" s="3">
        <v>46156</v>
      </c>
      <c r="J606" t="s">
        <v>68</v>
      </c>
      <c r="K606" s="3">
        <v>46156</v>
      </c>
      <c r="L606" s="3">
        <v>46155</v>
      </c>
      <c r="M606" s="3">
        <v>46156</v>
      </c>
      <c r="N606" s="3">
        <v>46156</v>
      </c>
      <c r="O606" t="s">
        <v>68</v>
      </c>
      <c r="P606" t="s">
        <v>55</v>
      </c>
      <c r="Q606">
        <v>620</v>
      </c>
      <c r="S606" t="s">
        <v>1058</v>
      </c>
      <c r="T606" t="s">
        <v>1109</v>
      </c>
      <c r="U606">
        <v>713</v>
      </c>
      <c r="V606" t="s">
        <v>151</v>
      </c>
      <c r="W606">
        <v>13.4</v>
      </c>
      <c r="X606" t="s">
        <v>57</v>
      </c>
      <c r="Z606" t="s">
        <v>1058</v>
      </c>
      <c r="AA606" t="s">
        <v>462</v>
      </c>
      <c r="AE606">
        <v>1</v>
      </c>
      <c r="AF606">
        <v>1</v>
      </c>
      <c r="AG606">
        <v>1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1</v>
      </c>
    </row>
    <row r="607" spans="1:42" x14ac:dyDescent="0.25">
      <c r="A607">
        <v>713</v>
      </c>
      <c r="B607" t="s">
        <v>1228</v>
      </c>
      <c r="C607" t="s">
        <v>1227</v>
      </c>
      <c r="D607" t="s">
        <v>121</v>
      </c>
      <c r="E607" s="4">
        <v>1</v>
      </c>
      <c r="F607" t="s">
        <v>122</v>
      </c>
      <c r="G607" t="s">
        <v>122</v>
      </c>
      <c r="H607" s="3">
        <v>46156</v>
      </c>
      <c r="I607" s="3">
        <v>46160</v>
      </c>
      <c r="J607" t="s">
        <v>406</v>
      </c>
      <c r="K607" s="3">
        <v>46160</v>
      </c>
      <c r="L607" s="3">
        <v>46156</v>
      </c>
      <c r="M607" s="3">
        <v>46160</v>
      </c>
      <c r="N607" s="3">
        <v>46160</v>
      </c>
      <c r="O607" t="s">
        <v>406</v>
      </c>
      <c r="P607" t="s">
        <v>55</v>
      </c>
      <c r="Q607">
        <v>712</v>
      </c>
      <c r="S607" t="s">
        <v>124</v>
      </c>
      <c r="T607" t="s">
        <v>1109</v>
      </c>
      <c r="U607">
        <v>714</v>
      </c>
      <c r="V607" t="s">
        <v>122</v>
      </c>
      <c r="W607">
        <v>13.4</v>
      </c>
      <c r="X607" t="s">
        <v>57</v>
      </c>
      <c r="Z607" t="s">
        <v>124</v>
      </c>
      <c r="AA607" t="s">
        <v>131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1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</row>
    <row r="608" spans="1:42" x14ac:dyDescent="0.25">
      <c r="A608">
        <v>714</v>
      </c>
      <c r="B608" t="s">
        <v>1229</v>
      </c>
      <c r="C608" t="s">
        <v>1227</v>
      </c>
      <c r="D608" t="s">
        <v>126</v>
      </c>
      <c r="E608" s="4">
        <v>1</v>
      </c>
      <c r="F608" t="s">
        <v>61</v>
      </c>
      <c r="G608" t="s">
        <v>61</v>
      </c>
      <c r="H608" s="3">
        <v>46160</v>
      </c>
      <c r="I608" s="3">
        <v>46160</v>
      </c>
      <c r="J608" t="s">
        <v>185</v>
      </c>
      <c r="K608" s="3">
        <v>46160</v>
      </c>
      <c r="L608" s="3">
        <v>46160</v>
      </c>
      <c r="M608" s="3">
        <v>46160</v>
      </c>
      <c r="N608" s="3">
        <v>46160</v>
      </c>
      <c r="O608" t="s">
        <v>185</v>
      </c>
      <c r="P608" t="s">
        <v>55</v>
      </c>
      <c r="Q608">
        <v>713</v>
      </c>
      <c r="S608" t="s">
        <v>1058</v>
      </c>
      <c r="T608" t="s">
        <v>1109</v>
      </c>
      <c r="U608">
        <v>715</v>
      </c>
      <c r="V608" t="s">
        <v>61</v>
      </c>
      <c r="W608">
        <v>13.4</v>
      </c>
      <c r="X608" t="s">
        <v>57</v>
      </c>
      <c r="Z608" t="s">
        <v>1058</v>
      </c>
      <c r="AA608" t="s">
        <v>131</v>
      </c>
      <c r="AE608">
        <v>1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1</v>
      </c>
      <c r="AM608">
        <v>0</v>
      </c>
      <c r="AN608">
        <v>0</v>
      </c>
      <c r="AO608">
        <v>0</v>
      </c>
      <c r="AP608">
        <v>0</v>
      </c>
    </row>
    <row r="609" spans="1:42" x14ac:dyDescent="0.25">
      <c r="A609">
        <v>715</v>
      </c>
      <c r="B609" t="s">
        <v>1230</v>
      </c>
      <c r="C609" t="s">
        <v>1227</v>
      </c>
      <c r="D609" t="s">
        <v>133</v>
      </c>
      <c r="E609" s="4">
        <v>1</v>
      </c>
      <c r="F609" t="s">
        <v>210</v>
      </c>
      <c r="G609" t="s">
        <v>210</v>
      </c>
      <c r="H609" s="3">
        <v>46160</v>
      </c>
      <c r="I609" s="3">
        <v>46170</v>
      </c>
      <c r="J609" t="s">
        <v>185</v>
      </c>
      <c r="K609" s="3">
        <v>46170</v>
      </c>
      <c r="L609" s="3">
        <v>46160</v>
      </c>
      <c r="M609" s="3">
        <v>46170</v>
      </c>
      <c r="N609" s="3">
        <v>46170</v>
      </c>
      <c r="O609" t="s">
        <v>185</v>
      </c>
      <c r="P609" t="s">
        <v>55</v>
      </c>
      <c r="Q609">
        <v>714</v>
      </c>
      <c r="S609" t="s">
        <v>124</v>
      </c>
      <c r="T609" t="s">
        <v>1109</v>
      </c>
      <c r="V609" t="s">
        <v>61</v>
      </c>
      <c r="W609">
        <v>13.4</v>
      </c>
      <c r="X609" t="s">
        <v>57</v>
      </c>
      <c r="Z609" t="s">
        <v>124</v>
      </c>
      <c r="AA609" t="s">
        <v>131</v>
      </c>
      <c r="AE609">
        <v>1</v>
      </c>
      <c r="AF609">
        <v>0</v>
      </c>
      <c r="AG609">
        <v>0</v>
      </c>
      <c r="AH609">
        <v>0</v>
      </c>
      <c r="AI609">
        <v>1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0</v>
      </c>
      <c r="AP609">
        <v>0</v>
      </c>
    </row>
    <row r="610" spans="1:42" x14ac:dyDescent="0.25">
      <c r="A610">
        <v>716</v>
      </c>
      <c r="B610" t="s">
        <v>1231</v>
      </c>
      <c r="C610" t="s">
        <v>1109</v>
      </c>
      <c r="D610" t="s">
        <v>1232</v>
      </c>
      <c r="E610" s="4">
        <v>1</v>
      </c>
      <c r="F610" t="s">
        <v>690</v>
      </c>
      <c r="G610" t="s">
        <v>690</v>
      </c>
      <c r="H610" s="3">
        <v>46155</v>
      </c>
      <c r="I610" s="3">
        <v>46170</v>
      </c>
      <c r="J610" t="s">
        <v>201</v>
      </c>
      <c r="K610" s="3">
        <v>46199</v>
      </c>
      <c r="L610" s="3">
        <v>46181</v>
      </c>
      <c r="M610" s="3">
        <v>46170</v>
      </c>
      <c r="N610" s="3">
        <v>46170</v>
      </c>
      <c r="O610" t="s">
        <v>68</v>
      </c>
      <c r="P610" t="s">
        <v>55</v>
      </c>
      <c r="T610" t="s">
        <v>1109</v>
      </c>
      <c r="V610" t="s">
        <v>330</v>
      </c>
      <c r="W610">
        <v>30.72</v>
      </c>
      <c r="X610" t="s">
        <v>57</v>
      </c>
      <c r="AA610" t="s">
        <v>50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</row>
    <row r="611" spans="1:42" x14ac:dyDescent="0.25">
      <c r="A611">
        <v>717</v>
      </c>
      <c r="B611" t="s">
        <v>1233</v>
      </c>
      <c r="C611" t="s">
        <v>1234</v>
      </c>
      <c r="D611" t="s">
        <v>117</v>
      </c>
      <c r="E611" s="4">
        <v>1</v>
      </c>
      <c r="F611" t="s">
        <v>127</v>
      </c>
      <c r="G611" t="s">
        <v>127</v>
      </c>
      <c r="H611" s="3">
        <v>46155</v>
      </c>
      <c r="I611" s="3">
        <v>46156</v>
      </c>
      <c r="J611" t="s">
        <v>201</v>
      </c>
      <c r="K611" s="3">
        <v>46192</v>
      </c>
      <c r="L611" s="3">
        <v>46181</v>
      </c>
      <c r="M611" s="3">
        <v>46156</v>
      </c>
      <c r="N611" s="3">
        <v>46156</v>
      </c>
      <c r="O611" t="s">
        <v>68</v>
      </c>
      <c r="P611" t="s">
        <v>55</v>
      </c>
      <c r="Q611">
        <v>620</v>
      </c>
      <c r="S611" t="s">
        <v>1058</v>
      </c>
      <c r="T611" t="s">
        <v>1109</v>
      </c>
      <c r="U611">
        <v>718</v>
      </c>
      <c r="V611" t="s">
        <v>151</v>
      </c>
      <c r="W611">
        <v>13.4</v>
      </c>
      <c r="X611" t="s">
        <v>57</v>
      </c>
      <c r="Z611" t="s">
        <v>1058</v>
      </c>
      <c r="AA611" t="s">
        <v>462</v>
      </c>
      <c r="AE611">
        <v>1</v>
      </c>
      <c r="AF611">
        <v>1</v>
      </c>
      <c r="AG611">
        <v>1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1</v>
      </c>
    </row>
    <row r="612" spans="1:42" x14ac:dyDescent="0.25">
      <c r="A612">
        <v>718</v>
      </c>
      <c r="B612" t="s">
        <v>1235</v>
      </c>
      <c r="C612" t="s">
        <v>1234</v>
      </c>
      <c r="D612" t="s">
        <v>121</v>
      </c>
      <c r="E612" s="4">
        <v>1</v>
      </c>
      <c r="F612" t="s">
        <v>122</v>
      </c>
      <c r="G612" t="s">
        <v>122</v>
      </c>
      <c r="H612" s="3">
        <v>46156</v>
      </c>
      <c r="I612" s="3">
        <v>46160</v>
      </c>
      <c r="J612" t="s">
        <v>219</v>
      </c>
      <c r="K612" s="3">
        <v>46197</v>
      </c>
      <c r="L612" s="3">
        <v>46195</v>
      </c>
      <c r="M612" s="3">
        <v>46160</v>
      </c>
      <c r="N612" s="3">
        <v>46160</v>
      </c>
      <c r="O612" t="s">
        <v>406</v>
      </c>
      <c r="P612" t="s">
        <v>55</v>
      </c>
      <c r="Q612">
        <v>717</v>
      </c>
      <c r="S612" t="s">
        <v>124</v>
      </c>
      <c r="T612" t="s">
        <v>1109</v>
      </c>
      <c r="U612">
        <v>719</v>
      </c>
      <c r="V612" t="s">
        <v>122</v>
      </c>
      <c r="W612">
        <v>13.4</v>
      </c>
      <c r="X612" t="s">
        <v>57</v>
      </c>
      <c r="Z612" t="s">
        <v>124</v>
      </c>
      <c r="AA612" t="s">
        <v>131</v>
      </c>
      <c r="AE612">
        <v>1</v>
      </c>
      <c r="AF612">
        <v>0</v>
      </c>
      <c r="AG612">
        <v>0</v>
      </c>
      <c r="AH612">
        <v>0</v>
      </c>
      <c r="AI612">
        <v>0</v>
      </c>
      <c r="AJ612">
        <v>1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</row>
    <row r="613" spans="1:42" x14ac:dyDescent="0.25">
      <c r="A613">
        <v>719</v>
      </c>
      <c r="B613" t="s">
        <v>1236</v>
      </c>
      <c r="C613" t="s">
        <v>1234</v>
      </c>
      <c r="D613" t="s">
        <v>126</v>
      </c>
      <c r="E613" s="4">
        <v>1</v>
      </c>
      <c r="F613" t="s">
        <v>61</v>
      </c>
      <c r="G613" t="s">
        <v>61</v>
      </c>
      <c r="H613" s="3">
        <v>46160</v>
      </c>
      <c r="I613" s="3">
        <v>46160</v>
      </c>
      <c r="J613" t="s">
        <v>128</v>
      </c>
      <c r="K613" s="3">
        <v>46198</v>
      </c>
      <c r="L613" s="3">
        <v>46198</v>
      </c>
      <c r="M613" s="3">
        <v>46160</v>
      </c>
      <c r="N613" s="3">
        <v>46160</v>
      </c>
      <c r="O613" t="s">
        <v>185</v>
      </c>
      <c r="P613" t="s">
        <v>55</v>
      </c>
      <c r="Q613">
        <v>718</v>
      </c>
      <c r="S613" t="s">
        <v>1058</v>
      </c>
      <c r="T613" t="s">
        <v>1109</v>
      </c>
      <c r="U613">
        <v>720</v>
      </c>
      <c r="V613" t="s">
        <v>61</v>
      </c>
      <c r="W613">
        <v>13.4</v>
      </c>
      <c r="X613" t="s">
        <v>57</v>
      </c>
      <c r="Z613" t="s">
        <v>1058</v>
      </c>
      <c r="AA613" t="s">
        <v>131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1</v>
      </c>
      <c r="AM613">
        <v>0</v>
      </c>
      <c r="AN613">
        <v>0</v>
      </c>
      <c r="AO613">
        <v>0</v>
      </c>
      <c r="AP613">
        <v>0</v>
      </c>
    </row>
    <row r="614" spans="1:42" x14ac:dyDescent="0.25">
      <c r="A614">
        <v>720</v>
      </c>
      <c r="B614" t="s">
        <v>1237</v>
      </c>
      <c r="C614" t="s">
        <v>1234</v>
      </c>
      <c r="D614" t="s">
        <v>133</v>
      </c>
      <c r="E614" s="4">
        <v>1</v>
      </c>
      <c r="F614" t="s">
        <v>210</v>
      </c>
      <c r="G614" t="s">
        <v>210</v>
      </c>
      <c r="H614" s="3">
        <v>46160</v>
      </c>
      <c r="I614" s="3">
        <v>46170</v>
      </c>
      <c r="J614" t="s">
        <v>134</v>
      </c>
      <c r="K614" s="3">
        <v>46199</v>
      </c>
      <c r="L614" s="3">
        <v>46199</v>
      </c>
      <c r="M614" s="3">
        <v>46170</v>
      </c>
      <c r="N614" s="3">
        <v>46170</v>
      </c>
      <c r="O614" t="s">
        <v>185</v>
      </c>
      <c r="P614" t="s">
        <v>55</v>
      </c>
      <c r="Q614">
        <v>719</v>
      </c>
      <c r="S614" t="s">
        <v>124</v>
      </c>
      <c r="T614" t="s">
        <v>1109</v>
      </c>
      <c r="V614" t="s">
        <v>61</v>
      </c>
      <c r="W614">
        <v>13.4</v>
      </c>
      <c r="X614" t="s">
        <v>57</v>
      </c>
      <c r="Z614" t="s">
        <v>124</v>
      </c>
      <c r="AA614" t="s">
        <v>131</v>
      </c>
      <c r="AE614">
        <v>1</v>
      </c>
      <c r="AF614">
        <v>0</v>
      </c>
      <c r="AG614">
        <v>0</v>
      </c>
      <c r="AH614">
        <v>0</v>
      </c>
      <c r="AI614">
        <v>1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0</v>
      </c>
      <c r="AP614">
        <v>0</v>
      </c>
    </row>
    <row r="615" spans="1:42" x14ac:dyDescent="0.25">
      <c r="A615">
        <v>721</v>
      </c>
      <c r="B615" t="s">
        <v>1238</v>
      </c>
      <c r="C615" t="s">
        <v>1109</v>
      </c>
      <c r="D615" t="s">
        <v>1239</v>
      </c>
      <c r="E615" s="4">
        <v>1</v>
      </c>
      <c r="F615" t="s">
        <v>690</v>
      </c>
      <c r="G615" t="s">
        <v>690</v>
      </c>
      <c r="H615" s="3">
        <v>46155</v>
      </c>
      <c r="I615" s="3">
        <v>46170</v>
      </c>
      <c r="J615" t="s">
        <v>68</v>
      </c>
      <c r="K615" s="3">
        <v>46170</v>
      </c>
      <c r="L615" s="3">
        <v>46155</v>
      </c>
      <c r="M615" s="3">
        <v>46170</v>
      </c>
      <c r="N615" s="3">
        <v>46170</v>
      </c>
      <c r="O615" t="s">
        <v>68</v>
      </c>
      <c r="P615" t="s">
        <v>55</v>
      </c>
      <c r="T615" t="s">
        <v>1109</v>
      </c>
      <c r="V615" t="s">
        <v>330</v>
      </c>
      <c r="W615">
        <v>30.72</v>
      </c>
      <c r="X615" t="s">
        <v>57</v>
      </c>
      <c r="AA615" t="s">
        <v>50</v>
      </c>
      <c r="AB615" t="s">
        <v>94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</row>
    <row r="616" spans="1:42" x14ac:dyDescent="0.25">
      <c r="A616">
        <v>722</v>
      </c>
      <c r="B616" t="s">
        <v>1240</v>
      </c>
      <c r="C616" t="s">
        <v>1241</v>
      </c>
      <c r="D616" t="s">
        <v>117</v>
      </c>
      <c r="E616" s="4">
        <v>1</v>
      </c>
      <c r="F616" t="s">
        <v>127</v>
      </c>
      <c r="G616" t="s">
        <v>127</v>
      </c>
      <c r="H616" s="3">
        <v>46155</v>
      </c>
      <c r="I616" s="3">
        <v>46156</v>
      </c>
      <c r="J616" t="s">
        <v>68</v>
      </c>
      <c r="K616" s="3">
        <v>46156</v>
      </c>
      <c r="L616" s="3">
        <v>46155</v>
      </c>
      <c r="M616" s="3">
        <v>46156</v>
      </c>
      <c r="N616" s="3">
        <v>46156</v>
      </c>
      <c r="O616" t="s">
        <v>68</v>
      </c>
      <c r="P616" t="s">
        <v>55</v>
      </c>
      <c r="Q616">
        <v>620</v>
      </c>
      <c r="S616" t="s">
        <v>1058</v>
      </c>
      <c r="T616" t="s">
        <v>1109</v>
      </c>
      <c r="U616">
        <v>723</v>
      </c>
      <c r="V616" t="s">
        <v>151</v>
      </c>
      <c r="W616">
        <v>13.4</v>
      </c>
      <c r="X616" t="s">
        <v>57</v>
      </c>
      <c r="Z616" t="s">
        <v>1058</v>
      </c>
      <c r="AA616" t="s">
        <v>462</v>
      </c>
      <c r="AE616">
        <v>1</v>
      </c>
      <c r="AF616">
        <v>1</v>
      </c>
      <c r="AG616">
        <v>1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1</v>
      </c>
    </row>
    <row r="617" spans="1:42" x14ac:dyDescent="0.25">
      <c r="A617">
        <v>723</v>
      </c>
      <c r="B617" t="s">
        <v>1242</v>
      </c>
      <c r="C617" t="s">
        <v>1241</v>
      </c>
      <c r="D617" t="s">
        <v>121</v>
      </c>
      <c r="E617" s="4">
        <v>1</v>
      </c>
      <c r="F617" t="s">
        <v>127</v>
      </c>
      <c r="G617" t="s">
        <v>127</v>
      </c>
      <c r="H617" s="3">
        <v>46156</v>
      </c>
      <c r="I617" s="3">
        <v>46160</v>
      </c>
      <c r="J617" t="s">
        <v>406</v>
      </c>
      <c r="K617" s="3">
        <v>46160</v>
      </c>
      <c r="L617" s="3">
        <v>46156</v>
      </c>
      <c r="M617" s="3">
        <v>46160</v>
      </c>
      <c r="N617" s="3">
        <v>46160</v>
      </c>
      <c r="O617" t="s">
        <v>406</v>
      </c>
      <c r="P617" t="s">
        <v>55</v>
      </c>
      <c r="Q617">
        <v>722</v>
      </c>
      <c r="S617" t="s">
        <v>124</v>
      </c>
      <c r="T617" t="s">
        <v>1109</v>
      </c>
      <c r="U617">
        <v>724</v>
      </c>
      <c r="V617" t="s">
        <v>122</v>
      </c>
      <c r="W617">
        <v>13.4</v>
      </c>
      <c r="X617" t="s">
        <v>57</v>
      </c>
      <c r="Z617" t="s">
        <v>124</v>
      </c>
      <c r="AA617" t="s">
        <v>131</v>
      </c>
      <c r="AE617">
        <v>1</v>
      </c>
      <c r="AF617">
        <v>0</v>
      </c>
      <c r="AG617">
        <v>0</v>
      </c>
      <c r="AH617">
        <v>0</v>
      </c>
      <c r="AI617">
        <v>0</v>
      </c>
      <c r="AJ617">
        <v>1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</row>
    <row r="618" spans="1:42" x14ac:dyDescent="0.25">
      <c r="A618">
        <v>724</v>
      </c>
      <c r="B618" t="s">
        <v>1243</v>
      </c>
      <c r="C618" t="s">
        <v>1241</v>
      </c>
      <c r="D618" t="s">
        <v>126</v>
      </c>
      <c r="E618" s="4">
        <v>1</v>
      </c>
      <c r="F618" t="s">
        <v>63</v>
      </c>
      <c r="G618" t="s">
        <v>63</v>
      </c>
      <c r="H618" s="3">
        <v>46160</v>
      </c>
      <c r="I618" s="3">
        <v>46160</v>
      </c>
      <c r="J618" t="s">
        <v>185</v>
      </c>
      <c r="K618" s="3">
        <v>46160</v>
      </c>
      <c r="L618" s="3">
        <v>46160</v>
      </c>
      <c r="M618" s="3">
        <v>46160</v>
      </c>
      <c r="N618" s="3">
        <v>46160</v>
      </c>
      <c r="O618" t="s">
        <v>185</v>
      </c>
      <c r="P618" t="s">
        <v>55</v>
      </c>
      <c r="Q618">
        <v>723</v>
      </c>
      <c r="S618" t="s">
        <v>1058</v>
      </c>
      <c r="T618" t="s">
        <v>1109</v>
      </c>
      <c r="U618">
        <v>725</v>
      </c>
      <c r="V618" t="s">
        <v>61</v>
      </c>
      <c r="W618">
        <v>13.4</v>
      </c>
      <c r="X618" t="s">
        <v>57</v>
      </c>
      <c r="Z618" t="s">
        <v>1058</v>
      </c>
      <c r="AA618" t="s">
        <v>131</v>
      </c>
      <c r="AE618">
        <v>1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1</v>
      </c>
      <c r="AM618">
        <v>0</v>
      </c>
      <c r="AN618">
        <v>0</v>
      </c>
      <c r="AO618">
        <v>0</v>
      </c>
      <c r="AP618">
        <v>0</v>
      </c>
    </row>
    <row r="619" spans="1:42" x14ac:dyDescent="0.25">
      <c r="A619">
        <v>725</v>
      </c>
      <c r="B619" t="s">
        <v>1244</v>
      </c>
      <c r="C619" t="s">
        <v>1241</v>
      </c>
      <c r="D619" t="s">
        <v>133</v>
      </c>
      <c r="E619" s="4">
        <v>1</v>
      </c>
      <c r="F619" t="s">
        <v>114</v>
      </c>
      <c r="G619" t="s">
        <v>114</v>
      </c>
      <c r="H619" s="3">
        <v>46160</v>
      </c>
      <c r="I619" s="3">
        <v>46170</v>
      </c>
      <c r="J619" t="s">
        <v>185</v>
      </c>
      <c r="K619" s="3">
        <v>46170</v>
      </c>
      <c r="L619" s="3">
        <v>46160</v>
      </c>
      <c r="M619" s="3">
        <v>46170</v>
      </c>
      <c r="N619" s="3">
        <v>46170</v>
      </c>
      <c r="O619" t="s">
        <v>185</v>
      </c>
      <c r="P619" t="s">
        <v>55</v>
      </c>
      <c r="Q619">
        <v>724</v>
      </c>
      <c r="S619" t="s">
        <v>124</v>
      </c>
      <c r="T619" t="s">
        <v>1109</v>
      </c>
      <c r="V619" t="s">
        <v>61</v>
      </c>
      <c r="W619">
        <v>13.4</v>
      </c>
      <c r="X619" t="s">
        <v>57</v>
      </c>
      <c r="Z619" t="s">
        <v>124</v>
      </c>
      <c r="AA619" t="s">
        <v>131</v>
      </c>
      <c r="AE619">
        <v>1</v>
      </c>
      <c r="AF619">
        <v>0</v>
      </c>
      <c r="AG619">
        <v>0</v>
      </c>
      <c r="AH619">
        <v>0</v>
      </c>
      <c r="AI619">
        <v>1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0</v>
      </c>
      <c r="AP619">
        <v>0</v>
      </c>
    </row>
    <row r="620" spans="1:42" x14ac:dyDescent="0.25">
      <c r="A620">
        <v>726</v>
      </c>
      <c r="B620" t="s">
        <v>1245</v>
      </c>
      <c r="C620" t="s">
        <v>1109</v>
      </c>
      <c r="D620" t="s">
        <v>1246</v>
      </c>
      <c r="E620" s="4">
        <v>1</v>
      </c>
      <c r="F620" t="s">
        <v>122</v>
      </c>
      <c r="G620" t="s">
        <v>122</v>
      </c>
      <c r="H620" s="3">
        <v>46188</v>
      </c>
      <c r="I620" s="3">
        <v>46191</v>
      </c>
      <c r="J620" t="s">
        <v>201</v>
      </c>
      <c r="K620" s="3">
        <v>46199</v>
      </c>
      <c r="L620" s="3">
        <v>46181</v>
      </c>
      <c r="M620" s="3">
        <v>46191</v>
      </c>
      <c r="N620" s="3">
        <v>46191</v>
      </c>
      <c r="O620" t="s">
        <v>595</v>
      </c>
      <c r="P620" t="s">
        <v>55</v>
      </c>
      <c r="T620" t="s">
        <v>1109</v>
      </c>
      <c r="V620" t="s">
        <v>330</v>
      </c>
      <c r="W620">
        <v>30.72</v>
      </c>
      <c r="X620" t="s">
        <v>57</v>
      </c>
      <c r="AA620" t="s">
        <v>50</v>
      </c>
      <c r="AE620">
        <v>1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</row>
    <row r="621" spans="1:42" x14ac:dyDescent="0.25">
      <c r="A621">
        <v>727</v>
      </c>
      <c r="B621" t="s">
        <v>1247</v>
      </c>
      <c r="C621" t="s">
        <v>1248</v>
      </c>
      <c r="D621" t="s">
        <v>117</v>
      </c>
      <c r="E621" s="4">
        <v>1</v>
      </c>
      <c r="F621" t="s">
        <v>61</v>
      </c>
      <c r="G621" t="s">
        <v>61</v>
      </c>
      <c r="H621" s="3">
        <v>46188</v>
      </c>
      <c r="I621" s="3">
        <v>46188</v>
      </c>
      <c r="J621" t="s">
        <v>201</v>
      </c>
      <c r="K621" s="3">
        <v>46192</v>
      </c>
      <c r="L621" s="3">
        <v>46181</v>
      </c>
      <c r="M621" s="3">
        <v>46188</v>
      </c>
      <c r="N621" s="3">
        <v>46188</v>
      </c>
      <c r="O621" t="s">
        <v>595</v>
      </c>
      <c r="P621" t="s">
        <v>55</v>
      </c>
      <c r="Q621">
        <v>620</v>
      </c>
      <c r="S621" t="s">
        <v>1058</v>
      </c>
      <c r="T621" t="s">
        <v>1109</v>
      </c>
      <c r="U621">
        <v>728</v>
      </c>
      <c r="V621" t="s">
        <v>151</v>
      </c>
      <c r="W621">
        <v>13.4</v>
      </c>
      <c r="X621" t="s">
        <v>57</v>
      </c>
      <c r="Z621" t="s">
        <v>1058</v>
      </c>
      <c r="AA621" t="s">
        <v>462</v>
      </c>
      <c r="AE621">
        <v>1</v>
      </c>
      <c r="AF621">
        <v>1</v>
      </c>
      <c r="AG621">
        <v>1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1</v>
      </c>
    </row>
    <row r="622" spans="1:42" x14ac:dyDescent="0.25">
      <c r="A622">
        <v>728</v>
      </c>
      <c r="B622" t="s">
        <v>1249</v>
      </c>
      <c r="C622" t="s">
        <v>1248</v>
      </c>
      <c r="D622" t="s">
        <v>121</v>
      </c>
      <c r="E622" s="4">
        <v>1</v>
      </c>
      <c r="F622" t="s">
        <v>61</v>
      </c>
      <c r="G622" t="s">
        <v>61</v>
      </c>
      <c r="H622" s="3">
        <v>46189</v>
      </c>
      <c r="I622" s="3">
        <v>46189</v>
      </c>
      <c r="J622" t="s">
        <v>219</v>
      </c>
      <c r="K622" s="3">
        <v>46197</v>
      </c>
      <c r="L622" s="3">
        <v>46195</v>
      </c>
      <c r="M622" s="3">
        <v>46189</v>
      </c>
      <c r="N622" s="3">
        <v>46189</v>
      </c>
      <c r="O622" t="s">
        <v>576</v>
      </c>
      <c r="P622" t="s">
        <v>55</v>
      </c>
      <c r="Q622">
        <v>727</v>
      </c>
      <c r="S622" t="s">
        <v>124</v>
      </c>
      <c r="T622" t="s">
        <v>1109</v>
      </c>
      <c r="U622">
        <v>729</v>
      </c>
      <c r="V622" t="s">
        <v>122</v>
      </c>
      <c r="W622">
        <v>13.4</v>
      </c>
      <c r="X622" t="s">
        <v>57</v>
      </c>
      <c r="Z622" t="s">
        <v>124</v>
      </c>
      <c r="AA622" t="s">
        <v>131</v>
      </c>
      <c r="AE622">
        <v>1</v>
      </c>
      <c r="AF622">
        <v>0</v>
      </c>
      <c r="AG622">
        <v>0</v>
      </c>
      <c r="AH622">
        <v>0</v>
      </c>
      <c r="AI622">
        <v>0</v>
      </c>
      <c r="AJ622">
        <v>1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</row>
    <row r="623" spans="1:42" x14ac:dyDescent="0.25">
      <c r="A623">
        <v>729</v>
      </c>
      <c r="B623" t="s">
        <v>1250</v>
      </c>
      <c r="C623" t="s">
        <v>1248</v>
      </c>
      <c r="D623" t="s">
        <v>126</v>
      </c>
      <c r="E623" s="4">
        <v>1</v>
      </c>
      <c r="F623" t="s">
        <v>61</v>
      </c>
      <c r="G623" t="s">
        <v>61</v>
      </c>
      <c r="H623" s="3">
        <v>46190</v>
      </c>
      <c r="I623" s="3">
        <v>46190</v>
      </c>
      <c r="J623" t="s">
        <v>128</v>
      </c>
      <c r="K623" s="3">
        <v>46198</v>
      </c>
      <c r="L623" s="3">
        <v>46198</v>
      </c>
      <c r="M623" s="3">
        <v>46190</v>
      </c>
      <c r="N623" s="3">
        <v>46190</v>
      </c>
      <c r="O623" t="s">
        <v>75</v>
      </c>
      <c r="P623" t="s">
        <v>55</v>
      </c>
      <c r="Q623">
        <v>728</v>
      </c>
      <c r="S623" t="s">
        <v>1058</v>
      </c>
      <c r="T623" t="s">
        <v>1109</v>
      </c>
      <c r="U623">
        <v>730</v>
      </c>
      <c r="V623" t="s">
        <v>61</v>
      </c>
      <c r="W623">
        <v>13.4</v>
      </c>
      <c r="X623" t="s">
        <v>57</v>
      </c>
      <c r="Z623" t="s">
        <v>1058</v>
      </c>
      <c r="AA623" t="s">
        <v>131</v>
      </c>
      <c r="AE623">
        <v>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1</v>
      </c>
      <c r="AM623">
        <v>0</v>
      </c>
      <c r="AN623">
        <v>0</v>
      </c>
      <c r="AO623">
        <v>0</v>
      </c>
      <c r="AP623">
        <v>0</v>
      </c>
    </row>
    <row r="624" spans="1:42" x14ac:dyDescent="0.25">
      <c r="A624">
        <v>730</v>
      </c>
      <c r="B624" t="s">
        <v>1251</v>
      </c>
      <c r="C624" t="s">
        <v>1248</v>
      </c>
      <c r="D624" t="s">
        <v>133</v>
      </c>
      <c r="E624" s="4">
        <v>1</v>
      </c>
      <c r="F624" t="s">
        <v>63</v>
      </c>
      <c r="G624" t="s">
        <v>63</v>
      </c>
      <c r="H624" s="3">
        <v>46191</v>
      </c>
      <c r="I624" s="3">
        <v>46191</v>
      </c>
      <c r="J624" t="s">
        <v>134</v>
      </c>
      <c r="K624" s="3">
        <v>46199</v>
      </c>
      <c r="L624" s="3">
        <v>46199</v>
      </c>
      <c r="M624" s="3">
        <v>46191</v>
      </c>
      <c r="N624" s="3">
        <v>46191</v>
      </c>
      <c r="O624" t="s">
        <v>480</v>
      </c>
      <c r="P624" t="s">
        <v>55</v>
      </c>
      <c r="Q624">
        <v>729</v>
      </c>
      <c r="S624" t="s">
        <v>124</v>
      </c>
      <c r="T624" t="s">
        <v>1109</v>
      </c>
      <c r="V624" t="s">
        <v>61</v>
      </c>
      <c r="W624">
        <v>13.4</v>
      </c>
      <c r="X624" t="s">
        <v>57</v>
      </c>
      <c r="Z624" t="s">
        <v>124</v>
      </c>
      <c r="AA624" t="s">
        <v>131</v>
      </c>
      <c r="AE624">
        <v>1</v>
      </c>
      <c r="AF624">
        <v>0</v>
      </c>
      <c r="AG624">
        <v>0</v>
      </c>
      <c r="AH624">
        <v>0</v>
      </c>
      <c r="AI624">
        <v>1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0</v>
      </c>
      <c r="AP624">
        <v>0</v>
      </c>
    </row>
    <row r="625" spans="1:42" x14ac:dyDescent="0.25">
      <c r="A625">
        <v>731</v>
      </c>
      <c r="B625" t="s">
        <v>1252</v>
      </c>
      <c r="C625" t="s">
        <v>1109</v>
      </c>
      <c r="D625" t="s">
        <v>1253</v>
      </c>
      <c r="E625" s="4">
        <v>1</v>
      </c>
      <c r="F625" t="s">
        <v>101</v>
      </c>
      <c r="G625" t="s">
        <v>101</v>
      </c>
      <c r="H625" s="3">
        <v>46188</v>
      </c>
      <c r="I625" s="3">
        <v>46191</v>
      </c>
      <c r="J625" t="s">
        <v>595</v>
      </c>
      <c r="K625" s="3">
        <v>46191</v>
      </c>
      <c r="L625" s="3">
        <v>46188</v>
      </c>
      <c r="M625" s="3">
        <v>46191</v>
      </c>
      <c r="N625" s="3">
        <v>46191</v>
      </c>
      <c r="O625" t="s">
        <v>595</v>
      </c>
      <c r="P625" t="s">
        <v>55</v>
      </c>
      <c r="T625" t="s">
        <v>1109</v>
      </c>
      <c r="V625" t="s">
        <v>330</v>
      </c>
      <c r="W625">
        <v>30.72</v>
      </c>
      <c r="X625" t="s">
        <v>57</v>
      </c>
      <c r="AA625" t="s">
        <v>50</v>
      </c>
      <c r="AB625" t="s">
        <v>94</v>
      </c>
      <c r="AE625">
        <v>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</row>
    <row r="626" spans="1:42" x14ac:dyDescent="0.25">
      <c r="A626">
        <v>732</v>
      </c>
      <c r="B626" t="s">
        <v>1254</v>
      </c>
      <c r="C626" t="s">
        <v>1255</v>
      </c>
      <c r="D626" t="s">
        <v>117</v>
      </c>
      <c r="E626" s="4">
        <v>1</v>
      </c>
      <c r="F626" t="s">
        <v>61</v>
      </c>
      <c r="G626" t="s">
        <v>61</v>
      </c>
      <c r="H626" s="3">
        <v>46188</v>
      </c>
      <c r="I626" s="3">
        <v>46188</v>
      </c>
      <c r="J626" t="s">
        <v>595</v>
      </c>
      <c r="K626" s="3">
        <v>46188</v>
      </c>
      <c r="L626" s="3">
        <v>46188</v>
      </c>
      <c r="M626" s="3">
        <v>46188</v>
      </c>
      <c r="N626" s="3">
        <v>46188</v>
      </c>
      <c r="O626" t="s">
        <v>595</v>
      </c>
      <c r="P626" t="s">
        <v>55</v>
      </c>
      <c r="Q626">
        <v>620</v>
      </c>
      <c r="S626" t="s">
        <v>1058</v>
      </c>
      <c r="T626" t="s">
        <v>1109</v>
      </c>
      <c r="U626">
        <v>733</v>
      </c>
      <c r="V626" t="s">
        <v>151</v>
      </c>
      <c r="W626">
        <v>13.4</v>
      </c>
      <c r="X626" t="s">
        <v>57</v>
      </c>
      <c r="Z626" t="s">
        <v>1058</v>
      </c>
      <c r="AA626" t="s">
        <v>462</v>
      </c>
      <c r="AE626">
        <v>1</v>
      </c>
      <c r="AF626">
        <v>1</v>
      </c>
      <c r="AG626">
        <v>1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1</v>
      </c>
    </row>
    <row r="627" spans="1:42" x14ac:dyDescent="0.25">
      <c r="A627">
        <v>733</v>
      </c>
      <c r="B627" t="s">
        <v>1256</v>
      </c>
      <c r="C627" t="s">
        <v>1255</v>
      </c>
      <c r="D627" t="s">
        <v>121</v>
      </c>
      <c r="E627" s="4">
        <v>1</v>
      </c>
      <c r="F627" t="s">
        <v>61</v>
      </c>
      <c r="G627" t="s">
        <v>61</v>
      </c>
      <c r="H627" s="3">
        <v>46189</v>
      </c>
      <c r="I627" s="3">
        <v>46189</v>
      </c>
      <c r="J627" t="s">
        <v>576</v>
      </c>
      <c r="K627" s="3">
        <v>46189</v>
      </c>
      <c r="L627" s="3">
        <v>46189</v>
      </c>
      <c r="M627" s="3">
        <v>46189</v>
      </c>
      <c r="N627" s="3">
        <v>46189</v>
      </c>
      <c r="O627" t="s">
        <v>576</v>
      </c>
      <c r="P627" t="s">
        <v>55</v>
      </c>
      <c r="Q627">
        <v>732</v>
      </c>
      <c r="S627" t="s">
        <v>124</v>
      </c>
      <c r="T627" t="s">
        <v>1109</v>
      </c>
      <c r="U627">
        <v>734</v>
      </c>
      <c r="V627" t="s">
        <v>122</v>
      </c>
      <c r="W627">
        <v>13.4</v>
      </c>
      <c r="X627" t="s">
        <v>57</v>
      </c>
      <c r="Z627" t="s">
        <v>124</v>
      </c>
      <c r="AA627" t="s">
        <v>131</v>
      </c>
      <c r="AE627">
        <v>1</v>
      </c>
      <c r="AF627">
        <v>0</v>
      </c>
      <c r="AG627">
        <v>0</v>
      </c>
      <c r="AH627">
        <v>0</v>
      </c>
      <c r="AI627">
        <v>0</v>
      </c>
      <c r="AJ627">
        <v>1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</row>
    <row r="628" spans="1:42" x14ac:dyDescent="0.25">
      <c r="A628">
        <v>734</v>
      </c>
      <c r="B628" t="s">
        <v>1257</v>
      </c>
      <c r="C628" t="s">
        <v>1255</v>
      </c>
      <c r="D628" t="s">
        <v>126</v>
      </c>
      <c r="E628" s="4">
        <v>1</v>
      </c>
      <c r="F628" t="s">
        <v>61</v>
      </c>
      <c r="G628" t="s">
        <v>61</v>
      </c>
      <c r="H628" s="3">
        <v>46190</v>
      </c>
      <c r="I628" s="3">
        <v>46190</v>
      </c>
      <c r="J628" t="s">
        <v>75</v>
      </c>
      <c r="K628" s="3">
        <v>46190</v>
      </c>
      <c r="L628" s="3">
        <v>46190</v>
      </c>
      <c r="M628" s="3">
        <v>46190</v>
      </c>
      <c r="N628" s="3">
        <v>46190</v>
      </c>
      <c r="O628" t="s">
        <v>75</v>
      </c>
      <c r="P628" t="s">
        <v>55</v>
      </c>
      <c r="Q628">
        <v>733</v>
      </c>
      <c r="S628" t="s">
        <v>1058</v>
      </c>
      <c r="T628" t="s">
        <v>1109</v>
      </c>
      <c r="U628">
        <v>735</v>
      </c>
      <c r="V628" t="s">
        <v>61</v>
      </c>
      <c r="W628">
        <v>13.4</v>
      </c>
      <c r="X628" t="s">
        <v>57</v>
      </c>
      <c r="Z628" t="s">
        <v>1058</v>
      </c>
      <c r="AA628" t="s">
        <v>131</v>
      </c>
      <c r="AE628">
        <v>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1</v>
      </c>
      <c r="AM628">
        <v>0</v>
      </c>
      <c r="AN628">
        <v>0</v>
      </c>
      <c r="AO628">
        <v>0</v>
      </c>
      <c r="AP628">
        <v>0</v>
      </c>
    </row>
    <row r="629" spans="1:42" x14ac:dyDescent="0.25">
      <c r="A629">
        <v>735</v>
      </c>
      <c r="B629" t="s">
        <v>1258</v>
      </c>
      <c r="C629" t="s">
        <v>1255</v>
      </c>
      <c r="D629" t="s">
        <v>133</v>
      </c>
      <c r="E629" s="4">
        <v>1</v>
      </c>
      <c r="F629" t="s">
        <v>61</v>
      </c>
      <c r="G629" t="s">
        <v>61</v>
      </c>
      <c r="H629" s="3">
        <v>46191</v>
      </c>
      <c r="I629" s="3">
        <v>46191</v>
      </c>
      <c r="J629" t="s">
        <v>480</v>
      </c>
      <c r="K629" s="3">
        <v>46191</v>
      </c>
      <c r="L629" s="3">
        <v>46191</v>
      </c>
      <c r="M629" s="3">
        <v>46191</v>
      </c>
      <c r="N629" s="3">
        <v>46191</v>
      </c>
      <c r="O629" t="s">
        <v>480</v>
      </c>
      <c r="P629" t="s">
        <v>55</v>
      </c>
      <c r="Q629">
        <v>734</v>
      </c>
      <c r="S629" t="s">
        <v>124</v>
      </c>
      <c r="T629" t="s">
        <v>1109</v>
      </c>
      <c r="V629" t="s">
        <v>61</v>
      </c>
      <c r="W629">
        <v>13.4</v>
      </c>
      <c r="X629" t="s">
        <v>57</v>
      </c>
      <c r="Z629" t="s">
        <v>124</v>
      </c>
      <c r="AA629" t="s">
        <v>131</v>
      </c>
      <c r="AE629">
        <v>1</v>
      </c>
      <c r="AF629">
        <v>0</v>
      </c>
      <c r="AG629">
        <v>0</v>
      </c>
      <c r="AH629">
        <v>0</v>
      </c>
      <c r="AI629">
        <v>1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0</v>
      </c>
      <c r="AP629">
        <v>0</v>
      </c>
    </row>
    <row r="630" spans="1:42" x14ac:dyDescent="0.25">
      <c r="A630">
        <v>736</v>
      </c>
      <c r="B630" t="s">
        <v>1259</v>
      </c>
      <c r="C630" t="s">
        <v>1109</v>
      </c>
      <c r="D630" t="s">
        <v>1260</v>
      </c>
      <c r="E630" s="4">
        <v>1</v>
      </c>
      <c r="F630" t="s">
        <v>114</v>
      </c>
      <c r="G630" t="s">
        <v>114</v>
      </c>
      <c r="H630" s="3">
        <v>46155</v>
      </c>
      <c r="I630" s="3">
        <v>46167</v>
      </c>
      <c r="J630" t="s">
        <v>201</v>
      </c>
      <c r="K630" s="3">
        <v>46199</v>
      </c>
      <c r="L630" s="3">
        <v>46181</v>
      </c>
      <c r="M630" s="3">
        <v>46167</v>
      </c>
      <c r="N630" s="3">
        <v>46167</v>
      </c>
      <c r="O630" t="s">
        <v>68</v>
      </c>
      <c r="P630" t="s">
        <v>55</v>
      </c>
      <c r="T630" t="s">
        <v>1109</v>
      </c>
      <c r="V630" t="s">
        <v>330</v>
      </c>
      <c r="W630">
        <v>30.72</v>
      </c>
      <c r="X630" t="s">
        <v>57</v>
      </c>
      <c r="AA630" t="s">
        <v>50</v>
      </c>
      <c r="AE630">
        <v>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</row>
    <row r="631" spans="1:42" x14ac:dyDescent="0.25">
      <c r="A631">
        <v>737</v>
      </c>
      <c r="B631" t="s">
        <v>1261</v>
      </c>
      <c r="C631" t="s">
        <v>1262</v>
      </c>
      <c r="D631" t="s">
        <v>117</v>
      </c>
      <c r="E631" s="4">
        <v>1</v>
      </c>
      <c r="F631" t="s">
        <v>127</v>
      </c>
      <c r="G631" t="s">
        <v>127</v>
      </c>
      <c r="H631" s="3">
        <v>46155</v>
      </c>
      <c r="I631" s="3">
        <v>46156</v>
      </c>
      <c r="J631" t="s">
        <v>201</v>
      </c>
      <c r="K631" s="3">
        <v>46192</v>
      </c>
      <c r="L631" s="3">
        <v>46181</v>
      </c>
      <c r="M631" s="3">
        <v>46156</v>
      </c>
      <c r="N631" s="3">
        <v>46156</v>
      </c>
      <c r="O631" t="s">
        <v>68</v>
      </c>
      <c r="P631" t="s">
        <v>55</v>
      </c>
      <c r="Q631">
        <v>620</v>
      </c>
      <c r="S631" t="s">
        <v>1058</v>
      </c>
      <c r="T631" t="s">
        <v>1109</v>
      </c>
      <c r="U631">
        <v>738</v>
      </c>
      <c r="V631" t="s">
        <v>151</v>
      </c>
      <c r="W631">
        <v>13.4</v>
      </c>
      <c r="X631" t="s">
        <v>57</v>
      </c>
      <c r="Z631" t="s">
        <v>1058</v>
      </c>
      <c r="AA631" t="s">
        <v>462</v>
      </c>
      <c r="AE631">
        <v>1</v>
      </c>
      <c r="AF631">
        <v>1</v>
      </c>
      <c r="AG631">
        <v>1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1</v>
      </c>
    </row>
    <row r="632" spans="1:42" x14ac:dyDescent="0.25">
      <c r="A632">
        <v>738</v>
      </c>
      <c r="B632" t="s">
        <v>1263</v>
      </c>
      <c r="C632" t="s">
        <v>1262</v>
      </c>
      <c r="D632" t="s">
        <v>121</v>
      </c>
      <c r="E632" s="4">
        <v>1</v>
      </c>
      <c r="F632" t="s">
        <v>122</v>
      </c>
      <c r="G632" t="s">
        <v>122</v>
      </c>
      <c r="H632" s="3">
        <v>46156</v>
      </c>
      <c r="I632" s="3">
        <v>46160</v>
      </c>
      <c r="J632" t="s">
        <v>219</v>
      </c>
      <c r="K632" s="3">
        <v>46197</v>
      </c>
      <c r="L632" s="3">
        <v>46195</v>
      </c>
      <c r="M632" s="3">
        <v>46160</v>
      </c>
      <c r="N632" s="3">
        <v>46160</v>
      </c>
      <c r="O632" t="s">
        <v>406</v>
      </c>
      <c r="P632" t="s">
        <v>55</v>
      </c>
      <c r="Q632">
        <v>737</v>
      </c>
      <c r="S632" t="s">
        <v>124</v>
      </c>
      <c r="T632" t="s">
        <v>1109</v>
      </c>
      <c r="U632">
        <v>739</v>
      </c>
      <c r="V632" t="s">
        <v>122</v>
      </c>
      <c r="W632">
        <v>13.4</v>
      </c>
      <c r="X632" t="s">
        <v>57</v>
      </c>
      <c r="Z632" t="s">
        <v>124</v>
      </c>
      <c r="AA632" t="s">
        <v>131</v>
      </c>
      <c r="AE632">
        <v>1</v>
      </c>
      <c r="AF632">
        <v>0</v>
      </c>
      <c r="AG632">
        <v>0</v>
      </c>
      <c r="AH632">
        <v>0</v>
      </c>
      <c r="AI632">
        <v>0</v>
      </c>
      <c r="AJ632">
        <v>1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</row>
    <row r="633" spans="1:42" x14ac:dyDescent="0.25">
      <c r="A633">
        <v>739</v>
      </c>
      <c r="B633" t="s">
        <v>1264</v>
      </c>
      <c r="C633" t="s">
        <v>1262</v>
      </c>
      <c r="D633" t="s">
        <v>126</v>
      </c>
      <c r="E633" s="4">
        <v>1</v>
      </c>
      <c r="F633" t="s">
        <v>122</v>
      </c>
      <c r="G633" t="s">
        <v>122</v>
      </c>
      <c r="H633" s="3">
        <v>46161</v>
      </c>
      <c r="I633" s="3">
        <v>46163</v>
      </c>
      <c r="J633" t="s">
        <v>128</v>
      </c>
      <c r="K633" s="3">
        <v>46198</v>
      </c>
      <c r="L633" s="3">
        <v>46198</v>
      </c>
      <c r="M633" s="3">
        <v>46163</v>
      </c>
      <c r="N633" s="3">
        <v>46163</v>
      </c>
      <c r="O633" t="s">
        <v>90</v>
      </c>
      <c r="P633" t="s">
        <v>55</v>
      </c>
      <c r="Q633">
        <v>738</v>
      </c>
      <c r="S633" t="s">
        <v>1058</v>
      </c>
      <c r="T633" t="s">
        <v>1109</v>
      </c>
      <c r="U633">
        <v>740</v>
      </c>
      <c r="V633" t="s">
        <v>61</v>
      </c>
      <c r="W633">
        <v>13.4</v>
      </c>
      <c r="X633" t="s">
        <v>57</v>
      </c>
      <c r="Z633" t="s">
        <v>1058</v>
      </c>
      <c r="AA633" t="s">
        <v>131</v>
      </c>
      <c r="AE633">
        <v>1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1</v>
      </c>
      <c r="AM633">
        <v>0</v>
      </c>
      <c r="AN633">
        <v>0</v>
      </c>
      <c r="AO633">
        <v>0</v>
      </c>
      <c r="AP633">
        <v>0</v>
      </c>
    </row>
    <row r="634" spans="1:42" x14ac:dyDescent="0.25">
      <c r="A634">
        <v>740</v>
      </c>
      <c r="B634" t="s">
        <v>1265</v>
      </c>
      <c r="C634" t="s">
        <v>1262</v>
      </c>
      <c r="D634" t="s">
        <v>133</v>
      </c>
      <c r="E634" s="4">
        <v>1</v>
      </c>
      <c r="F634" t="s">
        <v>127</v>
      </c>
      <c r="G634" t="s">
        <v>127</v>
      </c>
      <c r="H634" s="3">
        <v>46164</v>
      </c>
      <c r="I634" s="3">
        <v>46167</v>
      </c>
      <c r="J634" t="s">
        <v>134</v>
      </c>
      <c r="K634" s="3">
        <v>46199</v>
      </c>
      <c r="L634" s="3">
        <v>46199</v>
      </c>
      <c r="M634" s="3">
        <v>46167</v>
      </c>
      <c r="N634" s="3">
        <v>46167</v>
      </c>
      <c r="O634" t="s">
        <v>471</v>
      </c>
      <c r="P634" t="s">
        <v>55</v>
      </c>
      <c r="Q634">
        <v>739</v>
      </c>
      <c r="S634" t="s">
        <v>124</v>
      </c>
      <c r="T634" t="s">
        <v>1109</v>
      </c>
      <c r="V634" t="s">
        <v>61</v>
      </c>
      <c r="W634">
        <v>13.4</v>
      </c>
      <c r="X634" t="s">
        <v>57</v>
      </c>
      <c r="Z634" t="s">
        <v>124</v>
      </c>
      <c r="AA634" t="s">
        <v>131</v>
      </c>
      <c r="AE634">
        <v>1</v>
      </c>
      <c r="AF634">
        <v>0</v>
      </c>
      <c r="AG634">
        <v>0</v>
      </c>
      <c r="AH634">
        <v>0</v>
      </c>
      <c r="AI634">
        <v>1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0</v>
      </c>
      <c r="AP634">
        <v>0</v>
      </c>
    </row>
    <row r="635" spans="1:42" x14ac:dyDescent="0.25">
      <c r="A635">
        <v>741</v>
      </c>
      <c r="B635" t="s">
        <v>1266</v>
      </c>
      <c r="C635" t="s">
        <v>1109</v>
      </c>
      <c r="D635" t="s">
        <v>1267</v>
      </c>
      <c r="E635" s="4">
        <v>1</v>
      </c>
      <c r="F635" t="s">
        <v>365</v>
      </c>
      <c r="G635" t="s">
        <v>365</v>
      </c>
      <c r="H635" s="3">
        <v>46155</v>
      </c>
      <c r="I635" s="3">
        <v>46174</v>
      </c>
      <c r="J635" t="s">
        <v>201</v>
      </c>
      <c r="K635" s="3">
        <v>46199</v>
      </c>
      <c r="L635" s="3">
        <v>46181</v>
      </c>
      <c r="M635" s="3">
        <v>46174</v>
      </c>
      <c r="N635" s="3">
        <v>46174</v>
      </c>
      <c r="O635" t="s">
        <v>68</v>
      </c>
      <c r="P635" t="s">
        <v>55</v>
      </c>
      <c r="T635" t="s">
        <v>1109</v>
      </c>
      <c r="V635" t="s">
        <v>330</v>
      </c>
      <c r="W635">
        <v>30.72</v>
      </c>
      <c r="X635" t="s">
        <v>57</v>
      </c>
      <c r="AA635" t="s">
        <v>50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</row>
    <row r="636" spans="1:42" x14ac:dyDescent="0.25">
      <c r="A636">
        <v>742</v>
      </c>
      <c r="B636" t="s">
        <v>1268</v>
      </c>
      <c r="C636" t="s">
        <v>1269</v>
      </c>
      <c r="D636" t="s">
        <v>117</v>
      </c>
      <c r="E636" s="4">
        <v>1</v>
      </c>
      <c r="F636" t="s">
        <v>122</v>
      </c>
      <c r="G636" t="s">
        <v>122</v>
      </c>
      <c r="H636" s="3">
        <v>46155</v>
      </c>
      <c r="I636" s="3">
        <v>46157</v>
      </c>
      <c r="J636" t="s">
        <v>201</v>
      </c>
      <c r="K636" s="3">
        <v>46192</v>
      </c>
      <c r="L636" s="3">
        <v>46181</v>
      </c>
      <c r="M636" s="3">
        <v>46157</v>
      </c>
      <c r="N636" s="3">
        <v>46157</v>
      </c>
      <c r="O636" t="s">
        <v>68</v>
      </c>
      <c r="P636" t="s">
        <v>55</v>
      </c>
      <c r="Q636">
        <v>620</v>
      </c>
      <c r="S636" t="s">
        <v>1058</v>
      </c>
      <c r="T636" t="s">
        <v>1109</v>
      </c>
      <c r="U636">
        <v>743</v>
      </c>
      <c r="V636" t="s">
        <v>151</v>
      </c>
      <c r="W636">
        <v>13.4</v>
      </c>
      <c r="X636" t="s">
        <v>57</v>
      </c>
      <c r="Z636" t="s">
        <v>1058</v>
      </c>
      <c r="AA636" t="s">
        <v>462</v>
      </c>
      <c r="AE636">
        <v>1</v>
      </c>
      <c r="AF636">
        <v>1</v>
      </c>
      <c r="AG636">
        <v>1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1</v>
      </c>
    </row>
    <row r="637" spans="1:42" x14ac:dyDescent="0.25">
      <c r="A637">
        <v>743</v>
      </c>
      <c r="B637" t="s">
        <v>1270</v>
      </c>
      <c r="C637" t="s">
        <v>1269</v>
      </c>
      <c r="D637" t="s">
        <v>121</v>
      </c>
      <c r="E637" s="4">
        <v>1</v>
      </c>
      <c r="F637" t="s">
        <v>61</v>
      </c>
      <c r="G637" t="s">
        <v>61</v>
      </c>
      <c r="H637" s="3">
        <v>46160</v>
      </c>
      <c r="I637" s="3">
        <v>46160</v>
      </c>
      <c r="J637" t="s">
        <v>219</v>
      </c>
      <c r="K637" s="3">
        <v>46197</v>
      </c>
      <c r="L637" s="3">
        <v>46195</v>
      </c>
      <c r="M637" s="3">
        <v>46160</v>
      </c>
      <c r="N637" s="3">
        <v>46160</v>
      </c>
      <c r="O637" t="s">
        <v>185</v>
      </c>
      <c r="P637" t="s">
        <v>55</v>
      </c>
      <c r="Q637">
        <v>742</v>
      </c>
      <c r="S637" t="s">
        <v>124</v>
      </c>
      <c r="T637" t="s">
        <v>1109</v>
      </c>
      <c r="U637">
        <v>744</v>
      </c>
      <c r="V637" t="s">
        <v>122</v>
      </c>
      <c r="W637">
        <v>13.4</v>
      </c>
      <c r="X637" t="s">
        <v>57</v>
      </c>
      <c r="Z637" t="s">
        <v>124</v>
      </c>
      <c r="AA637" t="s">
        <v>131</v>
      </c>
      <c r="AE637">
        <v>1</v>
      </c>
      <c r="AF637">
        <v>0</v>
      </c>
      <c r="AG637">
        <v>0</v>
      </c>
      <c r="AH637">
        <v>0</v>
      </c>
      <c r="AI637">
        <v>0</v>
      </c>
      <c r="AJ637">
        <v>1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</row>
    <row r="638" spans="1:42" x14ac:dyDescent="0.25">
      <c r="A638">
        <v>744</v>
      </c>
      <c r="B638" t="s">
        <v>1271</v>
      </c>
      <c r="C638" t="s">
        <v>1269</v>
      </c>
      <c r="D638" t="s">
        <v>126</v>
      </c>
      <c r="E638" s="4">
        <v>1</v>
      </c>
      <c r="F638" t="s">
        <v>61</v>
      </c>
      <c r="G638" t="s">
        <v>61</v>
      </c>
      <c r="H638" s="3">
        <v>46164</v>
      </c>
      <c r="I638" s="3">
        <v>46164</v>
      </c>
      <c r="J638" t="s">
        <v>128</v>
      </c>
      <c r="K638" s="3">
        <v>46198</v>
      </c>
      <c r="L638" s="3">
        <v>46198</v>
      </c>
      <c r="M638" s="3">
        <v>46164</v>
      </c>
      <c r="N638" s="3">
        <v>46164</v>
      </c>
      <c r="O638" t="s">
        <v>471</v>
      </c>
      <c r="P638" t="s">
        <v>55</v>
      </c>
      <c r="Q638">
        <v>743</v>
      </c>
      <c r="S638" t="s">
        <v>1058</v>
      </c>
      <c r="T638" t="s">
        <v>1109</v>
      </c>
      <c r="U638">
        <v>745</v>
      </c>
      <c r="V638" t="s">
        <v>61</v>
      </c>
      <c r="W638">
        <v>13.4</v>
      </c>
      <c r="X638" t="s">
        <v>57</v>
      </c>
      <c r="Z638" t="s">
        <v>1058</v>
      </c>
      <c r="AA638" t="s">
        <v>131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1</v>
      </c>
      <c r="AM638">
        <v>0</v>
      </c>
      <c r="AN638">
        <v>0</v>
      </c>
      <c r="AO638">
        <v>0</v>
      </c>
      <c r="AP638">
        <v>0</v>
      </c>
    </row>
    <row r="639" spans="1:42" x14ac:dyDescent="0.25">
      <c r="A639">
        <v>745</v>
      </c>
      <c r="B639" t="s">
        <v>1272</v>
      </c>
      <c r="C639" t="s">
        <v>1269</v>
      </c>
      <c r="D639" t="s">
        <v>133</v>
      </c>
      <c r="E639" s="4">
        <v>1</v>
      </c>
      <c r="F639" t="s">
        <v>63</v>
      </c>
      <c r="G639" t="s">
        <v>63</v>
      </c>
      <c r="H639" s="3">
        <v>46174</v>
      </c>
      <c r="I639" s="3">
        <v>46174</v>
      </c>
      <c r="J639" t="s">
        <v>134</v>
      </c>
      <c r="K639" s="3">
        <v>46199</v>
      </c>
      <c r="L639" s="3">
        <v>46199</v>
      </c>
      <c r="M639" s="3">
        <v>46174</v>
      </c>
      <c r="N639" s="3">
        <v>46174</v>
      </c>
      <c r="O639" t="s">
        <v>193</v>
      </c>
      <c r="P639" t="s">
        <v>55</v>
      </c>
      <c r="Q639">
        <v>744</v>
      </c>
      <c r="S639" t="s">
        <v>124</v>
      </c>
      <c r="T639" t="s">
        <v>1109</v>
      </c>
      <c r="V639" t="s">
        <v>61</v>
      </c>
      <c r="W639">
        <v>13.4</v>
      </c>
      <c r="X639" t="s">
        <v>57</v>
      </c>
      <c r="Z639" t="s">
        <v>124</v>
      </c>
      <c r="AA639" t="s">
        <v>131</v>
      </c>
      <c r="AE639">
        <v>1</v>
      </c>
      <c r="AF639">
        <v>0</v>
      </c>
      <c r="AG639">
        <v>0</v>
      </c>
      <c r="AH639">
        <v>0</v>
      </c>
      <c r="AI639">
        <v>1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0</v>
      </c>
      <c r="AP639">
        <v>0</v>
      </c>
    </row>
    <row r="640" spans="1:42" x14ac:dyDescent="0.25">
      <c r="A640">
        <v>746</v>
      </c>
      <c r="B640" t="s">
        <v>1273</v>
      </c>
      <c r="C640" t="s">
        <v>1109</v>
      </c>
      <c r="D640" t="s">
        <v>1274</v>
      </c>
      <c r="E640" s="4">
        <v>1</v>
      </c>
      <c r="F640" t="s">
        <v>365</v>
      </c>
      <c r="G640" t="s">
        <v>365</v>
      </c>
      <c r="H640" s="3">
        <v>46155</v>
      </c>
      <c r="I640" s="3">
        <v>46174</v>
      </c>
      <c r="J640" t="s">
        <v>68</v>
      </c>
      <c r="K640" s="3">
        <v>46174</v>
      </c>
      <c r="L640" s="3">
        <v>46155</v>
      </c>
      <c r="M640" s="3">
        <v>46174</v>
      </c>
      <c r="N640" s="3">
        <v>46174</v>
      </c>
      <c r="O640" t="s">
        <v>68</v>
      </c>
      <c r="P640" t="s">
        <v>55</v>
      </c>
      <c r="T640" t="s">
        <v>1109</v>
      </c>
      <c r="V640" t="s">
        <v>330</v>
      </c>
      <c r="W640">
        <v>30.72</v>
      </c>
      <c r="X640" t="s">
        <v>57</v>
      </c>
      <c r="AA640" t="s">
        <v>50</v>
      </c>
      <c r="AB640" t="s">
        <v>94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</row>
    <row r="641" spans="1:42" x14ac:dyDescent="0.25">
      <c r="A641">
        <v>747</v>
      </c>
      <c r="B641" t="s">
        <v>1275</v>
      </c>
      <c r="C641" t="s">
        <v>1276</v>
      </c>
      <c r="D641" t="s">
        <v>117</v>
      </c>
      <c r="E641" s="4">
        <v>1</v>
      </c>
      <c r="F641" t="s">
        <v>122</v>
      </c>
      <c r="G641" t="s">
        <v>122</v>
      </c>
      <c r="H641" s="3">
        <v>46155</v>
      </c>
      <c r="I641" s="3">
        <v>46157</v>
      </c>
      <c r="J641" t="s">
        <v>68</v>
      </c>
      <c r="K641" s="3">
        <v>46157</v>
      </c>
      <c r="L641" s="3">
        <v>46155</v>
      </c>
      <c r="M641" s="3">
        <v>46157</v>
      </c>
      <c r="N641" s="3">
        <v>46157</v>
      </c>
      <c r="O641" t="s">
        <v>68</v>
      </c>
      <c r="P641" t="s">
        <v>55</v>
      </c>
      <c r="Q641">
        <v>620</v>
      </c>
      <c r="S641" t="s">
        <v>1058</v>
      </c>
      <c r="T641" t="s">
        <v>1109</v>
      </c>
      <c r="U641">
        <v>748</v>
      </c>
      <c r="V641" t="s">
        <v>151</v>
      </c>
      <c r="W641">
        <v>13.4</v>
      </c>
      <c r="X641" t="s">
        <v>57</v>
      </c>
      <c r="Z641" t="s">
        <v>1058</v>
      </c>
      <c r="AA641" t="s">
        <v>462</v>
      </c>
      <c r="AE641">
        <v>1</v>
      </c>
      <c r="AF641">
        <v>1</v>
      </c>
      <c r="AG641">
        <v>1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1</v>
      </c>
    </row>
    <row r="642" spans="1:42" x14ac:dyDescent="0.25">
      <c r="A642">
        <v>748</v>
      </c>
      <c r="B642" t="s">
        <v>1277</v>
      </c>
      <c r="C642" t="s">
        <v>1276</v>
      </c>
      <c r="D642" t="s">
        <v>121</v>
      </c>
      <c r="E642" s="4">
        <v>1</v>
      </c>
      <c r="F642" t="s">
        <v>61</v>
      </c>
      <c r="G642" t="s">
        <v>61</v>
      </c>
      <c r="H642" s="3">
        <v>46160</v>
      </c>
      <c r="I642" s="3">
        <v>46160</v>
      </c>
      <c r="J642" t="s">
        <v>185</v>
      </c>
      <c r="K642" s="3">
        <v>46160</v>
      </c>
      <c r="L642" s="3">
        <v>46160</v>
      </c>
      <c r="M642" s="3">
        <v>46160</v>
      </c>
      <c r="N642" s="3">
        <v>46160</v>
      </c>
      <c r="O642" t="s">
        <v>185</v>
      </c>
      <c r="P642" t="s">
        <v>55</v>
      </c>
      <c r="Q642">
        <v>747</v>
      </c>
      <c r="S642" t="s">
        <v>124</v>
      </c>
      <c r="T642" t="s">
        <v>1109</v>
      </c>
      <c r="U642">
        <v>749</v>
      </c>
      <c r="V642" t="s">
        <v>122</v>
      </c>
      <c r="W642">
        <v>13.4</v>
      </c>
      <c r="X642" t="s">
        <v>57</v>
      </c>
      <c r="Z642" t="s">
        <v>124</v>
      </c>
      <c r="AA642" t="s">
        <v>131</v>
      </c>
      <c r="AE642">
        <v>1</v>
      </c>
      <c r="AF642">
        <v>0</v>
      </c>
      <c r="AG642">
        <v>0</v>
      </c>
      <c r="AH642">
        <v>0</v>
      </c>
      <c r="AI642">
        <v>0</v>
      </c>
      <c r="AJ642">
        <v>1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</row>
    <row r="643" spans="1:42" x14ac:dyDescent="0.25">
      <c r="A643">
        <v>749</v>
      </c>
      <c r="B643" t="s">
        <v>1278</v>
      </c>
      <c r="C643" t="s">
        <v>1276</v>
      </c>
      <c r="D643" t="s">
        <v>126</v>
      </c>
      <c r="E643" s="4">
        <v>1</v>
      </c>
      <c r="F643" t="s">
        <v>61</v>
      </c>
      <c r="G643" t="s">
        <v>61</v>
      </c>
      <c r="H643" s="3">
        <v>46164</v>
      </c>
      <c r="I643" s="3">
        <v>46164</v>
      </c>
      <c r="J643" t="s">
        <v>471</v>
      </c>
      <c r="K643" s="3">
        <v>46164</v>
      </c>
      <c r="L643" s="3">
        <v>46164</v>
      </c>
      <c r="M643" s="3">
        <v>46164</v>
      </c>
      <c r="N643" s="3">
        <v>46164</v>
      </c>
      <c r="O643" t="s">
        <v>471</v>
      </c>
      <c r="P643" t="s">
        <v>55</v>
      </c>
      <c r="Q643">
        <v>748</v>
      </c>
      <c r="S643" t="s">
        <v>1058</v>
      </c>
      <c r="T643" t="s">
        <v>1109</v>
      </c>
      <c r="U643">
        <v>750</v>
      </c>
      <c r="V643" t="s">
        <v>61</v>
      </c>
      <c r="W643">
        <v>13.4</v>
      </c>
      <c r="X643" t="s">
        <v>57</v>
      </c>
      <c r="Z643" t="s">
        <v>1058</v>
      </c>
      <c r="AA643" t="s">
        <v>131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1</v>
      </c>
      <c r="AM643">
        <v>0</v>
      </c>
      <c r="AN643">
        <v>0</v>
      </c>
      <c r="AO643">
        <v>0</v>
      </c>
      <c r="AP643">
        <v>0</v>
      </c>
    </row>
    <row r="644" spans="1:42" x14ac:dyDescent="0.25">
      <c r="A644">
        <v>750</v>
      </c>
      <c r="B644" t="s">
        <v>1279</v>
      </c>
      <c r="C644" t="s">
        <v>1276</v>
      </c>
      <c r="D644" t="s">
        <v>133</v>
      </c>
      <c r="E644" s="4">
        <v>1</v>
      </c>
      <c r="F644" t="s">
        <v>63</v>
      </c>
      <c r="G644" t="s">
        <v>63</v>
      </c>
      <c r="H644" s="3">
        <v>46174</v>
      </c>
      <c r="I644" s="3">
        <v>46174</v>
      </c>
      <c r="J644" t="s">
        <v>193</v>
      </c>
      <c r="K644" s="3">
        <v>46174</v>
      </c>
      <c r="L644" s="3">
        <v>46174</v>
      </c>
      <c r="M644" s="3">
        <v>46174</v>
      </c>
      <c r="N644" s="3">
        <v>46174</v>
      </c>
      <c r="O644" t="s">
        <v>193</v>
      </c>
      <c r="P644" t="s">
        <v>55</v>
      </c>
      <c r="Q644">
        <v>749</v>
      </c>
      <c r="S644" t="s">
        <v>124</v>
      </c>
      <c r="T644" t="s">
        <v>1109</v>
      </c>
      <c r="V644" t="s">
        <v>61</v>
      </c>
      <c r="W644">
        <v>13.4</v>
      </c>
      <c r="X644" t="s">
        <v>57</v>
      </c>
      <c r="Z644" t="s">
        <v>124</v>
      </c>
      <c r="AA644" t="s">
        <v>131</v>
      </c>
      <c r="AE644">
        <v>1</v>
      </c>
      <c r="AF644">
        <v>0</v>
      </c>
      <c r="AG644">
        <v>0</v>
      </c>
      <c r="AH644">
        <v>0</v>
      </c>
      <c r="AI644">
        <v>1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0</v>
      </c>
      <c r="AP644">
        <v>0</v>
      </c>
    </row>
    <row r="645" spans="1:42" x14ac:dyDescent="0.25">
      <c r="A645">
        <v>751</v>
      </c>
      <c r="B645" t="s">
        <v>1280</v>
      </c>
      <c r="C645" t="s">
        <v>1109</v>
      </c>
      <c r="D645" t="s">
        <v>1281</v>
      </c>
      <c r="E645" s="4">
        <v>1</v>
      </c>
      <c r="F645" t="s">
        <v>101</v>
      </c>
      <c r="G645" t="s">
        <v>101</v>
      </c>
      <c r="H645" s="3">
        <v>46188</v>
      </c>
      <c r="I645" s="3">
        <v>46191</v>
      </c>
      <c r="J645" t="s">
        <v>201</v>
      </c>
      <c r="K645" s="3">
        <v>46199</v>
      </c>
      <c r="L645" s="3">
        <v>46181</v>
      </c>
      <c r="M645" s="3">
        <v>46191</v>
      </c>
      <c r="N645" s="3">
        <v>46191</v>
      </c>
      <c r="O645" t="s">
        <v>595</v>
      </c>
      <c r="P645" t="s">
        <v>55</v>
      </c>
      <c r="T645" t="s">
        <v>1109</v>
      </c>
      <c r="V645" t="s">
        <v>330</v>
      </c>
      <c r="W645">
        <v>30.72</v>
      </c>
      <c r="X645" t="s">
        <v>57</v>
      </c>
      <c r="AA645" t="s">
        <v>50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</row>
    <row r="646" spans="1:42" x14ac:dyDescent="0.25">
      <c r="A646">
        <v>752</v>
      </c>
      <c r="B646" t="s">
        <v>1282</v>
      </c>
      <c r="C646" t="s">
        <v>1283</v>
      </c>
      <c r="D646" t="s">
        <v>117</v>
      </c>
      <c r="E646" s="4">
        <v>1</v>
      </c>
      <c r="F646" t="s">
        <v>127</v>
      </c>
      <c r="G646" t="s">
        <v>127</v>
      </c>
      <c r="H646" s="3">
        <v>46188</v>
      </c>
      <c r="I646" s="3">
        <v>46189</v>
      </c>
      <c r="J646" t="s">
        <v>201</v>
      </c>
      <c r="K646" s="3">
        <v>46192</v>
      </c>
      <c r="L646" s="3">
        <v>46181</v>
      </c>
      <c r="M646" s="3">
        <v>46189</v>
      </c>
      <c r="N646" s="3">
        <v>46189</v>
      </c>
      <c r="O646" t="s">
        <v>595</v>
      </c>
      <c r="P646" t="s">
        <v>55</v>
      </c>
      <c r="Q646">
        <v>620</v>
      </c>
      <c r="S646" t="s">
        <v>1058</v>
      </c>
      <c r="T646" t="s">
        <v>1109</v>
      </c>
      <c r="U646">
        <v>753</v>
      </c>
      <c r="V646" t="s">
        <v>151</v>
      </c>
      <c r="W646">
        <v>13.4</v>
      </c>
      <c r="X646" t="s">
        <v>57</v>
      </c>
      <c r="Z646" t="s">
        <v>1058</v>
      </c>
      <c r="AA646" t="s">
        <v>462</v>
      </c>
      <c r="AE646">
        <v>1</v>
      </c>
      <c r="AF646">
        <v>1</v>
      </c>
      <c r="AG646">
        <v>1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1</v>
      </c>
    </row>
    <row r="647" spans="1:42" x14ac:dyDescent="0.25">
      <c r="A647">
        <v>753</v>
      </c>
      <c r="B647" t="s">
        <v>1284</v>
      </c>
      <c r="C647" t="s">
        <v>1283</v>
      </c>
      <c r="D647" t="s">
        <v>121</v>
      </c>
      <c r="E647" s="4">
        <v>1</v>
      </c>
      <c r="F647" t="s">
        <v>63</v>
      </c>
      <c r="G647" t="s">
        <v>63</v>
      </c>
      <c r="H647" s="3">
        <v>46189</v>
      </c>
      <c r="I647" s="3">
        <v>46189</v>
      </c>
      <c r="J647" t="s">
        <v>219</v>
      </c>
      <c r="K647" s="3">
        <v>46197</v>
      </c>
      <c r="L647" s="3">
        <v>46195</v>
      </c>
      <c r="M647" s="3">
        <v>46189</v>
      </c>
      <c r="N647" s="3">
        <v>46189</v>
      </c>
      <c r="O647" t="s">
        <v>576</v>
      </c>
      <c r="P647" t="s">
        <v>55</v>
      </c>
      <c r="Q647">
        <v>752</v>
      </c>
      <c r="S647" t="s">
        <v>124</v>
      </c>
      <c r="T647" t="s">
        <v>1109</v>
      </c>
      <c r="U647">
        <v>754</v>
      </c>
      <c r="V647" t="s">
        <v>122</v>
      </c>
      <c r="W647">
        <v>13.4</v>
      </c>
      <c r="X647" t="s">
        <v>57</v>
      </c>
      <c r="Z647" t="s">
        <v>124</v>
      </c>
      <c r="AA647" t="s">
        <v>131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1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</row>
    <row r="648" spans="1:42" x14ac:dyDescent="0.25">
      <c r="A648">
        <v>754</v>
      </c>
      <c r="B648" t="s">
        <v>1285</v>
      </c>
      <c r="C648" t="s">
        <v>1283</v>
      </c>
      <c r="D648" t="s">
        <v>126</v>
      </c>
      <c r="E648" s="4">
        <v>1</v>
      </c>
      <c r="F648" t="s">
        <v>63</v>
      </c>
      <c r="G648" t="s">
        <v>63</v>
      </c>
      <c r="H648" s="3">
        <v>46190</v>
      </c>
      <c r="I648" s="3">
        <v>46190</v>
      </c>
      <c r="J648" t="s">
        <v>128</v>
      </c>
      <c r="K648" s="3">
        <v>46198</v>
      </c>
      <c r="L648" s="3">
        <v>46198</v>
      </c>
      <c r="M648" s="3">
        <v>46190</v>
      </c>
      <c r="N648" s="3">
        <v>46190</v>
      </c>
      <c r="O648" t="s">
        <v>75</v>
      </c>
      <c r="P648" t="s">
        <v>55</v>
      </c>
      <c r="Q648">
        <v>753</v>
      </c>
      <c r="S648" t="s">
        <v>1058</v>
      </c>
      <c r="T648" t="s">
        <v>1109</v>
      </c>
      <c r="U648">
        <v>755</v>
      </c>
      <c r="V648" t="s">
        <v>61</v>
      </c>
      <c r="W648">
        <v>13.4</v>
      </c>
      <c r="X648" t="s">
        <v>57</v>
      </c>
      <c r="Z648" t="s">
        <v>1058</v>
      </c>
      <c r="AA648" t="s">
        <v>131</v>
      </c>
      <c r="AE648">
        <v>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1</v>
      </c>
      <c r="AM648">
        <v>0</v>
      </c>
      <c r="AN648">
        <v>0</v>
      </c>
      <c r="AO648">
        <v>0</v>
      </c>
      <c r="AP648">
        <v>0</v>
      </c>
    </row>
    <row r="649" spans="1:42" x14ac:dyDescent="0.25">
      <c r="A649">
        <v>755</v>
      </c>
      <c r="B649" t="s">
        <v>1286</v>
      </c>
      <c r="C649" t="s">
        <v>1283</v>
      </c>
      <c r="D649" t="s">
        <v>133</v>
      </c>
      <c r="E649" s="4">
        <v>1</v>
      </c>
      <c r="F649" t="s">
        <v>63</v>
      </c>
      <c r="G649" t="s">
        <v>63</v>
      </c>
      <c r="H649" s="3">
        <v>46191</v>
      </c>
      <c r="I649" s="3">
        <v>46191</v>
      </c>
      <c r="J649" t="s">
        <v>134</v>
      </c>
      <c r="K649" s="3">
        <v>46199</v>
      </c>
      <c r="L649" s="3">
        <v>46199</v>
      </c>
      <c r="M649" s="3">
        <v>46191</v>
      </c>
      <c r="N649" s="3">
        <v>46191</v>
      </c>
      <c r="O649" t="s">
        <v>480</v>
      </c>
      <c r="P649" t="s">
        <v>55</v>
      </c>
      <c r="Q649">
        <v>754</v>
      </c>
      <c r="S649" t="s">
        <v>124</v>
      </c>
      <c r="T649" t="s">
        <v>1109</v>
      </c>
      <c r="V649" t="s">
        <v>61</v>
      </c>
      <c r="W649">
        <v>13.4</v>
      </c>
      <c r="X649" t="s">
        <v>57</v>
      </c>
      <c r="Z649" t="s">
        <v>124</v>
      </c>
      <c r="AA649" t="s">
        <v>131</v>
      </c>
      <c r="AE649">
        <v>1</v>
      </c>
      <c r="AF649">
        <v>0</v>
      </c>
      <c r="AG649">
        <v>0</v>
      </c>
      <c r="AH649">
        <v>0</v>
      </c>
      <c r="AI649">
        <v>1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0</v>
      </c>
      <c r="AP649">
        <v>0</v>
      </c>
    </row>
    <row r="650" spans="1:42" x14ac:dyDescent="0.25">
      <c r="A650">
        <v>756</v>
      </c>
      <c r="B650" t="s">
        <v>1287</v>
      </c>
      <c r="C650" t="s">
        <v>1109</v>
      </c>
      <c r="D650" t="s">
        <v>1288</v>
      </c>
      <c r="E650" s="4">
        <v>1</v>
      </c>
      <c r="F650" t="s">
        <v>138</v>
      </c>
      <c r="G650" t="s">
        <v>138</v>
      </c>
      <c r="H650" s="3">
        <v>46192</v>
      </c>
      <c r="I650" s="3">
        <v>46198</v>
      </c>
      <c r="J650" t="s">
        <v>211</v>
      </c>
      <c r="K650" s="3">
        <v>46198</v>
      </c>
      <c r="L650" s="3">
        <v>46192</v>
      </c>
      <c r="M650" s="3">
        <v>46198</v>
      </c>
      <c r="N650" s="3">
        <v>46198</v>
      </c>
      <c r="O650" t="s">
        <v>211</v>
      </c>
      <c r="P650" t="s">
        <v>55</v>
      </c>
      <c r="T650" t="s">
        <v>1109</v>
      </c>
      <c r="V650" t="s">
        <v>330</v>
      </c>
      <c r="W650">
        <v>30.72</v>
      </c>
      <c r="X650" t="s">
        <v>57</v>
      </c>
      <c r="AA650" t="s">
        <v>50</v>
      </c>
      <c r="AB650" t="s">
        <v>94</v>
      </c>
      <c r="AE650">
        <v>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</row>
    <row r="651" spans="1:42" x14ac:dyDescent="0.25">
      <c r="A651">
        <v>757</v>
      </c>
      <c r="B651" t="s">
        <v>1289</v>
      </c>
      <c r="C651" t="s">
        <v>1290</v>
      </c>
      <c r="D651" t="s">
        <v>117</v>
      </c>
      <c r="E651" s="4">
        <v>1</v>
      </c>
      <c r="F651" t="s">
        <v>127</v>
      </c>
      <c r="G651" t="s">
        <v>127</v>
      </c>
      <c r="H651" s="3">
        <v>46192</v>
      </c>
      <c r="I651" s="3">
        <v>46195</v>
      </c>
      <c r="J651" t="s">
        <v>211</v>
      </c>
      <c r="K651" s="3">
        <v>46195</v>
      </c>
      <c r="L651" s="3">
        <v>46192</v>
      </c>
      <c r="M651" s="3">
        <v>46195</v>
      </c>
      <c r="N651" s="3">
        <v>46195</v>
      </c>
      <c r="O651" t="s">
        <v>211</v>
      </c>
      <c r="P651" t="s">
        <v>55</v>
      </c>
      <c r="Q651">
        <v>620</v>
      </c>
      <c r="S651" t="s">
        <v>1058</v>
      </c>
      <c r="T651" t="s">
        <v>1109</v>
      </c>
      <c r="U651">
        <v>758</v>
      </c>
      <c r="V651" t="s">
        <v>151</v>
      </c>
      <c r="W651">
        <v>13.4</v>
      </c>
      <c r="X651" t="s">
        <v>57</v>
      </c>
      <c r="Z651" t="s">
        <v>1058</v>
      </c>
      <c r="AA651" t="s">
        <v>462</v>
      </c>
      <c r="AE651">
        <v>1</v>
      </c>
      <c r="AF651">
        <v>1</v>
      </c>
      <c r="AG651">
        <v>1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1</v>
      </c>
    </row>
    <row r="652" spans="1:42" x14ac:dyDescent="0.25">
      <c r="A652">
        <v>758</v>
      </c>
      <c r="B652" t="s">
        <v>1291</v>
      </c>
      <c r="C652" t="s">
        <v>1290</v>
      </c>
      <c r="D652" t="s">
        <v>121</v>
      </c>
      <c r="E652" s="4">
        <v>1</v>
      </c>
      <c r="F652" t="s">
        <v>61</v>
      </c>
      <c r="G652" t="s">
        <v>61</v>
      </c>
      <c r="H652" s="3">
        <v>46196</v>
      </c>
      <c r="I652" s="3">
        <v>46196</v>
      </c>
      <c r="J652" t="s">
        <v>212</v>
      </c>
      <c r="K652" s="3">
        <v>46196</v>
      </c>
      <c r="L652" s="3">
        <v>46196</v>
      </c>
      <c r="M652" s="3">
        <v>46196</v>
      </c>
      <c r="N652" s="3">
        <v>46196</v>
      </c>
      <c r="O652" t="s">
        <v>212</v>
      </c>
      <c r="P652" t="s">
        <v>55</v>
      </c>
      <c r="Q652">
        <v>757</v>
      </c>
      <c r="S652" t="s">
        <v>124</v>
      </c>
      <c r="T652" t="s">
        <v>1109</v>
      </c>
      <c r="U652">
        <v>759</v>
      </c>
      <c r="V652" t="s">
        <v>122</v>
      </c>
      <c r="W652">
        <v>13.4</v>
      </c>
      <c r="X652" t="s">
        <v>57</v>
      </c>
      <c r="Z652" t="s">
        <v>124</v>
      </c>
      <c r="AA652" t="s">
        <v>131</v>
      </c>
      <c r="AE652">
        <v>1</v>
      </c>
      <c r="AF652">
        <v>0</v>
      </c>
      <c r="AG652">
        <v>0</v>
      </c>
      <c r="AH652">
        <v>0</v>
      </c>
      <c r="AI652">
        <v>0</v>
      </c>
      <c r="AJ652">
        <v>1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</row>
    <row r="653" spans="1:42" x14ac:dyDescent="0.25">
      <c r="A653">
        <v>759</v>
      </c>
      <c r="B653" t="s">
        <v>1292</v>
      </c>
      <c r="C653" t="s">
        <v>1290</v>
      </c>
      <c r="D653" t="s">
        <v>126</v>
      </c>
      <c r="E653" s="4">
        <v>1</v>
      </c>
      <c r="F653" t="s">
        <v>61</v>
      </c>
      <c r="G653" t="s">
        <v>61</v>
      </c>
      <c r="H653" s="3">
        <v>46197</v>
      </c>
      <c r="I653" s="3">
        <v>46197</v>
      </c>
      <c r="J653" t="s">
        <v>207</v>
      </c>
      <c r="K653" s="3">
        <v>46197</v>
      </c>
      <c r="L653" s="3">
        <v>46197</v>
      </c>
      <c r="M653" s="3">
        <v>46197</v>
      </c>
      <c r="N653" s="3">
        <v>46197</v>
      </c>
      <c r="O653" t="s">
        <v>207</v>
      </c>
      <c r="P653" t="s">
        <v>55</v>
      </c>
      <c r="Q653">
        <v>758</v>
      </c>
      <c r="S653" t="s">
        <v>1058</v>
      </c>
      <c r="T653" t="s">
        <v>1109</v>
      </c>
      <c r="U653">
        <v>760</v>
      </c>
      <c r="V653" t="s">
        <v>61</v>
      </c>
      <c r="W653">
        <v>13.4</v>
      </c>
      <c r="X653" t="s">
        <v>57</v>
      </c>
      <c r="Z653" t="s">
        <v>1058</v>
      </c>
      <c r="AA653" t="s">
        <v>131</v>
      </c>
      <c r="AE653">
        <v>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1</v>
      </c>
      <c r="AM653">
        <v>0</v>
      </c>
      <c r="AN653">
        <v>0</v>
      </c>
      <c r="AO653">
        <v>0</v>
      </c>
      <c r="AP653">
        <v>0</v>
      </c>
    </row>
    <row r="654" spans="1:42" x14ac:dyDescent="0.25">
      <c r="A654">
        <v>760</v>
      </c>
      <c r="B654" t="s">
        <v>1293</v>
      </c>
      <c r="C654" t="s">
        <v>1290</v>
      </c>
      <c r="D654" t="s">
        <v>133</v>
      </c>
      <c r="E654" s="4">
        <v>1</v>
      </c>
      <c r="F654" t="s">
        <v>61</v>
      </c>
      <c r="G654" t="s">
        <v>61</v>
      </c>
      <c r="H654" s="3">
        <v>46192</v>
      </c>
      <c r="I654" s="3">
        <v>46198</v>
      </c>
      <c r="J654" t="s">
        <v>211</v>
      </c>
      <c r="K654" s="3">
        <v>46198</v>
      </c>
      <c r="L654" s="3">
        <v>46192</v>
      </c>
      <c r="M654" s="3">
        <v>46198</v>
      </c>
      <c r="N654" s="3">
        <v>46198</v>
      </c>
      <c r="O654" t="s">
        <v>211</v>
      </c>
      <c r="P654" t="s">
        <v>55</v>
      </c>
      <c r="Q654">
        <v>759</v>
      </c>
      <c r="S654" t="s">
        <v>124</v>
      </c>
      <c r="T654" t="s">
        <v>1109</v>
      </c>
      <c r="V654" t="s">
        <v>61</v>
      </c>
      <c r="W654">
        <v>13.4</v>
      </c>
      <c r="X654" t="s">
        <v>57</v>
      </c>
      <c r="Z654" t="s">
        <v>124</v>
      </c>
      <c r="AA654" t="s">
        <v>131</v>
      </c>
      <c r="AE654">
        <v>1</v>
      </c>
      <c r="AF654">
        <v>0</v>
      </c>
      <c r="AG654">
        <v>0</v>
      </c>
      <c r="AH654">
        <v>0</v>
      </c>
      <c r="AI654">
        <v>1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0</v>
      </c>
      <c r="AP654">
        <v>0</v>
      </c>
    </row>
    <row r="655" spans="1:42" x14ac:dyDescent="0.25">
      <c r="A655">
        <v>761</v>
      </c>
      <c r="B655" t="s">
        <v>1294</v>
      </c>
      <c r="C655" t="s">
        <v>1109</v>
      </c>
      <c r="D655" t="s">
        <v>1295</v>
      </c>
      <c r="E655" s="4">
        <v>1</v>
      </c>
      <c r="F655" t="s">
        <v>690</v>
      </c>
      <c r="G655" t="s">
        <v>690</v>
      </c>
      <c r="H655" s="3">
        <v>46160</v>
      </c>
      <c r="I655" s="3">
        <v>46175</v>
      </c>
      <c r="J655" t="s">
        <v>201</v>
      </c>
      <c r="K655" s="3">
        <v>46199</v>
      </c>
      <c r="L655" s="3">
        <v>46181</v>
      </c>
      <c r="M655" s="3">
        <v>46175</v>
      </c>
      <c r="N655" s="3">
        <v>46175</v>
      </c>
      <c r="O655" t="s">
        <v>185</v>
      </c>
      <c r="P655" t="s">
        <v>55</v>
      </c>
      <c r="T655" t="s">
        <v>1109</v>
      </c>
      <c r="V655" t="s">
        <v>330</v>
      </c>
      <c r="W655">
        <v>30.72</v>
      </c>
      <c r="X655" t="s">
        <v>57</v>
      </c>
      <c r="AA655" t="s">
        <v>50</v>
      </c>
      <c r="AE655">
        <v>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</row>
    <row r="656" spans="1:42" x14ac:dyDescent="0.25">
      <c r="A656">
        <v>762</v>
      </c>
      <c r="B656" t="s">
        <v>1296</v>
      </c>
      <c r="C656" t="s">
        <v>1297</v>
      </c>
      <c r="D656" t="s">
        <v>117</v>
      </c>
      <c r="E656" s="4">
        <v>1</v>
      </c>
      <c r="F656" t="s">
        <v>63</v>
      </c>
      <c r="G656" t="s">
        <v>63</v>
      </c>
      <c r="H656" s="3">
        <v>46160</v>
      </c>
      <c r="I656" s="3">
        <v>46163</v>
      </c>
      <c r="J656" t="s">
        <v>201</v>
      </c>
      <c r="K656" s="3">
        <v>46192</v>
      </c>
      <c r="L656" s="3">
        <v>46181</v>
      </c>
      <c r="M656" s="3">
        <v>46163</v>
      </c>
      <c r="N656" s="3">
        <v>46163</v>
      </c>
      <c r="O656" t="s">
        <v>185</v>
      </c>
      <c r="P656" t="s">
        <v>55</v>
      </c>
      <c r="Q656">
        <v>620</v>
      </c>
      <c r="S656" t="s">
        <v>1058</v>
      </c>
      <c r="T656" t="s">
        <v>1109</v>
      </c>
      <c r="U656">
        <v>763</v>
      </c>
      <c r="V656" t="s">
        <v>151</v>
      </c>
      <c r="W656">
        <v>13.4</v>
      </c>
      <c r="X656" t="s">
        <v>57</v>
      </c>
      <c r="Z656" t="s">
        <v>1058</v>
      </c>
      <c r="AA656" t="s">
        <v>462</v>
      </c>
      <c r="AE656">
        <v>1</v>
      </c>
      <c r="AF656">
        <v>1</v>
      </c>
      <c r="AG656">
        <v>1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1</v>
      </c>
    </row>
    <row r="657" spans="1:42" x14ac:dyDescent="0.25">
      <c r="A657">
        <v>763</v>
      </c>
      <c r="B657" t="s">
        <v>1298</v>
      </c>
      <c r="C657" t="s">
        <v>1297</v>
      </c>
      <c r="D657" t="s">
        <v>121</v>
      </c>
      <c r="E657" s="4">
        <v>1</v>
      </c>
      <c r="F657" t="s">
        <v>127</v>
      </c>
      <c r="G657" t="s">
        <v>127</v>
      </c>
      <c r="H657" s="3">
        <v>46164</v>
      </c>
      <c r="I657" s="3">
        <v>46167</v>
      </c>
      <c r="J657" t="s">
        <v>219</v>
      </c>
      <c r="K657" s="3">
        <v>46197</v>
      </c>
      <c r="L657" s="3">
        <v>46195</v>
      </c>
      <c r="M657" s="3">
        <v>46167</v>
      </c>
      <c r="N657" s="3">
        <v>46167</v>
      </c>
      <c r="O657" t="s">
        <v>471</v>
      </c>
      <c r="P657" t="s">
        <v>55</v>
      </c>
      <c r="Q657">
        <v>762</v>
      </c>
      <c r="S657" t="s">
        <v>124</v>
      </c>
      <c r="T657" t="s">
        <v>1109</v>
      </c>
      <c r="U657">
        <v>764</v>
      </c>
      <c r="V657" t="s">
        <v>122</v>
      </c>
      <c r="W657">
        <v>13.4</v>
      </c>
      <c r="X657" t="s">
        <v>57</v>
      </c>
      <c r="Z657" t="s">
        <v>124</v>
      </c>
      <c r="AA657" t="s">
        <v>131</v>
      </c>
      <c r="AE657">
        <v>1</v>
      </c>
      <c r="AF657">
        <v>0</v>
      </c>
      <c r="AG657">
        <v>0</v>
      </c>
      <c r="AH657">
        <v>0</v>
      </c>
      <c r="AI657">
        <v>0</v>
      </c>
      <c r="AJ657">
        <v>1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</row>
    <row r="658" spans="1:42" x14ac:dyDescent="0.25">
      <c r="A658">
        <v>764</v>
      </c>
      <c r="B658" t="s">
        <v>1299</v>
      </c>
      <c r="C658" t="s">
        <v>1297</v>
      </c>
      <c r="D658" t="s">
        <v>126</v>
      </c>
      <c r="E658" s="4">
        <v>1</v>
      </c>
      <c r="F658" t="s">
        <v>122</v>
      </c>
      <c r="G658" t="s">
        <v>122</v>
      </c>
      <c r="H658" s="3">
        <v>46168</v>
      </c>
      <c r="I658" s="3">
        <v>46170</v>
      </c>
      <c r="J658" t="s">
        <v>128</v>
      </c>
      <c r="K658" s="3">
        <v>46198</v>
      </c>
      <c r="L658" s="3">
        <v>46198</v>
      </c>
      <c r="M658" s="3">
        <v>46170</v>
      </c>
      <c r="N658" s="3">
        <v>46170</v>
      </c>
      <c r="O658" t="s">
        <v>206</v>
      </c>
      <c r="P658" t="s">
        <v>55</v>
      </c>
      <c r="Q658">
        <v>763</v>
      </c>
      <c r="S658" t="s">
        <v>1058</v>
      </c>
      <c r="T658" t="s">
        <v>1109</v>
      </c>
      <c r="U658">
        <v>765</v>
      </c>
      <c r="V658" t="s">
        <v>61</v>
      </c>
      <c r="W658">
        <v>13.4</v>
      </c>
      <c r="X658" t="s">
        <v>57</v>
      </c>
      <c r="Z658" t="s">
        <v>1058</v>
      </c>
      <c r="AA658" t="s">
        <v>131</v>
      </c>
      <c r="AE658">
        <v>1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1</v>
      </c>
      <c r="AM658">
        <v>0</v>
      </c>
      <c r="AN658">
        <v>0</v>
      </c>
      <c r="AO658">
        <v>0</v>
      </c>
      <c r="AP658">
        <v>0</v>
      </c>
    </row>
    <row r="659" spans="1:42" x14ac:dyDescent="0.25">
      <c r="A659">
        <v>765</v>
      </c>
      <c r="B659" t="s">
        <v>1300</v>
      </c>
      <c r="C659" t="s">
        <v>1297</v>
      </c>
      <c r="D659" t="s">
        <v>133</v>
      </c>
      <c r="E659" s="4">
        <v>1</v>
      </c>
      <c r="F659" t="s">
        <v>122</v>
      </c>
      <c r="G659" t="s">
        <v>122</v>
      </c>
      <c r="H659" s="3">
        <v>46170</v>
      </c>
      <c r="I659" s="3">
        <v>46175</v>
      </c>
      <c r="J659" t="s">
        <v>134</v>
      </c>
      <c r="K659" s="3">
        <v>46199</v>
      </c>
      <c r="L659" s="3">
        <v>46199</v>
      </c>
      <c r="M659" s="3">
        <v>46175</v>
      </c>
      <c r="N659" s="3">
        <v>46175</v>
      </c>
      <c r="O659" t="s">
        <v>448</v>
      </c>
      <c r="P659" t="s">
        <v>55</v>
      </c>
      <c r="Q659">
        <v>764</v>
      </c>
      <c r="S659" t="s">
        <v>124</v>
      </c>
      <c r="T659" t="s">
        <v>1109</v>
      </c>
      <c r="U659" t="s">
        <v>1301</v>
      </c>
      <c r="V659" t="s">
        <v>61</v>
      </c>
      <c r="W659">
        <v>13.4</v>
      </c>
      <c r="X659" t="s">
        <v>57</v>
      </c>
      <c r="Z659" t="s">
        <v>124</v>
      </c>
      <c r="AA659" t="s">
        <v>131</v>
      </c>
      <c r="AE659">
        <v>1</v>
      </c>
      <c r="AF659">
        <v>0</v>
      </c>
      <c r="AG659">
        <v>0</v>
      </c>
      <c r="AH659">
        <v>0</v>
      </c>
      <c r="AI659">
        <v>1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0</v>
      </c>
      <c r="AP659">
        <v>0</v>
      </c>
    </row>
    <row r="660" spans="1:42" x14ac:dyDescent="0.25">
      <c r="A660">
        <v>766</v>
      </c>
      <c r="B660" t="s">
        <v>1302</v>
      </c>
      <c r="C660" t="s">
        <v>1109</v>
      </c>
      <c r="D660" t="s">
        <v>1303</v>
      </c>
      <c r="E660" s="4">
        <v>1</v>
      </c>
      <c r="F660" t="s">
        <v>214</v>
      </c>
      <c r="G660" t="s">
        <v>214</v>
      </c>
      <c r="H660" s="3">
        <v>46160</v>
      </c>
      <c r="I660" s="3">
        <v>46167</v>
      </c>
      <c r="J660" t="s">
        <v>201</v>
      </c>
      <c r="K660" s="3">
        <v>46199</v>
      </c>
      <c r="L660" s="3">
        <v>46181</v>
      </c>
      <c r="M660" s="3">
        <v>46167</v>
      </c>
      <c r="N660" s="3">
        <v>46167</v>
      </c>
      <c r="O660" t="s">
        <v>185</v>
      </c>
      <c r="P660" t="s">
        <v>55</v>
      </c>
      <c r="T660" t="s">
        <v>1109</v>
      </c>
      <c r="V660" t="s">
        <v>330</v>
      </c>
      <c r="W660">
        <v>30.72</v>
      </c>
      <c r="X660" t="s">
        <v>57</v>
      </c>
      <c r="AA660" t="s">
        <v>50</v>
      </c>
      <c r="AE660">
        <v>1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</row>
    <row r="661" spans="1:42" x14ac:dyDescent="0.25">
      <c r="A661">
        <v>767</v>
      </c>
      <c r="B661" t="s">
        <v>1304</v>
      </c>
      <c r="C661" t="s">
        <v>1305</v>
      </c>
      <c r="D661" t="s">
        <v>117</v>
      </c>
      <c r="E661" s="4">
        <v>1</v>
      </c>
      <c r="F661" t="s">
        <v>63</v>
      </c>
      <c r="G661" t="s">
        <v>63</v>
      </c>
      <c r="H661" s="3">
        <v>46160</v>
      </c>
      <c r="I661" s="3">
        <v>46164</v>
      </c>
      <c r="J661" t="s">
        <v>201</v>
      </c>
      <c r="K661" s="3">
        <v>46192</v>
      </c>
      <c r="L661" s="3">
        <v>46181</v>
      </c>
      <c r="M661" s="3">
        <v>46164</v>
      </c>
      <c r="N661" s="3">
        <v>46164</v>
      </c>
      <c r="O661" t="s">
        <v>185</v>
      </c>
      <c r="P661" t="s">
        <v>55</v>
      </c>
      <c r="Q661">
        <v>620</v>
      </c>
      <c r="S661" t="s">
        <v>1058</v>
      </c>
      <c r="T661" t="s">
        <v>1109</v>
      </c>
      <c r="U661">
        <v>768</v>
      </c>
      <c r="V661" t="s">
        <v>151</v>
      </c>
      <c r="W661">
        <v>13.4</v>
      </c>
      <c r="X661" t="s">
        <v>57</v>
      </c>
      <c r="Z661" t="s">
        <v>1058</v>
      </c>
      <c r="AA661" t="s">
        <v>462</v>
      </c>
      <c r="AE661">
        <v>1</v>
      </c>
      <c r="AF661">
        <v>1</v>
      </c>
      <c r="AG661">
        <v>1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1</v>
      </c>
    </row>
    <row r="662" spans="1:42" x14ac:dyDescent="0.25">
      <c r="A662">
        <v>768</v>
      </c>
      <c r="B662" t="s">
        <v>1306</v>
      </c>
      <c r="C662" t="s">
        <v>1305</v>
      </c>
      <c r="D662" t="s">
        <v>121</v>
      </c>
      <c r="E662" s="4">
        <v>1</v>
      </c>
      <c r="F662" t="s">
        <v>61</v>
      </c>
      <c r="G662" t="s">
        <v>61</v>
      </c>
      <c r="H662" s="3">
        <v>46164</v>
      </c>
      <c r="I662" s="3">
        <v>46167</v>
      </c>
      <c r="J662" t="s">
        <v>219</v>
      </c>
      <c r="K662" s="3">
        <v>46197</v>
      </c>
      <c r="L662" s="3">
        <v>46195</v>
      </c>
      <c r="M662" s="3">
        <v>46167</v>
      </c>
      <c r="N662" s="3">
        <v>46167</v>
      </c>
      <c r="O662" t="s">
        <v>471</v>
      </c>
      <c r="P662" t="s">
        <v>55</v>
      </c>
      <c r="Q662">
        <v>767</v>
      </c>
      <c r="S662" t="s">
        <v>124</v>
      </c>
      <c r="T662" t="s">
        <v>1109</v>
      </c>
      <c r="U662">
        <v>769</v>
      </c>
      <c r="V662" t="s">
        <v>122</v>
      </c>
      <c r="W662">
        <v>13.4</v>
      </c>
      <c r="X662" t="s">
        <v>57</v>
      </c>
      <c r="Z662" t="s">
        <v>124</v>
      </c>
      <c r="AA662" t="s">
        <v>131</v>
      </c>
      <c r="AE662">
        <v>1</v>
      </c>
      <c r="AF662">
        <v>0</v>
      </c>
      <c r="AG662">
        <v>0</v>
      </c>
      <c r="AH662">
        <v>0</v>
      </c>
      <c r="AI662">
        <v>0</v>
      </c>
      <c r="AJ662">
        <v>1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</row>
    <row r="663" spans="1:42" x14ac:dyDescent="0.25">
      <c r="A663">
        <v>769</v>
      </c>
      <c r="B663" t="s">
        <v>1307</v>
      </c>
      <c r="C663" t="s">
        <v>1305</v>
      </c>
      <c r="D663" t="s">
        <v>126</v>
      </c>
      <c r="E663" s="4">
        <v>1</v>
      </c>
      <c r="F663" t="s">
        <v>63</v>
      </c>
      <c r="G663" t="s">
        <v>63</v>
      </c>
      <c r="H663" s="3">
        <v>46167</v>
      </c>
      <c r="I663" s="3">
        <v>46167</v>
      </c>
      <c r="J663" t="s">
        <v>128</v>
      </c>
      <c r="K663" s="3">
        <v>46198</v>
      </c>
      <c r="L663" s="3">
        <v>46198</v>
      </c>
      <c r="M663" s="3">
        <v>46167</v>
      </c>
      <c r="N663" s="3">
        <v>46167</v>
      </c>
      <c r="O663" t="s">
        <v>74</v>
      </c>
      <c r="P663" t="s">
        <v>55</v>
      </c>
      <c r="Q663">
        <v>768</v>
      </c>
      <c r="S663" t="s">
        <v>1058</v>
      </c>
      <c r="T663" t="s">
        <v>1109</v>
      </c>
      <c r="U663">
        <v>770</v>
      </c>
      <c r="V663" t="s">
        <v>61</v>
      </c>
      <c r="W663">
        <v>13.4</v>
      </c>
      <c r="X663" t="s">
        <v>57</v>
      </c>
      <c r="Z663" t="s">
        <v>1058</v>
      </c>
      <c r="AA663" t="s">
        <v>131</v>
      </c>
      <c r="AE663">
        <v>1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1</v>
      </c>
      <c r="AM663">
        <v>0</v>
      </c>
      <c r="AN663">
        <v>0</v>
      </c>
      <c r="AO663">
        <v>0</v>
      </c>
      <c r="AP663">
        <v>0</v>
      </c>
    </row>
    <row r="664" spans="1:42" x14ac:dyDescent="0.25">
      <c r="A664">
        <v>770</v>
      </c>
      <c r="B664" t="s">
        <v>1308</v>
      </c>
      <c r="C664" t="s">
        <v>1305</v>
      </c>
      <c r="D664" t="s">
        <v>133</v>
      </c>
      <c r="E664" s="4">
        <v>1</v>
      </c>
      <c r="F664" t="s">
        <v>63</v>
      </c>
      <c r="G664" t="s">
        <v>63</v>
      </c>
      <c r="H664" s="3">
        <v>46167</v>
      </c>
      <c r="I664" s="3">
        <v>46167</v>
      </c>
      <c r="J664" t="s">
        <v>134</v>
      </c>
      <c r="K664" s="3">
        <v>46199</v>
      </c>
      <c r="L664" s="3">
        <v>46199</v>
      </c>
      <c r="M664" s="3">
        <v>46167</v>
      </c>
      <c r="N664" s="3">
        <v>46167</v>
      </c>
      <c r="O664" t="s">
        <v>74</v>
      </c>
      <c r="P664" t="s">
        <v>55</v>
      </c>
      <c r="Q664">
        <v>769</v>
      </c>
      <c r="S664" t="s">
        <v>124</v>
      </c>
      <c r="T664" t="s">
        <v>1109</v>
      </c>
      <c r="V664" t="s">
        <v>61</v>
      </c>
      <c r="W664">
        <v>13.4</v>
      </c>
      <c r="X664" t="s">
        <v>57</v>
      </c>
      <c r="Z664" t="s">
        <v>124</v>
      </c>
      <c r="AA664" t="s">
        <v>131</v>
      </c>
      <c r="AE664">
        <v>1</v>
      </c>
      <c r="AF664">
        <v>0</v>
      </c>
      <c r="AG664">
        <v>0</v>
      </c>
      <c r="AH664">
        <v>0</v>
      </c>
      <c r="AI664">
        <v>1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0</v>
      </c>
      <c r="AP664">
        <v>0</v>
      </c>
    </row>
    <row r="665" spans="1:42" x14ac:dyDescent="0.25">
      <c r="A665">
        <v>771</v>
      </c>
      <c r="B665" t="s">
        <v>1309</v>
      </c>
      <c r="C665" t="s">
        <v>1109</v>
      </c>
      <c r="D665" t="s">
        <v>1310</v>
      </c>
      <c r="E665" s="4">
        <v>1</v>
      </c>
      <c r="F665" t="s">
        <v>175</v>
      </c>
      <c r="G665" t="s">
        <v>175</v>
      </c>
      <c r="H665" s="3">
        <v>46160</v>
      </c>
      <c r="I665" s="3">
        <v>46168</v>
      </c>
      <c r="J665" t="s">
        <v>185</v>
      </c>
      <c r="K665" s="3">
        <v>46168</v>
      </c>
      <c r="L665" s="3">
        <v>46160</v>
      </c>
      <c r="M665" s="3">
        <v>46168</v>
      </c>
      <c r="N665" s="3">
        <v>46168</v>
      </c>
      <c r="O665" t="s">
        <v>185</v>
      </c>
      <c r="P665" t="s">
        <v>55</v>
      </c>
      <c r="T665" t="s">
        <v>1109</v>
      </c>
      <c r="V665" t="s">
        <v>330</v>
      </c>
      <c r="W665">
        <v>30.72</v>
      </c>
      <c r="X665" t="s">
        <v>57</v>
      </c>
      <c r="AA665" t="s">
        <v>50</v>
      </c>
      <c r="AB665" t="s">
        <v>94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</row>
    <row r="666" spans="1:42" x14ac:dyDescent="0.25">
      <c r="A666">
        <v>772</v>
      </c>
      <c r="B666" t="s">
        <v>1311</v>
      </c>
      <c r="C666" t="s">
        <v>1312</v>
      </c>
      <c r="D666" t="s">
        <v>117</v>
      </c>
      <c r="E666" s="4">
        <v>1</v>
      </c>
      <c r="F666" t="s">
        <v>61</v>
      </c>
      <c r="G666" t="s">
        <v>61</v>
      </c>
      <c r="H666" s="3">
        <v>46160</v>
      </c>
      <c r="I666" s="3">
        <v>46162</v>
      </c>
      <c r="J666" t="s">
        <v>185</v>
      </c>
      <c r="K666" s="3">
        <v>46162</v>
      </c>
      <c r="L666" s="3">
        <v>46160</v>
      </c>
      <c r="M666" s="3">
        <v>46162</v>
      </c>
      <c r="N666" s="3">
        <v>46162</v>
      </c>
      <c r="O666" t="s">
        <v>185</v>
      </c>
      <c r="P666" t="s">
        <v>55</v>
      </c>
      <c r="S666" t="s">
        <v>1058</v>
      </c>
      <c r="T666" t="s">
        <v>1109</v>
      </c>
      <c r="U666">
        <v>773</v>
      </c>
      <c r="V666" t="s">
        <v>151</v>
      </c>
      <c r="W666">
        <v>13.4</v>
      </c>
      <c r="X666" t="s">
        <v>57</v>
      </c>
      <c r="Z666" t="s">
        <v>1058</v>
      </c>
      <c r="AA666" t="s">
        <v>462</v>
      </c>
      <c r="AE666">
        <v>1</v>
      </c>
      <c r="AF666">
        <v>1</v>
      </c>
      <c r="AG666">
        <v>1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1</v>
      </c>
    </row>
    <row r="667" spans="1:42" x14ac:dyDescent="0.25">
      <c r="A667">
        <v>773</v>
      </c>
      <c r="B667" t="s">
        <v>1313</v>
      </c>
      <c r="C667" t="s">
        <v>1312</v>
      </c>
      <c r="D667" t="s">
        <v>121</v>
      </c>
      <c r="E667" s="4">
        <v>1</v>
      </c>
      <c r="F667" t="s">
        <v>127</v>
      </c>
      <c r="G667" t="s">
        <v>127</v>
      </c>
      <c r="H667" s="3">
        <v>46164</v>
      </c>
      <c r="I667" s="3">
        <v>46167</v>
      </c>
      <c r="J667" t="s">
        <v>471</v>
      </c>
      <c r="K667" s="3">
        <v>46167</v>
      </c>
      <c r="L667" s="3">
        <v>46164</v>
      </c>
      <c r="M667" s="3">
        <v>46167</v>
      </c>
      <c r="N667" s="3">
        <v>46167</v>
      </c>
      <c r="O667" t="s">
        <v>471</v>
      </c>
      <c r="P667" t="s">
        <v>55</v>
      </c>
      <c r="Q667">
        <v>772</v>
      </c>
      <c r="S667" t="s">
        <v>124</v>
      </c>
      <c r="T667" t="s">
        <v>1109</v>
      </c>
      <c r="U667">
        <v>774</v>
      </c>
      <c r="V667" t="s">
        <v>122</v>
      </c>
      <c r="W667">
        <v>13.4</v>
      </c>
      <c r="X667" t="s">
        <v>57</v>
      </c>
      <c r="Z667" t="s">
        <v>124</v>
      </c>
      <c r="AA667" t="s">
        <v>131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1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</row>
    <row r="668" spans="1:42" x14ac:dyDescent="0.25">
      <c r="A668">
        <v>774</v>
      </c>
      <c r="B668" t="s">
        <v>1314</v>
      </c>
      <c r="C668" t="s">
        <v>1312</v>
      </c>
      <c r="D668" t="s">
        <v>126</v>
      </c>
      <c r="E668" s="4">
        <v>1</v>
      </c>
      <c r="F668" t="s">
        <v>61</v>
      </c>
      <c r="G668" t="s">
        <v>61</v>
      </c>
      <c r="H668" s="3">
        <v>46167</v>
      </c>
      <c r="I668" s="3">
        <v>46167</v>
      </c>
      <c r="J668" t="s">
        <v>74</v>
      </c>
      <c r="K668" s="3">
        <v>46167</v>
      </c>
      <c r="L668" s="3">
        <v>46167</v>
      </c>
      <c r="M668" s="3">
        <v>46167</v>
      </c>
      <c r="N668" s="3">
        <v>46167</v>
      </c>
      <c r="O668" t="s">
        <v>74</v>
      </c>
      <c r="P668" t="s">
        <v>55</v>
      </c>
      <c r="Q668">
        <v>773</v>
      </c>
      <c r="S668" t="s">
        <v>1058</v>
      </c>
      <c r="T668" t="s">
        <v>1109</v>
      </c>
      <c r="U668">
        <v>775</v>
      </c>
      <c r="V668" t="s">
        <v>61</v>
      </c>
      <c r="W668">
        <v>13.4</v>
      </c>
      <c r="X668" t="s">
        <v>57</v>
      </c>
      <c r="Z668" t="s">
        <v>1058</v>
      </c>
      <c r="AA668" t="s">
        <v>131</v>
      </c>
      <c r="AE668">
        <v>1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1</v>
      </c>
      <c r="AM668">
        <v>0</v>
      </c>
      <c r="AN668">
        <v>0</v>
      </c>
      <c r="AO668">
        <v>0</v>
      </c>
      <c r="AP668">
        <v>0</v>
      </c>
    </row>
    <row r="669" spans="1:42" x14ac:dyDescent="0.25">
      <c r="A669">
        <v>775</v>
      </c>
      <c r="B669" t="s">
        <v>1315</v>
      </c>
      <c r="C669" t="s">
        <v>1312</v>
      </c>
      <c r="D669" t="s">
        <v>133</v>
      </c>
      <c r="E669" s="4">
        <v>1</v>
      </c>
      <c r="F669" t="s">
        <v>127</v>
      </c>
      <c r="G669" t="s">
        <v>127</v>
      </c>
      <c r="H669" s="3">
        <v>46167</v>
      </c>
      <c r="I669" s="3">
        <v>46168</v>
      </c>
      <c r="J669" t="s">
        <v>74</v>
      </c>
      <c r="K669" s="3">
        <v>46168</v>
      </c>
      <c r="L669" s="3">
        <v>46167</v>
      </c>
      <c r="M669" s="3">
        <v>46168</v>
      </c>
      <c r="N669" s="3">
        <v>46168</v>
      </c>
      <c r="O669" t="s">
        <v>74</v>
      </c>
      <c r="P669" t="s">
        <v>55</v>
      </c>
      <c r="Q669">
        <v>774</v>
      </c>
      <c r="S669" t="s">
        <v>124</v>
      </c>
      <c r="T669" t="s">
        <v>1109</v>
      </c>
      <c r="V669" t="s">
        <v>61</v>
      </c>
      <c r="W669">
        <v>13.4</v>
      </c>
      <c r="X669" t="s">
        <v>57</v>
      </c>
      <c r="Z669" t="s">
        <v>124</v>
      </c>
      <c r="AA669" t="s">
        <v>131</v>
      </c>
      <c r="AE669">
        <v>1</v>
      </c>
      <c r="AF669">
        <v>0</v>
      </c>
      <c r="AG669">
        <v>0</v>
      </c>
      <c r="AH669">
        <v>0</v>
      </c>
      <c r="AI669">
        <v>1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0</v>
      </c>
      <c r="AP669">
        <v>0</v>
      </c>
    </row>
    <row r="670" spans="1:42" x14ac:dyDescent="0.25">
      <c r="A670">
        <v>776</v>
      </c>
      <c r="B670" t="s">
        <v>1316</v>
      </c>
      <c r="C670" t="s">
        <v>1109</v>
      </c>
      <c r="D670" t="s">
        <v>1317</v>
      </c>
      <c r="E670" s="4">
        <v>1</v>
      </c>
      <c r="F670" t="s">
        <v>295</v>
      </c>
      <c r="G670" t="s">
        <v>295</v>
      </c>
      <c r="H670" s="3">
        <v>46169</v>
      </c>
      <c r="I670" s="3">
        <v>46192</v>
      </c>
      <c r="J670" t="s">
        <v>201</v>
      </c>
      <c r="K670" s="3">
        <v>46199</v>
      </c>
      <c r="L670" s="3">
        <v>46181</v>
      </c>
      <c r="M670" s="3">
        <v>46192</v>
      </c>
      <c r="N670" s="3">
        <v>46192</v>
      </c>
      <c r="O670" t="s">
        <v>97</v>
      </c>
      <c r="P670" t="s">
        <v>55</v>
      </c>
      <c r="T670" t="s">
        <v>1109</v>
      </c>
      <c r="V670" t="s">
        <v>330</v>
      </c>
      <c r="W670">
        <v>30.72</v>
      </c>
      <c r="X670" t="s">
        <v>57</v>
      </c>
      <c r="AA670" t="s">
        <v>50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</row>
    <row r="671" spans="1:42" x14ac:dyDescent="0.25">
      <c r="A671">
        <v>777</v>
      </c>
      <c r="B671" t="s">
        <v>1318</v>
      </c>
      <c r="C671" t="s">
        <v>1319</v>
      </c>
      <c r="D671" t="s">
        <v>117</v>
      </c>
      <c r="E671" s="4">
        <v>1</v>
      </c>
      <c r="F671" t="s">
        <v>138</v>
      </c>
      <c r="G671" t="s">
        <v>138</v>
      </c>
      <c r="H671" s="3">
        <v>46169</v>
      </c>
      <c r="I671" s="3">
        <v>46175</v>
      </c>
      <c r="J671" t="s">
        <v>201</v>
      </c>
      <c r="K671" s="3">
        <v>46192</v>
      </c>
      <c r="L671" s="3">
        <v>46181</v>
      </c>
      <c r="M671" s="3">
        <v>46175</v>
      </c>
      <c r="N671" s="3">
        <v>46175</v>
      </c>
      <c r="O671" t="s">
        <v>97</v>
      </c>
      <c r="P671" t="s">
        <v>55</v>
      </c>
      <c r="Q671" t="s">
        <v>1320</v>
      </c>
      <c r="S671" t="s">
        <v>1058</v>
      </c>
      <c r="T671" t="s">
        <v>1109</v>
      </c>
      <c r="U671">
        <v>778</v>
      </c>
      <c r="V671" t="s">
        <v>151</v>
      </c>
      <c r="W671">
        <v>13.4</v>
      </c>
      <c r="X671" t="s">
        <v>57</v>
      </c>
      <c r="Z671" t="s">
        <v>1058</v>
      </c>
      <c r="AA671" t="s">
        <v>462</v>
      </c>
      <c r="AE671">
        <v>1</v>
      </c>
      <c r="AF671">
        <v>1</v>
      </c>
      <c r="AG671">
        <v>1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1</v>
      </c>
    </row>
    <row r="672" spans="1:42" x14ac:dyDescent="0.25">
      <c r="A672">
        <v>778</v>
      </c>
      <c r="B672" t="s">
        <v>1321</v>
      </c>
      <c r="C672" t="s">
        <v>1319</v>
      </c>
      <c r="D672" t="s">
        <v>121</v>
      </c>
      <c r="E672" s="4">
        <v>1</v>
      </c>
      <c r="F672" t="s">
        <v>138</v>
      </c>
      <c r="G672" t="s">
        <v>138</v>
      </c>
      <c r="H672" s="3">
        <v>46176</v>
      </c>
      <c r="I672" s="3">
        <v>46184</v>
      </c>
      <c r="J672" t="s">
        <v>219</v>
      </c>
      <c r="K672" s="3">
        <v>46197</v>
      </c>
      <c r="L672" s="3">
        <v>46195</v>
      </c>
      <c r="M672" s="3">
        <v>46184</v>
      </c>
      <c r="N672" s="3">
        <v>46184</v>
      </c>
      <c r="O672" t="s">
        <v>459</v>
      </c>
      <c r="P672" t="s">
        <v>55</v>
      </c>
      <c r="Q672">
        <v>777</v>
      </c>
      <c r="S672" t="s">
        <v>124</v>
      </c>
      <c r="T672" t="s">
        <v>1109</v>
      </c>
      <c r="U672">
        <v>779</v>
      </c>
      <c r="V672" t="s">
        <v>122</v>
      </c>
      <c r="W672">
        <v>13.4</v>
      </c>
      <c r="X672" t="s">
        <v>57</v>
      </c>
      <c r="Z672" t="s">
        <v>124</v>
      </c>
      <c r="AA672" t="s">
        <v>131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1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</row>
    <row r="673" spans="1:42" x14ac:dyDescent="0.25">
      <c r="A673">
        <v>779</v>
      </c>
      <c r="B673" t="s">
        <v>1322</v>
      </c>
      <c r="C673" t="s">
        <v>1319</v>
      </c>
      <c r="D673" t="s">
        <v>126</v>
      </c>
      <c r="E673" s="4">
        <v>1</v>
      </c>
      <c r="F673" t="s">
        <v>61</v>
      </c>
      <c r="G673" t="s">
        <v>61</v>
      </c>
      <c r="H673" s="3">
        <v>46185</v>
      </c>
      <c r="I673" s="3">
        <v>46185</v>
      </c>
      <c r="J673" t="s">
        <v>128</v>
      </c>
      <c r="K673" s="3">
        <v>46198</v>
      </c>
      <c r="L673" s="3">
        <v>46198</v>
      </c>
      <c r="M673" s="3">
        <v>46185</v>
      </c>
      <c r="N673" s="3">
        <v>46185</v>
      </c>
      <c r="O673" t="s">
        <v>571</v>
      </c>
      <c r="P673" t="s">
        <v>55</v>
      </c>
      <c r="Q673">
        <v>778</v>
      </c>
      <c r="S673" t="s">
        <v>1058</v>
      </c>
      <c r="T673" t="s">
        <v>1109</v>
      </c>
      <c r="U673">
        <v>780</v>
      </c>
      <c r="V673" t="s">
        <v>61</v>
      </c>
      <c r="W673">
        <v>13.4</v>
      </c>
      <c r="X673" t="s">
        <v>57</v>
      </c>
      <c r="Z673" t="s">
        <v>1058</v>
      </c>
      <c r="AA673" t="s">
        <v>131</v>
      </c>
      <c r="AE673">
        <v>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1</v>
      </c>
      <c r="AM673">
        <v>0</v>
      </c>
      <c r="AN673">
        <v>0</v>
      </c>
      <c r="AO673">
        <v>0</v>
      </c>
      <c r="AP673">
        <v>0</v>
      </c>
    </row>
    <row r="674" spans="1:42" x14ac:dyDescent="0.25">
      <c r="A674">
        <v>780</v>
      </c>
      <c r="B674" t="s">
        <v>1323</v>
      </c>
      <c r="C674" t="s">
        <v>1319</v>
      </c>
      <c r="D674" t="s">
        <v>133</v>
      </c>
      <c r="E674" s="4">
        <v>1</v>
      </c>
      <c r="F674" t="s">
        <v>138</v>
      </c>
      <c r="G674" t="s">
        <v>138</v>
      </c>
      <c r="H674" s="3">
        <v>46188</v>
      </c>
      <c r="I674" s="3">
        <v>46192</v>
      </c>
      <c r="J674" t="s">
        <v>134</v>
      </c>
      <c r="K674" s="3">
        <v>46199</v>
      </c>
      <c r="L674" s="3">
        <v>46199</v>
      </c>
      <c r="M674" s="3">
        <v>46192</v>
      </c>
      <c r="N674" s="3">
        <v>46192</v>
      </c>
      <c r="O674" t="s">
        <v>595</v>
      </c>
      <c r="P674" t="s">
        <v>55</v>
      </c>
      <c r="Q674">
        <v>779</v>
      </c>
      <c r="S674" t="s">
        <v>124</v>
      </c>
      <c r="T674" t="s">
        <v>1109</v>
      </c>
      <c r="V674" t="s">
        <v>61</v>
      </c>
      <c r="W674">
        <v>13.4</v>
      </c>
      <c r="X674" t="s">
        <v>57</v>
      </c>
      <c r="Z674" t="s">
        <v>124</v>
      </c>
      <c r="AA674" t="s">
        <v>131</v>
      </c>
      <c r="AE674">
        <v>1</v>
      </c>
      <c r="AF674">
        <v>0</v>
      </c>
      <c r="AG674">
        <v>0</v>
      </c>
      <c r="AH674">
        <v>0</v>
      </c>
      <c r="AI674">
        <v>1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0</v>
      </c>
      <c r="AP674">
        <v>0</v>
      </c>
    </row>
    <row r="675" spans="1:42" x14ac:dyDescent="0.25">
      <c r="A675">
        <v>781</v>
      </c>
      <c r="B675" t="s">
        <v>1324</v>
      </c>
      <c r="C675" t="s">
        <v>1109</v>
      </c>
      <c r="D675" t="s">
        <v>1325</v>
      </c>
      <c r="E675" s="4">
        <v>1</v>
      </c>
      <c r="F675" t="s">
        <v>101</v>
      </c>
      <c r="G675" t="s">
        <v>101</v>
      </c>
      <c r="H675" s="3">
        <v>46192</v>
      </c>
      <c r="I675" s="3">
        <v>46197</v>
      </c>
      <c r="J675" t="s">
        <v>201</v>
      </c>
      <c r="K675" s="3">
        <v>46184</v>
      </c>
      <c r="L675" s="3">
        <v>46181</v>
      </c>
      <c r="M675" s="3">
        <v>46197</v>
      </c>
      <c r="N675" s="3">
        <v>46197</v>
      </c>
      <c r="O675" t="s">
        <v>211</v>
      </c>
      <c r="P675" t="s">
        <v>55</v>
      </c>
      <c r="T675" t="s">
        <v>1109</v>
      </c>
      <c r="V675" t="s">
        <v>101</v>
      </c>
      <c r="W675">
        <v>24.48</v>
      </c>
      <c r="X675" t="s">
        <v>57</v>
      </c>
      <c r="AA675" t="s">
        <v>50</v>
      </c>
      <c r="AE675">
        <v>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</row>
    <row r="676" spans="1:42" x14ac:dyDescent="0.25">
      <c r="A676">
        <v>782</v>
      </c>
      <c r="B676" t="s">
        <v>1326</v>
      </c>
      <c r="C676" t="s">
        <v>1327</v>
      </c>
      <c r="D676" t="s">
        <v>117</v>
      </c>
      <c r="E676" s="4">
        <v>1</v>
      </c>
      <c r="F676" t="s">
        <v>61</v>
      </c>
      <c r="G676" t="s">
        <v>61</v>
      </c>
      <c r="H676" s="3">
        <v>46192</v>
      </c>
      <c r="I676" s="3">
        <v>46192</v>
      </c>
      <c r="J676" t="s">
        <v>201</v>
      </c>
      <c r="K676" s="3">
        <v>46181</v>
      </c>
      <c r="L676" s="3">
        <v>46181</v>
      </c>
      <c r="M676" s="3">
        <v>46192</v>
      </c>
      <c r="N676" s="3">
        <v>46192</v>
      </c>
      <c r="O676" t="s">
        <v>211</v>
      </c>
      <c r="P676" t="s">
        <v>55</v>
      </c>
      <c r="Q676">
        <v>616</v>
      </c>
      <c r="S676" t="s">
        <v>1058</v>
      </c>
      <c r="T676" t="s">
        <v>1109</v>
      </c>
      <c r="U676">
        <v>783</v>
      </c>
      <c r="V676" t="s">
        <v>61</v>
      </c>
      <c r="W676">
        <v>13.4</v>
      </c>
      <c r="X676" t="s">
        <v>57</v>
      </c>
      <c r="Z676" t="s">
        <v>1058</v>
      </c>
      <c r="AA676" t="s">
        <v>462</v>
      </c>
      <c r="AE676">
        <v>1</v>
      </c>
      <c r="AF676">
        <v>1</v>
      </c>
      <c r="AG676">
        <v>1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1</v>
      </c>
    </row>
    <row r="677" spans="1:42" x14ac:dyDescent="0.25">
      <c r="A677">
        <v>783</v>
      </c>
      <c r="B677" t="s">
        <v>1328</v>
      </c>
      <c r="C677" t="s">
        <v>1327</v>
      </c>
      <c r="D677" t="s">
        <v>121</v>
      </c>
      <c r="E677" s="4">
        <v>1</v>
      </c>
      <c r="F677" t="s">
        <v>61</v>
      </c>
      <c r="G677" t="s">
        <v>61</v>
      </c>
      <c r="H677" s="3">
        <v>46195</v>
      </c>
      <c r="I677" s="3">
        <v>46195</v>
      </c>
      <c r="J677" t="s">
        <v>204</v>
      </c>
      <c r="K677" s="3">
        <v>46182</v>
      </c>
      <c r="L677" s="3">
        <v>46182</v>
      </c>
      <c r="M677" s="3">
        <v>46195</v>
      </c>
      <c r="N677" s="3">
        <v>46195</v>
      </c>
      <c r="O677" t="s">
        <v>219</v>
      </c>
      <c r="P677" t="s">
        <v>55</v>
      </c>
      <c r="Q677">
        <v>782</v>
      </c>
      <c r="S677" t="s">
        <v>124</v>
      </c>
      <c r="T677" t="s">
        <v>1109</v>
      </c>
      <c r="U677">
        <v>784</v>
      </c>
      <c r="V677" t="s">
        <v>61</v>
      </c>
      <c r="W677">
        <v>13.4</v>
      </c>
      <c r="X677" t="s">
        <v>57</v>
      </c>
      <c r="Z677" t="s">
        <v>124</v>
      </c>
      <c r="AA677" t="s">
        <v>462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1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</row>
    <row r="678" spans="1:42" x14ac:dyDescent="0.25">
      <c r="A678">
        <v>784</v>
      </c>
      <c r="B678" t="s">
        <v>1329</v>
      </c>
      <c r="C678" t="s">
        <v>1327</v>
      </c>
      <c r="D678" t="s">
        <v>126</v>
      </c>
      <c r="E678" s="4">
        <v>1</v>
      </c>
      <c r="F678" t="s">
        <v>61</v>
      </c>
      <c r="G678" t="s">
        <v>61</v>
      </c>
      <c r="H678" s="3">
        <v>46196</v>
      </c>
      <c r="I678" s="3">
        <v>46196</v>
      </c>
      <c r="J678" t="s">
        <v>592</v>
      </c>
      <c r="K678" s="3">
        <v>46183</v>
      </c>
      <c r="L678" s="3">
        <v>46183</v>
      </c>
      <c r="M678" s="3">
        <v>46196</v>
      </c>
      <c r="N678" s="3">
        <v>46196</v>
      </c>
      <c r="O678" t="s">
        <v>212</v>
      </c>
      <c r="P678" t="s">
        <v>55</v>
      </c>
      <c r="Q678">
        <v>783</v>
      </c>
      <c r="S678" t="s">
        <v>1058</v>
      </c>
      <c r="T678" t="s">
        <v>1109</v>
      </c>
      <c r="U678">
        <v>785</v>
      </c>
      <c r="V678" t="s">
        <v>61</v>
      </c>
      <c r="W678">
        <v>13.4</v>
      </c>
      <c r="X678" t="s">
        <v>57</v>
      </c>
      <c r="Z678" t="s">
        <v>1058</v>
      </c>
      <c r="AA678" t="s">
        <v>462</v>
      </c>
      <c r="AE678">
        <v>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1</v>
      </c>
      <c r="AM678">
        <v>0</v>
      </c>
      <c r="AN678">
        <v>0</v>
      </c>
      <c r="AO678">
        <v>0</v>
      </c>
      <c r="AP678">
        <v>0</v>
      </c>
    </row>
    <row r="679" spans="1:42" x14ac:dyDescent="0.25">
      <c r="A679">
        <v>785</v>
      </c>
      <c r="B679" t="s">
        <v>1330</v>
      </c>
      <c r="C679" t="s">
        <v>1327</v>
      </c>
      <c r="D679" t="s">
        <v>133</v>
      </c>
      <c r="E679" s="4">
        <v>1</v>
      </c>
      <c r="F679" t="s">
        <v>61</v>
      </c>
      <c r="G679" t="s">
        <v>61</v>
      </c>
      <c r="H679" s="3">
        <v>46197</v>
      </c>
      <c r="I679" s="3">
        <v>46197</v>
      </c>
      <c r="J679" t="s">
        <v>476</v>
      </c>
      <c r="K679" s="3">
        <v>46184</v>
      </c>
      <c r="L679" s="3">
        <v>46184</v>
      </c>
      <c r="M679" s="3">
        <v>46197</v>
      </c>
      <c r="N679" s="3">
        <v>46197</v>
      </c>
      <c r="O679" t="s">
        <v>207</v>
      </c>
      <c r="P679" t="s">
        <v>55</v>
      </c>
      <c r="Q679">
        <v>784</v>
      </c>
      <c r="S679" t="s">
        <v>124</v>
      </c>
      <c r="T679" t="s">
        <v>1109</v>
      </c>
      <c r="V679" t="s">
        <v>61</v>
      </c>
      <c r="W679">
        <v>13.4</v>
      </c>
      <c r="X679" t="s">
        <v>57</v>
      </c>
      <c r="Z679" t="s">
        <v>124</v>
      </c>
      <c r="AA679" t="s">
        <v>462</v>
      </c>
      <c r="AE679">
        <v>1</v>
      </c>
      <c r="AF679">
        <v>0</v>
      </c>
      <c r="AG679">
        <v>0</v>
      </c>
      <c r="AH679">
        <v>0</v>
      </c>
      <c r="AI679">
        <v>1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0</v>
      </c>
      <c r="AP679">
        <v>0</v>
      </c>
    </row>
    <row r="680" spans="1:42" x14ac:dyDescent="0.25">
      <c r="A680">
        <v>796</v>
      </c>
      <c r="B680" t="s">
        <v>1331</v>
      </c>
      <c r="C680" t="s">
        <v>1109</v>
      </c>
      <c r="D680" t="s">
        <v>1332</v>
      </c>
      <c r="E680" s="4">
        <v>1</v>
      </c>
      <c r="F680" t="s">
        <v>330</v>
      </c>
      <c r="G680" t="s">
        <v>330</v>
      </c>
      <c r="H680" s="3">
        <v>46167</v>
      </c>
      <c r="I680" s="3">
        <v>46189</v>
      </c>
      <c r="J680" t="s">
        <v>74</v>
      </c>
      <c r="K680" s="3">
        <v>46182</v>
      </c>
      <c r="L680" s="3">
        <v>46167</v>
      </c>
      <c r="M680" s="3">
        <v>46189</v>
      </c>
      <c r="N680" s="3">
        <v>46189</v>
      </c>
      <c r="O680" t="s">
        <v>74</v>
      </c>
      <c r="P680" t="s">
        <v>55</v>
      </c>
      <c r="T680" t="s">
        <v>1109</v>
      </c>
      <c r="V680" t="s">
        <v>151</v>
      </c>
      <c r="W680">
        <v>33.119999999999997</v>
      </c>
      <c r="X680" t="s">
        <v>57</v>
      </c>
      <c r="AA680" t="s">
        <v>50</v>
      </c>
      <c r="AB680" t="s">
        <v>94</v>
      </c>
      <c r="AE680">
        <v>1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</row>
    <row r="681" spans="1:42" x14ac:dyDescent="0.25">
      <c r="A681">
        <v>797</v>
      </c>
      <c r="B681" t="s">
        <v>1333</v>
      </c>
      <c r="C681" t="s">
        <v>1334</v>
      </c>
      <c r="D681" t="s">
        <v>117</v>
      </c>
      <c r="E681" s="4">
        <v>1</v>
      </c>
      <c r="F681" t="s">
        <v>101</v>
      </c>
      <c r="G681" t="s">
        <v>101</v>
      </c>
      <c r="H681" s="3">
        <v>46167</v>
      </c>
      <c r="I681" s="3">
        <v>46170</v>
      </c>
      <c r="J681" t="s">
        <v>74</v>
      </c>
      <c r="K681" s="3">
        <v>46171</v>
      </c>
      <c r="L681" s="3">
        <v>46167</v>
      </c>
      <c r="M681" s="3">
        <v>46170</v>
      </c>
      <c r="N681" s="3">
        <v>46170</v>
      </c>
      <c r="O681" t="s">
        <v>74</v>
      </c>
      <c r="P681" t="s">
        <v>55</v>
      </c>
      <c r="Q681" t="s">
        <v>1335</v>
      </c>
      <c r="S681" t="s">
        <v>1042</v>
      </c>
      <c r="T681" t="s">
        <v>1109</v>
      </c>
      <c r="U681">
        <v>798</v>
      </c>
      <c r="V681" t="s">
        <v>138</v>
      </c>
      <c r="W681">
        <v>13.4</v>
      </c>
      <c r="X681" t="s">
        <v>57</v>
      </c>
      <c r="Z681" t="s">
        <v>1042</v>
      </c>
      <c r="AA681" t="s">
        <v>77</v>
      </c>
      <c r="AE681">
        <v>1</v>
      </c>
      <c r="AF681">
        <v>1</v>
      </c>
      <c r="AG681">
        <v>1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1</v>
      </c>
    </row>
    <row r="682" spans="1:42" x14ac:dyDescent="0.25">
      <c r="A682">
        <v>798</v>
      </c>
      <c r="B682" t="s">
        <v>1336</v>
      </c>
      <c r="C682" t="s">
        <v>1334</v>
      </c>
      <c r="D682" t="s">
        <v>121</v>
      </c>
      <c r="E682" s="4">
        <v>1</v>
      </c>
      <c r="F682" t="s">
        <v>210</v>
      </c>
      <c r="G682" t="s">
        <v>210</v>
      </c>
      <c r="H682" s="3">
        <v>46171</v>
      </c>
      <c r="I682" s="3">
        <v>46184</v>
      </c>
      <c r="J682" t="s">
        <v>193</v>
      </c>
      <c r="K682" s="3">
        <v>46176</v>
      </c>
      <c r="L682" s="3">
        <v>46174</v>
      </c>
      <c r="M682" s="3">
        <v>46184</v>
      </c>
      <c r="N682" s="3">
        <v>46184</v>
      </c>
      <c r="O682" t="s">
        <v>189</v>
      </c>
      <c r="P682" t="s">
        <v>55</v>
      </c>
      <c r="Q682">
        <v>797</v>
      </c>
      <c r="S682" t="s">
        <v>124</v>
      </c>
      <c r="T682" t="s">
        <v>1109</v>
      </c>
      <c r="U682">
        <v>799</v>
      </c>
      <c r="V682" t="s">
        <v>122</v>
      </c>
      <c r="W682">
        <v>13.4</v>
      </c>
      <c r="X682" t="s">
        <v>57</v>
      </c>
      <c r="Z682" t="s">
        <v>124</v>
      </c>
      <c r="AA682" t="s">
        <v>460</v>
      </c>
      <c r="AE682">
        <v>1</v>
      </c>
      <c r="AF682">
        <v>0</v>
      </c>
      <c r="AG682">
        <v>0</v>
      </c>
      <c r="AH682">
        <v>0</v>
      </c>
      <c r="AI682">
        <v>0</v>
      </c>
      <c r="AJ682">
        <v>1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</row>
    <row r="683" spans="1:42" x14ac:dyDescent="0.25">
      <c r="A683">
        <v>799</v>
      </c>
      <c r="B683" t="s">
        <v>1337</v>
      </c>
      <c r="C683" t="s">
        <v>1334</v>
      </c>
      <c r="D683" t="s">
        <v>126</v>
      </c>
      <c r="E683" s="4">
        <v>1</v>
      </c>
      <c r="F683" t="s">
        <v>61</v>
      </c>
      <c r="G683" t="s">
        <v>61</v>
      </c>
      <c r="H683" s="3">
        <v>46185</v>
      </c>
      <c r="I683" s="3">
        <v>46185</v>
      </c>
      <c r="J683" t="s">
        <v>201</v>
      </c>
      <c r="K683" s="3">
        <v>46181</v>
      </c>
      <c r="L683" s="3">
        <v>46181</v>
      </c>
      <c r="M683" s="3">
        <v>46185</v>
      </c>
      <c r="N683" s="3">
        <v>46185</v>
      </c>
      <c r="O683" t="s">
        <v>571</v>
      </c>
      <c r="P683" t="s">
        <v>55</v>
      </c>
      <c r="Q683">
        <v>798</v>
      </c>
      <c r="S683" t="s">
        <v>1042</v>
      </c>
      <c r="T683" t="s">
        <v>1109</v>
      </c>
      <c r="U683">
        <v>800</v>
      </c>
      <c r="V683" t="s">
        <v>61</v>
      </c>
      <c r="W683">
        <v>13.4</v>
      </c>
      <c r="X683" t="s">
        <v>57</v>
      </c>
      <c r="Z683" t="s">
        <v>1042</v>
      </c>
      <c r="AA683" t="s">
        <v>462</v>
      </c>
      <c r="AE683">
        <v>1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1</v>
      </c>
      <c r="AM683">
        <v>0</v>
      </c>
      <c r="AN683">
        <v>0</v>
      </c>
      <c r="AO683">
        <v>0</v>
      </c>
      <c r="AP683">
        <v>0</v>
      </c>
    </row>
    <row r="684" spans="1:42" x14ac:dyDescent="0.25">
      <c r="A684">
        <v>800</v>
      </c>
      <c r="B684" t="s">
        <v>1338</v>
      </c>
      <c r="C684" t="s">
        <v>1334</v>
      </c>
      <c r="D684" t="s">
        <v>133</v>
      </c>
      <c r="E684" s="4">
        <v>1</v>
      </c>
      <c r="F684" t="s">
        <v>61</v>
      </c>
      <c r="G684" t="s">
        <v>61</v>
      </c>
      <c r="H684" s="3">
        <v>46189</v>
      </c>
      <c r="I684" s="3">
        <v>46189</v>
      </c>
      <c r="J684" t="s">
        <v>204</v>
      </c>
      <c r="K684" s="3">
        <v>46182</v>
      </c>
      <c r="L684" s="3">
        <v>46182</v>
      </c>
      <c r="M684" s="3">
        <v>46189</v>
      </c>
      <c r="N684" s="3">
        <v>46189</v>
      </c>
      <c r="O684" t="s">
        <v>576</v>
      </c>
      <c r="P684" t="s">
        <v>55</v>
      </c>
      <c r="Q684">
        <v>799</v>
      </c>
      <c r="S684" t="s">
        <v>124</v>
      </c>
      <c r="T684" t="s">
        <v>1109</v>
      </c>
      <c r="V684" t="s">
        <v>61</v>
      </c>
      <c r="W684">
        <v>13.4</v>
      </c>
      <c r="X684" t="s">
        <v>57</v>
      </c>
      <c r="Z684" t="s">
        <v>124</v>
      </c>
      <c r="AA684" t="s">
        <v>462</v>
      </c>
      <c r="AE684">
        <v>1</v>
      </c>
      <c r="AF684">
        <v>0</v>
      </c>
      <c r="AG684">
        <v>0</v>
      </c>
      <c r="AH684">
        <v>0</v>
      </c>
      <c r="AI684">
        <v>1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0</v>
      </c>
      <c r="AP684">
        <v>0</v>
      </c>
    </row>
    <row r="685" spans="1:42" x14ac:dyDescent="0.25">
      <c r="A685">
        <v>806</v>
      </c>
      <c r="B685" t="s">
        <v>1339</v>
      </c>
      <c r="C685" t="s">
        <v>1109</v>
      </c>
      <c r="D685" t="s">
        <v>1340</v>
      </c>
      <c r="E685" s="4">
        <v>1</v>
      </c>
      <c r="F685" t="s">
        <v>151</v>
      </c>
      <c r="G685" t="s">
        <v>151</v>
      </c>
      <c r="H685" s="3">
        <v>46171</v>
      </c>
      <c r="I685" s="3">
        <v>46188</v>
      </c>
      <c r="J685" t="s">
        <v>189</v>
      </c>
      <c r="K685" s="3">
        <v>46188</v>
      </c>
      <c r="L685" s="3">
        <v>46171</v>
      </c>
      <c r="M685" s="3">
        <v>46188</v>
      </c>
      <c r="N685" s="3">
        <v>46188</v>
      </c>
      <c r="O685" t="s">
        <v>189</v>
      </c>
      <c r="P685" t="s">
        <v>55</v>
      </c>
      <c r="T685" t="s">
        <v>1109</v>
      </c>
      <c r="V685" t="s">
        <v>151</v>
      </c>
      <c r="W685">
        <v>33.119999999999997</v>
      </c>
      <c r="X685" t="s">
        <v>57</v>
      </c>
      <c r="AA685" t="s">
        <v>50</v>
      </c>
      <c r="AB685" t="s">
        <v>94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</row>
    <row r="686" spans="1:42" x14ac:dyDescent="0.25">
      <c r="A686">
        <v>807</v>
      </c>
      <c r="B686" t="s">
        <v>1341</v>
      </c>
      <c r="C686" t="s">
        <v>1342</v>
      </c>
      <c r="D686" t="s">
        <v>117</v>
      </c>
      <c r="E686" s="4">
        <v>1</v>
      </c>
      <c r="F686" t="s">
        <v>138</v>
      </c>
      <c r="G686" t="s">
        <v>138</v>
      </c>
      <c r="H686" s="3">
        <v>46171</v>
      </c>
      <c r="I686" s="3">
        <v>46181</v>
      </c>
      <c r="J686" t="s">
        <v>189</v>
      </c>
      <c r="K686" s="3">
        <v>46181</v>
      </c>
      <c r="L686" s="3">
        <v>46171</v>
      </c>
      <c r="M686" s="3">
        <v>46181</v>
      </c>
      <c r="N686" s="3">
        <v>46181</v>
      </c>
      <c r="O686" t="s">
        <v>189</v>
      </c>
      <c r="P686" t="s">
        <v>55</v>
      </c>
      <c r="Q686">
        <v>825</v>
      </c>
      <c r="S686" t="s">
        <v>1042</v>
      </c>
      <c r="T686" t="s">
        <v>1109</v>
      </c>
      <c r="U686">
        <v>808</v>
      </c>
      <c r="V686" t="s">
        <v>138</v>
      </c>
      <c r="W686">
        <v>13.4</v>
      </c>
      <c r="X686" t="s">
        <v>57</v>
      </c>
      <c r="Z686" t="s">
        <v>1042</v>
      </c>
      <c r="AA686" t="s">
        <v>462</v>
      </c>
      <c r="AE686">
        <v>1</v>
      </c>
      <c r="AF686">
        <v>1</v>
      </c>
      <c r="AG686">
        <v>1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1</v>
      </c>
    </row>
    <row r="687" spans="1:42" x14ac:dyDescent="0.25">
      <c r="A687">
        <v>808</v>
      </c>
      <c r="B687" t="s">
        <v>1343</v>
      </c>
      <c r="C687" t="s">
        <v>1342</v>
      </c>
      <c r="D687" t="s">
        <v>121</v>
      </c>
      <c r="E687" s="4">
        <v>1</v>
      </c>
      <c r="F687" t="s">
        <v>122</v>
      </c>
      <c r="G687" t="s">
        <v>122</v>
      </c>
      <c r="H687" s="3">
        <v>46182</v>
      </c>
      <c r="I687" s="3">
        <v>46184</v>
      </c>
      <c r="J687" t="s">
        <v>204</v>
      </c>
      <c r="K687" s="3">
        <v>46184</v>
      </c>
      <c r="L687" s="3">
        <v>46182</v>
      </c>
      <c r="M687" s="3">
        <v>46184</v>
      </c>
      <c r="N687" s="3">
        <v>46184</v>
      </c>
      <c r="O687" t="s">
        <v>204</v>
      </c>
      <c r="P687" t="s">
        <v>55</v>
      </c>
      <c r="Q687">
        <v>807</v>
      </c>
      <c r="S687" t="s">
        <v>124</v>
      </c>
      <c r="T687" t="s">
        <v>1109</v>
      </c>
      <c r="U687">
        <v>809</v>
      </c>
      <c r="V687" t="s">
        <v>122</v>
      </c>
      <c r="W687">
        <v>13.4</v>
      </c>
      <c r="X687" t="s">
        <v>57</v>
      </c>
      <c r="Z687" t="s">
        <v>124</v>
      </c>
      <c r="AA687" t="s">
        <v>217</v>
      </c>
      <c r="AE687">
        <v>1</v>
      </c>
      <c r="AF687">
        <v>0</v>
      </c>
      <c r="AG687">
        <v>0</v>
      </c>
      <c r="AH687">
        <v>0</v>
      </c>
      <c r="AI687">
        <v>0</v>
      </c>
      <c r="AJ687">
        <v>1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</row>
    <row r="688" spans="1:42" x14ac:dyDescent="0.25">
      <c r="A688">
        <v>809</v>
      </c>
      <c r="B688" t="s">
        <v>1344</v>
      </c>
      <c r="C688" t="s">
        <v>1342</v>
      </c>
      <c r="D688" t="s">
        <v>126</v>
      </c>
      <c r="E688" s="4">
        <v>1</v>
      </c>
      <c r="F688" t="s">
        <v>61</v>
      </c>
      <c r="G688" t="s">
        <v>61</v>
      </c>
      <c r="H688" s="3">
        <v>46185</v>
      </c>
      <c r="I688" s="3">
        <v>46185</v>
      </c>
      <c r="J688" t="s">
        <v>571</v>
      </c>
      <c r="K688" s="3">
        <v>46185</v>
      </c>
      <c r="L688" s="3">
        <v>46185</v>
      </c>
      <c r="M688" s="3">
        <v>46185</v>
      </c>
      <c r="N688" s="3">
        <v>46185</v>
      </c>
      <c r="O688" t="s">
        <v>571</v>
      </c>
      <c r="P688" t="s">
        <v>55</v>
      </c>
      <c r="Q688">
        <v>808</v>
      </c>
      <c r="S688" t="s">
        <v>1042</v>
      </c>
      <c r="T688" t="s">
        <v>1109</v>
      </c>
      <c r="U688">
        <v>810</v>
      </c>
      <c r="V688" t="s">
        <v>61</v>
      </c>
      <c r="W688">
        <v>13.4</v>
      </c>
      <c r="X688" t="s">
        <v>57</v>
      </c>
      <c r="Z688" t="s">
        <v>1042</v>
      </c>
      <c r="AA688" t="s">
        <v>131</v>
      </c>
      <c r="AE688">
        <v>1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1</v>
      </c>
      <c r="AM688">
        <v>0</v>
      </c>
      <c r="AN688">
        <v>0</v>
      </c>
      <c r="AO688">
        <v>0</v>
      </c>
      <c r="AP688">
        <v>0</v>
      </c>
    </row>
    <row r="689" spans="1:42" x14ac:dyDescent="0.25">
      <c r="A689">
        <v>810</v>
      </c>
      <c r="B689" t="s">
        <v>1345</v>
      </c>
      <c r="C689" t="s">
        <v>1342</v>
      </c>
      <c r="D689" t="s">
        <v>133</v>
      </c>
      <c r="E689" s="4">
        <v>1</v>
      </c>
      <c r="F689" t="s">
        <v>61</v>
      </c>
      <c r="G689" t="s">
        <v>61</v>
      </c>
      <c r="H689" s="3">
        <v>46188</v>
      </c>
      <c r="I689" s="3">
        <v>46188</v>
      </c>
      <c r="J689" t="s">
        <v>595</v>
      </c>
      <c r="K689" s="3">
        <v>46188</v>
      </c>
      <c r="L689" s="3">
        <v>46188</v>
      </c>
      <c r="M689" s="3">
        <v>46188</v>
      </c>
      <c r="N689" s="3">
        <v>46188</v>
      </c>
      <c r="O689" t="s">
        <v>595</v>
      </c>
      <c r="P689" t="s">
        <v>55</v>
      </c>
      <c r="Q689">
        <v>809</v>
      </c>
      <c r="S689" t="s">
        <v>124</v>
      </c>
      <c r="T689" t="s">
        <v>1109</v>
      </c>
      <c r="V689" t="s">
        <v>61</v>
      </c>
      <c r="W689">
        <v>13.4</v>
      </c>
      <c r="X689" t="s">
        <v>57</v>
      </c>
      <c r="Z689" t="s">
        <v>124</v>
      </c>
      <c r="AA689" t="s">
        <v>131</v>
      </c>
      <c r="AE689">
        <v>1</v>
      </c>
      <c r="AF689">
        <v>0</v>
      </c>
      <c r="AG689">
        <v>0</v>
      </c>
      <c r="AH689">
        <v>0</v>
      </c>
      <c r="AI689">
        <v>1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0</v>
      </c>
      <c r="AP689">
        <v>0</v>
      </c>
    </row>
    <row r="690" spans="1:42" x14ac:dyDescent="0.25">
      <c r="A690">
        <v>811</v>
      </c>
      <c r="B690" t="s">
        <v>1346</v>
      </c>
      <c r="C690" t="s">
        <v>1109</v>
      </c>
      <c r="D690" t="s">
        <v>1347</v>
      </c>
      <c r="E690" s="4">
        <v>1</v>
      </c>
      <c r="F690" t="s">
        <v>110</v>
      </c>
      <c r="G690" t="s">
        <v>110</v>
      </c>
      <c r="H690" s="3">
        <v>46171</v>
      </c>
      <c r="I690" s="3">
        <v>46203</v>
      </c>
      <c r="J690" t="s">
        <v>189</v>
      </c>
      <c r="K690" s="3">
        <v>46203</v>
      </c>
      <c r="L690" s="3">
        <v>46171</v>
      </c>
      <c r="M690" s="3">
        <v>46203</v>
      </c>
      <c r="N690" s="3">
        <v>46203</v>
      </c>
      <c r="O690" t="s">
        <v>189</v>
      </c>
      <c r="P690" t="s">
        <v>55</v>
      </c>
      <c r="T690" t="s">
        <v>1109</v>
      </c>
      <c r="V690" t="s">
        <v>210</v>
      </c>
      <c r="W690">
        <v>27.84</v>
      </c>
      <c r="X690" t="s">
        <v>57</v>
      </c>
      <c r="AA690" t="s">
        <v>50</v>
      </c>
      <c r="AB690" t="s">
        <v>94</v>
      </c>
      <c r="AE690">
        <v>1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</row>
    <row r="691" spans="1:42" x14ac:dyDescent="0.25">
      <c r="A691">
        <v>812</v>
      </c>
      <c r="B691" t="s">
        <v>1348</v>
      </c>
      <c r="C691" t="s">
        <v>1349</v>
      </c>
      <c r="D691" t="s">
        <v>117</v>
      </c>
      <c r="E691" s="4">
        <v>1</v>
      </c>
      <c r="F691" t="s">
        <v>122</v>
      </c>
      <c r="G691" t="s">
        <v>122</v>
      </c>
      <c r="H691" s="3">
        <v>46171</v>
      </c>
      <c r="I691" s="3">
        <v>46175</v>
      </c>
      <c r="J691" t="s">
        <v>189</v>
      </c>
      <c r="K691" s="3">
        <v>46175</v>
      </c>
      <c r="L691" s="3">
        <v>46171</v>
      </c>
      <c r="M691" s="3">
        <v>46175</v>
      </c>
      <c r="N691" s="3">
        <v>46175</v>
      </c>
      <c r="O691" t="s">
        <v>189</v>
      </c>
      <c r="P691" t="s">
        <v>55</v>
      </c>
      <c r="Q691">
        <v>825</v>
      </c>
      <c r="S691" t="s">
        <v>1042</v>
      </c>
      <c r="T691" t="s">
        <v>1109</v>
      </c>
      <c r="U691">
        <v>813</v>
      </c>
      <c r="V691" t="s">
        <v>122</v>
      </c>
      <c r="W691">
        <v>13.4</v>
      </c>
      <c r="X691" t="s">
        <v>57</v>
      </c>
      <c r="Z691" t="s">
        <v>1042</v>
      </c>
      <c r="AA691" t="s">
        <v>462</v>
      </c>
      <c r="AE691">
        <v>1</v>
      </c>
      <c r="AF691">
        <v>1</v>
      </c>
      <c r="AG691">
        <v>1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1</v>
      </c>
    </row>
    <row r="692" spans="1:42" x14ac:dyDescent="0.25">
      <c r="A692">
        <v>813</v>
      </c>
      <c r="B692" t="s">
        <v>1350</v>
      </c>
      <c r="C692" t="s">
        <v>1349</v>
      </c>
      <c r="D692" t="s">
        <v>121</v>
      </c>
      <c r="E692" s="4">
        <v>1</v>
      </c>
      <c r="F692" t="s">
        <v>122</v>
      </c>
      <c r="G692" t="s">
        <v>122</v>
      </c>
      <c r="H692" s="3">
        <v>46176</v>
      </c>
      <c r="I692" s="3">
        <v>46182</v>
      </c>
      <c r="J692" t="s">
        <v>459</v>
      </c>
      <c r="K692" s="3">
        <v>46182</v>
      </c>
      <c r="L692" s="3">
        <v>46176</v>
      </c>
      <c r="M692" s="3">
        <v>46182</v>
      </c>
      <c r="N692" s="3">
        <v>46182</v>
      </c>
      <c r="O692" t="s">
        <v>459</v>
      </c>
      <c r="P692" t="s">
        <v>55</v>
      </c>
      <c r="Q692">
        <v>812</v>
      </c>
      <c r="S692" t="s">
        <v>124</v>
      </c>
      <c r="T692" t="s">
        <v>1109</v>
      </c>
      <c r="U692">
        <v>814</v>
      </c>
      <c r="V692" t="s">
        <v>122</v>
      </c>
      <c r="W692">
        <v>13.4</v>
      </c>
      <c r="X692" t="s">
        <v>57</v>
      </c>
      <c r="Z692" t="s">
        <v>124</v>
      </c>
      <c r="AA692" t="s">
        <v>217</v>
      </c>
      <c r="AE692">
        <v>1</v>
      </c>
      <c r="AF692">
        <v>0</v>
      </c>
      <c r="AG692">
        <v>0</v>
      </c>
      <c r="AH692">
        <v>0</v>
      </c>
      <c r="AI692">
        <v>0</v>
      </c>
      <c r="AJ692">
        <v>1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</row>
    <row r="693" spans="1:42" x14ac:dyDescent="0.25">
      <c r="A693">
        <v>814</v>
      </c>
      <c r="B693" t="s">
        <v>1351</v>
      </c>
      <c r="C693" t="s">
        <v>1349</v>
      </c>
      <c r="D693" t="s">
        <v>126</v>
      </c>
      <c r="E693" s="4">
        <v>1</v>
      </c>
      <c r="F693" t="s">
        <v>61</v>
      </c>
      <c r="G693" t="s">
        <v>61</v>
      </c>
      <c r="H693" s="3">
        <v>46183</v>
      </c>
      <c r="I693" s="3">
        <v>46183</v>
      </c>
      <c r="J693" t="s">
        <v>592</v>
      </c>
      <c r="K693" s="3">
        <v>46183</v>
      </c>
      <c r="L693" s="3">
        <v>46183</v>
      </c>
      <c r="M693" s="3">
        <v>46183</v>
      </c>
      <c r="N693" s="3">
        <v>46183</v>
      </c>
      <c r="O693" t="s">
        <v>592</v>
      </c>
      <c r="P693" t="s">
        <v>55</v>
      </c>
      <c r="Q693">
        <v>813</v>
      </c>
      <c r="S693" t="s">
        <v>1042</v>
      </c>
      <c r="T693" t="s">
        <v>1109</v>
      </c>
      <c r="U693">
        <v>815</v>
      </c>
      <c r="V693" t="s">
        <v>61</v>
      </c>
      <c r="W693">
        <v>13.4</v>
      </c>
      <c r="X693" t="s">
        <v>57</v>
      </c>
      <c r="Z693" t="s">
        <v>1042</v>
      </c>
      <c r="AA693" t="s">
        <v>217</v>
      </c>
      <c r="AE693">
        <v>1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1</v>
      </c>
      <c r="AM693">
        <v>0</v>
      </c>
      <c r="AN693">
        <v>0</v>
      </c>
      <c r="AO693">
        <v>0</v>
      </c>
      <c r="AP693">
        <v>0</v>
      </c>
    </row>
    <row r="694" spans="1:42" x14ac:dyDescent="0.25">
      <c r="A694">
        <v>815</v>
      </c>
      <c r="B694" t="s">
        <v>1352</v>
      </c>
      <c r="C694" t="s">
        <v>1349</v>
      </c>
      <c r="D694" t="s">
        <v>133</v>
      </c>
      <c r="E694" s="4">
        <v>1</v>
      </c>
      <c r="F694" t="s">
        <v>61</v>
      </c>
      <c r="G694" t="s">
        <v>61</v>
      </c>
      <c r="H694" s="3">
        <v>46203</v>
      </c>
      <c r="I694" s="3">
        <v>46203</v>
      </c>
      <c r="J694" t="s">
        <v>1025</v>
      </c>
      <c r="K694" s="3">
        <v>46203</v>
      </c>
      <c r="L694" s="3">
        <v>46203</v>
      </c>
      <c r="M694" s="3">
        <v>46203</v>
      </c>
      <c r="N694" s="3">
        <v>46203</v>
      </c>
      <c r="O694" t="s">
        <v>1025</v>
      </c>
      <c r="P694" t="s">
        <v>55</v>
      </c>
      <c r="Q694">
        <v>814</v>
      </c>
      <c r="S694" t="s">
        <v>124</v>
      </c>
      <c r="T694" t="s">
        <v>1109</v>
      </c>
      <c r="V694" t="s">
        <v>61</v>
      </c>
      <c r="W694">
        <v>13.4</v>
      </c>
      <c r="X694" t="s">
        <v>57</v>
      </c>
      <c r="Z694" t="s">
        <v>124</v>
      </c>
      <c r="AA694" t="s">
        <v>217</v>
      </c>
      <c r="AE694">
        <v>1</v>
      </c>
      <c r="AF694">
        <v>0</v>
      </c>
      <c r="AG694">
        <v>0</v>
      </c>
      <c r="AH694">
        <v>0</v>
      </c>
      <c r="AI694">
        <v>1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0</v>
      </c>
      <c r="AP694">
        <v>0</v>
      </c>
    </row>
    <row r="695" spans="1:42" x14ac:dyDescent="0.25">
      <c r="A695">
        <v>821</v>
      </c>
      <c r="B695" t="s">
        <v>1353</v>
      </c>
      <c r="C695" t="s">
        <v>1109</v>
      </c>
      <c r="D695" t="s">
        <v>1354</v>
      </c>
      <c r="E695" s="4">
        <v>1</v>
      </c>
      <c r="F695" t="s">
        <v>101</v>
      </c>
      <c r="G695" t="s">
        <v>101</v>
      </c>
      <c r="H695" s="3">
        <v>46167</v>
      </c>
      <c r="I695" s="3">
        <v>46170</v>
      </c>
      <c r="J695" t="s">
        <v>74</v>
      </c>
      <c r="K695" s="3">
        <v>46170</v>
      </c>
      <c r="L695" s="3">
        <v>46167</v>
      </c>
      <c r="M695" s="3">
        <v>46170</v>
      </c>
      <c r="N695" s="3">
        <v>46170</v>
      </c>
      <c r="O695" t="s">
        <v>74</v>
      </c>
      <c r="P695" t="s">
        <v>55</v>
      </c>
      <c r="T695" t="s">
        <v>1109</v>
      </c>
      <c r="V695" t="s">
        <v>151</v>
      </c>
      <c r="W695">
        <v>25.12</v>
      </c>
      <c r="X695" t="s">
        <v>57</v>
      </c>
      <c r="AA695" t="s">
        <v>50</v>
      </c>
      <c r="AB695" t="s">
        <v>94</v>
      </c>
      <c r="AE695">
        <v>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</row>
    <row r="696" spans="1:42" x14ac:dyDescent="0.25">
      <c r="A696">
        <v>822</v>
      </c>
      <c r="B696" t="s">
        <v>1355</v>
      </c>
      <c r="C696" t="s">
        <v>1356</v>
      </c>
      <c r="D696" t="s">
        <v>117</v>
      </c>
      <c r="E696" s="4">
        <v>1</v>
      </c>
      <c r="F696" t="s">
        <v>61</v>
      </c>
      <c r="G696" t="s">
        <v>61</v>
      </c>
      <c r="H696" s="3">
        <v>46167</v>
      </c>
      <c r="I696" s="3">
        <v>46167</v>
      </c>
      <c r="J696" t="s">
        <v>74</v>
      </c>
      <c r="K696" s="3">
        <v>46167</v>
      </c>
      <c r="L696" s="3">
        <v>46167</v>
      </c>
      <c r="M696" s="3">
        <v>46167</v>
      </c>
      <c r="N696" s="3">
        <v>46167</v>
      </c>
      <c r="O696" t="s">
        <v>74</v>
      </c>
      <c r="P696" t="s">
        <v>55</v>
      </c>
      <c r="Q696">
        <v>805</v>
      </c>
      <c r="S696" t="s">
        <v>1058</v>
      </c>
      <c r="T696" t="s">
        <v>1109</v>
      </c>
      <c r="U696" t="s">
        <v>1357</v>
      </c>
      <c r="V696" t="s">
        <v>138</v>
      </c>
      <c r="W696">
        <v>13.4</v>
      </c>
      <c r="X696" t="s">
        <v>57</v>
      </c>
      <c r="Z696" t="s">
        <v>1058</v>
      </c>
      <c r="AA696" t="s">
        <v>77</v>
      </c>
      <c r="AE696">
        <v>1</v>
      </c>
      <c r="AF696">
        <v>1</v>
      </c>
      <c r="AG696">
        <v>1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1</v>
      </c>
    </row>
    <row r="697" spans="1:42" x14ac:dyDescent="0.25">
      <c r="A697">
        <v>823</v>
      </c>
      <c r="B697" t="s">
        <v>1358</v>
      </c>
      <c r="C697" t="s">
        <v>1356</v>
      </c>
      <c r="D697" t="s">
        <v>121</v>
      </c>
      <c r="E697" s="4">
        <v>1</v>
      </c>
      <c r="F697" t="s">
        <v>61</v>
      </c>
      <c r="G697" t="s">
        <v>61</v>
      </c>
      <c r="H697" s="3">
        <v>46168</v>
      </c>
      <c r="I697" s="3">
        <v>46168</v>
      </c>
      <c r="J697" t="s">
        <v>206</v>
      </c>
      <c r="K697" s="3">
        <v>46168</v>
      </c>
      <c r="L697" s="3">
        <v>46168</v>
      </c>
      <c r="M697" s="3">
        <v>46168</v>
      </c>
      <c r="N697" s="3">
        <v>46168</v>
      </c>
      <c r="O697" t="s">
        <v>206</v>
      </c>
      <c r="P697" t="s">
        <v>55</v>
      </c>
      <c r="Q697">
        <v>822</v>
      </c>
      <c r="S697" t="s">
        <v>124</v>
      </c>
      <c r="T697" t="s">
        <v>1109</v>
      </c>
      <c r="U697">
        <v>824</v>
      </c>
      <c r="V697" t="s">
        <v>122</v>
      </c>
      <c r="W697">
        <v>13.4</v>
      </c>
      <c r="X697" t="s">
        <v>57</v>
      </c>
      <c r="Z697" t="s">
        <v>124</v>
      </c>
      <c r="AA697" t="s">
        <v>460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1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</row>
    <row r="698" spans="1:42" x14ac:dyDescent="0.25">
      <c r="A698">
        <v>824</v>
      </c>
      <c r="B698" t="s">
        <v>1359</v>
      </c>
      <c r="C698" t="s">
        <v>1356</v>
      </c>
      <c r="D698" t="s">
        <v>126</v>
      </c>
      <c r="E698" s="4">
        <v>1</v>
      </c>
      <c r="F698" t="s">
        <v>61</v>
      </c>
      <c r="G698" t="s">
        <v>61</v>
      </c>
      <c r="H698" s="3">
        <v>46169</v>
      </c>
      <c r="I698" s="3">
        <v>46169</v>
      </c>
      <c r="J698" t="s">
        <v>97</v>
      </c>
      <c r="K698" s="3">
        <v>46169</v>
      </c>
      <c r="L698" s="3">
        <v>46169</v>
      </c>
      <c r="M698" s="3">
        <v>46169</v>
      </c>
      <c r="N698" s="3">
        <v>46169</v>
      </c>
      <c r="O698" t="s">
        <v>97</v>
      </c>
      <c r="P698" t="s">
        <v>55</v>
      </c>
      <c r="Q698">
        <v>823</v>
      </c>
      <c r="S698" t="s">
        <v>1058</v>
      </c>
      <c r="T698" t="s">
        <v>1109</v>
      </c>
      <c r="U698">
        <v>825</v>
      </c>
      <c r="V698" t="s">
        <v>61</v>
      </c>
      <c r="W698">
        <v>13.4</v>
      </c>
      <c r="X698" t="s">
        <v>57</v>
      </c>
      <c r="Z698" t="s">
        <v>1058</v>
      </c>
      <c r="AA698" t="s">
        <v>462</v>
      </c>
      <c r="AE698">
        <v>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1</v>
      </c>
      <c r="AM698">
        <v>0</v>
      </c>
      <c r="AN698">
        <v>0</v>
      </c>
      <c r="AO698">
        <v>0</v>
      </c>
      <c r="AP698">
        <v>0</v>
      </c>
    </row>
    <row r="699" spans="1:42" x14ac:dyDescent="0.25">
      <c r="A699">
        <v>825</v>
      </c>
      <c r="B699" t="s">
        <v>1360</v>
      </c>
      <c r="C699" t="s">
        <v>1356</v>
      </c>
      <c r="D699" t="s">
        <v>133</v>
      </c>
      <c r="E699" s="4">
        <v>1</v>
      </c>
      <c r="F699" t="s">
        <v>61</v>
      </c>
      <c r="G699" t="s">
        <v>61</v>
      </c>
      <c r="H699" s="3">
        <v>46170</v>
      </c>
      <c r="I699" s="3">
        <v>46170</v>
      </c>
      <c r="J699" t="s">
        <v>448</v>
      </c>
      <c r="K699" s="3">
        <v>46170</v>
      </c>
      <c r="L699" s="3">
        <v>46170</v>
      </c>
      <c r="M699" s="3">
        <v>46170</v>
      </c>
      <c r="N699" s="3">
        <v>46170</v>
      </c>
      <c r="O699" t="s">
        <v>448</v>
      </c>
      <c r="P699" t="s">
        <v>55</v>
      </c>
      <c r="Q699">
        <v>824</v>
      </c>
      <c r="S699" t="s">
        <v>124</v>
      </c>
      <c r="T699" t="s">
        <v>1109</v>
      </c>
      <c r="U699" t="s">
        <v>1361</v>
      </c>
      <c r="V699" t="s">
        <v>61</v>
      </c>
      <c r="W699">
        <v>13.4</v>
      </c>
      <c r="X699" t="s">
        <v>57</v>
      </c>
      <c r="Z699" t="s">
        <v>124</v>
      </c>
      <c r="AA699" t="s">
        <v>462</v>
      </c>
      <c r="AE699">
        <v>1</v>
      </c>
      <c r="AF699">
        <v>0</v>
      </c>
      <c r="AG699">
        <v>0</v>
      </c>
      <c r="AH699">
        <v>0</v>
      </c>
      <c r="AI699">
        <v>1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0</v>
      </c>
      <c r="AP699">
        <v>0</v>
      </c>
    </row>
    <row r="700" spans="1:42" x14ac:dyDescent="0.25">
      <c r="A700">
        <v>826</v>
      </c>
      <c r="B700" t="s">
        <v>1362</v>
      </c>
      <c r="C700" t="s">
        <v>1109</v>
      </c>
      <c r="D700" t="s">
        <v>1363</v>
      </c>
      <c r="E700" s="4">
        <v>1</v>
      </c>
      <c r="F700" t="s">
        <v>365</v>
      </c>
      <c r="G700" t="s">
        <v>365</v>
      </c>
      <c r="H700" s="3">
        <v>46171</v>
      </c>
      <c r="I700" s="3">
        <v>46192</v>
      </c>
      <c r="J700" t="s">
        <v>189</v>
      </c>
      <c r="K700" s="3">
        <v>46192</v>
      </c>
      <c r="L700" s="3">
        <v>46171</v>
      </c>
      <c r="M700" s="3">
        <v>46192</v>
      </c>
      <c r="N700" s="3">
        <v>46192</v>
      </c>
      <c r="O700" t="s">
        <v>189</v>
      </c>
      <c r="P700" t="s">
        <v>55</v>
      </c>
      <c r="T700" t="s">
        <v>1109</v>
      </c>
      <c r="V700" t="s">
        <v>210</v>
      </c>
      <c r="W700">
        <v>33.119999999999997</v>
      </c>
      <c r="X700" t="s">
        <v>57</v>
      </c>
      <c r="AA700" t="s">
        <v>50</v>
      </c>
      <c r="AB700" t="s">
        <v>94</v>
      </c>
      <c r="AE700">
        <v>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</row>
    <row r="701" spans="1:42" x14ac:dyDescent="0.25">
      <c r="A701">
        <v>827</v>
      </c>
      <c r="B701" t="s">
        <v>1364</v>
      </c>
      <c r="C701" t="s">
        <v>1365</v>
      </c>
      <c r="D701" t="s">
        <v>117</v>
      </c>
      <c r="E701" s="4">
        <v>1</v>
      </c>
      <c r="F701" t="s">
        <v>122</v>
      </c>
      <c r="G701" t="s">
        <v>122</v>
      </c>
      <c r="H701" s="3">
        <v>46171</v>
      </c>
      <c r="I701" s="3">
        <v>46175</v>
      </c>
      <c r="J701" t="s">
        <v>189</v>
      </c>
      <c r="K701" s="3">
        <v>46175</v>
      </c>
      <c r="L701" s="3">
        <v>46171</v>
      </c>
      <c r="M701" s="3">
        <v>46175</v>
      </c>
      <c r="N701" s="3">
        <v>46175</v>
      </c>
      <c r="O701" t="s">
        <v>189</v>
      </c>
      <c r="P701" t="s">
        <v>55</v>
      </c>
      <c r="Q701">
        <v>825</v>
      </c>
      <c r="S701" t="s">
        <v>1058</v>
      </c>
      <c r="T701" t="s">
        <v>1109</v>
      </c>
      <c r="U701">
        <v>828</v>
      </c>
      <c r="V701" t="s">
        <v>122</v>
      </c>
      <c r="W701">
        <v>13.4</v>
      </c>
      <c r="X701" t="s">
        <v>57</v>
      </c>
      <c r="Z701" t="s">
        <v>1058</v>
      </c>
      <c r="AA701" t="s">
        <v>462</v>
      </c>
      <c r="AE701">
        <v>1</v>
      </c>
      <c r="AF701">
        <v>1</v>
      </c>
      <c r="AG701">
        <v>1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1</v>
      </c>
    </row>
    <row r="702" spans="1:42" x14ac:dyDescent="0.25">
      <c r="A702">
        <v>828</v>
      </c>
      <c r="B702" t="s">
        <v>1366</v>
      </c>
      <c r="C702" t="s">
        <v>1365</v>
      </c>
      <c r="D702" t="s">
        <v>121</v>
      </c>
      <c r="E702" s="4">
        <v>1</v>
      </c>
      <c r="F702" t="s">
        <v>138</v>
      </c>
      <c r="G702" t="s">
        <v>138</v>
      </c>
      <c r="H702" s="3">
        <v>46176</v>
      </c>
      <c r="I702" s="3">
        <v>46184</v>
      </c>
      <c r="J702" t="s">
        <v>459</v>
      </c>
      <c r="K702" s="3">
        <v>46184</v>
      </c>
      <c r="L702" s="3">
        <v>46176</v>
      </c>
      <c r="M702" s="3">
        <v>46184</v>
      </c>
      <c r="N702" s="3">
        <v>46184</v>
      </c>
      <c r="O702" t="s">
        <v>459</v>
      </c>
      <c r="P702" t="s">
        <v>55</v>
      </c>
      <c r="Q702">
        <v>827</v>
      </c>
      <c r="S702" t="s">
        <v>124</v>
      </c>
      <c r="T702" t="s">
        <v>1109</v>
      </c>
      <c r="U702">
        <v>829</v>
      </c>
      <c r="V702" t="s">
        <v>122</v>
      </c>
      <c r="W702">
        <v>13.4</v>
      </c>
      <c r="X702" t="s">
        <v>57</v>
      </c>
      <c r="Z702" t="s">
        <v>124</v>
      </c>
      <c r="AA702" t="s">
        <v>217</v>
      </c>
      <c r="AE702">
        <v>1</v>
      </c>
      <c r="AF702">
        <v>0</v>
      </c>
      <c r="AG702">
        <v>0</v>
      </c>
      <c r="AH702">
        <v>0</v>
      </c>
      <c r="AI702">
        <v>0</v>
      </c>
      <c r="AJ702">
        <v>1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</row>
    <row r="703" spans="1:42" x14ac:dyDescent="0.25">
      <c r="A703">
        <v>829</v>
      </c>
      <c r="B703" t="s">
        <v>1367</v>
      </c>
      <c r="C703" t="s">
        <v>1365</v>
      </c>
      <c r="D703" t="s">
        <v>126</v>
      </c>
      <c r="E703" s="4">
        <v>1</v>
      </c>
      <c r="F703" t="s">
        <v>101</v>
      </c>
      <c r="G703" t="s">
        <v>101</v>
      </c>
      <c r="H703" s="3">
        <v>46185</v>
      </c>
      <c r="I703" s="3">
        <v>46190</v>
      </c>
      <c r="J703" t="s">
        <v>571</v>
      </c>
      <c r="K703" s="3">
        <v>46190</v>
      </c>
      <c r="L703" s="3">
        <v>46185</v>
      </c>
      <c r="M703" s="3">
        <v>46190</v>
      </c>
      <c r="N703" s="3">
        <v>46190</v>
      </c>
      <c r="O703" t="s">
        <v>571</v>
      </c>
      <c r="P703" t="s">
        <v>55</v>
      </c>
      <c r="Q703">
        <v>828</v>
      </c>
      <c r="S703" t="s">
        <v>1058</v>
      </c>
      <c r="T703" t="s">
        <v>1109</v>
      </c>
      <c r="U703">
        <v>830</v>
      </c>
      <c r="V703" t="s">
        <v>61</v>
      </c>
      <c r="W703">
        <v>13.4</v>
      </c>
      <c r="X703" t="s">
        <v>57</v>
      </c>
      <c r="Z703" t="s">
        <v>1058</v>
      </c>
      <c r="AA703" t="s">
        <v>217</v>
      </c>
      <c r="AE703">
        <v>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1</v>
      </c>
      <c r="AM703">
        <v>0</v>
      </c>
      <c r="AN703">
        <v>0</v>
      </c>
      <c r="AO703">
        <v>0</v>
      </c>
      <c r="AP703">
        <v>0</v>
      </c>
    </row>
    <row r="704" spans="1:42" x14ac:dyDescent="0.25">
      <c r="A704">
        <v>830</v>
      </c>
      <c r="B704" t="s">
        <v>1368</v>
      </c>
      <c r="C704" t="s">
        <v>1365</v>
      </c>
      <c r="D704" t="s">
        <v>133</v>
      </c>
      <c r="E704" s="4">
        <v>1</v>
      </c>
      <c r="F704" t="s">
        <v>127</v>
      </c>
      <c r="G704" t="s">
        <v>127</v>
      </c>
      <c r="H704" s="3">
        <v>46191</v>
      </c>
      <c r="I704" s="3">
        <v>46192</v>
      </c>
      <c r="J704" t="s">
        <v>480</v>
      </c>
      <c r="K704" s="3">
        <v>46192</v>
      </c>
      <c r="L704" s="3">
        <v>46191</v>
      </c>
      <c r="M704" s="3">
        <v>46192</v>
      </c>
      <c r="N704" s="3">
        <v>46192</v>
      </c>
      <c r="O704" t="s">
        <v>480</v>
      </c>
      <c r="P704" t="s">
        <v>55</v>
      </c>
      <c r="Q704">
        <v>829</v>
      </c>
      <c r="S704" t="s">
        <v>124</v>
      </c>
      <c r="T704" t="s">
        <v>1109</v>
      </c>
      <c r="V704" t="s">
        <v>61</v>
      </c>
      <c r="W704">
        <v>13.4</v>
      </c>
      <c r="X704" t="s">
        <v>57</v>
      </c>
      <c r="Z704" t="s">
        <v>124</v>
      </c>
      <c r="AA704" t="s">
        <v>217</v>
      </c>
      <c r="AE704">
        <v>1</v>
      </c>
      <c r="AF704">
        <v>0</v>
      </c>
      <c r="AG704">
        <v>0</v>
      </c>
      <c r="AH704">
        <v>0</v>
      </c>
      <c r="AI704">
        <v>1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0</v>
      </c>
      <c r="AP704">
        <v>0</v>
      </c>
    </row>
    <row r="705" spans="1:42" x14ac:dyDescent="0.25">
      <c r="A705">
        <v>831</v>
      </c>
      <c r="B705" t="s">
        <v>1369</v>
      </c>
      <c r="C705" t="s">
        <v>1109</v>
      </c>
      <c r="D705" t="s">
        <v>1370</v>
      </c>
      <c r="E705" s="4">
        <v>1</v>
      </c>
      <c r="F705" t="s">
        <v>365</v>
      </c>
      <c r="G705" t="s">
        <v>365</v>
      </c>
      <c r="H705" s="3">
        <v>46171</v>
      </c>
      <c r="I705" s="3">
        <v>46192</v>
      </c>
      <c r="J705" t="s">
        <v>189</v>
      </c>
      <c r="K705" s="3">
        <v>46192</v>
      </c>
      <c r="L705" s="3">
        <v>46171</v>
      </c>
      <c r="M705" s="3">
        <v>46192</v>
      </c>
      <c r="N705" s="3">
        <v>46192</v>
      </c>
      <c r="O705" t="s">
        <v>189</v>
      </c>
      <c r="P705" t="s">
        <v>55</v>
      </c>
      <c r="T705" t="s">
        <v>1109</v>
      </c>
      <c r="V705" t="s">
        <v>210</v>
      </c>
      <c r="W705">
        <v>33.119999999999997</v>
      </c>
      <c r="X705" t="s">
        <v>57</v>
      </c>
      <c r="AA705" t="s">
        <v>50</v>
      </c>
      <c r="AB705" t="s">
        <v>94</v>
      </c>
      <c r="AE705">
        <v>1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</row>
    <row r="706" spans="1:42" x14ac:dyDescent="0.25">
      <c r="A706">
        <v>832</v>
      </c>
      <c r="B706" t="s">
        <v>1371</v>
      </c>
      <c r="C706" t="s">
        <v>1372</v>
      </c>
      <c r="D706" t="s">
        <v>117</v>
      </c>
      <c r="E706" s="4">
        <v>1</v>
      </c>
      <c r="F706" t="s">
        <v>122</v>
      </c>
      <c r="G706" t="s">
        <v>122</v>
      </c>
      <c r="H706" s="3">
        <v>46171</v>
      </c>
      <c r="I706" s="3">
        <v>46175</v>
      </c>
      <c r="J706" t="s">
        <v>189</v>
      </c>
      <c r="K706" s="3">
        <v>46175</v>
      </c>
      <c r="L706" s="3">
        <v>46171</v>
      </c>
      <c r="M706" s="3">
        <v>46175</v>
      </c>
      <c r="N706" s="3">
        <v>46175</v>
      </c>
      <c r="O706" t="s">
        <v>189</v>
      </c>
      <c r="P706" t="s">
        <v>55</v>
      </c>
      <c r="S706" t="s">
        <v>1058</v>
      </c>
      <c r="T706" t="s">
        <v>1109</v>
      </c>
      <c r="U706">
        <v>833</v>
      </c>
      <c r="V706" t="s">
        <v>122</v>
      </c>
      <c r="W706">
        <v>13.4</v>
      </c>
      <c r="X706" t="s">
        <v>57</v>
      </c>
      <c r="Z706" t="s">
        <v>1058</v>
      </c>
      <c r="AA706" t="s">
        <v>462</v>
      </c>
      <c r="AE706">
        <v>1</v>
      </c>
      <c r="AF706">
        <v>1</v>
      </c>
      <c r="AG706">
        <v>1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1</v>
      </c>
    </row>
    <row r="707" spans="1:42" x14ac:dyDescent="0.25">
      <c r="A707">
        <v>833</v>
      </c>
      <c r="B707" t="s">
        <v>1373</v>
      </c>
      <c r="C707" t="s">
        <v>1372</v>
      </c>
      <c r="D707" t="s">
        <v>121</v>
      </c>
      <c r="E707" s="4">
        <v>1</v>
      </c>
      <c r="F707" t="s">
        <v>138</v>
      </c>
      <c r="G707" t="s">
        <v>138</v>
      </c>
      <c r="H707" s="3">
        <v>46176</v>
      </c>
      <c r="I707" s="3">
        <v>46184</v>
      </c>
      <c r="J707" t="s">
        <v>459</v>
      </c>
      <c r="K707" s="3">
        <v>46184</v>
      </c>
      <c r="L707" s="3">
        <v>46176</v>
      </c>
      <c r="M707" s="3">
        <v>46184</v>
      </c>
      <c r="N707" s="3">
        <v>46184</v>
      </c>
      <c r="O707" t="s">
        <v>459</v>
      </c>
      <c r="P707" t="s">
        <v>55</v>
      </c>
      <c r="Q707">
        <v>832</v>
      </c>
      <c r="S707" t="s">
        <v>124</v>
      </c>
      <c r="T707" t="s">
        <v>1109</v>
      </c>
      <c r="U707">
        <v>834</v>
      </c>
      <c r="V707" t="s">
        <v>122</v>
      </c>
      <c r="W707">
        <v>13.4</v>
      </c>
      <c r="X707" t="s">
        <v>57</v>
      </c>
      <c r="Z707" t="s">
        <v>124</v>
      </c>
      <c r="AA707" t="s">
        <v>217</v>
      </c>
      <c r="AE707">
        <v>1</v>
      </c>
      <c r="AF707">
        <v>0</v>
      </c>
      <c r="AG707">
        <v>0</v>
      </c>
      <c r="AH707">
        <v>0</v>
      </c>
      <c r="AI707">
        <v>0</v>
      </c>
      <c r="AJ707">
        <v>1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</row>
    <row r="708" spans="1:42" x14ac:dyDescent="0.25">
      <c r="A708">
        <v>834</v>
      </c>
      <c r="B708" t="s">
        <v>1374</v>
      </c>
      <c r="C708" t="s">
        <v>1372</v>
      </c>
      <c r="D708" t="s">
        <v>126</v>
      </c>
      <c r="E708" s="4">
        <v>1</v>
      </c>
      <c r="F708" t="s">
        <v>101</v>
      </c>
      <c r="G708" t="s">
        <v>101</v>
      </c>
      <c r="H708" s="3">
        <v>46185</v>
      </c>
      <c r="I708" s="3">
        <v>46190</v>
      </c>
      <c r="J708" t="s">
        <v>571</v>
      </c>
      <c r="K708" s="3">
        <v>46190</v>
      </c>
      <c r="L708" s="3">
        <v>46185</v>
      </c>
      <c r="M708" s="3">
        <v>46190</v>
      </c>
      <c r="N708" s="3">
        <v>46190</v>
      </c>
      <c r="O708" t="s">
        <v>571</v>
      </c>
      <c r="P708" t="s">
        <v>55</v>
      </c>
      <c r="Q708">
        <v>833</v>
      </c>
      <c r="S708" t="s">
        <v>1058</v>
      </c>
      <c r="T708" t="s">
        <v>1109</v>
      </c>
      <c r="U708">
        <v>835</v>
      </c>
      <c r="V708" t="s">
        <v>61</v>
      </c>
      <c r="W708">
        <v>13.4</v>
      </c>
      <c r="X708" t="s">
        <v>57</v>
      </c>
      <c r="Z708" t="s">
        <v>1058</v>
      </c>
      <c r="AA708" t="s">
        <v>217</v>
      </c>
      <c r="AE708">
        <v>1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1</v>
      </c>
      <c r="AM708">
        <v>0</v>
      </c>
      <c r="AN708">
        <v>0</v>
      </c>
      <c r="AO708">
        <v>0</v>
      </c>
      <c r="AP708">
        <v>0</v>
      </c>
    </row>
    <row r="709" spans="1:42" x14ac:dyDescent="0.25">
      <c r="A709">
        <v>835</v>
      </c>
      <c r="B709" t="s">
        <v>1375</v>
      </c>
      <c r="C709" t="s">
        <v>1372</v>
      </c>
      <c r="D709" t="s">
        <v>133</v>
      </c>
      <c r="E709" s="4">
        <v>1</v>
      </c>
      <c r="F709" t="s">
        <v>127</v>
      </c>
      <c r="G709" t="s">
        <v>127</v>
      </c>
      <c r="H709" s="3">
        <v>46191</v>
      </c>
      <c r="I709" s="3">
        <v>46192</v>
      </c>
      <c r="J709" t="s">
        <v>480</v>
      </c>
      <c r="K709" s="3">
        <v>46192</v>
      </c>
      <c r="L709" s="3">
        <v>46191</v>
      </c>
      <c r="M709" s="3">
        <v>46192</v>
      </c>
      <c r="N709" s="3">
        <v>46192</v>
      </c>
      <c r="O709" t="s">
        <v>480</v>
      </c>
      <c r="P709" t="s">
        <v>55</v>
      </c>
      <c r="Q709">
        <v>834</v>
      </c>
      <c r="S709" t="s">
        <v>124</v>
      </c>
      <c r="T709" t="s">
        <v>1109</v>
      </c>
      <c r="V709" t="s">
        <v>61</v>
      </c>
      <c r="W709">
        <v>13.4</v>
      </c>
      <c r="X709" t="s">
        <v>57</v>
      </c>
      <c r="Z709" t="s">
        <v>124</v>
      </c>
      <c r="AA709" t="s">
        <v>217</v>
      </c>
      <c r="AE709">
        <v>1</v>
      </c>
      <c r="AF709">
        <v>0</v>
      </c>
      <c r="AG709">
        <v>0</v>
      </c>
      <c r="AH709">
        <v>0</v>
      </c>
      <c r="AI709">
        <v>1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0</v>
      </c>
      <c r="AP709">
        <v>0</v>
      </c>
    </row>
    <row r="710" spans="1:42" x14ac:dyDescent="0.25">
      <c r="A710">
        <v>836</v>
      </c>
      <c r="B710" t="s">
        <v>1376</v>
      </c>
      <c r="C710" t="s">
        <v>1109</v>
      </c>
      <c r="D710" t="s">
        <v>1377</v>
      </c>
      <c r="E710" s="4">
        <v>1</v>
      </c>
      <c r="F710" t="s">
        <v>365</v>
      </c>
      <c r="G710" t="s">
        <v>365</v>
      </c>
      <c r="H710" s="3">
        <v>46171</v>
      </c>
      <c r="I710" s="3">
        <v>46192</v>
      </c>
      <c r="J710" t="s">
        <v>189</v>
      </c>
      <c r="K710" s="3">
        <v>46192</v>
      </c>
      <c r="L710" s="3">
        <v>46171</v>
      </c>
      <c r="M710" s="3">
        <v>46192</v>
      </c>
      <c r="N710" s="3">
        <v>46192</v>
      </c>
      <c r="O710" t="s">
        <v>189</v>
      </c>
      <c r="P710" t="s">
        <v>55</v>
      </c>
      <c r="T710" t="s">
        <v>1109</v>
      </c>
      <c r="V710" t="s">
        <v>210</v>
      </c>
      <c r="W710">
        <v>33.119999999999997</v>
      </c>
      <c r="X710" t="s">
        <v>57</v>
      </c>
      <c r="AA710" t="s">
        <v>50</v>
      </c>
      <c r="AB710" t="s">
        <v>94</v>
      </c>
      <c r="AE710">
        <v>1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</row>
    <row r="711" spans="1:42" x14ac:dyDescent="0.25">
      <c r="A711">
        <v>837</v>
      </c>
      <c r="B711" t="s">
        <v>1378</v>
      </c>
      <c r="C711" t="s">
        <v>1379</v>
      </c>
      <c r="D711" t="s">
        <v>117</v>
      </c>
      <c r="E711" s="4">
        <v>1</v>
      </c>
      <c r="F711" t="s">
        <v>122</v>
      </c>
      <c r="G711" t="s">
        <v>122</v>
      </c>
      <c r="H711" s="3">
        <v>46171</v>
      </c>
      <c r="I711" s="3">
        <v>46175</v>
      </c>
      <c r="J711" t="s">
        <v>189</v>
      </c>
      <c r="K711" s="3">
        <v>46175</v>
      </c>
      <c r="L711" s="3">
        <v>46171</v>
      </c>
      <c r="M711" s="3">
        <v>46175</v>
      </c>
      <c r="N711" s="3">
        <v>46175</v>
      </c>
      <c r="O711" t="s">
        <v>189</v>
      </c>
      <c r="P711" t="s">
        <v>55</v>
      </c>
      <c r="S711" t="s">
        <v>1058</v>
      </c>
      <c r="T711" t="s">
        <v>1109</v>
      </c>
      <c r="U711">
        <v>838</v>
      </c>
      <c r="V711" t="s">
        <v>122</v>
      </c>
      <c r="W711">
        <v>13.4</v>
      </c>
      <c r="X711" t="s">
        <v>57</v>
      </c>
      <c r="Z711" t="s">
        <v>1058</v>
      </c>
      <c r="AA711" t="s">
        <v>462</v>
      </c>
      <c r="AE711">
        <v>1</v>
      </c>
      <c r="AF711">
        <v>1</v>
      </c>
      <c r="AG711">
        <v>1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1</v>
      </c>
    </row>
    <row r="712" spans="1:42" x14ac:dyDescent="0.25">
      <c r="A712">
        <v>838</v>
      </c>
      <c r="B712" t="s">
        <v>1380</v>
      </c>
      <c r="C712" t="s">
        <v>1379</v>
      </c>
      <c r="D712" t="s">
        <v>121</v>
      </c>
      <c r="E712" s="4">
        <v>1</v>
      </c>
      <c r="F712" t="s">
        <v>138</v>
      </c>
      <c r="G712" t="s">
        <v>138</v>
      </c>
      <c r="H712" s="3">
        <v>46176</v>
      </c>
      <c r="I712" s="3">
        <v>46184</v>
      </c>
      <c r="J712" t="s">
        <v>459</v>
      </c>
      <c r="K712" s="3">
        <v>46184</v>
      </c>
      <c r="L712" s="3">
        <v>46176</v>
      </c>
      <c r="M712" s="3">
        <v>46184</v>
      </c>
      <c r="N712" s="3">
        <v>46184</v>
      </c>
      <c r="O712" t="s">
        <v>459</v>
      </c>
      <c r="P712" t="s">
        <v>55</v>
      </c>
      <c r="Q712">
        <v>837</v>
      </c>
      <c r="S712" t="s">
        <v>124</v>
      </c>
      <c r="T712" t="s">
        <v>1109</v>
      </c>
      <c r="U712">
        <v>839</v>
      </c>
      <c r="V712" t="s">
        <v>122</v>
      </c>
      <c r="W712">
        <v>13.4</v>
      </c>
      <c r="X712" t="s">
        <v>57</v>
      </c>
      <c r="Z712" t="s">
        <v>124</v>
      </c>
      <c r="AA712" t="s">
        <v>217</v>
      </c>
      <c r="AE712">
        <v>1</v>
      </c>
      <c r="AF712">
        <v>0</v>
      </c>
      <c r="AG712">
        <v>0</v>
      </c>
      <c r="AH712">
        <v>0</v>
      </c>
      <c r="AI712">
        <v>0</v>
      </c>
      <c r="AJ712">
        <v>1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</row>
    <row r="713" spans="1:42" x14ac:dyDescent="0.25">
      <c r="A713">
        <v>839</v>
      </c>
      <c r="B713" t="s">
        <v>1381</v>
      </c>
      <c r="C713" t="s">
        <v>1379</v>
      </c>
      <c r="D713" t="s">
        <v>126</v>
      </c>
      <c r="E713" s="4">
        <v>1</v>
      </c>
      <c r="F713" t="s">
        <v>101</v>
      </c>
      <c r="G713" t="s">
        <v>101</v>
      </c>
      <c r="H713" s="3">
        <v>46185</v>
      </c>
      <c r="I713" s="3">
        <v>46190</v>
      </c>
      <c r="J713" t="s">
        <v>571</v>
      </c>
      <c r="K713" s="3">
        <v>46190</v>
      </c>
      <c r="L713" s="3">
        <v>46185</v>
      </c>
      <c r="M713" s="3">
        <v>46190</v>
      </c>
      <c r="N713" s="3">
        <v>46190</v>
      </c>
      <c r="O713" t="s">
        <v>571</v>
      </c>
      <c r="P713" t="s">
        <v>55</v>
      </c>
      <c r="Q713">
        <v>838</v>
      </c>
      <c r="S713" t="s">
        <v>1058</v>
      </c>
      <c r="T713" t="s">
        <v>1109</v>
      </c>
      <c r="U713">
        <v>840</v>
      </c>
      <c r="V713" t="s">
        <v>61</v>
      </c>
      <c r="W713">
        <v>13.4</v>
      </c>
      <c r="X713" t="s">
        <v>57</v>
      </c>
      <c r="Z713" t="s">
        <v>1058</v>
      </c>
      <c r="AA713" t="s">
        <v>217</v>
      </c>
      <c r="AE713">
        <v>1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1</v>
      </c>
      <c r="AM713">
        <v>0</v>
      </c>
      <c r="AN713">
        <v>0</v>
      </c>
      <c r="AO713">
        <v>0</v>
      </c>
      <c r="AP713">
        <v>0</v>
      </c>
    </row>
    <row r="714" spans="1:42" x14ac:dyDescent="0.25">
      <c r="A714">
        <v>840</v>
      </c>
      <c r="B714" t="s">
        <v>1382</v>
      </c>
      <c r="C714" t="s">
        <v>1379</v>
      </c>
      <c r="D714" t="s">
        <v>133</v>
      </c>
      <c r="E714" s="4">
        <v>1</v>
      </c>
      <c r="F714" t="s">
        <v>127</v>
      </c>
      <c r="G714" t="s">
        <v>127</v>
      </c>
      <c r="H714" s="3">
        <v>46191</v>
      </c>
      <c r="I714" s="3">
        <v>46192</v>
      </c>
      <c r="J714" t="s">
        <v>480</v>
      </c>
      <c r="K714" s="3">
        <v>46192</v>
      </c>
      <c r="L714" s="3">
        <v>46191</v>
      </c>
      <c r="M714" s="3">
        <v>46192</v>
      </c>
      <c r="N714" s="3">
        <v>46192</v>
      </c>
      <c r="O714" t="s">
        <v>480</v>
      </c>
      <c r="P714" t="s">
        <v>55</v>
      </c>
      <c r="Q714">
        <v>839</v>
      </c>
      <c r="S714" t="s">
        <v>124</v>
      </c>
      <c r="T714" t="s">
        <v>1109</v>
      </c>
      <c r="V714" t="s">
        <v>61</v>
      </c>
      <c r="W714">
        <v>13.4</v>
      </c>
      <c r="X714" t="s">
        <v>57</v>
      </c>
      <c r="Z714" t="s">
        <v>124</v>
      </c>
      <c r="AA714" t="s">
        <v>217</v>
      </c>
      <c r="AE714">
        <v>1</v>
      </c>
      <c r="AF714">
        <v>0</v>
      </c>
      <c r="AG714">
        <v>0</v>
      </c>
      <c r="AH714">
        <v>0</v>
      </c>
      <c r="AI714">
        <v>1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0</v>
      </c>
      <c r="AP714">
        <v>0</v>
      </c>
    </row>
    <row r="715" spans="1:42" x14ac:dyDescent="0.25">
      <c r="A715">
        <v>841</v>
      </c>
      <c r="B715" t="s">
        <v>1383</v>
      </c>
      <c r="C715" t="s">
        <v>1109</v>
      </c>
      <c r="D715" t="s">
        <v>1384</v>
      </c>
      <c r="E715" s="4">
        <v>1</v>
      </c>
      <c r="F715" t="s">
        <v>365</v>
      </c>
      <c r="G715" t="s">
        <v>365</v>
      </c>
      <c r="H715" s="3">
        <v>46171</v>
      </c>
      <c r="I715" s="3">
        <v>46192</v>
      </c>
      <c r="J715" t="s">
        <v>189</v>
      </c>
      <c r="K715" s="3">
        <v>46192</v>
      </c>
      <c r="L715" s="3">
        <v>46171</v>
      </c>
      <c r="M715" s="3">
        <v>46192</v>
      </c>
      <c r="N715" s="3">
        <v>46192</v>
      </c>
      <c r="O715" t="s">
        <v>189</v>
      </c>
      <c r="P715" t="s">
        <v>55</v>
      </c>
      <c r="T715" t="s">
        <v>1109</v>
      </c>
      <c r="V715" t="s">
        <v>210</v>
      </c>
      <c r="W715">
        <v>33.119999999999997</v>
      </c>
      <c r="X715" t="s">
        <v>57</v>
      </c>
      <c r="AA715" t="s">
        <v>50</v>
      </c>
      <c r="AB715" t="s">
        <v>94</v>
      </c>
      <c r="AE715">
        <v>1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</row>
    <row r="716" spans="1:42" x14ac:dyDescent="0.25">
      <c r="A716">
        <v>842</v>
      </c>
      <c r="B716" t="s">
        <v>1385</v>
      </c>
      <c r="C716" t="s">
        <v>1386</v>
      </c>
      <c r="D716" t="s">
        <v>117</v>
      </c>
      <c r="E716" s="4">
        <v>1</v>
      </c>
      <c r="F716" t="s">
        <v>122</v>
      </c>
      <c r="G716" t="s">
        <v>122</v>
      </c>
      <c r="H716" s="3">
        <v>46171</v>
      </c>
      <c r="I716" s="3">
        <v>46175</v>
      </c>
      <c r="J716" t="s">
        <v>189</v>
      </c>
      <c r="K716" s="3">
        <v>46175</v>
      </c>
      <c r="L716" s="3">
        <v>46171</v>
      </c>
      <c r="M716" s="3">
        <v>46175</v>
      </c>
      <c r="N716" s="3">
        <v>46175</v>
      </c>
      <c r="O716" t="s">
        <v>189</v>
      </c>
      <c r="P716" t="s">
        <v>55</v>
      </c>
      <c r="S716" t="s">
        <v>1058</v>
      </c>
      <c r="T716" t="s">
        <v>1109</v>
      </c>
      <c r="U716">
        <v>843</v>
      </c>
      <c r="V716" t="s">
        <v>122</v>
      </c>
      <c r="W716">
        <v>13.4</v>
      </c>
      <c r="X716" t="s">
        <v>57</v>
      </c>
      <c r="Z716" t="s">
        <v>1058</v>
      </c>
      <c r="AA716" t="s">
        <v>462</v>
      </c>
      <c r="AE716">
        <v>1</v>
      </c>
      <c r="AF716">
        <v>1</v>
      </c>
      <c r="AG716">
        <v>1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1</v>
      </c>
    </row>
    <row r="717" spans="1:42" x14ac:dyDescent="0.25">
      <c r="A717">
        <v>843</v>
      </c>
      <c r="B717" t="s">
        <v>1387</v>
      </c>
      <c r="C717" t="s">
        <v>1386</v>
      </c>
      <c r="D717" t="s">
        <v>121</v>
      </c>
      <c r="E717" s="4">
        <v>1</v>
      </c>
      <c r="F717" t="s">
        <v>138</v>
      </c>
      <c r="G717" t="s">
        <v>138</v>
      </c>
      <c r="H717" s="3">
        <v>46176</v>
      </c>
      <c r="I717" s="3">
        <v>46184</v>
      </c>
      <c r="J717" t="s">
        <v>459</v>
      </c>
      <c r="K717" s="3">
        <v>46184</v>
      </c>
      <c r="L717" s="3">
        <v>46176</v>
      </c>
      <c r="M717" s="3">
        <v>46184</v>
      </c>
      <c r="N717" s="3">
        <v>46184</v>
      </c>
      <c r="O717" t="s">
        <v>459</v>
      </c>
      <c r="P717" t="s">
        <v>55</v>
      </c>
      <c r="Q717">
        <v>842</v>
      </c>
      <c r="S717" t="s">
        <v>124</v>
      </c>
      <c r="T717" t="s">
        <v>1109</v>
      </c>
      <c r="U717">
        <v>844</v>
      </c>
      <c r="V717" t="s">
        <v>122</v>
      </c>
      <c r="W717">
        <v>13.4</v>
      </c>
      <c r="X717" t="s">
        <v>57</v>
      </c>
      <c r="Z717" t="s">
        <v>124</v>
      </c>
      <c r="AA717" t="s">
        <v>217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1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</row>
    <row r="718" spans="1:42" x14ac:dyDescent="0.25">
      <c r="A718">
        <v>844</v>
      </c>
      <c r="B718" t="s">
        <v>1388</v>
      </c>
      <c r="C718" t="s">
        <v>1386</v>
      </c>
      <c r="D718" t="s">
        <v>126</v>
      </c>
      <c r="E718" s="4">
        <v>1</v>
      </c>
      <c r="F718" t="s">
        <v>101</v>
      </c>
      <c r="G718" t="s">
        <v>101</v>
      </c>
      <c r="H718" s="3">
        <v>46185</v>
      </c>
      <c r="I718" s="3">
        <v>46190</v>
      </c>
      <c r="J718" t="s">
        <v>571</v>
      </c>
      <c r="K718" s="3">
        <v>46190</v>
      </c>
      <c r="L718" s="3">
        <v>46185</v>
      </c>
      <c r="M718" s="3">
        <v>46190</v>
      </c>
      <c r="N718" s="3">
        <v>46190</v>
      </c>
      <c r="O718" t="s">
        <v>571</v>
      </c>
      <c r="P718" t="s">
        <v>55</v>
      </c>
      <c r="Q718">
        <v>843</v>
      </c>
      <c r="S718" t="s">
        <v>1058</v>
      </c>
      <c r="T718" t="s">
        <v>1109</v>
      </c>
      <c r="U718">
        <v>845</v>
      </c>
      <c r="V718" t="s">
        <v>61</v>
      </c>
      <c r="W718">
        <v>13.4</v>
      </c>
      <c r="X718" t="s">
        <v>57</v>
      </c>
      <c r="Z718" t="s">
        <v>1058</v>
      </c>
      <c r="AA718" t="s">
        <v>217</v>
      </c>
      <c r="AE718">
        <v>1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1</v>
      </c>
      <c r="AM718">
        <v>0</v>
      </c>
      <c r="AN718">
        <v>0</v>
      </c>
      <c r="AO718">
        <v>0</v>
      </c>
      <c r="AP718">
        <v>0</v>
      </c>
    </row>
    <row r="719" spans="1:42" x14ac:dyDescent="0.25">
      <c r="A719">
        <v>845</v>
      </c>
      <c r="B719" t="s">
        <v>1389</v>
      </c>
      <c r="C719" t="s">
        <v>1386</v>
      </c>
      <c r="D719" t="s">
        <v>133</v>
      </c>
      <c r="E719" s="4">
        <v>1</v>
      </c>
      <c r="F719" t="s">
        <v>127</v>
      </c>
      <c r="G719" t="s">
        <v>127</v>
      </c>
      <c r="H719" s="3">
        <v>46191</v>
      </c>
      <c r="I719" s="3">
        <v>46192</v>
      </c>
      <c r="J719" t="s">
        <v>480</v>
      </c>
      <c r="K719" s="3">
        <v>46192</v>
      </c>
      <c r="L719" s="3">
        <v>46191</v>
      </c>
      <c r="M719" s="3">
        <v>46192</v>
      </c>
      <c r="N719" s="3">
        <v>46192</v>
      </c>
      <c r="O719" t="s">
        <v>480</v>
      </c>
      <c r="P719" t="s">
        <v>55</v>
      </c>
      <c r="Q719">
        <v>844</v>
      </c>
      <c r="S719" t="s">
        <v>124</v>
      </c>
      <c r="T719" t="s">
        <v>1109</v>
      </c>
      <c r="V719" t="s">
        <v>61</v>
      </c>
      <c r="W719">
        <v>13.4</v>
      </c>
      <c r="X719" t="s">
        <v>57</v>
      </c>
      <c r="Z719" t="s">
        <v>124</v>
      </c>
      <c r="AA719" t="s">
        <v>217</v>
      </c>
      <c r="AE719">
        <v>1</v>
      </c>
      <c r="AF719">
        <v>0</v>
      </c>
      <c r="AG719">
        <v>0</v>
      </c>
      <c r="AH719">
        <v>0</v>
      </c>
      <c r="AI719">
        <v>1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0</v>
      </c>
      <c r="AP719">
        <v>0</v>
      </c>
    </row>
    <row r="720" spans="1:42" x14ac:dyDescent="0.25">
      <c r="A720">
        <v>846</v>
      </c>
      <c r="B720" t="s">
        <v>1390</v>
      </c>
      <c r="C720" t="s">
        <v>1109</v>
      </c>
      <c r="D720" t="s">
        <v>1391</v>
      </c>
      <c r="E720" s="4">
        <v>1</v>
      </c>
      <c r="F720" t="s">
        <v>365</v>
      </c>
      <c r="G720" t="s">
        <v>365</v>
      </c>
      <c r="H720" s="3">
        <v>46171</v>
      </c>
      <c r="I720" s="3">
        <v>46192</v>
      </c>
      <c r="J720" t="s">
        <v>189</v>
      </c>
      <c r="K720" s="3">
        <v>46192</v>
      </c>
      <c r="L720" s="3">
        <v>46171</v>
      </c>
      <c r="M720" s="3">
        <v>46192</v>
      </c>
      <c r="N720" s="3">
        <v>46192</v>
      </c>
      <c r="O720" t="s">
        <v>189</v>
      </c>
      <c r="P720" t="s">
        <v>55</v>
      </c>
      <c r="T720" t="s">
        <v>1109</v>
      </c>
      <c r="V720" t="s">
        <v>210</v>
      </c>
      <c r="W720">
        <v>33.119999999999997</v>
      </c>
      <c r="X720" t="s">
        <v>57</v>
      </c>
      <c r="AA720" t="s">
        <v>50</v>
      </c>
      <c r="AB720" t="s">
        <v>94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</row>
    <row r="721" spans="1:42" x14ac:dyDescent="0.25">
      <c r="A721">
        <v>847</v>
      </c>
      <c r="B721" t="s">
        <v>1392</v>
      </c>
      <c r="C721" t="s">
        <v>1393</v>
      </c>
      <c r="D721" t="s">
        <v>117</v>
      </c>
      <c r="E721" s="4">
        <v>1</v>
      </c>
      <c r="F721" t="s">
        <v>122</v>
      </c>
      <c r="G721" t="s">
        <v>122</v>
      </c>
      <c r="H721" s="3">
        <v>46171</v>
      </c>
      <c r="I721" s="3">
        <v>46175</v>
      </c>
      <c r="J721" t="s">
        <v>189</v>
      </c>
      <c r="K721" s="3">
        <v>46175</v>
      </c>
      <c r="L721" s="3">
        <v>46171</v>
      </c>
      <c r="M721" s="3">
        <v>46175</v>
      </c>
      <c r="N721" s="3">
        <v>46175</v>
      </c>
      <c r="O721" t="s">
        <v>189</v>
      </c>
      <c r="P721" t="s">
        <v>55</v>
      </c>
      <c r="S721" t="s">
        <v>1058</v>
      </c>
      <c r="T721" t="s">
        <v>1109</v>
      </c>
      <c r="U721">
        <v>848</v>
      </c>
      <c r="V721" t="s">
        <v>122</v>
      </c>
      <c r="W721">
        <v>13.4</v>
      </c>
      <c r="X721" t="s">
        <v>57</v>
      </c>
      <c r="Z721" t="s">
        <v>1058</v>
      </c>
      <c r="AA721" t="s">
        <v>462</v>
      </c>
      <c r="AE721">
        <v>1</v>
      </c>
      <c r="AF721">
        <v>1</v>
      </c>
      <c r="AG721">
        <v>1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1</v>
      </c>
    </row>
    <row r="722" spans="1:42" x14ac:dyDescent="0.25">
      <c r="A722">
        <v>848</v>
      </c>
      <c r="B722" t="s">
        <v>1394</v>
      </c>
      <c r="C722" t="s">
        <v>1393</v>
      </c>
      <c r="D722" t="s">
        <v>121</v>
      </c>
      <c r="E722" s="4">
        <v>1</v>
      </c>
      <c r="F722" t="s">
        <v>138</v>
      </c>
      <c r="G722" t="s">
        <v>138</v>
      </c>
      <c r="H722" s="3">
        <v>46176</v>
      </c>
      <c r="I722" s="3">
        <v>46184</v>
      </c>
      <c r="J722" t="s">
        <v>459</v>
      </c>
      <c r="K722" s="3">
        <v>46184</v>
      </c>
      <c r="L722" s="3">
        <v>46176</v>
      </c>
      <c r="M722" s="3">
        <v>46184</v>
      </c>
      <c r="N722" s="3">
        <v>46184</v>
      </c>
      <c r="O722" t="s">
        <v>459</v>
      </c>
      <c r="P722" t="s">
        <v>55</v>
      </c>
      <c r="Q722">
        <v>847</v>
      </c>
      <c r="S722" t="s">
        <v>124</v>
      </c>
      <c r="T722" t="s">
        <v>1109</v>
      </c>
      <c r="U722">
        <v>849</v>
      </c>
      <c r="V722" t="s">
        <v>122</v>
      </c>
      <c r="W722">
        <v>13.4</v>
      </c>
      <c r="X722" t="s">
        <v>57</v>
      </c>
      <c r="Z722" t="s">
        <v>124</v>
      </c>
      <c r="AA722" t="s">
        <v>217</v>
      </c>
      <c r="AE722">
        <v>1</v>
      </c>
      <c r="AF722">
        <v>0</v>
      </c>
      <c r="AG722">
        <v>0</v>
      </c>
      <c r="AH722">
        <v>0</v>
      </c>
      <c r="AI722">
        <v>0</v>
      </c>
      <c r="AJ722">
        <v>1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</row>
    <row r="723" spans="1:42" x14ac:dyDescent="0.25">
      <c r="A723">
        <v>849</v>
      </c>
      <c r="B723" t="s">
        <v>1395</v>
      </c>
      <c r="C723" t="s">
        <v>1393</v>
      </c>
      <c r="D723" t="s">
        <v>126</v>
      </c>
      <c r="E723" s="4">
        <v>1</v>
      </c>
      <c r="F723" t="s">
        <v>101</v>
      </c>
      <c r="G723" t="s">
        <v>101</v>
      </c>
      <c r="H723" s="3">
        <v>46185</v>
      </c>
      <c r="I723" s="3">
        <v>46190</v>
      </c>
      <c r="J723" t="s">
        <v>571</v>
      </c>
      <c r="K723" s="3">
        <v>46190</v>
      </c>
      <c r="L723" s="3">
        <v>46185</v>
      </c>
      <c r="M723" s="3">
        <v>46190</v>
      </c>
      <c r="N723" s="3">
        <v>46190</v>
      </c>
      <c r="O723" t="s">
        <v>571</v>
      </c>
      <c r="P723" t="s">
        <v>55</v>
      </c>
      <c r="Q723">
        <v>848</v>
      </c>
      <c r="S723" t="s">
        <v>1058</v>
      </c>
      <c r="T723" t="s">
        <v>1109</v>
      </c>
      <c r="U723">
        <v>850</v>
      </c>
      <c r="V723" t="s">
        <v>61</v>
      </c>
      <c r="W723">
        <v>13.4</v>
      </c>
      <c r="X723" t="s">
        <v>57</v>
      </c>
      <c r="Z723" t="s">
        <v>1058</v>
      </c>
      <c r="AA723" t="s">
        <v>217</v>
      </c>
      <c r="AE723">
        <v>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1</v>
      </c>
      <c r="AM723">
        <v>0</v>
      </c>
      <c r="AN723">
        <v>0</v>
      </c>
      <c r="AO723">
        <v>0</v>
      </c>
      <c r="AP723">
        <v>0</v>
      </c>
    </row>
    <row r="724" spans="1:42" x14ac:dyDescent="0.25">
      <c r="A724">
        <v>850</v>
      </c>
      <c r="B724" t="s">
        <v>1396</v>
      </c>
      <c r="C724" t="s">
        <v>1393</v>
      </c>
      <c r="D724" t="s">
        <v>133</v>
      </c>
      <c r="E724" s="4">
        <v>1</v>
      </c>
      <c r="F724" t="s">
        <v>127</v>
      </c>
      <c r="G724" t="s">
        <v>127</v>
      </c>
      <c r="H724" s="3">
        <v>46191</v>
      </c>
      <c r="I724" s="3">
        <v>46192</v>
      </c>
      <c r="J724" t="s">
        <v>480</v>
      </c>
      <c r="K724" s="3">
        <v>46192</v>
      </c>
      <c r="L724" s="3">
        <v>46191</v>
      </c>
      <c r="M724" s="3">
        <v>46192</v>
      </c>
      <c r="N724" s="3">
        <v>46192</v>
      </c>
      <c r="O724" t="s">
        <v>480</v>
      </c>
      <c r="P724" t="s">
        <v>55</v>
      </c>
      <c r="Q724">
        <v>849</v>
      </c>
      <c r="S724" t="s">
        <v>124</v>
      </c>
      <c r="T724" t="s">
        <v>1109</v>
      </c>
      <c r="V724" t="s">
        <v>61</v>
      </c>
      <c r="W724">
        <v>13.4</v>
      </c>
      <c r="X724" t="s">
        <v>57</v>
      </c>
      <c r="Z724" t="s">
        <v>124</v>
      </c>
      <c r="AA724" t="s">
        <v>217</v>
      </c>
      <c r="AE724">
        <v>1</v>
      </c>
      <c r="AF724">
        <v>0</v>
      </c>
      <c r="AG724">
        <v>0</v>
      </c>
      <c r="AH724">
        <v>0</v>
      </c>
      <c r="AI724">
        <v>1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0</v>
      </c>
      <c r="AP724">
        <v>0</v>
      </c>
    </row>
    <row r="725" spans="1:42" x14ac:dyDescent="0.25">
      <c r="A725">
        <v>851</v>
      </c>
      <c r="B725" t="s">
        <v>1397</v>
      </c>
      <c r="C725" t="s">
        <v>1109</v>
      </c>
      <c r="D725" t="s">
        <v>1398</v>
      </c>
      <c r="E725" s="4">
        <v>1</v>
      </c>
      <c r="F725" t="s">
        <v>365</v>
      </c>
      <c r="G725" t="s">
        <v>365</v>
      </c>
      <c r="H725" s="3">
        <v>46171</v>
      </c>
      <c r="I725" s="3">
        <v>46192</v>
      </c>
      <c r="J725" t="s">
        <v>189</v>
      </c>
      <c r="K725" s="3">
        <v>46192</v>
      </c>
      <c r="L725" s="3">
        <v>46171</v>
      </c>
      <c r="M725" s="3">
        <v>46192</v>
      </c>
      <c r="N725" s="3">
        <v>46192</v>
      </c>
      <c r="O725" t="s">
        <v>189</v>
      </c>
      <c r="P725" t="s">
        <v>55</v>
      </c>
      <c r="T725" t="s">
        <v>1109</v>
      </c>
      <c r="V725" t="s">
        <v>210</v>
      </c>
      <c r="W725">
        <v>33.119999999999997</v>
      </c>
      <c r="X725" t="s">
        <v>57</v>
      </c>
      <c r="AA725" t="s">
        <v>50</v>
      </c>
      <c r="AB725" t="s">
        <v>94</v>
      </c>
      <c r="AE725">
        <v>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</row>
    <row r="726" spans="1:42" x14ac:dyDescent="0.25">
      <c r="A726">
        <v>852</v>
      </c>
      <c r="B726" t="s">
        <v>1399</v>
      </c>
      <c r="C726" t="s">
        <v>1400</v>
      </c>
      <c r="D726" t="s">
        <v>117</v>
      </c>
      <c r="E726" s="4">
        <v>1</v>
      </c>
      <c r="F726" t="s">
        <v>122</v>
      </c>
      <c r="G726" t="s">
        <v>122</v>
      </c>
      <c r="H726" s="3">
        <v>46171</v>
      </c>
      <c r="I726" s="3">
        <v>46175</v>
      </c>
      <c r="J726" t="s">
        <v>189</v>
      </c>
      <c r="K726" s="3">
        <v>46175</v>
      </c>
      <c r="L726" s="3">
        <v>46171</v>
      </c>
      <c r="M726" s="3">
        <v>46175</v>
      </c>
      <c r="N726" s="3">
        <v>46175</v>
      </c>
      <c r="O726" t="s">
        <v>189</v>
      </c>
      <c r="P726" t="s">
        <v>55</v>
      </c>
      <c r="S726" t="s">
        <v>1058</v>
      </c>
      <c r="T726" t="s">
        <v>1109</v>
      </c>
      <c r="U726">
        <v>853</v>
      </c>
      <c r="V726" t="s">
        <v>122</v>
      </c>
      <c r="W726">
        <v>13.4</v>
      </c>
      <c r="X726" t="s">
        <v>57</v>
      </c>
      <c r="Z726" t="s">
        <v>1058</v>
      </c>
      <c r="AA726" t="s">
        <v>462</v>
      </c>
      <c r="AE726">
        <v>1</v>
      </c>
      <c r="AF726">
        <v>1</v>
      </c>
      <c r="AG726">
        <v>1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1</v>
      </c>
    </row>
    <row r="727" spans="1:42" x14ac:dyDescent="0.25">
      <c r="A727">
        <v>853</v>
      </c>
      <c r="B727" t="s">
        <v>1401</v>
      </c>
      <c r="C727" t="s">
        <v>1400</v>
      </c>
      <c r="D727" t="s">
        <v>121</v>
      </c>
      <c r="E727" s="4">
        <v>1</v>
      </c>
      <c r="F727" t="s">
        <v>138</v>
      </c>
      <c r="G727" t="s">
        <v>138</v>
      </c>
      <c r="H727" s="3">
        <v>46176</v>
      </c>
      <c r="I727" s="3">
        <v>46184</v>
      </c>
      <c r="J727" t="s">
        <v>459</v>
      </c>
      <c r="K727" s="3">
        <v>46184</v>
      </c>
      <c r="L727" s="3">
        <v>46176</v>
      </c>
      <c r="M727" s="3">
        <v>46184</v>
      </c>
      <c r="N727" s="3">
        <v>46184</v>
      </c>
      <c r="O727" t="s">
        <v>459</v>
      </c>
      <c r="P727" t="s">
        <v>55</v>
      </c>
      <c r="Q727">
        <v>852</v>
      </c>
      <c r="S727" t="s">
        <v>124</v>
      </c>
      <c r="T727" t="s">
        <v>1109</v>
      </c>
      <c r="U727">
        <v>854</v>
      </c>
      <c r="V727" t="s">
        <v>122</v>
      </c>
      <c r="W727">
        <v>13.4</v>
      </c>
      <c r="X727" t="s">
        <v>57</v>
      </c>
      <c r="Z727" t="s">
        <v>124</v>
      </c>
      <c r="AA727" t="s">
        <v>217</v>
      </c>
      <c r="AE727">
        <v>1</v>
      </c>
      <c r="AF727">
        <v>0</v>
      </c>
      <c r="AG727">
        <v>0</v>
      </c>
      <c r="AH727">
        <v>0</v>
      </c>
      <c r="AI727">
        <v>0</v>
      </c>
      <c r="AJ727">
        <v>1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</row>
    <row r="728" spans="1:42" x14ac:dyDescent="0.25">
      <c r="A728">
        <v>854</v>
      </c>
      <c r="B728" t="s">
        <v>1402</v>
      </c>
      <c r="C728" t="s">
        <v>1400</v>
      </c>
      <c r="D728" t="s">
        <v>126</v>
      </c>
      <c r="E728" s="4">
        <v>1</v>
      </c>
      <c r="F728" t="s">
        <v>122</v>
      </c>
      <c r="G728" t="s">
        <v>122</v>
      </c>
      <c r="H728" s="3">
        <v>46185</v>
      </c>
      <c r="I728" s="3">
        <v>46189</v>
      </c>
      <c r="J728" t="s">
        <v>571</v>
      </c>
      <c r="K728" s="3">
        <v>46189</v>
      </c>
      <c r="L728" s="3">
        <v>46185</v>
      </c>
      <c r="M728" s="3">
        <v>46189</v>
      </c>
      <c r="N728" s="3">
        <v>46189</v>
      </c>
      <c r="O728" t="s">
        <v>571</v>
      </c>
      <c r="P728" t="s">
        <v>55</v>
      </c>
      <c r="Q728">
        <v>853</v>
      </c>
      <c r="S728" t="s">
        <v>1058</v>
      </c>
      <c r="T728" t="s">
        <v>1109</v>
      </c>
      <c r="U728">
        <v>855</v>
      </c>
      <c r="V728" t="s">
        <v>61</v>
      </c>
      <c r="W728">
        <v>13.4</v>
      </c>
      <c r="X728" t="s">
        <v>57</v>
      </c>
      <c r="Z728" t="s">
        <v>1058</v>
      </c>
      <c r="AA728" t="s">
        <v>217</v>
      </c>
      <c r="AE728">
        <v>1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1</v>
      </c>
      <c r="AM728">
        <v>0</v>
      </c>
      <c r="AN728">
        <v>0</v>
      </c>
      <c r="AO728">
        <v>0</v>
      </c>
      <c r="AP728">
        <v>0</v>
      </c>
    </row>
    <row r="729" spans="1:42" x14ac:dyDescent="0.25">
      <c r="A729">
        <v>855</v>
      </c>
      <c r="B729" t="s">
        <v>1403</v>
      </c>
      <c r="C729" t="s">
        <v>1400</v>
      </c>
      <c r="D729" t="s">
        <v>133</v>
      </c>
      <c r="E729" s="4">
        <v>1</v>
      </c>
      <c r="F729" t="s">
        <v>122</v>
      </c>
      <c r="G729" t="s">
        <v>122</v>
      </c>
      <c r="H729" s="3">
        <v>46190</v>
      </c>
      <c r="I729" s="3">
        <v>46192</v>
      </c>
      <c r="J729" t="s">
        <v>75</v>
      </c>
      <c r="K729" s="3">
        <v>46192</v>
      </c>
      <c r="L729" s="3">
        <v>46190</v>
      </c>
      <c r="M729" s="3">
        <v>46192</v>
      </c>
      <c r="N729" s="3">
        <v>46192</v>
      </c>
      <c r="O729" t="s">
        <v>75</v>
      </c>
      <c r="P729" t="s">
        <v>55</v>
      </c>
      <c r="Q729">
        <v>854</v>
      </c>
      <c r="S729" t="s">
        <v>124</v>
      </c>
      <c r="T729" t="s">
        <v>1109</v>
      </c>
      <c r="V729" t="s">
        <v>61</v>
      </c>
      <c r="W729">
        <v>13.4</v>
      </c>
      <c r="X729" t="s">
        <v>57</v>
      </c>
      <c r="Z729" t="s">
        <v>124</v>
      </c>
      <c r="AA729" t="s">
        <v>217</v>
      </c>
      <c r="AE729">
        <v>1</v>
      </c>
      <c r="AF729">
        <v>0</v>
      </c>
      <c r="AG729">
        <v>0</v>
      </c>
      <c r="AH729">
        <v>0</v>
      </c>
      <c r="AI729">
        <v>1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0</v>
      </c>
      <c r="AP729">
        <v>0</v>
      </c>
    </row>
    <row r="730" spans="1:42" x14ac:dyDescent="0.25">
      <c r="A730">
        <v>856</v>
      </c>
      <c r="B730" t="s">
        <v>1404</v>
      </c>
      <c r="C730" t="s">
        <v>1109</v>
      </c>
      <c r="D730" t="s">
        <v>1405</v>
      </c>
      <c r="E730" s="4">
        <v>1</v>
      </c>
      <c r="F730" t="s">
        <v>365</v>
      </c>
      <c r="G730" t="s">
        <v>365</v>
      </c>
      <c r="H730" s="3">
        <v>46171</v>
      </c>
      <c r="I730" s="3">
        <v>46192</v>
      </c>
      <c r="J730" t="s">
        <v>189</v>
      </c>
      <c r="K730" s="3">
        <v>46192</v>
      </c>
      <c r="L730" s="3">
        <v>46171</v>
      </c>
      <c r="M730" s="3">
        <v>46192</v>
      </c>
      <c r="N730" s="3">
        <v>46192</v>
      </c>
      <c r="O730" t="s">
        <v>189</v>
      </c>
      <c r="P730" t="s">
        <v>55</v>
      </c>
      <c r="T730" t="s">
        <v>1109</v>
      </c>
      <c r="V730" t="s">
        <v>210</v>
      </c>
      <c r="W730">
        <v>33.119999999999997</v>
      </c>
      <c r="X730" t="s">
        <v>57</v>
      </c>
      <c r="AA730" t="s">
        <v>50</v>
      </c>
      <c r="AB730" t="s">
        <v>94</v>
      </c>
      <c r="AE730">
        <v>1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</row>
    <row r="731" spans="1:42" x14ac:dyDescent="0.25">
      <c r="A731">
        <v>857</v>
      </c>
      <c r="B731" t="s">
        <v>1406</v>
      </c>
      <c r="C731" t="s">
        <v>1407</v>
      </c>
      <c r="D731" t="s">
        <v>117</v>
      </c>
      <c r="E731" s="4">
        <v>1</v>
      </c>
      <c r="F731" t="s">
        <v>122</v>
      </c>
      <c r="G731" t="s">
        <v>122</v>
      </c>
      <c r="H731" s="3">
        <v>46171</v>
      </c>
      <c r="I731" s="3">
        <v>46175</v>
      </c>
      <c r="J731" t="s">
        <v>189</v>
      </c>
      <c r="K731" s="3">
        <v>46175</v>
      </c>
      <c r="L731" s="3">
        <v>46171</v>
      </c>
      <c r="M731" s="3">
        <v>46175</v>
      </c>
      <c r="N731" s="3">
        <v>46175</v>
      </c>
      <c r="O731" t="s">
        <v>189</v>
      </c>
      <c r="P731" t="s">
        <v>55</v>
      </c>
      <c r="S731" t="s">
        <v>1058</v>
      </c>
      <c r="T731" t="s">
        <v>1109</v>
      </c>
      <c r="U731">
        <v>858</v>
      </c>
      <c r="V731" t="s">
        <v>122</v>
      </c>
      <c r="W731">
        <v>13.4</v>
      </c>
      <c r="X731" t="s">
        <v>57</v>
      </c>
      <c r="Z731" t="s">
        <v>1058</v>
      </c>
      <c r="AA731" t="s">
        <v>462</v>
      </c>
      <c r="AE731">
        <v>1</v>
      </c>
      <c r="AF731">
        <v>1</v>
      </c>
      <c r="AG731">
        <v>1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1</v>
      </c>
    </row>
    <row r="732" spans="1:42" x14ac:dyDescent="0.25">
      <c r="A732">
        <v>858</v>
      </c>
      <c r="B732" t="s">
        <v>1408</v>
      </c>
      <c r="C732" t="s">
        <v>1407</v>
      </c>
      <c r="D732" t="s">
        <v>121</v>
      </c>
      <c r="E732" s="4">
        <v>1</v>
      </c>
      <c r="F732" t="s">
        <v>138</v>
      </c>
      <c r="G732" t="s">
        <v>138</v>
      </c>
      <c r="H732" s="3">
        <v>46176</v>
      </c>
      <c r="I732" s="3">
        <v>46184</v>
      </c>
      <c r="J732" t="s">
        <v>459</v>
      </c>
      <c r="K732" s="3">
        <v>46184</v>
      </c>
      <c r="L732" s="3">
        <v>46176</v>
      </c>
      <c r="M732" s="3">
        <v>46184</v>
      </c>
      <c r="N732" s="3">
        <v>46184</v>
      </c>
      <c r="O732" t="s">
        <v>459</v>
      </c>
      <c r="P732" t="s">
        <v>55</v>
      </c>
      <c r="Q732">
        <v>857</v>
      </c>
      <c r="S732" t="s">
        <v>124</v>
      </c>
      <c r="T732" t="s">
        <v>1109</v>
      </c>
      <c r="U732">
        <v>859</v>
      </c>
      <c r="V732" t="s">
        <v>122</v>
      </c>
      <c r="W732">
        <v>13.4</v>
      </c>
      <c r="X732" t="s">
        <v>57</v>
      </c>
      <c r="Z732" t="s">
        <v>124</v>
      </c>
      <c r="AA732" t="s">
        <v>217</v>
      </c>
      <c r="AE732">
        <v>1</v>
      </c>
      <c r="AF732">
        <v>0</v>
      </c>
      <c r="AG732">
        <v>0</v>
      </c>
      <c r="AH732">
        <v>0</v>
      </c>
      <c r="AI732">
        <v>0</v>
      </c>
      <c r="AJ732">
        <v>1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</row>
    <row r="733" spans="1:42" x14ac:dyDescent="0.25">
      <c r="A733">
        <v>859</v>
      </c>
      <c r="B733" t="s">
        <v>1409</v>
      </c>
      <c r="C733" t="s">
        <v>1407</v>
      </c>
      <c r="D733" t="s">
        <v>126</v>
      </c>
      <c r="E733" s="4">
        <v>1</v>
      </c>
      <c r="F733" t="s">
        <v>101</v>
      </c>
      <c r="G733" t="s">
        <v>101</v>
      </c>
      <c r="H733" s="3">
        <v>46185</v>
      </c>
      <c r="I733" s="3">
        <v>46190</v>
      </c>
      <c r="J733" t="s">
        <v>571</v>
      </c>
      <c r="K733" s="3">
        <v>46190</v>
      </c>
      <c r="L733" s="3">
        <v>46185</v>
      </c>
      <c r="M733" s="3">
        <v>46190</v>
      </c>
      <c r="N733" s="3">
        <v>46190</v>
      </c>
      <c r="O733" t="s">
        <v>571</v>
      </c>
      <c r="P733" t="s">
        <v>55</v>
      </c>
      <c r="Q733">
        <v>858</v>
      </c>
      <c r="S733" t="s">
        <v>1058</v>
      </c>
      <c r="T733" t="s">
        <v>1109</v>
      </c>
      <c r="U733">
        <v>860</v>
      </c>
      <c r="V733" t="s">
        <v>61</v>
      </c>
      <c r="W733">
        <v>13.4</v>
      </c>
      <c r="X733" t="s">
        <v>57</v>
      </c>
      <c r="Z733" t="s">
        <v>1058</v>
      </c>
      <c r="AA733" t="s">
        <v>217</v>
      </c>
      <c r="AE733">
        <v>1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1</v>
      </c>
      <c r="AM733">
        <v>0</v>
      </c>
      <c r="AN733">
        <v>0</v>
      </c>
      <c r="AO733">
        <v>0</v>
      </c>
      <c r="AP733">
        <v>0</v>
      </c>
    </row>
    <row r="734" spans="1:42" x14ac:dyDescent="0.25">
      <c r="A734">
        <v>860</v>
      </c>
      <c r="B734" t="s">
        <v>1410</v>
      </c>
      <c r="C734" t="s">
        <v>1407</v>
      </c>
      <c r="D734" t="s">
        <v>133</v>
      </c>
      <c r="E734" s="4">
        <v>1</v>
      </c>
      <c r="F734" t="s">
        <v>127</v>
      </c>
      <c r="G734" t="s">
        <v>127</v>
      </c>
      <c r="H734" s="3">
        <v>46191</v>
      </c>
      <c r="I734" s="3">
        <v>46192</v>
      </c>
      <c r="J734" t="s">
        <v>480</v>
      </c>
      <c r="K734" s="3">
        <v>46192</v>
      </c>
      <c r="L734" s="3">
        <v>46191</v>
      </c>
      <c r="M734" s="3">
        <v>46192</v>
      </c>
      <c r="N734" s="3">
        <v>46192</v>
      </c>
      <c r="O734" t="s">
        <v>480</v>
      </c>
      <c r="P734" t="s">
        <v>55</v>
      </c>
      <c r="Q734">
        <v>859</v>
      </c>
      <c r="S734" t="s">
        <v>124</v>
      </c>
      <c r="T734" t="s">
        <v>1109</v>
      </c>
      <c r="V734" t="s">
        <v>61</v>
      </c>
      <c r="W734">
        <v>13.4</v>
      </c>
      <c r="X734" t="s">
        <v>57</v>
      </c>
      <c r="Z734" t="s">
        <v>124</v>
      </c>
      <c r="AA734" t="s">
        <v>217</v>
      </c>
      <c r="AE734">
        <v>1</v>
      </c>
      <c r="AF734">
        <v>0</v>
      </c>
      <c r="AG734">
        <v>0</v>
      </c>
      <c r="AH734">
        <v>0</v>
      </c>
      <c r="AI734">
        <v>1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0</v>
      </c>
      <c r="AP734">
        <v>0</v>
      </c>
    </row>
    <row r="735" spans="1:42" x14ac:dyDescent="0.25">
      <c r="A735">
        <v>861</v>
      </c>
      <c r="B735" t="s">
        <v>1411</v>
      </c>
      <c r="C735" t="s">
        <v>1109</v>
      </c>
      <c r="D735" t="s">
        <v>1412</v>
      </c>
      <c r="E735" s="4">
        <v>1</v>
      </c>
      <c r="F735" t="s">
        <v>365</v>
      </c>
      <c r="G735" t="s">
        <v>365</v>
      </c>
      <c r="H735" s="3">
        <v>46171</v>
      </c>
      <c r="I735" s="3">
        <v>46192</v>
      </c>
      <c r="J735" t="s">
        <v>189</v>
      </c>
      <c r="K735" s="3">
        <v>46192</v>
      </c>
      <c r="L735" s="3">
        <v>46171</v>
      </c>
      <c r="M735" s="3">
        <v>46192</v>
      </c>
      <c r="N735" s="3">
        <v>46192</v>
      </c>
      <c r="O735" t="s">
        <v>189</v>
      </c>
      <c r="P735" t="s">
        <v>55</v>
      </c>
      <c r="T735" t="s">
        <v>1109</v>
      </c>
      <c r="V735" t="s">
        <v>210</v>
      </c>
      <c r="W735">
        <v>33.119999999999997</v>
      </c>
      <c r="X735" t="s">
        <v>57</v>
      </c>
      <c r="AA735" t="s">
        <v>50</v>
      </c>
      <c r="AB735" t="s">
        <v>94</v>
      </c>
      <c r="AE735">
        <v>1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</row>
    <row r="736" spans="1:42" x14ac:dyDescent="0.25">
      <c r="A736">
        <v>862</v>
      </c>
      <c r="B736" t="s">
        <v>1413</v>
      </c>
      <c r="C736" t="s">
        <v>1414</v>
      </c>
      <c r="D736" t="s">
        <v>117</v>
      </c>
      <c r="E736" s="4">
        <v>1</v>
      </c>
      <c r="F736" t="s">
        <v>122</v>
      </c>
      <c r="G736" t="s">
        <v>122</v>
      </c>
      <c r="H736" s="3">
        <v>46171</v>
      </c>
      <c r="I736" s="3">
        <v>46175</v>
      </c>
      <c r="J736" t="s">
        <v>189</v>
      </c>
      <c r="K736" s="3">
        <v>46175</v>
      </c>
      <c r="L736" s="3">
        <v>46171</v>
      </c>
      <c r="M736" s="3">
        <v>46175</v>
      </c>
      <c r="N736" s="3">
        <v>46175</v>
      </c>
      <c r="O736" t="s">
        <v>189</v>
      </c>
      <c r="P736" t="s">
        <v>55</v>
      </c>
      <c r="S736" t="s">
        <v>1058</v>
      </c>
      <c r="T736" t="s">
        <v>1109</v>
      </c>
      <c r="U736">
        <v>863</v>
      </c>
      <c r="V736" t="s">
        <v>122</v>
      </c>
      <c r="W736">
        <v>13.4</v>
      </c>
      <c r="X736" t="s">
        <v>57</v>
      </c>
      <c r="Z736" t="s">
        <v>1058</v>
      </c>
      <c r="AA736" t="s">
        <v>462</v>
      </c>
      <c r="AE736">
        <v>1</v>
      </c>
      <c r="AF736">
        <v>1</v>
      </c>
      <c r="AG736">
        <v>1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1</v>
      </c>
    </row>
    <row r="737" spans="1:42" x14ac:dyDescent="0.25">
      <c r="A737">
        <v>863</v>
      </c>
      <c r="B737" t="s">
        <v>1415</v>
      </c>
      <c r="C737" t="s">
        <v>1414</v>
      </c>
      <c r="D737" t="s">
        <v>121</v>
      </c>
      <c r="E737" s="4">
        <v>1</v>
      </c>
      <c r="F737" t="s">
        <v>138</v>
      </c>
      <c r="G737" t="s">
        <v>138</v>
      </c>
      <c r="H737" s="3">
        <v>46176</v>
      </c>
      <c r="I737" s="3">
        <v>46184</v>
      </c>
      <c r="J737" t="s">
        <v>459</v>
      </c>
      <c r="K737" s="3">
        <v>46184</v>
      </c>
      <c r="L737" s="3">
        <v>46176</v>
      </c>
      <c r="M737" s="3">
        <v>46184</v>
      </c>
      <c r="N737" s="3">
        <v>46184</v>
      </c>
      <c r="O737" t="s">
        <v>459</v>
      </c>
      <c r="P737" t="s">
        <v>55</v>
      </c>
      <c r="Q737">
        <v>862</v>
      </c>
      <c r="S737" t="s">
        <v>124</v>
      </c>
      <c r="T737" t="s">
        <v>1109</v>
      </c>
      <c r="U737">
        <v>864</v>
      </c>
      <c r="V737" t="s">
        <v>122</v>
      </c>
      <c r="W737">
        <v>13.4</v>
      </c>
      <c r="X737" t="s">
        <v>57</v>
      </c>
      <c r="Z737" t="s">
        <v>124</v>
      </c>
      <c r="AA737" t="s">
        <v>217</v>
      </c>
      <c r="AE737">
        <v>1</v>
      </c>
      <c r="AF737">
        <v>0</v>
      </c>
      <c r="AG737">
        <v>0</v>
      </c>
      <c r="AH737">
        <v>0</v>
      </c>
      <c r="AI737">
        <v>0</v>
      </c>
      <c r="AJ737">
        <v>1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</row>
    <row r="738" spans="1:42" x14ac:dyDescent="0.25">
      <c r="A738">
        <v>864</v>
      </c>
      <c r="B738" t="s">
        <v>1416</v>
      </c>
      <c r="C738" t="s">
        <v>1414</v>
      </c>
      <c r="D738" t="s">
        <v>126</v>
      </c>
      <c r="E738" s="4">
        <v>1</v>
      </c>
      <c r="F738" t="s">
        <v>101</v>
      </c>
      <c r="G738" t="s">
        <v>101</v>
      </c>
      <c r="H738" s="3">
        <v>46185</v>
      </c>
      <c r="I738" s="3">
        <v>46190</v>
      </c>
      <c r="J738" t="s">
        <v>571</v>
      </c>
      <c r="K738" s="3">
        <v>46190</v>
      </c>
      <c r="L738" s="3">
        <v>46185</v>
      </c>
      <c r="M738" s="3">
        <v>46190</v>
      </c>
      <c r="N738" s="3">
        <v>46190</v>
      </c>
      <c r="O738" t="s">
        <v>571</v>
      </c>
      <c r="P738" t="s">
        <v>55</v>
      </c>
      <c r="Q738">
        <v>863</v>
      </c>
      <c r="S738" t="s">
        <v>1058</v>
      </c>
      <c r="T738" t="s">
        <v>1109</v>
      </c>
      <c r="U738">
        <v>865</v>
      </c>
      <c r="V738" t="s">
        <v>61</v>
      </c>
      <c r="W738">
        <v>13.4</v>
      </c>
      <c r="X738" t="s">
        <v>57</v>
      </c>
      <c r="Z738" t="s">
        <v>1058</v>
      </c>
      <c r="AA738" t="s">
        <v>217</v>
      </c>
      <c r="AE738">
        <v>1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1</v>
      </c>
      <c r="AM738">
        <v>0</v>
      </c>
      <c r="AN738">
        <v>0</v>
      </c>
      <c r="AO738">
        <v>0</v>
      </c>
      <c r="AP738">
        <v>0</v>
      </c>
    </row>
    <row r="739" spans="1:42" x14ac:dyDescent="0.25">
      <c r="A739">
        <v>865</v>
      </c>
      <c r="B739" t="s">
        <v>1417</v>
      </c>
      <c r="C739" t="s">
        <v>1414</v>
      </c>
      <c r="D739" t="s">
        <v>133</v>
      </c>
      <c r="E739" s="4">
        <v>1</v>
      </c>
      <c r="F739" t="s">
        <v>127</v>
      </c>
      <c r="G739" t="s">
        <v>127</v>
      </c>
      <c r="H739" s="3">
        <v>46191</v>
      </c>
      <c r="I739" s="3">
        <v>46192</v>
      </c>
      <c r="J739" t="s">
        <v>480</v>
      </c>
      <c r="K739" s="3">
        <v>46192</v>
      </c>
      <c r="L739" s="3">
        <v>46191</v>
      </c>
      <c r="M739" s="3">
        <v>46192</v>
      </c>
      <c r="N739" s="3">
        <v>46192</v>
      </c>
      <c r="O739" t="s">
        <v>480</v>
      </c>
      <c r="P739" t="s">
        <v>55</v>
      </c>
      <c r="Q739">
        <v>864</v>
      </c>
      <c r="S739" t="s">
        <v>124</v>
      </c>
      <c r="T739" t="s">
        <v>1109</v>
      </c>
      <c r="V739" t="s">
        <v>61</v>
      </c>
      <c r="W739">
        <v>13.4</v>
      </c>
      <c r="X739" t="s">
        <v>57</v>
      </c>
      <c r="Z739" t="s">
        <v>124</v>
      </c>
      <c r="AA739" t="s">
        <v>217</v>
      </c>
      <c r="AE739">
        <v>1</v>
      </c>
      <c r="AF739">
        <v>0</v>
      </c>
      <c r="AG739">
        <v>0</v>
      </c>
      <c r="AH739">
        <v>0</v>
      </c>
      <c r="AI739">
        <v>1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0</v>
      </c>
      <c r="AP739">
        <v>0</v>
      </c>
    </row>
    <row r="740" spans="1:42" x14ac:dyDescent="0.25">
      <c r="A740">
        <v>866</v>
      </c>
      <c r="B740" t="s">
        <v>1418</v>
      </c>
      <c r="C740" t="s">
        <v>1109</v>
      </c>
      <c r="D740" t="s">
        <v>1419</v>
      </c>
      <c r="E740" s="4">
        <v>1</v>
      </c>
      <c r="F740" t="s">
        <v>365</v>
      </c>
      <c r="G740" t="s">
        <v>365</v>
      </c>
      <c r="H740" s="3">
        <v>46171</v>
      </c>
      <c r="I740" s="3">
        <v>46192</v>
      </c>
      <c r="J740" t="s">
        <v>189</v>
      </c>
      <c r="K740" s="3">
        <v>46192</v>
      </c>
      <c r="L740" s="3">
        <v>46171</v>
      </c>
      <c r="M740" s="3">
        <v>46192</v>
      </c>
      <c r="N740" s="3">
        <v>46192</v>
      </c>
      <c r="O740" t="s">
        <v>189</v>
      </c>
      <c r="P740" t="s">
        <v>55</v>
      </c>
      <c r="T740" t="s">
        <v>1109</v>
      </c>
      <c r="V740" t="s">
        <v>210</v>
      </c>
      <c r="W740">
        <v>33.119999999999997</v>
      </c>
      <c r="X740" t="s">
        <v>57</v>
      </c>
      <c r="AA740" t="s">
        <v>50</v>
      </c>
      <c r="AB740" t="s">
        <v>94</v>
      </c>
      <c r="AE740">
        <v>1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</row>
    <row r="741" spans="1:42" x14ac:dyDescent="0.25">
      <c r="A741">
        <v>867</v>
      </c>
      <c r="B741" t="s">
        <v>1420</v>
      </c>
      <c r="C741" t="s">
        <v>1421</v>
      </c>
      <c r="D741" t="s">
        <v>117</v>
      </c>
      <c r="E741" s="4">
        <v>1</v>
      </c>
      <c r="F741" t="s">
        <v>122</v>
      </c>
      <c r="G741" t="s">
        <v>122</v>
      </c>
      <c r="H741" s="3">
        <v>46171</v>
      </c>
      <c r="I741" s="3">
        <v>46175</v>
      </c>
      <c r="J741" t="s">
        <v>189</v>
      </c>
      <c r="K741" s="3">
        <v>46175</v>
      </c>
      <c r="L741" s="3">
        <v>46171</v>
      </c>
      <c r="M741" s="3">
        <v>46175</v>
      </c>
      <c r="N741" s="3">
        <v>46175</v>
      </c>
      <c r="O741" t="s">
        <v>189</v>
      </c>
      <c r="P741" t="s">
        <v>55</v>
      </c>
      <c r="S741" t="s">
        <v>1058</v>
      </c>
      <c r="T741" t="s">
        <v>1109</v>
      </c>
      <c r="U741">
        <v>868</v>
      </c>
      <c r="V741" t="s">
        <v>122</v>
      </c>
      <c r="W741">
        <v>13.4</v>
      </c>
      <c r="X741" t="s">
        <v>57</v>
      </c>
      <c r="Z741" t="s">
        <v>1058</v>
      </c>
      <c r="AA741" t="s">
        <v>462</v>
      </c>
      <c r="AE741">
        <v>1</v>
      </c>
      <c r="AF741">
        <v>1</v>
      </c>
      <c r="AG741">
        <v>1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1</v>
      </c>
    </row>
    <row r="742" spans="1:42" x14ac:dyDescent="0.25">
      <c r="A742">
        <v>868</v>
      </c>
      <c r="B742" t="s">
        <v>1422</v>
      </c>
      <c r="C742" t="s">
        <v>1421</v>
      </c>
      <c r="D742" t="s">
        <v>121</v>
      </c>
      <c r="E742" s="4">
        <v>1</v>
      </c>
      <c r="F742" t="s">
        <v>138</v>
      </c>
      <c r="G742" t="s">
        <v>138</v>
      </c>
      <c r="H742" s="3">
        <v>46176</v>
      </c>
      <c r="I742" s="3">
        <v>46184</v>
      </c>
      <c r="J742" t="s">
        <v>459</v>
      </c>
      <c r="K742" s="3">
        <v>46184</v>
      </c>
      <c r="L742" s="3">
        <v>46176</v>
      </c>
      <c r="M742" s="3">
        <v>46184</v>
      </c>
      <c r="N742" s="3">
        <v>46184</v>
      </c>
      <c r="O742" t="s">
        <v>459</v>
      </c>
      <c r="P742" t="s">
        <v>55</v>
      </c>
      <c r="Q742">
        <v>867</v>
      </c>
      <c r="S742" t="s">
        <v>124</v>
      </c>
      <c r="T742" t="s">
        <v>1109</v>
      </c>
      <c r="U742">
        <v>869</v>
      </c>
      <c r="V742" t="s">
        <v>122</v>
      </c>
      <c r="W742">
        <v>13.4</v>
      </c>
      <c r="X742" t="s">
        <v>57</v>
      </c>
      <c r="Z742" t="s">
        <v>124</v>
      </c>
      <c r="AA742" t="s">
        <v>217</v>
      </c>
      <c r="AE742">
        <v>1</v>
      </c>
      <c r="AF742">
        <v>0</v>
      </c>
      <c r="AG742">
        <v>0</v>
      </c>
      <c r="AH742">
        <v>0</v>
      </c>
      <c r="AI742">
        <v>0</v>
      </c>
      <c r="AJ742">
        <v>1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</row>
    <row r="743" spans="1:42" x14ac:dyDescent="0.25">
      <c r="A743">
        <v>869</v>
      </c>
      <c r="B743" t="s">
        <v>1423</v>
      </c>
      <c r="C743" t="s">
        <v>1421</v>
      </c>
      <c r="D743" t="s">
        <v>126</v>
      </c>
      <c r="E743" s="4">
        <v>1</v>
      </c>
      <c r="F743" t="s">
        <v>101</v>
      </c>
      <c r="G743" t="s">
        <v>101</v>
      </c>
      <c r="H743" s="3">
        <v>46185</v>
      </c>
      <c r="I743" s="3">
        <v>46190</v>
      </c>
      <c r="J743" t="s">
        <v>571</v>
      </c>
      <c r="K743" s="3">
        <v>46190</v>
      </c>
      <c r="L743" s="3">
        <v>46185</v>
      </c>
      <c r="M743" s="3">
        <v>46190</v>
      </c>
      <c r="N743" s="3">
        <v>46190</v>
      </c>
      <c r="O743" t="s">
        <v>571</v>
      </c>
      <c r="P743" t="s">
        <v>55</v>
      </c>
      <c r="Q743">
        <v>868</v>
      </c>
      <c r="S743" t="s">
        <v>1058</v>
      </c>
      <c r="T743" t="s">
        <v>1109</v>
      </c>
      <c r="U743">
        <v>870</v>
      </c>
      <c r="V743" t="s">
        <v>61</v>
      </c>
      <c r="W743">
        <v>13.4</v>
      </c>
      <c r="X743" t="s">
        <v>57</v>
      </c>
      <c r="Z743" t="s">
        <v>1058</v>
      </c>
      <c r="AA743" t="s">
        <v>217</v>
      </c>
      <c r="AE743">
        <v>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1</v>
      </c>
      <c r="AM743">
        <v>0</v>
      </c>
      <c r="AN743">
        <v>0</v>
      </c>
      <c r="AO743">
        <v>0</v>
      </c>
      <c r="AP743">
        <v>0</v>
      </c>
    </row>
    <row r="744" spans="1:42" x14ac:dyDescent="0.25">
      <c r="A744">
        <v>870</v>
      </c>
      <c r="B744" t="s">
        <v>1424</v>
      </c>
      <c r="C744" t="s">
        <v>1421</v>
      </c>
      <c r="D744" t="s">
        <v>133</v>
      </c>
      <c r="E744" s="4">
        <v>1</v>
      </c>
      <c r="F744" t="s">
        <v>127</v>
      </c>
      <c r="G744" t="s">
        <v>127</v>
      </c>
      <c r="H744" s="3">
        <v>46191</v>
      </c>
      <c r="I744" s="3">
        <v>46192</v>
      </c>
      <c r="J744" t="s">
        <v>480</v>
      </c>
      <c r="K744" s="3">
        <v>46192</v>
      </c>
      <c r="L744" s="3">
        <v>46191</v>
      </c>
      <c r="M744" s="3">
        <v>46192</v>
      </c>
      <c r="N744" s="3">
        <v>46192</v>
      </c>
      <c r="O744" t="s">
        <v>480</v>
      </c>
      <c r="P744" t="s">
        <v>55</v>
      </c>
      <c r="Q744">
        <v>869</v>
      </c>
      <c r="S744" t="s">
        <v>124</v>
      </c>
      <c r="T744" t="s">
        <v>1109</v>
      </c>
      <c r="V744" t="s">
        <v>61</v>
      </c>
      <c r="W744">
        <v>13.4</v>
      </c>
      <c r="X744" t="s">
        <v>57</v>
      </c>
      <c r="Z744" t="s">
        <v>124</v>
      </c>
      <c r="AA744" t="s">
        <v>217</v>
      </c>
      <c r="AE744">
        <v>1</v>
      </c>
      <c r="AF744">
        <v>0</v>
      </c>
      <c r="AG744">
        <v>0</v>
      </c>
      <c r="AH744">
        <v>0</v>
      </c>
      <c r="AI744">
        <v>1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0</v>
      </c>
      <c r="AP744">
        <v>0</v>
      </c>
    </row>
    <row r="745" spans="1:42" x14ac:dyDescent="0.25">
      <c r="A745">
        <v>871</v>
      </c>
      <c r="B745" t="s">
        <v>1425</v>
      </c>
      <c r="C745" t="s">
        <v>52</v>
      </c>
      <c r="D745" t="s">
        <v>1426</v>
      </c>
      <c r="E745" s="4">
        <v>1</v>
      </c>
      <c r="F745" t="s">
        <v>1427</v>
      </c>
      <c r="G745" t="s">
        <v>1427</v>
      </c>
      <c r="H745" s="3">
        <v>46104</v>
      </c>
      <c r="I745" s="3">
        <v>46202</v>
      </c>
      <c r="J745" t="s">
        <v>123</v>
      </c>
      <c r="K745" s="3">
        <v>46199</v>
      </c>
      <c r="L745" s="3">
        <v>46104</v>
      </c>
      <c r="M745" s="3">
        <v>46202</v>
      </c>
      <c r="N745" s="3">
        <v>46202</v>
      </c>
      <c r="O745" t="s">
        <v>123</v>
      </c>
      <c r="P745" t="s">
        <v>55</v>
      </c>
      <c r="V745" t="s">
        <v>423</v>
      </c>
      <c r="W745">
        <v>432.36</v>
      </c>
      <c r="X745" t="s">
        <v>57</v>
      </c>
      <c r="AA745" t="s">
        <v>50</v>
      </c>
      <c r="AE745">
        <v>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</row>
    <row r="746" spans="1:42" x14ac:dyDescent="0.25">
      <c r="A746">
        <v>872</v>
      </c>
      <c r="B746" t="s">
        <v>1428</v>
      </c>
      <c r="C746" t="s">
        <v>1429</v>
      </c>
      <c r="D746" t="s">
        <v>1430</v>
      </c>
      <c r="E746" s="4">
        <v>1</v>
      </c>
      <c r="F746" t="s">
        <v>101</v>
      </c>
      <c r="G746" t="s">
        <v>101</v>
      </c>
      <c r="H746" s="3">
        <v>46104</v>
      </c>
      <c r="I746" s="3">
        <v>46107</v>
      </c>
      <c r="J746" t="s">
        <v>123</v>
      </c>
      <c r="K746" s="3">
        <v>46107</v>
      </c>
      <c r="L746" s="3">
        <v>46104</v>
      </c>
      <c r="M746" s="3">
        <v>46107</v>
      </c>
      <c r="N746" s="3">
        <v>46107</v>
      </c>
      <c r="O746" t="s">
        <v>123</v>
      </c>
      <c r="P746" t="s">
        <v>55</v>
      </c>
      <c r="T746" t="s">
        <v>1429</v>
      </c>
      <c r="V746" t="s">
        <v>101</v>
      </c>
      <c r="W746">
        <v>14.24</v>
      </c>
      <c r="X746" t="s">
        <v>57</v>
      </c>
      <c r="AA746" t="s">
        <v>50</v>
      </c>
      <c r="AE746">
        <v>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</row>
    <row r="747" spans="1:42" x14ac:dyDescent="0.25">
      <c r="A747">
        <v>873</v>
      </c>
      <c r="B747" t="s">
        <v>1431</v>
      </c>
      <c r="C747" t="s">
        <v>1432</v>
      </c>
      <c r="D747" t="s">
        <v>117</v>
      </c>
      <c r="E747" s="4">
        <v>1</v>
      </c>
      <c r="F747" t="s">
        <v>61</v>
      </c>
      <c r="G747" t="s">
        <v>61</v>
      </c>
      <c r="H747" s="3">
        <v>46104</v>
      </c>
      <c r="I747" s="3">
        <v>46104</v>
      </c>
      <c r="J747" t="s">
        <v>123</v>
      </c>
      <c r="K747" s="3">
        <v>46104</v>
      </c>
      <c r="L747" s="3">
        <v>46104</v>
      </c>
      <c r="M747" s="3">
        <v>46104</v>
      </c>
      <c r="N747" s="3">
        <v>46104</v>
      </c>
      <c r="O747" t="s">
        <v>123</v>
      </c>
      <c r="P747" t="s">
        <v>55</v>
      </c>
      <c r="Q747">
        <v>12</v>
      </c>
      <c r="S747" t="s">
        <v>1433</v>
      </c>
      <c r="T747" t="s">
        <v>1429</v>
      </c>
      <c r="U747">
        <v>874</v>
      </c>
      <c r="V747" t="s">
        <v>61</v>
      </c>
      <c r="W747">
        <v>13.4</v>
      </c>
      <c r="X747" t="s">
        <v>57</v>
      </c>
      <c r="Z747" t="s">
        <v>1433</v>
      </c>
      <c r="AA747" t="s">
        <v>64</v>
      </c>
      <c r="AE747">
        <v>1</v>
      </c>
      <c r="AF747">
        <v>1</v>
      </c>
      <c r="AG747">
        <v>1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1</v>
      </c>
    </row>
    <row r="748" spans="1:42" x14ac:dyDescent="0.25">
      <c r="A748">
        <v>874</v>
      </c>
      <c r="B748" t="s">
        <v>1434</v>
      </c>
      <c r="C748" t="s">
        <v>1432</v>
      </c>
      <c r="D748" t="s">
        <v>121</v>
      </c>
      <c r="E748" s="4">
        <v>1</v>
      </c>
      <c r="F748" t="s">
        <v>61</v>
      </c>
      <c r="G748" t="s">
        <v>61</v>
      </c>
      <c r="H748" s="3">
        <v>46105</v>
      </c>
      <c r="I748" s="3">
        <v>46105</v>
      </c>
      <c r="J748" t="s">
        <v>272</v>
      </c>
      <c r="K748" s="3">
        <v>46105</v>
      </c>
      <c r="L748" s="3">
        <v>46105</v>
      </c>
      <c r="M748" s="3">
        <v>46105</v>
      </c>
      <c r="N748" s="3">
        <v>46105</v>
      </c>
      <c r="O748" t="s">
        <v>272</v>
      </c>
      <c r="P748" t="s">
        <v>55</v>
      </c>
      <c r="Q748">
        <v>873</v>
      </c>
      <c r="S748" t="s">
        <v>124</v>
      </c>
      <c r="T748" t="s">
        <v>1429</v>
      </c>
      <c r="U748">
        <v>875</v>
      </c>
      <c r="V748" t="s">
        <v>61</v>
      </c>
      <c r="W748">
        <v>13.4</v>
      </c>
      <c r="X748" t="s">
        <v>57</v>
      </c>
      <c r="Z748" t="s">
        <v>124</v>
      </c>
      <c r="AA748" t="s">
        <v>64</v>
      </c>
      <c r="AE748">
        <v>1</v>
      </c>
      <c r="AF748">
        <v>0</v>
      </c>
      <c r="AG748">
        <v>0</v>
      </c>
      <c r="AH748">
        <v>0</v>
      </c>
      <c r="AI748">
        <v>0</v>
      </c>
      <c r="AJ748">
        <v>1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</row>
    <row r="749" spans="1:42" x14ac:dyDescent="0.25">
      <c r="A749">
        <v>875</v>
      </c>
      <c r="B749" t="s">
        <v>1435</v>
      </c>
      <c r="C749" t="s">
        <v>1432</v>
      </c>
      <c r="D749" t="s">
        <v>126</v>
      </c>
      <c r="E749" s="4">
        <v>1</v>
      </c>
      <c r="F749" t="s">
        <v>61</v>
      </c>
      <c r="G749" t="s">
        <v>61</v>
      </c>
      <c r="H749" s="3">
        <v>46106</v>
      </c>
      <c r="I749" s="3">
        <v>46106</v>
      </c>
      <c r="J749" t="s">
        <v>431</v>
      </c>
      <c r="K749" s="3">
        <v>46106</v>
      </c>
      <c r="L749" s="3">
        <v>46106</v>
      </c>
      <c r="M749" s="3">
        <v>46106</v>
      </c>
      <c r="N749" s="3">
        <v>46106</v>
      </c>
      <c r="O749" t="s">
        <v>431</v>
      </c>
      <c r="P749" t="s">
        <v>55</v>
      </c>
      <c r="Q749">
        <v>874</v>
      </c>
      <c r="S749" t="s">
        <v>1433</v>
      </c>
      <c r="T749" t="s">
        <v>1429</v>
      </c>
      <c r="U749">
        <v>876</v>
      </c>
      <c r="V749" t="s">
        <v>61</v>
      </c>
      <c r="W749">
        <v>13.4</v>
      </c>
      <c r="X749" t="s">
        <v>57</v>
      </c>
      <c r="Z749" t="s">
        <v>1433</v>
      </c>
      <c r="AA749" t="s">
        <v>64</v>
      </c>
      <c r="AE749">
        <v>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1</v>
      </c>
      <c r="AM749">
        <v>0</v>
      </c>
      <c r="AN749">
        <v>0</v>
      </c>
      <c r="AO749">
        <v>0</v>
      </c>
      <c r="AP749">
        <v>0</v>
      </c>
    </row>
    <row r="750" spans="1:42" x14ac:dyDescent="0.25">
      <c r="A750">
        <v>876</v>
      </c>
      <c r="B750" t="s">
        <v>1436</v>
      </c>
      <c r="C750" t="s">
        <v>1432</v>
      </c>
      <c r="D750" t="s">
        <v>133</v>
      </c>
      <c r="E750" s="4">
        <v>1</v>
      </c>
      <c r="F750" t="s">
        <v>61</v>
      </c>
      <c r="G750" t="s">
        <v>61</v>
      </c>
      <c r="H750" s="3">
        <v>46107</v>
      </c>
      <c r="I750" s="3">
        <v>46107</v>
      </c>
      <c r="J750" t="s">
        <v>129</v>
      </c>
      <c r="K750" s="3">
        <v>46107</v>
      </c>
      <c r="L750" s="3">
        <v>46107</v>
      </c>
      <c r="M750" s="3">
        <v>46107</v>
      </c>
      <c r="N750" s="3">
        <v>46107</v>
      </c>
      <c r="O750" t="s">
        <v>129</v>
      </c>
      <c r="P750" t="s">
        <v>55</v>
      </c>
      <c r="Q750">
        <v>875</v>
      </c>
      <c r="S750" t="s">
        <v>124</v>
      </c>
      <c r="T750" t="s">
        <v>1429</v>
      </c>
      <c r="V750" t="s">
        <v>61</v>
      </c>
      <c r="W750">
        <v>13.4</v>
      </c>
      <c r="X750" t="s">
        <v>57</v>
      </c>
      <c r="Z750" t="s">
        <v>124</v>
      </c>
      <c r="AA750" t="s">
        <v>64</v>
      </c>
      <c r="AE750">
        <v>1</v>
      </c>
      <c r="AF750">
        <v>0</v>
      </c>
      <c r="AG750">
        <v>0</v>
      </c>
      <c r="AH750">
        <v>0</v>
      </c>
      <c r="AI750">
        <v>1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0</v>
      </c>
      <c r="AP750">
        <v>0</v>
      </c>
    </row>
    <row r="751" spans="1:42" x14ac:dyDescent="0.25">
      <c r="A751">
        <v>877</v>
      </c>
      <c r="B751" t="s">
        <v>1437</v>
      </c>
      <c r="C751" t="s">
        <v>1429</v>
      </c>
      <c r="D751" t="s">
        <v>1438</v>
      </c>
      <c r="E751" s="4">
        <v>1</v>
      </c>
      <c r="F751" t="s">
        <v>819</v>
      </c>
      <c r="G751" t="s">
        <v>819</v>
      </c>
      <c r="H751" s="3">
        <v>46120</v>
      </c>
      <c r="I751" s="3">
        <v>46162</v>
      </c>
      <c r="J751" t="s">
        <v>183</v>
      </c>
      <c r="K751" s="3">
        <v>46183</v>
      </c>
      <c r="L751" s="3">
        <v>46147</v>
      </c>
      <c r="M751" s="3">
        <v>46162</v>
      </c>
      <c r="N751" s="3">
        <v>46162</v>
      </c>
      <c r="O751" t="s">
        <v>685</v>
      </c>
      <c r="P751" t="s">
        <v>55</v>
      </c>
      <c r="T751" t="s">
        <v>1429</v>
      </c>
      <c r="V751" t="s">
        <v>976</v>
      </c>
      <c r="X751" t="s">
        <v>57</v>
      </c>
      <c r="AA751" t="s">
        <v>50</v>
      </c>
      <c r="AB751" t="s">
        <v>94</v>
      </c>
      <c r="AE751">
        <v>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</row>
    <row r="752" spans="1:42" x14ac:dyDescent="0.25">
      <c r="A752">
        <v>878</v>
      </c>
      <c r="B752" t="s">
        <v>1439</v>
      </c>
      <c r="C752" t="s">
        <v>1440</v>
      </c>
      <c r="D752" t="s">
        <v>1441</v>
      </c>
      <c r="E752" s="4">
        <v>1</v>
      </c>
      <c r="F752" t="s">
        <v>295</v>
      </c>
      <c r="G752" t="s">
        <v>295</v>
      </c>
      <c r="H752" s="3">
        <v>46120</v>
      </c>
      <c r="I752" s="3">
        <v>46146</v>
      </c>
      <c r="J752" t="s">
        <v>183</v>
      </c>
      <c r="K752" s="3">
        <v>46167</v>
      </c>
      <c r="L752" s="3">
        <v>46147</v>
      </c>
      <c r="M752" s="3">
        <v>46146</v>
      </c>
      <c r="N752" s="3">
        <v>46146</v>
      </c>
      <c r="O752" t="s">
        <v>685</v>
      </c>
      <c r="P752" t="s">
        <v>55</v>
      </c>
      <c r="T752" t="s">
        <v>1429</v>
      </c>
      <c r="V752" t="s">
        <v>330</v>
      </c>
      <c r="X752" t="s">
        <v>57</v>
      </c>
      <c r="AA752" t="s">
        <v>50</v>
      </c>
      <c r="AB752" t="s">
        <v>94</v>
      </c>
      <c r="AE752">
        <v>1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</row>
    <row r="753" spans="1:42" x14ac:dyDescent="0.25">
      <c r="A753">
        <v>879</v>
      </c>
      <c r="B753" t="s">
        <v>1442</v>
      </c>
      <c r="C753" t="s">
        <v>1443</v>
      </c>
      <c r="D753" t="s">
        <v>117</v>
      </c>
      <c r="E753" s="4">
        <v>1</v>
      </c>
      <c r="F753" t="s">
        <v>151</v>
      </c>
      <c r="G753" t="s">
        <v>151</v>
      </c>
      <c r="H753" s="3">
        <v>46120</v>
      </c>
      <c r="I753" s="3">
        <v>46135</v>
      </c>
      <c r="J753" t="s">
        <v>183</v>
      </c>
      <c r="K753" s="3">
        <v>46160</v>
      </c>
      <c r="L753" s="3">
        <v>46147</v>
      </c>
      <c r="M753" s="3">
        <v>46135</v>
      </c>
      <c r="N753" s="3">
        <v>46135</v>
      </c>
      <c r="O753" t="s">
        <v>685</v>
      </c>
      <c r="P753" t="s">
        <v>55</v>
      </c>
      <c r="Q753">
        <v>219</v>
      </c>
      <c r="S753" t="s">
        <v>1444</v>
      </c>
      <c r="T753" t="s">
        <v>1429</v>
      </c>
      <c r="U753" t="s">
        <v>1445</v>
      </c>
      <c r="V753" t="s">
        <v>151</v>
      </c>
      <c r="W753">
        <v>13.4</v>
      </c>
      <c r="X753" t="s">
        <v>57</v>
      </c>
      <c r="Z753" t="s">
        <v>1444</v>
      </c>
      <c r="AA753" t="s">
        <v>401</v>
      </c>
      <c r="AE753">
        <v>1</v>
      </c>
      <c r="AF753">
        <v>1</v>
      </c>
      <c r="AG753">
        <v>1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1</v>
      </c>
    </row>
    <row r="754" spans="1:42" x14ac:dyDescent="0.25">
      <c r="A754">
        <v>880</v>
      </c>
      <c r="B754" t="s">
        <v>1446</v>
      </c>
      <c r="C754" t="s">
        <v>1443</v>
      </c>
      <c r="D754" t="s">
        <v>121</v>
      </c>
      <c r="E754" s="4">
        <v>1</v>
      </c>
      <c r="F754" t="s">
        <v>122</v>
      </c>
      <c r="G754" t="s">
        <v>122</v>
      </c>
      <c r="H754" s="3">
        <v>46136</v>
      </c>
      <c r="I754" s="3">
        <v>46140</v>
      </c>
      <c r="J754" t="s">
        <v>90</v>
      </c>
      <c r="K754" s="3">
        <v>46163</v>
      </c>
      <c r="L754" s="3">
        <v>46161</v>
      </c>
      <c r="M754" s="3">
        <v>46140</v>
      </c>
      <c r="N754" s="3">
        <v>46140</v>
      </c>
      <c r="O754" t="s">
        <v>67</v>
      </c>
      <c r="P754" t="s">
        <v>55</v>
      </c>
      <c r="Q754">
        <v>879</v>
      </c>
      <c r="S754" t="s">
        <v>124</v>
      </c>
      <c r="T754" t="s">
        <v>1429</v>
      </c>
      <c r="U754">
        <v>881</v>
      </c>
      <c r="V754" t="s">
        <v>122</v>
      </c>
      <c r="W754">
        <v>13.4</v>
      </c>
      <c r="X754" t="s">
        <v>57</v>
      </c>
      <c r="Z754" t="s">
        <v>124</v>
      </c>
      <c r="AA754" t="s">
        <v>198</v>
      </c>
      <c r="AE754">
        <v>1</v>
      </c>
      <c r="AF754">
        <v>0</v>
      </c>
      <c r="AG754">
        <v>0</v>
      </c>
      <c r="AH754">
        <v>0</v>
      </c>
      <c r="AI754">
        <v>0</v>
      </c>
      <c r="AJ754">
        <v>1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</row>
    <row r="755" spans="1:42" x14ac:dyDescent="0.25">
      <c r="A755">
        <v>881</v>
      </c>
      <c r="B755" t="s">
        <v>1447</v>
      </c>
      <c r="C755" t="s">
        <v>1443</v>
      </c>
      <c r="D755" t="s">
        <v>126</v>
      </c>
      <c r="E755" s="4">
        <v>1</v>
      </c>
      <c r="F755" t="s">
        <v>61</v>
      </c>
      <c r="G755" t="s">
        <v>61</v>
      </c>
      <c r="H755" s="3">
        <v>46141</v>
      </c>
      <c r="I755" s="3">
        <v>46141</v>
      </c>
      <c r="J755" t="s">
        <v>471</v>
      </c>
      <c r="K755" s="3">
        <v>46164</v>
      </c>
      <c r="L755" s="3">
        <v>46164</v>
      </c>
      <c r="M755" s="3">
        <v>46141</v>
      </c>
      <c r="N755" s="3">
        <v>46141</v>
      </c>
      <c r="O755" t="s">
        <v>415</v>
      </c>
      <c r="P755" t="s">
        <v>55</v>
      </c>
      <c r="Q755">
        <v>880</v>
      </c>
      <c r="S755" t="s">
        <v>1444</v>
      </c>
      <c r="T755" t="s">
        <v>1429</v>
      </c>
      <c r="U755">
        <v>882</v>
      </c>
      <c r="V755" t="s">
        <v>61</v>
      </c>
      <c r="W755">
        <v>13.4</v>
      </c>
      <c r="X755" t="s">
        <v>57</v>
      </c>
      <c r="Z755" t="s">
        <v>1444</v>
      </c>
      <c r="AA755" t="s">
        <v>198</v>
      </c>
      <c r="AE755">
        <v>1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1</v>
      </c>
      <c r="AM755">
        <v>0</v>
      </c>
      <c r="AN755">
        <v>0</v>
      </c>
      <c r="AO755">
        <v>0</v>
      </c>
      <c r="AP755">
        <v>0</v>
      </c>
    </row>
    <row r="756" spans="1:42" x14ac:dyDescent="0.25">
      <c r="A756">
        <v>882</v>
      </c>
      <c r="B756" t="s">
        <v>1448</v>
      </c>
      <c r="C756" t="s">
        <v>1443</v>
      </c>
      <c r="D756" t="s">
        <v>133</v>
      </c>
      <c r="E756" s="4">
        <v>1</v>
      </c>
      <c r="F756" t="s">
        <v>127</v>
      </c>
      <c r="G756" t="s">
        <v>127</v>
      </c>
      <c r="H756" s="3">
        <v>46142</v>
      </c>
      <c r="I756" s="3">
        <v>46146</v>
      </c>
      <c r="J756" t="s">
        <v>74</v>
      </c>
      <c r="K756" s="3">
        <v>46167</v>
      </c>
      <c r="L756" s="3">
        <v>46167</v>
      </c>
      <c r="M756" s="3">
        <v>46146</v>
      </c>
      <c r="N756" s="3">
        <v>46146</v>
      </c>
      <c r="O756" t="s">
        <v>527</v>
      </c>
      <c r="P756" t="s">
        <v>55</v>
      </c>
      <c r="Q756">
        <v>881</v>
      </c>
      <c r="S756" t="s">
        <v>124</v>
      </c>
      <c r="T756" t="s">
        <v>1429</v>
      </c>
      <c r="U756">
        <v>889</v>
      </c>
      <c r="V756" t="s">
        <v>61</v>
      </c>
      <c r="W756">
        <v>13.4</v>
      </c>
      <c r="X756" t="s">
        <v>57</v>
      </c>
      <c r="Z756" t="s">
        <v>124</v>
      </c>
      <c r="AA756" t="s">
        <v>77</v>
      </c>
      <c r="AE756">
        <v>1</v>
      </c>
      <c r="AF756">
        <v>0</v>
      </c>
      <c r="AG756">
        <v>0</v>
      </c>
      <c r="AH756">
        <v>0</v>
      </c>
      <c r="AI756">
        <v>1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0</v>
      </c>
      <c r="AP756">
        <v>0</v>
      </c>
    </row>
    <row r="757" spans="1:42" x14ac:dyDescent="0.25">
      <c r="A757">
        <v>883</v>
      </c>
      <c r="B757" t="s">
        <v>1449</v>
      </c>
      <c r="C757" t="s">
        <v>1440</v>
      </c>
      <c r="D757" t="s">
        <v>1450</v>
      </c>
      <c r="E757" s="4">
        <v>1</v>
      </c>
      <c r="F757" t="s">
        <v>1038</v>
      </c>
      <c r="G757" t="s">
        <v>1038</v>
      </c>
      <c r="H757" s="3">
        <v>46142</v>
      </c>
      <c r="I757" s="3">
        <v>46162</v>
      </c>
      <c r="J757" t="s">
        <v>90</v>
      </c>
      <c r="K757" s="3">
        <v>46183</v>
      </c>
      <c r="L757" s="3">
        <v>46161</v>
      </c>
      <c r="M757" s="3">
        <v>46162</v>
      </c>
      <c r="N757" s="3">
        <v>46162</v>
      </c>
      <c r="O757" t="s">
        <v>527</v>
      </c>
      <c r="P757" t="s">
        <v>55</v>
      </c>
      <c r="T757" t="s">
        <v>1429</v>
      </c>
      <c r="V757" t="s">
        <v>330</v>
      </c>
      <c r="X757" t="s">
        <v>57</v>
      </c>
      <c r="AA757" t="s">
        <v>50</v>
      </c>
      <c r="AB757" t="s">
        <v>94</v>
      </c>
      <c r="AE757">
        <v>1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</row>
    <row r="758" spans="1:42" x14ac:dyDescent="0.25">
      <c r="A758">
        <v>884</v>
      </c>
      <c r="B758" t="s">
        <v>1451</v>
      </c>
      <c r="C758" t="s">
        <v>1452</v>
      </c>
      <c r="D758" t="s">
        <v>117</v>
      </c>
      <c r="E758" s="4">
        <v>1</v>
      </c>
      <c r="F758" t="s">
        <v>63</v>
      </c>
      <c r="G758" t="s">
        <v>63</v>
      </c>
      <c r="H758" s="3">
        <v>46142</v>
      </c>
      <c r="I758" s="3">
        <v>46142</v>
      </c>
      <c r="J758" t="s">
        <v>90</v>
      </c>
      <c r="K758" s="3">
        <v>46174</v>
      </c>
      <c r="L758" s="3">
        <v>46161</v>
      </c>
      <c r="M758" s="3">
        <v>46142</v>
      </c>
      <c r="N758" s="3">
        <v>46142</v>
      </c>
      <c r="O758" t="s">
        <v>527</v>
      </c>
      <c r="P758" t="s">
        <v>55</v>
      </c>
      <c r="Q758">
        <v>879</v>
      </c>
      <c r="S758" t="s">
        <v>1433</v>
      </c>
      <c r="T758" t="s">
        <v>1429</v>
      </c>
      <c r="U758">
        <v>885</v>
      </c>
      <c r="V758" t="s">
        <v>151</v>
      </c>
      <c r="W758">
        <v>13.4</v>
      </c>
      <c r="X758" t="s">
        <v>57</v>
      </c>
      <c r="Z758" t="s">
        <v>1433</v>
      </c>
      <c r="AA758" t="s">
        <v>198</v>
      </c>
      <c r="AE758">
        <v>1</v>
      </c>
      <c r="AF758">
        <v>1</v>
      </c>
      <c r="AG758">
        <v>1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1</v>
      </c>
    </row>
    <row r="759" spans="1:42" x14ac:dyDescent="0.25">
      <c r="A759">
        <v>885</v>
      </c>
      <c r="B759" t="s">
        <v>1453</v>
      </c>
      <c r="C759" t="s">
        <v>1452</v>
      </c>
      <c r="D759" t="s">
        <v>121</v>
      </c>
      <c r="E759" s="4">
        <v>1</v>
      </c>
      <c r="F759" t="s">
        <v>63</v>
      </c>
      <c r="G759" t="s">
        <v>63</v>
      </c>
      <c r="H759" s="3">
        <v>46142</v>
      </c>
      <c r="I759" s="3">
        <v>46142</v>
      </c>
      <c r="J759" t="s">
        <v>472</v>
      </c>
      <c r="K759" s="3">
        <v>46181</v>
      </c>
      <c r="L759" s="3">
        <v>46175</v>
      </c>
      <c r="M759" s="3">
        <v>46142</v>
      </c>
      <c r="N759" s="3">
        <v>46142</v>
      </c>
      <c r="O759" t="s">
        <v>527</v>
      </c>
      <c r="P759" t="s">
        <v>55</v>
      </c>
      <c r="Q759">
        <v>884</v>
      </c>
      <c r="S759" t="s">
        <v>124</v>
      </c>
      <c r="T759" t="s">
        <v>1429</v>
      </c>
      <c r="U759">
        <v>886</v>
      </c>
      <c r="V759" t="s">
        <v>122</v>
      </c>
      <c r="W759">
        <v>13.4</v>
      </c>
      <c r="X759" t="s">
        <v>57</v>
      </c>
      <c r="Z759" t="s">
        <v>124</v>
      </c>
      <c r="AA759" t="s">
        <v>460</v>
      </c>
      <c r="AE759">
        <v>1</v>
      </c>
      <c r="AF759">
        <v>0</v>
      </c>
      <c r="AG759">
        <v>0</v>
      </c>
      <c r="AH759">
        <v>0</v>
      </c>
      <c r="AI759">
        <v>0</v>
      </c>
      <c r="AJ759">
        <v>1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</row>
    <row r="760" spans="1:42" x14ac:dyDescent="0.25">
      <c r="A760">
        <v>886</v>
      </c>
      <c r="B760" t="s">
        <v>1454</v>
      </c>
      <c r="C760" t="s">
        <v>1452</v>
      </c>
      <c r="D760" t="s">
        <v>126</v>
      </c>
      <c r="E760" s="4">
        <v>1</v>
      </c>
      <c r="F760" t="s">
        <v>203</v>
      </c>
      <c r="G760" t="s">
        <v>203</v>
      </c>
      <c r="H760" s="3">
        <v>46146</v>
      </c>
      <c r="I760" s="3">
        <v>46160</v>
      </c>
      <c r="J760" t="s">
        <v>204</v>
      </c>
      <c r="K760" s="3">
        <v>46182</v>
      </c>
      <c r="L760" s="3">
        <v>46182</v>
      </c>
      <c r="M760" s="3">
        <v>46160</v>
      </c>
      <c r="N760" s="3">
        <v>46160</v>
      </c>
      <c r="O760" t="s">
        <v>409</v>
      </c>
      <c r="P760" t="s">
        <v>55</v>
      </c>
      <c r="Q760">
        <v>885</v>
      </c>
      <c r="S760" t="s">
        <v>1433</v>
      </c>
      <c r="T760" t="s">
        <v>1429</v>
      </c>
      <c r="U760">
        <v>887</v>
      </c>
      <c r="V760" t="s">
        <v>61</v>
      </c>
      <c r="W760">
        <v>13.4</v>
      </c>
      <c r="X760" t="s">
        <v>57</v>
      </c>
      <c r="Z760" t="s">
        <v>1433</v>
      </c>
      <c r="AA760" t="s">
        <v>462</v>
      </c>
      <c r="AE760">
        <v>1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1</v>
      </c>
      <c r="AM760">
        <v>0</v>
      </c>
      <c r="AN760">
        <v>0</v>
      </c>
      <c r="AO760">
        <v>0</v>
      </c>
      <c r="AP760">
        <v>0</v>
      </c>
    </row>
    <row r="761" spans="1:42" x14ac:dyDescent="0.25">
      <c r="A761">
        <v>887</v>
      </c>
      <c r="B761" t="s">
        <v>1455</v>
      </c>
      <c r="C761" t="s">
        <v>1452</v>
      </c>
      <c r="D761" t="s">
        <v>133</v>
      </c>
      <c r="E761" s="4">
        <v>1</v>
      </c>
      <c r="F761" t="s">
        <v>127</v>
      </c>
      <c r="G761" t="s">
        <v>127</v>
      </c>
      <c r="H761" s="3">
        <v>46161</v>
      </c>
      <c r="I761" s="3">
        <v>46162</v>
      </c>
      <c r="J761" t="s">
        <v>592</v>
      </c>
      <c r="K761" s="3">
        <v>46183</v>
      </c>
      <c r="L761" s="3">
        <v>46183</v>
      </c>
      <c r="M761" s="3">
        <v>46162</v>
      </c>
      <c r="N761" s="3">
        <v>46162</v>
      </c>
      <c r="O761" t="s">
        <v>90</v>
      </c>
      <c r="P761" t="s">
        <v>55</v>
      </c>
      <c r="Q761">
        <v>886</v>
      </c>
      <c r="S761" t="s">
        <v>124</v>
      </c>
      <c r="T761" t="s">
        <v>1429</v>
      </c>
      <c r="V761" t="s">
        <v>61</v>
      </c>
      <c r="W761">
        <v>13.4</v>
      </c>
      <c r="X761" t="s">
        <v>57</v>
      </c>
      <c r="Z761" t="s">
        <v>124</v>
      </c>
      <c r="AA761" t="s">
        <v>462</v>
      </c>
      <c r="AE761">
        <v>1</v>
      </c>
      <c r="AF761">
        <v>0</v>
      </c>
      <c r="AG761">
        <v>0</v>
      </c>
      <c r="AH761">
        <v>0</v>
      </c>
      <c r="AI761">
        <v>1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0</v>
      </c>
      <c r="AP761">
        <v>0</v>
      </c>
    </row>
    <row r="762" spans="1:42" x14ac:dyDescent="0.25">
      <c r="A762">
        <v>888</v>
      </c>
      <c r="B762" t="s">
        <v>1456</v>
      </c>
      <c r="C762" t="s">
        <v>1440</v>
      </c>
      <c r="D762" t="s">
        <v>1457</v>
      </c>
      <c r="E762" s="4">
        <v>1</v>
      </c>
      <c r="F762" t="s">
        <v>138</v>
      </c>
      <c r="G762" t="s">
        <v>138</v>
      </c>
      <c r="H762" s="3">
        <v>46140</v>
      </c>
      <c r="I762" s="3">
        <v>46147</v>
      </c>
      <c r="J762" t="s">
        <v>206</v>
      </c>
      <c r="K762" s="3">
        <v>46176</v>
      </c>
      <c r="L762" s="3">
        <v>46168</v>
      </c>
      <c r="M762" s="3">
        <v>46147</v>
      </c>
      <c r="N762" s="3">
        <v>46147</v>
      </c>
      <c r="O762" t="s">
        <v>85</v>
      </c>
      <c r="P762" t="s">
        <v>55</v>
      </c>
      <c r="T762" t="s">
        <v>1429</v>
      </c>
      <c r="V762" t="s">
        <v>175</v>
      </c>
      <c r="X762" t="s">
        <v>57</v>
      </c>
      <c r="AA762" t="s">
        <v>50</v>
      </c>
      <c r="AB762" t="s">
        <v>94</v>
      </c>
      <c r="AE762">
        <v>1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</row>
    <row r="763" spans="1:42" x14ac:dyDescent="0.25">
      <c r="A763">
        <v>889</v>
      </c>
      <c r="B763" t="s">
        <v>1458</v>
      </c>
      <c r="C763" t="s">
        <v>1459</v>
      </c>
      <c r="D763" t="s">
        <v>117</v>
      </c>
      <c r="E763" s="4">
        <v>1</v>
      </c>
      <c r="F763" t="s">
        <v>1460</v>
      </c>
      <c r="G763" t="s">
        <v>1460</v>
      </c>
      <c r="H763" s="3">
        <v>46140</v>
      </c>
      <c r="I763" s="3">
        <v>46146</v>
      </c>
      <c r="J763" t="s">
        <v>206</v>
      </c>
      <c r="K763" s="3">
        <v>46169</v>
      </c>
      <c r="L763" s="3">
        <v>46168</v>
      </c>
      <c r="M763" s="3">
        <v>46146</v>
      </c>
      <c r="N763" s="3">
        <v>46146</v>
      </c>
      <c r="O763" t="s">
        <v>85</v>
      </c>
      <c r="P763" t="s">
        <v>55</v>
      </c>
      <c r="Q763">
        <v>882</v>
      </c>
      <c r="R763" t="s">
        <v>1461</v>
      </c>
      <c r="S763" t="s">
        <v>1444</v>
      </c>
      <c r="T763" t="s">
        <v>1429</v>
      </c>
      <c r="U763" t="s">
        <v>1462</v>
      </c>
      <c r="V763" t="s">
        <v>127</v>
      </c>
      <c r="W763">
        <v>13.4</v>
      </c>
      <c r="X763" t="s">
        <v>57</v>
      </c>
      <c r="Y763">
        <v>8</v>
      </c>
      <c r="Z763" t="s">
        <v>1444</v>
      </c>
      <c r="AA763" t="s">
        <v>77</v>
      </c>
      <c r="AE763">
        <v>1</v>
      </c>
      <c r="AF763">
        <v>1</v>
      </c>
      <c r="AG763">
        <v>1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1</v>
      </c>
    </row>
    <row r="764" spans="1:42" x14ac:dyDescent="0.25">
      <c r="A764">
        <v>890</v>
      </c>
      <c r="B764" t="s">
        <v>1463</v>
      </c>
      <c r="C764" t="s">
        <v>1459</v>
      </c>
      <c r="D764" t="s">
        <v>121</v>
      </c>
      <c r="E764" s="4">
        <v>1</v>
      </c>
      <c r="F764" t="s">
        <v>61</v>
      </c>
      <c r="G764" t="s">
        <v>61</v>
      </c>
      <c r="H764" s="3">
        <v>46147</v>
      </c>
      <c r="I764" s="3">
        <v>46147</v>
      </c>
      <c r="J764" t="s">
        <v>448</v>
      </c>
      <c r="K764" s="3">
        <v>46174</v>
      </c>
      <c r="L764" s="3">
        <v>46170</v>
      </c>
      <c r="M764" s="3">
        <v>46147</v>
      </c>
      <c r="N764" s="3">
        <v>46147</v>
      </c>
      <c r="O764" t="s">
        <v>183</v>
      </c>
      <c r="P764" t="s">
        <v>55</v>
      </c>
      <c r="Q764">
        <v>889</v>
      </c>
      <c r="S764" t="s">
        <v>124</v>
      </c>
      <c r="T764" t="s">
        <v>1429</v>
      </c>
      <c r="U764">
        <v>891</v>
      </c>
      <c r="V764" t="s">
        <v>122</v>
      </c>
      <c r="W764">
        <v>13.4</v>
      </c>
      <c r="X764" t="s">
        <v>57</v>
      </c>
      <c r="Z764" t="s">
        <v>124</v>
      </c>
      <c r="AA764" t="s">
        <v>77</v>
      </c>
      <c r="AE764">
        <v>1</v>
      </c>
      <c r="AF764">
        <v>0</v>
      </c>
      <c r="AG764">
        <v>0</v>
      </c>
      <c r="AH764">
        <v>0</v>
      </c>
      <c r="AI764">
        <v>0</v>
      </c>
      <c r="AJ764">
        <v>1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</row>
    <row r="765" spans="1:42" x14ac:dyDescent="0.25">
      <c r="A765">
        <v>891</v>
      </c>
      <c r="B765" t="s">
        <v>1464</v>
      </c>
      <c r="C765" t="s">
        <v>1459</v>
      </c>
      <c r="D765" t="s">
        <v>126</v>
      </c>
      <c r="E765" s="4">
        <v>1</v>
      </c>
      <c r="F765" t="s">
        <v>63</v>
      </c>
      <c r="G765" t="s">
        <v>63</v>
      </c>
      <c r="H765" s="3">
        <v>46147</v>
      </c>
      <c r="I765" s="3">
        <v>46147</v>
      </c>
      <c r="J765" t="s">
        <v>472</v>
      </c>
      <c r="K765" s="3">
        <v>46175</v>
      </c>
      <c r="L765" s="3">
        <v>46175</v>
      </c>
      <c r="M765" s="3">
        <v>46147</v>
      </c>
      <c r="N765" s="3">
        <v>46147</v>
      </c>
      <c r="O765" t="s">
        <v>183</v>
      </c>
      <c r="P765" t="s">
        <v>55</v>
      </c>
      <c r="Q765">
        <v>890</v>
      </c>
      <c r="S765" t="s">
        <v>1444</v>
      </c>
      <c r="T765" t="s">
        <v>1429</v>
      </c>
      <c r="U765">
        <v>892</v>
      </c>
      <c r="V765" t="s">
        <v>61</v>
      </c>
      <c r="W765">
        <v>13.4</v>
      </c>
      <c r="X765" t="s">
        <v>57</v>
      </c>
      <c r="Z765" t="s">
        <v>1444</v>
      </c>
      <c r="AA765" t="s">
        <v>460</v>
      </c>
      <c r="AE765">
        <v>1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1</v>
      </c>
      <c r="AM765">
        <v>0</v>
      </c>
      <c r="AN765">
        <v>0</v>
      </c>
      <c r="AO765">
        <v>0</v>
      </c>
      <c r="AP765">
        <v>0</v>
      </c>
    </row>
    <row r="766" spans="1:42" x14ac:dyDescent="0.25">
      <c r="A766">
        <v>892</v>
      </c>
      <c r="B766" t="s">
        <v>1465</v>
      </c>
      <c r="C766" t="s">
        <v>1459</v>
      </c>
      <c r="D766" t="s">
        <v>133</v>
      </c>
      <c r="E766" s="4">
        <v>1</v>
      </c>
      <c r="F766" t="s">
        <v>63</v>
      </c>
      <c r="G766" t="s">
        <v>63</v>
      </c>
      <c r="H766" s="3">
        <v>46147</v>
      </c>
      <c r="I766" s="3">
        <v>46147</v>
      </c>
      <c r="J766" t="s">
        <v>459</v>
      </c>
      <c r="K766" s="3">
        <v>46176</v>
      </c>
      <c r="L766" s="3">
        <v>46176</v>
      </c>
      <c r="M766" s="3">
        <v>46147</v>
      </c>
      <c r="N766" s="3">
        <v>46147</v>
      </c>
      <c r="O766" t="s">
        <v>183</v>
      </c>
      <c r="P766" t="s">
        <v>55</v>
      </c>
      <c r="Q766">
        <v>891</v>
      </c>
      <c r="S766" t="s">
        <v>124</v>
      </c>
      <c r="T766" t="s">
        <v>1429</v>
      </c>
      <c r="V766" t="s">
        <v>61</v>
      </c>
      <c r="W766">
        <v>13.4</v>
      </c>
      <c r="X766" t="s">
        <v>57</v>
      </c>
      <c r="Z766" t="s">
        <v>124</v>
      </c>
      <c r="AA766" t="s">
        <v>460</v>
      </c>
      <c r="AE766">
        <v>1</v>
      </c>
      <c r="AF766">
        <v>0</v>
      </c>
      <c r="AG766">
        <v>0</v>
      </c>
      <c r="AH766">
        <v>0</v>
      </c>
      <c r="AI766">
        <v>1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0</v>
      </c>
      <c r="AP766">
        <v>0</v>
      </c>
    </row>
    <row r="767" spans="1:42" x14ac:dyDescent="0.25">
      <c r="A767">
        <v>893</v>
      </c>
      <c r="B767" t="s">
        <v>1466</v>
      </c>
      <c r="C767" t="s">
        <v>1440</v>
      </c>
      <c r="D767" t="s">
        <v>1467</v>
      </c>
      <c r="E767" s="4">
        <v>1</v>
      </c>
      <c r="F767" t="s">
        <v>138</v>
      </c>
      <c r="G767" t="s">
        <v>138</v>
      </c>
      <c r="H767" s="3">
        <v>46140</v>
      </c>
      <c r="I767" s="3">
        <v>46147</v>
      </c>
      <c r="J767" t="s">
        <v>206</v>
      </c>
      <c r="K767" s="3">
        <v>46176</v>
      </c>
      <c r="L767" s="3">
        <v>46168</v>
      </c>
      <c r="M767" s="3">
        <v>46147</v>
      </c>
      <c r="N767" s="3">
        <v>46147</v>
      </c>
      <c r="O767" t="s">
        <v>85</v>
      </c>
      <c r="P767" t="s">
        <v>55</v>
      </c>
      <c r="T767" t="s">
        <v>1429</v>
      </c>
      <c r="V767" t="s">
        <v>175</v>
      </c>
      <c r="X767" t="s">
        <v>57</v>
      </c>
      <c r="AA767" t="s">
        <v>50</v>
      </c>
      <c r="AB767" t="s">
        <v>94</v>
      </c>
      <c r="AE767">
        <v>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</row>
    <row r="768" spans="1:42" x14ac:dyDescent="0.25">
      <c r="A768">
        <v>894</v>
      </c>
      <c r="B768" t="s">
        <v>1468</v>
      </c>
      <c r="C768" t="s">
        <v>1469</v>
      </c>
      <c r="D768" t="s">
        <v>117</v>
      </c>
      <c r="E768" s="4">
        <v>1</v>
      </c>
      <c r="F768" t="s">
        <v>101</v>
      </c>
      <c r="G768" t="s">
        <v>101</v>
      </c>
      <c r="H768" s="3">
        <v>46140</v>
      </c>
      <c r="I768" s="3">
        <v>46146</v>
      </c>
      <c r="J768" t="s">
        <v>206</v>
      </c>
      <c r="K768" s="3">
        <v>46169</v>
      </c>
      <c r="L768" s="3">
        <v>46168</v>
      </c>
      <c r="M768" s="3">
        <v>46146</v>
      </c>
      <c r="N768" s="3">
        <v>46146</v>
      </c>
      <c r="O768" t="s">
        <v>85</v>
      </c>
      <c r="P768" t="s">
        <v>55</v>
      </c>
      <c r="Q768" t="s">
        <v>1470</v>
      </c>
      <c r="R768" t="s">
        <v>1461</v>
      </c>
      <c r="S768" t="s">
        <v>1444</v>
      </c>
      <c r="T768" t="s">
        <v>1429</v>
      </c>
      <c r="U768">
        <v>895</v>
      </c>
      <c r="V768" t="s">
        <v>127</v>
      </c>
      <c r="W768">
        <v>13.4</v>
      </c>
      <c r="X768" t="s">
        <v>57</v>
      </c>
      <c r="Y768">
        <v>8</v>
      </c>
      <c r="Z768" t="s">
        <v>1444</v>
      </c>
      <c r="AA768" t="s">
        <v>77</v>
      </c>
      <c r="AE768">
        <v>1</v>
      </c>
      <c r="AF768">
        <v>1</v>
      </c>
      <c r="AG768">
        <v>1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1</v>
      </c>
    </row>
    <row r="769" spans="1:42" x14ac:dyDescent="0.25">
      <c r="A769">
        <v>895</v>
      </c>
      <c r="B769" t="s">
        <v>1471</v>
      </c>
      <c r="C769" t="s">
        <v>1469</v>
      </c>
      <c r="D769" t="s">
        <v>121</v>
      </c>
      <c r="E769" s="4">
        <v>1</v>
      </c>
      <c r="F769" t="s">
        <v>61</v>
      </c>
      <c r="G769" t="s">
        <v>61</v>
      </c>
      <c r="H769" s="3">
        <v>46147</v>
      </c>
      <c r="I769" s="3">
        <v>46147</v>
      </c>
      <c r="J769" t="s">
        <v>448</v>
      </c>
      <c r="K769" s="3">
        <v>46174</v>
      </c>
      <c r="L769" s="3">
        <v>46170</v>
      </c>
      <c r="M769" s="3">
        <v>46147</v>
      </c>
      <c r="N769" s="3">
        <v>46147</v>
      </c>
      <c r="O769" t="s">
        <v>183</v>
      </c>
      <c r="P769" t="s">
        <v>55</v>
      </c>
      <c r="Q769">
        <v>894</v>
      </c>
      <c r="S769" t="s">
        <v>124</v>
      </c>
      <c r="T769" t="s">
        <v>1429</v>
      </c>
      <c r="U769">
        <v>896</v>
      </c>
      <c r="V769" t="s">
        <v>122</v>
      </c>
      <c r="W769">
        <v>13.4</v>
      </c>
      <c r="X769" t="s">
        <v>57</v>
      </c>
      <c r="Z769" t="s">
        <v>124</v>
      </c>
      <c r="AA769" t="s">
        <v>77</v>
      </c>
      <c r="AE769">
        <v>1</v>
      </c>
      <c r="AF769">
        <v>0</v>
      </c>
      <c r="AG769">
        <v>0</v>
      </c>
      <c r="AH769">
        <v>0</v>
      </c>
      <c r="AI769">
        <v>0</v>
      </c>
      <c r="AJ769">
        <v>1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</row>
    <row r="770" spans="1:42" x14ac:dyDescent="0.25">
      <c r="A770">
        <v>896</v>
      </c>
      <c r="B770" t="s">
        <v>1472</v>
      </c>
      <c r="C770" t="s">
        <v>1469</v>
      </c>
      <c r="D770" t="s">
        <v>126</v>
      </c>
      <c r="E770" s="4">
        <v>1</v>
      </c>
      <c r="F770" t="s">
        <v>61</v>
      </c>
      <c r="G770" t="s">
        <v>61</v>
      </c>
      <c r="H770" s="3">
        <v>46147</v>
      </c>
      <c r="I770" s="3">
        <v>46147</v>
      </c>
      <c r="J770" t="s">
        <v>472</v>
      </c>
      <c r="K770" s="3">
        <v>46175</v>
      </c>
      <c r="L770" s="3">
        <v>46175</v>
      </c>
      <c r="M770" s="3">
        <v>46147</v>
      </c>
      <c r="N770" s="3">
        <v>46147</v>
      </c>
      <c r="O770" t="s">
        <v>183</v>
      </c>
      <c r="P770" t="s">
        <v>55</v>
      </c>
      <c r="Q770">
        <v>895</v>
      </c>
      <c r="S770" t="s">
        <v>1444</v>
      </c>
      <c r="T770" t="s">
        <v>1429</v>
      </c>
      <c r="U770">
        <v>897</v>
      </c>
      <c r="V770" t="s">
        <v>61</v>
      </c>
      <c r="W770">
        <v>13.4</v>
      </c>
      <c r="X770" t="s">
        <v>57</v>
      </c>
      <c r="Z770" t="s">
        <v>1444</v>
      </c>
      <c r="AA770" t="s">
        <v>460</v>
      </c>
      <c r="AE770">
        <v>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1</v>
      </c>
      <c r="AM770">
        <v>0</v>
      </c>
      <c r="AN770">
        <v>0</v>
      </c>
      <c r="AO770">
        <v>0</v>
      </c>
      <c r="AP770">
        <v>0</v>
      </c>
    </row>
    <row r="771" spans="1:42" x14ac:dyDescent="0.25">
      <c r="A771">
        <v>897</v>
      </c>
      <c r="B771" t="s">
        <v>1473</v>
      </c>
      <c r="C771" t="s">
        <v>1469</v>
      </c>
      <c r="D771" t="s">
        <v>133</v>
      </c>
      <c r="E771" s="4">
        <v>1</v>
      </c>
      <c r="F771" t="s">
        <v>61</v>
      </c>
      <c r="G771" t="s">
        <v>61</v>
      </c>
      <c r="H771" s="3">
        <v>46147</v>
      </c>
      <c r="I771" s="3">
        <v>46147</v>
      </c>
      <c r="J771" t="s">
        <v>459</v>
      </c>
      <c r="K771" s="3">
        <v>46176</v>
      </c>
      <c r="L771" s="3">
        <v>46176</v>
      </c>
      <c r="M771" s="3">
        <v>46147</v>
      </c>
      <c r="N771" s="3">
        <v>46147</v>
      </c>
      <c r="O771" t="s">
        <v>183</v>
      </c>
      <c r="P771" t="s">
        <v>55</v>
      </c>
      <c r="Q771">
        <v>896</v>
      </c>
      <c r="S771" t="s">
        <v>124</v>
      </c>
      <c r="T771" t="s">
        <v>1429</v>
      </c>
      <c r="V771" t="s">
        <v>61</v>
      </c>
      <c r="W771">
        <v>13.4</v>
      </c>
      <c r="X771" t="s">
        <v>57</v>
      </c>
      <c r="Z771" t="s">
        <v>124</v>
      </c>
      <c r="AA771" t="s">
        <v>460</v>
      </c>
      <c r="AE771">
        <v>1</v>
      </c>
      <c r="AF771">
        <v>0</v>
      </c>
      <c r="AG771">
        <v>0</v>
      </c>
      <c r="AH771">
        <v>0</v>
      </c>
      <c r="AI771">
        <v>1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0</v>
      </c>
      <c r="AP771">
        <v>0</v>
      </c>
    </row>
    <row r="772" spans="1:42" x14ac:dyDescent="0.25">
      <c r="A772">
        <v>898</v>
      </c>
      <c r="B772" t="s">
        <v>1474</v>
      </c>
      <c r="C772" t="s">
        <v>1440</v>
      </c>
      <c r="D772" t="s">
        <v>1475</v>
      </c>
      <c r="E772" s="4">
        <v>1</v>
      </c>
      <c r="F772" t="s">
        <v>138</v>
      </c>
      <c r="G772" t="s">
        <v>138</v>
      </c>
      <c r="H772" s="3">
        <v>46140</v>
      </c>
      <c r="I772" s="3">
        <v>46147</v>
      </c>
      <c r="J772" t="s">
        <v>85</v>
      </c>
      <c r="K772" s="3">
        <v>46147</v>
      </c>
      <c r="L772" s="3">
        <v>46140</v>
      </c>
      <c r="M772" s="3">
        <v>46147</v>
      </c>
      <c r="N772" s="3">
        <v>46147</v>
      </c>
      <c r="O772" t="s">
        <v>85</v>
      </c>
      <c r="P772" t="s">
        <v>55</v>
      </c>
      <c r="T772" t="s">
        <v>1429</v>
      </c>
      <c r="V772" t="s">
        <v>175</v>
      </c>
      <c r="X772" t="s">
        <v>57</v>
      </c>
      <c r="AA772" t="s">
        <v>50</v>
      </c>
      <c r="AB772" t="s">
        <v>94</v>
      </c>
      <c r="AE772">
        <v>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</row>
    <row r="773" spans="1:42" x14ac:dyDescent="0.25">
      <c r="A773">
        <v>899</v>
      </c>
      <c r="B773" t="s">
        <v>1476</v>
      </c>
      <c r="C773" t="s">
        <v>1477</v>
      </c>
      <c r="D773" t="s">
        <v>117</v>
      </c>
      <c r="E773" s="4">
        <v>1</v>
      </c>
      <c r="F773" t="s">
        <v>101</v>
      </c>
      <c r="G773" t="s">
        <v>101</v>
      </c>
      <c r="H773" s="3">
        <v>46140</v>
      </c>
      <c r="I773" s="3">
        <v>46146</v>
      </c>
      <c r="J773" t="s">
        <v>85</v>
      </c>
      <c r="K773" s="3">
        <v>46146</v>
      </c>
      <c r="L773" s="3">
        <v>46140</v>
      </c>
      <c r="M773" s="3">
        <v>46146</v>
      </c>
      <c r="N773" s="3">
        <v>46146</v>
      </c>
      <c r="O773" t="s">
        <v>85</v>
      </c>
      <c r="P773" t="s">
        <v>55</v>
      </c>
      <c r="R773" t="s">
        <v>1461</v>
      </c>
      <c r="S773" t="s">
        <v>1444</v>
      </c>
      <c r="T773" t="s">
        <v>1429</v>
      </c>
      <c r="U773">
        <v>900</v>
      </c>
      <c r="V773" t="s">
        <v>127</v>
      </c>
      <c r="W773">
        <v>13.4</v>
      </c>
      <c r="X773" t="s">
        <v>57</v>
      </c>
      <c r="Y773">
        <v>8</v>
      </c>
      <c r="Z773" t="s">
        <v>1444</v>
      </c>
      <c r="AA773" t="s">
        <v>77</v>
      </c>
      <c r="AE773">
        <v>1</v>
      </c>
      <c r="AF773">
        <v>1</v>
      </c>
      <c r="AG773">
        <v>1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1</v>
      </c>
    </row>
    <row r="774" spans="1:42" x14ac:dyDescent="0.25">
      <c r="A774">
        <v>900</v>
      </c>
      <c r="B774" t="s">
        <v>1478</v>
      </c>
      <c r="C774" t="s">
        <v>1477</v>
      </c>
      <c r="D774" t="s">
        <v>121</v>
      </c>
      <c r="E774" s="4">
        <v>1</v>
      </c>
      <c r="F774" t="s">
        <v>61</v>
      </c>
      <c r="G774" t="s">
        <v>61</v>
      </c>
      <c r="H774" s="3">
        <v>46147</v>
      </c>
      <c r="I774" s="3">
        <v>46147</v>
      </c>
      <c r="J774" t="s">
        <v>183</v>
      </c>
      <c r="K774" s="3">
        <v>46147</v>
      </c>
      <c r="L774" s="3">
        <v>46147</v>
      </c>
      <c r="M774" s="3">
        <v>46147</v>
      </c>
      <c r="N774" s="3">
        <v>46147</v>
      </c>
      <c r="O774" t="s">
        <v>183</v>
      </c>
      <c r="P774" t="s">
        <v>55</v>
      </c>
      <c r="Q774">
        <v>899</v>
      </c>
      <c r="S774" t="s">
        <v>124</v>
      </c>
      <c r="T774" t="s">
        <v>1429</v>
      </c>
      <c r="U774">
        <v>901</v>
      </c>
      <c r="V774" t="s">
        <v>122</v>
      </c>
      <c r="W774">
        <v>13.4</v>
      </c>
      <c r="X774" t="s">
        <v>57</v>
      </c>
      <c r="Z774" t="s">
        <v>124</v>
      </c>
      <c r="AA774" t="s">
        <v>77</v>
      </c>
      <c r="AE774">
        <v>1</v>
      </c>
      <c r="AF774">
        <v>0</v>
      </c>
      <c r="AG774">
        <v>0</v>
      </c>
      <c r="AH774">
        <v>0</v>
      </c>
      <c r="AI774">
        <v>0</v>
      </c>
      <c r="AJ774">
        <v>1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</row>
    <row r="775" spans="1:42" x14ac:dyDescent="0.25">
      <c r="A775">
        <v>901</v>
      </c>
      <c r="B775" t="s">
        <v>1479</v>
      </c>
      <c r="C775" t="s">
        <v>1477</v>
      </c>
      <c r="D775" t="s">
        <v>126</v>
      </c>
      <c r="E775" s="4">
        <v>1</v>
      </c>
      <c r="F775" t="s">
        <v>61</v>
      </c>
      <c r="G775" t="s">
        <v>61</v>
      </c>
      <c r="H775" s="3">
        <v>46147</v>
      </c>
      <c r="I775" s="3">
        <v>46147</v>
      </c>
      <c r="J775" t="s">
        <v>183</v>
      </c>
      <c r="K775" s="3">
        <v>46147</v>
      </c>
      <c r="L775" s="3">
        <v>46147</v>
      </c>
      <c r="M775" s="3">
        <v>46147</v>
      </c>
      <c r="N775" s="3">
        <v>46147</v>
      </c>
      <c r="O775" t="s">
        <v>183</v>
      </c>
      <c r="P775" t="s">
        <v>55</v>
      </c>
      <c r="Q775">
        <v>900</v>
      </c>
      <c r="S775" t="s">
        <v>1444</v>
      </c>
      <c r="T775" t="s">
        <v>1429</v>
      </c>
      <c r="U775">
        <v>902</v>
      </c>
      <c r="V775" t="s">
        <v>61</v>
      </c>
      <c r="W775">
        <v>13.4</v>
      </c>
      <c r="X775" t="s">
        <v>57</v>
      </c>
      <c r="Z775" t="s">
        <v>1444</v>
      </c>
      <c r="AA775" t="s">
        <v>460</v>
      </c>
      <c r="AE775">
        <v>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1</v>
      </c>
      <c r="AM775">
        <v>0</v>
      </c>
      <c r="AN775">
        <v>0</v>
      </c>
      <c r="AO775">
        <v>0</v>
      </c>
      <c r="AP775">
        <v>0</v>
      </c>
    </row>
    <row r="776" spans="1:42" x14ac:dyDescent="0.25">
      <c r="A776">
        <v>902</v>
      </c>
      <c r="B776" t="s">
        <v>1480</v>
      </c>
      <c r="C776" t="s">
        <v>1477</v>
      </c>
      <c r="D776" t="s">
        <v>133</v>
      </c>
      <c r="E776" s="4">
        <v>1</v>
      </c>
      <c r="F776" t="s">
        <v>61</v>
      </c>
      <c r="G776" t="s">
        <v>61</v>
      </c>
      <c r="H776" s="3">
        <v>46147</v>
      </c>
      <c r="I776" s="3">
        <v>46147</v>
      </c>
      <c r="J776" t="s">
        <v>183</v>
      </c>
      <c r="K776" s="3">
        <v>46147</v>
      </c>
      <c r="L776" s="3">
        <v>46147</v>
      </c>
      <c r="M776" s="3">
        <v>46147</v>
      </c>
      <c r="N776" s="3">
        <v>46147</v>
      </c>
      <c r="O776" t="s">
        <v>183</v>
      </c>
      <c r="P776" t="s">
        <v>55</v>
      </c>
      <c r="Q776">
        <v>901</v>
      </c>
      <c r="S776" t="s">
        <v>124</v>
      </c>
      <c r="T776" t="s">
        <v>1429</v>
      </c>
      <c r="V776" t="s">
        <v>61</v>
      </c>
      <c r="W776">
        <v>13.4</v>
      </c>
      <c r="X776" t="s">
        <v>57</v>
      </c>
      <c r="Z776" t="s">
        <v>124</v>
      </c>
      <c r="AA776" t="s">
        <v>460</v>
      </c>
      <c r="AE776">
        <v>1</v>
      </c>
      <c r="AF776">
        <v>0</v>
      </c>
      <c r="AG776">
        <v>0</v>
      </c>
      <c r="AH776">
        <v>0</v>
      </c>
      <c r="AI776">
        <v>1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0</v>
      </c>
      <c r="AP776">
        <v>0</v>
      </c>
    </row>
    <row r="777" spans="1:42" x14ac:dyDescent="0.25">
      <c r="A777">
        <v>903</v>
      </c>
      <c r="B777" t="s">
        <v>1481</v>
      </c>
      <c r="C777" t="s">
        <v>1440</v>
      </c>
      <c r="D777" t="s">
        <v>1482</v>
      </c>
      <c r="E777" s="4">
        <v>1</v>
      </c>
      <c r="F777" t="s">
        <v>138</v>
      </c>
      <c r="G777" t="s">
        <v>138</v>
      </c>
      <c r="H777" s="3">
        <v>46140</v>
      </c>
      <c r="I777" s="3">
        <v>46147</v>
      </c>
      <c r="J777" t="s">
        <v>85</v>
      </c>
      <c r="K777" s="3">
        <v>46147</v>
      </c>
      <c r="L777" s="3">
        <v>46140</v>
      </c>
      <c r="M777" s="3">
        <v>46147</v>
      </c>
      <c r="N777" s="3">
        <v>46147</v>
      </c>
      <c r="O777" t="s">
        <v>85</v>
      </c>
      <c r="P777" t="s">
        <v>55</v>
      </c>
      <c r="T777" t="s">
        <v>1429</v>
      </c>
      <c r="V777" t="s">
        <v>175</v>
      </c>
      <c r="X777" t="s">
        <v>57</v>
      </c>
      <c r="AA777" t="s">
        <v>50</v>
      </c>
      <c r="AB777" t="s">
        <v>94</v>
      </c>
      <c r="AE777">
        <v>1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</row>
    <row r="778" spans="1:42" x14ac:dyDescent="0.25">
      <c r="A778">
        <v>904</v>
      </c>
      <c r="B778" t="s">
        <v>1483</v>
      </c>
      <c r="C778" t="s">
        <v>1484</v>
      </c>
      <c r="D778" t="s">
        <v>117</v>
      </c>
      <c r="E778" s="4">
        <v>1</v>
      </c>
      <c r="F778" t="s">
        <v>101</v>
      </c>
      <c r="G778" t="s">
        <v>101</v>
      </c>
      <c r="H778" s="3">
        <v>46140</v>
      </c>
      <c r="I778" s="3">
        <v>46146</v>
      </c>
      <c r="J778" t="s">
        <v>85</v>
      </c>
      <c r="K778" s="3">
        <v>46146</v>
      </c>
      <c r="L778" s="3">
        <v>46140</v>
      </c>
      <c r="M778" s="3">
        <v>46146</v>
      </c>
      <c r="N778" s="3">
        <v>46146</v>
      </c>
      <c r="O778" t="s">
        <v>85</v>
      </c>
      <c r="P778" t="s">
        <v>55</v>
      </c>
      <c r="Q778" t="s">
        <v>1470</v>
      </c>
      <c r="R778" t="s">
        <v>1461</v>
      </c>
      <c r="S778" t="s">
        <v>1444</v>
      </c>
      <c r="T778" t="s">
        <v>1429</v>
      </c>
      <c r="U778">
        <v>905</v>
      </c>
      <c r="V778" t="s">
        <v>127</v>
      </c>
      <c r="W778">
        <v>13.4</v>
      </c>
      <c r="X778" t="s">
        <v>57</v>
      </c>
      <c r="Y778">
        <v>8</v>
      </c>
      <c r="Z778" t="s">
        <v>1444</v>
      </c>
      <c r="AA778" t="s">
        <v>77</v>
      </c>
      <c r="AE778">
        <v>1</v>
      </c>
      <c r="AF778">
        <v>1</v>
      </c>
      <c r="AG778">
        <v>1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1</v>
      </c>
    </row>
    <row r="779" spans="1:42" x14ac:dyDescent="0.25">
      <c r="A779">
        <v>905</v>
      </c>
      <c r="B779" t="s">
        <v>1485</v>
      </c>
      <c r="C779" t="s">
        <v>1484</v>
      </c>
      <c r="D779" t="s">
        <v>121</v>
      </c>
      <c r="E779" s="4">
        <v>1</v>
      </c>
      <c r="F779" t="s">
        <v>61</v>
      </c>
      <c r="G779" t="s">
        <v>61</v>
      </c>
      <c r="H779" s="3">
        <v>46147</v>
      </c>
      <c r="I779" s="3">
        <v>46147</v>
      </c>
      <c r="J779" t="s">
        <v>183</v>
      </c>
      <c r="K779" s="3">
        <v>46147</v>
      </c>
      <c r="L779" s="3">
        <v>46147</v>
      </c>
      <c r="M779" s="3">
        <v>46147</v>
      </c>
      <c r="N779" s="3">
        <v>46147</v>
      </c>
      <c r="O779" t="s">
        <v>183</v>
      </c>
      <c r="P779" t="s">
        <v>55</v>
      </c>
      <c r="Q779">
        <v>904</v>
      </c>
      <c r="S779" t="s">
        <v>124</v>
      </c>
      <c r="T779" t="s">
        <v>1429</v>
      </c>
      <c r="U779">
        <v>906</v>
      </c>
      <c r="V779" t="s">
        <v>122</v>
      </c>
      <c r="W779">
        <v>13.4</v>
      </c>
      <c r="X779" t="s">
        <v>57</v>
      </c>
      <c r="Z779" t="s">
        <v>124</v>
      </c>
      <c r="AA779" t="s">
        <v>77</v>
      </c>
      <c r="AE779">
        <v>1</v>
      </c>
      <c r="AF779">
        <v>0</v>
      </c>
      <c r="AG779">
        <v>0</v>
      </c>
      <c r="AH779">
        <v>0</v>
      </c>
      <c r="AI779">
        <v>0</v>
      </c>
      <c r="AJ779">
        <v>1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</row>
    <row r="780" spans="1:42" x14ac:dyDescent="0.25">
      <c r="A780">
        <v>906</v>
      </c>
      <c r="B780" t="s">
        <v>1486</v>
      </c>
      <c r="C780" t="s">
        <v>1484</v>
      </c>
      <c r="D780" t="s">
        <v>126</v>
      </c>
      <c r="E780" s="4">
        <v>1</v>
      </c>
      <c r="F780" t="s">
        <v>61</v>
      </c>
      <c r="G780" t="s">
        <v>61</v>
      </c>
      <c r="H780" s="3">
        <v>46147</v>
      </c>
      <c r="I780" s="3">
        <v>46147</v>
      </c>
      <c r="J780" t="s">
        <v>183</v>
      </c>
      <c r="K780" s="3">
        <v>46147</v>
      </c>
      <c r="L780" s="3">
        <v>46147</v>
      </c>
      <c r="M780" s="3">
        <v>46147</v>
      </c>
      <c r="N780" s="3">
        <v>46147</v>
      </c>
      <c r="O780" t="s">
        <v>183</v>
      </c>
      <c r="P780" t="s">
        <v>55</v>
      </c>
      <c r="Q780">
        <v>905</v>
      </c>
      <c r="S780" t="s">
        <v>1444</v>
      </c>
      <c r="T780" t="s">
        <v>1429</v>
      </c>
      <c r="U780">
        <v>907</v>
      </c>
      <c r="V780" t="s">
        <v>61</v>
      </c>
      <c r="W780">
        <v>13.4</v>
      </c>
      <c r="X780" t="s">
        <v>57</v>
      </c>
      <c r="Z780" t="s">
        <v>1444</v>
      </c>
      <c r="AA780" t="s">
        <v>460</v>
      </c>
      <c r="AE780">
        <v>1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1</v>
      </c>
      <c r="AM780">
        <v>0</v>
      </c>
      <c r="AN780">
        <v>0</v>
      </c>
      <c r="AO780">
        <v>0</v>
      </c>
      <c r="AP780">
        <v>0</v>
      </c>
    </row>
    <row r="781" spans="1:42" x14ac:dyDescent="0.25">
      <c r="A781">
        <v>907</v>
      </c>
      <c r="B781" t="s">
        <v>1487</v>
      </c>
      <c r="C781" t="s">
        <v>1484</v>
      </c>
      <c r="D781" t="s">
        <v>133</v>
      </c>
      <c r="E781" s="4">
        <v>1</v>
      </c>
      <c r="F781" t="s">
        <v>61</v>
      </c>
      <c r="G781" t="s">
        <v>61</v>
      </c>
      <c r="H781" s="3">
        <v>46147</v>
      </c>
      <c r="I781" s="3">
        <v>46147</v>
      </c>
      <c r="J781" t="s">
        <v>183</v>
      </c>
      <c r="K781" s="3">
        <v>46147</v>
      </c>
      <c r="L781" s="3">
        <v>46147</v>
      </c>
      <c r="M781" s="3">
        <v>46147</v>
      </c>
      <c r="N781" s="3">
        <v>46147</v>
      </c>
      <c r="O781" t="s">
        <v>183</v>
      </c>
      <c r="P781" t="s">
        <v>55</v>
      </c>
      <c r="Q781">
        <v>906</v>
      </c>
      <c r="S781" t="s">
        <v>124</v>
      </c>
      <c r="T781" t="s">
        <v>1429</v>
      </c>
      <c r="V781" t="s">
        <v>61</v>
      </c>
      <c r="W781">
        <v>13.4</v>
      </c>
      <c r="X781" t="s">
        <v>57</v>
      </c>
      <c r="Z781" t="s">
        <v>124</v>
      </c>
      <c r="AA781" t="s">
        <v>460</v>
      </c>
      <c r="AE781">
        <v>1</v>
      </c>
      <c r="AF781">
        <v>0</v>
      </c>
      <c r="AG781">
        <v>0</v>
      </c>
      <c r="AH781">
        <v>0</v>
      </c>
      <c r="AI781">
        <v>1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0</v>
      </c>
      <c r="AP781">
        <v>0</v>
      </c>
    </row>
    <row r="782" spans="1:42" x14ac:dyDescent="0.25">
      <c r="A782">
        <v>908</v>
      </c>
      <c r="B782" t="s">
        <v>1488</v>
      </c>
      <c r="C782" t="s">
        <v>1429</v>
      </c>
      <c r="D782" t="s">
        <v>1489</v>
      </c>
      <c r="E782" s="4">
        <v>1</v>
      </c>
      <c r="F782" t="s">
        <v>203</v>
      </c>
      <c r="G782" t="s">
        <v>203</v>
      </c>
      <c r="H782" s="3">
        <v>46185</v>
      </c>
      <c r="I782" s="3">
        <v>46199</v>
      </c>
      <c r="J782" t="s">
        <v>90</v>
      </c>
      <c r="K782" s="3">
        <v>46195</v>
      </c>
      <c r="L782" s="3">
        <v>46161</v>
      </c>
      <c r="M782" s="3">
        <v>46199</v>
      </c>
      <c r="N782" s="3">
        <v>46199</v>
      </c>
      <c r="O782" t="s">
        <v>571</v>
      </c>
      <c r="P782" t="s">
        <v>55</v>
      </c>
      <c r="T782" t="s">
        <v>1429</v>
      </c>
      <c r="V782" t="s">
        <v>613</v>
      </c>
      <c r="X782" t="s">
        <v>57</v>
      </c>
      <c r="AA782" t="s">
        <v>50</v>
      </c>
      <c r="AB782" t="s">
        <v>94</v>
      </c>
      <c r="AE782">
        <v>1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</row>
    <row r="783" spans="1:42" x14ac:dyDescent="0.25">
      <c r="A783">
        <v>909</v>
      </c>
      <c r="B783" t="s">
        <v>1490</v>
      </c>
      <c r="C783" t="s">
        <v>1491</v>
      </c>
      <c r="D783" t="s">
        <v>1492</v>
      </c>
      <c r="E783" s="4">
        <v>1</v>
      </c>
      <c r="F783" t="s">
        <v>138</v>
      </c>
      <c r="G783" t="s">
        <v>138</v>
      </c>
      <c r="H783" s="3">
        <v>46191</v>
      </c>
      <c r="I783" s="3">
        <v>46197</v>
      </c>
      <c r="J783" t="s">
        <v>90</v>
      </c>
      <c r="K783" s="3">
        <v>46181</v>
      </c>
      <c r="L783" s="3">
        <v>46161</v>
      </c>
      <c r="M783" s="3">
        <v>46197</v>
      </c>
      <c r="N783" s="3">
        <v>46197</v>
      </c>
      <c r="O783" t="s">
        <v>480</v>
      </c>
      <c r="P783" t="s">
        <v>55</v>
      </c>
      <c r="T783" t="s">
        <v>1429</v>
      </c>
      <c r="V783" t="s">
        <v>1038</v>
      </c>
      <c r="X783" t="s">
        <v>57</v>
      </c>
      <c r="AA783" t="s">
        <v>50</v>
      </c>
      <c r="AB783" t="s">
        <v>94</v>
      </c>
      <c r="AE783">
        <v>1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</row>
    <row r="784" spans="1:42" x14ac:dyDescent="0.25">
      <c r="A784">
        <v>910</v>
      </c>
      <c r="B784" t="s">
        <v>1493</v>
      </c>
      <c r="C784" t="s">
        <v>1494</v>
      </c>
      <c r="D784" t="s">
        <v>117</v>
      </c>
      <c r="E784" s="4">
        <v>1</v>
      </c>
      <c r="F784" t="s">
        <v>127</v>
      </c>
      <c r="G784" t="s">
        <v>127</v>
      </c>
      <c r="H784" s="3">
        <v>46191</v>
      </c>
      <c r="I784" s="3">
        <v>46192</v>
      </c>
      <c r="J784" t="s">
        <v>90</v>
      </c>
      <c r="K784" s="3">
        <v>46174</v>
      </c>
      <c r="L784" s="3">
        <v>46161</v>
      </c>
      <c r="M784" s="3">
        <v>46192</v>
      </c>
      <c r="N784" s="3">
        <v>46192</v>
      </c>
      <c r="O784" t="s">
        <v>480</v>
      </c>
      <c r="P784" t="s">
        <v>55</v>
      </c>
      <c r="Q784">
        <v>536</v>
      </c>
      <c r="S784" t="s">
        <v>1444</v>
      </c>
      <c r="T784" t="s">
        <v>1429</v>
      </c>
      <c r="U784" t="s">
        <v>1495</v>
      </c>
      <c r="V784" t="s">
        <v>151</v>
      </c>
      <c r="W784">
        <v>13.4</v>
      </c>
      <c r="X784" t="s">
        <v>57</v>
      </c>
      <c r="Z784" t="s">
        <v>1444</v>
      </c>
      <c r="AA784" t="s">
        <v>198</v>
      </c>
      <c r="AE784">
        <v>1</v>
      </c>
      <c r="AF784">
        <v>1</v>
      </c>
      <c r="AG784">
        <v>1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1</v>
      </c>
    </row>
    <row r="785" spans="1:42" x14ac:dyDescent="0.25">
      <c r="A785">
        <v>911</v>
      </c>
      <c r="B785" t="s">
        <v>1496</v>
      </c>
      <c r="C785" t="s">
        <v>1494</v>
      </c>
      <c r="D785" t="s">
        <v>121</v>
      </c>
      <c r="E785" s="4">
        <v>1</v>
      </c>
      <c r="F785" t="s">
        <v>61</v>
      </c>
      <c r="G785" t="s">
        <v>61</v>
      </c>
      <c r="H785" s="3">
        <v>46195</v>
      </c>
      <c r="I785" s="3">
        <v>46195</v>
      </c>
      <c r="J785" t="s">
        <v>472</v>
      </c>
      <c r="K785" s="3">
        <v>46175</v>
      </c>
      <c r="L785" s="3">
        <v>46175</v>
      </c>
      <c r="M785" s="3">
        <v>46195</v>
      </c>
      <c r="N785" s="3">
        <v>46195</v>
      </c>
      <c r="O785" t="s">
        <v>219</v>
      </c>
      <c r="P785" t="s">
        <v>55</v>
      </c>
      <c r="Q785">
        <v>910</v>
      </c>
      <c r="S785" t="s">
        <v>124</v>
      </c>
      <c r="T785" t="s">
        <v>1429</v>
      </c>
      <c r="U785">
        <v>912</v>
      </c>
      <c r="V785" t="s">
        <v>61</v>
      </c>
      <c r="W785">
        <v>13.4</v>
      </c>
      <c r="X785" t="s">
        <v>57</v>
      </c>
      <c r="Z785" t="s">
        <v>124</v>
      </c>
      <c r="AA785" t="s">
        <v>460</v>
      </c>
      <c r="AE785">
        <v>1</v>
      </c>
      <c r="AF785">
        <v>0</v>
      </c>
      <c r="AG785">
        <v>0</v>
      </c>
      <c r="AH785">
        <v>0</v>
      </c>
      <c r="AI785">
        <v>0</v>
      </c>
      <c r="AJ785">
        <v>1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</row>
    <row r="786" spans="1:42" x14ac:dyDescent="0.25">
      <c r="A786">
        <v>912</v>
      </c>
      <c r="B786" t="s">
        <v>1497</v>
      </c>
      <c r="C786" t="s">
        <v>1494</v>
      </c>
      <c r="D786" t="s">
        <v>126</v>
      </c>
      <c r="E786" s="4">
        <v>1</v>
      </c>
      <c r="F786" t="s">
        <v>61</v>
      </c>
      <c r="G786" t="s">
        <v>61</v>
      </c>
      <c r="H786" s="3">
        <v>46196</v>
      </c>
      <c r="I786" s="3">
        <v>46196</v>
      </c>
      <c r="J786" t="s">
        <v>459</v>
      </c>
      <c r="K786" s="3">
        <v>46176</v>
      </c>
      <c r="L786" s="3">
        <v>46176</v>
      </c>
      <c r="M786" s="3">
        <v>46196</v>
      </c>
      <c r="N786" s="3">
        <v>46196</v>
      </c>
      <c r="O786" t="s">
        <v>212</v>
      </c>
      <c r="P786" t="s">
        <v>55</v>
      </c>
      <c r="Q786">
        <v>911</v>
      </c>
      <c r="S786" t="s">
        <v>1444</v>
      </c>
      <c r="T786" t="s">
        <v>1429</v>
      </c>
      <c r="U786">
        <v>913</v>
      </c>
      <c r="V786" t="s">
        <v>61</v>
      </c>
      <c r="W786">
        <v>13.4</v>
      </c>
      <c r="X786" t="s">
        <v>57</v>
      </c>
      <c r="Z786" t="s">
        <v>1444</v>
      </c>
      <c r="AA786" t="s">
        <v>460</v>
      </c>
      <c r="AE786">
        <v>1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1</v>
      </c>
      <c r="AM786">
        <v>0</v>
      </c>
      <c r="AN786">
        <v>0</v>
      </c>
      <c r="AO786">
        <v>0</v>
      </c>
      <c r="AP786">
        <v>0</v>
      </c>
    </row>
    <row r="787" spans="1:42" x14ac:dyDescent="0.25">
      <c r="A787">
        <v>913</v>
      </c>
      <c r="B787" t="s">
        <v>1498</v>
      </c>
      <c r="C787" t="s">
        <v>1494</v>
      </c>
      <c r="D787" t="s">
        <v>133</v>
      </c>
      <c r="E787" s="4">
        <v>1</v>
      </c>
      <c r="F787" t="s">
        <v>61</v>
      </c>
      <c r="G787" t="s">
        <v>61</v>
      </c>
      <c r="H787" s="3">
        <v>46197</v>
      </c>
      <c r="I787" s="3">
        <v>46197</v>
      </c>
      <c r="J787" t="s">
        <v>201</v>
      </c>
      <c r="K787" s="3">
        <v>46181</v>
      </c>
      <c r="L787" s="3">
        <v>46181</v>
      </c>
      <c r="M787" s="3">
        <v>46197</v>
      </c>
      <c r="N787" s="3">
        <v>46197</v>
      </c>
      <c r="O787" t="s">
        <v>207</v>
      </c>
      <c r="P787" t="s">
        <v>55</v>
      </c>
      <c r="Q787">
        <v>912</v>
      </c>
      <c r="S787" t="s">
        <v>124</v>
      </c>
      <c r="T787" t="s">
        <v>1429</v>
      </c>
      <c r="V787" t="s">
        <v>61</v>
      </c>
      <c r="W787">
        <v>13.4</v>
      </c>
      <c r="X787" t="s">
        <v>57</v>
      </c>
      <c r="Z787" t="s">
        <v>124</v>
      </c>
      <c r="AA787" t="s">
        <v>462</v>
      </c>
      <c r="AE787">
        <v>1</v>
      </c>
      <c r="AF787">
        <v>0</v>
      </c>
      <c r="AG787">
        <v>0</v>
      </c>
      <c r="AH787">
        <v>0</v>
      </c>
      <c r="AI787">
        <v>1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0</v>
      </c>
      <c r="AP787">
        <v>0</v>
      </c>
    </row>
    <row r="788" spans="1:42" x14ac:dyDescent="0.25">
      <c r="A788">
        <v>914</v>
      </c>
      <c r="B788" t="s">
        <v>1499</v>
      </c>
      <c r="C788" t="s">
        <v>1491</v>
      </c>
      <c r="D788" t="s">
        <v>1500</v>
      </c>
      <c r="E788" s="4">
        <v>1</v>
      </c>
      <c r="F788" t="s">
        <v>138</v>
      </c>
      <c r="G788" t="s">
        <v>138</v>
      </c>
      <c r="H788" s="3">
        <v>46191</v>
      </c>
      <c r="I788" s="3">
        <v>46197</v>
      </c>
      <c r="J788" t="s">
        <v>480</v>
      </c>
      <c r="K788" s="3">
        <v>46197</v>
      </c>
      <c r="L788" s="3">
        <v>46191</v>
      </c>
      <c r="M788" s="3">
        <v>46197</v>
      </c>
      <c r="N788" s="3">
        <v>46197</v>
      </c>
      <c r="O788" t="s">
        <v>480</v>
      </c>
      <c r="P788" t="s">
        <v>55</v>
      </c>
      <c r="T788" t="s">
        <v>1429</v>
      </c>
      <c r="V788" t="s">
        <v>1038</v>
      </c>
      <c r="X788" t="s">
        <v>57</v>
      </c>
      <c r="AA788" t="s">
        <v>50</v>
      </c>
      <c r="AB788" t="s">
        <v>94</v>
      </c>
      <c r="AE788">
        <v>1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</row>
    <row r="789" spans="1:42" x14ac:dyDescent="0.25">
      <c r="A789">
        <v>915</v>
      </c>
      <c r="B789" t="s">
        <v>1501</v>
      </c>
      <c r="C789" t="s">
        <v>1502</v>
      </c>
      <c r="D789" t="s">
        <v>117</v>
      </c>
      <c r="E789" s="4">
        <v>1</v>
      </c>
      <c r="F789" t="s">
        <v>127</v>
      </c>
      <c r="G789" t="s">
        <v>127</v>
      </c>
      <c r="H789" s="3">
        <v>46191</v>
      </c>
      <c r="I789" s="3">
        <v>46192</v>
      </c>
      <c r="J789" t="s">
        <v>480</v>
      </c>
      <c r="K789" s="3">
        <v>46192</v>
      </c>
      <c r="L789" s="3">
        <v>46191</v>
      </c>
      <c r="M789" s="3">
        <v>46192</v>
      </c>
      <c r="N789" s="3">
        <v>46192</v>
      </c>
      <c r="O789" t="s">
        <v>480</v>
      </c>
      <c r="P789" t="s">
        <v>55</v>
      </c>
      <c r="Q789">
        <v>536</v>
      </c>
      <c r="S789" t="s">
        <v>1444</v>
      </c>
      <c r="T789" t="s">
        <v>1429</v>
      </c>
      <c r="U789" t="s">
        <v>1503</v>
      </c>
      <c r="V789" t="s">
        <v>151</v>
      </c>
      <c r="W789">
        <v>13.4</v>
      </c>
      <c r="X789" t="s">
        <v>57</v>
      </c>
      <c r="Z789" t="s">
        <v>1444</v>
      </c>
      <c r="AA789" t="s">
        <v>198</v>
      </c>
      <c r="AE789">
        <v>1</v>
      </c>
      <c r="AF789">
        <v>1</v>
      </c>
      <c r="AG789">
        <v>1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1</v>
      </c>
    </row>
    <row r="790" spans="1:42" x14ac:dyDescent="0.25">
      <c r="A790">
        <v>916</v>
      </c>
      <c r="B790" t="s">
        <v>1504</v>
      </c>
      <c r="C790" t="s">
        <v>1502</v>
      </c>
      <c r="D790" t="s">
        <v>121</v>
      </c>
      <c r="E790" s="4">
        <v>1</v>
      </c>
      <c r="F790" t="s">
        <v>61</v>
      </c>
      <c r="G790" t="s">
        <v>61</v>
      </c>
      <c r="H790" s="3">
        <v>46195</v>
      </c>
      <c r="I790" s="3">
        <v>46195</v>
      </c>
      <c r="J790" t="s">
        <v>219</v>
      </c>
      <c r="K790" s="3">
        <v>46195</v>
      </c>
      <c r="L790" s="3">
        <v>46195</v>
      </c>
      <c r="M790" s="3">
        <v>46195</v>
      </c>
      <c r="N790" s="3">
        <v>46195</v>
      </c>
      <c r="O790" t="s">
        <v>219</v>
      </c>
      <c r="P790" t="s">
        <v>55</v>
      </c>
      <c r="Q790">
        <v>915</v>
      </c>
      <c r="S790" t="s">
        <v>124</v>
      </c>
      <c r="T790" t="s">
        <v>1429</v>
      </c>
      <c r="U790">
        <v>917</v>
      </c>
      <c r="V790" t="s">
        <v>61</v>
      </c>
      <c r="W790">
        <v>13.4</v>
      </c>
      <c r="X790" t="s">
        <v>57</v>
      </c>
      <c r="Z790" t="s">
        <v>124</v>
      </c>
      <c r="AA790" t="s">
        <v>460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1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</row>
    <row r="791" spans="1:42" x14ac:dyDescent="0.25">
      <c r="A791">
        <v>917</v>
      </c>
      <c r="B791" t="s">
        <v>1505</v>
      </c>
      <c r="C791" t="s">
        <v>1502</v>
      </c>
      <c r="D791" t="s">
        <v>126</v>
      </c>
      <c r="E791" s="4">
        <v>1</v>
      </c>
      <c r="F791" t="s">
        <v>61</v>
      </c>
      <c r="G791" t="s">
        <v>61</v>
      </c>
      <c r="H791" s="3">
        <v>46196</v>
      </c>
      <c r="I791" s="3">
        <v>46196</v>
      </c>
      <c r="J791" t="s">
        <v>212</v>
      </c>
      <c r="K791" s="3">
        <v>46196</v>
      </c>
      <c r="L791" s="3">
        <v>46196</v>
      </c>
      <c r="M791" s="3">
        <v>46196</v>
      </c>
      <c r="N791" s="3">
        <v>46196</v>
      </c>
      <c r="O791" t="s">
        <v>212</v>
      </c>
      <c r="P791" t="s">
        <v>55</v>
      </c>
      <c r="Q791">
        <v>916</v>
      </c>
      <c r="S791" t="s">
        <v>1444</v>
      </c>
      <c r="T791" t="s">
        <v>1429</v>
      </c>
      <c r="U791">
        <v>918</v>
      </c>
      <c r="V791" t="s">
        <v>61</v>
      </c>
      <c r="W791">
        <v>13.4</v>
      </c>
      <c r="X791" t="s">
        <v>57</v>
      </c>
      <c r="Z791" t="s">
        <v>1444</v>
      </c>
      <c r="AA791" t="s">
        <v>460</v>
      </c>
      <c r="AE791">
        <v>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1</v>
      </c>
      <c r="AM791">
        <v>0</v>
      </c>
      <c r="AN791">
        <v>0</v>
      </c>
      <c r="AO791">
        <v>0</v>
      </c>
      <c r="AP791">
        <v>0</v>
      </c>
    </row>
    <row r="792" spans="1:42" x14ac:dyDescent="0.25">
      <c r="A792">
        <v>918</v>
      </c>
      <c r="B792" t="s">
        <v>1506</v>
      </c>
      <c r="C792" t="s">
        <v>1502</v>
      </c>
      <c r="D792" t="s">
        <v>133</v>
      </c>
      <c r="E792" s="4">
        <v>1</v>
      </c>
      <c r="F792" t="s">
        <v>61</v>
      </c>
      <c r="G792" t="s">
        <v>61</v>
      </c>
      <c r="H792" s="3">
        <v>46197</v>
      </c>
      <c r="I792" s="3">
        <v>46197</v>
      </c>
      <c r="J792" t="s">
        <v>207</v>
      </c>
      <c r="K792" s="3">
        <v>46197</v>
      </c>
      <c r="L792" s="3">
        <v>46197</v>
      </c>
      <c r="M792" s="3">
        <v>46197</v>
      </c>
      <c r="N792" s="3">
        <v>46197</v>
      </c>
      <c r="O792" t="s">
        <v>207</v>
      </c>
      <c r="P792" t="s">
        <v>55</v>
      </c>
      <c r="Q792">
        <v>917</v>
      </c>
      <c r="S792" t="s">
        <v>124</v>
      </c>
      <c r="T792" t="s">
        <v>1429</v>
      </c>
      <c r="V792" t="s">
        <v>61</v>
      </c>
      <c r="W792">
        <v>13.4</v>
      </c>
      <c r="X792" t="s">
        <v>57</v>
      </c>
      <c r="Z792" t="s">
        <v>124</v>
      </c>
      <c r="AA792" t="s">
        <v>462</v>
      </c>
      <c r="AE792">
        <v>1</v>
      </c>
      <c r="AF792">
        <v>0</v>
      </c>
      <c r="AG792">
        <v>0</v>
      </c>
      <c r="AH792">
        <v>0</v>
      </c>
      <c r="AI792">
        <v>1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0</v>
      </c>
      <c r="AP792">
        <v>0</v>
      </c>
    </row>
    <row r="793" spans="1:42" x14ac:dyDescent="0.25">
      <c r="A793">
        <v>919</v>
      </c>
      <c r="B793" t="s">
        <v>1507</v>
      </c>
      <c r="C793" t="s">
        <v>1491</v>
      </c>
      <c r="D793" t="s">
        <v>1508</v>
      </c>
      <c r="E793" s="4">
        <v>1</v>
      </c>
      <c r="F793" t="s">
        <v>214</v>
      </c>
      <c r="G793" t="s">
        <v>214</v>
      </c>
      <c r="H793" s="3">
        <v>46185</v>
      </c>
      <c r="I793" s="3">
        <v>46192</v>
      </c>
      <c r="J793" t="s">
        <v>472</v>
      </c>
      <c r="K793" s="3">
        <v>46195</v>
      </c>
      <c r="L793" s="3">
        <v>46175</v>
      </c>
      <c r="M793" s="3">
        <v>46192</v>
      </c>
      <c r="N793" s="3">
        <v>46192</v>
      </c>
      <c r="O793" t="s">
        <v>571</v>
      </c>
      <c r="P793" t="s">
        <v>55</v>
      </c>
      <c r="T793" t="s">
        <v>1429</v>
      </c>
      <c r="V793" t="s">
        <v>1038</v>
      </c>
      <c r="X793" t="s">
        <v>57</v>
      </c>
      <c r="AA793" t="s">
        <v>50</v>
      </c>
      <c r="AB793" t="s">
        <v>94</v>
      </c>
      <c r="AE793">
        <v>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</row>
    <row r="794" spans="1:42" x14ac:dyDescent="0.25">
      <c r="A794">
        <v>920</v>
      </c>
      <c r="B794" t="s">
        <v>1509</v>
      </c>
      <c r="C794" t="s">
        <v>1510</v>
      </c>
      <c r="D794" t="s">
        <v>117</v>
      </c>
      <c r="E794" s="4">
        <v>1</v>
      </c>
      <c r="F794" t="s">
        <v>138</v>
      </c>
      <c r="G794" t="s">
        <v>138</v>
      </c>
      <c r="H794" s="3">
        <v>46185</v>
      </c>
      <c r="I794" s="3">
        <v>46191</v>
      </c>
      <c r="J794" t="s">
        <v>472</v>
      </c>
      <c r="K794" s="3">
        <v>46190</v>
      </c>
      <c r="L794" s="3">
        <v>46175</v>
      </c>
      <c r="M794" s="3">
        <v>46191</v>
      </c>
      <c r="N794" s="3">
        <v>46191</v>
      </c>
      <c r="O794" t="s">
        <v>571</v>
      </c>
      <c r="P794" t="s">
        <v>55</v>
      </c>
      <c r="S794" t="s">
        <v>1433</v>
      </c>
      <c r="T794" t="s">
        <v>1429</v>
      </c>
      <c r="U794">
        <v>921</v>
      </c>
      <c r="V794" t="s">
        <v>151</v>
      </c>
      <c r="W794">
        <v>13.4</v>
      </c>
      <c r="X794" t="s">
        <v>57</v>
      </c>
      <c r="Z794" t="s">
        <v>1433</v>
      </c>
      <c r="AA794" t="s">
        <v>460</v>
      </c>
      <c r="AE794">
        <v>1</v>
      </c>
      <c r="AF794">
        <v>1</v>
      </c>
      <c r="AG794">
        <v>1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1</v>
      </c>
    </row>
    <row r="795" spans="1:42" x14ac:dyDescent="0.25">
      <c r="A795">
        <v>921</v>
      </c>
      <c r="B795" t="s">
        <v>1511</v>
      </c>
      <c r="C795" t="s">
        <v>1510</v>
      </c>
      <c r="D795" t="s">
        <v>121</v>
      </c>
      <c r="E795" s="4">
        <v>1</v>
      </c>
      <c r="F795" t="s">
        <v>61</v>
      </c>
      <c r="G795" t="s">
        <v>61</v>
      </c>
      <c r="H795" s="3">
        <v>46192</v>
      </c>
      <c r="I795" s="3">
        <v>46192</v>
      </c>
      <c r="J795" t="s">
        <v>480</v>
      </c>
      <c r="K795" s="3">
        <v>46191</v>
      </c>
      <c r="L795" s="3">
        <v>46191</v>
      </c>
      <c r="M795" s="3">
        <v>46192</v>
      </c>
      <c r="N795" s="3">
        <v>46192</v>
      </c>
      <c r="O795" t="s">
        <v>211</v>
      </c>
      <c r="P795" t="s">
        <v>55</v>
      </c>
      <c r="Q795">
        <v>920</v>
      </c>
      <c r="S795" t="s">
        <v>124</v>
      </c>
      <c r="T795" t="s">
        <v>1429</v>
      </c>
      <c r="U795">
        <v>922</v>
      </c>
      <c r="V795" t="s">
        <v>61</v>
      </c>
      <c r="W795">
        <v>13.4</v>
      </c>
      <c r="X795" t="s">
        <v>57</v>
      </c>
      <c r="Z795" t="s">
        <v>124</v>
      </c>
      <c r="AA795" t="s">
        <v>217</v>
      </c>
      <c r="AE795">
        <v>1</v>
      </c>
      <c r="AF795">
        <v>0</v>
      </c>
      <c r="AG795">
        <v>0</v>
      </c>
      <c r="AH795">
        <v>0</v>
      </c>
      <c r="AI795">
        <v>0</v>
      </c>
      <c r="AJ795">
        <v>1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</row>
    <row r="796" spans="1:42" x14ac:dyDescent="0.25">
      <c r="A796">
        <v>922</v>
      </c>
      <c r="B796" t="s">
        <v>1512</v>
      </c>
      <c r="C796" t="s">
        <v>1510</v>
      </c>
      <c r="D796" t="s">
        <v>126</v>
      </c>
      <c r="E796" s="4">
        <v>1</v>
      </c>
      <c r="F796" t="s">
        <v>63</v>
      </c>
      <c r="G796" t="s">
        <v>63</v>
      </c>
      <c r="H796" s="3">
        <v>46192</v>
      </c>
      <c r="I796" s="3">
        <v>46192</v>
      </c>
      <c r="J796" t="s">
        <v>211</v>
      </c>
      <c r="K796" s="3">
        <v>46192</v>
      </c>
      <c r="L796" s="3">
        <v>46192</v>
      </c>
      <c r="M796" s="3">
        <v>46192</v>
      </c>
      <c r="N796" s="3">
        <v>46192</v>
      </c>
      <c r="O796" t="s">
        <v>211</v>
      </c>
      <c r="P796" t="s">
        <v>55</v>
      </c>
      <c r="Q796">
        <v>921</v>
      </c>
      <c r="S796" t="s">
        <v>1433</v>
      </c>
      <c r="T796" t="s">
        <v>1429</v>
      </c>
      <c r="U796">
        <v>923</v>
      </c>
      <c r="V796" t="s">
        <v>61</v>
      </c>
      <c r="W796">
        <v>13.4</v>
      </c>
      <c r="X796" t="s">
        <v>57</v>
      </c>
      <c r="Z796" t="s">
        <v>1433</v>
      </c>
      <c r="AA796" t="s">
        <v>217</v>
      </c>
      <c r="AE796">
        <v>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1</v>
      </c>
      <c r="AM796">
        <v>0</v>
      </c>
      <c r="AN796">
        <v>0</v>
      </c>
      <c r="AO796">
        <v>0</v>
      </c>
      <c r="AP796">
        <v>0</v>
      </c>
    </row>
    <row r="797" spans="1:42" x14ac:dyDescent="0.25">
      <c r="A797">
        <v>923</v>
      </c>
      <c r="B797" t="s">
        <v>1513</v>
      </c>
      <c r="C797" t="s">
        <v>1510</v>
      </c>
      <c r="D797" t="s">
        <v>133</v>
      </c>
      <c r="E797" s="4">
        <v>1</v>
      </c>
      <c r="F797" t="s">
        <v>63</v>
      </c>
      <c r="G797" t="s">
        <v>63</v>
      </c>
      <c r="H797" s="3">
        <v>46192</v>
      </c>
      <c r="I797" s="3">
        <v>46192</v>
      </c>
      <c r="J797" t="s">
        <v>219</v>
      </c>
      <c r="K797" s="3">
        <v>46195</v>
      </c>
      <c r="L797" s="3">
        <v>46195</v>
      </c>
      <c r="M797" s="3">
        <v>46192</v>
      </c>
      <c r="N797" s="3">
        <v>46192</v>
      </c>
      <c r="O797" t="s">
        <v>211</v>
      </c>
      <c r="P797" t="s">
        <v>55</v>
      </c>
      <c r="Q797">
        <v>922</v>
      </c>
      <c r="S797" t="s">
        <v>124</v>
      </c>
      <c r="T797" t="s">
        <v>1429</v>
      </c>
      <c r="V797" t="s">
        <v>61</v>
      </c>
      <c r="W797">
        <v>13.4</v>
      </c>
      <c r="X797" t="s">
        <v>57</v>
      </c>
      <c r="Z797" t="s">
        <v>124</v>
      </c>
      <c r="AA797" t="s">
        <v>131</v>
      </c>
      <c r="AE797">
        <v>1</v>
      </c>
      <c r="AF797">
        <v>0</v>
      </c>
      <c r="AG797">
        <v>0</v>
      </c>
      <c r="AH797">
        <v>0</v>
      </c>
      <c r="AI797">
        <v>1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0</v>
      </c>
      <c r="AP797">
        <v>0</v>
      </c>
    </row>
    <row r="798" spans="1:42" x14ac:dyDescent="0.25">
      <c r="A798">
        <v>924</v>
      </c>
      <c r="B798" t="s">
        <v>1514</v>
      </c>
      <c r="C798" t="s">
        <v>1491</v>
      </c>
      <c r="D798" t="s">
        <v>1515</v>
      </c>
      <c r="E798" s="4">
        <v>1</v>
      </c>
      <c r="F798" t="s">
        <v>138</v>
      </c>
      <c r="G798" t="s">
        <v>138</v>
      </c>
      <c r="H798" s="3">
        <v>46195</v>
      </c>
      <c r="I798" s="3">
        <v>46199</v>
      </c>
      <c r="J798" t="s">
        <v>204</v>
      </c>
      <c r="K798" s="3">
        <v>46195</v>
      </c>
      <c r="L798" s="3">
        <v>46182</v>
      </c>
      <c r="M798" s="3">
        <v>46199</v>
      </c>
      <c r="N798" s="3">
        <v>46199</v>
      </c>
      <c r="O798" t="s">
        <v>219</v>
      </c>
      <c r="P798" t="s">
        <v>55</v>
      </c>
      <c r="T798" t="s">
        <v>1429</v>
      </c>
      <c r="V798" t="s">
        <v>151</v>
      </c>
      <c r="X798" t="s">
        <v>57</v>
      </c>
      <c r="AA798" t="s">
        <v>50</v>
      </c>
      <c r="AB798" t="s">
        <v>94</v>
      </c>
      <c r="AE798">
        <v>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</row>
    <row r="799" spans="1:42" x14ac:dyDescent="0.25">
      <c r="A799">
        <v>925</v>
      </c>
      <c r="B799" t="s">
        <v>1516</v>
      </c>
      <c r="C799" t="s">
        <v>1517</v>
      </c>
      <c r="D799" t="s">
        <v>117</v>
      </c>
      <c r="E799" s="4">
        <v>1</v>
      </c>
      <c r="F799" t="s">
        <v>127</v>
      </c>
      <c r="G799" t="s">
        <v>127</v>
      </c>
      <c r="H799" s="3">
        <v>46195</v>
      </c>
      <c r="I799" s="3">
        <v>46196</v>
      </c>
      <c r="J799" t="s">
        <v>204</v>
      </c>
      <c r="K799" s="3">
        <v>46188</v>
      </c>
      <c r="L799" s="3">
        <v>46182</v>
      </c>
      <c r="M799" s="3">
        <v>46196</v>
      </c>
      <c r="N799" s="3">
        <v>46196</v>
      </c>
      <c r="O799" t="s">
        <v>219</v>
      </c>
      <c r="P799" t="s">
        <v>55</v>
      </c>
      <c r="S799" t="s">
        <v>1444</v>
      </c>
      <c r="T799" t="s">
        <v>1429</v>
      </c>
      <c r="U799" t="s">
        <v>1518</v>
      </c>
      <c r="V799" t="s">
        <v>138</v>
      </c>
      <c r="W799">
        <v>13.4</v>
      </c>
      <c r="X799" t="s">
        <v>57</v>
      </c>
      <c r="Z799" t="s">
        <v>1444</v>
      </c>
      <c r="AA799" t="s">
        <v>462</v>
      </c>
      <c r="AE799">
        <v>1</v>
      </c>
      <c r="AF799">
        <v>1</v>
      </c>
      <c r="AG799">
        <v>1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1</v>
      </c>
    </row>
    <row r="800" spans="1:42" x14ac:dyDescent="0.25">
      <c r="A800">
        <v>926</v>
      </c>
      <c r="B800" t="s">
        <v>1519</v>
      </c>
      <c r="C800" t="s">
        <v>1517</v>
      </c>
      <c r="D800" t="s">
        <v>121</v>
      </c>
      <c r="E800" s="4">
        <v>1</v>
      </c>
      <c r="F800" t="s">
        <v>61</v>
      </c>
      <c r="G800" t="s">
        <v>61</v>
      </c>
      <c r="H800" s="3">
        <v>46197</v>
      </c>
      <c r="I800" s="3">
        <v>46197</v>
      </c>
      <c r="J800" t="s">
        <v>576</v>
      </c>
      <c r="K800" s="3">
        <v>46191</v>
      </c>
      <c r="L800" s="3">
        <v>46189</v>
      </c>
      <c r="M800" s="3">
        <v>46197</v>
      </c>
      <c r="N800" s="3">
        <v>46197</v>
      </c>
      <c r="O800" t="s">
        <v>207</v>
      </c>
      <c r="P800" t="s">
        <v>55</v>
      </c>
      <c r="Q800">
        <v>925</v>
      </c>
      <c r="S800" t="s">
        <v>124</v>
      </c>
      <c r="T800" t="s">
        <v>1429</v>
      </c>
      <c r="U800">
        <v>927</v>
      </c>
      <c r="V800" t="s">
        <v>122</v>
      </c>
      <c r="W800">
        <v>13.4</v>
      </c>
      <c r="X800" t="s">
        <v>57</v>
      </c>
      <c r="Z800" t="s">
        <v>124</v>
      </c>
      <c r="AA800" t="s">
        <v>217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1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</row>
    <row r="801" spans="1:42" x14ac:dyDescent="0.25">
      <c r="A801">
        <v>927</v>
      </c>
      <c r="B801" t="s">
        <v>1520</v>
      </c>
      <c r="C801" t="s">
        <v>1517</v>
      </c>
      <c r="D801" t="s">
        <v>126</v>
      </c>
      <c r="E801" s="4">
        <v>1</v>
      </c>
      <c r="F801" t="s">
        <v>61</v>
      </c>
      <c r="G801" t="s">
        <v>61</v>
      </c>
      <c r="H801" s="3">
        <v>46198</v>
      </c>
      <c r="I801" s="3">
        <v>46198</v>
      </c>
      <c r="J801" t="s">
        <v>211</v>
      </c>
      <c r="K801" s="3">
        <v>46192</v>
      </c>
      <c r="L801" s="3">
        <v>46192</v>
      </c>
      <c r="M801" s="3">
        <v>46198</v>
      </c>
      <c r="N801" s="3">
        <v>46198</v>
      </c>
      <c r="O801" t="s">
        <v>128</v>
      </c>
      <c r="P801" t="s">
        <v>55</v>
      </c>
      <c r="Q801">
        <v>926</v>
      </c>
      <c r="S801" t="s">
        <v>1444</v>
      </c>
      <c r="T801" t="s">
        <v>1429</v>
      </c>
      <c r="U801">
        <v>928</v>
      </c>
      <c r="V801" t="s">
        <v>61</v>
      </c>
      <c r="W801">
        <v>13.4</v>
      </c>
      <c r="X801" t="s">
        <v>57</v>
      </c>
      <c r="Z801" t="s">
        <v>1444</v>
      </c>
      <c r="AA801" t="s">
        <v>217</v>
      </c>
      <c r="AE801">
        <v>1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1</v>
      </c>
      <c r="AM801">
        <v>0</v>
      </c>
      <c r="AN801">
        <v>0</v>
      </c>
      <c r="AO801">
        <v>0</v>
      </c>
      <c r="AP801">
        <v>0</v>
      </c>
    </row>
    <row r="802" spans="1:42" x14ac:dyDescent="0.25">
      <c r="A802">
        <v>928</v>
      </c>
      <c r="B802" t="s">
        <v>1521</v>
      </c>
      <c r="C802" t="s">
        <v>1517</v>
      </c>
      <c r="D802" t="s">
        <v>133</v>
      </c>
      <c r="E802" s="4">
        <v>1</v>
      </c>
      <c r="F802" t="s">
        <v>61</v>
      </c>
      <c r="G802" t="s">
        <v>61</v>
      </c>
      <c r="H802" s="3">
        <v>46199</v>
      </c>
      <c r="I802" s="3">
        <v>46199</v>
      </c>
      <c r="J802" t="s">
        <v>219</v>
      </c>
      <c r="K802" s="3">
        <v>46195</v>
      </c>
      <c r="L802" s="3">
        <v>46195</v>
      </c>
      <c r="M802" s="3">
        <v>46199</v>
      </c>
      <c r="N802" s="3">
        <v>46199</v>
      </c>
      <c r="O802" t="s">
        <v>134</v>
      </c>
      <c r="P802" t="s">
        <v>55</v>
      </c>
      <c r="Q802">
        <v>927</v>
      </c>
      <c r="S802" t="s">
        <v>124</v>
      </c>
      <c r="T802" t="s">
        <v>1429</v>
      </c>
      <c r="V802" t="s">
        <v>61</v>
      </c>
      <c r="W802">
        <v>13.4</v>
      </c>
      <c r="X802" t="s">
        <v>57</v>
      </c>
      <c r="Z802" t="s">
        <v>124</v>
      </c>
      <c r="AA802" t="s">
        <v>131</v>
      </c>
      <c r="AE802">
        <v>1</v>
      </c>
      <c r="AF802">
        <v>0</v>
      </c>
      <c r="AG802">
        <v>0</v>
      </c>
      <c r="AH802">
        <v>0</v>
      </c>
      <c r="AI802">
        <v>1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0</v>
      </c>
      <c r="AP802">
        <v>0</v>
      </c>
    </row>
    <row r="803" spans="1:42" x14ac:dyDescent="0.25">
      <c r="A803">
        <v>929</v>
      </c>
      <c r="B803" t="s">
        <v>1522</v>
      </c>
      <c r="C803" t="s">
        <v>1491</v>
      </c>
      <c r="D803" t="s">
        <v>1523</v>
      </c>
      <c r="E803" s="4">
        <v>1</v>
      </c>
      <c r="F803" t="s">
        <v>138</v>
      </c>
      <c r="G803" t="s">
        <v>138</v>
      </c>
      <c r="H803" s="3">
        <v>46195</v>
      </c>
      <c r="I803" s="3">
        <v>46199</v>
      </c>
      <c r="J803" t="s">
        <v>204</v>
      </c>
      <c r="K803" s="3">
        <v>46195</v>
      </c>
      <c r="L803" s="3">
        <v>46182</v>
      </c>
      <c r="M803" s="3">
        <v>46199</v>
      </c>
      <c r="N803" s="3">
        <v>46199</v>
      </c>
      <c r="O803" t="s">
        <v>219</v>
      </c>
      <c r="P803" t="s">
        <v>55</v>
      </c>
      <c r="T803" t="s">
        <v>1429</v>
      </c>
      <c r="V803" t="s">
        <v>151</v>
      </c>
      <c r="X803" t="s">
        <v>57</v>
      </c>
      <c r="AA803" t="s">
        <v>50</v>
      </c>
      <c r="AB803" t="s">
        <v>94</v>
      </c>
      <c r="AE803">
        <v>1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</row>
    <row r="804" spans="1:42" x14ac:dyDescent="0.25">
      <c r="A804">
        <v>930</v>
      </c>
      <c r="B804" t="s">
        <v>1524</v>
      </c>
      <c r="C804" t="s">
        <v>1525</v>
      </c>
      <c r="D804" t="s">
        <v>117</v>
      </c>
      <c r="E804" s="4">
        <v>1</v>
      </c>
      <c r="F804" t="s">
        <v>127</v>
      </c>
      <c r="G804" t="s">
        <v>127</v>
      </c>
      <c r="H804" s="3">
        <v>46195</v>
      </c>
      <c r="I804" s="3">
        <v>46196</v>
      </c>
      <c r="J804" t="s">
        <v>204</v>
      </c>
      <c r="K804" s="3">
        <v>46188</v>
      </c>
      <c r="L804" s="3">
        <v>46182</v>
      </c>
      <c r="M804" s="3">
        <v>46196</v>
      </c>
      <c r="N804" s="3">
        <v>46196</v>
      </c>
      <c r="O804" t="s">
        <v>219</v>
      </c>
      <c r="P804" t="s">
        <v>55</v>
      </c>
      <c r="Q804" t="s">
        <v>1526</v>
      </c>
      <c r="S804" t="s">
        <v>1444</v>
      </c>
      <c r="T804" t="s">
        <v>1429</v>
      </c>
      <c r="U804">
        <v>931</v>
      </c>
      <c r="V804" t="s">
        <v>138</v>
      </c>
      <c r="W804">
        <v>13.4</v>
      </c>
      <c r="X804" t="s">
        <v>57</v>
      </c>
      <c r="Z804" t="s">
        <v>1444</v>
      </c>
      <c r="AA804" t="s">
        <v>462</v>
      </c>
      <c r="AE804">
        <v>1</v>
      </c>
      <c r="AF804">
        <v>1</v>
      </c>
      <c r="AG804">
        <v>1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1</v>
      </c>
    </row>
    <row r="805" spans="1:42" x14ac:dyDescent="0.25">
      <c r="A805">
        <v>931</v>
      </c>
      <c r="B805" t="s">
        <v>1527</v>
      </c>
      <c r="C805" t="s">
        <v>1525</v>
      </c>
      <c r="D805" t="s">
        <v>121</v>
      </c>
      <c r="E805" s="4">
        <v>1</v>
      </c>
      <c r="F805" t="s">
        <v>61</v>
      </c>
      <c r="G805" t="s">
        <v>61</v>
      </c>
      <c r="H805" s="3">
        <v>46197</v>
      </c>
      <c r="I805" s="3">
        <v>46197</v>
      </c>
      <c r="J805" t="s">
        <v>576</v>
      </c>
      <c r="K805" s="3">
        <v>46191</v>
      </c>
      <c r="L805" s="3">
        <v>46189</v>
      </c>
      <c r="M805" s="3">
        <v>46197</v>
      </c>
      <c r="N805" s="3">
        <v>46197</v>
      </c>
      <c r="O805" t="s">
        <v>207</v>
      </c>
      <c r="P805" t="s">
        <v>55</v>
      </c>
      <c r="Q805">
        <v>930</v>
      </c>
      <c r="S805" t="s">
        <v>124</v>
      </c>
      <c r="T805" t="s">
        <v>1429</v>
      </c>
      <c r="U805">
        <v>932</v>
      </c>
      <c r="V805" t="s">
        <v>122</v>
      </c>
      <c r="W805">
        <v>13.4</v>
      </c>
      <c r="X805" t="s">
        <v>57</v>
      </c>
      <c r="Z805" t="s">
        <v>124</v>
      </c>
      <c r="AA805" t="s">
        <v>217</v>
      </c>
      <c r="AE805">
        <v>1</v>
      </c>
      <c r="AF805">
        <v>0</v>
      </c>
      <c r="AG805">
        <v>0</v>
      </c>
      <c r="AH805">
        <v>0</v>
      </c>
      <c r="AI805">
        <v>0</v>
      </c>
      <c r="AJ805">
        <v>1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</row>
    <row r="806" spans="1:42" x14ac:dyDescent="0.25">
      <c r="A806">
        <v>932</v>
      </c>
      <c r="B806" t="s">
        <v>1528</v>
      </c>
      <c r="C806" t="s">
        <v>1525</v>
      </c>
      <c r="D806" t="s">
        <v>126</v>
      </c>
      <c r="E806" s="4">
        <v>1</v>
      </c>
      <c r="F806" t="s">
        <v>61</v>
      </c>
      <c r="G806" t="s">
        <v>61</v>
      </c>
      <c r="H806" s="3">
        <v>46198</v>
      </c>
      <c r="I806" s="3">
        <v>46198</v>
      </c>
      <c r="J806" t="s">
        <v>211</v>
      </c>
      <c r="K806" s="3">
        <v>46192</v>
      </c>
      <c r="L806" s="3">
        <v>46192</v>
      </c>
      <c r="M806" s="3">
        <v>46198</v>
      </c>
      <c r="N806" s="3">
        <v>46198</v>
      </c>
      <c r="O806" t="s">
        <v>128</v>
      </c>
      <c r="P806" t="s">
        <v>55</v>
      </c>
      <c r="Q806">
        <v>931</v>
      </c>
      <c r="S806" t="s">
        <v>1444</v>
      </c>
      <c r="T806" t="s">
        <v>1429</v>
      </c>
      <c r="U806">
        <v>933</v>
      </c>
      <c r="V806" t="s">
        <v>61</v>
      </c>
      <c r="W806">
        <v>13.4</v>
      </c>
      <c r="X806" t="s">
        <v>57</v>
      </c>
      <c r="Z806" t="s">
        <v>1444</v>
      </c>
      <c r="AA806" t="s">
        <v>217</v>
      </c>
      <c r="AE806">
        <v>1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1</v>
      </c>
      <c r="AM806">
        <v>0</v>
      </c>
      <c r="AN806">
        <v>0</v>
      </c>
      <c r="AO806">
        <v>0</v>
      </c>
      <c r="AP806">
        <v>0</v>
      </c>
    </row>
    <row r="807" spans="1:42" x14ac:dyDescent="0.25">
      <c r="A807">
        <v>933</v>
      </c>
      <c r="B807" t="s">
        <v>1529</v>
      </c>
      <c r="C807" t="s">
        <v>1525</v>
      </c>
      <c r="D807" t="s">
        <v>133</v>
      </c>
      <c r="E807" s="4">
        <v>1</v>
      </c>
      <c r="F807" t="s">
        <v>61</v>
      </c>
      <c r="G807" t="s">
        <v>61</v>
      </c>
      <c r="H807" s="3">
        <v>46199</v>
      </c>
      <c r="I807" s="3">
        <v>46199</v>
      </c>
      <c r="J807" t="s">
        <v>219</v>
      </c>
      <c r="K807" s="3">
        <v>46195</v>
      </c>
      <c r="L807" s="3">
        <v>46195</v>
      </c>
      <c r="M807" s="3">
        <v>46199</v>
      </c>
      <c r="N807" s="3">
        <v>46199</v>
      </c>
      <c r="O807" t="s">
        <v>134</v>
      </c>
      <c r="P807" t="s">
        <v>55</v>
      </c>
      <c r="Q807">
        <v>932</v>
      </c>
      <c r="S807" t="s">
        <v>124</v>
      </c>
      <c r="T807" t="s">
        <v>1429</v>
      </c>
      <c r="V807" t="s">
        <v>61</v>
      </c>
      <c r="W807">
        <v>13.4</v>
      </c>
      <c r="X807" t="s">
        <v>57</v>
      </c>
      <c r="Z807" t="s">
        <v>124</v>
      </c>
      <c r="AA807" t="s">
        <v>131</v>
      </c>
      <c r="AE807">
        <v>1</v>
      </c>
      <c r="AF807">
        <v>0</v>
      </c>
      <c r="AG807">
        <v>0</v>
      </c>
      <c r="AH807">
        <v>0</v>
      </c>
      <c r="AI807">
        <v>1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0</v>
      </c>
      <c r="AP807">
        <v>0</v>
      </c>
    </row>
    <row r="808" spans="1:42" x14ac:dyDescent="0.25">
      <c r="A808">
        <v>934</v>
      </c>
      <c r="B808" t="s">
        <v>1530</v>
      </c>
      <c r="C808" t="s">
        <v>1491</v>
      </c>
      <c r="D808" t="s">
        <v>1531</v>
      </c>
      <c r="E808" s="4">
        <v>1</v>
      </c>
      <c r="F808" t="s">
        <v>138</v>
      </c>
      <c r="G808" t="s">
        <v>138</v>
      </c>
      <c r="H808" s="3">
        <v>46195</v>
      </c>
      <c r="I808" s="3">
        <v>46199</v>
      </c>
      <c r="J808" t="s">
        <v>219</v>
      </c>
      <c r="K808" s="3">
        <v>46199</v>
      </c>
      <c r="L808" s="3">
        <v>46195</v>
      </c>
      <c r="M808" s="3">
        <v>46199</v>
      </c>
      <c r="N808" s="3">
        <v>46199</v>
      </c>
      <c r="O808" t="s">
        <v>219</v>
      </c>
      <c r="P808" t="s">
        <v>55</v>
      </c>
      <c r="T808" t="s">
        <v>1429</v>
      </c>
      <c r="V808" t="s">
        <v>151</v>
      </c>
      <c r="X808" t="s">
        <v>57</v>
      </c>
      <c r="AA808" t="s">
        <v>50</v>
      </c>
      <c r="AB808" t="s">
        <v>94</v>
      </c>
      <c r="AE808">
        <v>1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</row>
    <row r="809" spans="1:42" x14ac:dyDescent="0.25">
      <c r="A809">
        <v>935</v>
      </c>
      <c r="B809" t="s">
        <v>1532</v>
      </c>
      <c r="C809" t="s">
        <v>1533</v>
      </c>
      <c r="D809" t="s">
        <v>117</v>
      </c>
      <c r="E809" s="4">
        <v>1</v>
      </c>
      <c r="F809" t="s">
        <v>127</v>
      </c>
      <c r="G809" t="s">
        <v>127</v>
      </c>
      <c r="H809" s="3">
        <v>46195</v>
      </c>
      <c r="I809" s="3">
        <v>46196</v>
      </c>
      <c r="J809" t="s">
        <v>219</v>
      </c>
      <c r="K809" s="3">
        <v>46196</v>
      </c>
      <c r="L809" s="3">
        <v>46195</v>
      </c>
      <c r="M809" s="3">
        <v>46196</v>
      </c>
      <c r="N809" s="3">
        <v>46196</v>
      </c>
      <c r="O809" t="s">
        <v>219</v>
      </c>
      <c r="P809" t="s">
        <v>55</v>
      </c>
      <c r="S809" t="s">
        <v>1433</v>
      </c>
      <c r="T809" t="s">
        <v>1429</v>
      </c>
      <c r="U809">
        <v>936</v>
      </c>
      <c r="V809" t="s">
        <v>138</v>
      </c>
      <c r="W809">
        <v>13.4</v>
      </c>
      <c r="X809" t="s">
        <v>57</v>
      </c>
      <c r="Z809" t="s">
        <v>1433</v>
      </c>
      <c r="AA809" t="s">
        <v>462</v>
      </c>
      <c r="AE809">
        <v>1</v>
      </c>
      <c r="AF809">
        <v>1</v>
      </c>
      <c r="AG809">
        <v>1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1</v>
      </c>
    </row>
    <row r="810" spans="1:42" x14ac:dyDescent="0.25">
      <c r="A810">
        <v>936</v>
      </c>
      <c r="B810" t="s">
        <v>1534</v>
      </c>
      <c r="C810" t="s">
        <v>1533</v>
      </c>
      <c r="D810" t="s">
        <v>121</v>
      </c>
      <c r="E810" s="4">
        <v>1</v>
      </c>
      <c r="F810" t="s">
        <v>61</v>
      </c>
      <c r="G810" t="s">
        <v>61</v>
      </c>
      <c r="H810" s="3">
        <v>46197</v>
      </c>
      <c r="I810" s="3">
        <v>46197</v>
      </c>
      <c r="J810" t="s">
        <v>207</v>
      </c>
      <c r="K810" s="3">
        <v>46197</v>
      </c>
      <c r="L810" s="3">
        <v>46197</v>
      </c>
      <c r="M810" s="3">
        <v>46197</v>
      </c>
      <c r="N810" s="3">
        <v>46197</v>
      </c>
      <c r="O810" t="s">
        <v>207</v>
      </c>
      <c r="P810" t="s">
        <v>55</v>
      </c>
      <c r="Q810">
        <v>935</v>
      </c>
      <c r="S810" t="s">
        <v>124</v>
      </c>
      <c r="T810" t="s">
        <v>1429</v>
      </c>
      <c r="U810">
        <v>937</v>
      </c>
      <c r="V810" t="s">
        <v>122</v>
      </c>
      <c r="W810">
        <v>13.4</v>
      </c>
      <c r="X810" t="s">
        <v>57</v>
      </c>
      <c r="Z810" t="s">
        <v>124</v>
      </c>
      <c r="AA810" t="s">
        <v>217</v>
      </c>
      <c r="AE810">
        <v>1</v>
      </c>
      <c r="AF810">
        <v>0</v>
      </c>
      <c r="AG810">
        <v>0</v>
      </c>
      <c r="AH810">
        <v>0</v>
      </c>
      <c r="AI810">
        <v>0</v>
      </c>
      <c r="AJ810">
        <v>1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</row>
    <row r="811" spans="1:42" x14ac:dyDescent="0.25">
      <c r="A811">
        <v>937</v>
      </c>
      <c r="B811" t="s">
        <v>1535</v>
      </c>
      <c r="C811" t="s">
        <v>1533</v>
      </c>
      <c r="D811" t="s">
        <v>126</v>
      </c>
      <c r="E811" s="4">
        <v>1</v>
      </c>
      <c r="F811" t="s">
        <v>61</v>
      </c>
      <c r="G811" t="s">
        <v>61</v>
      </c>
      <c r="H811" s="3">
        <v>46198</v>
      </c>
      <c r="I811" s="3">
        <v>46198</v>
      </c>
      <c r="J811" t="s">
        <v>128</v>
      </c>
      <c r="K811" s="3">
        <v>46198</v>
      </c>
      <c r="L811" s="3">
        <v>46198</v>
      </c>
      <c r="M811" s="3">
        <v>46198</v>
      </c>
      <c r="N811" s="3">
        <v>46198</v>
      </c>
      <c r="O811" t="s">
        <v>128</v>
      </c>
      <c r="P811" t="s">
        <v>55</v>
      </c>
      <c r="Q811">
        <v>936</v>
      </c>
      <c r="S811" t="s">
        <v>1433</v>
      </c>
      <c r="T811" t="s">
        <v>1429</v>
      </c>
      <c r="U811">
        <v>938</v>
      </c>
      <c r="V811" t="s">
        <v>61</v>
      </c>
      <c r="W811">
        <v>13.4</v>
      </c>
      <c r="X811" t="s">
        <v>57</v>
      </c>
      <c r="Z811" t="s">
        <v>1433</v>
      </c>
      <c r="AA811" t="s">
        <v>217</v>
      </c>
      <c r="AE811">
        <v>1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1</v>
      </c>
      <c r="AM811">
        <v>0</v>
      </c>
      <c r="AN811">
        <v>0</v>
      </c>
      <c r="AO811">
        <v>0</v>
      </c>
      <c r="AP811">
        <v>0</v>
      </c>
    </row>
    <row r="812" spans="1:42" x14ac:dyDescent="0.25">
      <c r="A812">
        <v>938</v>
      </c>
      <c r="B812" t="s">
        <v>1536</v>
      </c>
      <c r="C812" t="s">
        <v>1533</v>
      </c>
      <c r="D812" t="s">
        <v>133</v>
      </c>
      <c r="E812" s="4">
        <v>1</v>
      </c>
      <c r="F812" t="s">
        <v>61</v>
      </c>
      <c r="G812" t="s">
        <v>61</v>
      </c>
      <c r="H812" s="3">
        <v>46199</v>
      </c>
      <c r="I812" s="3">
        <v>46199</v>
      </c>
      <c r="J812" t="s">
        <v>134</v>
      </c>
      <c r="K812" s="3">
        <v>46199</v>
      </c>
      <c r="L812" s="3">
        <v>46199</v>
      </c>
      <c r="M812" s="3">
        <v>46199</v>
      </c>
      <c r="N812" s="3">
        <v>46199</v>
      </c>
      <c r="O812" t="s">
        <v>134</v>
      </c>
      <c r="P812" t="s">
        <v>55</v>
      </c>
      <c r="Q812">
        <v>937</v>
      </c>
      <c r="S812" t="s">
        <v>124</v>
      </c>
      <c r="T812" t="s">
        <v>1429</v>
      </c>
      <c r="V812" t="s">
        <v>61</v>
      </c>
      <c r="W812">
        <v>13.4</v>
      </c>
      <c r="X812" t="s">
        <v>57</v>
      </c>
      <c r="Z812" t="s">
        <v>124</v>
      </c>
      <c r="AA812" t="s">
        <v>131</v>
      </c>
      <c r="AE812">
        <v>1</v>
      </c>
      <c r="AF812">
        <v>0</v>
      </c>
      <c r="AG812">
        <v>0</v>
      </c>
      <c r="AH812">
        <v>0</v>
      </c>
      <c r="AI812">
        <v>1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0</v>
      </c>
      <c r="AP812">
        <v>0</v>
      </c>
    </row>
    <row r="813" spans="1:42" x14ac:dyDescent="0.25">
      <c r="A813">
        <v>939</v>
      </c>
      <c r="B813" t="s">
        <v>1537</v>
      </c>
      <c r="C813" t="s">
        <v>1491</v>
      </c>
      <c r="D813" t="s">
        <v>1538</v>
      </c>
      <c r="E813" s="4">
        <v>1</v>
      </c>
      <c r="F813" t="s">
        <v>138</v>
      </c>
      <c r="G813" t="s">
        <v>138</v>
      </c>
      <c r="H813" s="3">
        <v>46195</v>
      </c>
      <c r="I813" s="3">
        <v>46199</v>
      </c>
      <c r="J813" t="s">
        <v>204</v>
      </c>
      <c r="K813" s="3">
        <v>46195</v>
      </c>
      <c r="L813" s="3">
        <v>46182</v>
      </c>
      <c r="M813" s="3">
        <v>46199</v>
      </c>
      <c r="N813" s="3">
        <v>46199</v>
      </c>
      <c r="O813" t="s">
        <v>219</v>
      </c>
      <c r="P813" t="s">
        <v>55</v>
      </c>
      <c r="T813" t="s">
        <v>1429</v>
      </c>
      <c r="V813" t="s">
        <v>151</v>
      </c>
      <c r="X813" t="s">
        <v>57</v>
      </c>
      <c r="AA813" t="s">
        <v>50</v>
      </c>
      <c r="AB813" t="s">
        <v>94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</row>
    <row r="814" spans="1:42" x14ac:dyDescent="0.25">
      <c r="A814">
        <v>940</v>
      </c>
      <c r="B814" t="s">
        <v>1539</v>
      </c>
      <c r="C814" t="s">
        <v>1540</v>
      </c>
      <c r="D814" t="s">
        <v>117</v>
      </c>
      <c r="E814" s="4">
        <v>1</v>
      </c>
      <c r="F814" t="s">
        <v>127</v>
      </c>
      <c r="G814" t="s">
        <v>127</v>
      </c>
      <c r="H814" s="3">
        <v>46195</v>
      </c>
      <c r="I814" s="3">
        <v>46196</v>
      </c>
      <c r="J814" t="s">
        <v>204</v>
      </c>
      <c r="K814" s="3">
        <v>46188</v>
      </c>
      <c r="L814" s="3">
        <v>46182</v>
      </c>
      <c r="M814" s="3">
        <v>46196</v>
      </c>
      <c r="N814" s="3">
        <v>46196</v>
      </c>
      <c r="O814" t="s">
        <v>219</v>
      </c>
      <c r="P814" t="s">
        <v>55</v>
      </c>
      <c r="Q814" t="s">
        <v>1526</v>
      </c>
      <c r="S814" t="s">
        <v>1444</v>
      </c>
      <c r="T814" t="s">
        <v>1429</v>
      </c>
      <c r="U814">
        <v>941</v>
      </c>
      <c r="V814" t="s">
        <v>138</v>
      </c>
      <c r="W814">
        <v>13.4</v>
      </c>
      <c r="X814" t="s">
        <v>57</v>
      </c>
      <c r="Z814" t="s">
        <v>1444</v>
      </c>
      <c r="AA814" t="s">
        <v>462</v>
      </c>
      <c r="AE814">
        <v>1</v>
      </c>
      <c r="AF814">
        <v>1</v>
      </c>
      <c r="AG814">
        <v>1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1</v>
      </c>
    </row>
    <row r="815" spans="1:42" x14ac:dyDescent="0.25">
      <c r="A815">
        <v>941</v>
      </c>
      <c r="B815" t="s">
        <v>1541</v>
      </c>
      <c r="C815" t="s">
        <v>1540</v>
      </c>
      <c r="D815" t="s">
        <v>121</v>
      </c>
      <c r="E815" s="4">
        <v>1</v>
      </c>
      <c r="F815" t="s">
        <v>61</v>
      </c>
      <c r="G815" t="s">
        <v>61</v>
      </c>
      <c r="H815" s="3">
        <v>46197</v>
      </c>
      <c r="I815" s="3">
        <v>46197</v>
      </c>
      <c r="J815" t="s">
        <v>576</v>
      </c>
      <c r="K815" s="3">
        <v>46191</v>
      </c>
      <c r="L815" s="3">
        <v>46189</v>
      </c>
      <c r="M815" s="3">
        <v>46197</v>
      </c>
      <c r="N815" s="3">
        <v>46197</v>
      </c>
      <c r="O815" t="s">
        <v>207</v>
      </c>
      <c r="P815" t="s">
        <v>55</v>
      </c>
      <c r="Q815">
        <v>940</v>
      </c>
      <c r="S815" t="s">
        <v>124</v>
      </c>
      <c r="T815" t="s">
        <v>1429</v>
      </c>
      <c r="U815">
        <v>942</v>
      </c>
      <c r="V815" t="s">
        <v>122</v>
      </c>
      <c r="W815">
        <v>13.4</v>
      </c>
      <c r="X815" t="s">
        <v>57</v>
      </c>
      <c r="Z815" t="s">
        <v>124</v>
      </c>
      <c r="AA815" t="s">
        <v>217</v>
      </c>
      <c r="AE815">
        <v>1</v>
      </c>
      <c r="AF815">
        <v>0</v>
      </c>
      <c r="AG815">
        <v>0</v>
      </c>
      <c r="AH815">
        <v>0</v>
      </c>
      <c r="AI815">
        <v>0</v>
      </c>
      <c r="AJ815">
        <v>1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</row>
    <row r="816" spans="1:42" x14ac:dyDescent="0.25">
      <c r="A816">
        <v>942</v>
      </c>
      <c r="B816" t="s">
        <v>1542</v>
      </c>
      <c r="C816" t="s">
        <v>1540</v>
      </c>
      <c r="D816" t="s">
        <v>126</v>
      </c>
      <c r="E816" s="4">
        <v>1</v>
      </c>
      <c r="F816" t="s">
        <v>61</v>
      </c>
      <c r="G816" t="s">
        <v>61</v>
      </c>
      <c r="H816" s="3">
        <v>46198</v>
      </c>
      <c r="I816" s="3">
        <v>46198</v>
      </c>
      <c r="J816" t="s">
        <v>211</v>
      </c>
      <c r="K816" s="3">
        <v>46192</v>
      </c>
      <c r="L816" s="3">
        <v>46192</v>
      </c>
      <c r="M816" s="3">
        <v>46198</v>
      </c>
      <c r="N816" s="3">
        <v>46198</v>
      </c>
      <c r="O816" t="s">
        <v>128</v>
      </c>
      <c r="P816" t="s">
        <v>55</v>
      </c>
      <c r="Q816">
        <v>941</v>
      </c>
      <c r="S816" t="s">
        <v>1444</v>
      </c>
      <c r="T816" t="s">
        <v>1429</v>
      </c>
      <c r="U816">
        <v>943</v>
      </c>
      <c r="V816" t="s">
        <v>61</v>
      </c>
      <c r="W816">
        <v>13.4</v>
      </c>
      <c r="X816" t="s">
        <v>57</v>
      </c>
      <c r="Z816" t="s">
        <v>1444</v>
      </c>
      <c r="AA816" t="s">
        <v>217</v>
      </c>
      <c r="AE816">
        <v>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1</v>
      </c>
      <c r="AM816">
        <v>0</v>
      </c>
      <c r="AN816">
        <v>0</v>
      </c>
      <c r="AO816">
        <v>0</v>
      </c>
      <c r="AP816">
        <v>0</v>
      </c>
    </row>
    <row r="817" spans="1:42" x14ac:dyDescent="0.25">
      <c r="A817">
        <v>943</v>
      </c>
      <c r="B817" t="s">
        <v>1543</v>
      </c>
      <c r="C817" t="s">
        <v>1540</v>
      </c>
      <c r="D817" t="s">
        <v>133</v>
      </c>
      <c r="E817" s="4">
        <v>1</v>
      </c>
      <c r="F817" t="s">
        <v>61</v>
      </c>
      <c r="G817" t="s">
        <v>61</v>
      </c>
      <c r="H817" s="3">
        <v>46199</v>
      </c>
      <c r="I817" s="3">
        <v>46199</v>
      </c>
      <c r="J817" t="s">
        <v>219</v>
      </c>
      <c r="K817" s="3">
        <v>46195</v>
      </c>
      <c r="L817" s="3">
        <v>46195</v>
      </c>
      <c r="M817" s="3">
        <v>46199</v>
      </c>
      <c r="N817" s="3">
        <v>46199</v>
      </c>
      <c r="O817" t="s">
        <v>134</v>
      </c>
      <c r="P817" t="s">
        <v>55</v>
      </c>
      <c r="Q817">
        <v>942</v>
      </c>
      <c r="S817" t="s">
        <v>124</v>
      </c>
      <c r="T817" t="s">
        <v>1429</v>
      </c>
      <c r="V817" t="s">
        <v>61</v>
      </c>
      <c r="W817">
        <v>13.4</v>
      </c>
      <c r="X817" t="s">
        <v>57</v>
      </c>
      <c r="Z817" t="s">
        <v>124</v>
      </c>
      <c r="AA817" t="s">
        <v>131</v>
      </c>
      <c r="AE817">
        <v>1</v>
      </c>
      <c r="AF817">
        <v>0</v>
      </c>
      <c r="AG817">
        <v>0</v>
      </c>
      <c r="AH817">
        <v>0</v>
      </c>
      <c r="AI817">
        <v>1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0</v>
      </c>
      <c r="AP817">
        <v>0</v>
      </c>
    </row>
    <row r="818" spans="1:42" x14ac:dyDescent="0.25">
      <c r="A818">
        <v>944</v>
      </c>
      <c r="B818" t="s">
        <v>1544</v>
      </c>
      <c r="C818" t="s">
        <v>1491</v>
      </c>
      <c r="D818" t="s">
        <v>1545</v>
      </c>
      <c r="E818" s="4">
        <v>1</v>
      </c>
      <c r="F818" t="s">
        <v>138</v>
      </c>
      <c r="G818" t="s">
        <v>138</v>
      </c>
      <c r="H818" s="3">
        <v>46195</v>
      </c>
      <c r="I818" s="3">
        <v>46199</v>
      </c>
      <c r="J818" t="s">
        <v>204</v>
      </c>
      <c r="K818" s="3">
        <v>46195</v>
      </c>
      <c r="L818" s="3">
        <v>46182</v>
      </c>
      <c r="M818" s="3">
        <v>46199</v>
      </c>
      <c r="N818" s="3">
        <v>46199</v>
      </c>
      <c r="O818" t="s">
        <v>219</v>
      </c>
      <c r="P818" t="s">
        <v>55</v>
      </c>
      <c r="T818" t="s">
        <v>1429</v>
      </c>
      <c r="V818" t="s">
        <v>151</v>
      </c>
      <c r="X818" t="s">
        <v>57</v>
      </c>
      <c r="AA818" t="s">
        <v>50</v>
      </c>
      <c r="AB818" t="s">
        <v>94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</row>
    <row r="819" spans="1:42" x14ac:dyDescent="0.25">
      <c r="A819">
        <v>945</v>
      </c>
      <c r="B819" t="s">
        <v>1546</v>
      </c>
      <c r="C819" t="s">
        <v>1547</v>
      </c>
      <c r="D819" t="s">
        <v>117</v>
      </c>
      <c r="E819" s="4">
        <v>1</v>
      </c>
      <c r="F819" t="s">
        <v>127</v>
      </c>
      <c r="G819" t="s">
        <v>127</v>
      </c>
      <c r="H819" s="3">
        <v>46195</v>
      </c>
      <c r="I819" s="3">
        <v>46196</v>
      </c>
      <c r="J819" t="s">
        <v>204</v>
      </c>
      <c r="K819" s="3">
        <v>46188</v>
      </c>
      <c r="L819" s="3">
        <v>46182</v>
      </c>
      <c r="M819" s="3">
        <v>46196</v>
      </c>
      <c r="N819" s="3">
        <v>46196</v>
      </c>
      <c r="O819" t="s">
        <v>219</v>
      </c>
      <c r="P819" t="s">
        <v>55</v>
      </c>
      <c r="Q819" t="s">
        <v>1526</v>
      </c>
      <c r="S819" t="s">
        <v>1444</v>
      </c>
      <c r="T819" t="s">
        <v>1429</v>
      </c>
      <c r="U819">
        <v>946</v>
      </c>
      <c r="V819" t="s">
        <v>138</v>
      </c>
      <c r="W819">
        <v>13.4</v>
      </c>
      <c r="X819" t="s">
        <v>57</v>
      </c>
      <c r="Z819" t="s">
        <v>1444</v>
      </c>
      <c r="AA819" t="s">
        <v>462</v>
      </c>
      <c r="AE819">
        <v>1</v>
      </c>
      <c r="AF819">
        <v>1</v>
      </c>
      <c r="AG819">
        <v>1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1</v>
      </c>
    </row>
    <row r="820" spans="1:42" x14ac:dyDescent="0.25">
      <c r="A820">
        <v>946</v>
      </c>
      <c r="B820" t="s">
        <v>1548</v>
      </c>
      <c r="C820" t="s">
        <v>1547</v>
      </c>
      <c r="D820" t="s">
        <v>121</v>
      </c>
      <c r="E820" s="4">
        <v>1</v>
      </c>
      <c r="F820" t="s">
        <v>61</v>
      </c>
      <c r="G820" t="s">
        <v>61</v>
      </c>
      <c r="H820" s="3">
        <v>46197</v>
      </c>
      <c r="I820" s="3">
        <v>46197</v>
      </c>
      <c r="J820" t="s">
        <v>576</v>
      </c>
      <c r="K820" s="3">
        <v>46191</v>
      </c>
      <c r="L820" s="3">
        <v>46189</v>
      </c>
      <c r="M820" s="3">
        <v>46197</v>
      </c>
      <c r="N820" s="3">
        <v>46197</v>
      </c>
      <c r="O820" t="s">
        <v>207</v>
      </c>
      <c r="P820" t="s">
        <v>55</v>
      </c>
      <c r="Q820">
        <v>945</v>
      </c>
      <c r="S820" t="s">
        <v>124</v>
      </c>
      <c r="T820" t="s">
        <v>1429</v>
      </c>
      <c r="U820">
        <v>947</v>
      </c>
      <c r="V820" t="s">
        <v>122</v>
      </c>
      <c r="W820">
        <v>13.4</v>
      </c>
      <c r="X820" t="s">
        <v>57</v>
      </c>
      <c r="Z820" t="s">
        <v>124</v>
      </c>
      <c r="AA820" t="s">
        <v>217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v>1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</row>
    <row r="821" spans="1:42" x14ac:dyDescent="0.25">
      <c r="A821">
        <v>947</v>
      </c>
      <c r="B821" t="s">
        <v>1549</v>
      </c>
      <c r="C821" t="s">
        <v>1547</v>
      </c>
      <c r="D821" t="s">
        <v>126</v>
      </c>
      <c r="E821" s="4">
        <v>1</v>
      </c>
      <c r="F821" t="s">
        <v>61</v>
      </c>
      <c r="G821" t="s">
        <v>61</v>
      </c>
      <c r="H821" s="3">
        <v>46198</v>
      </c>
      <c r="I821" s="3">
        <v>46198</v>
      </c>
      <c r="J821" t="s">
        <v>211</v>
      </c>
      <c r="K821" s="3">
        <v>46192</v>
      </c>
      <c r="L821" s="3">
        <v>46192</v>
      </c>
      <c r="M821" s="3">
        <v>46198</v>
      </c>
      <c r="N821" s="3">
        <v>46198</v>
      </c>
      <c r="O821" t="s">
        <v>128</v>
      </c>
      <c r="P821" t="s">
        <v>55</v>
      </c>
      <c r="Q821">
        <v>946</v>
      </c>
      <c r="S821" t="s">
        <v>1444</v>
      </c>
      <c r="T821" t="s">
        <v>1429</v>
      </c>
      <c r="U821">
        <v>948</v>
      </c>
      <c r="V821" t="s">
        <v>61</v>
      </c>
      <c r="W821">
        <v>13.4</v>
      </c>
      <c r="X821" t="s">
        <v>57</v>
      </c>
      <c r="Z821" t="s">
        <v>1444</v>
      </c>
      <c r="AA821" t="s">
        <v>217</v>
      </c>
      <c r="AE821">
        <v>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1</v>
      </c>
      <c r="AM821">
        <v>0</v>
      </c>
      <c r="AN821">
        <v>0</v>
      </c>
      <c r="AO821">
        <v>0</v>
      </c>
      <c r="AP821">
        <v>0</v>
      </c>
    </row>
    <row r="822" spans="1:42" x14ac:dyDescent="0.25">
      <c r="A822">
        <v>948</v>
      </c>
      <c r="B822" t="s">
        <v>1550</v>
      </c>
      <c r="C822" t="s">
        <v>1547</v>
      </c>
      <c r="D822" t="s">
        <v>133</v>
      </c>
      <c r="E822" s="4">
        <v>1</v>
      </c>
      <c r="F822" t="s">
        <v>61</v>
      </c>
      <c r="G822" t="s">
        <v>61</v>
      </c>
      <c r="H822" s="3">
        <v>46199</v>
      </c>
      <c r="I822" s="3">
        <v>46199</v>
      </c>
      <c r="J822" t="s">
        <v>219</v>
      </c>
      <c r="K822" s="3">
        <v>46195</v>
      </c>
      <c r="L822" s="3">
        <v>46195</v>
      </c>
      <c r="M822" s="3">
        <v>46199</v>
      </c>
      <c r="N822" s="3">
        <v>46199</v>
      </c>
      <c r="O822" t="s">
        <v>134</v>
      </c>
      <c r="P822" t="s">
        <v>55</v>
      </c>
      <c r="Q822">
        <v>947</v>
      </c>
      <c r="S822" t="s">
        <v>124</v>
      </c>
      <c r="T822" t="s">
        <v>1429</v>
      </c>
      <c r="V822" t="s">
        <v>61</v>
      </c>
      <c r="W822">
        <v>13.4</v>
      </c>
      <c r="X822" t="s">
        <v>57</v>
      </c>
      <c r="Z822" t="s">
        <v>124</v>
      </c>
      <c r="AA822" t="s">
        <v>131</v>
      </c>
      <c r="AE822">
        <v>1</v>
      </c>
      <c r="AF822">
        <v>0</v>
      </c>
      <c r="AG822">
        <v>0</v>
      </c>
      <c r="AH822">
        <v>0</v>
      </c>
      <c r="AI822">
        <v>1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0</v>
      </c>
      <c r="AP822">
        <v>0</v>
      </c>
    </row>
    <row r="823" spans="1:42" x14ac:dyDescent="0.25">
      <c r="A823">
        <v>949</v>
      </c>
      <c r="B823" t="s">
        <v>1551</v>
      </c>
      <c r="C823" t="s">
        <v>1491</v>
      </c>
      <c r="D823" t="s">
        <v>1552</v>
      </c>
      <c r="E823" s="4">
        <v>1</v>
      </c>
      <c r="F823" t="s">
        <v>138</v>
      </c>
      <c r="G823" t="s">
        <v>138</v>
      </c>
      <c r="H823" s="3">
        <v>46195</v>
      </c>
      <c r="I823" s="3">
        <v>46199</v>
      </c>
      <c r="J823" t="s">
        <v>219</v>
      </c>
      <c r="K823" s="3">
        <v>46199</v>
      </c>
      <c r="L823" s="3">
        <v>46195</v>
      </c>
      <c r="M823" s="3">
        <v>46199</v>
      </c>
      <c r="N823" s="3">
        <v>46199</v>
      </c>
      <c r="O823" t="s">
        <v>219</v>
      </c>
      <c r="P823" t="s">
        <v>55</v>
      </c>
      <c r="T823" t="s">
        <v>1429</v>
      </c>
      <c r="V823" t="s">
        <v>151</v>
      </c>
      <c r="X823" t="s">
        <v>57</v>
      </c>
      <c r="AA823" t="s">
        <v>50</v>
      </c>
      <c r="AB823" t="s">
        <v>94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</row>
    <row r="824" spans="1:42" x14ac:dyDescent="0.25">
      <c r="A824">
        <v>950</v>
      </c>
      <c r="B824" t="s">
        <v>1553</v>
      </c>
      <c r="C824" t="s">
        <v>1554</v>
      </c>
      <c r="D824" t="s">
        <v>117</v>
      </c>
      <c r="E824" s="4">
        <v>1</v>
      </c>
      <c r="F824" t="s">
        <v>127</v>
      </c>
      <c r="G824" t="s">
        <v>127</v>
      </c>
      <c r="H824" s="3">
        <v>46195</v>
      </c>
      <c r="I824" s="3">
        <v>46196</v>
      </c>
      <c r="J824" t="s">
        <v>219</v>
      </c>
      <c r="K824" s="3">
        <v>46196</v>
      </c>
      <c r="L824" s="3">
        <v>46195</v>
      </c>
      <c r="M824" s="3">
        <v>46196</v>
      </c>
      <c r="N824" s="3">
        <v>46196</v>
      </c>
      <c r="O824" t="s">
        <v>219</v>
      </c>
      <c r="P824" t="s">
        <v>55</v>
      </c>
      <c r="Q824" t="s">
        <v>1526</v>
      </c>
      <c r="S824" t="s">
        <v>1444</v>
      </c>
      <c r="T824" t="s">
        <v>1429</v>
      </c>
      <c r="U824">
        <v>951</v>
      </c>
      <c r="V824" t="s">
        <v>138</v>
      </c>
      <c r="W824">
        <v>13.4</v>
      </c>
      <c r="X824" t="s">
        <v>57</v>
      </c>
      <c r="Z824" t="s">
        <v>1444</v>
      </c>
      <c r="AA824" t="s">
        <v>462</v>
      </c>
      <c r="AE824">
        <v>1</v>
      </c>
      <c r="AF824">
        <v>1</v>
      </c>
      <c r="AG824">
        <v>1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1</v>
      </c>
    </row>
    <row r="825" spans="1:42" x14ac:dyDescent="0.25">
      <c r="A825">
        <v>951</v>
      </c>
      <c r="B825" t="s">
        <v>1555</v>
      </c>
      <c r="C825" t="s">
        <v>1554</v>
      </c>
      <c r="D825" t="s">
        <v>121</v>
      </c>
      <c r="E825" s="4">
        <v>1</v>
      </c>
      <c r="F825" t="s">
        <v>61</v>
      </c>
      <c r="G825" t="s">
        <v>61</v>
      </c>
      <c r="H825" s="3">
        <v>46197</v>
      </c>
      <c r="I825" s="3">
        <v>46197</v>
      </c>
      <c r="J825" t="s">
        <v>207</v>
      </c>
      <c r="K825" s="3">
        <v>46197</v>
      </c>
      <c r="L825" s="3">
        <v>46197</v>
      </c>
      <c r="M825" s="3">
        <v>46197</v>
      </c>
      <c r="N825" s="3">
        <v>46197</v>
      </c>
      <c r="O825" t="s">
        <v>207</v>
      </c>
      <c r="P825" t="s">
        <v>55</v>
      </c>
      <c r="Q825">
        <v>950</v>
      </c>
      <c r="S825" t="s">
        <v>124</v>
      </c>
      <c r="T825" t="s">
        <v>1429</v>
      </c>
      <c r="U825">
        <v>952</v>
      </c>
      <c r="V825" t="s">
        <v>122</v>
      </c>
      <c r="W825">
        <v>13.4</v>
      </c>
      <c r="X825" t="s">
        <v>57</v>
      </c>
      <c r="Z825" t="s">
        <v>124</v>
      </c>
      <c r="AA825" t="s">
        <v>217</v>
      </c>
      <c r="AE825">
        <v>1</v>
      </c>
      <c r="AF825">
        <v>0</v>
      </c>
      <c r="AG825">
        <v>0</v>
      </c>
      <c r="AH825">
        <v>0</v>
      </c>
      <c r="AI825">
        <v>0</v>
      </c>
      <c r="AJ825">
        <v>1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</row>
    <row r="826" spans="1:42" x14ac:dyDescent="0.25">
      <c r="A826">
        <v>952</v>
      </c>
      <c r="B826" t="s">
        <v>1556</v>
      </c>
      <c r="C826" t="s">
        <v>1554</v>
      </c>
      <c r="D826" t="s">
        <v>126</v>
      </c>
      <c r="E826" s="4">
        <v>1</v>
      </c>
      <c r="F826" t="s">
        <v>61</v>
      </c>
      <c r="G826" t="s">
        <v>61</v>
      </c>
      <c r="H826" s="3">
        <v>46198</v>
      </c>
      <c r="I826" s="3">
        <v>46198</v>
      </c>
      <c r="J826" t="s">
        <v>128</v>
      </c>
      <c r="K826" s="3">
        <v>46198</v>
      </c>
      <c r="L826" s="3">
        <v>46198</v>
      </c>
      <c r="M826" s="3">
        <v>46198</v>
      </c>
      <c r="N826" s="3">
        <v>46198</v>
      </c>
      <c r="O826" t="s">
        <v>128</v>
      </c>
      <c r="P826" t="s">
        <v>55</v>
      </c>
      <c r="Q826">
        <v>951</v>
      </c>
      <c r="S826" t="s">
        <v>1444</v>
      </c>
      <c r="T826" t="s">
        <v>1429</v>
      </c>
      <c r="U826">
        <v>953</v>
      </c>
      <c r="V826" t="s">
        <v>61</v>
      </c>
      <c r="W826">
        <v>13.4</v>
      </c>
      <c r="X826" t="s">
        <v>57</v>
      </c>
      <c r="Z826" t="s">
        <v>1444</v>
      </c>
      <c r="AA826" t="s">
        <v>217</v>
      </c>
      <c r="AE826">
        <v>1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1</v>
      </c>
      <c r="AM826">
        <v>0</v>
      </c>
      <c r="AN826">
        <v>0</v>
      </c>
      <c r="AO826">
        <v>0</v>
      </c>
      <c r="AP826">
        <v>0</v>
      </c>
    </row>
    <row r="827" spans="1:42" x14ac:dyDescent="0.25">
      <c r="A827">
        <v>953</v>
      </c>
      <c r="B827" t="s">
        <v>1557</v>
      </c>
      <c r="C827" t="s">
        <v>1554</v>
      </c>
      <c r="D827" t="s">
        <v>133</v>
      </c>
      <c r="E827" s="4">
        <v>1</v>
      </c>
      <c r="F827" t="s">
        <v>61</v>
      </c>
      <c r="G827" t="s">
        <v>61</v>
      </c>
      <c r="H827" s="3">
        <v>46199</v>
      </c>
      <c r="I827" s="3">
        <v>46199</v>
      </c>
      <c r="J827" t="s">
        <v>134</v>
      </c>
      <c r="K827" s="3">
        <v>46199</v>
      </c>
      <c r="L827" s="3">
        <v>46199</v>
      </c>
      <c r="M827" s="3">
        <v>46199</v>
      </c>
      <c r="N827" s="3">
        <v>46199</v>
      </c>
      <c r="O827" t="s">
        <v>134</v>
      </c>
      <c r="P827" t="s">
        <v>55</v>
      </c>
      <c r="Q827">
        <v>952</v>
      </c>
      <c r="S827" t="s">
        <v>124</v>
      </c>
      <c r="T827" t="s">
        <v>1429</v>
      </c>
      <c r="V827" t="s">
        <v>61</v>
      </c>
      <c r="W827">
        <v>13.4</v>
      </c>
      <c r="X827" t="s">
        <v>57</v>
      </c>
      <c r="Z827" t="s">
        <v>124</v>
      </c>
      <c r="AA827" t="s">
        <v>131</v>
      </c>
      <c r="AE827">
        <v>1</v>
      </c>
      <c r="AF827">
        <v>0</v>
      </c>
      <c r="AG827">
        <v>0</v>
      </c>
      <c r="AH827">
        <v>0</v>
      </c>
      <c r="AI827">
        <v>1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0</v>
      </c>
      <c r="AP827">
        <v>0</v>
      </c>
    </row>
    <row r="828" spans="1:42" x14ac:dyDescent="0.25">
      <c r="A828">
        <v>954</v>
      </c>
      <c r="B828" t="s">
        <v>1558</v>
      </c>
      <c r="C828" t="s">
        <v>1491</v>
      </c>
      <c r="D828" t="s">
        <v>1559</v>
      </c>
      <c r="E828" s="4">
        <v>1</v>
      </c>
      <c r="F828" t="s">
        <v>138</v>
      </c>
      <c r="G828" t="s">
        <v>138</v>
      </c>
      <c r="H828" s="3">
        <v>46195</v>
      </c>
      <c r="I828" s="3">
        <v>46199</v>
      </c>
      <c r="J828" t="s">
        <v>219</v>
      </c>
      <c r="K828" s="3">
        <v>46199</v>
      </c>
      <c r="L828" s="3">
        <v>46195</v>
      </c>
      <c r="M828" s="3">
        <v>46199</v>
      </c>
      <c r="N828" s="3">
        <v>46199</v>
      </c>
      <c r="O828" t="s">
        <v>219</v>
      </c>
      <c r="P828" t="s">
        <v>55</v>
      </c>
      <c r="T828" t="s">
        <v>1429</v>
      </c>
      <c r="V828" t="s">
        <v>151</v>
      </c>
      <c r="X828" t="s">
        <v>57</v>
      </c>
      <c r="AA828" t="s">
        <v>50</v>
      </c>
      <c r="AB828" t="s">
        <v>94</v>
      </c>
      <c r="AE828">
        <v>1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</row>
    <row r="829" spans="1:42" x14ac:dyDescent="0.25">
      <c r="A829">
        <v>955</v>
      </c>
      <c r="B829" t="s">
        <v>1560</v>
      </c>
      <c r="C829" t="s">
        <v>1561</v>
      </c>
      <c r="D829" t="s">
        <v>117</v>
      </c>
      <c r="E829" s="4">
        <v>1</v>
      </c>
      <c r="F829" t="s">
        <v>127</v>
      </c>
      <c r="G829" t="s">
        <v>127</v>
      </c>
      <c r="H829" s="3">
        <v>46195</v>
      </c>
      <c r="I829" s="3">
        <v>46196</v>
      </c>
      <c r="J829" t="s">
        <v>219</v>
      </c>
      <c r="K829" s="3">
        <v>46196</v>
      </c>
      <c r="L829" s="3">
        <v>46195</v>
      </c>
      <c r="M829" s="3">
        <v>46196</v>
      </c>
      <c r="N829" s="3">
        <v>46196</v>
      </c>
      <c r="O829" t="s">
        <v>219</v>
      </c>
      <c r="P829" t="s">
        <v>55</v>
      </c>
      <c r="S829" t="s">
        <v>1444</v>
      </c>
      <c r="T829" t="s">
        <v>1429</v>
      </c>
      <c r="U829">
        <v>956</v>
      </c>
      <c r="V829" t="s">
        <v>138</v>
      </c>
      <c r="W829">
        <v>13.4</v>
      </c>
      <c r="X829" t="s">
        <v>57</v>
      </c>
      <c r="Z829" t="s">
        <v>1444</v>
      </c>
      <c r="AA829" t="s">
        <v>462</v>
      </c>
      <c r="AE829">
        <v>1</v>
      </c>
      <c r="AF829">
        <v>1</v>
      </c>
      <c r="AG829">
        <v>1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1</v>
      </c>
    </row>
    <row r="830" spans="1:42" x14ac:dyDescent="0.25">
      <c r="A830">
        <v>956</v>
      </c>
      <c r="B830" t="s">
        <v>1562</v>
      </c>
      <c r="C830" t="s">
        <v>1561</v>
      </c>
      <c r="D830" t="s">
        <v>121</v>
      </c>
      <c r="E830" s="4">
        <v>1</v>
      </c>
      <c r="F830" t="s">
        <v>61</v>
      </c>
      <c r="G830" t="s">
        <v>61</v>
      </c>
      <c r="H830" s="3">
        <v>46197</v>
      </c>
      <c r="I830" s="3">
        <v>46197</v>
      </c>
      <c r="J830" t="s">
        <v>207</v>
      </c>
      <c r="K830" s="3">
        <v>46197</v>
      </c>
      <c r="L830" s="3">
        <v>46197</v>
      </c>
      <c r="M830" s="3">
        <v>46197</v>
      </c>
      <c r="N830" s="3">
        <v>46197</v>
      </c>
      <c r="O830" t="s">
        <v>207</v>
      </c>
      <c r="P830" t="s">
        <v>55</v>
      </c>
      <c r="Q830">
        <v>955</v>
      </c>
      <c r="S830" t="s">
        <v>124</v>
      </c>
      <c r="T830" t="s">
        <v>1429</v>
      </c>
      <c r="U830">
        <v>957</v>
      </c>
      <c r="V830" t="s">
        <v>122</v>
      </c>
      <c r="W830">
        <v>13.4</v>
      </c>
      <c r="X830" t="s">
        <v>57</v>
      </c>
      <c r="Z830" t="s">
        <v>124</v>
      </c>
      <c r="AA830" t="s">
        <v>217</v>
      </c>
      <c r="AE830">
        <v>1</v>
      </c>
      <c r="AF830">
        <v>0</v>
      </c>
      <c r="AG830">
        <v>0</v>
      </c>
      <c r="AH830">
        <v>0</v>
      </c>
      <c r="AI830">
        <v>0</v>
      </c>
      <c r="AJ830">
        <v>1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</row>
    <row r="831" spans="1:42" x14ac:dyDescent="0.25">
      <c r="A831">
        <v>957</v>
      </c>
      <c r="B831" t="s">
        <v>1563</v>
      </c>
      <c r="C831" t="s">
        <v>1561</v>
      </c>
      <c r="D831" t="s">
        <v>126</v>
      </c>
      <c r="E831" s="4">
        <v>1</v>
      </c>
      <c r="F831" t="s">
        <v>61</v>
      </c>
      <c r="G831" t="s">
        <v>61</v>
      </c>
      <c r="H831" s="3">
        <v>46198</v>
      </c>
      <c r="I831" s="3">
        <v>46198</v>
      </c>
      <c r="J831" t="s">
        <v>128</v>
      </c>
      <c r="K831" s="3">
        <v>46198</v>
      </c>
      <c r="L831" s="3">
        <v>46198</v>
      </c>
      <c r="M831" s="3">
        <v>46198</v>
      </c>
      <c r="N831" s="3">
        <v>46198</v>
      </c>
      <c r="O831" t="s">
        <v>128</v>
      </c>
      <c r="P831" t="s">
        <v>55</v>
      </c>
      <c r="Q831">
        <v>956</v>
      </c>
      <c r="S831" t="s">
        <v>1444</v>
      </c>
      <c r="T831" t="s">
        <v>1429</v>
      </c>
      <c r="U831">
        <v>958</v>
      </c>
      <c r="V831" t="s">
        <v>61</v>
      </c>
      <c r="W831">
        <v>13.4</v>
      </c>
      <c r="X831" t="s">
        <v>57</v>
      </c>
      <c r="Z831" t="s">
        <v>1444</v>
      </c>
      <c r="AA831" t="s">
        <v>217</v>
      </c>
      <c r="AE831">
        <v>1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1</v>
      </c>
      <c r="AM831">
        <v>0</v>
      </c>
      <c r="AN831">
        <v>0</v>
      </c>
      <c r="AO831">
        <v>0</v>
      </c>
      <c r="AP831">
        <v>0</v>
      </c>
    </row>
    <row r="832" spans="1:42" x14ac:dyDescent="0.25">
      <c r="A832">
        <v>958</v>
      </c>
      <c r="B832" t="s">
        <v>1564</v>
      </c>
      <c r="C832" t="s">
        <v>1561</v>
      </c>
      <c r="D832" t="s">
        <v>133</v>
      </c>
      <c r="E832" s="4">
        <v>1</v>
      </c>
      <c r="F832" t="s">
        <v>61</v>
      </c>
      <c r="G832" t="s">
        <v>61</v>
      </c>
      <c r="H832" s="3">
        <v>46199</v>
      </c>
      <c r="I832" s="3">
        <v>46199</v>
      </c>
      <c r="J832" t="s">
        <v>134</v>
      </c>
      <c r="K832" s="3">
        <v>46199</v>
      </c>
      <c r="L832" s="3">
        <v>46199</v>
      </c>
      <c r="M832" s="3">
        <v>46199</v>
      </c>
      <c r="N832" s="3">
        <v>46199</v>
      </c>
      <c r="O832" t="s">
        <v>134</v>
      </c>
      <c r="P832" t="s">
        <v>55</v>
      </c>
      <c r="Q832">
        <v>957</v>
      </c>
      <c r="S832" t="s">
        <v>124</v>
      </c>
      <c r="T832" t="s">
        <v>1429</v>
      </c>
      <c r="V832" t="s">
        <v>61</v>
      </c>
      <c r="W832">
        <v>13.4</v>
      </c>
      <c r="X832" t="s">
        <v>57</v>
      </c>
      <c r="Z832" t="s">
        <v>124</v>
      </c>
      <c r="AA832" t="s">
        <v>131</v>
      </c>
      <c r="AE832">
        <v>1</v>
      </c>
      <c r="AF832">
        <v>0</v>
      </c>
      <c r="AG832">
        <v>0</v>
      </c>
      <c r="AH832">
        <v>0</v>
      </c>
      <c r="AI832">
        <v>1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0</v>
      </c>
      <c r="AP832">
        <v>0</v>
      </c>
    </row>
    <row r="833" spans="1:42" x14ac:dyDescent="0.25">
      <c r="A833">
        <v>959</v>
      </c>
      <c r="B833" t="s">
        <v>1565</v>
      </c>
      <c r="C833" t="s">
        <v>1429</v>
      </c>
      <c r="D833" t="s">
        <v>1566</v>
      </c>
      <c r="E833" s="4">
        <v>1</v>
      </c>
      <c r="F833" t="s">
        <v>330</v>
      </c>
      <c r="G833" t="s">
        <v>330</v>
      </c>
      <c r="H833" s="3">
        <v>46148</v>
      </c>
      <c r="I833" s="3">
        <v>46168</v>
      </c>
      <c r="J833" t="s">
        <v>304</v>
      </c>
      <c r="K833" s="3">
        <v>46184</v>
      </c>
      <c r="L833" s="3">
        <v>46148</v>
      </c>
      <c r="M833" s="3">
        <v>46168</v>
      </c>
      <c r="N833" s="3">
        <v>46168</v>
      </c>
      <c r="O833" t="s">
        <v>304</v>
      </c>
      <c r="P833" t="s">
        <v>55</v>
      </c>
      <c r="T833" t="s">
        <v>1429</v>
      </c>
      <c r="V833" t="s">
        <v>976</v>
      </c>
      <c r="X833" t="s">
        <v>57</v>
      </c>
      <c r="AA833" t="s">
        <v>50</v>
      </c>
      <c r="AB833" t="s">
        <v>94</v>
      </c>
      <c r="AE833">
        <v>1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</row>
    <row r="834" spans="1:42" x14ac:dyDescent="0.25">
      <c r="A834">
        <v>960</v>
      </c>
      <c r="B834" t="s">
        <v>1567</v>
      </c>
      <c r="C834" t="s">
        <v>1568</v>
      </c>
      <c r="D834" t="s">
        <v>1569</v>
      </c>
      <c r="E834" s="4">
        <v>1</v>
      </c>
      <c r="F834" t="s">
        <v>203</v>
      </c>
      <c r="G834" t="s">
        <v>203</v>
      </c>
      <c r="H834" s="3">
        <v>46148</v>
      </c>
      <c r="I834" s="3">
        <v>46162</v>
      </c>
      <c r="J834" t="s">
        <v>304</v>
      </c>
      <c r="K834" s="3">
        <v>46164</v>
      </c>
      <c r="L834" s="3">
        <v>46148</v>
      </c>
      <c r="M834" s="3">
        <v>46162</v>
      </c>
      <c r="N834" s="3">
        <v>46162</v>
      </c>
      <c r="O834" t="s">
        <v>304</v>
      </c>
      <c r="P834" t="s">
        <v>55</v>
      </c>
      <c r="T834" t="s">
        <v>1429</v>
      </c>
      <c r="V834" t="s">
        <v>1038</v>
      </c>
      <c r="X834" t="s">
        <v>57</v>
      </c>
      <c r="AA834" t="s">
        <v>50</v>
      </c>
      <c r="AB834" t="s">
        <v>94</v>
      </c>
      <c r="AE834">
        <v>1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</row>
    <row r="835" spans="1:42" x14ac:dyDescent="0.25">
      <c r="A835">
        <v>961</v>
      </c>
      <c r="B835" t="s">
        <v>1570</v>
      </c>
      <c r="C835" t="s">
        <v>1571</v>
      </c>
      <c r="D835" t="s">
        <v>117</v>
      </c>
      <c r="E835" s="4">
        <v>1</v>
      </c>
      <c r="F835" t="s">
        <v>151</v>
      </c>
      <c r="G835" t="s">
        <v>151</v>
      </c>
      <c r="H835" s="3">
        <v>46148</v>
      </c>
      <c r="I835" s="3">
        <v>46161</v>
      </c>
      <c r="J835" t="s">
        <v>304</v>
      </c>
      <c r="K835" s="3">
        <v>46161</v>
      </c>
      <c r="L835" s="3">
        <v>46148</v>
      </c>
      <c r="M835" s="3">
        <v>46161</v>
      </c>
      <c r="N835" s="3">
        <v>46161</v>
      </c>
      <c r="O835" t="s">
        <v>304</v>
      </c>
      <c r="P835" t="s">
        <v>55</v>
      </c>
      <c r="Q835">
        <v>271</v>
      </c>
      <c r="S835" t="s">
        <v>1444</v>
      </c>
      <c r="T835" t="s">
        <v>1429</v>
      </c>
      <c r="U835" t="s">
        <v>1572</v>
      </c>
      <c r="V835" t="s">
        <v>151</v>
      </c>
      <c r="W835">
        <v>13.4</v>
      </c>
      <c r="X835" t="s">
        <v>57</v>
      </c>
      <c r="Z835" t="s">
        <v>1444</v>
      </c>
      <c r="AA835" t="s">
        <v>401</v>
      </c>
      <c r="AE835">
        <v>1</v>
      </c>
      <c r="AF835">
        <v>1</v>
      </c>
      <c r="AG835">
        <v>1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1</v>
      </c>
    </row>
    <row r="836" spans="1:42" x14ac:dyDescent="0.25">
      <c r="A836">
        <v>962</v>
      </c>
      <c r="B836" t="s">
        <v>1573</v>
      </c>
      <c r="C836" t="s">
        <v>1571</v>
      </c>
      <c r="D836" t="s">
        <v>121</v>
      </c>
      <c r="E836" s="4">
        <v>1</v>
      </c>
      <c r="F836" t="s">
        <v>61</v>
      </c>
      <c r="G836" t="s">
        <v>61</v>
      </c>
      <c r="H836" s="3">
        <v>46161</v>
      </c>
      <c r="I836" s="3">
        <v>46162</v>
      </c>
      <c r="J836" t="s">
        <v>200</v>
      </c>
      <c r="K836" s="3">
        <v>46162</v>
      </c>
      <c r="L836" s="3">
        <v>46162</v>
      </c>
      <c r="M836" s="3">
        <v>46162</v>
      </c>
      <c r="N836" s="3">
        <v>46162</v>
      </c>
      <c r="O836" t="s">
        <v>90</v>
      </c>
      <c r="P836" t="s">
        <v>55</v>
      </c>
      <c r="Q836">
        <v>961</v>
      </c>
      <c r="S836" t="s">
        <v>124</v>
      </c>
      <c r="T836" t="s">
        <v>1429</v>
      </c>
      <c r="U836">
        <v>963</v>
      </c>
      <c r="V836" t="s">
        <v>61</v>
      </c>
      <c r="W836">
        <v>13.4</v>
      </c>
      <c r="X836" t="s">
        <v>57</v>
      </c>
      <c r="Z836" t="s">
        <v>124</v>
      </c>
      <c r="AA836" t="s">
        <v>198</v>
      </c>
      <c r="AE836">
        <v>1</v>
      </c>
      <c r="AF836">
        <v>0</v>
      </c>
      <c r="AG836">
        <v>0</v>
      </c>
      <c r="AH836">
        <v>0</v>
      </c>
      <c r="AI836">
        <v>0</v>
      </c>
      <c r="AJ836">
        <v>1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</row>
    <row r="837" spans="1:42" x14ac:dyDescent="0.25">
      <c r="A837">
        <v>963</v>
      </c>
      <c r="B837" t="s">
        <v>1574</v>
      </c>
      <c r="C837" t="s">
        <v>1571</v>
      </c>
      <c r="D837" t="s">
        <v>126</v>
      </c>
      <c r="E837" s="4">
        <v>1</v>
      </c>
      <c r="F837" t="s">
        <v>63</v>
      </c>
      <c r="G837" t="s">
        <v>63</v>
      </c>
      <c r="H837" s="3">
        <v>46162</v>
      </c>
      <c r="I837" s="3">
        <v>46162</v>
      </c>
      <c r="J837" t="s">
        <v>491</v>
      </c>
      <c r="K837" s="3">
        <v>46163</v>
      </c>
      <c r="L837" s="3">
        <v>46163</v>
      </c>
      <c r="M837" s="3">
        <v>46162</v>
      </c>
      <c r="N837" s="3">
        <v>46162</v>
      </c>
      <c r="O837" t="s">
        <v>200</v>
      </c>
      <c r="P837" t="s">
        <v>55</v>
      </c>
      <c r="Q837">
        <v>962</v>
      </c>
      <c r="S837" t="s">
        <v>1444</v>
      </c>
      <c r="T837" t="s">
        <v>1429</v>
      </c>
      <c r="U837">
        <v>964</v>
      </c>
      <c r="V837" t="s">
        <v>61</v>
      </c>
      <c r="W837">
        <v>13.4</v>
      </c>
      <c r="X837" t="s">
        <v>57</v>
      </c>
      <c r="Z837" t="s">
        <v>1444</v>
      </c>
      <c r="AA837" t="s">
        <v>198</v>
      </c>
      <c r="AE837">
        <v>1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1</v>
      </c>
      <c r="AM837">
        <v>0</v>
      </c>
      <c r="AN837">
        <v>0</v>
      </c>
      <c r="AO837">
        <v>0</v>
      </c>
      <c r="AP837">
        <v>0</v>
      </c>
    </row>
    <row r="838" spans="1:42" x14ac:dyDescent="0.25">
      <c r="A838">
        <v>964</v>
      </c>
      <c r="B838" t="s">
        <v>1575</v>
      </c>
      <c r="C838" t="s">
        <v>1571</v>
      </c>
      <c r="D838" t="s">
        <v>133</v>
      </c>
      <c r="E838" s="4">
        <v>1</v>
      </c>
      <c r="F838" t="s">
        <v>63</v>
      </c>
      <c r="G838" t="s">
        <v>63</v>
      </c>
      <c r="H838" s="3">
        <v>46162</v>
      </c>
      <c r="I838" s="3">
        <v>46162</v>
      </c>
      <c r="J838" t="s">
        <v>471</v>
      </c>
      <c r="K838" s="3">
        <v>46164</v>
      </c>
      <c r="L838" s="3">
        <v>46164</v>
      </c>
      <c r="M838" s="3">
        <v>46162</v>
      </c>
      <c r="N838" s="3">
        <v>46162</v>
      </c>
      <c r="O838" t="s">
        <v>200</v>
      </c>
      <c r="P838" t="s">
        <v>55</v>
      </c>
      <c r="Q838">
        <v>963</v>
      </c>
      <c r="S838" t="s">
        <v>124</v>
      </c>
      <c r="T838" t="s">
        <v>1429</v>
      </c>
      <c r="U838">
        <v>981</v>
      </c>
      <c r="V838" t="s">
        <v>61</v>
      </c>
      <c r="W838">
        <v>13.4</v>
      </c>
      <c r="X838" t="s">
        <v>57</v>
      </c>
      <c r="Z838" t="s">
        <v>124</v>
      </c>
      <c r="AA838" t="s">
        <v>198</v>
      </c>
      <c r="AE838">
        <v>1</v>
      </c>
      <c r="AF838">
        <v>0</v>
      </c>
      <c r="AG838">
        <v>0</v>
      </c>
      <c r="AH838">
        <v>0</v>
      </c>
      <c r="AI838">
        <v>1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0</v>
      </c>
      <c r="AP838">
        <v>0</v>
      </c>
    </row>
    <row r="839" spans="1:42" x14ac:dyDescent="0.25">
      <c r="A839">
        <v>965</v>
      </c>
      <c r="B839" t="s">
        <v>1576</v>
      </c>
      <c r="C839" t="s">
        <v>1568</v>
      </c>
      <c r="D839" t="s">
        <v>1577</v>
      </c>
      <c r="E839" s="4">
        <v>1</v>
      </c>
      <c r="F839" t="s">
        <v>203</v>
      </c>
      <c r="G839" t="s">
        <v>203</v>
      </c>
      <c r="H839" s="3">
        <v>46148</v>
      </c>
      <c r="I839" s="3">
        <v>46162</v>
      </c>
      <c r="J839" t="s">
        <v>304</v>
      </c>
      <c r="K839" s="3">
        <v>46162</v>
      </c>
      <c r="L839" s="3">
        <v>46148</v>
      </c>
      <c r="M839" s="3">
        <v>46162</v>
      </c>
      <c r="N839" s="3">
        <v>46162</v>
      </c>
      <c r="O839" t="s">
        <v>304</v>
      </c>
      <c r="P839" t="s">
        <v>55</v>
      </c>
      <c r="T839" t="s">
        <v>1429</v>
      </c>
      <c r="V839" t="s">
        <v>1038</v>
      </c>
      <c r="X839" t="s">
        <v>57</v>
      </c>
      <c r="AA839" t="s">
        <v>50</v>
      </c>
      <c r="AB839" t="s">
        <v>94</v>
      </c>
      <c r="AE839">
        <v>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</row>
    <row r="840" spans="1:42" x14ac:dyDescent="0.25">
      <c r="A840">
        <v>966</v>
      </c>
      <c r="B840" t="s">
        <v>1578</v>
      </c>
      <c r="C840" t="s">
        <v>1579</v>
      </c>
      <c r="D840" t="s">
        <v>117</v>
      </c>
      <c r="E840" s="4">
        <v>1</v>
      </c>
      <c r="F840" t="s">
        <v>151</v>
      </c>
      <c r="G840" t="s">
        <v>151</v>
      </c>
      <c r="H840" s="3">
        <v>46148</v>
      </c>
      <c r="I840" s="3">
        <v>46161</v>
      </c>
      <c r="J840" t="s">
        <v>304</v>
      </c>
      <c r="K840" s="3">
        <v>46161</v>
      </c>
      <c r="L840" s="3">
        <v>46148</v>
      </c>
      <c r="M840" s="3">
        <v>46161</v>
      </c>
      <c r="N840" s="3">
        <v>46161</v>
      </c>
      <c r="O840" t="s">
        <v>304</v>
      </c>
      <c r="P840" t="s">
        <v>55</v>
      </c>
      <c r="Q840">
        <v>271</v>
      </c>
      <c r="S840" t="s">
        <v>1444</v>
      </c>
      <c r="T840" t="s">
        <v>1429</v>
      </c>
      <c r="U840" t="s">
        <v>1580</v>
      </c>
      <c r="V840" t="s">
        <v>151</v>
      </c>
      <c r="W840">
        <v>13.4</v>
      </c>
      <c r="X840" t="s">
        <v>57</v>
      </c>
      <c r="Z840" t="s">
        <v>1444</v>
      </c>
      <c r="AA840" t="s">
        <v>401</v>
      </c>
      <c r="AE840">
        <v>1</v>
      </c>
      <c r="AF840">
        <v>1</v>
      </c>
      <c r="AG840">
        <v>1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1</v>
      </c>
    </row>
    <row r="841" spans="1:42" x14ac:dyDescent="0.25">
      <c r="A841">
        <v>967</v>
      </c>
      <c r="B841" t="s">
        <v>1581</v>
      </c>
      <c r="C841" t="s">
        <v>1579</v>
      </c>
      <c r="D841" t="s">
        <v>121</v>
      </c>
      <c r="E841" s="4">
        <v>1</v>
      </c>
      <c r="F841" t="s">
        <v>61</v>
      </c>
      <c r="G841" t="s">
        <v>61</v>
      </c>
      <c r="H841" s="3">
        <v>46161</v>
      </c>
      <c r="I841" s="3">
        <v>46162</v>
      </c>
      <c r="J841" t="s">
        <v>90</v>
      </c>
      <c r="K841" s="3">
        <v>46162</v>
      </c>
      <c r="L841" s="3">
        <v>46161</v>
      </c>
      <c r="M841" s="3">
        <v>46162</v>
      </c>
      <c r="N841" s="3">
        <v>46162</v>
      </c>
      <c r="O841" t="s">
        <v>90</v>
      </c>
      <c r="P841" t="s">
        <v>55</v>
      </c>
      <c r="Q841">
        <v>966</v>
      </c>
      <c r="S841" t="s">
        <v>124</v>
      </c>
      <c r="T841" t="s">
        <v>1429</v>
      </c>
      <c r="U841">
        <v>968</v>
      </c>
      <c r="V841" t="s">
        <v>61</v>
      </c>
      <c r="W841">
        <v>13.4</v>
      </c>
      <c r="X841" t="s">
        <v>57</v>
      </c>
      <c r="Z841" t="s">
        <v>124</v>
      </c>
      <c r="AA841" t="s">
        <v>198</v>
      </c>
      <c r="AE841">
        <v>1</v>
      </c>
      <c r="AF841">
        <v>0</v>
      </c>
      <c r="AG841">
        <v>0</v>
      </c>
      <c r="AH841">
        <v>0</v>
      </c>
      <c r="AI841">
        <v>0</v>
      </c>
      <c r="AJ841">
        <v>1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</row>
    <row r="842" spans="1:42" x14ac:dyDescent="0.25">
      <c r="A842">
        <v>968</v>
      </c>
      <c r="B842" t="s">
        <v>1582</v>
      </c>
      <c r="C842" t="s">
        <v>1579</v>
      </c>
      <c r="D842" t="s">
        <v>126</v>
      </c>
      <c r="E842" s="4">
        <v>1</v>
      </c>
      <c r="F842" t="s">
        <v>63</v>
      </c>
      <c r="G842" t="s">
        <v>63</v>
      </c>
      <c r="H842" s="3">
        <v>46162</v>
      </c>
      <c r="I842" s="3">
        <v>46162</v>
      </c>
      <c r="J842" t="s">
        <v>200</v>
      </c>
      <c r="K842" s="3">
        <v>46162</v>
      </c>
      <c r="L842" s="3">
        <v>46162</v>
      </c>
      <c r="M842" s="3">
        <v>46162</v>
      </c>
      <c r="N842" s="3">
        <v>46162</v>
      </c>
      <c r="O842" t="s">
        <v>200</v>
      </c>
      <c r="P842" t="s">
        <v>55</v>
      </c>
      <c r="Q842">
        <v>967</v>
      </c>
      <c r="S842" t="s">
        <v>1444</v>
      </c>
      <c r="T842" t="s">
        <v>1429</v>
      </c>
      <c r="U842">
        <v>969</v>
      </c>
      <c r="V842" t="s">
        <v>61</v>
      </c>
      <c r="W842">
        <v>13.4</v>
      </c>
      <c r="X842" t="s">
        <v>57</v>
      </c>
      <c r="Z842" t="s">
        <v>1444</v>
      </c>
      <c r="AA842" t="s">
        <v>198</v>
      </c>
      <c r="AE842">
        <v>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1</v>
      </c>
      <c r="AM842">
        <v>0</v>
      </c>
      <c r="AN842">
        <v>0</v>
      </c>
      <c r="AO842">
        <v>0</v>
      </c>
      <c r="AP842">
        <v>0</v>
      </c>
    </row>
    <row r="843" spans="1:42" x14ac:dyDescent="0.25">
      <c r="A843">
        <v>969</v>
      </c>
      <c r="B843" t="s">
        <v>1583</v>
      </c>
      <c r="C843" t="s">
        <v>1579</v>
      </c>
      <c r="D843" t="s">
        <v>133</v>
      </c>
      <c r="E843" s="4">
        <v>1</v>
      </c>
      <c r="F843" t="s">
        <v>63</v>
      </c>
      <c r="G843" t="s">
        <v>63</v>
      </c>
      <c r="H843" s="3">
        <v>46162</v>
      </c>
      <c r="I843" s="3">
        <v>46162</v>
      </c>
      <c r="J843" t="s">
        <v>200</v>
      </c>
      <c r="K843" s="3">
        <v>46162</v>
      </c>
      <c r="L843" s="3">
        <v>46162</v>
      </c>
      <c r="M843" s="3">
        <v>46162</v>
      </c>
      <c r="N843" s="3">
        <v>46162</v>
      </c>
      <c r="O843" t="s">
        <v>200</v>
      </c>
      <c r="P843" t="s">
        <v>55</v>
      </c>
      <c r="Q843">
        <v>968</v>
      </c>
      <c r="S843" t="s">
        <v>124</v>
      </c>
      <c r="T843" t="s">
        <v>1429</v>
      </c>
      <c r="U843">
        <v>981</v>
      </c>
      <c r="V843" t="s">
        <v>61</v>
      </c>
      <c r="W843">
        <v>13.4</v>
      </c>
      <c r="X843" t="s">
        <v>57</v>
      </c>
      <c r="Z843" t="s">
        <v>124</v>
      </c>
      <c r="AA843" t="s">
        <v>198</v>
      </c>
      <c r="AE843">
        <v>1</v>
      </c>
      <c r="AF843">
        <v>0</v>
      </c>
      <c r="AG843">
        <v>0</v>
      </c>
      <c r="AH843">
        <v>0</v>
      </c>
      <c r="AI843">
        <v>1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0</v>
      </c>
      <c r="AP843">
        <v>0</v>
      </c>
    </row>
    <row r="844" spans="1:42" x14ac:dyDescent="0.25">
      <c r="A844">
        <v>970</v>
      </c>
      <c r="B844" t="s">
        <v>1584</v>
      </c>
      <c r="C844" t="s">
        <v>1568</v>
      </c>
      <c r="D844" t="s">
        <v>1585</v>
      </c>
      <c r="E844" s="4">
        <v>1</v>
      </c>
      <c r="F844" t="s">
        <v>203</v>
      </c>
      <c r="G844" t="s">
        <v>203</v>
      </c>
      <c r="H844" s="3">
        <v>46148</v>
      </c>
      <c r="I844" s="3">
        <v>46162</v>
      </c>
      <c r="J844" t="s">
        <v>304</v>
      </c>
      <c r="K844" s="3">
        <v>46162</v>
      </c>
      <c r="L844" s="3">
        <v>46148</v>
      </c>
      <c r="M844" s="3">
        <v>46162</v>
      </c>
      <c r="N844" s="3">
        <v>46162</v>
      </c>
      <c r="O844" t="s">
        <v>304</v>
      </c>
      <c r="P844" t="s">
        <v>55</v>
      </c>
      <c r="T844" t="s">
        <v>1429</v>
      </c>
      <c r="V844" t="s">
        <v>1038</v>
      </c>
      <c r="X844" t="s">
        <v>57</v>
      </c>
      <c r="AA844" t="s">
        <v>50</v>
      </c>
      <c r="AB844" t="s">
        <v>94</v>
      </c>
      <c r="AE844">
        <v>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</row>
    <row r="845" spans="1:42" x14ac:dyDescent="0.25">
      <c r="A845">
        <v>971</v>
      </c>
      <c r="B845" t="s">
        <v>1586</v>
      </c>
      <c r="C845" t="s">
        <v>1587</v>
      </c>
      <c r="D845" t="s">
        <v>117</v>
      </c>
      <c r="E845" s="4">
        <v>1</v>
      </c>
      <c r="F845" t="s">
        <v>151</v>
      </c>
      <c r="G845" t="s">
        <v>151</v>
      </c>
      <c r="H845" s="3">
        <v>46148</v>
      </c>
      <c r="I845" s="3">
        <v>46161</v>
      </c>
      <c r="J845" t="s">
        <v>304</v>
      </c>
      <c r="K845" s="3">
        <v>46161</v>
      </c>
      <c r="L845" s="3">
        <v>46148</v>
      </c>
      <c r="M845" s="3">
        <v>46161</v>
      </c>
      <c r="N845" s="3">
        <v>46161</v>
      </c>
      <c r="O845" t="s">
        <v>304</v>
      </c>
      <c r="P845" t="s">
        <v>55</v>
      </c>
      <c r="Q845">
        <v>271</v>
      </c>
      <c r="S845" t="s">
        <v>1444</v>
      </c>
      <c r="T845" t="s">
        <v>1429</v>
      </c>
      <c r="U845" t="s">
        <v>1588</v>
      </c>
      <c r="V845" t="s">
        <v>151</v>
      </c>
      <c r="W845">
        <v>13.4</v>
      </c>
      <c r="X845" t="s">
        <v>57</v>
      </c>
      <c r="Z845" t="s">
        <v>1444</v>
      </c>
      <c r="AA845" t="s">
        <v>401</v>
      </c>
      <c r="AE845">
        <v>1</v>
      </c>
      <c r="AF845">
        <v>1</v>
      </c>
      <c r="AG845">
        <v>1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1</v>
      </c>
    </row>
    <row r="846" spans="1:42" x14ac:dyDescent="0.25">
      <c r="A846">
        <v>972</v>
      </c>
      <c r="B846" t="s">
        <v>1589</v>
      </c>
      <c r="C846" t="s">
        <v>1587</v>
      </c>
      <c r="D846" t="s">
        <v>121</v>
      </c>
      <c r="E846" s="4">
        <v>1</v>
      </c>
      <c r="F846" t="s">
        <v>61</v>
      </c>
      <c r="G846" t="s">
        <v>61</v>
      </c>
      <c r="H846" s="3">
        <v>46161</v>
      </c>
      <c r="I846" s="3">
        <v>46162</v>
      </c>
      <c r="J846" t="s">
        <v>90</v>
      </c>
      <c r="K846" s="3">
        <v>46162</v>
      </c>
      <c r="L846" s="3">
        <v>46161</v>
      </c>
      <c r="M846" s="3">
        <v>46162</v>
      </c>
      <c r="N846" s="3">
        <v>46162</v>
      </c>
      <c r="O846" t="s">
        <v>90</v>
      </c>
      <c r="P846" t="s">
        <v>55</v>
      </c>
      <c r="Q846">
        <v>971</v>
      </c>
      <c r="S846" t="s">
        <v>124</v>
      </c>
      <c r="T846" t="s">
        <v>1429</v>
      </c>
      <c r="U846">
        <v>973</v>
      </c>
      <c r="V846" t="s">
        <v>61</v>
      </c>
      <c r="W846">
        <v>13.4</v>
      </c>
      <c r="X846" t="s">
        <v>57</v>
      </c>
      <c r="Z846" t="s">
        <v>124</v>
      </c>
      <c r="AA846" t="s">
        <v>198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1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</row>
    <row r="847" spans="1:42" x14ac:dyDescent="0.25">
      <c r="A847">
        <v>973</v>
      </c>
      <c r="B847" t="s">
        <v>1590</v>
      </c>
      <c r="C847" t="s">
        <v>1587</v>
      </c>
      <c r="D847" t="s">
        <v>126</v>
      </c>
      <c r="E847" s="4">
        <v>1</v>
      </c>
      <c r="F847" t="s">
        <v>63</v>
      </c>
      <c r="G847" t="s">
        <v>63</v>
      </c>
      <c r="H847" s="3">
        <v>46162</v>
      </c>
      <c r="I847" s="3">
        <v>46162</v>
      </c>
      <c r="J847" t="s">
        <v>200</v>
      </c>
      <c r="K847" s="3">
        <v>46162</v>
      </c>
      <c r="L847" s="3">
        <v>46162</v>
      </c>
      <c r="M847" s="3">
        <v>46162</v>
      </c>
      <c r="N847" s="3">
        <v>46162</v>
      </c>
      <c r="O847" t="s">
        <v>200</v>
      </c>
      <c r="P847" t="s">
        <v>55</v>
      </c>
      <c r="Q847">
        <v>972</v>
      </c>
      <c r="S847" t="s">
        <v>1444</v>
      </c>
      <c r="T847" t="s">
        <v>1429</v>
      </c>
      <c r="U847">
        <v>974</v>
      </c>
      <c r="V847" t="s">
        <v>61</v>
      </c>
      <c r="W847">
        <v>13.4</v>
      </c>
      <c r="X847" t="s">
        <v>57</v>
      </c>
      <c r="Z847" t="s">
        <v>1444</v>
      </c>
      <c r="AA847" t="s">
        <v>198</v>
      </c>
      <c r="AE847">
        <v>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1</v>
      </c>
      <c r="AM847">
        <v>0</v>
      </c>
      <c r="AN847">
        <v>0</v>
      </c>
      <c r="AO847">
        <v>0</v>
      </c>
      <c r="AP847">
        <v>0</v>
      </c>
    </row>
    <row r="848" spans="1:42" x14ac:dyDescent="0.25">
      <c r="A848">
        <v>974</v>
      </c>
      <c r="B848" t="s">
        <v>1591</v>
      </c>
      <c r="C848" t="s">
        <v>1587</v>
      </c>
      <c r="D848" t="s">
        <v>133</v>
      </c>
      <c r="E848" s="4">
        <v>1</v>
      </c>
      <c r="F848" t="s">
        <v>63</v>
      </c>
      <c r="G848" t="s">
        <v>63</v>
      </c>
      <c r="H848" s="3">
        <v>46162</v>
      </c>
      <c r="I848" s="3">
        <v>46162</v>
      </c>
      <c r="J848" t="s">
        <v>200</v>
      </c>
      <c r="K848" s="3">
        <v>46162</v>
      </c>
      <c r="L848" s="3">
        <v>46162</v>
      </c>
      <c r="M848" s="3">
        <v>46162</v>
      </c>
      <c r="N848" s="3">
        <v>46162</v>
      </c>
      <c r="O848" t="s">
        <v>200</v>
      </c>
      <c r="P848" t="s">
        <v>55</v>
      </c>
      <c r="Q848">
        <v>973</v>
      </c>
      <c r="S848" t="s">
        <v>124</v>
      </c>
      <c r="T848" t="s">
        <v>1429</v>
      </c>
      <c r="U848">
        <v>981</v>
      </c>
      <c r="V848" t="s">
        <v>61</v>
      </c>
      <c r="W848">
        <v>13.4</v>
      </c>
      <c r="X848" t="s">
        <v>57</v>
      </c>
      <c r="Z848" t="s">
        <v>124</v>
      </c>
      <c r="AA848" t="s">
        <v>198</v>
      </c>
      <c r="AE848">
        <v>1</v>
      </c>
      <c r="AF848">
        <v>0</v>
      </c>
      <c r="AG848">
        <v>0</v>
      </c>
      <c r="AH848">
        <v>0</v>
      </c>
      <c r="AI848">
        <v>1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0</v>
      </c>
      <c r="AP848">
        <v>0</v>
      </c>
    </row>
    <row r="849" spans="1:42" x14ac:dyDescent="0.25">
      <c r="A849">
        <v>975</v>
      </c>
      <c r="B849" t="s">
        <v>1592</v>
      </c>
      <c r="C849" t="s">
        <v>1568</v>
      </c>
      <c r="D849" t="s">
        <v>1593</v>
      </c>
      <c r="E849" s="4">
        <v>1</v>
      </c>
      <c r="F849" t="s">
        <v>214</v>
      </c>
      <c r="G849" t="s">
        <v>214</v>
      </c>
      <c r="H849" s="3">
        <v>46149</v>
      </c>
      <c r="I849" s="3">
        <v>46156</v>
      </c>
      <c r="J849" t="s">
        <v>200</v>
      </c>
      <c r="K849" s="3">
        <v>46184</v>
      </c>
      <c r="L849" s="3">
        <v>46162</v>
      </c>
      <c r="M849" s="3">
        <v>46156</v>
      </c>
      <c r="N849" s="3">
        <v>46156</v>
      </c>
      <c r="O849" t="s">
        <v>416</v>
      </c>
      <c r="P849" t="s">
        <v>55</v>
      </c>
      <c r="T849" t="s">
        <v>1429</v>
      </c>
      <c r="U849">
        <v>1205</v>
      </c>
      <c r="V849" t="s">
        <v>330</v>
      </c>
      <c r="X849" t="s">
        <v>57</v>
      </c>
      <c r="AA849" t="s">
        <v>50</v>
      </c>
      <c r="AB849" t="s">
        <v>94</v>
      </c>
      <c r="AE849">
        <v>1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</row>
    <row r="850" spans="1:42" x14ac:dyDescent="0.25">
      <c r="A850">
        <v>976</v>
      </c>
      <c r="B850" t="s">
        <v>1594</v>
      </c>
      <c r="C850" t="s">
        <v>1595</v>
      </c>
      <c r="D850" t="s">
        <v>117</v>
      </c>
      <c r="E850" s="4">
        <v>1</v>
      </c>
      <c r="F850" t="s">
        <v>214</v>
      </c>
      <c r="G850" t="s">
        <v>214</v>
      </c>
      <c r="H850" s="3">
        <v>46149</v>
      </c>
      <c r="I850" s="3">
        <v>46156</v>
      </c>
      <c r="J850" t="s">
        <v>200</v>
      </c>
      <c r="K850" s="3">
        <v>46175</v>
      </c>
      <c r="L850" s="3">
        <v>46162</v>
      </c>
      <c r="M850" s="3">
        <v>46156</v>
      </c>
      <c r="N850" s="3">
        <v>46156</v>
      </c>
      <c r="O850" t="s">
        <v>416</v>
      </c>
      <c r="P850" t="s">
        <v>55</v>
      </c>
      <c r="Q850" t="s">
        <v>1596</v>
      </c>
      <c r="S850" t="s">
        <v>1433</v>
      </c>
      <c r="T850" t="s">
        <v>1429</v>
      </c>
      <c r="U850">
        <v>977</v>
      </c>
      <c r="V850" t="s">
        <v>151</v>
      </c>
      <c r="W850">
        <v>13.4</v>
      </c>
      <c r="X850" t="s">
        <v>57</v>
      </c>
      <c r="Z850" t="s">
        <v>1433</v>
      </c>
      <c r="AA850" t="s">
        <v>198</v>
      </c>
      <c r="AE850">
        <v>1</v>
      </c>
      <c r="AF850">
        <v>1</v>
      </c>
      <c r="AG850">
        <v>1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1</v>
      </c>
    </row>
    <row r="851" spans="1:42" x14ac:dyDescent="0.25">
      <c r="A851">
        <v>977</v>
      </c>
      <c r="B851" t="s">
        <v>1597</v>
      </c>
      <c r="C851" t="s">
        <v>1595</v>
      </c>
      <c r="D851" t="s">
        <v>121</v>
      </c>
      <c r="E851" s="4">
        <v>1</v>
      </c>
      <c r="F851" t="s">
        <v>63</v>
      </c>
      <c r="G851" t="s">
        <v>63</v>
      </c>
      <c r="H851" s="3">
        <v>46156</v>
      </c>
      <c r="I851" s="3">
        <v>46156</v>
      </c>
      <c r="J851" t="s">
        <v>459</v>
      </c>
      <c r="K851" s="3">
        <v>46182</v>
      </c>
      <c r="L851" s="3">
        <v>46176</v>
      </c>
      <c r="M851" s="3">
        <v>46156</v>
      </c>
      <c r="N851" s="3">
        <v>46156</v>
      </c>
      <c r="O851" t="s">
        <v>406</v>
      </c>
      <c r="P851" t="s">
        <v>55</v>
      </c>
      <c r="Q851">
        <v>976</v>
      </c>
      <c r="S851" t="s">
        <v>124</v>
      </c>
      <c r="T851" t="s">
        <v>1429</v>
      </c>
      <c r="U851">
        <v>978</v>
      </c>
      <c r="V851" t="s">
        <v>122</v>
      </c>
      <c r="W851">
        <v>13.4</v>
      </c>
      <c r="X851" t="s">
        <v>57</v>
      </c>
      <c r="Z851" t="s">
        <v>124</v>
      </c>
      <c r="AA851" t="s">
        <v>460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1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</row>
    <row r="852" spans="1:42" x14ac:dyDescent="0.25">
      <c r="A852">
        <v>978</v>
      </c>
      <c r="B852" t="s">
        <v>1598</v>
      </c>
      <c r="C852" t="s">
        <v>1595</v>
      </c>
      <c r="D852" t="s">
        <v>126</v>
      </c>
      <c r="E852" s="4">
        <v>1</v>
      </c>
      <c r="F852" t="s">
        <v>63</v>
      </c>
      <c r="G852" t="s">
        <v>63</v>
      </c>
      <c r="H852" s="3">
        <v>46156</v>
      </c>
      <c r="I852" s="3">
        <v>46156</v>
      </c>
      <c r="J852" t="s">
        <v>592</v>
      </c>
      <c r="K852" s="3">
        <v>46183</v>
      </c>
      <c r="L852" s="3">
        <v>46183</v>
      </c>
      <c r="M852" s="3">
        <v>46156</v>
      </c>
      <c r="N852" s="3">
        <v>46156</v>
      </c>
      <c r="O852" t="s">
        <v>406</v>
      </c>
      <c r="P852" t="s">
        <v>55</v>
      </c>
      <c r="Q852">
        <v>977</v>
      </c>
      <c r="S852" t="s">
        <v>1433</v>
      </c>
      <c r="T852" t="s">
        <v>1429</v>
      </c>
      <c r="U852">
        <v>979</v>
      </c>
      <c r="V852" t="s">
        <v>61</v>
      </c>
      <c r="W852">
        <v>13.4</v>
      </c>
      <c r="X852" t="s">
        <v>57</v>
      </c>
      <c r="Z852" t="s">
        <v>1433</v>
      </c>
      <c r="AA852" t="s">
        <v>462</v>
      </c>
      <c r="AE852">
        <v>1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1</v>
      </c>
      <c r="AM852">
        <v>0</v>
      </c>
      <c r="AN852">
        <v>0</v>
      </c>
      <c r="AO852">
        <v>0</v>
      </c>
      <c r="AP852">
        <v>0</v>
      </c>
    </row>
    <row r="853" spans="1:42" x14ac:dyDescent="0.25">
      <c r="A853">
        <v>979</v>
      </c>
      <c r="B853" t="s">
        <v>1599</v>
      </c>
      <c r="C853" t="s">
        <v>1595</v>
      </c>
      <c r="D853" t="s">
        <v>133</v>
      </c>
      <c r="E853" s="4">
        <v>1</v>
      </c>
      <c r="F853" t="s">
        <v>63</v>
      </c>
      <c r="G853" t="s">
        <v>63</v>
      </c>
      <c r="H853" s="3">
        <v>46156</v>
      </c>
      <c r="I853" s="3">
        <v>46156</v>
      </c>
      <c r="J853" t="s">
        <v>476</v>
      </c>
      <c r="K853" s="3">
        <v>46184</v>
      </c>
      <c r="L853" s="3">
        <v>46184</v>
      </c>
      <c r="M853" s="3">
        <v>46156</v>
      </c>
      <c r="N853" s="3">
        <v>46156</v>
      </c>
      <c r="O853" t="s">
        <v>406</v>
      </c>
      <c r="P853" t="s">
        <v>55</v>
      </c>
      <c r="Q853">
        <v>978</v>
      </c>
      <c r="S853" t="s">
        <v>124</v>
      </c>
      <c r="T853" t="s">
        <v>1429</v>
      </c>
      <c r="V853" t="s">
        <v>61</v>
      </c>
      <c r="W853">
        <v>13.4</v>
      </c>
      <c r="X853" t="s">
        <v>57</v>
      </c>
      <c r="Z853" t="s">
        <v>124</v>
      </c>
      <c r="AA853" t="s">
        <v>462</v>
      </c>
      <c r="AE853">
        <v>1</v>
      </c>
      <c r="AF853">
        <v>0</v>
      </c>
      <c r="AG853">
        <v>0</v>
      </c>
      <c r="AH853">
        <v>0</v>
      </c>
      <c r="AI853">
        <v>1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0</v>
      </c>
      <c r="AP853">
        <v>0</v>
      </c>
    </row>
    <row r="854" spans="1:42" x14ac:dyDescent="0.25">
      <c r="A854">
        <v>980</v>
      </c>
      <c r="B854" t="s">
        <v>1600</v>
      </c>
      <c r="C854" t="s">
        <v>1568</v>
      </c>
      <c r="D854" t="s">
        <v>1601</v>
      </c>
      <c r="E854" s="4">
        <v>1</v>
      </c>
      <c r="F854" t="s">
        <v>101</v>
      </c>
      <c r="G854" t="s">
        <v>101</v>
      </c>
      <c r="H854" s="3">
        <v>46163</v>
      </c>
      <c r="I854" s="3">
        <v>46168</v>
      </c>
      <c r="J854" t="s">
        <v>74</v>
      </c>
      <c r="K854" s="3">
        <v>46175</v>
      </c>
      <c r="L854" s="3">
        <v>46167</v>
      </c>
      <c r="M854" s="3">
        <v>46168</v>
      </c>
      <c r="N854" s="3">
        <v>46168</v>
      </c>
      <c r="O854" t="s">
        <v>491</v>
      </c>
      <c r="P854" t="s">
        <v>55</v>
      </c>
      <c r="T854" t="s">
        <v>1429</v>
      </c>
      <c r="V854" t="s">
        <v>175</v>
      </c>
      <c r="X854" t="s">
        <v>57</v>
      </c>
      <c r="AA854" t="s">
        <v>50</v>
      </c>
      <c r="AB854" t="s">
        <v>94</v>
      </c>
      <c r="AE854">
        <v>1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</row>
    <row r="855" spans="1:42" x14ac:dyDescent="0.25">
      <c r="A855">
        <v>981</v>
      </c>
      <c r="B855" t="s">
        <v>1602</v>
      </c>
      <c r="C855" t="s">
        <v>1603</v>
      </c>
      <c r="D855" t="s">
        <v>117</v>
      </c>
      <c r="E855" s="4">
        <v>1</v>
      </c>
      <c r="F855" t="s">
        <v>101</v>
      </c>
      <c r="G855" t="s">
        <v>101</v>
      </c>
      <c r="H855" s="3">
        <v>46163</v>
      </c>
      <c r="I855" s="3">
        <v>46168</v>
      </c>
      <c r="J855" t="s">
        <v>74</v>
      </c>
      <c r="K855" s="3">
        <v>46168</v>
      </c>
      <c r="L855" s="3">
        <v>46167</v>
      </c>
      <c r="M855" s="3">
        <v>46168</v>
      </c>
      <c r="N855" s="3">
        <v>46168</v>
      </c>
      <c r="O855" t="s">
        <v>491</v>
      </c>
      <c r="P855" t="s">
        <v>55</v>
      </c>
      <c r="Q855" t="s">
        <v>1604</v>
      </c>
      <c r="S855" t="s">
        <v>1444</v>
      </c>
      <c r="T855" t="s">
        <v>1429</v>
      </c>
      <c r="U855" t="s">
        <v>1605</v>
      </c>
      <c r="V855" t="s">
        <v>127</v>
      </c>
      <c r="W855">
        <v>13.4</v>
      </c>
      <c r="X855" t="s">
        <v>57</v>
      </c>
      <c r="Z855" t="s">
        <v>1444</v>
      </c>
      <c r="AA855" t="s">
        <v>77</v>
      </c>
      <c r="AE855">
        <v>1</v>
      </c>
      <c r="AF855">
        <v>1</v>
      </c>
      <c r="AG855">
        <v>1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1</v>
      </c>
    </row>
    <row r="856" spans="1:42" x14ac:dyDescent="0.25">
      <c r="A856">
        <v>982</v>
      </c>
      <c r="B856" t="s">
        <v>1606</v>
      </c>
      <c r="C856" t="s">
        <v>1603</v>
      </c>
      <c r="D856" t="s">
        <v>121</v>
      </c>
      <c r="E856" s="4">
        <v>1</v>
      </c>
      <c r="F856" t="s">
        <v>61</v>
      </c>
      <c r="G856" t="s">
        <v>61</v>
      </c>
      <c r="H856" s="3">
        <v>46168</v>
      </c>
      <c r="I856" s="3">
        <v>46168</v>
      </c>
      <c r="J856" t="s">
        <v>97</v>
      </c>
      <c r="K856" s="3">
        <v>46171</v>
      </c>
      <c r="L856" s="3">
        <v>46169</v>
      </c>
      <c r="M856" s="3">
        <v>46168</v>
      </c>
      <c r="N856" s="3">
        <v>46168</v>
      </c>
      <c r="O856" t="s">
        <v>206</v>
      </c>
      <c r="P856" t="s">
        <v>55</v>
      </c>
      <c r="Q856">
        <v>981</v>
      </c>
      <c r="S856" t="s">
        <v>124</v>
      </c>
      <c r="T856" t="s">
        <v>1429</v>
      </c>
      <c r="U856">
        <v>983</v>
      </c>
      <c r="V856" t="s">
        <v>122</v>
      </c>
      <c r="W856">
        <v>13.4</v>
      </c>
      <c r="X856" t="s">
        <v>57</v>
      </c>
      <c r="Z856" t="s">
        <v>124</v>
      </c>
      <c r="AA856" t="s">
        <v>77</v>
      </c>
      <c r="AE856">
        <v>1</v>
      </c>
      <c r="AF856">
        <v>0</v>
      </c>
      <c r="AG856">
        <v>0</v>
      </c>
      <c r="AH856">
        <v>0</v>
      </c>
      <c r="AI856">
        <v>0</v>
      </c>
      <c r="AJ856">
        <v>1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</row>
    <row r="857" spans="1:42" x14ac:dyDescent="0.25">
      <c r="A857">
        <v>983</v>
      </c>
      <c r="B857" t="s">
        <v>1607</v>
      </c>
      <c r="C857" t="s">
        <v>1603</v>
      </c>
      <c r="D857" t="s">
        <v>126</v>
      </c>
      <c r="E857" s="4">
        <v>1</v>
      </c>
      <c r="F857" t="s">
        <v>61</v>
      </c>
      <c r="G857" t="s">
        <v>61</v>
      </c>
      <c r="H857" s="3">
        <v>46168</v>
      </c>
      <c r="I857" s="3">
        <v>46168</v>
      </c>
      <c r="J857" t="s">
        <v>193</v>
      </c>
      <c r="K857" s="3">
        <v>46174</v>
      </c>
      <c r="L857" s="3">
        <v>46174</v>
      </c>
      <c r="M857" s="3">
        <v>46168</v>
      </c>
      <c r="N857" s="3">
        <v>46168</v>
      </c>
      <c r="O857" t="s">
        <v>206</v>
      </c>
      <c r="P857" t="s">
        <v>55</v>
      </c>
      <c r="Q857">
        <v>982</v>
      </c>
      <c r="S857" t="s">
        <v>1444</v>
      </c>
      <c r="T857" t="s">
        <v>1429</v>
      </c>
      <c r="U857">
        <v>984</v>
      </c>
      <c r="V857" t="s">
        <v>61</v>
      </c>
      <c r="W857">
        <v>13.4</v>
      </c>
      <c r="X857" t="s">
        <v>57</v>
      </c>
      <c r="Z857" t="s">
        <v>1444</v>
      </c>
      <c r="AA857" t="s">
        <v>460</v>
      </c>
      <c r="AE857">
        <v>1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1</v>
      </c>
      <c r="AM857">
        <v>0</v>
      </c>
      <c r="AN857">
        <v>0</v>
      </c>
      <c r="AO857">
        <v>0</v>
      </c>
      <c r="AP857">
        <v>0</v>
      </c>
    </row>
    <row r="858" spans="1:42" x14ac:dyDescent="0.25">
      <c r="A858">
        <v>984</v>
      </c>
      <c r="B858" t="s">
        <v>1608</v>
      </c>
      <c r="C858" t="s">
        <v>1603</v>
      </c>
      <c r="D858" t="s">
        <v>133</v>
      </c>
      <c r="E858" s="4">
        <v>1</v>
      </c>
      <c r="F858" t="s">
        <v>61</v>
      </c>
      <c r="G858" t="s">
        <v>61</v>
      </c>
      <c r="H858" s="3">
        <v>46168</v>
      </c>
      <c r="I858" s="3">
        <v>46168</v>
      </c>
      <c r="J858" t="s">
        <v>472</v>
      </c>
      <c r="K858" s="3">
        <v>46175</v>
      </c>
      <c r="L858" s="3">
        <v>46175</v>
      </c>
      <c r="M858" s="3">
        <v>46168</v>
      </c>
      <c r="N858" s="3">
        <v>46168</v>
      </c>
      <c r="O858" t="s">
        <v>206</v>
      </c>
      <c r="P858" t="s">
        <v>55</v>
      </c>
      <c r="Q858">
        <v>983</v>
      </c>
      <c r="S858" t="s">
        <v>124</v>
      </c>
      <c r="T858" t="s">
        <v>1429</v>
      </c>
      <c r="V858" t="s">
        <v>61</v>
      </c>
      <c r="W858">
        <v>13.4</v>
      </c>
      <c r="X858" t="s">
        <v>57</v>
      </c>
      <c r="Z858" t="s">
        <v>124</v>
      </c>
      <c r="AA858" t="s">
        <v>460</v>
      </c>
      <c r="AE858">
        <v>1</v>
      </c>
      <c r="AF858">
        <v>0</v>
      </c>
      <c r="AG858">
        <v>0</v>
      </c>
      <c r="AH858">
        <v>0</v>
      </c>
      <c r="AI858">
        <v>1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0</v>
      </c>
      <c r="AP858">
        <v>0</v>
      </c>
    </row>
    <row r="859" spans="1:42" x14ac:dyDescent="0.25">
      <c r="A859">
        <v>985</v>
      </c>
      <c r="B859" t="s">
        <v>1609</v>
      </c>
      <c r="C859" t="s">
        <v>1568</v>
      </c>
      <c r="D859" t="s">
        <v>1610</v>
      </c>
      <c r="E859" s="4">
        <v>1</v>
      </c>
      <c r="F859" t="s">
        <v>101</v>
      </c>
      <c r="G859" t="s">
        <v>101</v>
      </c>
      <c r="H859" s="3">
        <v>46163</v>
      </c>
      <c r="I859" s="3">
        <v>46168</v>
      </c>
      <c r="J859" t="s">
        <v>74</v>
      </c>
      <c r="K859" s="3">
        <v>46175</v>
      </c>
      <c r="L859" s="3">
        <v>46167</v>
      </c>
      <c r="M859" s="3">
        <v>46168</v>
      </c>
      <c r="N859" s="3">
        <v>46168</v>
      </c>
      <c r="O859" t="s">
        <v>491</v>
      </c>
      <c r="P859" t="s">
        <v>55</v>
      </c>
      <c r="T859" t="s">
        <v>1429</v>
      </c>
      <c r="V859" t="s">
        <v>175</v>
      </c>
      <c r="X859" t="s">
        <v>57</v>
      </c>
      <c r="AA859" t="s">
        <v>50</v>
      </c>
      <c r="AB859" t="s">
        <v>94</v>
      </c>
      <c r="AE859">
        <v>1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</row>
    <row r="860" spans="1:42" x14ac:dyDescent="0.25">
      <c r="A860">
        <v>986</v>
      </c>
      <c r="B860" t="s">
        <v>1611</v>
      </c>
      <c r="C860" t="s">
        <v>1612</v>
      </c>
      <c r="D860" t="s">
        <v>117</v>
      </c>
      <c r="E860" s="4">
        <v>1</v>
      </c>
      <c r="F860" t="s">
        <v>127</v>
      </c>
      <c r="G860" t="s">
        <v>127</v>
      </c>
      <c r="H860" s="3">
        <v>46163</v>
      </c>
      <c r="I860" s="3">
        <v>46168</v>
      </c>
      <c r="J860" t="s">
        <v>74</v>
      </c>
      <c r="K860" s="3">
        <v>46168</v>
      </c>
      <c r="L860" s="3">
        <v>46167</v>
      </c>
      <c r="M860" s="3">
        <v>46168</v>
      </c>
      <c r="N860" s="3">
        <v>46168</v>
      </c>
      <c r="O860" t="s">
        <v>491</v>
      </c>
      <c r="P860" t="s">
        <v>55</v>
      </c>
      <c r="Q860" t="s">
        <v>1613</v>
      </c>
      <c r="S860" t="s">
        <v>1444</v>
      </c>
      <c r="T860" t="s">
        <v>1429</v>
      </c>
      <c r="U860">
        <v>987</v>
      </c>
      <c r="V860" t="s">
        <v>127</v>
      </c>
      <c r="W860">
        <v>13.4</v>
      </c>
      <c r="X860" t="s">
        <v>57</v>
      </c>
      <c r="Z860" t="s">
        <v>1444</v>
      </c>
      <c r="AA860" t="s">
        <v>77</v>
      </c>
      <c r="AE860">
        <v>1</v>
      </c>
      <c r="AF860">
        <v>1</v>
      </c>
      <c r="AG860">
        <v>1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1</v>
      </c>
    </row>
    <row r="861" spans="1:42" x14ac:dyDescent="0.25">
      <c r="A861">
        <v>987</v>
      </c>
      <c r="B861" t="s">
        <v>1614</v>
      </c>
      <c r="C861" t="s">
        <v>1612</v>
      </c>
      <c r="D861" t="s">
        <v>121</v>
      </c>
      <c r="E861" s="4">
        <v>1</v>
      </c>
      <c r="F861" t="s">
        <v>61</v>
      </c>
      <c r="G861" t="s">
        <v>61</v>
      </c>
      <c r="H861" s="3">
        <v>46168</v>
      </c>
      <c r="I861" s="3">
        <v>46168</v>
      </c>
      <c r="J861" t="s">
        <v>97</v>
      </c>
      <c r="K861" s="3">
        <v>46171</v>
      </c>
      <c r="L861" s="3">
        <v>46169</v>
      </c>
      <c r="M861" s="3">
        <v>46168</v>
      </c>
      <c r="N861" s="3">
        <v>46168</v>
      </c>
      <c r="O861" t="s">
        <v>206</v>
      </c>
      <c r="P861" t="s">
        <v>55</v>
      </c>
      <c r="Q861">
        <v>986</v>
      </c>
      <c r="S861" t="s">
        <v>124</v>
      </c>
      <c r="T861" t="s">
        <v>1429</v>
      </c>
      <c r="U861">
        <v>988</v>
      </c>
      <c r="V861" t="s">
        <v>122</v>
      </c>
      <c r="W861">
        <v>13.4</v>
      </c>
      <c r="X861" t="s">
        <v>57</v>
      </c>
      <c r="Z861" t="s">
        <v>124</v>
      </c>
      <c r="AA861" t="s">
        <v>77</v>
      </c>
      <c r="AE861">
        <v>1</v>
      </c>
      <c r="AF861">
        <v>0</v>
      </c>
      <c r="AG861">
        <v>0</v>
      </c>
      <c r="AH861">
        <v>0</v>
      </c>
      <c r="AI861">
        <v>0</v>
      </c>
      <c r="AJ861">
        <v>1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</row>
    <row r="862" spans="1:42" x14ac:dyDescent="0.25">
      <c r="A862">
        <v>988</v>
      </c>
      <c r="B862" t="s">
        <v>1615</v>
      </c>
      <c r="C862" t="s">
        <v>1612</v>
      </c>
      <c r="D862" t="s">
        <v>126</v>
      </c>
      <c r="E862" s="4">
        <v>1</v>
      </c>
      <c r="F862" t="s">
        <v>61</v>
      </c>
      <c r="G862" t="s">
        <v>61</v>
      </c>
      <c r="H862" s="3">
        <v>46168</v>
      </c>
      <c r="I862" s="3">
        <v>46168</v>
      </c>
      <c r="J862" t="s">
        <v>193</v>
      </c>
      <c r="K862" s="3">
        <v>46174</v>
      </c>
      <c r="L862" s="3">
        <v>46174</v>
      </c>
      <c r="M862" s="3">
        <v>46168</v>
      </c>
      <c r="N862" s="3">
        <v>46168</v>
      </c>
      <c r="O862" t="s">
        <v>206</v>
      </c>
      <c r="P862" t="s">
        <v>55</v>
      </c>
      <c r="Q862">
        <v>987</v>
      </c>
      <c r="S862" t="s">
        <v>1444</v>
      </c>
      <c r="T862" t="s">
        <v>1429</v>
      </c>
      <c r="U862">
        <v>989</v>
      </c>
      <c r="V862" t="s">
        <v>61</v>
      </c>
      <c r="W862">
        <v>13.4</v>
      </c>
      <c r="X862" t="s">
        <v>57</v>
      </c>
      <c r="Z862" t="s">
        <v>1444</v>
      </c>
      <c r="AA862" t="s">
        <v>460</v>
      </c>
      <c r="AE862">
        <v>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1</v>
      </c>
      <c r="AM862">
        <v>0</v>
      </c>
      <c r="AN862">
        <v>0</v>
      </c>
      <c r="AO862">
        <v>0</v>
      </c>
      <c r="AP862">
        <v>0</v>
      </c>
    </row>
    <row r="863" spans="1:42" x14ac:dyDescent="0.25">
      <c r="A863">
        <v>989</v>
      </c>
      <c r="B863" t="s">
        <v>1616</v>
      </c>
      <c r="C863" t="s">
        <v>1612</v>
      </c>
      <c r="D863" t="s">
        <v>133</v>
      </c>
      <c r="E863" s="4">
        <v>1</v>
      </c>
      <c r="F863" t="s">
        <v>61</v>
      </c>
      <c r="G863" t="s">
        <v>61</v>
      </c>
      <c r="H863" s="3">
        <v>46168</v>
      </c>
      <c r="I863" s="3">
        <v>46168</v>
      </c>
      <c r="J863" t="s">
        <v>472</v>
      </c>
      <c r="K863" s="3">
        <v>46175</v>
      </c>
      <c r="L863" s="3">
        <v>46175</v>
      </c>
      <c r="M863" s="3">
        <v>46168</v>
      </c>
      <c r="N863" s="3">
        <v>46168</v>
      </c>
      <c r="O863" t="s">
        <v>206</v>
      </c>
      <c r="P863" t="s">
        <v>55</v>
      </c>
      <c r="Q863">
        <v>988</v>
      </c>
      <c r="S863" t="s">
        <v>124</v>
      </c>
      <c r="T863" t="s">
        <v>1429</v>
      </c>
      <c r="V863" t="s">
        <v>61</v>
      </c>
      <c r="W863">
        <v>13.4</v>
      </c>
      <c r="X863" t="s">
        <v>57</v>
      </c>
      <c r="Z863" t="s">
        <v>124</v>
      </c>
      <c r="AA863" t="s">
        <v>460</v>
      </c>
      <c r="AE863">
        <v>1</v>
      </c>
      <c r="AF863">
        <v>0</v>
      </c>
      <c r="AG863">
        <v>0</v>
      </c>
      <c r="AH863">
        <v>0</v>
      </c>
      <c r="AI863">
        <v>1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0</v>
      </c>
      <c r="AP863">
        <v>0</v>
      </c>
    </row>
    <row r="864" spans="1:42" x14ac:dyDescent="0.25">
      <c r="A864">
        <v>990</v>
      </c>
      <c r="B864" t="s">
        <v>1617</v>
      </c>
      <c r="C864" t="s">
        <v>1568</v>
      </c>
      <c r="D864" t="s">
        <v>1618</v>
      </c>
      <c r="E864" s="4">
        <v>1</v>
      </c>
      <c r="F864" t="s">
        <v>101</v>
      </c>
      <c r="G864" t="s">
        <v>101</v>
      </c>
      <c r="H864" s="3">
        <v>46163</v>
      </c>
      <c r="I864" s="3">
        <v>46168</v>
      </c>
      <c r="J864" t="s">
        <v>491</v>
      </c>
      <c r="K864" s="3">
        <v>46168</v>
      </c>
      <c r="L864" s="3">
        <v>46163</v>
      </c>
      <c r="M864" s="3">
        <v>46168</v>
      </c>
      <c r="N864" s="3">
        <v>46168</v>
      </c>
      <c r="O864" t="s">
        <v>491</v>
      </c>
      <c r="P864" t="s">
        <v>55</v>
      </c>
      <c r="T864" t="s">
        <v>1429</v>
      </c>
      <c r="V864" t="s">
        <v>175</v>
      </c>
      <c r="X864" t="s">
        <v>57</v>
      </c>
      <c r="AA864" t="s">
        <v>50</v>
      </c>
      <c r="AB864" t="s">
        <v>94</v>
      </c>
      <c r="AE864">
        <v>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</row>
    <row r="865" spans="1:42" x14ac:dyDescent="0.25">
      <c r="A865">
        <v>991</v>
      </c>
      <c r="B865" t="s">
        <v>1619</v>
      </c>
      <c r="C865" t="s">
        <v>1620</v>
      </c>
      <c r="D865" t="s">
        <v>117</v>
      </c>
      <c r="E865" s="4">
        <v>1</v>
      </c>
      <c r="F865" t="s">
        <v>127</v>
      </c>
      <c r="G865" t="s">
        <v>127</v>
      </c>
      <c r="H865" s="3">
        <v>46163</v>
      </c>
      <c r="I865" s="3">
        <v>46168</v>
      </c>
      <c r="J865" t="s">
        <v>491</v>
      </c>
      <c r="K865" s="3">
        <v>46168</v>
      </c>
      <c r="L865" s="3">
        <v>46163</v>
      </c>
      <c r="M865" s="3">
        <v>46168</v>
      </c>
      <c r="N865" s="3">
        <v>46168</v>
      </c>
      <c r="O865" t="s">
        <v>491</v>
      </c>
      <c r="P865" t="s">
        <v>55</v>
      </c>
      <c r="Q865" t="s">
        <v>1613</v>
      </c>
      <c r="S865" t="s">
        <v>1444</v>
      </c>
      <c r="T865" t="s">
        <v>1429</v>
      </c>
      <c r="U865">
        <v>992</v>
      </c>
      <c r="V865" t="s">
        <v>127</v>
      </c>
      <c r="W865">
        <v>13.4</v>
      </c>
      <c r="X865" t="s">
        <v>57</v>
      </c>
      <c r="Z865" t="s">
        <v>1444</v>
      </c>
      <c r="AA865" t="s">
        <v>77</v>
      </c>
      <c r="AE865">
        <v>1</v>
      </c>
      <c r="AF865">
        <v>1</v>
      </c>
      <c r="AG865">
        <v>1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1</v>
      </c>
    </row>
    <row r="866" spans="1:42" x14ac:dyDescent="0.25">
      <c r="A866">
        <v>992</v>
      </c>
      <c r="B866" t="s">
        <v>1621</v>
      </c>
      <c r="C866" t="s">
        <v>1620</v>
      </c>
      <c r="D866" t="s">
        <v>121</v>
      </c>
      <c r="E866" s="4">
        <v>1</v>
      </c>
      <c r="F866" t="s">
        <v>61</v>
      </c>
      <c r="G866" t="s">
        <v>61</v>
      </c>
      <c r="H866" s="3">
        <v>46168</v>
      </c>
      <c r="I866" s="3">
        <v>46168</v>
      </c>
      <c r="J866" t="s">
        <v>206</v>
      </c>
      <c r="K866" s="3">
        <v>46168</v>
      </c>
      <c r="L866" s="3">
        <v>46168</v>
      </c>
      <c r="M866" s="3">
        <v>46168</v>
      </c>
      <c r="N866" s="3">
        <v>46168</v>
      </c>
      <c r="O866" t="s">
        <v>206</v>
      </c>
      <c r="P866" t="s">
        <v>55</v>
      </c>
      <c r="Q866">
        <v>991</v>
      </c>
      <c r="S866" t="s">
        <v>124</v>
      </c>
      <c r="T866" t="s">
        <v>1429</v>
      </c>
      <c r="U866">
        <v>993</v>
      </c>
      <c r="V866" t="s">
        <v>122</v>
      </c>
      <c r="W866">
        <v>13.4</v>
      </c>
      <c r="X866" t="s">
        <v>57</v>
      </c>
      <c r="Z866" t="s">
        <v>124</v>
      </c>
      <c r="AA866" t="s">
        <v>77</v>
      </c>
      <c r="AE866">
        <v>1</v>
      </c>
      <c r="AF866">
        <v>0</v>
      </c>
      <c r="AG866">
        <v>0</v>
      </c>
      <c r="AH866">
        <v>0</v>
      </c>
      <c r="AI866">
        <v>0</v>
      </c>
      <c r="AJ866">
        <v>1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</row>
    <row r="867" spans="1:42" x14ac:dyDescent="0.25">
      <c r="A867">
        <v>993</v>
      </c>
      <c r="B867" t="s">
        <v>1622</v>
      </c>
      <c r="C867" t="s">
        <v>1620</v>
      </c>
      <c r="D867" t="s">
        <v>126</v>
      </c>
      <c r="E867" s="4">
        <v>1</v>
      </c>
      <c r="F867" t="s">
        <v>61</v>
      </c>
      <c r="G867" t="s">
        <v>61</v>
      </c>
      <c r="H867" s="3">
        <v>46168</v>
      </c>
      <c r="I867" s="3">
        <v>46168</v>
      </c>
      <c r="J867" t="s">
        <v>206</v>
      </c>
      <c r="K867" s="3">
        <v>46168</v>
      </c>
      <c r="L867" s="3">
        <v>46168</v>
      </c>
      <c r="M867" s="3">
        <v>46168</v>
      </c>
      <c r="N867" s="3">
        <v>46168</v>
      </c>
      <c r="O867" t="s">
        <v>206</v>
      </c>
      <c r="P867" t="s">
        <v>55</v>
      </c>
      <c r="Q867">
        <v>992</v>
      </c>
      <c r="S867" t="s">
        <v>1444</v>
      </c>
      <c r="T867" t="s">
        <v>1429</v>
      </c>
      <c r="U867">
        <v>994</v>
      </c>
      <c r="V867" t="s">
        <v>61</v>
      </c>
      <c r="W867">
        <v>13.4</v>
      </c>
      <c r="X867" t="s">
        <v>57</v>
      </c>
      <c r="Z867" t="s">
        <v>1444</v>
      </c>
      <c r="AA867" t="s">
        <v>460</v>
      </c>
      <c r="AE867">
        <v>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1</v>
      </c>
      <c r="AM867">
        <v>0</v>
      </c>
      <c r="AN867">
        <v>0</v>
      </c>
      <c r="AO867">
        <v>0</v>
      </c>
      <c r="AP867">
        <v>0</v>
      </c>
    </row>
    <row r="868" spans="1:42" x14ac:dyDescent="0.25">
      <c r="A868">
        <v>994</v>
      </c>
      <c r="B868" t="s">
        <v>1623</v>
      </c>
      <c r="C868" t="s">
        <v>1620</v>
      </c>
      <c r="D868" t="s">
        <v>133</v>
      </c>
      <c r="E868" s="4">
        <v>1</v>
      </c>
      <c r="F868" t="s">
        <v>61</v>
      </c>
      <c r="G868" t="s">
        <v>61</v>
      </c>
      <c r="H868" s="3">
        <v>46168</v>
      </c>
      <c r="I868" s="3">
        <v>46168</v>
      </c>
      <c r="J868" t="s">
        <v>206</v>
      </c>
      <c r="K868" s="3">
        <v>46168</v>
      </c>
      <c r="L868" s="3">
        <v>46168</v>
      </c>
      <c r="M868" s="3">
        <v>46168</v>
      </c>
      <c r="N868" s="3">
        <v>46168</v>
      </c>
      <c r="O868" t="s">
        <v>206</v>
      </c>
      <c r="P868" t="s">
        <v>55</v>
      </c>
      <c r="Q868">
        <v>993</v>
      </c>
      <c r="S868" t="s">
        <v>124</v>
      </c>
      <c r="T868" t="s">
        <v>1429</v>
      </c>
      <c r="V868" t="s">
        <v>61</v>
      </c>
      <c r="W868">
        <v>13.4</v>
      </c>
      <c r="X868" t="s">
        <v>57</v>
      </c>
      <c r="Z868" t="s">
        <v>124</v>
      </c>
      <c r="AA868" t="s">
        <v>460</v>
      </c>
      <c r="AE868">
        <v>1</v>
      </c>
      <c r="AF868">
        <v>0</v>
      </c>
      <c r="AG868">
        <v>0</v>
      </c>
      <c r="AH868">
        <v>0</v>
      </c>
      <c r="AI868">
        <v>1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0</v>
      </c>
      <c r="AP868">
        <v>0</v>
      </c>
    </row>
    <row r="869" spans="1:42" x14ac:dyDescent="0.25">
      <c r="A869">
        <v>995</v>
      </c>
      <c r="B869" t="s">
        <v>1624</v>
      </c>
      <c r="C869" t="s">
        <v>1568</v>
      </c>
      <c r="D869" t="s">
        <v>1625</v>
      </c>
      <c r="E869" s="4">
        <v>1</v>
      </c>
      <c r="F869" t="s">
        <v>101</v>
      </c>
      <c r="G869" t="s">
        <v>101</v>
      </c>
      <c r="H869" s="3">
        <v>46163</v>
      </c>
      <c r="I869" s="3">
        <v>46168</v>
      </c>
      <c r="J869" t="s">
        <v>491</v>
      </c>
      <c r="K869" s="3">
        <v>46168</v>
      </c>
      <c r="L869" s="3">
        <v>46163</v>
      </c>
      <c r="M869" s="3">
        <v>46168</v>
      </c>
      <c r="N869" s="3">
        <v>46168</v>
      </c>
      <c r="O869" t="s">
        <v>491</v>
      </c>
      <c r="P869" t="s">
        <v>55</v>
      </c>
      <c r="T869" t="s">
        <v>1429</v>
      </c>
      <c r="V869" t="s">
        <v>175</v>
      </c>
      <c r="X869" t="s">
        <v>57</v>
      </c>
      <c r="AA869" t="s">
        <v>50</v>
      </c>
      <c r="AB869" t="s">
        <v>94</v>
      </c>
      <c r="AE869">
        <v>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</row>
    <row r="870" spans="1:42" x14ac:dyDescent="0.25">
      <c r="A870">
        <v>996</v>
      </c>
      <c r="B870" t="s">
        <v>1626</v>
      </c>
      <c r="C870" t="s">
        <v>1627</v>
      </c>
      <c r="D870" t="s">
        <v>117</v>
      </c>
      <c r="E870" s="4">
        <v>1</v>
      </c>
      <c r="F870" t="s">
        <v>127</v>
      </c>
      <c r="G870" t="s">
        <v>127</v>
      </c>
      <c r="H870" s="3">
        <v>46163</v>
      </c>
      <c r="I870" s="3">
        <v>46168</v>
      </c>
      <c r="J870" t="s">
        <v>491</v>
      </c>
      <c r="K870" s="3">
        <v>46168</v>
      </c>
      <c r="L870" s="3">
        <v>46163</v>
      </c>
      <c r="M870" s="3">
        <v>46168</v>
      </c>
      <c r="N870" s="3">
        <v>46168</v>
      </c>
      <c r="O870" t="s">
        <v>491</v>
      </c>
      <c r="P870" t="s">
        <v>55</v>
      </c>
      <c r="Q870" t="s">
        <v>1613</v>
      </c>
      <c r="S870" t="s">
        <v>1444</v>
      </c>
      <c r="T870" t="s">
        <v>1429</v>
      </c>
      <c r="U870">
        <v>997</v>
      </c>
      <c r="V870" t="s">
        <v>127</v>
      </c>
      <c r="W870">
        <v>13.4</v>
      </c>
      <c r="X870" t="s">
        <v>57</v>
      </c>
      <c r="Z870" t="s">
        <v>1444</v>
      </c>
      <c r="AA870" t="s">
        <v>77</v>
      </c>
      <c r="AE870">
        <v>1</v>
      </c>
      <c r="AF870">
        <v>1</v>
      </c>
      <c r="AG870">
        <v>1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1</v>
      </c>
    </row>
    <row r="871" spans="1:42" x14ac:dyDescent="0.25">
      <c r="A871">
        <v>997</v>
      </c>
      <c r="B871" t="s">
        <v>1628</v>
      </c>
      <c r="C871" t="s">
        <v>1627</v>
      </c>
      <c r="D871" t="s">
        <v>121</v>
      </c>
      <c r="E871" s="4">
        <v>1</v>
      </c>
      <c r="F871" t="s">
        <v>61</v>
      </c>
      <c r="G871" t="s">
        <v>61</v>
      </c>
      <c r="H871" s="3">
        <v>46168</v>
      </c>
      <c r="I871" s="3">
        <v>46168</v>
      </c>
      <c r="J871" t="s">
        <v>206</v>
      </c>
      <c r="K871" s="3">
        <v>46168</v>
      </c>
      <c r="L871" s="3">
        <v>46168</v>
      </c>
      <c r="M871" s="3">
        <v>46168</v>
      </c>
      <c r="N871" s="3">
        <v>46168</v>
      </c>
      <c r="O871" t="s">
        <v>206</v>
      </c>
      <c r="P871" t="s">
        <v>55</v>
      </c>
      <c r="Q871">
        <v>996</v>
      </c>
      <c r="S871" t="s">
        <v>124</v>
      </c>
      <c r="T871" t="s">
        <v>1429</v>
      </c>
      <c r="U871">
        <v>998</v>
      </c>
      <c r="V871" t="s">
        <v>122</v>
      </c>
      <c r="W871">
        <v>13.4</v>
      </c>
      <c r="X871" t="s">
        <v>57</v>
      </c>
      <c r="Z871" t="s">
        <v>124</v>
      </c>
      <c r="AA871" t="s">
        <v>77</v>
      </c>
      <c r="AE871">
        <v>1</v>
      </c>
      <c r="AF871">
        <v>0</v>
      </c>
      <c r="AG871">
        <v>0</v>
      </c>
      <c r="AH871">
        <v>0</v>
      </c>
      <c r="AI871">
        <v>0</v>
      </c>
      <c r="AJ871">
        <v>1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</row>
    <row r="872" spans="1:42" x14ac:dyDescent="0.25">
      <c r="A872">
        <v>998</v>
      </c>
      <c r="B872" t="s">
        <v>1629</v>
      </c>
      <c r="C872" t="s">
        <v>1627</v>
      </c>
      <c r="D872" t="s">
        <v>126</v>
      </c>
      <c r="E872" s="4">
        <v>1</v>
      </c>
      <c r="F872" t="s">
        <v>61</v>
      </c>
      <c r="G872" t="s">
        <v>61</v>
      </c>
      <c r="H872" s="3">
        <v>46168</v>
      </c>
      <c r="I872" s="3">
        <v>46168</v>
      </c>
      <c r="J872" t="s">
        <v>206</v>
      </c>
      <c r="K872" s="3">
        <v>46168</v>
      </c>
      <c r="L872" s="3">
        <v>46168</v>
      </c>
      <c r="M872" s="3">
        <v>46168</v>
      </c>
      <c r="N872" s="3">
        <v>46168</v>
      </c>
      <c r="O872" t="s">
        <v>206</v>
      </c>
      <c r="P872" t="s">
        <v>55</v>
      </c>
      <c r="Q872">
        <v>997</v>
      </c>
      <c r="S872" t="s">
        <v>1444</v>
      </c>
      <c r="T872" t="s">
        <v>1429</v>
      </c>
      <c r="U872">
        <v>999</v>
      </c>
      <c r="V872" t="s">
        <v>61</v>
      </c>
      <c r="W872">
        <v>13.4</v>
      </c>
      <c r="X872" t="s">
        <v>57</v>
      </c>
      <c r="Z872" t="s">
        <v>1444</v>
      </c>
      <c r="AA872" t="s">
        <v>460</v>
      </c>
      <c r="AE872">
        <v>1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1</v>
      </c>
      <c r="AM872">
        <v>0</v>
      </c>
      <c r="AN872">
        <v>0</v>
      </c>
      <c r="AO872">
        <v>0</v>
      </c>
      <c r="AP872">
        <v>0</v>
      </c>
    </row>
    <row r="873" spans="1:42" x14ac:dyDescent="0.25">
      <c r="A873">
        <v>999</v>
      </c>
      <c r="B873" t="s">
        <v>1630</v>
      </c>
      <c r="C873" t="s">
        <v>1627</v>
      </c>
      <c r="D873" t="s">
        <v>133</v>
      </c>
      <c r="E873" s="4">
        <v>1</v>
      </c>
      <c r="F873" t="s">
        <v>61</v>
      </c>
      <c r="G873" t="s">
        <v>61</v>
      </c>
      <c r="H873" s="3">
        <v>46168</v>
      </c>
      <c r="I873" s="3">
        <v>46168</v>
      </c>
      <c r="J873" t="s">
        <v>206</v>
      </c>
      <c r="K873" s="3">
        <v>46168</v>
      </c>
      <c r="L873" s="3">
        <v>46168</v>
      </c>
      <c r="M873" s="3">
        <v>46168</v>
      </c>
      <c r="N873" s="3">
        <v>46168</v>
      </c>
      <c r="O873" t="s">
        <v>206</v>
      </c>
      <c r="P873" t="s">
        <v>55</v>
      </c>
      <c r="Q873">
        <v>998</v>
      </c>
      <c r="S873" t="s">
        <v>124</v>
      </c>
      <c r="T873" t="s">
        <v>1429</v>
      </c>
      <c r="V873" t="s">
        <v>61</v>
      </c>
      <c r="W873">
        <v>13.4</v>
      </c>
      <c r="X873" t="s">
        <v>57</v>
      </c>
      <c r="Z873" t="s">
        <v>124</v>
      </c>
      <c r="AA873" t="s">
        <v>460</v>
      </c>
      <c r="AE873">
        <v>1</v>
      </c>
      <c r="AF873">
        <v>0</v>
      </c>
      <c r="AG873">
        <v>0</v>
      </c>
      <c r="AH873">
        <v>0</v>
      </c>
      <c r="AI873">
        <v>1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0</v>
      </c>
      <c r="AP873">
        <v>0</v>
      </c>
    </row>
    <row r="874" spans="1:42" x14ac:dyDescent="0.25">
      <c r="A874">
        <v>1000</v>
      </c>
      <c r="B874" t="s">
        <v>1631</v>
      </c>
      <c r="C874" t="s">
        <v>1568</v>
      </c>
      <c r="D874" t="s">
        <v>1632</v>
      </c>
      <c r="E874" s="4">
        <v>1</v>
      </c>
      <c r="F874" t="s">
        <v>101</v>
      </c>
      <c r="G874" t="s">
        <v>101</v>
      </c>
      <c r="H874" s="3">
        <v>46163</v>
      </c>
      <c r="I874" s="3">
        <v>46168</v>
      </c>
      <c r="J874" t="s">
        <v>491</v>
      </c>
      <c r="K874" s="3">
        <v>46168</v>
      </c>
      <c r="L874" s="3">
        <v>46163</v>
      </c>
      <c r="M874" s="3">
        <v>46168</v>
      </c>
      <c r="N874" s="3">
        <v>46168</v>
      </c>
      <c r="O874" t="s">
        <v>491</v>
      </c>
      <c r="P874" t="s">
        <v>55</v>
      </c>
      <c r="T874" t="s">
        <v>1429</v>
      </c>
      <c r="V874" t="s">
        <v>175</v>
      </c>
      <c r="X874" t="s">
        <v>57</v>
      </c>
      <c r="AA874" t="s">
        <v>50</v>
      </c>
      <c r="AB874" t="s">
        <v>94</v>
      </c>
      <c r="AE874">
        <v>1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</row>
    <row r="875" spans="1:42" x14ac:dyDescent="0.25">
      <c r="A875">
        <v>1001</v>
      </c>
      <c r="B875" t="s">
        <v>1633</v>
      </c>
      <c r="C875" t="s">
        <v>1634</v>
      </c>
      <c r="D875" t="s">
        <v>117</v>
      </c>
      <c r="E875" s="4">
        <v>1</v>
      </c>
      <c r="F875" t="s">
        <v>127</v>
      </c>
      <c r="G875" t="s">
        <v>127</v>
      </c>
      <c r="H875" s="3">
        <v>46163</v>
      </c>
      <c r="I875" s="3">
        <v>46168</v>
      </c>
      <c r="J875" t="s">
        <v>491</v>
      </c>
      <c r="K875" s="3">
        <v>46168</v>
      </c>
      <c r="L875" s="3">
        <v>46163</v>
      </c>
      <c r="M875" s="3">
        <v>46168</v>
      </c>
      <c r="N875" s="3">
        <v>46168</v>
      </c>
      <c r="O875" t="s">
        <v>491</v>
      </c>
      <c r="P875" t="s">
        <v>55</v>
      </c>
      <c r="Q875" t="s">
        <v>1613</v>
      </c>
      <c r="S875" t="s">
        <v>1444</v>
      </c>
      <c r="T875" t="s">
        <v>1429</v>
      </c>
      <c r="U875">
        <v>1002</v>
      </c>
      <c r="V875" t="s">
        <v>127</v>
      </c>
      <c r="W875">
        <v>13.4</v>
      </c>
      <c r="X875" t="s">
        <v>57</v>
      </c>
      <c r="Z875" t="s">
        <v>1444</v>
      </c>
      <c r="AA875" t="s">
        <v>77</v>
      </c>
      <c r="AE875">
        <v>1</v>
      </c>
      <c r="AF875">
        <v>1</v>
      </c>
      <c r="AG875">
        <v>1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1</v>
      </c>
    </row>
    <row r="876" spans="1:42" x14ac:dyDescent="0.25">
      <c r="A876">
        <v>1002</v>
      </c>
      <c r="B876" t="s">
        <v>1635</v>
      </c>
      <c r="C876" t="s">
        <v>1634</v>
      </c>
      <c r="D876" t="s">
        <v>121</v>
      </c>
      <c r="E876" s="4">
        <v>1</v>
      </c>
      <c r="F876" t="s">
        <v>61</v>
      </c>
      <c r="G876" t="s">
        <v>61</v>
      </c>
      <c r="H876" s="3">
        <v>46168</v>
      </c>
      <c r="I876" s="3">
        <v>46168</v>
      </c>
      <c r="J876" t="s">
        <v>206</v>
      </c>
      <c r="K876" s="3">
        <v>46168</v>
      </c>
      <c r="L876" s="3">
        <v>46168</v>
      </c>
      <c r="M876" s="3">
        <v>46168</v>
      </c>
      <c r="N876" s="3">
        <v>46168</v>
      </c>
      <c r="O876" t="s">
        <v>206</v>
      </c>
      <c r="P876" t="s">
        <v>55</v>
      </c>
      <c r="Q876">
        <v>1001</v>
      </c>
      <c r="S876" t="s">
        <v>124</v>
      </c>
      <c r="T876" t="s">
        <v>1429</v>
      </c>
      <c r="U876">
        <v>1003</v>
      </c>
      <c r="V876" t="s">
        <v>122</v>
      </c>
      <c r="W876">
        <v>13.4</v>
      </c>
      <c r="X876" t="s">
        <v>57</v>
      </c>
      <c r="Z876" t="s">
        <v>124</v>
      </c>
      <c r="AA876" t="s">
        <v>77</v>
      </c>
      <c r="AE876">
        <v>1</v>
      </c>
      <c r="AF876">
        <v>0</v>
      </c>
      <c r="AG876">
        <v>0</v>
      </c>
      <c r="AH876">
        <v>0</v>
      </c>
      <c r="AI876">
        <v>0</v>
      </c>
      <c r="AJ876">
        <v>1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</row>
    <row r="877" spans="1:42" x14ac:dyDescent="0.25">
      <c r="A877">
        <v>1003</v>
      </c>
      <c r="B877" t="s">
        <v>1636</v>
      </c>
      <c r="C877" t="s">
        <v>1634</v>
      </c>
      <c r="D877" t="s">
        <v>126</v>
      </c>
      <c r="E877" s="4">
        <v>1</v>
      </c>
      <c r="F877" t="s">
        <v>61</v>
      </c>
      <c r="G877" t="s">
        <v>61</v>
      </c>
      <c r="H877" s="3">
        <v>46168</v>
      </c>
      <c r="I877" s="3">
        <v>46168</v>
      </c>
      <c r="J877" t="s">
        <v>206</v>
      </c>
      <c r="K877" s="3">
        <v>46168</v>
      </c>
      <c r="L877" s="3">
        <v>46168</v>
      </c>
      <c r="M877" s="3">
        <v>46168</v>
      </c>
      <c r="N877" s="3">
        <v>46168</v>
      </c>
      <c r="O877" t="s">
        <v>206</v>
      </c>
      <c r="P877" t="s">
        <v>55</v>
      </c>
      <c r="Q877">
        <v>1002</v>
      </c>
      <c r="S877" t="s">
        <v>1444</v>
      </c>
      <c r="T877" t="s">
        <v>1429</v>
      </c>
      <c r="U877">
        <v>1004</v>
      </c>
      <c r="V877" t="s">
        <v>61</v>
      </c>
      <c r="W877">
        <v>13.4</v>
      </c>
      <c r="X877" t="s">
        <v>57</v>
      </c>
      <c r="Z877" t="s">
        <v>1444</v>
      </c>
      <c r="AA877" t="s">
        <v>460</v>
      </c>
      <c r="AE877">
        <v>1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1</v>
      </c>
      <c r="AM877">
        <v>0</v>
      </c>
      <c r="AN877">
        <v>0</v>
      </c>
      <c r="AO877">
        <v>0</v>
      </c>
      <c r="AP877">
        <v>0</v>
      </c>
    </row>
    <row r="878" spans="1:42" x14ac:dyDescent="0.25">
      <c r="A878">
        <v>1004</v>
      </c>
      <c r="B878" t="s">
        <v>1637</v>
      </c>
      <c r="C878" t="s">
        <v>1634</v>
      </c>
      <c r="D878" t="s">
        <v>133</v>
      </c>
      <c r="E878" s="4">
        <v>1</v>
      </c>
      <c r="F878" t="s">
        <v>61</v>
      </c>
      <c r="G878" t="s">
        <v>61</v>
      </c>
      <c r="H878" s="3">
        <v>46168</v>
      </c>
      <c r="I878" s="3">
        <v>46168</v>
      </c>
      <c r="J878" t="s">
        <v>206</v>
      </c>
      <c r="K878" s="3">
        <v>46168</v>
      </c>
      <c r="L878" s="3">
        <v>46168</v>
      </c>
      <c r="M878" s="3">
        <v>46168</v>
      </c>
      <c r="N878" s="3">
        <v>46168</v>
      </c>
      <c r="O878" t="s">
        <v>206</v>
      </c>
      <c r="P878" t="s">
        <v>55</v>
      </c>
      <c r="Q878">
        <v>1003</v>
      </c>
      <c r="S878" t="s">
        <v>124</v>
      </c>
      <c r="T878" t="s">
        <v>1429</v>
      </c>
      <c r="V878" t="s">
        <v>61</v>
      </c>
      <c r="W878">
        <v>13.4</v>
      </c>
      <c r="X878" t="s">
        <v>57</v>
      </c>
      <c r="Z878" t="s">
        <v>124</v>
      </c>
      <c r="AA878" t="s">
        <v>460</v>
      </c>
      <c r="AE878">
        <v>1</v>
      </c>
      <c r="AF878">
        <v>0</v>
      </c>
      <c r="AG878">
        <v>0</v>
      </c>
      <c r="AH878">
        <v>0</v>
      </c>
      <c r="AI878">
        <v>1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0</v>
      </c>
      <c r="AP878">
        <v>0</v>
      </c>
    </row>
    <row r="879" spans="1:42" x14ac:dyDescent="0.25">
      <c r="A879">
        <v>1005</v>
      </c>
      <c r="B879" t="s">
        <v>1638</v>
      </c>
      <c r="C879" t="s">
        <v>1568</v>
      </c>
      <c r="D879" t="s">
        <v>1639</v>
      </c>
      <c r="E879" s="4">
        <v>1</v>
      </c>
      <c r="F879" t="s">
        <v>101</v>
      </c>
      <c r="G879" t="s">
        <v>101</v>
      </c>
      <c r="H879" s="3">
        <v>46163</v>
      </c>
      <c r="I879" s="3">
        <v>46168</v>
      </c>
      <c r="J879" t="s">
        <v>491</v>
      </c>
      <c r="K879" s="3">
        <v>46168</v>
      </c>
      <c r="L879" s="3">
        <v>46163</v>
      </c>
      <c r="M879" s="3">
        <v>46168</v>
      </c>
      <c r="N879" s="3">
        <v>46168</v>
      </c>
      <c r="O879" t="s">
        <v>491</v>
      </c>
      <c r="P879" t="s">
        <v>55</v>
      </c>
      <c r="T879" t="s">
        <v>1429</v>
      </c>
      <c r="V879" t="s">
        <v>175</v>
      </c>
      <c r="X879" t="s">
        <v>57</v>
      </c>
      <c r="AA879" t="s">
        <v>50</v>
      </c>
      <c r="AB879" t="s">
        <v>94</v>
      </c>
      <c r="AE879">
        <v>1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</row>
    <row r="880" spans="1:42" x14ac:dyDescent="0.25">
      <c r="A880">
        <v>1006</v>
      </c>
      <c r="B880" t="s">
        <v>1640</v>
      </c>
      <c r="C880" t="s">
        <v>1641</v>
      </c>
      <c r="D880" t="s">
        <v>117</v>
      </c>
      <c r="E880" s="4">
        <v>1</v>
      </c>
      <c r="F880" t="s">
        <v>127</v>
      </c>
      <c r="G880" t="s">
        <v>127</v>
      </c>
      <c r="H880" s="3">
        <v>46163</v>
      </c>
      <c r="I880" s="3">
        <v>46168</v>
      </c>
      <c r="J880" t="s">
        <v>491</v>
      </c>
      <c r="K880" s="3">
        <v>46168</v>
      </c>
      <c r="L880" s="3">
        <v>46163</v>
      </c>
      <c r="M880" s="3">
        <v>46168</v>
      </c>
      <c r="N880" s="3">
        <v>46168</v>
      </c>
      <c r="O880" t="s">
        <v>491</v>
      </c>
      <c r="P880" t="s">
        <v>55</v>
      </c>
      <c r="Q880" t="s">
        <v>1613</v>
      </c>
      <c r="S880" t="s">
        <v>1444</v>
      </c>
      <c r="T880" t="s">
        <v>1429</v>
      </c>
      <c r="U880">
        <v>1007</v>
      </c>
      <c r="V880" t="s">
        <v>127</v>
      </c>
      <c r="W880">
        <v>13.4</v>
      </c>
      <c r="X880" t="s">
        <v>57</v>
      </c>
      <c r="Z880" t="s">
        <v>1444</v>
      </c>
      <c r="AA880" t="s">
        <v>77</v>
      </c>
      <c r="AE880">
        <v>1</v>
      </c>
      <c r="AF880">
        <v>1</v>
      </c>
      <c r="AG880">
        <v>1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1</v>
      </c>
    </row>
    <row r="881" spans="1:42" x14ac:dyDescent="0.25">
      <c r="A881">
        <v>1007</v>
      </c>
      <c r="B881" t="s">
        <v>1642</v>
      </c>
      <c r="C881" t="s">
        <v>1641</v>
      </c>
      <c r="D881" t="s">
        <v>121</v>
      </c>
      <c r="E881" s="4">
        <v>1</v>
      </c>
      <c r="F881" t="s">
        <v>61</v>
      </c>
      <c r="G881" t="s">
        <v>61</v>
      </c>
      <c r="H881" s="3">
        <v>46168</v>
      </c>
      <c r="I881" s="3">
        <v>46168</v>
      </c>
      <c r="J881" t="s">
        <v>206</v>
      </c>
      <c r="K881" s="3">
        <v>46168</v>
      </c>
      <c r="L881" s="3">
        <v>46168</v>
      </c>
      <c r="M881" s="3">
        <v>46168</v>
      </c>
      <c r="N881" s="3">
        <v>46168</v>
      </c>
      <c r="O881" t="s">
        <v>206</v>
      </c>
      <c r="P881" t="s">
        <v>55</v>
      </c>
      <c r="Q881">
        <v>1006</v>
      </c>
      <c r="S881" t="s">
        <v>124</v>
      </c>
      <c r="T881" t="s">
        <v>1429</v>
      </c>
      <c r="U881">
        <v>1008</v>
      </c>
      <c r="V881" t="s">
        <v>122</v>
      </c>
      <c r="W881">
        <v>13.4</v>
      </c>
      <c r="X881" t="s">
        <v>57</v>
      </c>
      <c r="Z881" t="s">
        <v>124</v>
      </c>
      <c r="AA881" t="s">
        <v>77</v>
      </c>
      <c r="AE881">
        <v>1</v>
      </c>
      <c r="AF881">
        <v>0</v>
      </c>
      <c r="AG881">
        <v>0</v>
      </c>
      <c r="AH881">
        <v>0</v>
      </c>
      <c r="AI881">
        <v>0</v>
      </c>
      <c r="AJ881">
        <v>1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</row>
    <row r="882" spans="1:42" x14ac:dyDescent="0.25">
      <c r="A882">
        <v>1008</v>
      </c>
      <c r="B882" t="s">
        <v>1643</v>
      </c>
      <c r="C882" t="s">
        <v>1641</v>
      </c>
      <c r="D882" t="s">
        <v>126</v>
      </c>
      <c r="E882" s="4">
        <v>1</v>
      </c>
      <c r="F882" t="s">
        <v>61</v>
      </c>
      <c r="G882" t="s">
        <v>61</v>
      </c>
      <c r="H882" s="3">
        <v>46168</v>
      </c>
      <c r="I882" s="3">
        <v>46168</v>
      </c>
      <c r="J882" t="s">
        <v>206</v>
      </c>
      <c r="K882" s="3">
        <v>46168</v>
      </c>
      <c r="L882" s="3">
        <v>46168</v>
      </c>
      <c r="M882" s="3">
        <v>46168</v>
      </c>
      <c r="N882" s="3">
        <v>46168</v>
      </c>
      <c r="O882" t="s">
        <v>206</v>
      </c>
      <c r="P882" t="s">
        <v>55</v>
      </c>
      <c r="Q882">
        <v>1007</v>
      </c>
      <c r="S882" t="s">
        <v>1444</v>
      </c>
      <c r="T882" t="s">
        <v>1429</v>
      </c>
      <c r="U882">
        <v>1009</v>
      </c>
      <c r="V882" t="s">
        <v>61</v>
      </c>
      <c r="W882">
        <v>13.4</v>
      </c>
      <c r="X882" t="s">
        <v>57</v>
      </c>
      <c r="Z882" t="s">
        <v>1444</v>
      </c>
      <c r="AA882" t="s">
        <v>460</v>
      </c>
      <c r="AE882">
        <v>1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1</v>
      </c>
      <c r="AM882">
        <v>0</v>
      </c>
      <c r="AN882">
        <v>0</v>
      </c>
      <c r="AO882">
        <v>0</v>
      </c>
      <c r="AP882">
        <v>0</v>
      </c>
    </row>
    <row r="883" spans="1:42" x14ac:dyDescent="0.25">
      <c r="A883">
        <v>1009</v>
      </c>
      <c r="B883" t="s">
        <v>1644</v>
      </c>
      <c r="C883" t="s">
        <v>1641</v>
      </c>
      <c r="D883" t="s">
        <v>133</v>
      </c>
      <c r="E883" s="4">
        <v>1</v>
      </c>
      <c r="F883" t="s">
        <v>61</v>
      </c>
      <c r="G883" t="s">
        <v>61</v>
      </c>
      <c r="H883" s="3">
        <v>46168</v>
      </c>
      <c r="I883" s="3">
        <v>46168</v>
      </c>
      <c r="J883" t="s">
        <v>206</v>
      </c>
      <c r="K883" s="3">
        <v>46168</v>
      </c>
      <c r="L883" s="3">
        <v>46168</v>
      </c>
      <c r="M883" s="3">
        <v>46168</v>
      </c>
      <c r="N883" s="3">
        <v>46168</v>
      </c>
      <c r="O883" t="s">
        <v>206</v>
      </c>
      <c r="P883" t="s">
        <v>55</v>
      </c>
      <c r="Q883">
        <v>1008</v>
      </c>
      <c r="S883" t="s">
        <v>124</v>
      </c>
      <c r="T883" t="s">
        <v>1429</v>
      </c>
      <c r="V883" t="s">
        <v>61</v>
      </c>
      <c r="W883">
        <v>13.4</v>
      </c>
      <c r="X883" t="s">
        <v>57</v>
      </c>
      <c r="Z883" t="s">
        <v>124</v>
      </c>
      <c r="AA883" t="s">
        <v>460</v>
      </c>
      <c r="AE883">
        <v>1</v>
      </c>
      <c r="AF883">
        <v>0</v>
      </c>
      <c r="AG883">
        <v>0</v>
      </c>
      <c r="AH883">
        <v>0</v>
      </c>
      <c r="AI883">
        <v>1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0</v>
      </c>
      <c r="AP883">
        <v>0</v>
      </c>
    </row>
    <row r="884" spans="1:42" x14ac:dyDescent="0.25">
      <c r="A884">
        <v>1010</v>
      </c>
      <c r="B884" t="s">
        <v>1645</v>
      </c>
      <c r="C884" t="s">
        <v>1568</v>
      </c>
      <c r="D884" t="s">
        <v>1646</v>
      </c>
      <c r="E884" s="4">
        <v>1</v>
      </c>
      <c r="F884" t="s">
        <v>101</v>
      </c>
      <c r="G884" t="s">
        <v>101</v>
      </c>
      <c r="H884" s="3">
        <v>46163</v>
      </c>
      <c r="I884" s="3">
        <v>46168</v>
      </c>
      <c r="J884" t="s">
        <v>491</v>
      </c>
      <c r="K884" s="3">
        <v>46168</v>
      </c>
      <c r="L884" s="3">
        <v>46163</v>
      </c>
      <c r="M884" s="3">
        <v>46168</v>
      </c>
      <c r="N884" s="3">
        <v>46168</v>
      </c>
      <c r="O884" t="s">
        <v>491</v>
      </c>
      <c r="P884" t="s">
        <v>55</v>
      </c>
      <c r="T884" t="s">
        <v>1429</v>
      </c>
      <c r="V884" t="s">
        <v>175</v>
      </c>
      <c r="X884" t="s">
        <v>57</v>
      </c>
      <c r="AA884" t="s">
        <v>50</v>
      </c>
      <c r="AB884" t="s">
        <v>94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</row>
    <row r="885" spans="1:42" x14ac:dyDescent="0.25">
      <c r="A885">
        <v>1011</v>
      </c>
      <c r="B885" t="s">
        <v>1647</v>
      </c>
      <c r="C885" t="s">
        <v>1648</v>
      </c>
      <c r="D885" t="s">
        <v>117</v>
      </c>
      <c r="E885" s="4">
        <v>1</v>
      </c>
      <c r="F885" t="s">
        <v>127</v>
      </c>
      <c r="G885" t="s">
        <v>127</v>
      </c>
      <c r="H885" s="3">
        <v>46163</v>
      </c>
      <c r="I885" s="3">
        <v>46168</v>
      </c>
      <c r="J885" t="s">
        <v>491</v>
      </c>
      <c r="K885" s="3">
        <v>46168</v>
      </c>
      <c r="L885" s="3">
        <v>46163</v>
      </c>
      <c r="M885" s="3">
        <v>46168</v>
      </c>
      <c r="N885" s="3">
        <v>46168</v>
      </c>
      <c r="O885" t="s">
        <v>491</v>
      </c>
      <c r="P885" t="s">
        <v>55</v>
      </c>
      <c r="Q885" t="s">
        <v>1613</v>
      </c>
      <c r="S885" t="s">
        <v>1444</v>
      </c>
      <c r="T885" t="s">
        <v>1429</v>
      </c>
      <c r="U885">
        <v>1012</v>
      </c>
      <c r="V885" t="s">
        <v>127</v>
      </c>
      <c r="W885">
        <v>13.4</v>
      </c>
      <c r="X885" t="s">
        <v>57</v>
      </c>
      <c r="Z885" t="s">
        <v>1444</v>
      </c>
      <c r="AA885" t="s">
        <v>77</v>
      </c>
      <c r="AE885">
        <v>1</v>
      </c>
      <c r="AF885">
        <v>1</v>
      </c>
      <c r="AG885">
        <v>1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1</v>
      </c>
    </row>
    <row r="886" spans="1:42" x14ac:dyDescent="0.25">
      <c r="A886">
        <v>1012</v>
      </c>
      <c r="B886" t="s">
        <v>1649</v>
      </c>
      <c r="C886" t="s">
        <v>1648</v>
      </c>
      <c r="D886" t="s">
        <v>121</v>
      </c>
      <c r="E886" s="4">
        <v>1</v>
      </c>
      <c r="F886" t="s">
        <v>63</v>
      </c>
      <c r="G886" t="s">
        <v>63</v>
      </c>
      <c r="H886" s="3">
        <v>46168</v>
      </c>
      <c r="I886" s="3">
        <v>46168</v>
      </c>
      <c r="J886" t="s">
        <v>206</v>
      </c>
      <c r="K886" s="3">
        <v>46168</v>
      </c>
      <c r="L886" s="3">
        <v>46168</v>
      </c>
      <c r="M886" s="3">
        <v>46168</v>
      </c>
      <c r="N886" s="3">
        <v>46168</v>
      </c>
      <c r="O886" t="s">
        <v>206</v>
      </c>
      <c r="P886" t="s">
        <v>55</v>
      </c>
      <c r="Q886">
        <v>1011</v>
      </c>
      <c r="S886" t="s">
        <v>124</v>
      </c>
      <c r="T886" t="s">
        <v>1429</v>
      </c>
      <c r="U886">
        <v>1013</v>
      </c>
      <c r="V886" t="s">
        <v>122</v>
      </c>
      <c r="W886">
        <v>13.4</v>
      </c>
      <c r="X886" t="s">
        <v>57</v>
      </c>
      <c r="Z886" t="s">
        <v>124</v>
      </c>
      <c r="AA886" t="s">
        <v>77</v>
      </c>
      <c r="AE886">
        <v>1</v>
      </c>
      <c r="AF886">
        <v>0</v>
      </c>
      <c r="AG886">
        <v>0</v>
      </c>
      <c r="AH886">
        <v>0</v>
      </c>
      <c r="AI886">
        <v>0</v>
      </c>
      <c r="AJ886">
        <v>1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</row>
    <row r="887" spans="1:42" x14ac:dyDescent="0.25">
      <c r="A887">
        <v>1013</v>
      </c>
      <c r="B887" t="s">
        <v>1650</v>
      </c>
      <c r="C887" t="s">
        <v>1648</v>
      </c>
      <c r="D887" t="s">
        <v>126</v>
      </c>
      <c r="E887" s="4">
        <v>1</v>
      </c>
      <c r="F887" t="s">
        <v>61</v>
      </c>
      <c r="G887" t="s">
        <v>61</v>
      </c>
      <c r="H887" s="3">
        <v>46168</v>
      </c>
      <c r="I887" s="3">
        <v>46168</v>
      </c>
      <c r="J887" t="s">
        <v>206</v>
      </c>
      <c r="K887" s="3">
        <v>46168</v>
      </c>
      <c r="L887" s="3">
        <v>46168</v>
      </c>
      <c r="M887" s="3">
        <v>46168</v>
      </c>
      <c r="N887" s="3">
        <v>46168</v>
      </c>
      <c r="O887" t="s">
        <v>206</v>
      </c>
      <c r="P887" t="s">
        <v>55</v>
      </c>
      <c r="Q887">
        <v>1012</v>
      </c>
      <c r="S887" t="s">
        <v>1444</v>
      </c>
      <c r="T887" t="s">
        <v>1429</v>
      </c>
      <c r="U887">
        <v>1014</v>
      </c>
      <c r="V887" t="s">
        <v>61</v>
      </c>
      <c r="W887">
        <v>13.4</v>
      </c>
      <c r="X887" t="s">
        <v>57</v>
      </c>
      <c r="Z887" t="s">
        <v>1444</v>
      </c>
      <c r="AA887" t="s">
        <v>460</v>
      </c>
      <c r="AE887">
        <v>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1</v>
      </c>
      <c r="AM887">
        <v>0</v>
      </c>
      <c r="AN887">
        <v>0</v>
      </c>
      <c r="AO887">
        <v>0</v>
      </c>
      <c r="AP887">
        <v>0</v>
      </c>
    </row>
    <row r="888" spans="1:42" x14ac:dyDescent="0.25">
      <c r="A888">
        <v>1014</v>
      </c>
      <c r="B888" t="s">
        <v>1651</v>
      </c>
      <c r="C888" t="s">
        <v>1648</v>
      </c>
      <c r="D888" t="s">
        <v>133</v>
      </c>
      <c r="E888" s="4">
        <v>1</v>
      </c>
      <c r="F888" t="s">
        <v>61</v>
      </c>
      <c r="G888" t="s">
        <v>61</v>
      </c>
      <c r="H888" s="3">
        <v>46168</v>
      </c>
      <c r="I888" s="3">
        <v>46168</v>
      </c>
      <c r="J888" t="s">
        <v>206</v>
      </c>
      <c r="K888" s="3">
        <v>46168</v>
      </c>
      <c r="L888" s="3">
        <v>46168</v>
      </c>
      <c r="M888" s="3">
        <v>46168</v>
      </c>
      <c r="N888" s="3">
        <v>46168</v>
      </c>
      <c r="O888" t="s">
        <v>206</v>
      </c>
      <c r="P888" t="s">
        <v>55</v>
      </c>
      <c r="Q888">
        <v>1013</v>
      </c>
      <c r="S888" t="s">
        <v>124</v>
      </c>
      <c r="T888" t="s">
        <v>1429</v>
      </c>
      <c r="V888" t="s">
        <v>61</v>
      </c>
      <c r="W888">
        <v>13.4</v>
      </c>
      <c r="X888" t="s">
        <v>57</v>
      </c>
      <c r="Z888" t="s">
        <v>124</v>
      </c>
      <c r="AA888" t="s">
        <v>460</v>
      </c>
      <c r="AE888">
        <v>1</v>
      </c>
      <c r="AF888">
        <v>0</v>
      </c>
      <c r="AG888">
        <v>0</v>
      </c>
      <c r="AH888">
        <v>0</v>
      </c>
      <c r="AI888">
        <v>1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0</v>
      </c>
      <c r="AP888">
        <v>0</v>
      </c>
    </row>
    <row r="889" spans="1:42" x14ac:dyDescent="0.25">
      <c r="A889">
        <v>1015</v>
      </c>
      <c r="B889" t="s">
        <v>1652</v>
      </c>
      <c r="C889" t="s">
        <v>1429</v>
      </c>
      <c r="D889" t="s">
        <v>1653</v>
      </c>
      <c r="E889" s="4">
        <v>1</v>
      </c>
      <c r="F889" t="s">
        <v>365</v>
      </c>
      <c r="G889" t="s">
        <v>365</v>
      </c>
      <c r="H889" s="3">
        <v>46136</v>
      </c>
      <c r="I889" s="3">
        <v>46156</v>
      </c>
      <c r="J889" t="s">
        <v>90</v>
      </c>
      <c r="K889" s="3">
        <v>46197</v>
      </c>
      <c r="L889" s="3">
        <v>46161</v>
      </c>
      <c r="M889" s="3">
        <v>46156</v>
      </c>
      <c r="N889" s="3">
        <v>46156</v>
      </c>
      <c r="O889" t="s">
        <v>67</v>
      </c>
      <c r="P889" t="s">
        <v>55</v>
      </c>
      <c r="T889" t="s">
        <v>1429</v>
      </c>
      <c r="V889" t="s">
        <v>976</v>
      </c>
      <c r="X889" t="s">
        <v>57</v>
      </c>
      <c r="AA889" t="s">
        <v>50</v>
      </c>
      <c r="AB889" t="s">
        <v>94</v>
      </c>
      <c r="AE889">
        <v>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</row>
    <row r="890" spans="1:42" x14ac:dyDescent="0.25">
      <c r="A890">
        <v>1016</v>
      </c>
      <c r="B890" t="s">
        <v>1654</v>
      </c>
      <c r="C890" t="s">
        <v>1655</v>
      </c>
      <c r="D890" t="s">
        <v>1656</v>
      </c>
      <c r="E890" s="4">
        <v>1</v>
      </c>
      <c r="F890" t="s">
        <v>151</v>
      </c>
      <c r="G890" t="s">
        <v>151</v>
      </c>
      <c r="H890" s="3">
        <v>46136</v>
      </c>
      <c r="I890" s="3">
        <v>46150</v>
      </c>
      <c r="J890" t="s">
        <v>90</v>
      </c>
      <c r="K890" s="3">
        <v>46183</v>
      </c>
      <c r="L890" s="3">
        <v>46161</v>
      </c>
      <c r="M890" s="3">
        <v>46150</v>
      </c>
      <c r="N890" s="3">
        <v>46150</v>
      </c>
      <c r="O890" t="s">
        <v>67</v>
      </c>
      <c r="P890" t="s">
        <v>55</v>
      </c>
      <c r="T890" t="s">
        <v>1429</v>
      </c>
      <c r="V890" t="s">
        <v>330</v>
      </c>
      <c r="X890" t="s">
        <v>57</v>
      </c>
      <c r="AA890" t="s">
        <v>50</v>
      </c>
      <c r="AB890" t="s">
        <v>94</v>
      </c>
      <c r="AE890">
        <v>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</row>
    <row r="891" spans="1:42" x14ac:dyDescent="0.25">
      <c r="A891">
        <v>1017</v>
      </c>
      <c r="B891" t="s">
        <v>1657</v>
      </c>
      <c r="C891" t="s">
        <v>1658</v>
      </c>
      <c r="D891" t="s">
        <v>117</v>
      </c>
      <c r="E891" s="4">
        <v>1</v>
      </c>
      <c r="F891" t="s">
        <v>151</v>
      </c>
      <c r="G891" t="s">
        <v>151</v>
      </c>
      <c r="H891" s="3">
        <v>46136</v>
      </c>
      <c r="I891" s="3">
        <v>46150</v>
      </c>
      <c r="J891" t="s">
        <v>90</v>
      </c>
      <c r="K891" s="3">
        <v>46174</v>
      </c>
      <c r="L891" s="3">
        <v>46161</v>
      </c>
      <c r="M891" s="3">
        <v>46150</v>
      </c>
      <c r="N891" s="3">
        <v>46150</v>
      </c>
      <c r="O891" t="s">
        <v>67</v>
      </c>
      <c r="P891" t="s">
        <v>55</v>
      </c>
      <c r="Q891" t="s">
        <v>1659</v>
      </c>
      <c r="S891" t="s">
        <v>1444</v>
      </c>
      <c r="T891" t="s">
        <v>1429</v>
      </c>
      <c r="U891" t="s">
        <v>1660</v>
      </c>
      <c r="V891" t="s">
        <v>151</v>
      </c>
      <c r="W891">
        <v>13.4</v>
      </c>
      <c r="X891" t="s">
        <v>57</v>
      </c>
      <c r="Z891" t="s">
        <v>1444</v>
      </c>
      <c r="AA891" t="s">
        <v>198</v>
      </c>
      <c r="AE891">
        <v>1</v>
      </c>
      <c r="AF891">
        <v>1</v>
      </c>
      <c r="AG891">
        <v>1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1</v>
      </c>
    </row>
    <row r="892" spans="1:42" x14ac:dyDescent="0.25">
      <c r="A892">
        <v>1018</v>
      </c>
      <c r="B892" t="s">
        <v>1661</v>
      </c>
      <c r="C892" t="s">
        <v>1658</v>
      </c>
      <c r="D892" t="s">
        <v>121</v>
      </c>
      <c r="E892" s="4">
        <v>1</v>
      </c>
      <c r="F892" t="s">
        <v>151</v>
      </c>
      <c r="G892" t="s">
        <v>151</v>
      </c>
      <c r="H892" s="3">
        <v>46136</v>
      </c>
      <c r="I892" s="3">
        <v>46150</v>
      </c>
      <c r="J892" t="s">
        <v>472</v>
      </c>
      <c r="K892" s="3">
        <v>46181</v>
      </c>
      <c r="L892" s="3">
        <v>46175</v>
      </c>
      <c r="M892" s="3">
        <v>46150</v>
      </c>
      <c r="N892" s="3">
        <v>46150</v>
      </c>
      <c r="O892" t="s">
        <v>67</v>
      </c>
      <c r="P892" t="s">
        <v>55</v>
      </c>
      <c r="Q892">
        <v>1017</v>
      </c>
      <c r="S892" t="s">
        <v>124</v>
      </c>
      <c r="T892" t="s">
        <v>1429</v>
      </c>
      <c r="U892">
        <v>1019</v>
      </c>
      <c r="V892" t="s">
        <v>122</v>
      </c>
      <c r="W892">
        <v>13.4</v>
      </c>
      <c r="X892" t="s">
        <v>57</v>
      </c>
      <c r="Z892" t="s">
        <v>124</v>
      </c>
      <c r="AA892" t="s">
        <v>460</v>
      </c>
      <c r="AE892">
        <v>1</v>
      </c>
      <c r="AF892">
        <v>0</v>
      </c>
      <c r="AG892">
        <v>0</v>
      </c>
      <c r="AH892">
        <v>0</v>
      </c>
      <c r="AI892">
        <v>0</v>
      </c>
      <c r="AJ892">
        <v>1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</row>
    <row r="893" spans="1:42" x14ac:dyDescent="0.25">
      <c r="A893">
        <v>1019</v>
      </c>
      <c r="B893" t="s">
        <v>1662</v>
      </c>
      <c r="C893" t="s">
        <v>1658</v>
      </c>
      <c r="D893" t="s">
        <v>126</v>
      </c>
      <c r="E893" s="4">
        <v>1</v>
      </c>
      <c r="F893" t="s">
        <v>151</v>
      </c>
      <c r="G893" t="s">
        <v>151</v>
      </c>
      <c r="H893" s="3">
        <v>46136</v>
      </c>
      <c r="I893" s="3">
        <v>46150</v>
      </c>
      <c r="J893" t="s">
        <v>204</v>
      </c>
      <c r="K893" s="3">
        <v>46182</v>
      </c>
      <c r="L893" s="3">
        <v>46182</v>
      </c>
      <c r="M893" s="3">
        <v>46150</v>
      </c>
      <c r="N893" s="3">
        <v>46150</v>
      </c>
      <c r="O893" t="s">
        <v>67</v>
      </c>
      <c r="P893" t="s">
        <v>55</v>
      </c>
      <c r="Q893">
        <v>1018</v>
      </c>
      <c r="S893" t="s">
        <v>1444</v>
      </c>
      <c r="T893" t="s">
        <v>1429</v>
      </c>
      <c r="U893">
        <v>1020</v>
      </c>
      <c r="V893" t="s">
        <v>61</v>
      </c>
      <c r="W893">
        <v>13.4</v>
      </c>
      <c r="X893" t="s">
        <v>57</v>
      </c>
      <c r="Z893" t="s">
        <v>1444</v>
      </c>
      <c r="AA893" t="s">
        <v>462</v>
      </c>
      <c r="AE893">
        <v>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1</v>
      </c>
      <c r="AM893">
        <v>0</v>
      </c>
      <c r="AN893">
        <v>0</v>
      </c>
      <c r="AO893">
        <v>0</v>
      </c>
      <c r="AP893">
        <v>0</v>
      </c>
    </row>
    <row r="894" spans="1:42" x14ac:dyDescent="0.25">
      <c r="A894">
        <v>1020</v>
      </c>
      <c r="B894" t="s">
        <v>1663</v>
      </c>
      <c r="C894" t="s">
        <v>1658</v>
      </c>
      <c r="D894" t="s">
        <v>133</v>
      </c>
      <c r="E894" s="4">
        <v>1</v>
      </c>
      <c r="F894" t="s">
        <v>151</v>
      </c>
      <c r="G894" t="s">
        <v>151</v>
      </c>
      <c r="H894" s="3">
        <v>46136</v>
      </c>
      <c r="I894" s="3">
        <v>46150</v>
      </c>
      <c r="J894" t="s">
        <v>592</v>
      </c>
      <c r="K894" s="3">
        <v>46183</v>
      </c>
      <c r="L894" s="3">
        <v>46183</v>
      </c>
      <c r="M894" s="3">
        <v>46150</v>
      </c>
      <c r="N894" s="3">
        <v>46150</v>
      </c>
      <c r="O894" t="s">
        <v>67</v>
      </c>
      <c r="P894" t="s">
        <v>55</v>
      </c>
      <c r="Q894">
        <v>1019</v>
      </c>
      <c r="S894" t="s">
        <v>124</v>
      </c>
      <c r="T894" t="s">
        <v>1429</v>
      </c>
      <c r="U894">
        <v>1042</v>
      </c>
      <c r="V894" t="s">
        <v>61</v>
      </c>
      <c r="W894">
        <v>13.4</v>
      </c>
      <c r="X894" t="s">
        <v>57</v>
      </c>
      <c r="Z894" t="s">
        <v>124</v>
      </c>
      <c r="AA894" t="s">
        <v>462</v>
      </c>
      <c r="AE894">
        <v>1</v>
      </c>
      <c r="AF894">
        <v>0</v>
      </c>
      <c r="AG894">
        <v>0</v>
      </c>
      <c r="AH894">
        <v>0</v>
      </c>
      <c r="AI894">
        <v>1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0</v>
      </c>
      <c r="AP894">
        <v>0</v>
      </c>
    </row>
    <row r="895" spans="1:42" x14ac:dyDescent="0.25">
      <c r="A895">
        <v>1021</v>
      </c>
      <c r="B895" t="s">
        <v>1664</v>
      </c>
      <c r="C895" t="s">
        <v>1655</v>
      </c>
      <c r="D895" t="s">
        <v>1665</v>
      </c>
      <c r="E895" s="4">
        <v>1</v>
      </c>
      <c r="F895" t="s">
        <v>151</v>
      </c>
      <c r="G895" t="s">
        <v>151</v>
      </c>
      <c r="H895" s="3">
        <v>46136</v>
      </c>
      <c r="I895" s="3">
        <v>46150</v>
      </c>
      <c r="J895" t="s">
        <v>67</v>
      </c>
      <c r="K895" s="3">
        <v>46150</v>
      </c>
      <c r="L895" s="3">
        <v>46136</v>
      </c>
      <c r="M895" s="3">
        <v>46150</v>
      </c>
      <c r="N895" s="3">
        <v>46150</v>
      </c>
      <c r="O895" t="s">
        <v>67</v>
      </c>
      <c r="P895" t="s">
        <v>55</v>
      </c>
      <c r="T895" t="s">
        <v>1429</v>
      </c>
      <c r="V895" t="s">
        <v>330</v>
      </c>
      <c r="X895" t="s">
        <v>57</v>
      </c>
      <c r="AA895" t="s">
        <v>50</v>
      </c>
      <c r="AB895" t="s">
        <v>94</v>
      </c>
      <c r="AE895">
        <v>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</row>
    <row r="896" spans="1:42" x14ac:dyDescent="0.25">
      <c r="A896">
        <v>1022</v>
      </c>
      <c r="B896" t="s">
        <v>1666</v>
      </c>
      <c r="C896" t="s">
        <v>1667</v>
      </c>
      <c r="D896" t="s">
        <v>117</v>
      </c>
      <c r="E896" s="4">
        <v>1</v>
      </c>
      <c r="F896" t="s">
        <v>151</v>
      </c>
      <c r="G896" t="s">
        <v>151</v>
      </c>
      <c r="H896" s="3">
        <v>46136</v>
      </c>
      <c r="I896" s="3">
        <v>46150</v>
      </c>
      <c r="J896" t="s">
        <v>67</v>
      </c>
      <c r="K896" s="3">
        <v>46150</v>
      </c>
      <c r="L896" s="3">
        <v>46136</v>
      </c>
      <c r="M896" s="3">
        <v>46150</v>
      </c>
      <c r="N896" s="3">
        <v>46150</v>
      </c>
      <c r="O896" t="s">
        <v>67</v>
      </c>
      <c r="P896" t="s">
        <v>55</v>
      </c>
      <c r="Q896" t="s">
        <v>1659</v>
      </c>
      <c r="S896" t="s">
        <v>1444</v>
      </c>
      <c r="T896" t="s">
        <v>1429</v>
      </c>
      <c r="U896" t="s">
        <v>1668</v>
      </c>
      <c r="V896" t="s">
        <v>151</v>
      </c>
      <c r="W896">
        <v>13.4</v>
      </c>
      <c r="X896" t="s">
        <v>57</v>
      </c>
      <c r="Z896" t="s">
        <v>1444</v>
      </c>
      <c r="AA896" t="s">
        <v>198</v>
      </c>
      <c r="AE896">
        <v>1</v>
      </c>
      <c r="AF896">
        <v>1</v>
      </c>
      <c r="AG896">
        <v>1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1</v>
      </c>
    </row>
    <row r="897" spans="1:42" x14ac:dyDescent="0.25">
      <c r="A897">
        <v>1023</v>
      </c>
      <c r="B897" t="s">
        <v>1669</v>
      </c>
      <c r="C897" t="s">
        <v>1667</v>
      </c>
      <c r="D897" t="s">
        <v>121</v>
      </c>
      <c r="E897" s="4">
        <v>1</v>
      </c>
      <c r="F897" t="s">
        <v>151</v>
      </c>
      <c r="G897" t="s">
        <v>151</v>
      </c>
      <c r="H897" s="3">
        <v>46136</v>
      </c>
      <c r="I897" s="3">
        <v>46150</v>
      </c>
      <c r="J897" t="s">
        <v>67</v>
      </c>
      <c r="K897" s="3">
        <v>46150</v>
      </c>
      <c r="L897" s="3">
        <v>46136</v>
      </c>
      <c r="M897" s="3">
        <v>46150</v>
      </c>
      <c r="N897" s="3">
        <v>46150</v>
      </c>
      <c r="O897" t="s">
        <v>67</v>
      </c>
      <c r="P897" t="s">
        <v>55</v>
      </c>
      <c r="Q897">
        <v>1022</v>
      </c>
      <c r="S897" t="s">
        <v>124</v>
      </c>
      <c r="T897" t="s">
        <v>1429</v>
      </c>
      <c r="U897">
        <v>1024</v>
      </c>
      <c r="V897" t="s">
        <v>122</v>
      </c>
      <c r="W897">
        <v>13.4</v>
      </c>
      <c r="X897" t="s">
        <v>57</v>
      </c>
      <c r="Z897" t="s">
        <v>124</v>
      </c>
      <c r="AA897" t="s">
        <v>460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1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</row>
    <row r="898" spans="1:42" x14ac:dyDescent="0.25">
      <c r="A898">
        <v>1024</v>
      </c>
      <c r="B898" t="s">
        <v>1670</v>
      </c>
      <c r="C898" t="s">
        <v>1667</v>
      </c>
      <c r="D898" t="s">
        <v>126</v>
      </c>
      <c r="E898" s="4">
        <v>1</v>
      </c>
      <c r="F898" t="s">
        <v>151</v>
      </c>
      <c r="G898" t="s">
        <v>151</v>
      </c>
      <c r="H898" s="3">
        <v>46136</v>
      </c>
      <c r="I898" s="3">
        <v>46150</v>
      </c>
      <c r="J898" t="s">
        <v>67</v>
      </c>
      <c r="K898" s="3">
        <v>46150</v>
      </c>
      <c r="L898" s="3">
        <v>46136</v>
      </c>
      <c r="M898" s="3">
        <v>46150</v>
      </c>
      <c r="N898" s="3">
        <v>46150</v>
      </c>
      <c r="O898" t="s">
        <v>67</v>
      </c>
      <c r="P898" t="s">
        <v>55</v>
      </c>
      <c r="Q898">
        <v>1023</v>
      </c>
      <c r="S898" t="s">
        <v>1444</v>
      </c>
      <c r="T898" t="s">
        <v>1429</v>
      </c>
      <c r="U898">
        <v>1025</v>
      </c>
      <c r="V898" t="s">
        <v>61</v>
      </c>
      <c r="W898">
        <v>13.4</v>
      </c>
      <c r="X898" t="s">
        <v>57</v>
      </c>
      <c r="Z898" t="s">
        <v>1444</v>
      </c>
      <c r="AA898" t="s">
        <v>462</v>
      </c>
      <c r="AE898">
        <v>1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1</v>
      </c>
      <c r="AM898">
        <v>0</v>
      </c>
      <c r="AN898">
        <v>0</v>
      </c>
      <c r="AO898">
        <v>0</v>
      </c>
      <c r="AP898">
        <v>0</v>
      </c>
    </row>
    <row r="899" spans="1:42" x14ac:dyDescent="0.25">
      <c r="A899">
        <v>1025</v>
      </c>
      <c r="B899" t="s">
        <v>1671</v>
      </c>
      <c r="C899" t="s">
        <v>1667</v>
      </c>
      <c r="D899" t="s">
        <v>133</v>
      </c>
      <c r="E899" s="4">
        <v>1</v>
      </c>
      <c r="F899" t="s">
        <v>151</v>
      </c>
      <c r="G899" t="s">
        <v>151</v>
      </c>
      <c r="H899" s="3">
        <v>46136</v>
      </c>
      <c r="I899" s="3">
        <v>46150</v>
      </c>
      <c r="J899" t="s">
        <v>67</v>
      </c>
      <c r="K899" s="3">
        <v>46150</v>
      </c>
      <c r="L899" s="3">
        <v>46136</v>
      </c>
      <c r="M899" s="3">
        <v>46150</v>
      </c>
      <c r="N899" s="3">
        <v>46150</v>
      </c>
      <c r="O899" t="s">
        <v>67</v>
      </c>
      <c r="P899" t="s">
        <v>55</v>
      </c>
      <c r="Q899">
        <v>1024</v>
      </c>
      <c r="S899" t="s">
        <v>124</v>
      </c>
      <c r="T899" t="s">
        <v>1429</v>
      </c>
      <c r="U899">
        <v>1042</v>
      </c>
      <c r="V899" t="s">
        <v>61</v>
      </c>
      <c r="W899">
        <v>13.4</v>
      </c>
      <c r="X899" t="s">
        <v>57</v>
      </c>
      <c r="Z899" t="s">
        <v>124</v>
      </c>
      <c r="AA899" t="s">
        <v>462</v>
      </c>
      <c r="AE899">
        <v>1</v>
      </c>
      <c r="AF899">
        <v>0</v>
      </c>
      <c r="AG899">
        <v>0</v>
      </c>
      <c r="AH899">
        <v>0</v>
      </c>
      <c r="AI899">
        <v>1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0</v>
      </c>
      <c r="AP899">
        <v>0</v>
      </c>
    </row>
    <row r="900" spans="1:42" x14ac:dyDescent="0.25">
      <c r="A900">
        <v>1026</v>
      </c>
      <c r="B900" t="s">
        <v>1672</v>
      </c>
      <c r="C900" t="s">
        <v>1655</v>
      </c>
      <c r="D900" t="s">
        <v>1673</v>
      </c>
      <c r="E900" s="4">
        <v>1</v>
      </c>
      <c r="F900" t="s">
        <v>151</v>
      </c>
      <c r="G900" t="s">
        <v>151</v>
      </c>
      <c r="H900" s="3">
        <v>46136</v>
      </c>
      <c r="I900" s="3">
        <v>46150</v>
      </c>
      <c r="J900" t="s">
        <v>67</v>
      </c>
      <c r="K900" s="3">
        <v>46150</v>
      </c>
      <c r="L900" s="3">
        <v>46136</v>
      </c>
      <c r="M900" s="3">
        <v>46150</v>
      </c>
      <c r="N900" s="3">
        <v>46150</v>
      </c>
      <c r="O900" t="s">
        <v>67</v>
      </c>
      <c r="P900" t="s">
        <v>55</v>
      </c>
      <c r="T900" t="s">
        <v>1429</v>
      </c>
      <c r="V900" t="s">
        <v>330</v>
      </c>
      <c r="X900" t="s">
        <v>57</v>
      </c>
      <c r="AA900" t="s">
        <v>50</v>
      </c>
      <c r="AB900" t="s">
        <v>94</v>
      </c>
      <c r="AE900">
        <v>1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</row>
    <row r="901" spans="1:42" x14ac:dyDescent="0.25">
      <c r="A901">
        <v>1027</v>
      </c>
      <c r="B901" t="s">
        <v>1674</v>
      </c>
      <c r="C901" t="s">
        <v>1675</v>
      </c>
      <c r="D901" t="s">
        <v>117</v>
      </c>
      <c r="E901" s="4">
        <v>1</v>
      </c>
      <c r="F901" t="s">
        <v>151</v>
      </c>
      <c r="G901" t="s">
        <v>151</v>
      </c>
      <c r="H901" s="3">
        <v>46136</v>
      </c>
      <c r="I901" s="3">
        <v>46150</v>
      </c>
      <c r="J901" t="s">
        <v>67</v>
      </c>
      <c r="K901" s="3">
        <v>46150</v>
      </c>
      <c r="L901" s="3">
        <v>46136</v>
      </c>
      <c r="M901" s="3">
        <v>46150</v>
      </c>
      <c r="N901" s="3">
        <v>46150</v>
      </c>
      <c r="O901" t="s">
        <v>67</v>
      </c>
      <c r="P901" t="s">
        <v>55</v>
      </c>
      <c r="Q901" t="s">
        <v>1659</v>
      </c>
      <c r="S901" t="s">
        <v>1444</v>
      </c>
      <c r="T901" t="s">
        <v>1429</v>
      </c>
      <c r="U901" t="s">
        <v>1676</v>
      </c>
      <c r="V901" t="s">
        <v>151</v>
      </c>
      <c r="W901">
        <v>13.4</v>
      </c>
      <c r="X901" t="s">
        <v>57</v>
      </c>
      <c r="Z901" t="s">
        <v>1444</v>
      </c>
      <c r="AA901" t="s">
        <v>198</v>
      </c>
      <c r="AE901">
        <v>1</v>
      </c>
      <c r="AF901">
        <v>1</v>
      </c>
      <c r="AG901">
        <v>1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1</v>
      </c>
    </row>
    <row r="902" spans="1:42" x14ac:dyDescent="0.25">
      <c r="A902">
        <v>1028</v>
      </c>
      <c r="B902" t="s">
        <v>1677</v>
      </c>
      <c r="C902" t="s">
        <v>1675</v>
      </c>
      <c r="D902" t="s">
        <v>121</v>
      </c>
      <c r="E902" s="4">
        <v>1</v>
      </c>
      <c r="F902" t="s">
        <v>151</v>
      </c>
      <c r="G902" t="s">
        <v>151</v>
      </c>
      <c r="H902" s="3">
        <v>46136</v>
      </c>
      <c r="I902" s="3">
        <v>46150</v>
      </c>
      <c r="J902" t="s">
        <v>67</v>
      </c>
      <c r="K902" s="3">
        <v>46150</v>
      </c>
      <c r="L902" s="3">
        <v>46136</v>
      </c>
      <c r="M902" s="3">
        <v>46150</v>
      </c>
      <c r="N902" s="3">
        <v>46150</v>
      </c>
      <c r="O902" t="s">
        <v>67</v>
      </c>
      <c r="P902" t="s">
        <v>55</v>
      </c>
      <c r="Q902">
        <v>1027</v>
      </c>
      <c r="S902" t="s">
        <v>124</v>
      </c>
      <c r="T902" t="s">
        <v>1429</v>
      </c>
      <c r="U902">
        <v>1029</v>
      </c>
      <c r="V902" t="s">
        <v>122</v>
      </c>
      <c r="W902">
        <v>13.4</v>
      </c>
      <c r="X902" t="s">
        <v>57</v>
      </c>
      <c r="Z902" t="s">
        <v>124</v>
      </c>
      <c r="AA902" t="s">
        <v>460</v>
      </c>
      <c r="AE902">
        <v>1</v>
      </c>
      <c r="AF902">
        <v>0</v>
      </c>
      <c r="AG902">
        <v>0</v>
      </c>
      <c r="AH902">
        <v>0</v>
      </c>
      <c r="AI902">
        <v>0</v>
      </c>
      <c r="AJ902">
        <v>1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</row>
    <row r="903" spans="1:42" x14ac:dyDescent="0.25">
      <c r="A903">
        <v>1029</v>
      </c>
      <c r="B903" t="s">
        <v>1678</v>
      </c>
      <c r="C903" t="s">
        <v>1675</v>
      </c>
      <c r="D903" t="s">
        <v>126</v>
      </c>
      <c r="E903" s="4">
        <v>1</v>
      </c>
      <c r="F903" t="s">
        <v>151</v>
      </c>
      <c r="G903" t="s">
        <v>151</v>
      </c>
      <c r="H903" s="3">
        <v>46136</v>
      </c>
      <c r="I903" s="3">
        <v>46150</v>
      </c>
      <c r="J903" t="s">
        <v>67</v>
      </c>
      <c r="K903" s="3">
        <v>46150</v>
      </c>
      <c r="L903" s="3">
        <v>46136</v>
      </c>
      <c r="M903" s="3">
        <v>46150</v>
      </c>
      <c r="N903" s="3">
        <v>46150</v>
      </c>
      <c r="O903" t="s">
        <v>67</v>
      </c>
      <c r="P903" t="s">
        <v>55</v>
      </c>
      <c r="Q903">
        <v>1028</v>
      </c>
      <c r="S903" t="s">
        <v>1444</v>
      </c>
      <c r="T903" t="s">
        <v>1429</v>
      </c>
      <c r="U903">
        <v>1030</v>
      </c>
      <c r="V903" t="s">
        <v>61</v>
      </c>
      <c r="W903">
        <v>13.4</v>
      </c>
      <c r="X903" t="s">
        <v>57</v>
      </c>
      <c r="Z903" t="s">
        <v>1444</v>
      </c>
      <c r="AA903" t="s">
        <v>462</v>
      </c>
      <c r="AE903">
        <v>1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1</v>
      </c>
      <c r="AM903">
        <v>0</v>
      </c>
      <c r="AN903">
        <v>0</v>
      </c>
      <c r="AO903">
        <v>0</v>
      </c>
      <c r="AP903">
        <v>0</v>
      </c>
    </row>
    <row r="904" spans="1:42" x14ac:dyDescent="0.25">
      <c r="A904">
        <v>1030</v>
      </c>
      <c r="B904" t="s">
        <v>1679</v>
      </c>
      <c r="C904" t="s">
        <v>1675</v>
      </c>
      <c r="D904" t="s">
        <v>133</v>
      </c>
      <c r="E904" s="4">
        <v>1</v>
      </c>
      <c r="F904" t="s">
        <v>151</v>
      </c>
      <c r="G904" t="s">
        <v>151</v>
      </c>
      <c r="H904" s="3">
        <v>46136</v>
      </c>
      <c r="I904" s="3">
        <v>46150</v>
      </c>
      <c r="J904" t="s">
        <v>67</v>
      </c>
      <c r="K904" s="3">
        <v>46150</v>
      </c>
      <c r="L904" s="3">
        <v>46136</v>
      </c>
      <c r="M904" s="3">
        <v>46150</v>
      </c>
      <c r="N904" s="3">
        <v>46150</v>
      </c>
      <c r="O904" t="s">
        <v>67</v>
      </c>
      <c r="P904" t="s">
        <v>55</v>
      </c>
      <c r="Q904">
        <v>1029</v>
      </c>
      <c r="S904" t="s">
        <v>124</v>
      </c>
      <c r="T904" t="s">
        <v>1429</v>
      </c>
      <c r="U904">
        <v>1042</v>
      </c>
      <c r="V904" t="s">
        <v>61</v>
      </c>
      <c r="W904">
        <v>13.4</v>
      </c>
      <c r="X904" t="s">
        <v>57</v>
      </c>
      <c r="Z904" t="s">
        <v>124</v>
      </c>
      <c r="AA904" t="s">
        <v>462</v>
      </c>
      <c r="AE904">
        <v>1</v>
      </c>
      <c r="AF904">
        <v>0</v>
      </c>
      <c r="AG904">
        <v>0</v>
      </c>
      <c r="AH904">
        <v>0</v>
      </c>
      <c r="AI904">
        <v>1</v>
      </c>
      <c r="AJ904">
        <v>0</v>
      </c>
      <c r="AK904">
        <v>0</v>
      </c>
      <c r="AL904">
        <v>0</v>
      </c>
      <c r="AM904">
        <v>0</v>
      </c>
      <c r="AN904">
        <v>1</v>
      </c>
      <c r="AO904">
        <v>0</v>
      </c>
      <c r="AP904">
        <v>0</v>
      </c>
    </row>
    <row r="905" spans="1:42" x14ac:dyDescent="0.25">
      <c r="A905">
        <v>1031</v>
      </c>
      <c r="B905" t="s">
        <v>1680</v>
      </c>
      <c r="C905" t="s">
        <v>1655</v>
      </c>
      <c r="D905" t="s">
        <v>1681</v>
      </c>
      <c r="E905" s="4">
        <v>1</v>
      </c>
      <c r="F905" t="s">
        <v>365</v>
      </c>
      <c r="G905" t="s">
        <v>365</v>
      </c>
      <c r="H905" s="3">
        <v>46136</v>
      </c>
      <c r="I905" s="3">
        <v>46156</v>
      </c>
      <c r="J905" t="s">
        <v>472</v>
      </c>
      <c r="K905" s="3">
        <v>46197</v>
      </c>
      <c r="L905" s="3">
        <v>46175</v>
      </c>
      <c r="M905" s="3">
        <v>46156</v>
      </c>
      <c r="N905" s="3">
        <v>46156</v>
      </c>
      <c r="O905" t="s">
        <v>67</v>
      </c>
      <c r="P905" t="s">
        <v>55</v>
      </c>
      <c r="T905" t="s">
        <v>1429</v>
      </c>
      <c r="V905" t="s">
        <v>330</v>
      </c>
      <c r="X905" t="s">
        <v>57</v>
      </c>
      <c r="AA905" t="s">
        <v>50</v>
      </c>
      <c r="AB905" t="s">
        <v>94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</row>
    <row r="906" spans="1:42" x14ac:dyDescent="0.25">
      <c r="A906">
        <v>1032</v>
      </c>
      <c r="B906" t="s">
        <v>1682</v>
      </c>
      <c r="C906" t="s">
        <v>1683</v>
      </c>
      <c r="D906" t="s">
        <v>117</v>
      </c>
      <c r="E906" s="4">
        <v>1</v>
      </c>
      <c r="F906" t="s">
        <v>1684</v>
      </c>
      <c r="G906" t="s">
        <v>1684</v>
      </c>
      <c r="H906" s="3">
        <v>46136</v>
      </c>
      <c r="I906" s="3">
        <v>46156</v>
      </c>
      <c r="J906" t="s">
        <v>472</v>
      </c>
      <c r="K906" s="3">
        <v>46190</v>
      </c>
      <c r="L906" s="3">
        <v>46175</v>
      </c>
      <c r="M906" s="3">
        <v>46156</v>
      </c>
      <c r="N906" s="3">
        <v>46156</v>
      </c>
      <c r="O906" t="s">
        <v>67</v>
      </c>
      <c r="P906" t="s">
        <v>55</v>
      </c>
      <c r="Q906" t="s">
        <v>1685</v>
      </c>
      <c r="S906" t="s">
        <v>1433</v>
      </c>
      <c r="T906" t="s">
        <v>1429</v>
      </c>
      <c r="U906" t="s">
        <v>1686</v>
      </c>
      <c r="V906" t="s">
        <v>151</v>
      </c>
      <c r="W906">
        <v>13.4</v>
      </c>
      <c r="X906" t="s">
        <v>57</v>
      </c>
      <c r="Z906" t="s">
        <v>1433</v>
      </c>
      <c r="AA906" t="s">
        <v>460</v>
      </c>
      <c r="AE906">
        <v>1</v>
      </c>
      <c r="AF906">
        <v>1</v>
      </c>
      <c r="AG906">
        <v>1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1</v>
      </c>
    </row>
    <row r="907" spans="1:42" x14ac:dyDescent="0.25">
      <c r="A907">
        <v>1033</v>
      </c>
      <c r="B907" t="s">
        <v>1687</v>
      </c>
      <c r="C907" t="s">
        <v>1683</v>
      </c>
      <c r="D907" t="s">
        <v>121</v>
      </c>
      <c r="E907" s="4">
        <v>1</v>
      </c>
      <c r="F907" t="s">
        <v>63</v>
      </c>
      <c r="G907" t="s">
        <v>63</v>
      </c>
      <c r="H907" s="3">
        <v>46156</v>
      </c>
      <c r="I907" s="3">
        <v>46156</v>
      </c>
      <c r="J907" t="s">
        <v>480</v>
      </c>
      <c r="K907" s="3">
        <v>46195</v>
      </c>
      <c r="L907" s="3">
        <v>46191</v>
      </c>
      <c r="M907" s="3">
        <v>46156</v>
      </c>
      <c r="N907" s="3">
        <v>46156</v>
      </c>
      <c r="O907" t="s">
        <v>406</v>
      </c>
      <c r="P907" t="s">
        <v>55</v>
      </c>
      <c r="Q907">
        <v>1032</v>
      </c>
      <c r="S907" t="s">
        <v>124</v>
      </c>
      <c r="T907" t="s">
        <v>1429</v>
      </c>
      <c r="U907">
        <v>1034</v>
      </c>
      <c r="V907" t="s">
        <v>122</v>
      </c>
      <c r="W907">
        <v>13.4</v>
      </c>
      <c r="X907" t="s">
        <v>57</v>
      </c>
      <c r="Z907" t="s">
        <v>124</v>
      </c>
      <c r="AA907" t="s">
        <v>217</v>
      </c>
      <c r="AE907">
        <v>1</v>
      </c>
      <c r="AF907">
        <v>0</v>
      </c>
      <c r="AG907">
        <v>0</v>
      </c>
      <c r="AH907">
        <v>0</v>
      </c>
      <c r="AI907">
        <v>0</v>
      </c>
      <c r="AJ907">
        <v>1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</row>
    <row r="908" spans="1:42" x14ac:dyDescent="0.25">
      <c r="A908">
        <v>1034</v>
      </c>
      <c r="B908" t="s">
        <v>1688</v>
      </c>
      <c r="C908" t="s">
        <v>1683</v>
      </c>
      <c r="D908" t="s">
        <v>126</v>
      </c>
      <c r="E908" s="4">
        <v>1</v>
      </c>
      <c r="F908" t="s">
        <v>63</v>
      </c>
      <c r="G908" t="s">
        <v>63</v>
      </c>
      <c r="H908" s="3">
        <v>46156</v>
      </c>
      <c r="I908" s="3">
        <v>46156</v>
      </c>
      <c r="J908" t="s">
        <v>212</v>
      </c>
      <c r="K908" s="3">
        <v>46196</v>
      </c>
      <c r="L908" s="3">
        <v>46196</v>
      </c>
      <c r="M908" s="3">
        <v>46156</v>
      </c>
      <c r="N908" s="3">
        <v>46156</v>
      </c>
      <c r="O908" t="s">
        <v>406</v>
      </c>
      <c r="P908" t="s">
        <v>55</v>
      </c>
      <c r="Q908">
        <v>1033</v>
      </c>
      <c r="S908" t="s">
        <v>1433</v>
      </c>
      <c r="T908" t="s">
        <v>1429</v>
      </c>
      <c r="U908">
        <v>1035</v>
      </c>
      <c r="V908" t="s">
        <v>61</v>
      </c>
      <c r="W908">
        <v>13.4</v>
      </c>
      <c r="X908" t="s">
        <v>57</v>
      </c>
      <c r="Z908" t="s">
        <v>1433</v>
      </c>
      <c r="AA908" t="s">
        <v>131</v>
      </c>
      <c r="AE908">
        <v>1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1</v>
      </c>
      <c r="AM908">
        <v>0</v>
      </c>
      <c r="AN908">
        <v>0</v>
      </c>
      <c r="AO908">
        <v>0</v>
      </c>
      <c r="AP908">
        <v>0</v>
      </c>
    </row>
    <row r="909" spans="1:42" x14ac:dyDescent="0.25">
      <c r="A909">
        <v>1035</v>
      </c>
      <c r="B909" t="s">
        <v>1689</v>
      </c>
      <c r="C909" t="s">
        <v>1683</v>
      </c>
      <c r="D909" t="s">
        <v>133</v>
      </c>
      <c r="E909" s="4">
        <v>1</v>
      </c>
      <c r="F909" t="s">
        <v>63</v>
      </c>
      <c r="G909" t="s">
        <v>63</v>
      </c>
      <c r="H909" s="3">
        <v>46156</v>
      </c>
      <c r="I909" s="3">
        <v>46156</v>
      </c>
      <c r="J909" t="s">
        <v>207</v>
      </c>
      <c r="K909" s="3">
        <v>46197</v>
      </c>
      <c r="L909" s="3">
        <v>46197</v>
      </c>
      <c r="M909" s="3">
        <v>46156</v>
      </c>
      <c r="N909" s="3">
        <v>46156</v>
      </c>
      <c r="O909" t="s">
        <v>406</v>
      </c>
      <c r="P909" t="s">
        <v>55</v>
      </c>
      <c r="Q909">
        <v>1034</v>
      </c>
      <c r="S909" t="s">
        <v>124</v>
      </c>
      <c r="T909" t="s">
        <v>1429</v>
      </c>
      <c r="V909" t="s">
        <v>61</v>
      </c>
      <c r="W909">
        <v>13.4</v>
      </c>
      <c r="X909" t="s">
        <v>57</v>
      </c>
      <c r="Z909" t="s">
        <v>124</v>
      </c>
      <c r="AA909" t="s">
        <v>131</v>
      </c>
      <c r="AE909">
        <v>1</v>
      </c>
      <c r="AF909">
        <v>0</v>
      </c>
      <c r="AG909">
        <v>0</v>
      </c>
      <c r="AH909">
        <v>0</v>
      </c>
      <c r="AI909">
        <v>1</v>
      </c>
      <c r="AJ909">
        <v>0</v>
      </c>
      <c r="AK909">
        <v>0</v>
      </c>
      <c r="AL909">
        <v>0</v>
      </c>
      <c r="AM909">
        <v>0</v>
      </c>
      <c r="AN909">
        <v>1</v>
      </c>
      <c r="AO909">
        <v>0</v>
      </c>
      <c r="AP909">
        <v>0</v>
      </c>
    </row>
    <row r="910" spans="1:42" x14ac:dyDescent="0.25">
      <c r="A910">
        <v>1036</v>
      </c>
      <c r="B910" t="s">
        <v>1690</v>
      </c>
      <c r="C910" t="s">
        <v>1655</v>
      </c>
      <c r="D910" t="s">
        <v>1691</v>
      </c>
      <c r="E910" s="4">
        <v>1</v>
      </c>
      <c r="F910" t="s">
        <v>365</v>
      </c>
      <c r="G910" t="s">
        <v>365</v>
      </c>
      <c r="H910" s="3">
        <v>46136</v>
      </c>
      <c r="I910" s="3">
        <v>46156</v>
      </c>
      <c r="J910" t="s">
        <v>67</v>
      </c>
      <c r="K910" s="3">
        <v>46156</v>
      </c>
      <c r="L910" s="3">
        <v>46136</v>
      </c>
      <c r="M910" s="3">
        <v>46156</v>
      </c>
      <c r="N910" s="3">
        <v>46156</v>
      </c>
      <c r="O910" t="s">
        <v>67</v>
      </c>
      <c r="P910" t="s">
        <v>55</v>
      </c>
      <c r="T910" t="s">
        <v>1429</v>
      </c>
      <c r="V910" t="s">
        <v>330</v>
      </c>
      <c r="X910" t="s">
        <v>57</v>
      </c>
      <c r="AA910" t="s">
        <v>50</v>
      </c>
      <c r="AB910" t="s">
        <v>94</v>
      </c>
      <c r="AE910">
        <v>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</row>
    <row r="911" spans="1:42" x14ac:dyDescent="0.25">
      <c r="A911">
        <v>1037</v>
      </c>
      <c r="B911" t="s">
        <v>1692</v>
      </c>
      <c r="C911" t="s">
        <v>1693</v>
      </c>
      <c r="D911" t="s">
        <v>117</v>
      </c>
      <c r="E911" s="4">
        <v>1</v>
      </c>
      <c r="F911" t="s">
        <v>1684</v>
      </c>
      <c r="G911" t="s">
        <v>1684</v>
      </c>
      <c r="H911" s="3">
        <v>46136</v>
      </c>
      <c r="I911" s="3">
        <v>46156</v>
      </c>
      <c r="J911" t="s">
        <v>67</v>
      </c>
      <c r="K911" s="3">
        <v>46156</v>
      </c>
      <c r="L911" s="3">
        <v>46136</v>
      </c>
      <c r="M911" s="3">
        <v>46156</v>
      </c>
      <c r="N911" s="3">
        <v>46156</v>
      </c>
      <c r="O911" t="s">
        <v>67</v>
      </c>
      <c r="P911" t="s">
        <v>55</v>
      </c>
      <c r="Q911" t="s">
        <v>1685</v>
      </c>
      <c r="S911" t="s">
        <v>1433</v>
      </c>
      <c r="T911" t="s">
        <v>1429</v>
      </c>
      <c r="U911" t="s">
        <v>1694</v>
      </c>
      <c r="V911" t="s">
        <v>151</v>
      </c>
      <c r="W911">
        <v>13.4</v>
      </c>
      <c r="X911" t="s">
        <v>57</v>
      </c>
      <c r="Z911" t="s">
        <v>1433</v>
      </c>
      <c r="AA911" t="s">
        <v>460</v>
      </c>
      <c r="AE911">
        <v>1</v>
      </c>
      <c r="AF911">
        <v>1</v>
      </c>
      <c r="AG911">
        <v>1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1</v>
      </c>
    </row>
    <row r="912" spans="1:42" x14ac:dyDescent="0.25">
      <c r="A912">
        <v>1038</v>
      </c>
      <c r="B912" t="s">
        <v>1695</v>
      </c>
      <c r="C912" t="s">
        <v>1693</v>
      </c>
      <c r="D912" t="s">
        <v>121</v>
      </c>
      <c r="E912" s="4">
        <v>1</v>
      </c>
      <c r="F912" t="s">
        <v>63</v>
      </c>
      <c r="G912" t="s">
        <v>63</v>
      </c>
      <c r="H912" s="3">
        <v>46156</v>
      </c>
      <c r="I912" s="3">
        <v>46156</v>
      </c>
      <c r="J912" t="s">
        <v>406</v>
      </c>
      <c r="K912" s="3">
        <v>46156</v>
      </c>
      <c r="L912" s="3">
        <v>46156</v>
      </c>
      <c r="M912" s="3">
        <v>46156</v>
      </c>
      <c r="N912" s="3">
        <v>46156</v>
      </c>
      <c r="O912" t="s">
        <v>406</v>
      </c>
      <c r="P912" t="s">
        <v>55</v>
      </c>
      <c r="Q912">
        <v>1037</v>
      </c>
      <c r="S912" t="s">
        <v>124</v>
      </c>
      <c r="T912" t="s">
        <v>1429</v>
      </c>
      <c r="U912">
        <v>1039</v>
      </c>
      <c r="V912" t="s">
        <v>122</v>
      </c>
      <c r="W912">
        <v>13.4</v>
      </c>
      <c r="X912" t="s">
        <v>57</v>
      </c>
      <c r="Z912" t="s">
        <v>124</v>
      </c>
      <c r="AA912" t="s">
        <v>217</v>
      </c>
      <c r="AE912">
        <v>1</v>
      </c>
      <c r="AF912">
        <v>0</v>
      </c>
      <c r="AG912">
        <v>0</v>
      </c>
      <c r="AH912">
        <v>0</v>
      </c>
      <c r="AI912">
        <v>0</v>
      </c>
      <c r="AJ912">
        <v>1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</row>
    <row r="913" spans="1:42" x14ac:dyDescent="0.25">
      <c r="A913">
        <v>1039</v>
      </c>
      <c r="B913" t="s">
        <v>1696</v>
      </c>
      <c r="C913" t="s">
        <v>1693</v>
      </c>
      <c r="D913" t="s">
        <v>126</v>
      </c>
      <c r="E913" s="4">
        <v>1</v>
      </c>
      <c r="F913" t="s">
        <v>63</v>
      </c>
      <c r="G913" t="s">
        <v>63</v>
      </c>
      <c r="H913" s="3">
        <v>46156</v>
      </c>
      <c r="I913" s="3">
        <v>46156</v>
      </c>
      <c r="J913" t="s">
        <v>406</v>
      </c>
      <c r="K913" s="3">
        <v>46156</v>
      </c>
      <c r="L913" s="3">
        <v>46156</v>
      </c>
      <c r="M913" s="3">
        <v>46156</v>
      </c>
      <c r="N913" s="3">
        <v>46156</v>
      </c>
      <c r="O913" t="s">
        <v>406</v>
      </c>
      <c r="P913" t="s">
        <v>55</v>
      </c>
      <c r="Q913">
        <v>1038</v>
      </c>
      <c r="S913" t="s">
        <v>1433</v>
      </c>
      <c r="T913" t="s">
        <v>1429</v>
      </c>
      <c r="U913">
        <v>1040</v>
      </c>
      <c r="V913" t="s">
        <v>61</v>
      </c>
      <c r="W913">
        <v>13.4</v>
      </c>
      <c r="X913" t="s">
        <v>57</v>
      </c>
      <c r="Z913" t="s">
        <v>1433</v>
      </c>
      <c r="AA913" t="s">
        <v>131</v>
      </c>
      <c r="AE913">
        <v>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1</v>
      </c>
      <c r="AM913">
        <v>0</v>
      </c>
      <c r="AN913">
        <v>0</v>
      </c>
      <c r="AO913">
        <v>0</v>
      </c>
      <c r="AP913">
        <v>0</v>
      </c>
    </row>
    <row r="914" spans="1:42" x14ac:dyDescent="0.25">
      <c r="A914">
        <v>1040</v>
      </c>
      <c r="B914" t="s">
        <v>1697</v>
      </c>
      <c r="C914" t="s">
        <v>1693</v>
      </c>
      <c r="D914" t="s">
        <v>133</v>
      </c>
      <c r="E914" s="4">
        <v>1</v>
      </c>
      <c r="F914" t="s">
        <v>63</v>
      </c>
      <c r="G914" t="s">
        <v>63</v>
      </c>
      <c r="H914" s="3">
        <v>46156</v>
      </c>
      <c r="I914" s="3">
        <v>46156</v>
      </c>
      <c r="J914" t="s">
        <v>406</v>
      </c>
      <c r="K914" s="3">
        <v>46156</v>
      </c>
      <c r="L914" s="3">
        <v>46156</v>
      </c>
      <c r="M914" s="3">
        <v>46156</v>
      </c>
      <c r="N914" s="3">
        <v>46156</v>
      </c>
      <c r="O914" t="s">
        <v>406</v>
      </c>
      <c r="P914" t="s">
        <v>55</v>
      </c>
      <c r="Q914">
        <v>1039</v>
      </c>
      <c r="S914" t="s">
        <v>124</v>
      </c>
      <c r="T914" t="s">
        <v>1429</v>
      </c>
      <c r="V914" t="s">
        <v>61</v>
      </c>
      <c r="W914">
        <v>13.4</v>
      </c>
      <c r="X914" t="s">
        <v>57</v>
      </c>
      <c r="Z914" t="s">
        <v>124</v>
      </c>
      <c r="AA914" t="s">
        <v>131</v>
      </c>
      <c r="AE914">
        <v>1</v>
      </c>
      <c r="AF914">
        <v>0</v>
      </c>
      <c r="AG914">
        <v>0</v>
      </c>
      <c r="AH914">
        <v>0</v>
      </c>
      <c r="AI914">
        <v>1</v>
      </c>
      <c r="AJ914">
        <v>0</v>
      </c>
      <c r="AK914">
        <v>0</v>
      </c>
      <c r="AL914">
        <v>0</v>
      </c>
      <c r="AM914">
        <v>0</v>
      </c>
      <c r="AN914">
        <v>1</v>
      </c>
      <c r="AO914">
        <v>0</v>
      </c>
      <c r="AP914">
        <v>0</v>
      </c>
    </row>
    <row r="915" spans="1:42" x14ac:dyDescent="0.25">
      <c r="A915">
        <v>1041</v>
      </c>
      <c r="B915" t="s">
        <v>1698</v>
      </c>
      <c r="C915" t="s">
        <v>1655</v>
      </c>
      <c r="D915" t="s">
        <v>1699</v>
      </c>
      <c r="E915" s="4">
        <v>1</v>
      </c>
      <c r="F915" t="s">
        <v>101</v>
      </c>
      <c r="G915" t="s">
        <v>101</v>
      </c>
      <c r="H915" s="3">
        <v>46153</v>
      </c>
      <c r="I915" s="3">
        <v>46156</v>
      </c>
      <c r="J915" t="s">
        <v>476</v>
      </c>
      <c r="K915" s="3">
        <v>46192</v>
      </c>
      <c r="L915" s="3">
        <v>46184</v>
      </c>
      <c r="M915" s="3">
        <v>46156</v>
      </c>
      <c r="N915" s="3">
        <v>46156</v>
      </c>
      <c r="O915" t="s">
        <v>418</v>
      </c>
      <c r="P915" t="s">
        <v>55</v>
      </c>
      <c r="T915" t="s">
        <v>1429</v>
      </c>
      <c r="V915" t="s">
        <v>175</v>
      </c>
      <c r="X915" t="s">
        <v>57</v>
      </c>
      <c r="AA915" t="s">
        <v>50</v>
      </c>
      <c r="AB915" t="s">
        <v>94</v>
      </c>
      <c r="AE915">
        <v>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</row>
    <row r="916" spans="1:42" x14ac:dyDescent="0.25">
      <c r="A916">
        <v>1042</v>
      </c>
      <c r="B916" t="s">
        <v>1700</v>
      </c>
      <c r="C916" t="s">
        <v>1701</v>
      </c>
      <c r="D916" t="s">
        <v>117</v>
      </c>
      <c r="E916" s="4">
        <v>1</v>
      </c>
      <c r="F916" t="s">
        <v>101</v>
      </c>
      <c r="G916" t="s">
        <v>101</v>
      </c>
      <c r="H916" s="3">
        <v>46153</v>
      </c>
      <c r="I916" s="3">
        <v>46156</v>
      </c>
      <c r="J916" t="s">
        <v>476</v>
      </c>
      <c r="K916" s="3">
        <v>46185</v>
      </c>
      <c r="L916" s="3">
        <v>46184</v>
      </c>
      <c r="M916" s="3">
        <v>46156</v>
      </c>
      <c r="N916" s="3">
        <v>46156</v>
      </c>
      <c r="O916" t="s">
        <v>418</v>
      </c>
      <c r="P916" t="s">
        <v>55</v>
      </c>
      <c r="Q916" t="s">
        <v>1702</v>
      </c>
      <c r="S916" t="s">
        <v>1444</v>
      </c>
      <c r="T916" t="s">
        <v>1429</v>
      </c>
      <c r="U916" t="s">
        <v>1703</v>
      </c>
      <c r="V916" t="s">
        <v>127</v>
      </c>
      <c r="W916">
        <v>13.4</v>
      </c>
      <c r="X916" t="s">
        <v>57</v>
      </c>
      <c r="Z916" t="s">
        <v>1444</v>
      </c>
      <c r="AA916" t="s">
        <v>462</v>
      </c>
      <c r="AE916">
        <v>1</v>
      </c>
      <c r="AF916">
        <v>1</v>
      </c>
      <c r="AG916">
        <v>1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1</v>
      </c>
    </row>
    <row r="917" spans="1:42" x14ac:dyDescent="0.25">
      <c r="A917">
        <v>1043</v>
      </c>
      <c r="B917" t="s">
        <v>1704</v>
      </c>
      <c r="C917" t="s">
        <v>1701</v>
      </c>
      <c r="D917" t="s">
        <v>121</v>
      </c>
      <c r="E917" s="4">
        <v>1</v>
      </c>
      <c r="F917" t="s">
        <v>63</v>
      </c>
      <c r="G917" t="s">
        <v>63</v>
      </c>
      <c r="H917" s="3">
        <v>46156</v>
      </c>
      <c r="I917" s="3">
        <v>46156</v>
      </c>
      <c r="J917" t="s">
        <v>595</v>
      </c>
      <c r="K917" s="3">
        <v>46190</v>
      </c>
      <c r="L917" s="3">
        <v>46188</v>
      </c>
      <c r="M917" s="3">
        <v>46156</v>
      </c>
      <c r="N917" s="3">
        <v>46156</v>
      </c>
      <c r="O917" t="s">
        <v>406</v>
      </c>
      <c r="P917" t="s">
        <v>55</v>
      </c>
      <c r="Q917">
        <v>1042</v>
      </c>
      <c r="S917" t="s">
        <v>124</v>
      </c>
      <c r="T917" t="s">
        <v>1429</v>
      </c>
      <c r="U917">
        <v>1044</v>
      </c>
      <c r="V917" t="s">
        <v>122</v>
      </c>
      <c r="W917">
        <v>13.4</v>
      </c>
      <c r="X917" t="s">
        <v>57</v>
      </c>
      <c r="Z917" t="s">
        <v>124</v>
      </c>
      <c r="AA917" t="s">
        <v>217</v>
      </c>
      <c r="AE917">
        <v>1</v>
      </c>
      <c r="AF917">
        <v>0</v>
      </c>
      <c r="AG917">
        <v>0</v>
      </c>
      <c r="AH917">
        <v>0</v>
      </c>
      <c r="AI917">
        <v>0</v>
      </c>
      <c r="AJ917">
        <v>1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</row>
    <row r="918" spans="1:42" x14ac:dyDescent="0.25">
      <c r="A918">
        <v>1044</v>
      </c>
      <c r="B918" t="s">
        <v>1705</v>
      </c>
      <c r="C918" t="s">
        <v>1701</v>
      </c>
      <c r="D918" t="s">
        <v>126</v>
      </c>
      <c r="E918" s="4">
        <v>1</v>
      </c>
      <c r="F918" t="s">
        <v>61</v>
      </c>
      <c r="G918" t="s">
        <v>61</v>
      </c>
      <c r="H918" s="3">
        <v>46156</v>
      </c>
      <c r="I918" s="3">
        <v>46156</v>
      </c>
      <c r="J918" t="s">
        <v>480</v>
      </c>
      <c r="K918" s="3">
        <v>46191</v>
      </c>
      <c r="L918" s="3">
        <v>46191</v>
      </c>
      <c r="M918" s="3">
        <v>46156</v>
      </c>
      <c r="N918" s="3">
        <v>46156</v>
      </c>
      <c r="O918" t="s">
        <v>406</v>
      </c>
      <c r="P918" t="s">
        <v>55</v>
      </c>
      <c r="Q918">
        <v>1043</v>
      </c>
      <c r="S918" t="s">
        <v>1444</v>
      </c>
      <c r="T918" t="s">
        <v>1429</v>
      </c>
      <c r="U918">
        <v>1045</v>
      </c>
      <c r="V918" t="s">
        <v>61</v>
      </c>
      <c r="W918">
        <v>13.4</v>
      </c>
      <c r="X918" t="s">
        <v>57</v>
      </c>
      <c r="Z918" t="s">
        <v>1444</v>
      </c>
      <c r="AA918" t="s">
        <v>217</v>
      </c>
      <c r="AE918">
        <v>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1</v>
      </c>
      <c r="AM918">
        <v>0</v>
      </c>
      <c r="AN918">
        <v>0</v>
      </c>
      <c r="AO918">
        <v>0</v>
      </c>
      <c r="AP918">
        <v>0</v>
      </c>
    </row>
    <row r="919" spans="1:42" x14ac:dyDescent="0.25">
      <c r="A919">
        <v>1045</v>
      </c>
      <c r="B919" t="s">
        <v>1706</v>
      </c>
      <c r="C919" t="s">
        <v>1701</v>
      </c>
      <c r="D919" t="s">
        <v>133</v>
      </c>
      <c r="E919" s="4">
        <v>1</v>
      </c>
      <c r="F919" t="s">
        <v>61</v>
      </c>
      <c r="G919" t="s">
        <v>61</v>
      </c>
      <c r="H919" s="3">
        <v>46156</v>
      </c>
      <c r="I919" s="3">
        <v>46156</v>
      </c>
      <c r="J919" t="s">
        <v>211</v>
      </c>
      <c r="K919" s="3">
        <v>46192</v>
      </c>
      <c r="L919" s="3">
        <v>46192</v>
      </c>
      <c r="M919" s="3">
        <v>46156</v>
      </c>
      <c r="N919" s="3">
        <v>46156</v>
      </c>
      <c r="O919" t="s">
        <v>406</v>
      </c>
      <c r="P919" t="s">
        <v>55</v>
      </c>
      <c r="Q919">
        <v>1044</v>
      </c>
      <c r="S919" t="s">
        <v>124</v>
      </c>
      <c r="T919" t="s">
        <v>1429</v>
      </c>
      <c r="V919" t="s">
        <v>61</v>
      </c>
      <c r="W919">
        <v>13.4</v>
      </c>
      <c r="X919" t="s">
        <v>57</v>
      </c>
      <c r="Z919" t="s">
        <v>124</v>
      </c>
      <c r="AA919" t="s">
        <v>217</v>
      </c>
      <c r="AE919">
        <v>1</v>
      </c>
      <c r="AF919">
        <v>0</v>
      </c>
      <c r="AG919">
        <v>0</v>
      </c>
      <c r="AH919">
        <v>0</v>
      </c>
      <c r="AI919">
        <v>1</v>
      </c>
      <c r="AJ919">
        <v>0</v>
      </c>
      <c r="AK919">
        <v>0</v>
      </c>
      <c r="AL919">
        <v>0</v>
      </c>
      <c r="AM919">
        <v>0</v>
      </c>
      <c r="AN919">
        <v>1</v>
      </c>
      <c r="AO919">
        <v>0</v>
      </c>
      <c r="AP919">
        <v>0</v>
      </c>
    </row>
    <row r="920" spans="1:42" x14ac:dyDescent="0.25">
      <c r="A920">
        <v>1046</v>
      </c>
      <c r="B920" t="s">
        <v>1707</v>
      </c>
      <c r="C920" t="s">
        <v>1655</v>
      </c>
      <c r="D920" t="s">
        <v>1708</v>
      </c>
      <c r="E920" s="4">
        <v>1</v>
      </c>
      <c r="F920" t="s">
        <v>101</v>
      </c>
      <c r="G920" t="s">
        <v>101</v>
      </c>
      <c r="H920" s="3">
        <v>46153</v>
      </c>
      <c r="I920" s="3">
        <v>46156</v>
      </c>
      <c r="J920" t="s">
        <v>476</v>
      </c>
      <c r="K920" s="3">
        <v>46192</v>
      </c>
      <c r="L920" s="3">
        <v>46184</v>
      </c>
      <c r="M920" s="3">
        <v>46156</v>
      </c>
      <c r="N920" s="3">
        <v>46156</v>
      </c>
      <c r="O920" t="s">
        <v>418</v>
      </c>
      <c r="P920" t="s">
        <v>55</v>
      </c>
      <c r="T920" t="s">
        <v>1429</v>
      </c>
      <c r="V920" t="s">
        <v>175</v>
      </c>
      <c r="X920" t="s">
        <v>57</v>
      </c>
      <c r="AA920" t="s">
        <v>50</v>
      </c>
      <c r="AB920" t="s">
        <v>94</v>
      </c>
      <c r="AE920">
        <v>1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</row>
    <row r="921" spans="1:42" x14ac:dyDescent="0.25">
      <c r="A921">
        <v>1047</v>
      </c>
      <c r="B921" t="s">
        <v>1709</v>
      </c>
      <c r="C921" t="s">
        <v>1710</v>
      </c>
      <c r="D921" t="s">
        <v>117</v>
      </c>
      <c r="E921" s="4">
        <v>1</v>
      </c>
      <c r="F921" t="s">
        <v>101</v>
      </c>
      <c r="G921" t="s">
        <v>101</v>
      </c>
      <c r="H921" s="3">
        <v>46153</v>
      </c>
      <c r="I921" s="3">
        <v>46156</v>
      </c>
      <c r="J921" t="s">
        <v>476</v>
      </c>
      <c r="K921" s="3">
        <v>46185</v>
      </c>
      <c r="L921" s="3">
        <v>46184</v>
      </c>
      <c r="M921" s="3">
        <v>46156</v>
      </c>
      <c r="N921" s="3">
        <v>46156</v>
      </c>
      <c r="O921" t="s">
        <v>418</v>
      </c>
      <c r="P921" t="s">
        <v>55</v>
      </c>
      <c r="Q921" t="s">
        <v>1711</v>
      </c>
      <c r="S921" t="s">
        <v>1444</v>
      </c>
      <c r="T921" t="s">
        <v>1429</v>
      </c>
      <c r="U921">
        <v>1048</v>
      </c>
      <c r="V921" t="s">
        <v>127</v>
      </c>
      <c r="W921">
        <v>13.4</v>
      </c>
      <c r="X921" t="s">
        <v>57</v>
      </c>
      <c r="Z921" t="s">
        <v>1444</v>
      </c>
      <c r="AA921" t="s">
        <v>462</v>
      </c>
      <c r="AE921">
        <v>1</v>
      </c>
      <c r="AF921">
        <v>1</v>
      </c>
      <c r="AG921">
        <v>1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1</v>
      </c>
    </row>
    <row r="922" spans="1:42" x14ac:dyDescent="0.25">
      <c r="A922">
        <v>1048</v>
      </c>
      <c r="B922" t="s">
        <v>1712</v>
      </c>
      <c r="C922" t="s">
        <v>1710</v>
      </c>
      <c r="D922" t="s">
        <v>121</v>
      </c>
      <c r="E922" s="4">
        <v>1</v>
      </c>
      <c r="F922" t="s">
        <v>61</v>
      </c>
      <c r="G922" t="s">
        <v>61</v>
      </c>
      <c r="H922" s="3">
        <v>46156</v>
      </c>
      <c r="I922" s="3">
        <v>46156</v>
      </c>
      <c r="J922" t="s">
        <v>595</v>
      </c>
      <c r="K922" s="3">
        <v>46190</v>
      </c>
      <c r="L922" s="3">
        <v>46188</v>
      </c>
      <c r="M922" s="3">
        <v>46156</v>
      </c>
      <c r="N922" s="3">
        <v>46156</v>
      </c>
      <c r="O922" t="s">
        <v>406</v>
      </c>
      <c r="P922" t="s">
        <v>55</v>
      </c>
      <c r="Q922">
        <v>1047</v>
      </c>
      <c r="S922" t="s">
        <v>124</v>
      </c>
      <c r="T922" t="s">
        <v>1429</v>
      </c>
      <c r="U922">
        <v>1049</v>
      </c>
      <c r="V922" t="s">
        <v>122</v>
      </c>
      <c r="W922">
        <v>13.4</v>
      </c>
      <c r="X922" t="s">
        <v>57</v>
      </c>
      <c r="Z922" t="s">
        <v>124</v>
      </c>
      <c r="AA922" t="s">
        <v>217</v>
      </c>
      <c r="AE922">
        <v>1</v>
      </c>
      <c r="AF922">
        <v>0</v>
      </c>
      <c r="AG922">
        <v>0</v>
      </c>
      <c r="AH922">
        <v>0</v>
      </c>
      <c r="AI922">
        <v>0</v>
      </c>
      <c r="AJ922">
        <v>1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</row>
    <row r="923" spans="1:42" x14ac:dyDescent="0.25">
      <c r="A923">
        <v>1049</v>
      </c>
      <c r="B923" t="s">
        <v>1713</v>
      </c>
      <c r="C923" t="s">
        <v>1710</v>
      </c>
      <c r="D923" t="s">
        <v>126</v>
      </c>
      <c r="E923" s="4">
        <v>1</v>
      </c>
      <c r="F923" t="s">
        <v>61</v>
      </c>
      <c r="G923" t="s">
        <v>61</v>
      </c>
      <c r="H923" s="3">
        <v>46156</v>
      </c>
      <c r="I923" s="3">
        <v>46156</v>
      </c>
      <c r="J923" t="s">
        <v>480</v>
      </c>
      <c r="K923" s="3">
        <v>46191</v>
      </c>
      <c r="L923" s="3">
        <v>46191</v>
      </c>
      <c r="M923" s="3">
        <v>46156</v>
      </c>
      <c r="N923" s="3">
        <v>46156</v>
      </c>
      <c r="O923" t="s">
        <v>406</v>
      </c>
      <c r="P923" t="s">
        <v>55</v>
      </c>
      <c r="Q923">
        <v>1048</v>
      </c>
      <c r="S923" t="s">
        <v>1444</v>
      </c>
      <c r="T923" t="s">
        <v>1429</v>
      </c>
      <c r="U923">
        <v>1050</v>
      </c>
      <c r="V923" t="s">
        <v>61</v>
      </c>
      <c r="W923">
        <v>13.4</v>
      </c>
      <c r="X923" t="s">
        <v>57</v>
      </c>
      <c r="Z923" t="s">
        <v>1444</v>
      </c>
      <c r="AA923" t="s">
        <v>217</v>
      </c>
      <c r="AE923">
        <v>1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1</v>
      </c>
      <c r="AM923">
        <v>0</v>
      </c>
      <c r="AN923">
        <v>0</v>
      </c>
      <c r="AO923">
        <v>0</v>
      </c>
      <c r="AP923">
        <v>0</v>
      </c>
    </row>
    <row r="924" spans="1:42" x14ac:dyDescent="0.25">
      <c r="A924">
        <v>1050</v>
      </c>
      <c r="B924" t="s">
        <v>1714</v>
      </c>
      <c r="C924" t="s">
        <v>1710</v>
      </c>
      <c r="D924" t="s">
        <v>133</v>
      </c>
      <c r="E924" s="4">
        <v>1</v>
      </c>
      <c r="F924" t="s">
        <v>61</v>
      </c>
      <c r="G924" t="s">
        <v>61</v>
      </c>
      <c r="H924" s="3">
        <v>46156</v>
      </c>
      <c r="I924" s="3">
        <v>46156</v>
      </c>
      <c r="J924" t="s">
        <v>211</v>
      </c>
      <c r="K924" s="3">
        <v>46192</v>
      </c>
      <c r="L924" s="3">
        <v>46192</v>
      </c>
      <c r="M924" s="3">
        <v>46156</v>
      </c>
      <c r="N924" s="3">
        <v>46156</v>
      </c>
      <c r="O924" t="s">
        <v>406</v>
      </c>
      <c r="P924" t="s">
        <v>55</v>
      </c>
      <c r="Q924">
        <v>1049</v>
      </c>
      <c r="S924" t="s">
        <v>124</v>
      </c>
      <c r="T924" t="s">
        <v>1429</v>
      </c>
      <c r="V924" t="s">
        <v>61</v>
      </c>
      <c r="W924">
        <v>13.4</v>
      </c>
      <c r="X924" t="s">
        <v>57</v>
      </c>
      <c r="Z924" t="s">
        <v>124</v>
      </c>
      <c r="AA924" t="s">
        <v>217</v>
      </c>
      <c r="AE924">
        <v>1</v>
      </c>
      <c r="AF924">
        <v>0</v>
      </c>
      <c r="AG924">
        <v>0</v>
      </c>
      <c r="AH924">
        <v>0</v>
      </c>
      <c r="AI924">
        <v>1</v>
      </c>
      <c r="AJ924">
        <v>0</v>
      </c>
      <c r="AK924">
        <v>0</v>
      </c>
      <c r="AL924">
        <v>0</v>
      </c>
      <c r="AM924">
        <v>0</v>
      </c>
      <c r="AN924">
        <v>1</v>
      </c>
      <c r="AO924">
        <v>0</v>
      </c>
      <c r="AP924">
        <v>0</v>
      </c>
    </row>
    <row r="925" spans="1:42" x14ac:dyDescent="0.25">
      <c r="A925">
        <v>1051</v>
      </c>
      <c r="B925" t="s">
        <v>1715</v>
      </c>
      <c r="C925" t="s">
        <v>1655</v>
      </c>
      <c r="D925" t="s">
        <v>1716</v>
      </c>
      <c r="E925" s="4">
        <v>1</v>
      </c>
      <c r="F925" t="s">
        <v>101</v>
      </c>
      <c r="G925" t="s">
        <v>101</v>
      </c>
      <c r="H925" s="3">
        <v>46153</v>
      </c>
      <c r="I925" s="3">
        <v>46156</v>
      </c>
      <c r="J925" t="s">
        <v>418</v>
      </c>
      <c r="K925" s="3">
        <v>46156</v>
      </c>
      <c r="L925" s="3">
        <v>46153</v>
      </c>
      <c r="M925" s="3">
        <v>46156</v>
      </c>
      <c r="N925" s="3">
        <v>46156</v>
      </c>
      <c r="O925" t="s">
        <v>418</v>
      </c>
      <c r="P925" t="s">
        <v>55</v>
      </c>
      <c r="T925" t="s">
        <v>1429</v>
      </c>
      <c r="V925" t="s">
        <v>175</v>
      </c>
      <c r="X925" t="s">
        <v>57</v>
      </c>
      <c r="AA925" t="s">
        <v>50</v>
      </c>
      <c r="AB925" t="s">
        <v>94</v>
      </c>
      <c r="AE925">
        <v>1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</row>
    <row r="926" spans="1:42" x14ac:dyDescent="0.25">
      <c r="A926">
        <v>1052</v>
      </c>
      <c r="B926" t="s">
        <v>1717</v>
      </c>
      <c r="C926" t="s">
        <v>1718</v>
      </c>
      <c r="D926" t="s">
        <v>117</v>
      </c>
      <c r="E926" s="4">
        <v>1</v>
      </c>
      <c r="F926" t="s">
        <v>101</v>
      </c>
      <c r="G926" t="s">
        <v>101</v>
      </c>
      <c r="H926" s="3">
        <v>46153</v>
      </c>
      <c r="I926" s="3">
        <v>46156</v>
      </c>
      <c r="J926" t="s">
        <v>418</v>
      </c>
      <c r="K926" s="3">
        <v>46156</v>
      </c>
      <c r="L926" s="3">
        <v>46153</v>
      </c>
      <c r="M926" s="3">
        <v>46156</v>
      </c>
      <c r="N926" s="3">
        <v>46156</v>
      </c>
      <c r="O926" t="s">
        <v>418</v>
      </c>
      <c r="P926" t="s">
        <v>55</v>
      </c>
      <c r="Q926" t="s">
        <v>1711</v>
      </c>
      <c r="S926" t="s">
        <v>1444</v>
      </c>
      <c r="T926" t="s">
        <v>1429</v>
      </c>
      <c r="U926">
        <v>1053</v>
      </c>
      <c r="V926" t="s">
        <v>127</v>
      </c>
      <c r="W926">
        <v>13.4</v>
      </c>
      <c r="X926" t="s">
        <v>57</v>
      </c>
      <c r="Z926" t="s">
        <v>1444</v>
      </c>
      <c r="AA926" t="s">
        <v>462</v>
      </c>
      <c r="AE926">
        <v>1</v>
      </c>
      <c r="AF926">
        <v>1</v>
      </c>
      <c r="AG926">
        <v>1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1</v>
      </c>
    </row>
    <row r="927" spans="1:42" x14ac:dyDescent="0.25">
      <c r="A927">
        <v>1053</v>
      </c>
      <c r="B927" t="s">
        <v>1719</v>
      </c>
      <c r="C927" t="s">
        <v>1718</v>
      </c>
      <c r="D927" t="s">
        <v>121</v>
      </c>
      <c r="E927" s="4">
        <v>1</v>
      </c>
      <c r="F927" t="s">
        <v>61</v>
      </c>
      <c r="G927" t="s">
        <v>61</v>
      </c>
      <c r="H927" s="3">
        <v>46156</v>
      </c>
      <c r="I927" s="3">
        <v>46156</v>
      </c>
      <c r="J927" t="s">
        <v>406</v>
      </c>
      <c r="K927" s="3">
        <v>46156</v>
      </c>
      <c r="L927" s="3">
        <v>46156</v>
      </c>
      <c r="M927" s="3">
        <v>46156</v>
      </c>
      <c r="N927" s="3">
        <v>46156</v>
      </c>
      <c r="O927" t="s">
        <v>406</v>
      </c>
      <c r="P927" t="s">
        <v>55</v>
      </c>
      <c r="Q927">
        <v>1052</v>
      </c>
      <c r="S927" t="s">
        <v>124</v>
      </c>
      <c r="T927" t="s">
        <v>1429</v>
      </c>
      <c r="U927">
        <v>1054</v>
      </c>
      <c r="V927" t="s">
        <v>122</v>
      </c>
      <c r="W927">
        <v>13.4</v>
      </c>
      <c r="X927" t="s">
        <v>57</v>
      </c>
      <c r="Z927" t="s">
        <v>124</v>
      </c>
      <c r="AA927" t="s">
        <v>217</v>
      </c>
      <c r="AE927">
        <v>1</v>
      </c>
      <c r="AF927">
        <v>0</v>
      </c>
      <c r="AG927">
        <v>0</v>
      </c>
      <c r="AH927">
        <v>0</v>
      </c>
      <c r="AI927">
        <v>0</v>
      </c>
      <c r="AJ927">
        <v>1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</row>
    <row r="928" spans="1:42" x14ac:dyDescent="0.25">
      <c r="A928">
        <v>1054</v>
      </c>
      <c r="B928" t="s">
        <v>1720</v>
      </c>
      <c r="C928" t="s">
        <v>1718</v>
      </c>
      <c r="D928" t="s">
        <v>126</v>
      </c>
      <c r="E928" s="4">
        <v>1</v>
      </c>
      <c r="F928" t="s">
        <v>61</v>
      </c>
      <c r="G928" t="s">
        <v>61</v>
      </c>
      <c r="H928" s="3">
        <v>46156</v>
      </c>
      <c r="I928" s="3">
        <v>46156</v>
      </c>
      <c r="J928" t="s">
        <v>406</v>
      </c>
      <c r="K928" s="3">
        <v>46156</v>
      </c>
      <c r="L928" s="3">
        <v>46156</v>
      </c>
      <c r="M928" s="3">
        <v>46156</v>
      </c>
      <c r="N928" s="3">
        <v>46156</v>
      </c>
      <c r="O928" t="s">
        <v>406</v>
      </c>
      <c r="P928" t="s">
        <v>55</v>
      </c>
      <c r="Q928">
        <v>1053</v>
      </c>
      <c r="S928" t="s">
        <v>1444</v>
      </c>
      <c r="T928" t="s">
        <v>1429</v>
      </c>
      <c r="U928">
        <v>1055</v>
      </c>
      <c r="V928" t="s">
        <v>61</v>
      </c>
      <c r="W928">
        <v>13.4</v>
      </c>
      <c r="X928" t="s">
        <v>57</v>
      </c>
      <c r="Z928" t="s">
        <v>1444</v>
      </c>
      <c r="AA928" t="s">
        <v>217</v>
      </c>
      <c r="AE928">
        <v>1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1</v>
      </c>
      <c r="AM928">
        <v>0</v>
      </c>
      <c r="AN928">
        <v>0</v>
      </c>
      <c r="AO928">
        <v>0</v>
      </c>
      <c r="AP928">
        <v>0</v>
      </c>
    </row>
    <row r="929" spans="1:42" x14ac:dyDescent="0.25">
      <c r="A929">
        <v>1055</v>
      </c>
      <c r="B929" t="s">
        <v>1721</v>
      </c>
      <c r="C929" t="s">
        <v>1718</v>
      </c>
      <c r="D929" t="s">
        <v>133</v>
      </c>
      <c r="E929" s="4">
        <v>1</v>
      </c>
      <c r="F929" t="s">
        <v>61</v>
      </c>
      <c r="G929" t="s">
        <v>61</v>
      </c>
      <c r="H929" s="3">
        <v>46156</v>
      </c>
      <c r="I929" s="3">
        <v>46156</v>
      </c>
      <c r="J929" t="s">
        <v>406</v>
      </c>
      <c r="K929" s="3">
        <v>46156</v>
      </c>
      <c r="L929" s="3">
        <v>46156</v>
      </c>
      <c r="M929" s="3">
        <v>46156</v>
      </c>
      <c r="N929" s="3">
        <v>46156</v>
      </c>
      <c r="O929" t="s">
        <v>406</v>
      </c>
      <c r="P929" t="s">
        <v>55</v>
      </c>
      <c r="Q929">
        <v>1054</v>
      </c>
      <c r="S929" t="s">
        <v>124</v>
      </c>
      <c r="T929" t="s">
        <v>1429</v>
      </c>
      <c r="V929" t="s">
        <v>61</v>
      </c>
      <c r="W929">
        <v>13.4</v>
      </c>
      <c r="X929" t="s">
        <v>57</v>
      </c>
      <c r="Z929" t="s">
        <v>124</v>
      </c>
      <c r="AA929" t="s">
        <v>217</v>
      </c>
      <c r="AE929">
        <v>1</v>
      </c>
      <c r="AF929">
        <v>0</v>
      </c>
      <c r="AG929">
        <v>0</v>
      </c>
      <c r="AH929">
        <v>0</v>
      </c>
      <c r="AI929">
        <v>1</v>
      </c>
      <c r="AJ929">
        <v>0</v>
      </c>
      <c r="AK929">
        <v>0</v>
      </c>
      <c r="AL929">
        <v>0</v>
      </c>
      <c r="AM929">
        <v>0</v>
      </c>
      <c r="AN929">
        <v>1</v>
      </c>
      <c r="AO929">
        <v>0</v>
      </c>
      <c r="AP929">
        <v>0</v>
      </c>
    </row>
    <row r="930" spans="1:42" x14ac:dyDescent="0.25">
      <c r="A930">
        <v>1056</v>
      </c>
      <c r="B930" t="s">
        <v>1722</v>
      </c>
      <c r="C930" t="s">
        <v>1655</v>
      </c>
      <c r="D930" t="s">
        <v>1723</v>
      </c>
      <c r="E930" s="4">
        <v>1</v>
      </c>
      <c r="F930" t="s">
        <v>101</v>
      </c>
      <c r="G930" t="s">
        <v>101</v>
      </c>
      <c r="H930" s="3">
        <v>46153</v>
      </c>
      <c r="I930" s="3">
        <v>46156</v>
      </c>
      <c r="J930" t="s">
        <v>418</v>
      </c>
      <c r="K930" s="3">
        <v>46156</v>
      </c>
      <c r="L930" s="3">
        <v>46153</v>
      </c>
      <c r="M930" s="3">
        <v>46156</v>
      </c>
      <c r="N930" s="3">
        <v>46156</v>
      </c>
      <c r="O930" t="s">
        <v>418</v>
      </c>
      <c r="P930" t="s">
        <v>55</v>
      </c>
      <c r="T930" t="s">
        <v>1429</v>
      </c>
      <c r="V930" t="s">
        <v>175</v>
      </c>
      <c r="X930" t="s">
        <v>57</v>
      </c>
      <c r="AA930" t="s">
        <v>50</v>
      </c>
      <c r="AB930" t="s">
        <v>94</v>
      </c>
      <c r="AE930">
        <v>1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</row>
    <row r="931" spans="1:42" x14ac:dyDescent="0.25">
      <c r="A931">
        <v>1057</v>
      </c>
      <c r="B931" t="s">
        <v>1724</v>
      </c>
      <c r="C931" t="s">
        <v>1725</v>
      </c>
      <c r="D931" t="s">
        <v>117</v>
      </c>
      <c r="E931" s="4">
        <v>1</v>
      </c>
      <c r="F931" t="s">
        <v>101</v>
      </c>
      <c r="G931" t="s">
        <v>101</v>
      </c>
      <c r="H931" s="3">
        <v>46153</v>
      </c>
      <c r="I931" s="3">
        <v>46156</v>
      </c>
      <c r="J931" t="s">
        <v>418</v>
      </c>
      <c r="K931" s="3">
        <v>46156</v>
      </c>
      <c r="L931" s="3">
        <v>46153</v>
      </c>
      <c r="M931" s="3">
        <v>46156</v>
      </c>
      <c r="N931" s="3">
        <v>46156</v>
      </c>
      <c r="O931" t="s">
        <v>418</v>
      </c>
      <c r="P931" t="s">
        <v>55</v>
      </c>
      <c r="Q931" t="s">
        <v>1711</v>
      </c>
      <c r="S931" t="s">
        <v>1444</v>
      </c>
      <c r="T931" t="s">
        <v>1429</v>
      </c>
      <c r="U931">
        <v>1058</v>
      </c>
      <c r="V931" t="s">
        <v>127</v>
      </c>
      <c r="W931">
        <v>13.4</v>
      </c>
      <c r="X931" t="s">
        <v>57</v>
      </c>
      <c r="Z931" t="s">
        <v>1444</v>
      </c>
      <c r="AA931" t="s">
        <v>462</v>
      </c>
      <c r="AE931">
        <v>1</v>
      </c>
      <c r="AF931">
        <v>1</v>
      </c>
      <c r="AG931">
        <v>1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1</v>
      </c>
    </row>
    <row r="932" spans="1:42" x14ac:dyDescent="0.25">
      <c r="A932">
        <v>1058</v>
      </c>
      <c r="B932" t="s">
        <v>1726</v>
      </c>
      <c r="C932" t="s">
        <v>1725</v>
      </c>
      <c r="D932" t="s">
        <v>121</v>
      </c>
      <c r="E932" s="4">
        <v>1</v>
      </c>
      <c r="F932" t="s">
        <v>61</v>
      </c>
      <c r="G932" t="s">
        <v>61</v>
      </c>
      <c r="H932" s="3">
        <v>46156</v>
      </c>
      <c r="I932" s="3">
        <v>46156</v>
      </c>
      <c r="J932" t="s">
        <v>406</v>
      </c>
      <c r="K932" s="3">
        <v>46156</v>
      </c>
      <c r="L932" s="3">
        <v>46156</v>
      </c>
      <c r="M932" s="3">
        <v>46156</v>
      </c>
      <c r="N932" s="3">
        <v>46156</v>
      </c>
      <c r="O932" t="s">
        <v>406</v>
      </c>
      <c r="P932" t="s">
        <v>55</v>
      </c>
      <c r="Q932">
        <v>1057</v>
      </c>
      <c r="S932" t="s">
        <v>124</v>
      </c>
      <c r="T932" t="s">
        <v>1429</v>
      </c>
      <c r="U932">
        <v>1059</v>
      </c>
      <c r="V932" t="s">
        <v>122</v>
      </c>
      <c r="W932">
        <v>13.4</v>
      </c>
      <c r="X932" t="s">
        <v>57</v>
      </c>
      <c r="Z932" t="s">
        <v>124</v>
      </c>
      <c r="AA932" t="s">
        <v>217</v>
      </c>
      <c r="AE932">
        <v>1</v>
      </c>
      <c r="AF932">
        <v>0</v>
      </c>
      <c r="AG932">
        <v>0</v>
      </c>
      <c r="AH932">
        <v>0</v>
      </c>
      <c r="AI932">
        <v>0</v>
      </c>
      <c r="AJ932">
        <v>1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</row>
    <row r="933" spans="1:42" x14ac:dyDescent="0.25">
      <c r="A933">
        <v>1059</v>
      </c>
      <c r="B933" t="s">
        <v>1727</v>
      </c>
      <c r="C933" t="s">
        <v>1725</v>
      </c>
      <c r="D933" t="s">
        <v>126</v>
      </c>
      <c r="E933" s="4">
        <v>1</v>
      </c>
      <c r="F933" t="s">
        <v>61</v>
      </c>
      <c r="G933" t="s">
        <v>61</v>
      </c>
      <c r="H933" s="3">
        <v>46156</v>
      </c>
      <c r="I933" s="3">
        <v>46156</v>
      </c>
      <c r="J933" t="s">
        <v>406</v>
      </c>
      <c r="K933" s="3">
        <v>46156</v>
      </c>
      <c r="L933" s="3">
        <v>46156</v>
      </c>
      <c r="M933" s="3">
        <v>46156</v>
      </c>
      <c r="N933" s="3">
        <v>46156</v>
      </c>
      <c r="O933" t="s">
        <v>406</v>
      </c>
      <c r="P933" t="s">
        <v>55</v>
      </c>
      <c r="Q933">
        <v>1058</v>
      </c>
      <c r="S933" t="s">
        <v>1444</v>
      </c>
      <c r="T933" t="s">
        <v>1429</v>
      </c>
      <c r="U933">
        <v>1060</v>
      </c>
      <c r="V933" t="s">
        <v>61</v>
      </c>
      <c r="W933">
        <v>13.4</v>
      </c>
      <c r="X933" t="s">
        <v>57</v>
      </c>
      <c r="Z933" t="s">
        <v>1444</v>
      </c>
      <c r="AA933" t="s">
        <v>217</v>
      </c>
      <c r="AE933">
        <v>1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1</v>
      </c>
      <c r="AM933">
        <v>0</v>
      </c>
      <c r="AN933">
        <v>0</v>
      </c>
      <c r="AO933">
        <v>0</v>
      </c>
      <c r="AP933">
        <v>0</v>
      </c>
    </row>
    <row r="934" spans="1:42" x14ac:dyDescent="0.25">
      <c r="A934">
        <v>1060</v>
      </c>
      <c r="B934" t="s">
        <v>1728</v>
      </c>
      <c r="C934" t="s">
        <v>1725</v>
      </c>
      <c r="D934" t="s">
        <v>133</v>
      </c>
      <c r="E934" s="4">
        <v>1</v>
      </c>
      <c r="F934" t="s">
        <v>61</v>
      </c>
      <c r="G934" t="s">
        <v>61</v>
      </c>
      <c r="H934" s="3">
        <v>46156</v>
      </c>
      <c r="I934" s="3">
        <v>46156</v>
      </c>
      <c r="J934" t="s">
        <v>406</v>
      </c>
      <c r="K934" s="3">
        <v>46156</v>
      </c>
      <c r="L934" s="3">
        <v>46156</v>
      </c>
      <c r="M934" s="3">
        <v>46156</v>
      </c>
      <c r="N934" s="3">
        <v>46156</v>
      </c>
      <c r="O934" t="s">
        <v>406</v>
      </c>
      <c r="P934" t="s">
        <v>55</v>
      </c>
      <c r="Q934">
        <v>1059</v>
      </c>
      <c r="S934" t="s">
        <v>124</v>
      </c>
      <c r="T934" t="s">
        <v>1429</v>
      </c>
      <c r="V934" t="s">
        <v>61</v>
      </c>
      <c r="W934">
        <v>13.4</v>
      </c>
      <c r="X934" t="s">
        <v>57</v>
      </c>
      <c r="Z934" t="s">
        <v>124</v>
      </c>
      <c r="AA934" t="s">
        <v>217</v>
      </c>
      <c r="AE934">
        <v>1</v>
      </c>
      <c r="AF934">
        <v>0</v>
      </c>
      <c r="AG934">
        <v>0</v>
      </c>
      <c r="AH934">
        <v>0</v>
      </c>
      <c r="AI934">
        <v>1</v>
      </c>
      <c r="AJ934">
        <v>0</v>
      </c>
      <c r="AK934">
        <v>0</v>
      </c>
      <c r="AL934">
        <v>0</v>
      </c>
      <c r="AM934">
        <v>0</v>
      </c>
      <c r="AN934">
        <v>1</v>
      </c>
      <c r="AO934">
        <v>0</v>
      </c>
      <c r="AP934">
        <v>0</v>
      </c>
    </row>
    <row r="935" spans="1:42" x14ac:dyDescent="0.25">
      <c r="A935">
        <v>1061</v>
      </c>
      <c r="B935" t="s">
        <v>1729</v>
      </c>
      <c r="C935" t="s">
        <v>1655</v>
      </c>
      <c r="D935" t="s">
        <v>1730</v>
      </c>
      <c r="E935" s="4">
        <v>1</v>
      </c>
      <c r="F935" t="s">
        <v>101</v>
      </c>
      <c r="G935" t="s">
        <v>101</v>
      </c>
      <c r="H935" s="3">
        <v>46153</v>
      </c>
      <c r="I935" s="3">
        <v>46156</v>
      </c>
      <c r="J935" t="s">
        <v>418</v>
      </c>
      <c r="K935" s="3">
        <v>46156</v>
      </c>
      <c r="L935" s="3">
        <v>46153</v>
      </c>
      <c r="M935" s="3">
        <v>46156</v>
      </c>
      <c r="N935" s="3">
        <v>46156</v>
      </c>
      <c r="O935" t="s">
        <v>418</v>
      </c>
      <c r="P935" t="s">
        <v>55</v>
      </c>
      <c r="T935" t="s">
        <v>1429</v>
      </c>
      <c r="V935" t="s">
        <v>175</v>
      </c>
      <c r="X935" t="s">
        <v>57</v>
      </c>
      <c r="AA935" t="s">
        <v>50</v>
      </c>
      <c r="AB935" t="s">
        <v>94</v>
      </c>
      <c r="AE935">
        <v>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</row>
    <row r="936" spans="1:42" x14ac:dyDescent="0.25">
      <c r="A936">
        <v>1062</v>
      </c>
      <c r="B936" t="s">
        <v>1731</v>
      </c>
      <c r="C936" t="s">
        <v>1732</v>
      </c>
      <c r="D936" t="s">
        <v>117</v>
      </c>
      <c r="E936" s="4">
        <v>1</v>
      </c>
      <c r="F936" t="s">
        <v>101</v>
      </c>
      <c r="G936" t="s">
        <v>101</v>
      </c>
      <c r="H936" s="3">
        <v>46153</v>
      </c>
      <c r="I936" s="3">
        <v>46156</v>
      </c>
      <c r="J936" t="s">
        <v>418</v>
      </c>
      <c r="K936" s="3">
        <v>46156</v>
      </c>
      <c r="L936" s="3">
        <v>46153</v>
      </c>
      <c r="M936" s="3">
        <v>46156</v>
      </c>
      <c r="N936" s="3">
        <v>46156</v>
      </c>
      <c r="O936" t="s">
        <v>418</v>
      </c>
      <c r="P936" t="s">
        <v>55</v>
      </c>
      <c r="Q936" t="s">
        <v>1711</v>
      </c>
      <c r="S936" t="s">
        <v>1444</v>
      </c>
      <c r="T936" t="s">
        <v>1429</v>
      </c>
      <c r="U936">
        <v>1063</v>
      </c>
      <c r="V936" t="s">
        <v>127</v>
      </c>
      <c r="W936">
        <v>13.4</v>
      </c>
      <c r="X936" t="s">
        <v>57</v>
      </c>
      <c r="Z936" t="s">
        <v>1444</v>
      </c>
      <c r="AA936" t="s">
        <v>462</v>
      </c>
      <c r="AE936">
        <v>1</v>
      </c>
      <c r="AF936">
        <v>1</v>
      </c>
      <c r="AG936">
        <v>1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1</v>
      </c>
    </row>
    <row r="937" spans="1:42" x14ac:dyDescent="0.25">
      <c r="A937">
        <v>1063</v>
      </c>
      <c r="B937" t="s">
        <v>1733</v>
      </c>
      <c r="C937" t="s">
        <v>1732</v>
      </c>
      <c r="D937" t="s">
        <v>121</v>
      </c>
      <c r="E937" s="4">
        <v>1</v>
      </c>
      <c r="F937" t="s">
        <v>61</v>
      </c>
      <c r="G937" t="s">
        <v>61</v>
      </c>
      <c r="H937" s="3">
        <v>46156</v>
      </c>
      <c r="I937" s="3">
        <v>46156</v>
      </c>
      <c r="J937" t="s">
        <v>406</v>
      </c>
      <c r="K937" s="3">
        <v>46156</v>
      </c>
      <c r="L937" s="3">
        <v>46156</v>
      </c>
      <c r="M937" s="3">
        <v>46156</v>
      </c>
      <c r="N937" s="3">
        <v>46156</v>
      </c>
      <c r="O937" t="s">
        <v>406</v>
      </c>
      <c r="P937" t="s">
        <v>55</v>
      </c>
      <c r="Q937">
        <v>1062</v>
      </c>
      <c r="S937" t="s">
        <v>124</v>
      </c>
      <c r="T937" t="s">
        <v>1429</v>
      </c>
      <c r="U937">
        <v>1064</v>
      </c>
      <c r="V937" t="s">
        <v>122</v>
      </c>
      <c r="W937">
        <v>13.4</v>
      </c>
      <c r="X937" t="s">
        <v>57</v>
      </c>
      <c r="Z937" t="s">
        <v>124</v>
      </c>
      <c r="AA937" t="s">
        <v>217</v>
      </c>
      <c r="AE937">
        <v>1</v>
      </c>
      <c r="AF937">
        <v>0</v>
      </c>
      <c r="AG937">
        <v>0</v>
      </c>
      <c r="AH937">
        <v>0</v>
      </c>
      <c r="AI937">
        <v>0</v>
      </c>
      <c r="AJ937">
        <v>1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</row>
    <row r="938" spans="1:42" x14ac:dyDescent="0.25">
      <c r="A938">
        <v>1064</v>
      </c>
      <c r="B938" t="s">
        <v>1734</v>
      </c>
      <c r="C938" t="s">
        <v>1732</v>
      </c>
      <c r="D938" t="s">
        <v>126</v>
      </c>
      <c r="E938" s="4">
        <v>1</v>
      </c>
      <c r="F938" t="s">
        <v>61</v>
      </c>
      <c r="G938" t="s">
        <v>61</v>
      </c>
      <c r="H938" s="3">
        <v>46156</v>
      </c>
      <c r="I938" s="3">
        <v>46156</v>
      </c>
      <c r="J938" t="s">
        <v>406</v>
      </c>
      <c r="K938" s="3">
        <v>46156</v>
      </c>
      <c r="L938" s="3">
        <v>46156</v>
      </c>
      <c r="M938" s="3">
        <v>46156</v>
      </c>
      <c r="N938" s="3">
        <v>46156</v>
      </c>
      <c r="O938" t="s">
        <v>406</v>
      </c>
      <c r="P938" t="s">
        <v>55</v>
      </c>
      <c r="Q938">
        <v>1063</v>
      </c>
      <c r="S938" t="s">
        <v>1444</v>
      </c>
      <c r="T938" t="s">
        <v>1429</v>
      </c>
      <c r="U938">
        <v>1065</v>
      </c>
      <c r="V938" t="s">
        <v>61</v>
      </c>
      <c r="W938">
        <v>13.4</v>
      </c>
      <c r="X938" t="s">
        <v>57</v>
      </c>
      <c r="Z938" t="s">
        <v>1444</v>
      </c>
      <c r="AA938" t="s">
        <v>217</v>
      </c>
      <c r="AE938">
        <v>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1</v>
      </c>
      <c r="AM938">
        <v>0</v>
      </c>
      <c r="AN938">
        <v>0</v>
      </c>
      <c r="AO938">
        <v>0</v>
      </c>
      <c r="AP938">
        <v>0</v>
      </c>
    </row>
    <row r="939" spans="1:42" x14ac:dyDescent="0.25">
      <c r="A939">
        <v>1065</v>
      </c>
      <c r="B939" t="s">
        <v>1735</v>
      </c>
      <c r="C939" t="s">
        <v>1732</v>
      </c>
      <c r="D939" t="s">
        <v>133</v>
      </c>
      <c r="E939" s="4">
        <v>1</v>
      </c>
      <c r="F939" t="s">
        <v>61</v>
      </c>
      <c r="G939" t="s">
        <v>61</v>
      </c>
      <c r="H939" s="3">
        <v>46156</v>
      </c>
      <c r="I939" s="3">
        <v>46156</v>
      </c>
      <c r="J939" t="s">
        <v>406</v>
      </c>
      <c r="K939" s="3">
        <v>46156</v>
      </c>
      <c r="L939" s="3">
        <v>46156</v>
      </c>
      <c r="M939" s="3">
        <v>46156</v>
      </c>
      <c r="N939" s="3">
        <v>46156</v>
      </c>
      <c r="O939" t="s">
        <v>406</v>
      </c>
      <c r="P939" t="s">
        <v>55</v>
      </c>
      <c r="Q939">
        <v>1064</v>
      </c>
      <c r="S939" t="s">
        <v>124</v>
      </c>
      <c r="T939" t="s">
        <v>1429</v>
      </c>
      <c r="V939" t="s">
        <v>61</v>
      </c>
      <c r="W939">
        <v>13.4</v>
      </c>
      <c r="X939" t="s">
        <v>57</v>
      </c>
      <c r="Z939" t="s">
        <v>124</v>
      </c>
      <c r="AA939" t="s">
        <v>217</v>
      </c>
      <c r="AE939">
        <v>1</v>
      </c>
      <c r="AF939">
        <v>0</v>
      </c>
      <c r="AG939">
        <v>0</v>
      </c>
      <c r="AH939">
        <v>0</v>
      </c>
      <c r="AI939">
        <v>1</v>
      </c>
      <c r="AJ939">
        <v>0</v>
      </c>
      <c r="AK939">
        <v>0</v>
      </c>
      <c r="AL939">
        <v>0</v>
      </c>
      <c r="AM939">
        <v>0</v>
      </c>
      <c r="AN939">
        <v>1</v>
      </c>
      <c r="AO939">
        <v>0</v>
      </c>
      <c r="AP939">
        <v>0</v>
      </c>
    </row>
    <row r="940" spans="1:42" x14ac:dyDescent="0.25">
      <c r="A940">
        <v>1066</v>
      </c>
      <c r="B940" t="s">
        <v>1736</v>
      </c>
      <c r="C940" t="s">
        <v>1655</v>
      </c>
      <c r="D940" t="s">
        <v>1737</v>
      </c>
      <c r="E940" s="4">
        <v>1</v>
      </c>
      <c r="F940" t="s">
        <v>101</v>
      </c>
      <c r="G940" t="s">
        <v>101</v>
      </c>
      <c r="H940" s="3">
        <v>46153</v>
      </c>
      <c r="I940" s="3">
        <v>46156</v>
      </c>
      <c r="J940" t="s">
        <v>418</v>
      </c>
      <c r="K940" s="3">
        <v>46156</v>
      </c>
      <c r="L940" s="3">
        <v>46153</v>
      </c>
      <c r="M940" s="3">
        <v>46156</v>
      </c>
      <c r="N940" s="3">
        <v>46156</v>
      </c>
      <c r="O940" t="s">
        <v>418</v>
      </c>
      <c r="P940" t="s">
        <v>55</v>
      </c>
      <c r="T940" t="s">
        <v>1429</v>
      </c>
      <c r="V940" t="s">
        <v>175</v>
      </c>
      <c r="X940" t="s">
        <v>57</v>
      </c>
      <c r="AA940" t="s">
        <v>50</v>
      </c>
      <c r="AB940" t="s">
        <v>94</v>
      </c>
      <c r="AE940">
        <v>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</row>
    <row r="941" spans="1:42" x14ac:dyDescent="0.25">
      <c r="A941">
        <v>1067</v>
      </c>
      <c r="B941" t="s">
        <v>1738</v>
      </c>
      <c r="C941" t="s">
        <v>1739</v>
      </c>
      <c r="D941" t="s">
        <v>117</v>
      </c>
      <c r="E941" s="4">
        <v>1</v>
      </c>
      <c r="F941" t="s">
        <v>101</v>
      </c>
      <c r="G941" t="s">
        <v>101</v>
      </c>
      <c r="H941" s="3">
        <v>46153</v>
      </c>
      <c r="I941" s="3">
        <v>46156</v>
      </c>
      <c r="J941" t="s">
        <v>418</v>
      </c>
      <c r="K941" s="3">
        <v>46156</v>
      </c>
      <c r="L941" s="3">
        <v>46153</v>
      </c>
      <c r="M941" s="3">
        <v>46156</v>
      </c>
      <c r="N941" s="3">
        <v>46156</v>
      </c>
      <c r="O941" t="s">
        <v>418</v>
      </c>
      <c r="P941" t="s">
        <v>55</v>
      </c>
      <c r="Q941" t="s">
        <v>1711</v>
      </c>
      <c r="S941" t="s">
        <v>1444</v>
      </c>
      <c r="T941" t="s">
        <v>1429</v>
      </c>
      <c r="U941">
        <v>1068</v>
      </c>
      <c r="V941" t="s">
        <v>127</v>
      </c>
      <c r="W941">
        <v>13.4</v>
      </c>
      <c r="X941" t="s">
        <v>57</v>
      </c>
      <c r="Z941" t="s">
        <v>1444</v>
      </c>
      <c r="AA941" t="s">
        <v>462</v>
      </c>
      <c r="AE941">
        <v>1</v>
      </c>
      <c r="AF941">
        <v>1</v>
      </c>
      <c r="AG941">
        <v>1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1</v>
      </c>
    </row>
    <row r="942" spans="1:42" x14ac:dyDescent="0.25">
      <c r="A942">
        <v>1068</v>
      </c>
      <c r="B942" t="s">
        <v>1740</v>
      </c>
      <c r="C942" t="s">
        <v>1739</v>
      </c>
      <c r="D942" t="s">
        <v>121</v>
      </c>
      <c r="E942" s="4">
        <v>1</v>
      </c>
      <c r="F942" t="s">
        <v>61</v>
      </c>
      <c r="G942" t="s">
        <v>61</v>
      </c>
      <c r="H942" s="3">
        <v>46156</v>
      </c>
      <c r="I942" s="3">
        <v>46156</v>
      </c>
      <c r="J942" t="s">
        <v>406</v>
      </c>
      <c r="K942" s="3">
        <v>46156</v>
      </c>
      <c r="L942" s="3">
        <v>46156</v>
      </c>
      <c r="M942" s="3">
        <v>46156</v>
      </c>
      <c r="N942" s="3">
        <v>46156</v>
      </c>
      <c r="O942" t="s">
        <v>406</v>
      </c>
      <c r="P942" t="s">
        <v>55</v>
      </c>
      <c r="Q942">
        <v>1067</v>
      </c>
      <c r="S942" t="s">
        <v>124</v>
      </c>
      <c r="T942" t="s">
        <v>1429</v>
      </c>
      <c r="U942">
        <v>1069</v>
      </c>
      <c r="V942" t="s">
        <v>122</v>
      </c>
      <c r="W942">
        <v>13.4</v>
      </c>
      <c r="X942" t="s">
        <v>57</v>
      </c>
      <c r="Z942" t="s">
        <v>124</v>
      </c>
      <c r="AA942" t="s">
        <v>217</v>
      </c>
      <c r="AE942">
        <v>1</v>
      </c>
      <c r="AF942">
        <v>0</v>
      </c>
      <c r="AG942">
        <v>0</v>
      </c>
      <c r="AH942">
        <v>0</v>
      </c>
      <c r="AI942">
        <v>0</v>
      </c>
      <c r="AJ942">
        <v>1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</row>
    <row r="943" spans="1:42" x14ac:dyDescent="0.25">
      <c r="A943">
        <v>1069</v>
      </c>
      <c r="B943" t="s">
        <v>1741</v>
      </c>
      <c r="C943" t="s">
        <v>1739</v>
      </c>
      <c r="D943" t="s">
        <v>126</v>
      </c>
      <c r="E943" s="4">
        <v>1</v>
      </c>
      <c r="F943" t="s">
        <v>61</v>
      </c>
      <c r="G943" t="s">
        <v>61</v>
      </c>
      <c r="H943" s="3">
        <v>46156</v>
      </c>
      <c r="I943" s="3">
        <v>46156</v>
      </c>
      <c r="J943" t="s">
        <v>406</v>
      </c>
      <c r="K943" s="3">
        <v>46156</v>
      </c>
      <c r="L943" s="3">
        <v>46156</v>
      </c>
      <c r="M943" s="3">
        <v>46156</v>
      </c>
      <c r="N943" s="3">
        <v>46156</v>
      </c>
      <c r="O943" t="s">
        <v>406</v>
      </c>
      <c r="P943" t="s">
        <v>55</v>
      </c>
      <c r="Q943">
        <v>1068</v>
      </c>
      <c r="S943" t="s">
        <v>1444</v>
      </c>
      <c r="T943" t="s">
        <v>1429</v>
      </c>
      <c r="U943">
        <v>1070</v>
      </c>
      <c r="V943" t="s">
        <v>61</v>
      </c>
      <c r="W943">
        <v>13.4</v>
      </c>
      <c r="X943" t="s">
        <v>57</v>
      </c>
      <c r="Z943" t="s">
        <v>1444</v>
      </c>
      <c r="AA943" t="s">
        <v>217</v>
      </c>
      <c r="AE943">
        <v>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1</v>
      </c>
      <c r="AM943">
        <v>0</v>
      </c>
      <c r="AN943">
        <v>0</v>
      </c>
      <c r="AO943">
        <v>0</v>
      </c>
      <c r="AP943">
        <v>0</v>
      </c>
    </row>
    <row r="944" spans="1:42" x14ac:dyDescent="0.25">
      <c r="A944">
        <v>1070</v>
      </c>
      <c r="B944" t="s">
        <v>1742</v>
      </c>
      <c r="C944" t="s">
        <v>1739</v>
      </c>
      <c r="D944" t="s">
        <v>133</v>
      </c>
      <c r="E944" s="4">
        <v>1</v>
      </c>
      <c r="F944" t="s">
        <v>61</v>
      </c>
      <c r="G944" t="s">
        <v>61</v>
      </c>
      <c r="H944" s="3">
        <v>46156</v>
      </c>
      <c r="I944" s="3">
        <v>46156</v>
      </c>
      <c r="J944" t="s">
        <v>406</v>
      </c>
      <c r="K944" s="3">
        <v>46156</v>
      </c>
      <c r="L944" s="3">
        <v>46156</v>
      </c>
      <c r="M944" s="3">
        <v>46156</v>
      </c>
      <c r="N944" s="3">
        <v>46156</v>
      </c>
      <c r="O944" t="s">
        <v>406</v>
      </c>
      <c r="P944" t="s">
        <v>55</v>
      </c>
      <c r="Q944">
        <v>1069</v>
      </c>
      <c r="S944" t="s">
        <v>124</v>
      </c>
      <c r="T944" t="s">
        <v>1429</v>
      </c>
      <c r="V944" t="s">
        <v>61</v>
      </c>
      <c r="W944">
        <v>13.4</v>
      </c>
      <c r="X944" t="s">
        <v>57</v>
      </c>
      <c r="Z944" t="s">
        <v>124</v>
      </c>
      <c r="AA944" t="s">
        <v>217</v>
      </c>
      <c r="AE944">
        <v>1</v>
      </c>
      <c r="AF944">
        <v>0</v>
      </c>
      <c r="AG944">
        <v>0</v>
      </c>
      <c r="AH944">
        <v>0</v>
      </c>
      <c r="AI944">
        <v>1</v>
      </c>
      <c r="AJ944">
        <v>0</v>
      </c>
      <c r="AK944">
        <v>0</v>
      </c>
      <c r="AL944">
        <v>0</v>
      </c>
      <c r="AM944">
        <v>0</v>
      </c>
      <c r="AN944">
        <v>1</v>
      </c>
      <c r="AO944">
        <v>0</v>
      </c>
      <c r="AP944">
        <v>0</v>
      </c>
    </row>
    <row r="945" spans="1:42" x14ac:dyDescent="0.25">
      <c r="A945">
        <v>1071</v>
      </c>
      <c r="B945" t="s">
        <v>1743</v>
      </c>
      <c r="C945" t="s">
        <v>1655</v>
      </c>
      <c r="D945" t="s">
        <v>1744</v>
      </c>
      <c r="E945" s="4">
        <v>1</v>
      </c>
      <c r="F945" t="s">
        <v>101</v>
      </c>
      <c r="G945" t="s">
        <v>101</v>
      </c>
      <c r="H945" s="3">
        <v>46153</v>
      </c>
      <c r="I945" s="3">
        <v>46156</v>
      </c>
      <c r="J945" t="s">
        <v>418</v>
      </c>
      <c r="K945" s="3">
        <v>46156</v>
      </c>
      <c r="L945" s="3">
        <v>46153</v>
      </c>
      <c r="M945" s="3">
        <v>46156</v>
      </c>
      <c r="N945" s="3">
        <v>46156</v>
      </c>
      <c r="O945" t="s">
        <v>418</v>
      </c>
      <c r="P945" t="s">
        <v>55</v>
      </c>
      <c r="T945" t="s">
        <v>1429</v>
      </c>
      <c r="V945" t="s">
        <v>175</v>
      </c>
      <c r="X945" t="s">
        <v>57</v>
      </c>
      <c r="AA945" t="s">
        <v>50</v>
      </c>
      <c r="AB945" t="s">
        <v>94</v>
      </c>
      <c r="AE945">
        <v>1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</row>
    <row r="946" spans="1:42" x14ac:dyDescent="0.25">
      <c r="A946">
        <v>1072</v>
      </c>
      <c r="B946" t="s">
        <v>1745</v>
      </c>
      <c r="C946" t="s">
        <v>1746</v>
      </c>
      <c r="D946" t="s">
        <v>117</v>
      </c>
      <c r="E946" s="4">
        <v>1</v>
      </c>
      <c r="F946" t="s">
        <v>101</v>
      </c>
      <c r="G946" t="s">
        <v>101</v>
      </c>
      <c r="H946" s="3">
        <v>46153</v>
      </c>
      <c r="I946" s="3">
        <v>46156</v>
      </c>
      <c r="J946" t="s">
        <v>418</v>
      </c>
      <c r="K946" s="3">
        <v>46156</v>
      </c>
      <c r="L946" s="3">
        <v>46153</v>
      </c>
      <c r="M946" s="3">
        <v>46156</v>
      </c>
      <c r="N946" s="3">
        <v>46156</v>
      </c>
      <c r="O946" t="s">
        <v>418</v>
      </c>
      <c r="P946" t="s">
        <v>55</v>
      </c>
      <c r="Q946" t="s">
        <v>1711</v>
      </c>
      <c r="S946" t="s">
        <v>1444</v>
      </c>
      <c r="T946" t="s">
        <v>1429</v>
      </c>
      <c r="U946">
        <v>1073</v>
      </c>
      <c r="V946" t="s">
        <v>127</v>
      </c>
      <c r="W946">
        <v>13.4</v>
      </c>
      <c r="X946" t="s">
        <v>57</v>
      </c>
      <c r="Z946" t="s">
        <v>1444</v>
      </c>
      <c r="AA946" t="s">
        <v>462</v>
      </c>
      <c r="AE946">
        <v>1</v>
      </c>
      <c r="AF946">
        <v>1</v>
      </c>
      <c r="AG946">
        <v>1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1</v>
      </c>
    </row>
    <row r="947" spans="1:42" x14ac:dyDescent="0.25">
      <c r="A947">
        <v>1073</v>
      </c>
      <c r="B947" t="s">
        <v>1747</v>
      </c>
      <c r="C947" t="s">
        <v>1746</v>
      </c>
      <c r="D947" t="s">
        <v>121</v>
      </c>
      <c r="E947" s="4">
        <v>1</v>
      </c>
      <c r="F947" t="s">
        <v>61</v>
      </c>
      <c r="G947" t="s">
        <v>61</v>
      </c>
      <c r="H947" s="3">
        <v>46156</v>
      </c>
      <c r="I947" s="3">
        <v>46156</v>
      </c>
      <c r="J947" t="s">
        <v>406</v>
      </c>
      <c r="K947" s="3">
        <v>46156</v>
      </c>
      <c r="L947" s="3">
        <v>46156</v>
      </c>
      <c r="M947" s="3">
        <v>46156</v>
      </c>
      <c r="N947" s="3">
        <v>46156</v>
      </c>
      <c r="O947" t="s">
        <v>406</v>
      </c>
      <c r="P947" t="s">
        <v>55</v>
      </c>
      <c r="Q947">
        <v>1072</v>
      </c>
      <c r="S947" t="s">
        <v>124</v>
      </c>
      <c r="T947" t="s">
        <v>1429</v>
      </c>
      <c r="U947">
        <v>1074</v>
      </c>
      <c r="V947" t="s">
        <v>122</v>
      </c>
      <c r="W947">
        <v>13.4</v>
      </c>
      <c r="X947" t="s">
        <v>57</v>
      </c>
      <c r="Z947" t="s">
        <v>124</v>
      </c>
      <c r="AA947" t="s">
        <v>217</v>
      </c>
      <c r="AE947">
        <v>1</v>
      </c>
      <c r="AF947">
        <v>0</v>
      </c>
      <c r="AG947">
        <v>0</v>
      </c>
      <c r="AH947">
        <v>0</v>
      </c>
      <c r="AI947">
        <v>0</v>
      </c>
      <c r="AJ947">
        <v>1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</row>
    <row r="948" spans="1:42" x14ac:dyDescent="0.25">
      <c r="A948">
        <v>1074</v>
      </c>
      <c r="B948" t="s">
        <v>1748</v>
      </c>
      <c r="C948" t="s">
        <v>1746</v>
      </c>
      <c r="D948" t="s">
        <v>126</v>
      </c>
      <c r="E948" s="4">
        <v>1</v>
      </c>
      <c r="F948" t="s">
        <v>61</v>
      </c>
      <c r="G948" t="s">
        <v>61</v>
      </c>
      <c r="H948" s="3">
        <v>46156</v>
      </c>
      <c r="I948" s="3">
        <v>46156</v>
      </c>
      <c r="J948" t="s">
        <v>406</v>
      </c>
      <c r="K948" s="3">
        <v>46156</v>
      </c>
      <c r="L948" s="3">
        <v>46156</v>
      </c>
      <c r="M948" s="3">
        <v>46156</v>
      </c>
      <c r="N948" s="3">
        <v>46156</v>
      </c>
      <c r="O948" t="s">
        <v>406</v>
      </c>
      <c r="P948" t="s">
        <v>55</v>
      </c>
      <c r="Q948">
        <v>1073</v>
      </c>
      <c r="S948" t="s">
        <v>1444</v>
      </c>
      <c r="T948" t="s">
        <v>1429</v>
      </c>
      <c r="U948">
        <v>1075</v>
      </c>
      <c r="V948" t="s">
        <v>61</v>
      </c>
      <c r="W948">
        <v>13.4</v>
      </c>
      <c r="X948" t="s">
        <v>57</v>
      </c>
      <c r="Z948" t="s">
        <v>1444</v>
      </c>
      <c r="AA948" t="s">
        <v>217</v>
      </c>
      <c r="AE948">
        <v>1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1</v>
      </c>
      <c r="AM948">
        <v>0</v>
      </c>
      <c r="AN948">
        <v>0</v>
      </c>
      <c r="AO948">
        <v>0</v>
      </c>
      <c r="AP948">
        <v>0</v>
      </c>
    </row>
    <row r="949" spans="1:42" x14ac:dyDescent="0.25">
      <c r="A949">
        <v>1075</v>
      </c>
      <c r="B949" t="s">
        <v>1749</v>
      </c>
      <c r="C949" t="s">
        <v>1746</v>
      </c>
      <c r="D949" t="s">
        <v>133</v>
      </c>
      <c r="E949" s="4">
        <v>1</v>
      </c>
      <c r="F949" t="s">
        <v>61</v>
      </c>
      <c r="G949" t="s">
        <v>61</v>
      </c>
      <c r="H949" s="3">
        <v>46156</v>
      </c>
      <c r="I949" s="3">
        <v>46156</v>
      </c>
      <c r="J949" t="s">
        <v>406</v>
      </c>
      <c r="K949" s="3">
        <v>46156</v>
      </c>
      <c r="L949" s="3">
        <v>46156</v>
      </c>
      <c r="M949" s="3">
        <v>46156</v>
      </c>
      <c r="N949" s="3">
        <v>46156</v>
      </c>
      <c r="O949" t="s">
        <v>406</v>
      </c>
      <c r="P949" t="s">
        <v>55</v>
      </c>
      <c r="Q949">
        <v>1074</v>
      </c>
      <c r="S949" t="s">
        <v>124</v>
      </c>
      <c r="T949" t="s">
        <v>1429</v>
      </c>
      <c r="V949" t="s">
        <v>61</v>
      </c>
      <c r="W949">
        <v>13.4</v>
      </c>
      <c r="X949" t="s">
        <v>57</v>
      </c>
      <c r="Z949" t="s">
        <v>124</v>
      </c>
      <c r="AA949" t="s">
        <v>217</v>
      </c>
      <c r="AE949">
        <v>1</v>
      </c>
      <c r="AF949">
        <v>0</v>
      </c>
      <c r="AG949">
        <v>0</v>
      </c>
      <c r="AH949">
        <v>0</v>
      </c>
      <c r="AI949">
        <v>1</v>
      </c>
      <c r="AJ949">
        <v>0</v>
      </c>
      <c r="AK949">
        <v>0</v>
      </c>
      <c r="AL949">
        <v>0</v>
      </c>
      <c r="AM949">
        <v>0</v>
      </c>
      <c r="AN949">
        <v>1</v>
      </c>
      <c r="AO949">
        <v>0</v>
      </c>
      <c r="AP949">
        <v>0</v>
      </c>
    </row>
    <row r="950" spans="1:42" x14ac:dyDescent="0.25">
      <c r="A950">
        <v>1076</v>
      </c>
      <c r="B950" t="s">
        <v>1750</v>
      </c>
      <c r="C950" t="s">
        <v>1655</v>
      </c>
      <c r="D950" t="s">
        <v>1751</v>
      </c>
      <c r="E950" s="4">
        <v>1</v>
      </c>
      <c r="F950" t="s">
        <v>101</v>
      </c>
      <c r="G950" t="s">
        <v>101</v>
      </c>
      <c r="H950" s="3">
        <v>46153</v>
      </c>
      <c r="I950" s="3">
        <v>46156</v>
      </c>
      <c r="J950" t="s">
        <v>418</v>
      </c>
      <c r="K950" s="3">
        <v>46156</v>
      </c>
      <c r="L950" s="3">
        <v>46153</v>
      </c>
      <c r="M950" s="3">
        <v>46156</v>
      </c>
      <c r="N950" s="3">
        <v>46156</v>
      </c>
      <c r="O950" t="s">
        <v>418</v>
      </c>
      <c r="P950" t="s">
        <v>55</v>
      </c>
      <c r="T950" t="s">
        <v>1429</v>
      </c>
      <c r="V950" t="s">
        <v>175</v>
      </c>
      <c r="X950" t="s">
        <v>57</v>
      </c>
      <c r="AA950" t="s">
        <v>50</v>
      </c>
      <c r="AB950" t="s">
        <v>94</v>
      </c>
      <c r="AE950">
        <v>1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</row>
    <row r="951" spans="1:42" x14ac:dyDescent="0.25">
      <c r="A951">
        <v>1077</v>
      </c>
      <c r="B951" t="s">
        <v>1752</v>
      </c>
      <c r="C951" t="s">
        <v>1753</v>
      </c>
      <c r="D951" t="s">
        <v>117</v>
      </c>
      <c r="E951" s="4">
        <v>1</v>
      </c>
      <c r="F951" t="s">
        <v>101</v>
      </c>
      <c r="G951" t="s">
        <v>101</v>
      </c>
      <c r="H951" s="3">
        <v>46153</v>
      </c>
      <c r="I951" s="3">
        <v>46156</v>
      </c>
      <c r="J951" t="s">
        <v>418</v>
      </c>
      <c r="K951" s="3">
        <v>46156</v>
      </c>
      <c r="L951" s="3">
        <v>46153</v>
      </c>
      <c r="M951" s="3">
        <v>46156</v>
      </c>
      <c r="N951" s="3">
        <v>46156</v>
      </c>
      <c r="O951" t="s">
        <v>418</v>
      </c>
      <c r="P951" t="s">
        <v>55</v>
      </c>
      <c r="Q951" t="s">
        <v>1711</v>
      </c>
      <c r="S951" t="s">
        <v>1444</v>
      </c>
      <c r="T951" t="s">
        <v>1429</v>
      </c>
      <c r="U951">
        <v>1078</v>
      </c>
      <c r="V951" t="s">
        <v>127</v>
      </c>
      <c r="W951">
        <v>13.4</v>
      </c>
      <c r="X951" t="s">
        <v>57</v>
      </c>
      <c r="Z951" t="s">
        <v>1444</v>
      </c>
      <c r="AA951" t="s">
        <v>462</v>
      </c>
      <c r="AE951">
        <v>1</v>
      </c>
      <c r="AF951">
        <v>1</v>
      </c>
      <c r="AG951">
        <v>1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1</v>
      </c>
    </row>
    <row r="952" spans="1:42" x14ac:dyDescent="0.25">
      <c r="A952">
        <v>1078</v>
      </c>
      <c r="B952" t="s">
        <v>1754</v>
      </c>
      <c r="C952" t="s">
        <v>1753</v>
      </c>
      <c r="D952" t="s">
        <v>121</v>
      </c>
      <c r="E952" s="4">
        <v>1</v>
      </c>
      <c r="F952" t="s">
        <v>61</v>
      </c>
      <c r="G952" t="s">
        <v>61</v>
      </c>
      <c r="H952" s="3">
        <v>46156</v>
      </c>
      <c r="I952" s="3">
        <v>46156</v>
      </c>
      <c r="J952" t="s">
        <v>406</v>
      </c>
      <c r="K952" s="3">
        <v>46156</v>
      </c>
      <c r="L952" s="3">
        <v>46156</v>
      </c>
      <c r="M952" s="3">
        <v>46156</v>
      </c>
      <c r="N952" s="3">
        <v>46156</v>
      </c>
      <c r="O952" t="s">
        <v>406</v>
      </c>
      <c r="P952" t="s">
        <v>55</v>
      </c>
      <c r="Q952">
        <v>1077</v>
      </c>
      <c r="S952" t="s">
        <v>124</v>
      </c>
      <c r="T952" t="s">
        <v>1429</v>
      </c>
      <c r="U952">
        <v>1079</v>
      </c>
      <c r="V952" t="s">
        <v>122</v>
      </c>
      <c r="W952">
        <v>13.4</v>
      </c>
      <c r="X952" t="s">
        <v>57</v>
      </c>
      <c r="Z952" t="s">
        <v>124</v>
      </c>
      <c r="AA952" t="s">
        <v>217</v>
      </c>
      <c r="AE952">
        <v>1</v>
      </c>
      <c r="AF952">
        <v>0</v>
      </c>
      <c r="AG952">
        <v>0</v>
      </c>
      <c r="AH952">
        <v>0</v>
      </c>
      <c r="AI952">
        <v>0</v>
      </c>
      <c r="AJ952">
        <v>1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</row>
    <row r="953" spans="1:42" x14ac:dyDescent="0.25">
      <c r="A953">
        <v>1079</v>
      </c>
      <c r="B953" t="s">
        <v>1755</v>
      </c>
      <c r="C953" t="s">
        <v>1753</v>
      </c>
      <c r="D953" t="s">
        <v>126</v>
      </c>
      <c r="E953" s="4">
        <v>1</v>
      </c>
      <c r="F953" t="s">
        <v>61</v>
      </c>
      <c r="G953" t="s">
        <v>61</v>
      </c>
      <c r="H953" s="3">
        <v>46156</v>
      </c>
      <c r="I953" s="3">
        <v>46156</v>
      </c>
      <c r="J953" t="s">
        <v>406</v>
      </c>
      <c r="K953" s="3">
        <v>46156</v>
      </c>
      <c r="L953" s="3">
        <v>46156</v>
      </c>
      <c r="M953" s="3">
        <v>46156</v>
      </c>
      <c r="N953" s="3">
        <v>46156</v>
      </c>
      <c r="O953" t="s">
        <v>406</v>
      </c>
      <c r="P953" t="s">
        <v>55</v>
      </c>
      <c r="Q953">
        <v>1078</v>
      </c>
      <c r="S953" t="s">
        <v>1444</v>
      </c>
      <c r="T953" t="s">
        <v>1429</v>
      </c>
      <c r="U953">
        <v>1080</v>
      </c>
      <c r="V953" t="s">
        <v>61</v>
      </c>
      <c r="W953">
        <v>13.4</v>
      </c>
      <c r="X953" t="s">
        <v>57</v>
      </c>
      <c r="Z953" t="s">
        <v>1444</v>
      </c>
      <c r="AA953" t="s">
        <v>217</v>
      </c>
      <c r="AE953">
        <v>1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1</v>
      </c>
      <c r="AM953">
        <v>0</v>
      </c>
      <c r="AN953">
        <v>0</v>
      </c>
      <c r="AO953">
        <v>0</v>
      </c>
      <c r="AP953">
        <v>0</v>
      </c>
    </row>
    <row r="954" spans="1:42" x14ac:dyDescent="0.25">
      <c r="A954">
        <v>1080</v>
      </c>
      <c r="B954" t="s">
        <v>1756</v>
      </c>
      <c r="C954" t="s">
        <v>1753</v>
      </c>
      <c r="D954" t="s">
        <v>133</v>
      </c>
      <c r="E954" s="4">
        <v>1</v>
      </c>
      <c r="F954" t="s">
        <v>61</v>
      </c>
      <c r="G954" t="s">
        <v>61</v>
      </c>
      <c r="H954" s="3">
        <v>46156</v>
      </c>
      <c r="I954" s="3">
        <v>46156</v>
      </c>
      <c r="J954" t="s">
        <v>406</v>
      </c>
      <c r="K954" s="3">
        <v>46156</v>
      </c>
      <c r="L954" s="3">
        <v>46156</v>
      </c>
      <c r="M954" s="3">
        <v>46156</v>
      </c>
      <c r="N954" s="3">
        <v>46156</v>
      </c>
      <c r="O954" t="s">
        <v>406</v>
      </c>
      <c r="P954" t="s">
        <v>55</v>
      </c>
      <c r="Q954">
        <v>1079</v>
      </c>
      <c r="S954" t="s">
        <v>124</v>
      </c>
      <c r="T954" t="s">
        <v>1429</v>
      </c>
      <c r="V954" t="s">
        <v>61</v>
      </c>
      <c r="W954">
        <v>13.4</v>
      </c>
      <c r="X954" t="s">
        <v>57</v>
      </c>
      <c r="Z954" t="s">
        <v>124</v>
      </c>
      <c r="AA954" t="s">
        <v>217</v>
      </c>
      <c r="AE954">
        <v>1</v>
      </c>
      <c r="AF954">
        <v>0</v>
      </c>
      <c r="AG954">
        <v>0</v>
      </c>
      <c r="AH954">
        <v>0</v>
      </c>
      <c r="AI954">
        <v>1</v>
      </c>
      <c r="AJ954">
        <v>0</v>
      </c>
      <c r="AK954">
        <v>0</v>
      </c>
      <c r="AL954">
        <v>0</v>
      </c>
      <c r="AM954">
        <v>0</v>
      </c>
      <c r="AN954">
        <v>1</v>
      </c>
      <c r="AO954">
        <v>0</v>
      </c>
      <c r="AP954">
        <v>0</v>
      </c>
    </row>
    <row r="955" spans="1:42" x14ac:dyDescent="0.25">
      <c r="A955">
        <v>1081</v>
      </c>
      <c r="B955" t="s">
        <v>1757</v>
      </c>
      <c r="C955" t="s">
        <v>1655</v>
      </c>
      <c r="D955" t="s">
        <v>1758</v>
      </c>
      <c r="E955" s="4">
        <v>1</v>
      </c>
      <c r="F955" t="s">
        <v>101</v>
      </c>
      <c r="G955" t="s">
        <v>101</v>
      </c>
      <c r="H955" s="3">
        <v>46153</v>
      </c>
      <c r="I955" s="3">
        <v>46156</v>
      </c>
      <c r="J955" t="s">
        <v>418</v>
      </c>
      <c r="K955" s="3">
        <v>46156</v>
      </c>
      <c r="L955" s="3">
        <v>46153</v>
      </c>
      <c r="M955" s="3">
        <v>46156</v>
      </c>
      <c r="N955" s="3">
        <v>46156</v>
      </c>
      <c r="O955" t="s">
        <v>418</v>
      </c>
      <c r="P955" t="s">
        <v>55</v>
      </c>
      <c r="T955" t="s">
        <v>1429</v>
      </c>
      <c r="V955" t="s">
        <v>175</v>
      </c>
      <c r="X955" t="s">
        <v>57</v>
      </c>
      <c r="AA955" t="s">
        <v>50</v>
      </c>
      <c r="AB955" t="s">
        <v>94</v>
      </c>
      <c r="AE955">
        <v>1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</row>
    <row r="956" spans="1:42" x14ac:dyDescent="0.25">
      <c r="A956">
        <v>1082</v>
      </c>
      <c r="B956" t="s">
        <v>1759</v>
      </c>
      <c r="C956" t="s">
        <v>1760</v>
      </c>
      <c r="D956" t="s">
        <v>117</v>
      </c>
      <c r="E956" s="4">
        <v>1</v>
      </c>
      <c r="F956" t="s">
        <v>101</v>
      </c>
      <c r="G956" t="s">
        <v>101</v>
      </c>
      <c r="H956" s="3">
        <v>46153</v>
      </c>
      <c r="I956" s="3">
        <v>46156</v>
      </c>
      <c r="J956" t="s">
        <v>418</v>
      </c>
      <c r="K956" s="3">
        <v>46156</v>
      </c>
      <c r="L956" s="3">
        <v>46153</v>
      </c>
      <c r="M956" s="3">
        <v>46156</v>
      </c>
      <c r="N956" s="3">
        <v>46156</v>
      </c>
      <c r="O956" t="s">
        <v>418</v>
      </c>
      <c r="P956" t="s">
        <v>55</v>
      </c>
      <c r="Q956" t="s">
        <v>1711</v>
      </c>
      <c r="S956" t="s">
        <v>1444</v>
      </c>
      <c r="T956" t="s">
        <v>1429</v>
      </c>
      <c r="U956">
        <v>1083</v>
      </c>
      <c r="V956" t="s">
        <v>127</v>
      </c>
      <c r="W956">
        <v>13.4</v>
      </c>
      <c r="X956" t="s">
        <v>57</v>
      </c>
      <c r="Z956" t="s">
        <v>1444</v>
      </c>
      <c r="AA956" t="s">
        <v>462</v>
      </c>
      <c r="AE956">
        <v>1</v>
      </c>
      <c r="AF956">
        <v>1</v>
      </c>
      <c r="AG956">
        <v>1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1</v>
      </c>
    </row>
    <row r="957" spans="1:42" x14ac:dyDescent="0.25">
      <c r="A957">
        <v>1083</v>
      </c>
      <c r="B957" t="s">
        <v>1761</v>
      </c>
      <c r="C957" t="s">
        <v>1760</v>
      </c>
      <c r="D957" t="s">
        <v>121</v>
      </c>
      <c r="E957" s="4">
        <v>1</v>
      </c>
      <c r="F957" t="s">
        <v>61</v>
      </c>
      <c r="G957" t="s">
        <v>61</v>
      </c>
      <c r="H957" s="3">
        <v>46156</v>
      </c>
      <c r="I957" s="3">
        <v>46156</v>
      </c>
      <c r="J957" t="s">
        <v>406</v>
      </c>
      <c r="K957" s="3">
        <v>46156</v>
      </c>
      <c r="L957" s="3">
        <v>46156</v>
      </c>
      <c r="M957" s="3">
        <v>46156</v>
      </c>
      <c r="N957" s="3">
        <v>46156</v>
      </c>
      <c r="O957" t="s">
        <v>406</v>
      </c>
      <c r="P957" t="s">
        <v>55</v>
      </c>
      <c r="Q957">
        <v>1082</v>
      </c>
      <c r="S957" t="s">
        <v>124</v>
      </c>
      <c r="T957" t="s">
        <v>1429</v>
      </c>
      <c r="U957">
        <v>1084</v>
      </c>
      <c r="V957" t="s">
        <v>122</v>
      </c>
      <c r="W957">
        <v>13.4</v>
      </c>
      <c r="X957" t="s">
        <v>57</v>
      </c>
      <c r="Z957" t="s">
        <v>124</v>
      </c>
      <c r="AA957" t="s">
        <v>217</v>
      </c>
      <c r="AE957">
        <v>1</v>
      </c>
      <c r="AF957">
        <v>0</v>
      </c>
      <c r="AG957">
        <v>0</v>
      </c>
      <c r="AH957">
        <v>0</v>
      </c>
      <c r="AI957">
        <v>0</v>
      </c>
      <c r="AJ957">
        <v>1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</row>
    <row r="958" spans="1:42" x14ac:dyDescent="0.25">
      <c r="A958">
        <v>1084</v>
      </c>
      <c r="B958" t="s">
        <v>1762</v>
      </c>
      <c r="C958" t="s">
        <v>1760</v>
      </c>
      <c r="D958" t="s">
        <v>126</v>
      </c>
      <c r="E958" s="4">
        <v>1</v>
      </c>
      <c r="F958" t="s">
        <v>61</v>
      </c>
      <c r="G958" t="s">
        <v>61</v>
      </c>
      <c r="H958" s="3">
        <v>46156</v>
      </c>
      <c r="I958" s="3">
        <v>46156</v>
      </c>
      <c r="J958" t="s">
        <v>406</v>
      </c>
      <c r="K958" s="3">
        <v>46156</v>
      </c>
      <c r="L958" s="3">
        <v>46156</v>
      </c>
      <c r="M958" s="3">
        <v>46156</v>
      </c>
      <c r="N958" s="3">
        <v>46156</v>
      </c>
      <c r="O958" t="s">
        <v>406</v>
      </c>
      <c r="P958" t="s">
        <v>55</v>
      </c>
      <c r="Q958">
        <v>1083</v>
      </c>
      <c r="S958" t="s">
        <v>1444</v>
      </c>
      <c r="T958" t="s">
        <v>1429</v>
      </c>
      <c r="U958">
        <v>1085</v>
      </c>
      <c r="V958" t="s">
        <v>61</v>
      </c>
      <c r="W958">
        <v>13.4</v>
      </c>
      <c r="X958" t="s">
        <v>57</v>
      </c>
      <c r="Z958" t="s">
        <v>1444</v>
      </c>
      <c r="AA958" t="s">
        <v>217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1</v>
      </c>
      <c r="AM958">
        <v>0</v>
      </c>
      <c r="AN958">
        <v>0</v>
      </c>
      <c r="AO958">
        <v>0</v>
      </c>
      <c r="AP958">
        <v>0</v>
      </c>
    </row>
    <row r="959" spans="1:42" x14ac:dyDescent="0.25">
      <c r="A959">
        <v>1085</v>
      </c>
      <c r="B959" t="s">
        <v>1763</v>
      </c>
      <c r="C959" t="s">
        <v>1760</v>
      </c>
      <c r="D959" t="s">
        <v>133</v>
      </c>
      <c r="E959" s="4">
        <v>1</v>
      </c>
      <c r="F959" t="s">
        <v>61</v>
      </c>
      <c r="G959" t="s">
        <v>61</v>
      </c>
      <c r="H959" s="3">
        <v>46156</v>
      </c>
      <c r="I959" s="3">
        <v>46156</v>
      </c>
      <c r="J959" t="s">
        <v>406</v>
      </c>
      <c r="K959" s="3">
        <v>46156</v>
      </c>
      <c r="L959" s="3">
        <v>46156</v>
      </c>
      <c r="M959" s="3">
        <v>46156</v>
      </c>
      <c r="N959" s="3">
        <v>46156</v>
      </c>
      <c r="O959" t="s">
        <v>406</v>
      </c>
      <c r="P959" t="s">
        <v>55</v>
      </c>
      <c r="Q959">
        <v>1084</v>
      </c>
      <c r="S959" t="s">
        <v>124</v>
      </c>
      <c r="T959" t="s">
        <v>1429</v>
      </c>
      <c r="V959" t="s">
        <v>61</v>
      </c>
      <c r="W959">
        <v>13.4</v>
      </c>
      <c r="X959" t="s">
        <v>57</v>
      </c>
      <c r="Z959" t="s">
        <v>124</v>
      </c>
      <c r="AA959" t="s">
        <v>217</v>
      </c>
      <c r="AE959">
        <v>1</v>
      </c>
      <c r="AF959">
        <v>0</v>
      </c>
      <c r="AG959">
        <v>0</v>
      </c>
      <c r="AH959">
        <v>0</v>
      </c>
      <c r="AI959">
        <v>1</v>
      </c>
      <c r="AJ959">
        <v>0</v>
      </c>
      <c r="AK959">
        <v>0</v>
      </c>
      <c r="AL959">
        <v>0</v>
      </c>
      <c r="AM959">
        <v>0</v>
      </c>
      <c r="AN959">
        <v>1</v>
      </c>
      <c r="AO959">
        <v>0</v>
      </c>
      <c r="AP959">
        <v>0</v>
      </c>
    </row>
    <row r="960" spans="1:42" x14ac:dyDescent="0.25">
      <c r="A960">
        <v>1086</v>
      </c>
      <c r="B960" t="s">
        <v>1764</v>
      </c>
      <c r="C960" t="s">
        <v>1655</v>
      </c>
      <c r="D960" t="s">
        <v>1765</v>
      </c>
      <c r="E960" s="4">
        <v>1</v>
      </c>
      <c r="F960" t="s">
        <v>101</v>
      </c>
      <c r="G960" t="s">
        <v>101</v>
      </c>
      <c r="H960" s="3">
        <v>46153</v>
      </c>
      <c r="I960" s="3">
        <v>46156</v>
      </c>
      <c r="J960" t="s">
        <v>418</v>
      </c>
      <c r="K960" s="3">
        <v>46156</v>
      </c>
      <c r="L960" s="3">
        <v>46153</v>
      </c>
      <c r="M960" s="3">
        <v>46156</v>
      </c>
      <c r="N960" s="3">
        <v>46156</v>
      </c>
      <c r="O960" t="s">
        <v>418</v>
      </c>
      <c r="P960" t="s">
        <v>55</v>
      </c>
      <c r="T960" t="s">
        <v>1429</v>
      </c>
      <c r="V960" t="s">
        <v>175</v>
      </c>
      <c r="X960" t="s">
        <v>57</v>
      </c>
      <c r="AA960" t="s">
        <v>50</v>
      </c>
      <c r="AB960" t="s">
        <v>94</v>
      </c>
      <c r="AE960">
        <v>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</row>
    <row r="961" spans="1:42" x14ac:dyDescent="0.25">
      <c r="A961">
        <v>1087</v>
      </c>
      <c r="B961" t="s">
        <v>1766</v>
      </c>
      <c r="C961" t="s">
        <v>1767</v>
      </c>
      <c r="D961" t="s">
        <v>117</v>
      </c>
      <c r="E961" s="4">
        <v>1</v>
      </c>
      <c r="F961" t="s">
        <v>101</v>
      </c>
      <c r="G961" t="s">
        <v>101</v>
      </c>
      <c r="H961" s="3">
        <v>46153</v>
      </c>
      <c r="I961" s="3">
        <v>46156</v>
      </c>
      <c r="J961" t="s">
        <v>418</v>
      </c>
      <c r="K961" s="3">
        <v>46156</v>
      </c>
      <c r="L961" s="3">
        <v>46153</v>
      </c>
      <c r="M961" s="3">
        <v>46156</v>
      </c>
      <c r="N961" s="3">
        <v>46156</v>
      </c>
      <c r="O961" t="s">
        <v>418</v>
      </c>
      <c r="P961" t="s">
        <v>55</v>
      </c>
      <c r="Q961" t="s">
        <v>1711</v>
      </c>
      <c r="S961" t="s">
        <v>1444</v>
      </c>
      <c r="T961" t="s">
        <v>1429</v>
      </c>
      <c r="U961">
        <v>1088</v>
      </c>
      <c r="V961" t="s">
        <v>127</v>
      </c>
      <c r="W961">
        <v>13.4</v>
      </c>
      <c r="X961" t="s">
        <v>57</v>
      </c>
      <c r="Z961" t="s">
        <v>1444</v>
      </c>
      <c r="AA961" t="s">
        <v>462</v>
      </c>
      <c r="AE961">
        <v>1</v>
      </c>
      <c r="AF961">
        <v>1</v>
      </c>
      <c r="AG961">
        <v>1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1</v>
      </c>
    </row>
    <row r="962" spans="1:42" x14ac:dyDescent="0.25">
      <c r="A962">
        <v>1088</v>
      </c>
      <c r="B962" t="s">
        <v>1768</v>
      </c>
      <c r="C962" t="s">
        <v>1767</v>
      </c>
      <c r="D962" t="s">
        <v>121</v>
      </c>
      <c r="E962" s="4">
        <v>1</v>
      </c>
      <c r="F962" t="s">
        <v>61</v>
      </c>
      <c r="G962" t="s">
        <v>61</v>
      </c>
      <c r="H962" s="3">
        <v>46156</v>
      </c>
      <c r="I962" s="3">
        <v>46156</v>
      </c>
      <c r="J962" t="s">
        <v>406</v>
      </c>
      <c r="K962" s="3">
        <v>46156</v>
      </c>
      <c r="L962" s="3">
        <v>46156</v>
      </c>
      <c r="M962" s="3">
        <v>46156</v>
      </c>
      <c r="N962" s="3">
        <v>46156</v>
      </c>
      <c r="O962" t="s">
        <v>406</v>
      </c>
      <c r="P962" t="s">
        <v>55</v>
      </c>
      <c r="Q962">
        <v>1087</v>
      </c>
      <c r="S962" t="s">
        <v>124</v>
      </c>
      <c r="T962" t="s">
        <v>1429</v>
      </c>
      <c r="U962">
        <v>1089</v>
      </c>
      <c r="V962" t="s">
        <v>122</v>
      </c>
      <c r="W962">
        <v>13.4</v>
      </c>
      <c r="X962" t="s">
        <v>57</v>
      </c>
      <c r="Z962" t="s">
        <v>124</v>
      </c>
      <c r="AA962" t="s">
        <v>217</v>
      </c>
      <c r="AE962">
        <v>1</v>
      </c>
      <c r="AF962">
        <v>0</v>
      </c>
      <c r="AG962">
        <v>0</v>
      </c>
      <c r="AH962">
        <v>0</v>
      </c>
      <c r="AI962">
        <v>0</v>
      </c>
      <c r="AJ962">
        <v>1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</row>
    <row r="963" spans="1:42" x14ac:dyDescent="0.25">
      <c r="A963">
        <v>1089</v>
      </c>
      <c r="B963" t="s">
        <v>1769</v>
      </c>
      <c r="C963" t="s">
        <v>1767</v>
      </c>
      <c r="D963" t="s">
        <v>126</v>
      </c>
      <c r="E963" s="4">
        <v>1</v>
      </c>
      <c r="F963" t="s">
        <v>61</v>
      </c>
      <c r="G963" t="s">
        <v>61</v>
      </c>
      <c r="H963" s="3">
        <v>46156</v>
      </c>
      <c r="I963" s="3">
        <v>46156</v>
      </c>
      <c r="J963" t="s">
        <v>406</v>
      </c>
      <c r="K963" s="3">
        <v>46156</v>
      </c>
      <c r="L963" s="3">
        <v>46156</v>
      </c>
      <c r="M963" s="3">
        <v>46156</v>
      </c>
      <c r="N963" s="3">
        <v>46156</v>
      </c>
      <c r="O963" t="s">
        <v>406</v>
      </c>
      <c r="P963" t="s">
        <v>55</v>
      </c>
      <c r="Q963">
        <v>1088</v>
      </c>
      <c r="S963" t="s">
        <v>1444</v>
      </c>
      <c r="T963" t="s">
        <v>1429</v>
      </c>
      <c r="U963">
        <v>1090</v>
      </c>
      <c r="V963" t="s">
        <v>61</v>
      </c>
      <c r="W963">
        <v>13.4</v>
      </c>
      <c r="X963" t="s">
        <v>57</v>
      </c>
      <c r="Z963" t="s">
        <v>1444</v>
      </c>
      <c r="AA963" t="s">
        <v>217</v>
      </c>
      <c r="AE963">
        <v>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1</v>
      </c>
      <c r="AM963">
        <v>0</v>
      </c>
      <c r="AN963">
        <v>0</v>
      </c>
      <c r="AO963">
        <v>0</v>
      </c>
      <c r="AP963">
        <v>0</v>
      </c>
    </row>
    <row r="964" spans="1:42" x14ac:dyDescent="0.25">
      <c r="A964">
        <v>1090</v>
      </c>
      <c r="B964" t="s">
        <v>1770</v>
      </c>
      <c r="C964" t="s">
        <v>1767</v>
      </c>
      <c r="D964" t="s">
        <v>133</v>
      </c>
      <c r="E964" s="4">
        <v>1</v>
      </c>
      <c r="F964" t="s">
        <v>61</v>
      </c>
      <c r="G964" t="s">
        <v>61</v>
      </c>
      <c r="H964" s="3">
        <v>46156</v>
      </c>
      <c r="I964" s="3">
        <v>46156</v>
      </c>
      <c r="J964" t="s">
        <v>406</v>
      </c>
      <c r="K964" s="3">
        <v>46156</v>
      </c>
      <c r="L964" s="3">
        <v>46156</v>
      </c>
      <c r="M964" s="3">
        <v>46156</v>
      </c>
      <c r="N964" s="3">
        <v>46156</v>
      </c>
      <c r="O964" t="s">
        <v>406</v>
      </c>
      <c r="P964" t="s">
        <v>55</v>
      </c>
      <c r="Q964">
        <v>1089</v>
      </c>
      <c r="S964" t="s">
        <v>124</v>
      </c>
      <c r="T964" t="s">
        <v>1429</v>
      </c>
      <c r="V964" t="s">
        <v>61</v>
      </c>
      <c r="W964">
        <v>13.4</v>
      </c>
      <c r="X964" t="s">
        <v>57</v>
      </c>
      <c r="Z964" t="s">
        <v>124</v>
      </c>
      <c r="AA964" t="s">
        <v>217</v>
      </c>
      <c r="AE964">
        <v>1</v>
      </c>
      <c r="AF964">
        <v>0</v>
      </c>
      <c r="AG964">
        <v>0</v>
      </c>
      <c r="AH964">
        <v>0</v>
      </c>
      <c r="AI964">
        <v>1</v>
      </c>
      <c r="AJ964">
        <v>0</v>
      </c>
      <c r="AK964">
        <v>0</v>
      </c>
      <c r="AL964">
        <v>0</v>
      </c>
      <c r="AM964">
        <v>0</v>
      </c>
      <c r="AN964">
        <v>1</v>
      </c>
      <c r="AO964">
        <v>0</v>
      </c>
      <c r="AP964">
        <v>0</v>
      </c>
    </row>
    <row r="965" spans="1:42" x14ac:dyDescent="0.25">
      <c r="A965">
        <v>1091</v>
      </c>
      <c r="B965" t="s">
        <v>1771</v>
      </c>
      <c r="C965" t="s">
        <v>1655</v>
      </c>
      <c r="D965" t="s">
        <v>1772</v>
      </c>
      <c r="E965" s="4">
        <v>1</v>
      </c>
      <c r="F965" t="s">
        <v>101</v>
      </c>
      <c r="G965" t="s">
        <v>101</v>
      </c>
      <c r="H965" s="3">
        <v>46153</v>
      </c>
      <c r="I965" s="3">
        <v>46156</v>
      </c>
      <c r="J965" t="s">
        <v>418</v>
      </c>
      <c r="K965" s="3">
        <v>46156</v>
      </c>
      <c r="L965" s="3">
        <v>46153</v>
      </c>
      <c r="M965" s="3">
        <v>46156</v>
      </c>
      <c r="N965" s="3">
        <v>46156</v>
      </c>
      <c r="O965" t="s">
        <v>418</v>
      </c>
      <c r="P965" t="s">
        <v>55</v>
      </c>
      <c r="T965" t="s">
        <v>1429</v>
      </c>
      <c r="V965" t="s">
        <v>175</v>
      </c>
      <c r="X965" t="s">
        <v>57</v>
      </c>
      <c r="AA965" t="s">
        <v>50</v>
      </c>
      <c r="AB965" t="s">
        <v>94</v>
      </c>
      <c r="AE965">
        <v>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</row>
    <row r="966" spans="1:42" x14ac:dyDescent="0.25">
      <c r="A966">
        <v>1092</v>
      </c>
      <c r="B966" t="s">
        <v>1773</v>
      </c>
      <c r="C966" t="s">
        <v>1774</v>
      </c>
      <c r="D966" t="s">
        <v>117</v>
      </c>
      <c r="E966" s="4">
        <v>1</v>
      </c>
      <c r="F966" t="s">
        <v>101</v>
      </c>
      <c r="G966" t="s">
        <v>101</v>
      </c>
      <c r="H966" s="3">
        <v>46153</v>
      </c>
      <c r="I966" s="3">
        <v>46156</v>
      </c>
      <c r="J966" t="s">
        <v>418</v>
      </c>
      <c r="K966" s="3">
        <v>46156</v>
      </c>
      <c r="L966" s="3">
        <v>46153</v>
      </c>
      <c r="M966" s="3">
        <v>46156</v>
      </c>
      <c r="N966" s="3">
        <v>46156</v>
      </c>
      <c r="O966" t="s">
        <v>418</v>
      </c>
      <c r="P966" t="s">
        <v>55</v>
      </c>
      <c r="Q966" t="s">
        <v>1711</v>
      </c>
      <c r="S966" t="s">
        <v>1444</v>
      </c>
      <c r="T966" t="s">
        <v>1429</v>
      </c>
      <c r="U966">
        <v>1093</v>
      </c>
      <c r="V966" t="s">
        <v>127</v>
      </c>
      <c r="W966">
        <v>13.4</v>
      </c>
      <c r="X966" t="s">
        <v>57</v>
      </c>
      <c r="Z966" t="s">
        <v>1444</v>
      </c>
      <c r="AA966" t="s">
        <v>462</v>
      </c>
      <c r="AE966">
        <v>1</v>
      </c>
      <c r="AF966">
        <v>1</v>
      </c>
      <c r="AG966">
        <v>1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1</v>
      </c>
    </row>
    <row r="967" spans="1:42" x14ac:dyDescent="0.25">
      <c r="A967">
        <v>1093</v>
      </c>
      <c r="B967" t="s">
        <v>1775</v>
      </c>
      <c r="C967" t="s">
        <v>1774</v>
      </c>
      <c r="D967" t="s">
        <v>121</v>
      </c>
      <c r="E967" s="4">
        <v>1</v>
      </c>
      <c r="F967" t="s">
        <v>61</v>
      </c>
      <c r="G967" t="s">
        <v>61</v>
      </c>
      <c r="H967" s="3">
        <v>46156</v>
      </c>
      <c r="I967" s="3">
        <v>46156</v>
      </c>
      <c r="J967" t="s">
        <v>406</v>
      </c>
      <c r="K967" s="3">
        <v>46156</v>
      </c>
      <c r="L967" s="3">
        <v>46156</v>
      </c>
      <c r="M967" s="3">
        <v>46156</v>
      </c>
      <c r="N967" s="3">
        <v>46156</v>
      </c>
      <c r="O967" t="s">
        <v>406</v>
      </c>
      <c r="P967" t="s">
        <v>55</v>
      </c>
      <c r="Q967">
        <v>1092</v>
      </c>
      <c r="S967" t="s">
        <v>124</v>
      </c>
      <c r="T967" t="s">
        <v>1429</v>
      </c>
      <c r="U967">
        <v>1094</v>
      </c>
      <c r="V967" t="s">
        <v>122</v>
      </c>
      <c r="W967">
        <v>13.4</v>
      </c>
      <c r="X967" t="s">
        <v>57</v>
      </c>
      <c r="Z967" t="s">
        <v>124</v>
      </c>
      <c r="AA967" t="s">
        <v>217</v>
      </c>
      <c r="AE967">
        <v>1</v>
      </c>
      <c r="AF967">
        <v>0</v>
      </c>
      <c r="AG967">
        <v>0</v>
      </c>
      <c r="AH967">
        <v>0</v>
      </c>
      <c r="AI967">
        <v>0</v>
      </c>
      <c r="AJ967">
        <v>1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</row>
    <row r="968" spans="1:42" x14ac:dyDescent="0.25">
      <c r="A968">
        <v>1094</v>
      </c>
      <c r="B968" t="s">
        <v>1776</v>
      </c>
      <c r="C968" t="s">
        <v>1774</v>
      </c>
      <c r="D968" t="s">
        <v>126</v>
      </c>
      <c r="E968" s="4">
        <v>1</v>
      </c>
      <c r="F968" t="s">
        <v>61</v>
      </c>
      <c r="G968" t="s">
        <v>61</v>
      </c>
      <c r="H968" s="3">
        <v>46156</v>
      </c>
      <c r="I968" s="3">
        <v>46156</v>
      </c>
      <c r="J968" t="s">
        <v>406</v>
      </c>
      <c r="K968" s="3">
        <v>46156</v>
      </c>
      <c r="L968" s="3">
        <v>46156</v>
      </c>
      <c r="M968" s="3">
        <v>46156</v>
      </c>
      <c r="N968" s="3">
        <v>46156</v>
      </c>
      <c r="O968" t="s">
        <v>406</v>
      </c>
      <c r="P968" t="s">
        <v>55</v>
      </c>
      <c r="Q968">
        <v>1093</v>
      </c>
      <c r="S968" t="s">
        <v>1444</v>
      </c>
      <c r="T968" t="s">
        <v>1429</v>
      </c>
      <c r="U968">
        <v>1095</v>
      </c>
      <c r="V968" t="s">
        <v>61</v>
      </c>
      <c r="W968">
        <v>13.4</v>
      </c>
      <c r="X968" t="s">
        <v>57</v>
      </c>
      <c r="Z968" t="s">
        <v>1444</v>
      </c>
      <c r="AA968" t="s">
        <v>217</v>
      </c>
      <c r="AE968">
        <v>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1</v>
      </c>
      <c r="AM968">
        <v>0</v>
      </c>
      <c r="AN968">
        <v>0</v>
      </c>
      <c r="AO968">
        <v>0</v>
      </c>
      <c r="AP968">
        <v>0</v>
      </c>
    </row>
    <row r="969" spans="1:42" x14ac:dyDescent="0.25">
      <c r="A969">
        <v>1095</v>
      </c>
      <c r="B969" t="s">
        <v>1777</v>
      </c>
      <c r="C969" t="s">
        <v>1774</v>
      </c>
      <c r="D969" t="s">
        <v>133</v>
      </c>
      <c r="E969" s="4">
        <v>1</v>
      </c>
      <c r="F969" t="s">
        <v>61</v>
      </c>
      <c r="G969" t="s">
        <v>61</v>
      </c>
      <c r="H969" s="3">
        <v>46156</v>
      </c>
      <c r="I969" s="3">
        <v>46156</v>
      </c>
      <c r="J969" t="s">
        <v>406</v>
      </c>
      <c r="K969" s="3">
        <v>46156</v>
      </c>
      <c r="L969" s="3">
        <v>46156</v>
      </c>
      <c r="M969" s="3">
        <v>46156</v>
      </c>
      <c r="N969" s="3">
        <v>46156</v>
      </c>
      <c r="O969" t="s">
        <v>406</v>
      </c>
      <c r="P969" t="s">
        <v>55</v>
      </c>
      <c r="Q969">
        <v>1094</v>
      </c>
      <c r="S969" t="s">
        <v>124</v>
      </c>
      <c r="T969" t="s">
        <v>1429</v>
      </c>
      <c r="V969" t="s">
        <v>61</v>
      </c>
      <c r="W969">
        <v>13.4</v>
      </c>
      <c r="X969" t="s">
        <v>57</v>
      </c>
      <c r="Z969" t="s">
        <v>124</v>
      </c>
      <c r="AA969" t="s">
        <v>217</v>
      </c>
      <c r="AE969">
        <v>1</v>
      </c>
      <c r="AF969">
        <v>0</v>
      </c>
      <c r="AG969">
        <v>0</v>
      </c>
      <c r="AH969">
        <v>0</v>
      </c>
      <c r="AI969">
        <v>1</v>
      </c>
      <c r="AJ969">
        <v>0</v>
      </c>
      <c r="AK969">
        <v>0</v>
      </c>
      <c r="AL969">
        <v>0</v>
      </c>
      <c r="AM969">
        <v>0</v>
      </c>
      <c r="AN969">
        <v>1</v>
      </c>
      <c r="AO969">
        <v>0</v>
      </c>
      <c r="AP969">
        <v>0</v>
      </c>
    </row>
    <row r="970" spans="1:42" x14ac:dyDescent="0.25">
      <c r="A970">
        <v>1096</v>
      </c>
      <c r="B970" t="s">
        <v>1778</v>
      </c>
      <c r="C970" t="s">
        <v>1429</v>
      </c>
      <c r="D970" t="s">
        <v>1779</v>
      </c>
      <c r="E970" s="4">
        <v>1</v>
      </c>
      <c r="F970" t="s">
        <v>690</v>
      </c>
      <c r="G970" t="s">
        <v>690</v>
      </c>
      <c r="H970" s="3">
        <v>46175</v>
      </c>
      <c r="I970" s="3">
        <v>46192</v>
      </c>
      <c r="J970" t="s">
        <v>448</v>
      </c>
      <c r="K970" s="3">
        <v>46199</v>
      </c>
      <c r="L970" s="3">
        <v>46170</v>
      </c>
      <c r="M970" s="3">
        <v>46192</v>
      </c>
      <c r="N970" s="3">
        <v>46192</v>
      </c>
      <c r="O970" t="s">
        <v>472</v>
      </c>
      <c r="P970" t="s">
        <v>55</v>
      </c>
      <c r="T970" t="s">
        <v>1429</v>
      </c>
      <c r="V970" t="s">
        <v>1780</v>
      </c>
      <c r="X970" t="s">
        <v>57</v>
      </c>
      <c r="AA970" t="s">
        <v>50</v>
      </c>
      <c r="AB970" t="s">
        <v>94</v>
      </c>
      <c r="AE970">
        <v>1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</row>
    <row r="971" spans="1:42" x14ac:dyDescent="0.25">
      <c r="A971">
        <v>1097</v>
      </c>
      <c r="B971" t="s">
        <v>1781</v>
      </c>
      <c r="C971" t="s">
        <v>1782</v>
      </c>
      <c r="D971" t="s">
        <v>1783</v>
      </c>
      <c r="E971" s="4">
        <v>1</v>
      </c>
      <c r="F971" t="s">
        <v>210</v>
      </c>
      <c r="G971" t="s">
        <v>210</v>
      </c>
      <c r="H971" s="3">
        <v>46175</v>
      </c>
      <c r="I971" s="3">
        <v>46188</v>
      </c>
      <c r="J971" t="s">
        <v>448</v>
      </c>
      <c r="K971" s="3">
        <v>46188</v>
      </c>
      <c r="L971" s="3">
        <v>46170</v>
      </c>
      <c r="M971" s="3">
        <v>46188</v>
      </c>
      <c r="N971" s="3">
        <v>46188</v>
      </c>
      <c r="O971" t="s">
        <v>472</v>
      </c>
      <c r="P971" t="s">
        <v>55</v>
      </c>
      <c r="T971" t="s">
        <v>1429</v>
      </c>
      <c r="V971" t="s">
        <v>203</v>
      </c>
      <c r="X971" t="s">
        <v>57</v>
      </c>
      <c r="AA971" t="s">
        <v>50</v>
      </c>
      <c r="AB971" t="s">
        <v>94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</row>
    <row r="972" spans="1:42" x14ac:dyDescent="0.25">
      <c r="A972">
        <v>1098</v>
      </c>
      <c r="B972" t="s">
        <v>1784</v>
      </c>
      <c r="C972" t="s">
        <v>1785</v>
      </c>
      <c r="D972" t="s">
        <v>117</v>
      </c>
      <c r="E972" s="4">
        <v>1</v>
      </c>
      <c r="F972" t="s">
        <v>175</v>
      </c>
      <c r="G972" t="s">
        <v>175</v>
      </c>
      <c r="H972" s="3">
        <v>46175</v>
      </c>
      <c r="I972" s="3">
        <v>46185</v>
      </c>
      <c r="J972" t="s">
        <v>448</v>
      </c>
      <c r="K972" s="3">
        <v>46181</v>
      </c>
      <c r="L972" s="3">
        <v>46170</v>
      </c>
      <c r="M972" s="3">
        <v>46185</v>
      </c>
      <c r="N972" s="3">
        <v>46185</v>
      </c>
      <c r="O972" t="s">
        <v>472</v>
      </c>
      <c r="P972" t="s">
        <v>55</v>
      </c>
      <c r="Q972" t="s">
        <v>1786</v>
      </c>
      <c r="S972" t="s">
        <v>1444</v>
      </c>
      <c r="T972" t="s">
        <v>1429</v>
      </c>
      <c r="U972" t="s">
        <v>1787</v>
      </c>
      <c r="V972" t="s">
        <v>214</v>
      </c>
      <c r="W972">
        <v>13.4</v>
      </c>
      <c r="X972" t="s">
        <v>57</v>
      </c>
      <c r="Z972" t="s">
        <v>1444</v>
      </c>
      <c r="AA972" t="s">
        <v>77</v>
      </c>
      <c r="AE972">
        <v>1</v>
      </c>
      <c r="AF972">
        <v>1</v>
      </c>
      <c r="AG972">
        <v>1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1</v>
      </c>
    </row>
    <row r="973" spans="1:42" x14ac:dyDescent="0.25">
      <c r="A973">
        <v>1099</v>
      </c>
      <c r="B973" t="s">
        <v>1788</v>
      </c>
      <c r="C973" t="s">
        <v>1785</v>
      </c>
      <c r="D973" t="s">
        <v>121</v>
      </c>
      <c r="E973" s="4">
        <v>1</v>
      </c>
      <c r="F973" t="s">
        <v>61</v>
      </c>
      <c r="G973" t="s">
        <v>61</v>
      </c>
      <c r="H973" s="3">
        <v>46185</v>
      </c>
      <c r="I973" s="3">
        <v>46185</v>
      </c>
      <c r="J973" t="s">
        <v>204</v>
      </c>
      <c r="K973" s="3">
        <v>46184</v>
      </c>
      <c r="L973" s="3">
        <v>46182</v>
      </c>
      <c r="M973" s="3">
        <v>46185</v>
      </c>
      <c r="N973" s="3">
        <v>46185</v>
      </c>
      <c r="O973" t="s">
        <v>571</v>
      </c>
      <c r="P973" t="s">
        <v>55</v>
      </c>
      <c r="Q973">
        <v>1098</v>
      </c>
      <c r="S973" t="s">
        <v>124</v>
      </c>
      <c r="T973" t="s">
        <v>1429</v>
      </c>
      <c r="U973">
        <v>1100</v>
      </c>
      <c r="V973" t="s">
        <v>122</v>
      </c>
      <c r="W973">
        <v>13.4</v>
      </c>
      <c r="X973" t="s">
        <v>57</v>
      </c>
      <c r="Z973" t="s">
        <v>124</v>
      </c>
      <c r="AA973" t="s">
        <v>462</v>
      </c>
      <c r="AE973">
        <v>1</v>
      </c>
      <c r="AF973">
        <v>0</v>
      </c>
      <c r="AG973">
        <v>0</v>
      </c>
      <c r="AH973">
        <v>0</v>
      </c>
      <c r="AI973">
        <v>0</v>
      </c>
      <c r="AJ973">
        <v>1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</row>
    <row r="974" spans="1:42" x14ac:dyDescent="0.25">
      <c r="A974">
        <v>1100</v>
      </c>
      <c r="B974" t="s">
        <v>1789</v>
      </c>
      <c r="C974" t="s">
        <v>1785</v>
      </c>
      <c r="D974" t="s">
        <v>126</v>
      </c>
      <c r="E974" s="4">
        <v>1</v>
      </c>
      <c r="F974" t="s">
        <v>63</v>
      </c>
      <c r="G974" t="s">
        <v>63</v>
      </c>
      <c r="H974" s="3">
        <v>46188</v>
      </c>
      <c r="I974" s="3">
        <v>46188</v>
      </c>
      <c r="J974" t="s">
        <v>571</v>
      </c>
      <c r="K974" s="3">
        <v>46185</v>
      </c>
      <c r="L974" s="3">
        <v>46185</v>
      </c>
      <c r="M974" s="3">
        <v>46188</v>
      </c>
      <c r="N974" s="3">
        <v>46188</v>
      </c>
      <c r="O974" t="s">
        <v>595</v>
      </c>
      <c r="P974" t="s">
        <v>55</v>
      </c>
      <c r="Q974">
        <v>1099</v>
      </c>
      <c r="S974" t="s">
        <v>1444</v>
      </c>
      <c r="T974" t="s">
        <v>1429</v>
      </c>
      <c r="U974">
        <v>1101</v>
      </c>
      <c r="V974" t="s">
        <v>61</v>
      </c>
      <c r="W974">
        <v>13.4</v>
      </c>
      <c r="X974" t="s">
        <v>57</v>
      </c>
      <c r="Z974" t="s">
        <v>1444</v>
      </c>
      <c r="AA974" t="s">
        <v>462</v>
      </c>
      <c r="AE974">
        <v>1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1</v>
      </c>
      <c r="AM974">
        <v>0</v>
      </c>
      <c r="AN974">
        <v>0</v>
      </c>
      <c r="AO974">
        <v>0</v>
      </c>
      <c r="AP974">
        <v>0</v>
      </c>
    </row>
    <row r="975" spans="1:42" x14ac:dyDescent="0.25">
      <c r="A975">
        <v>1101</v>
      </c>
      <c r="B975" t="s">
        <v>1790</v>
      </c>
      <c r="C975" t="s">
        <v>1785</v>
      </c>
      <c r="D975" t="s">
        <v>133</v>
      </c>
      <c r="E975" s="4">
        <v>1</v>
      </c>
      <c r="F975" t="s">
        <v>63</v>
      </c>
      <c r="G975" t="s">
        <v>63</v>
      </c>
      <c r="H975" s="3">
        <v>46188</v>
      </c>
      <c r="I975" s="3">
        <v>46188</v>
      </c>
      <c r="J975" t="s">
        <v>595</v>
      </c>
      <c r="K975" s="3">
        <v>46188</v>
      </c>
      <c r="L975" s="3">
        <v>46188</v>
      </c>
      <c r="M975" s="3">
        <v>46188</v>
      </c>
      <c r="N975" s="3">
        <v>46188</v>
      </c>
      <c r="O975" t="s">
        <v>595</v>
      </c>
      <c r="P975" t="s">
        <v>55</v>
      </c>
      <c r="Q975">
        <v>1100</v>
      </c>
      <c r="S975" t="s">
        <v>124</v>
      </c>
      <c r="T975" t="s">
        <v>1429</v>
      </c>
      <c r="V975" t="s">
        <v>61</v>
      </c>
      <c r="W975">
        <v>13.4</v>
      </c>
      <c r="X975" t="s">
        <v>57</v>
      </c>
      <c r="Z975" t="s">
        <v>124</v>
      </c>
      <c r="AA975" t="s">
        <v>217</v>
      </c>
      <c r="AE975">
        <v>1</v>
      </c>
      <c r="AF975">
        <v>0</v>
      </c>
      <c r="AG975">
        <v>0</v>
      </c>
      <c r="AH975">
        <v>0</v>
      </c>
      <c r="AI975">
        <v>1</v>
      </c>
      <c r="AJ975">
        <v>0</v>
      </c>
      <c r="AK975">
        <v>0</v>
      </c>
      <c r="AL975">
        <v>0</v>
      </c>
      <c r="AM975">
        <v>0</v>
      </c>
      <c r="AN975">
        <v>1</v>
      </c>
      <c r="AO975">
        <v>0</v>
      </c>
      <c r="AP975">
        <v>0</v>
      </c>
    </row>
    <row r="976" spans="1:42" x14ac:dyDescent="0.25">
      <c r="A976">
        <v>1102</v>
      </c>
      <c r="B976" t="s">
        <v>1791</v>
      </c>
      <c r="C976" t="s">
        <v>1782</v>
      </c>
      <c r="D976" t="s">
        <v>1792</v>
      </c>
      <c r="E976" s="4">
        <v>1</v>
      </c>
      <c r="F976" t="s">
        <v>210</v>
      </c>
      <c r="G976" t="s">
        <v>210</v>
      </c>
      <c r="H976" s="3">
        <v>46175</v>
      </c>
      <c r="I976" s="3">
        <v>46188</v>
      </c>
      <c r="J976" t="s">
        <v>472</v>
      </c>
      <c r="K976" s="3">
        <v>46188</v>
      </c>
      <c r="L976" s="3">
        <v>46175</v>
      </c>
      <c r="M976" s="3">
        <v>46188</v>
      </c>
      <c r="N976" s="3">
        <v>46188</v>
      </c>
      <c r="O976" t="s">
        <v>472</v>
      </c>
      <c r="P976" t="s">
        <v>55</v>
      </c>
      <c r="T976" t="s">
        <v>1429</v>
      </c>
      <c r="V976" t="s">
        <v>203</v>
      </c>
      <c r="X976" t="s">
        <v>57</v>
      </c>
      <c r="AA976" t="s">
        <v>50</v>
      </c>
      <c r="AB976" t="s">
        <v>94</v>
      </c>
      <c r="AE976">
        <v>1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</row>
    <row r="977" spans="1:42" x14ac:dyDescent="0.25">
      <c r="A977">
        <v>1103</v>
      </c>
      <c r="B977" t="s">
        <v>1793</v>
      </c>
      <c r="C977" t="s">
        <v>1794</v>
      </c>
      <c r="D977" t="s">
        <v>117</v>
      </c>
      <c r="E977" s="4">
        <v>1</v>
      </c>
      <c r="F977" t="s">
        <v>175</v>
      </c>
      <c r="G977" t="s">
        <v>175</v>
      </c>
      <c r="H977" s="3">
        <v>46175</v>
      </c>
      <c r="I977" s="3">
        <v>46185</v>
      </c>
      <c r="J977" t="s">
        <v>472</v>
      </c>
      <c r="K977" s="3">
        <v>46185</v>
      </c>
      <c r="L977" s="3">
        <v>46175</v>
      </c>
      <c r="M977" s="3">
        <v>46185</v>
      </c>
      <c r="N977" s="3">
        <v>46185</v>
      </c>
      <c r="O977" t="s">
        <v>472</v>
      </c>
      <c r="P977" t="s">
        <v>55</v>
      </c>
      <c r="Q977" t="s">
        <v>1786</v>
      </c>
      <c r="S977" t="s">
        <v>1444</v>
      </c>
      <c r="T977" t="s">
        <v>1429</v>
      </c>
      <c r="U977" t="s">
        <v>1795</v>
      </c>
      <c r="V977" t="s">
        <v>214</v>
      </c>
      <c r="W977">
        <v>13.4</v>
      </c>
      <c r="X977" t="s">
        <v>57</v>
      </c>
      <c r="Z977" t="s">
        <v>1444</v>
      </c>
      <c r="AA977" t="s">
        <v>77</v>
      </c>
      <c r="AE977">
        <v>1</v>
      </c>
      <c r="AF977">
        <v>1</v>
      </c>
      <c r="AG977">
        <v>1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1</v>
      </c>
    </row>
    <row r="978" spans="1:42" x14ac:dyDescent="0.25">
      <c r="A978">
        <v>1104</v>
      </c>
      <c r="B978" t="s">
        <v>1796</v>
      </c>
      <c r="C978" t="s">
        <v>1794</v>
      </c>
      <c r="D978" t="s">
        <v>121</v>
      </c>
      <c r="E978" s="4">
        <v>1</v>
      </c>
      <c r="F978" t="s">
        <v>61</v>
      </c>
      <c r="G978" t="s">
        <v>61</v>
      </c>
      <c r="H978" s="3">
        <v>46185</v>
      </c>
      <c r="I978" s="3">
        <v>46185</v>
      </c>
      <c r="J978" t="s">
        <v>571</v>
      </c>
      <c r="K978" s="3">
        <v>46185</v>
      </c>
      <c r="L978" s="3">
        <v>46185</v>
      </c>
      <c r="M978" s="3">
        <v>46185</v>
      </c>
      <c r="N978" s="3">
        <v>46185</v>
      </c>
      <c r="O978" t="s">
        <v>571</v>
      </c>
      <c r="P978" t="s">
        <v>55</v>
      </c>
      <c r="Q978">
        <v>1103</v>
      </c>
      <c r="S978" t="s">
        <v>124</v>
      </c>
      <c r="T978" t="s">
        <v>1429</v>
      </c>
      <c r="U978">
        <v>1105</v>
      </c>
      <c r="V978" t="s">
        <v>122</v>
      </c>
      <c r="W978">
        <v>13.4</v>
      </c>
      <c r="X978" t="s">
        <v>57</v>
      </c>
      <c r="Z978" t="s">
        <v>124</v>
      </c>
      <c r="AA978" t="s">
        <v>462</v>
      </c>
      <c r="AE978">
        <v>1</v>
      </c>
      <c r="AF978">
        <v>0</v>
      </c>
      <c r="AG978">
        <v>0</v>
      </c>
      <c r="AH978">
        <v>0</v>
      </c>
      <c r="AI978">
        <v>0</v>
      </c>
      <c r="AJ978">
        <v>1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</row>
    <row r="979" spans="1:42" x14ac:dyDescent="0.25">
      <c r="A979">
        <v>1105</v>
      </c>
      <c r="B979" t="s">
        <v>1797</v>
      </c>
      <c r="C979" t="s">
        <v>1794</v>
      </c>
      <c r="D979" t="s">
        <v>126</v>
      </c>
      <c r="E979" s="4">
        <v>1</v>
      </c>
      <c r="F979" t="s">
        <v>63</v>
      </c>
      <c r="G979" t="s">
        <v>63</v>
      </c>
      <c r="H979" s="3">
        <v>46188</v>
      </c>
      <c r="I979" s="3">
        <v>46188</v>
      </c>
      <c r="J979" t="s">
        <v>595</v>
      </c>
      <c r="K979" s="3">
        <v>46188</v>
      </c>
      <c r="L979" s="3">
        <v>46188</v>
      </c>
      <c r="M979" s="3">
        <v>46188</v>
      </c>
      <c r="N979" s="3">
        <v>46188</v>
      </c>
      <c r="O979" t="s">
        <v>595</v>
      </c>
      <c r="P979" t="s">
        <v>55</v>
      </c>
      <c r="Q979">
        <v>1104</v>
      </c>
      <c r="S979" t="s">
        <v>1444</v>
      </c>
      <c r="T979" t="s">
        <v>1429</v>
      </c>
      <c r="U979">
        <v>1106</v>
      </c>
      <c r="V979" t="s">
        <v>61</v>
      </c>
      <c r="W979">
        <v>13.4</v>
      </c>
      <c r="X979" t="s">
        <v>57</v>
      </c>
      <c r="Z979" t="s">
        <v>1444</v>
      </c>
      <c r="AA979" t="s">
        <v>462</v>
      </c>
      <c r="AE979">
        <v>1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1</v>
      </c>
      <c r="AM979">
        <v>0</v>
      </c>
      <c r="AN979">
        <v>0</v>
      </c>
      <c r="AO979">
        <v>0</v>
      </c>
      <c r="AP979">
        <v>0</v>
      </c>
    </row>
    <row r="980" spans="1:42" x14ac:dyDescent="0.25">
      <c r="A980">
        <v>1106</v>
      </c>
      <c r="B980" t="s">
        <v>1798</v>
      </c>
      <c r="C980" t="s">
        <v>1794</v>
      </c>
      <c r="D980" t="s">
        <v>133</v>
      </c>
      <c r="E980" s="4">
        <v>1</v>
      </c>
      <c r="F980" t="s">
        <v>63</v>
      </c>
      <c r="G980" t="s">
        <v>63</v>
      </c>
      <c r="H980" s="3">
        <v>46188</v>
      </c>
      <c r="I980" s="3">
        <v>46188</v>
      </c>
      <c r="J980" t="s">
        <v>595</v>
      </c>
      <c r="K980" s="3">
        <v>46188</v>
      </c>
      <c r="L980" s="3">
        <v>46188</v>
      </c>
      <c r="M980" s="3">
        <v>46188</v>
      </c>
      <c r="N980" s="3">
        <v>46188</v>
      </c>
      <c r="O980" t="s">
        <v>595</v>
      </c>
      <c r="P980" t="s">
        <v>55</v>
      </c>
      <c r="Q980">
        <v>1105</v>
      </c>
      <c r="S980" t="s">
        <v>124</v>
      </c>
      <c r="T980" t="s">
        <v>1429</v>
      </c>
      <c r="V980" t="s">
        <v>61</v>
      </c>
      <c r="W980">
        <v>13.4</v>
      </c>
      <c r="X980" t="s">
        <v>57</v>
      </c>
      <c r="Z980" t="s">
        <v>124</v>
      </c>
      <c r="AA980" t="s">
        <v>217</v>
      </c>
      <c r="AE980">
        <v>1</v>
      </c>
      <c r="AF980">
        <v>0</v>
      </c>
      <c r="AG980">
        <v>0</v>
      </c>
      <c r="AH980">
        <v>0</v>
      </c>
      <c r="AI980">
        <v>1</v>
      </c>
      <c r="AJ980">
        <v>0</v>
      </c>
      <c r="AK980">
        <v>0</v>
      </c>
      <c r="AL980">
        <v>0</v>
      </c>
      <c r="AM980">
        <v>0</v>
      </c>
      <c r="AN980">
        <v>1</v>
      </c>
      <c r="AO980">
        <v>0</v>
      </c>
      <c r="AP980">
        <v>0</v>
      </c>
    </row>
    <row r="981" spans="1:42" x14ac:dyDescent="0.25">
      <c r="A981">
        <v>1107</v>
      </c>
      <c r="B981" t="s">
        <v>1799</v>
      </c>
      <c r="C981" t="s">
        <v>1782</v>
      </c>
      <c r="D981" t="s">
        <v>1800</v>
      </c>
      <c r="E981" s="4">
        <v>1</v>
      </c>
      <c r="F981" t="s">
        <v>210</v>
      </c>
      <c r="G981" t="s">
        <v>210</v>
      </c>
      <c r="H981" s="3">
        <v>46175</v>
      </c>
      <c r="I981" s="3">
        <v>46188</v>
      </c>
      <c r="J981" t="s">
        <v>472</v>
      </c>
      <c r="K981" s="3">
        <v>46188</v>
      </c>
      <c r="L981" s="3">
        <v>46175</v>
      </c>
      <c r="M981" s="3">
        <v>46188</v>
      </c>
      <c r="N981" s="3">
        <v>46188</v>
      </c>
      <c r="O981" t="s">
        <v>472</v>
      </c>
      <c r="P981" t="s">
        <v>55</v>
      </c>
      <c r="T981" t="s">
        <v>1429</v>
      </c>
      <c r="V981" t="s">
        <v>203</v>
      </c>
      <c r="X981" t="s">
        <v>57</v>
      </c>
      <c r="AA981" t="s">
        <v>50</v>
      </c>
      <c r="AB981" t="s">
        <v>94</v>
      </c>
      <c r="AE981">
        <v>1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</row>
    <row r="982" spans="1:42" x14ac:dyDescent="0.25">
      <c r="A982">
        <v>1108</v>
      </c>
      <c r="B982" t="s">
        <v>1801</v>
      </c>
      <c r="C982" t="s">
        <v>1802</v>
      </c>
      <c r="D982" t="s">
        <v>117</v>
      </c>
      <c r="E982" s="4">
        <v>1</v>
      </c>
      <c r="F982" t="s">
        <v>175</v>
      </c>
      <c r="G982" t="s">
        <v>175</v>
      </c>
      <c r="H982" s="3">
        <v>46175</v>
      </c>
      <c r="I982" s="3">
        <v>46185</v>
      </c>
      <c r="J982" t="s">
        <v>472</v>
      </c>
      <c r="K982" s="3">
        <v>46185</v>
      </c>
      <c r="L982" s="3">
        <v>46175</v>
      </c>
      <c r="M982" s="3">
        <v>46185</v>
      </c>
      <c r="N982" s="3">
        <v>46185</v>
      </c>
      <c r="O982" t="s">
        <v>472</v>
      </c>
      <c r="P982" t="s">
        <v>55</v>
      </c>
      <c r="Q982" t="s">
        <v>1786</v>
      </c>
      <c r="S982" t="s">
        <v>1444</v>
      </c>
      <c r="T982" t="s">
        <v>1429</v>
      </c>
      <c r="U982" t="s">
        <v>1803</v>
      </c>
      <c r="V982" t="s">
        <v>214</v>
      </c>
      <c r="W982">
        <v>13.4</v>
      </c>
      <c r="X982" t="s">
        <v>57</v>
      </c>
      <c r="Z982" t="s">
        <v>1444</v>
      </c>
      <c r="AA982" t="s">
        <v>77</v>
      </c>
      <c r="AE982">
        <v>1</v>
      </c>
      <c r="AF982">
        <v>1</v>
      </c>
      <c r="AG982">
        <v>1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1</v>
      </c>
    </row>
    <row r="983" spans="1:42" x14ac:dyDescent="0.25">
      <c r="A983">
        <v>1109</v>
      </c>
      <c r="B983" t="s">
        <v>1804</v>
      </c>
      <c r="C983" t="s">
        <v>1802</v>
      </c>
      <c r="D983" t="s">
        <v>121</v>
      </c>
      <c r="E983" s="4">
        <v>1</v>
      </c>
      <c r="F983" t="s">
        <v>61</v>
      </c>
      <c r="G983" t="s">
        <v>61</v>
      </c>
      <c r="H983" s="3">
        <v>46185</v>
      </c>
      <c r="I983" s="3">
        <v>46185</v>
      </c>
      <c r="J983" t="s">
        <v>571</v>
      </c>
      <c r="K983" s="3">
        <v>46185</v>
      </c>
      <c r="L983" s="3">
        <v>46185</v>
      </c>
      <c r="M983" s="3">
        <v>46185</v>
      </c>
      <c r="N983" s="3">
        <v>46185</v>
      </c>
      <c r="O983" t="s">
        <v>571</v>
      </c>
      <c r="P983" t="s">
        <v>55</v>
      </c>
      <c r="Q983">
        <v>1108</v>
      </c>
      <c r="S983" t="s">
        <v>124</v>
      </c>
      <c r="T983" t="s">
        <v>1429</v>
      </c>
      <c r="U983">
        <v>1110</v>
      </c>
      <c r="V983" t="s">
        <v>122</v>
      </c>
      <c r="W983">
        <v>13.4</v>
      </c>
      <c r="X983" t="s">
        <v>57</v>
      </c>
      <c r="Z983" t="s">
        <v>124</v>
      </c>
      <c r="AA983" t="s">
        <v>462</v>
      </c>
      <c r="AE983">
        <v>1</v>
      </c>
      <c r="AF983">
        <v>0</v>
      </c>
      <c r="AG983">
        <v>0</v>
      </c>
      <c r="AH983">
        <v>0</v>
      </c>
      <c r="AI983">
        <v>0</v>
      </c>
      <c r="AJ983">
        <v>1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</row>
    <row r="984" spans="1:42" x14ac:dyDescent="0.25">
      <c r="A984">
        <v>1110</v>
      </c>
      <c r="B984" t="s">
        <v>1805</v>
      </c>
      <c r="C984" t="s">
        <v>1802</v>
      </c>
      <c r="D984" t="s">
        <v>126</v>
      </c>
      <c r="E984" s="4">
        <v>1</v>
      </c>
      <c r="F984" t="s">
        <v>61</v>
      </c>
      <c r="G984" t="s">
        <v>61</v>
      </c>
      <c r="H984" s="3">
        <v>46188</v>
      </c>
      <c r="I984" s="3">
        <v>46188</v>
      </c>
      <c r="J984" t="s">
        <v>595</v>
      </c>
      <c r="K984" s="3">
        <v>46188</v>
      </c>
      <c r="L984" s="3">
        <v>46188</v>
      </c>
      <c r="M984" s="3">
        <v>46188</v>
      </c>
      <c r="N984" s="3">
        <v>46188</v>
      </c>
      <c r="O984" t="s">
        <v>595</v>
      </c>
      <c r="P984" t="s">
        <v>55</v>
      </c>
      <c r="Q984">
        <v>1109</v>
      </c>
      <c r="S984" t="s">
        <v>1444</v>
      </c>
      <c r="T984" t="s">
        <v>1429</v>
      </c>
      <c r="U984">
        <v>1111</v>
      </c>
      <c r="V984" t="s">
        <v>61</v>
      </c>
      <c r="W984">
        <v>13.4</v>
      </c>
      <c r="X984" t="s">
        <v>57</v>
      </c>
      <c r="Z984" t="s">
        <v>1444</v>
      </c>
      <c r="AA984" t="s">
        <v>462</v>
      </c>
      <c r="AE984">
        <v>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1</v>
      </c>
      <c r="AM984">
        <v>0</v>
      </c>
      <c r="AN984">
        <v>0</v>
      </c>
      <c r="AO984">
        <v>0</v>
      </c>
      <c r="AP984">
        <v>0</v>
      </c>
    </row>
    <row r="985" spans="1:42" x14ac:dyDescent="0.25">
      <c r="A985">
        <v>1111</v>
      </c>
      <c r="B985" t="s">
        <v>1806</v>
      </c>
      <c r="C985" t="s">
        <v>1802</v>
      </c>
      <c r="D985" t="s">
        <v>133</v>
      </c>
      <c r="E985" s="4">
        <v>1</v>
      </c>
      <c r="F985" t="s">
        <v>63</v>
      </c>
      <c r="G985" t="s">
        <v>63</v>
      </c>
      <c r="H985" s="3">
        <v>46188</v>
      </c>
      <c r="I985" s="3">
        <v>46188</v>
      </c>
      <c r="J985" t="s">
        <v>595</v>
      </c>
      <c r="K985" s="3">
        <v>46188</v>
      </c>
      <c r="L985" s="3">
        <v>46188</v>
      </c>
      <c r="M985" s="3">
        <v>46188</v>
      </c>
      <c r="N985" s="3">
        <v>46188</v>
      </c>
      <c r="O985" t="s">
        <v>595</v>
      </c>
      <c r="P985" t="s">
        <v>55</v>
      </c>
      <c r="Q985">
        <v>1110</v>
      </c>
      <c r="S985" t="s">
        <v>124</v>
      </c>
      <c r="T985" t="s">
        <v>1429</v>
      </c>
      <c r="V985" t="s">
        <v>61</v>
      </c>
      <c r="W985">
        <v>13.4</v>
      </c>
      <c r="X985" t="s">
        <v>57</v>
      </c>
      <c r="Z985" t="s">
        <v>124</v>
      </c>
      <c r="AA985" t="s">
        <v>217</v>
      </c>
      <c r="AE985">
        <v>1</v>
      </c>
      <c r="AF985">
        <v>0</v>
      </c>
      <c r="AG985">
        <v>0</v>
      </c>
      <c r="AH985">
        <v>0</v>
      </c>
      <c r="AI985">
        <v>1</v>
      </c>
      <c r="AJ985">
        <v>0</v>
      </c>
      <c r="AK985">
        <v>0</v>
      </c>
      <c r="AL985">
        <v>0</v>
      </c>
      <c r="AM985">
        <v>0</v>
      </c>
      <c r="AN985">
        <v>1</v>
      </c>
      <c r="AO985">
        <v>0</v>
      </c>
      <c r="AP985">
        <v>0</v>
      </c>
    </row>
    <row r="986" spans="1:42" x14ac:dyDescent="0.25">
      <c r="A986">
        <v>1112</v>
      </c>
      <c r="B986" t="s">
        <v>1807</v>
      </c>
      <c r="C986" t="s">
        <v>1782</v>
      </c>
      <c r="D986" t="s">
        <v>1808</v>
      </c>
      <c r="E986" s="4">
        <v>1</v>
      </c>
      <c r="F986" t="s">
        <v>122</v>
      </c>
      <c r="G986" t="s">
        <v>122</v>
      </c>
      <c r="H986" s="3">
        <v>46185</v>
      </c>
      <c r="I986" s="3">
        <v>46189</v>
      </c>
      <c r="J986" t="s">
        <v>204</v>
      </c>
      <c r="K986" s="3">
        <v>46192</v>
      </c>
      <c r="L986" s="3">
        <v>46182</v>
      </c>
      <c r="M986" s="3">
        <v>46189</v>
      </c>
      <c r="N986" s="3">
        <v>46189</v>
      </c>
      <c r="O986" t="s">
        <v>571</v>
      </c>
      <c r="P986" t="s">
        <v>55</v>
      </c>
      <c r="T986" t="s">
        <v>1429</v>
      </c>
      <c r="V986" t="s">
        <v>114</v>
      </c>
      <c r="X986" t="s">
        <v>57</v>
      </c>
      <c r="AA986" t="s">
        <v>50</v>
      </c>
      <c r="AB986" t="s">
        <v>94</v>
      </c>
      <c r="AE986">
        <v>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</row>
    <row r="987" spans="1:42" x14ac:dyDescent="0.25">
      <c r="A987">
        <v>1113</v>
      </c>
      <c r="B987" t="s">
        <v>1809</v>
      </c>
      <c r="C987" t="s">
        <v>1810</v>
      </c>
      <c r="D987" t="s">
        <v>117</v>
      </c>
      <c r="E987" s="4">
        <v>1</v>
      </c>
      <c r="F987" t="s">
        <v>61</v>
      </c>
      <c r="G987" t="s">
        <v>61</v>
      </c>
      <c r="H987" s="3">
        <v>46185</v>
      </c>
      <c r="I987" s="3">
        <v>46185</v>
      </c>
      <c r="J987" t="s">
        <v>204</v>
      </c>
      <c r="K987" s="3">
        <v>46185</v>
      </c>
      <c r="L987" s="3">
        <v>46182</v>
      </c>
      <c r="M987" s="3">
        <v>46185</v>
      </c>
      <c r="N987" s="3">
        <v>46185</v>
      </c>
      <c r="O987" t="s">
        <v>571</v>
      </c>
      <c r="P987" t="s">
        <v>55</v>
      </c>
      <c r="Q987" t="s">
        <v>734</v>
      </c>
      <c r="S987" t="s">
        <v>1433</v>
      </c>
      <c r="T987" t="s">
        <v>1429</v>
      </c>
      <c r="U987">
        <v>1114</v>
      </c>
      <c r="V987" t="s">
        <v>101</v>
      </c>
      <c r="W987">
        <v>13.4</v>
      </c>
      <c r="X987" t="s">
        <v>57</v>
      </c>
      <c r="Z987" t="s">
        <v>1433</v>
      </c>
      <c r="AA987" t="s">
        <v>462</v>
      </c>
      <c r="AE987">
        <v>1</v>
      </c>
      <c r="AF987">
        <v>1</v>
      </c>
      <c r="AG987">
        <v>1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1</v>
      </c>
    </row>
    <row r="988" spans="1:42" x14ac:dyDescent="0.25">
      <c r="A988">
        <v>1114</v>
      </c>
      <c r="B988" t="s">
        <v>1811</v>
      </c>
      <c r="C988" t="s">
        <v>1810</v>
      </c>
      <c r="D988" t="s">
        <v>121</v>
      </c>
      <c r="E988" s="4">
        <v>1</v>
      </c>
      <c r="F988" t="s">
        <v>61</v>
      </c>
      <c r="G988" t="s">
        <v>61</v>
      </c>
      <c r="H988" s="3">
        <v>46188</v>
      </c>
      <c r="I988" s="3">
        <v>46188</v>
      </c>
      <c r="J988" t="s">
        <v>595</v>
      </c>
      <c r="K988" s="3">
        <v>46190</v>
      </c>
      <c r="L988" s="3">
        <v>46188</v>
      </c>
      <c r="M988" s="3">
        <v>46188</v>
      </c>
      <c r="N988" s="3">
        <v>46188</v>
      </c>
      <c r="O988" t="s">
        <v>595</v>
      </c>
      <c r="P988" t="s">
        <v>55</v>
      </c>
      <c r="Q988">
        <v>1113</v>
      </c>
      <c r="S988" t="s">
        <v>124</v>
      </c>
      <c r="T988" t="s">
        <v>1429</v>
      </c>
      <c r="U988">
        <v>1115</v>
      </c>
      <c r="V988" t="s">
        <v>122</v>
      </c>
      <c r="W988">
        <v>13.4</v>
      </c>
      <c r="X988" t="s">
        <v>57</v>
      </c>
      <c r="Z988" t="s">
        <v>124</v>
      </c>
      <c r="AA988" t="s">
        <v>217</v>
      </c>
      <c r="AE988">
        <v>1</v>
      </c>
      <c r="AF988">
        <v>0</v>
      </c>
      <c r="AG988">
        <v>0</v>
      </c>
      <c r="AH988">
        <v>0</v>
      </c>
      <c r="AI988">
        <v>0</v>
      </c>
      <c r="AJ988">
        <v>1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</row>
    <row r="989" spans="1:42" x14ac:dyDescent="0.25">
      <c r="A989">
        <v>1115</v>
      </c>
      <c r="B989" t="s">
        <v>1812</v>
      </c>
      <c r="C989" t="s">
        <v>1810</v>
      </c>
      <c r="D989" t="s">
        <v>126</v>
      </c>
      <c r="E989" s="4">
        <v>1</v>
      </c>
      <c r="F989" t="s">
        <v>61</v>
      </c>
      <c r="G989" t="s">
        <v>61</v>
      </c>
      <c r="H989" s="3">
        <v>46189</v>
      </c>
      <c r="I989" s="3">
        <v>46189</v>
      </c>
      <c r="J989" t="s">
        <v>480</v>
      </c>
      <c r="K989" s="3">
        <v>46191</v>
      </c>
      <c r="L989" s="3">
        <v>46191</v>
      </c>
      <c r="M989" s="3">
        <v>46189</v>
      </c>
      <c r="N989" s="3">
        <v>46189</v>
      </c>
      <c r="O989" t="s">
        <v>576</v>
      </c>
      <c r="P989" t="s">
        <v>55</v>
      </c>
      <c r="Q989">
        <v>1114</v>
      </c>
      <c r="S989" t="s">
        <v>1433</v>
      </c>
      <c r="T989" t="s">
        <v>1429</v>
      </c>
      <c r="U989">
        <v>1116</v>
      </c>
      <c r="V989" t="s">
        <v>61</v>
      </c>
      <c r="W989">
        <v>13.4</v>
      </c>
      <c r="X989" t="s">
        <v>57</v>
      </c>
      <c r="Z989" t="s">
        <v>1433</v>
      </c>
      <c r="AA989" t="s">
        <v>217</v>
      </c>
      <c r="AE989">
        <v>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1</v>
      </c>
      <c r="AM989">
        <v>0</v>
      </c>
      <c r="AN989">
        <v>0</v>
      </c>
      <c r="AO989">
        <v>0</v>
      </c>
      <c r="AP989">
        <v>0</v>
      </c>
    </row>
    <row r="990" spans="1:42" x14ac:dyDescent="0.25">
      <c r="A990">
        <v>1116</v>
      </c>
      <c r="B990" t="s">
        <v>1813</v>
      </c>
      <c r="C990" t="s">
        <v>1810</v>
      </c>
      <c r="D990" t="s">
        <v>133</v>
      </c>
      <c r="E990" s="4">
        <v>1</v>
      </c>
      <c r="F990" t="s">
        <v>63</v>
      </c>
      <c r="G990" t="s">
        <v>63</v>
      </c>
      <c r="H990" s="3">
        <v>46188</v>
      </c>
      <c r="I990" s="3">
        <v>46188</v>
      </c>
      <c r="J990" t="s">
        <v>211</v>
      </c>
      <c r="K990" s="3">
        <v>46192</v>
      </c>
      <c r="L990" s="3">
        <v>46192</v>
      </c>
      <c r="M990" s="3">
        <v>46188</v>
      </c>
      <c r="N990" s="3">
        <v>46188</v>
      </c>
      <c r="O990" t="s">
        <v>595</v>
      </c>
      <c r="P990" t="s">
        <v>55</v>
      </c>
      <c r="Q990">
        <v>1115</v>
      </c>
      <c r="S990" t="s">
        <v>124</v>
      </c>
      <c r="T990" t="s">
        <v>1429</v>
      </c>
      <c r="V990" t="s">
        <v>61</v>
      </c>
      <c r="W990">
        <v>13.4</v>
      </c>
      <c r="X990" t="s">
        <v>57</v>
      </c>
      <c r="Z990" t="s">
        <v>124</v>
      </c>
      <c r="AA990" t="s">
        <v>217</v>
      </c>
      <c r="AE990">
        <v>1</v>
      </c>
      <c r="AF990">
        <v>0</v>
      </c>
      <c r="AG990">
        <v>0</v>
      </c>
      <c r="AH990">
        <v>0</v>
      </c>
      <c r="AI990">
        <v>1</v>
      </c>
      <c r="AJ990">
        <v>0</v>
      </c>
      <c r="AK990">
        <v>0</v>
      </c>
      <c r="AL990">
        <v>0</v>
      </c>
      <c r="AM990">
        <v>0</v>
      </c>
      <c r="AN990">
        <v>1</v>
      </c>
      <c r="AO990">
        <v>0</v>
      </c>
      <c r="AP990">
        <v>0</v>
      </c>
    </row>
    <row r="991" spans="1:42" x14ac:dyDescent="0.25">
      <c r="A991">
        <v>1117</v>
      </c>
      <c r="B991" t="s">
        <v>1814</v>
      </c>
      <c r="C991" t="s">
        <v>1782</v>
      </c>
      <c r="D991" t="s">
        <v>1815</v>
      </c>
      <c r="E991" s="4">
        <v>1</v>
      </c>
      <c r="F991" t="s">
        <v>214</v>
      </c>
      <c r="G991" t="s">
        <v>214</v>
      </c>
      <c r="H991" s="3">
        <v>46185</v>
      </c>
      <c r="I991" s="3">
        <v>46192</v>
      </c>
      <c r="J991" t="s">
        <v>576</v>
      </c>
      <c r="K991" s="3">
        <v>46199</v>
      </c>
      <c r="L991" s="3">
        <v>46189</v>
      </c>
      <c r="M991" s="3">
        <v>46192</v>
      </c>
      <c r="N991" s="3">
        <v>46192</v>
      </c>
      <c r="O991" t="s">
        <v>571</v>
      </c>
      <c r="P991" t="s">
        <v>55</v>
      </c>
      <c r="T991" t="s">
        <v>1429</v>
      </c>
      <c r="V991" t="s">
        <v>114</v>
      </c>
      <c r="X991" t="s">
        <v>57</v>
      </c>
      <c r="AA991" t="s">
        <v>50</v>
      </c>
      <c r="AB991" t="s">
        <v>94</v>
      </c>
      <c r="AE991">
        <v>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</row>
    <row r="992" spans="1:42" x14ac:dyDescent="0.25">
      <c r="A992">
        <v>1118</v>
      </c>
      <c r="B992" t="s">
        <v>1816</v>
      </c>
      <c r="C992" t="s">
        <v>1817</v>
      </c>
      <c r="D992" t="s">
        <v>117</v>
      </c>
      <c r="E992" s="4">
        <v>1</v>
      </c>
      <c r="F992" t="s">
        <v>101</v>
      </c>
      <c r="G992" t="s">
        <v>101</v>
      </c>
      <c r="H992" s="3">
        <v>46185</v>
      </c>
      <c r="I992" s="3">
        <v>46190</v>
      </c>
      <c r="J992" t="s">
        <v>576</v>
      </c>
      <c r="K992" s="3">
        <v>46192</v>
      </c>
      <c r="L992" s="3">
        <v>46189</v>
      </c>
      <c r="M992" s="3">
        <v>46190</v>
      </c>
      <c r="N992" s="3">
        <v>46190</v>
      </c>
      <c r="O992" t="s">
        <v>571</v>
      </c>
      <c r="P992" t="s">
        <v>55</v>
      </c>
      <c r="S992" t="s">
        <v>1444</v>
      </c>
      <c r="T992" t="s">
        <v>1429</v>
      </c>
      <c r="U992" t="s">
        <v>1818</v>
      </c>
      <c r="V992" t="s">
        <v>101</v>
      </c>
      <c r="W992">
        <v>13.4</v>
      </c>
      <c r="X992" t="s">
        <v>57</v>
      </c>
      <c r="Z992" t="s">
        <v>1444</v>
      </c>
      <c r="AA992" t="s">
        <v>217</v>
      </c>
      <c r="AE992">
        <v>1</v>
      </c>
      <c r="AF992">
        <v>1</v>
      </c>
      <c r="AG992">
        <v>1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1</v>
      </c>
    </row>
    <row r="993" spans="1:42" x14ac:dyDescent="0.25">
      <c r="A993">
        <v>1119</v>
      </c>
      <c r="B993" t="s">
        <v>1819</v>
      </c>
      <c r="C993" t="s">
        <v>1817</v>
      </c>
      <c r="D993" t="s">
        <v>121</v>
      </c>
      <c r="E993" s="4">
        <v>1</v>
      </c>
      <c r="F993" t="s">
        <v>61</v>
      </c>
      <c r="G993" t="s">
        <v>61</v>
      </c>
      <c r="H993" s="3">
        <v>46191</v>
      </c>
      <c r="I993" s="3">
        <v>46191</v>
      </c>
      <c r="J993" t="s">
        <v>219</v>
      </c>
      <c r="K993" s="3">
        <v>46197</v>
      </c>
      <c r="L993" s="3">
        <v>46195</v>
      </c>
      <c r="M993" s="3">
        <v>46191</v>
      </c>
      <c r="N993" s="3">
        <v>46191</v>
      </c>
      <c r="O993" t="s">
        <v>480</v>
      </c>
      <c r="P993" t="s">
        <v>55</v>
      </c>
      <c r="Q993">
        <v>1118</v>
      </c>
      <c r="S993" t="s">
        <v>124</v>
      </c>
      <c r="T993" t="s">
        <v>1429</v>
      </c>
      <c r="U993">
        <v>1120</v>
      </c>
      <c r="V993" t="s">
        <v>122</v>
      </c>
      <c r="W993">
        <v>13.4</v>
      </c>
      <c r="X993" t="s">
        <v>57</v>
      </c>
      <c r="Z993" t="s">
        <v>124</v>
      </c>
      <c r="AA993" t="s">
        <v>131</v>
      </c>
      <c r="AE993">
        <v>1</v>
      </c>
      <c r="AF993">
        <v>0</v>
      </c>
      <c r="AG993">
        <v>0</v>
      </c>
      <c r="AH993">
        <v>0</v>
      </c>
      <c r="AI993">
        <v>0</v>
      </c>
      <c r="AJ993">
        <v>1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</row>
    <row r="994" spans="1:42" x14ac:dyDescent="0.25">
      <c r="A994">
        <v>1120</v>
      </c>
      <c r="B994" t="s">
        <v>1820</v>
      </c>
      <c r="C994" t="s">
        <v>1817</v>
      </c>
      <c r="D994" t="s">
        <v>126</v>
      </c>
      <c r="E994" s="4">
        <v>1</v>
      </c>
      <c r="F994" t="s">
        <v>61</v>
      </c>
      <c r="G994" t="s">
        <v>61</v>
      </c>
      <c r="H994" s="3">
        <v>46192</v>
      </c>
      <c r="I994" s="3">
        <v>46192</v>
      </c>
      <c r="J994" t="s">
        <v>128</v>
      </c>
      <c r="K994" s="3">
        <v>46198</v>
      </c>
      <c r="L994" s="3">
        <v>46198</v>
      </c>
      <c r="M994" s="3">
        <v>46192</v>
      </c>
      <c r="N994" s="3">
        <v>46192</v>
      </c>
      <c r="O994" t="s">
        <v>211</v>
      </c>
      <c r="P994" t="s">
        <v>55</v>
      </c>
      <c r="Q994">
        <v>1119</v>
      </c>
      <c r="S994" t="s">
        <v>1444</v>
      </c>
      <c r="T994" t="s">
        <v>1429</v>
      </c>
      <c r="U994">
        <v>1121</v>
      </c>
      <c r="V994" t="s">
        <v>61</v>
      </c>
      <c r="W994">
        <v>13.4</v>
      </c>
      <c r="X994" t="s">
        <v>57</v>
      </c>
      <c r="Z994" t="s">
        <v>1444</v>
      </c>
      <c r="AA994" t="s">
        <v>131</v>
      </c>
      <c r="AE994">
        <v>1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1</v>
      </c>
      <c r="AM994">
        <v>0</v>
      </c>
      <c r="AN994">
        <v>0</v>
      </c>
      <c r="AO994">
        <v>0</v>
      </c>
      <c r="AP994">
        <v>0</v>
      </c>
    </row>
    <row r="995" spans="1:42" x14ac:dyDescent="0.25">
      <c r="A995">
        <v>1121</v>
      </c>
      <c r="B995" t="s">
        <v>1821</v>
      </c>
      <c r="C995" t="s">
        <v>1817</v>
      </c>
      <c r="D995" t="s">
        <v>133</v>
      </c>
      <c r="E995" s="4">
        <v>1</v>
      </c>
      <c r="F995" t="s">
        <v>63</v>
      </c>
      <c r="G995" t="s">
        <v>63</v>
      </c>
      <c r="H995" s="3">
        <v>46191</v>
      </c>
      <c r="I995" s="3">
        <v>46191</v>
      </c>
      <c r="J995" t="s">
        <v>134</v>
      </c>
      <c r="K995" s="3">
        <v>46199</v>
      </c>
      <c r="L995" s="3">
        <v>46199</v>
      </c>
      <c r="M995" s="3">
        <v>46191</v>
      </c>
      <c r="N995" s="3">
        <v>46191</v>
      </c>
      <c r="O995" t="s">
        <v>480</v>
      </c>
      <c r="P995" t="s">
        <v>55</v>
      </c>
      <c r="Q995">
        <v>1120</v>
      </c>
      <c r="S995" t="s">
        <v>124</v>
      </c>
      <c r="T995" t="s">
        <v>1429</v>
      </c>
      <c r="V995" t="s">
        <v>61</v>
      </c>
      <c r="W995">
        <v>13.4</v>
      </c>
      <c r="X995" t="s">
        <v>57</v>
      </c>
      <c r="Z995" t="s">
        <v>124</v>
      </c>
      <c r="AA995" t="s">
        <v>131</v>
      </c>
      <c r="AE995">
        <v>1</v>
      </c>
      <c r="AF995">
        <v>0</v>
      </c>
      <c r="AG995">
        <v>0</v>
      </c>
      <c r="AH995">
        <v>0</v>
      </c>
      <c r="AI995">
        <v>1</v>
      </c>
      <c r="AJ995">
        <v>0</v>
      </c>
      <c r="AK995">
        <v>0</v>
      </c>
      <c r="AL995">
        <v>0</v>
      </c>
      <c r="AM995">
        <v>0</v>
      </c>
      <c r="AN995">
        <v>1</v>
      </c>
      <c r="AO995">
        <v>0</v>
      </c>
      <c r="AP995">
        <v>0</v>
      </c>
    </row>
    <row r="996" spans="1:42" x14ac:dyDescent="0.25">
      <c r="A996">
        <v>1122</v>
      </c>
      <c r="B996" t="s">
        <v>1822</v>
      </c>
      <c r="C996" t="s">
        <v>1782</v>
      </c>
      <c r="D996" t="s">
        <v>1823</v>
      </c>
      <c r="E996" s="4">
        <v>1</v>
      </c>
      <c r="F996" t="s">
        <v>214</v>
      </c>
      <c r="G996" t="s">
        <v>214</v>
      </c>
      <c r="H996" s="3">
        <v>46185</v>
      </c>
      <c r="I996" s="3">
        <v>46192</v>
      </c>
      <c r="J996" t="s">
        <v>576</v>
      </c>
      <c r="K996" s="3">
        <v>46199</v>
      </c>
      <c r="L996" s="3">
        <v>46189</v>
      </c>
      <c r="M996" s="3">
        <v>46192</v>
      </c>
      <c r="N996" s="3">
        <v>46192</v>
      </c>
      <c r="O996" t="s">
        <v>571</v>
      </c>
      <c r="P996" t="s">
        <v>55</v>
      </c>
      <c r="T996" t="s">
        <v>1429</v>
      </c>
      <c r="V996" t="s">
        <v>114</v>
      </c>
      <c r="X996" t="s">
        <v>57</v>
      </c>
      <c r="AA996" t="s">
        <v>50</v>
      </c>
      <c r="AB996" t="s">
        <v>94</v>
      </c>
      <c r="AE996">
        <v>1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</row>
    <row r="997" spans="1:42" x14ac:dyDescent="0.25">
      <c r="A997">
        <v>1123</v>
      </c>
      <c r="B997" t="s">
        <v>1824</v>
      </c>
      <c r="C997" t="s">
        <v>1825</v>
      </c>
      <c r="D997" t="s">
        <v>117</v>
      </c>
      <c r="E997" s="4">
        <v>1</v>
      </c>
      <c r="F997" t="s">
        <v>101</v>
      </c>
      <c r="G997" t="s">
        <v>101</v>
      </c>
      <c r="H997" s="3">
        <v>46185</v>
      </c>
      <c r="I997" s="3">
        <v>46190</v>
      </c>
      <c r="J997" t="s">
        <v>576</v>
      </c>
      <c r="K997" s="3">
        <v>46192</v>
      </c>
      <c r="L997" s="3">
        <v>46189</v>
      </c>
      <c r="M997" s="3">
        <v>46190</v>
      </c>
      <c r="N997" s="3">
        <v>46190</v>
      </c>
      <c r="O997" t="s">
        <v>571</v>
      </c>
      <c r="P997" t="s">
        <v>55</v>
      </c>
      <c r="Q997" t="s">
        <v>1826</v>
      </c>
      <c r="S997" t="s">
        <v>1444</v>
      </c>
      <c r="T997" t="s">
        <v>1429</v>
      </c>
      <c r="U997">
        <v>1124</v>
      </c>
      <c r="V997" t="s">
        <v>101</v>
      </c>
      <c r="W997">
        <v>13.4</v>
      </c>
      <c r="X997" t="s">
        <v>57</v>
      </c>
      <c r="Z997" t="s">
        <v>1444</v>
      </c>
      <c r="AA997" t="s">
        <v>217</v>
      </c>
      <c r="AE997">
        <v>1</v>
      </c>
      <c r="AF997">
        <v>1</v>
      </c>
      <c r="AG997">
        <v>1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1</v>
      </c>
    </row>
    <row r="998" spans="1:42" x14ac:dyDescent="0.25">
      <c r="A998">
        <v>1124</v>
      </c>
      <c r="B998" t="s">
        <v>1827</v>
      </c>
      <c r="C998" t="s">
        <v>1825</v>
      </c>
      <c r="D998" t="s">
        <v>121</v>
      </c>
      <c r="E998" s="4">
        <v>1</v>
      </c>
      <c r="F998" t="s">
        <v>61</v>
      </c>
      <c r="G998" t="s">
        <v>61</v>
      </c>
      <c r="H998" s="3">
        <v>46191</v>
      </c>
      <c r="I998" s="3">
        <v>46191</v>
      </c>
      <c r="J998" t="s">
        <v>219</v>
      </c>
      <c r="K998" s="3">
        <v>46197</v>
      </c>
      <c r="L998" s="3">
        <v>46195</v>
      </c>
      <c r="M998" s="3">
        <v>46191</v>
      </c>
      <c r="N998" s="3">
        <v>46191</v>
      </c>
      <c r="O998" t="s">
        <v>480</v>
      </c>
      <c r="P998" t="s">
        <v>55</v>
      </c>
      <c r="Q998">
        <v>1123</v>
      </c>
      <c r="S998" t="s">
        <v>124</v>
      </c>
      <c r="T998" t="s">
        <v>1429</v>
      </c>
      <c r="U998">
        <v>1125</v>
      </c>
      <c r="V998" t="s">
        <v>122</v>
      </c>
      <c r="W998">
        <v>13.4</v>
      </c>
      <c r="X998" t="s">
        <v>57</v>
      </c>
      <c r="Z998" t="s">
        <v>124</v>
      </c>
      <c r="AA998" t="s">
        <v>131</v>
      </c>
      <c r="AE998">
        <v>1</v>
      </c>
      <c r="AF998">
        <v>0</v>
      </c>
      <c r="AG998">
        <v>0</v>
      </c>
      <c r="AH998">
        <v>0</v>
      </c>
      <c r="AI998">
        <v>0</v>
      </c>
      <c r="AJ998">
        <v>1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</row>
    <row r="999" spans="1:42" x14ac:dyDescent="0.25">
      <c r="A999">
        <v>1125</v>
      </c>
      <c r="B999" t="s">
        <v>1828</v>
      </c>
      <c r="C999" t="s">
        <v>1825</v>
      </c>
      <c r="D999" t="s">
        <v>126</v>
      </c>
      <c r="E999" s="4">
        <v>1</v>
      </c>
      <c r="F999" t="s">
        <v>61</v>
      </c>
      <c r="G999" t="s">
        <v>61</v>
      </c>
      <c r="H999" s="3">
        <v>46192</v>
      </c>
      <c r="I999" s="3">
        <v>46192</v>
      </c>
      <c r="J999" t="s">
        <v>128</v>
      </c>
      <c r="K999" s="3">
        <v>46198</v>
      </c>
      <c r="L999" s="3">
        <v>46198</v>
      </c>
      <c r="M999" s="3">
        <v>46192</v>
      </c>
      <c r="N999" s="3">
        <v>46192</v>
      </c>
      <c r="O999" t="s">
        <v>211</v>
      </c>
      <c r="P999" t="s">
        <v>55</v>
      </c>
      <c r="Q999">
        <v>1124</v>
      </c>
      <c r="S999" t="s">
        <v>1444</v>
      </c>
      <c r="T999" t="s">
        <v>1429</v>
      </c>
      <c r="U999">
        <v>1126</v>
      </c>
      <c r="V999" t="s">
        <v>61</v>
      </c>
      <c r="W999">
        <v>13.4</v>
      </c>
      <c r="X999" t="s">
        <v>57</v>
      </c>
      <c r="Z999" t="s">
        <v>1444</v>
      </c>
      <c r="AA999" t="s">
        <v>131</v>
      </c>
      <c r="AE999">
        <v>1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1</v>
      </c>
      <c r="AM999">
        <v>0</v>
      </c>
      <c r="AN999">
        <v>0</v>
      </c>
      <c r="AO999">
        <v>0</v>
      </c>
      <c r="AP999">
        <v>0</v>
      </c>
    </row>
    <row r="1000" spans="1:42" x14ac:dyDescent="0.25">
      <c r="A1000">
        <v>1126</v>
      </c>
      <c r="B1000" t="s">
        <v>1829</v>
      </c>
      <c r="C1000" t="s">
        <v>1825</v>
      </c>
      <c r="D1000" t="s">
        <v>133</v>
      </c>
      <c r="E1000" s="4">
        <v>1</v>
      </c>
      <c r="F1000" t="s">
        <v>63</v>
      </c>
      <c r="G1000" t="s">
        <v>63</v>
      </c>
      <c r="H1000" s="3">
        <v>46189</v>
      </c>
      <c r="I1000" s="3">
        <v>46189</v>
      </c>
      <c r="J1000" t="s">
        <v>134</v>
      </c>
      <c r="K1000" s="3">
        <v>46199</v>
      </c>
      <c r="L1000" s="3">
        <v>46199</v>
      </c>
      <c r="M1000" s="3">
        <v>46189</v>
      </c>
      <c r="N1000" s="3">
        <v>46189</v>
      </c>
      <c r="O1000" t="s">
        <v>576</v>
      </c>
      <c r="P1000" t="s">
        <v>55</v>
      </c>
      <c r="Q1000">
        <v>1125</v>
      </c>
      <c r="S1000" t="s">
        <v>124</v>
      </c>
      <c r="T1000" t="s">
        <v>1429</v>
      </c>
      <c r="V1000" t="s">
        <v>61</v>
      </c>
      <c r="W1000">
        <v>13.4</v>
      </c>
      <c r="X1000" t="s">
        <v>57</v>
      </c>
      <c r="Z1000" t="s">
        <v>124</v>
      </c>
      <c r="AA1000" t="s">
        <v>131</v>
      </c>
      <c r="AE1000">
        <v>1</v>
      </c>
      <c r="AF1000">
        <v>0</v>
      </c>
      <c r="AG1000">
        <v>0</v>
      </c>
      <c r="AH1000">
        <v>0</v>
      </c>
      <c r="AI1000">
        <v>1</v>
      </c>
      <c r="AJ1000">
        <v>0</v>
      </c>
      <c r="AK1000">
        <v>0</v>
      </c>
      <c r="AL1000">
        <v>0</v>
      </c>
      <c r="AM1000">
        <v>0</v>
      </c>
      <c r="AN1000">
        <v>1</v>
      </c>
      <c r="AO1000">
        <v>0</v>
      </c>
      <c r="AP1000">
        <v>0</v>
      </c>
    </row>
    <row r="1001" spans="1:42" x14ac:dyDescent="0.25">
      <c r="A1001">
        <v>1127</v>
      </c>
      <c r="B1001" t="s">
        <v>1830</v>
      </c>
      <c r="C1001" t="s">
        <v>1782</v>
      </c>
      <c r="D1001" t="s">
        <v>1831</v>
      </c>
      <c r="E1001" s="4">
        <v>1</v>
      </c>
      <c r="F1001" t="s">
        <v>214</v>
      </c>
      <c r="G1001" t="s">
        <v>214</v>
      </c>
      <c r="H1001" s="3">
        <v>46185</v>
      </c>
      <c r="I1001" s="3">
        <v>46192</v>
      </c>
      <c r="J1001" t="s">
        <v>576</v>
      </c>
      <c r="K1001" s="3">
        <v>46199</v>
      </c>
      <c r="L1001" s="3">
        <v>46189</v>
      </c>
      <c r="M1001" s="3">
        <v>46192</v>
      </c>
      <c r="N1001" s="3">
        <v>46192</v>
      </c>
      <c r="O1001" t="s">
        <v>571</v>
      </c>
      <c r="P1001" t="s">
        <v>55</v>
      </c>
      <c r="T1001" t="s">
        <v>1429</v>
      </c>
      <c r="V1001" t="s">
        <v>114</v>
      </c>
      <c r="X1001" t="s">
        <v>57</v>
      </c>
      <c r="AA1001" t="s">
        <v>50</v>
      </c>
      <c r="AB1001" t="s">
        <v>94</v>
      </c>
      <c r="AE1001">
        <v>1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</row>
    <row r="1002" spans="1:42" x14ac:dyDescent="0.25">
      <c r="A1002">
        <v>1128</v>
      </c>
      <c r="B1002" t="s">
        <v>1832</v>
      </c>
      <c r="C1002" t="s">
        <v>1833</v>
      </c>
      <c r="D1002" t="s">
        <v>117</v>
      </c>
      <c r="E1002" s="4">
        <v>1</v>
      </c>
      <c r="F1002" t="s">
        <v>101</v>
      </c>
      <c r="G1002" t="s">
        <v>101</v>
      </c>
      <c r="H1002" s="3">
        <v>46185</v>
      </c>
      <c r="I1002" s="3">
        <v>46190</v>
      </c>
      <c r="J1002" t="s">
        <v>576</v>
      </c>
      <c r="K1002" s="3">
        <v>46192</v>
      </c>
      <c r="L1002" s="3">
        <v>46189</v>
      </c>
      <c r="M1002" s="3">
        <v>46190</v>
      </c>
      <c r="N1002" s="3">
        <v>46190</v>
      </c>
      <c r="O1002" t="s">
        <v>571</v>
      </c>
      <c r="P1002" t="s">
        <v>55</v>
      </c>
      <c r="Q1002" t="s">
        <v>1826</v>
      </c>
      <c r="S1002" t="s">
        <v>1444</v>
      </c>
      <c r="T1002" t="s">
        <v>1429</v>
      </c>
      <c r="U1002">
        <v>1129</v>
      </c>
      <c r="V1002" t="s">
        <v>101</v>
      </c>
      <c r="W1002">
        <v>13.4</v>
      </c>
      <c r="X1002" t="s">
        <v>57</v>
      </c>
      <c r="Z1002" t="s">
        <v>1444</v>
      </c>
      <c r="AA1002" t="s">
        <v>217</v>
      </c>
      <c r="AE1002">
        <v>1</v>
      </c>
      <c r="AF1002">
        <v>1</v>
      </c>
      <c r="AG1002">
        <v>1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1</v>
      </c>
    </row>
    <row r="1003" spans="1:42" x14ac:dyDescent="0.25">
      <c r="A1003">
        <v>1129</v>
      </c>
      <c r="B1003" t="s">
        <v>1834</v>
      </c>
      <c r="C1003" t="s">
        <v>1833</v>
      </c>
      <c r="D1003" t="s">
        <v>121</v>
      </c>
      <c r="E1003" s="4">
        <v>1</v>
      </c>
      <c r="F1003" t="s">
        <v>61</v>
      </c>
      <c r="G1003" t="s">
        <v>61</v>
      </c>
      <c r="H1003" s="3">
        <v>46191</v>
      </c>
      <c r="I1003" s="3">
        <v>46191</v>
      </c>
      <c r="J1003" t="s">
        <v>219</v>
      </c>
      <c r="K1003" s="3">
        <v>46197</v>
      </c>
      <c r="L1003" s="3">
        <v>46195</v>
      </c>
      <c r="M1003" s="3">
        <v>46191</v>
      </c>
      <c r="N1003" s="3">
        <v>46191</v>
      </c>
      <c r="O1003" t="s">
        <v>480</v>
      </c>
      <c r="P1003" t="s">
        <v>55</v>
      </c>
      <c r="Q1003">
        <v>1128</v>
      </c>
      <c r="S1003" t="s">
        <v>124</v>
      </c>
      <c r="T1003" t="s">
        <v>1429</v>
      </c>
      <c r="U1003">
        <v>1130</v>
      </c>
      <c r="V1003" t="s">
        <v>122</v>
      </c>
      <c r="W1003">
        <v>13.4</v>
      </c>
      <c r="X1003" t="s">
        <v>57</v>
      </c>
      <c r="Z1003" t="s">
        <v>124</v>
      </c>
      <c r="AA1003" t="s">
        <v>131</v>
      </c>
      <c r="AE1003">
        <v>1</v>
      </c>
      <c r="AF1003">
        <v>0</v>
      </c>
      <c r="AG1003">
        <v>0</v>
      </c>
      <c r="AH1003">
        <v>0</v>
      </c>
      <c r="AI1003">
        <v>0</v>
      </c>
      <c r="AJ1003">
        <v>1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</row>
    <row r="1004" spans="1:42" x14ac:dyDescent="0.25">
      <c r="A1004">
        <v>1130</v>
      </c>
      <c r="B1004" t="s">
        <v>1835</v>
      </c>
      <c r="C1004" t="s">
        <v>1833</v>
      </c>
      <c r="D1004" t="s">
        <v>126</v>
      </c>
      <c r="E1004" s="4">
        <v>1</v>
      </c>
      <c r="F1004" t="s">
        <v>61</v>
      </c>
      <c r="G1004" t="s">
        <v>61</v>
      </c>
      <c r="H1004" s="3">
        <v>46192</v>
      </c>
      <c r="I1004" s="3">
        <v>46192</v>
      </c>
      <c r="J1004" t="s">
        <v>128</v>
      </c>
      <c r="K1004" s="3">
        <v>46198</v>
      </c>
      <c r="L1004" s="3">
        <v>46198</v>
      </c>
      <c r="M1004" s="3">
        <v>46192</v>
      </c>
      <c r="N1004" s="3">
        <v>46192</v>
      </c>
      <c r="O1004" t="s">
        <v>211</v>
      </c>
      <c r="P1004" t="s">
        <v>55</v>
      </c>
      <c r="Q1004">
        <v>1129</v>
      </c>
      <c r="S1004" t="s">
        <v>1444</v>
      </c>
      <c r="T1004" t="s">
        <v>1429</v>
      </c>
      <c r="U1004">
        <v>1131</v>
      </c>
      <c r="V1004" t="s">
        <v>61</v>
      </c>
      <c r="W1004">
        <v>13.4</v>
      </c>
      <c r="X1004" t="s">
        <v>57</v>
      </c>
      <c r="Z1004" t="s">
        <v>1444</v>
      </c>
      <c r="AA1004" t="s">
        <v>131</v>
      </c>
      <c r="AE1004">
        <v>1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1</v>
      </c>
      <c r="AM1004">
        <v>0</v>
      </c>
      <c r="AN1004">
        <v>0</v>
      </c>
      <c r="AO1004">
        <v>0</v>
      </c>
      <c r="AP1004">
        <v>0</v>
      </c>
    </row>
    <row r="1005" spans="1:42" x14ac:dyDescent="0.25">
      <c r="A1005">
        <v>1131</v>
      </c>
      <c r="B1005" t="s">
        <v>1836</v>
      </c>
      <c r="C1005" t="s">
        <v>1833</v>
      </c>
      <c r="D1005" t="s">
        <v>133</v>
      </c>
      <c r="E1005" s="4">
        <v>1</v>
      </c>
      <c r="F1005" t="s">
        <v>63</v>
      </c>
      <c r="G1005" t="s">
        <v>63</v>
      </c>
      <c r="H1005" s="3">
        <v>46189</v>
      </c>
      <c r="I1005" s="3">
        <v>46189</v>
      </c>
      <c r="J1005" t="s">
        <v>134</v>
      </c>
      <c r="K1005" s="3">
        <v>46199</v>
      </c>
      <c r="L1005" s="3">
        <v>46199</v>
      </c>
      <c r="M1005" s="3">
        <v>46189</v>
      </c>
      <c r="N1005" s="3">
        <v>46189</v>
      </c>
      <c r="O1005" t="s">
        <v>576</v>
      </c>
      <c r="P1005" t="s">
        <v>55</v>
      </c>
      <c r="Q1005">
        <v>1130</v>
      </c>
      <c r="S1005" t="s">
        <v>124</v>
      </c>
      <c r="T1005" t="s">
        <v>1429</v>
      </c>
      <c r="V1005" t="s">
        <v>61</v>
      </c>
      <c r="W1005">
        <v>13.4</v>
      </c>
      <c r="X1005" t="s">
        <v>57</v>
      </c>
      <c r="Z1005" t="s">
        <v>124</v>
      </c>
      <c r="AA1005" t="s">
        <v>131</v>
      </c>
      <c r="AE1005">
        <v>1</v>
      </c>
      <c r="AF1005">
        <v>0</v>
      </c>
      <c r="AG1005">
        <v>0</v>
      </c>
      <c r="AH1005">
        <v>0</v>
      </c>
      <c r="AI1005">
        <v>1</v>
      </c>
      <c r="AJ1005">
        <v>0</v>
      </c>
      <c r="AK1005">
        <v>0</v>
      </c>
      <c r="AL1005">
        <v>0</v>
      </c>
      <c r="AM1005">
        <v>0</v>
      </c>
      <c r="AN1005">
        <v>1</v>
      </c>
      <c r="AO1005">
        <v>0</v>
      </c>
      <c r="AP1005">
        <v>0</v>
      </c>
    </row>
    <row r="1006" spans="1:42" x14ac:dyDescent="0.25">
      <c r="A1006">
        <v>1132</v>
      </c>
      <c r="B1006" t="s">
        <v>1837</v>
      </c>
      <c r="C1006" t="s">
        <v>1782</v>
      </c>
      <c r="D1006" t="s">
        <v>1838</v>
      </c>
      <c r="E1006" s="4">
        <v>1</v>
      </c>
      <c r="F1006" t="s">
        <v>214</v>
      </c>
      <c r="G1006" t="s">
        <v>214</v>
      </c>
      <c r="H1006" s="3">
        <v>46185</v>
      </c>
      <c r="I1006" s="3">
        <v>46192</v>
      </c>
      <c r="J1006" t="s">
        <v>576</v>
      </c>
      <c r="K1006" s="3">
        <v>46199</v>
      </c>
      <c r="L1006" s="3">
        <v>46189</v>
      </c>
      <c r="M1006" s="3">
        <v>46192</v>
      </c>
      <c r="N1006" s="3">
        <v>46192</v>
      </c>
      <c r="O1006" t="s">
        <v>571</v>
      </c>
      <c r="P1006" t="s">
        <v>55</v>
      </c>
      <c r="T1006" t="s">
        <v>1429</v>
      </c>
      <c r="V1006" t="s">
        <v>114</v>
      </c>
      <c r="X1006" t="s">
        <v>57</v>
      </c>
      <c r="AA1006" t="s">
        <v>50</v>
      </c>
      <c r="AB1006" t="s">
        <v>94</v>
      </c>
      <c r="AE1006">
        <v>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</row>
    <row r="1007" spans="1:42" x14ac:dyDescent="0.25">
      <c r="A1007">
        <v>1133</v>
      </c>
      <c r="B1007" t="s">
        <v>1839</v>
      </c>
      <c r="C1007" t="s">
        <v>1840</v>
      </c>
      <c r="D1007" t="s">
        <v>117</v>
      </c>
      <c r="E1007" s="4">
        <v>1</v>
      </c>
      <c r="F1007" t="s">
        <v>101</v>
      </c>
      <c r="G1007" t="s">
        <v>101</v>
      </c>
      <c r="H1007" s="3">
        <v>46185</v>
      </c>
      <c r="I1007" s="3">
        <v>46190</v>
      </c>
      <c r="J1007" t="s">
        <v>576</v>
      </c>
      <c r="K1007" s="3">
        <v>46192</v>
      </c>
      <c r="L1007" s="3">
        <v>46189</v>
      </c>
      <c r="M1007" s="3">
        <v>46190</v>
      </c>
      <c r="N1007" s="3">
        <v>46190</v>
      </c>
      <c r="O1007" t="s">
        <v>571</v>
      </c>
      <c r="P1007" t="s">
        <v>55</v>
      </c>
      <c r="Q1007" t="s">
        <v>1826</v>
      </c>
      <c r="S1007" t="s">
        <v>1444</v>
      </c>
      <c r="T1007" t="s">
        <v>1429</v>
      </c>
      <c r="U1007">
        <v>1134</v>
      </c>
      <c r="V1007" t="s">
        <v>101</v>
      </c>
      <c r="W1007">
        <v>13.4</v>
      </c>
      <c r="X1007" t="s">
        <v>57</v>
      </c>
      <c r="Z1007" t="s">
        <v>1444</v>
      </c>
      <c r="AA1007" t="s">
        <v>217</v>
      </c>
      <c r="AE1007">
        <v>1</v>
      </c>
      <c r="AF1007">
        <v>1</v>
      </c>
      <c r="AG1007">
        <v>1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1</v>
      </c>
    </row>
    <row r="1008" spans="1:42" x14ac:dyDescent="0.25">
      <c r="A1008">
        <v>1134</v>
      </c>
      <c r="B1008" t="s">
        <v>1841</v>
      </c>
      <c r="C1008" t="s">
        <v>1840</v>
      </c>
      <c r="D1008" t="s">
        <v>121</v>
      </c>
      <c r="E1008" s="4">
        <v>1</v>
      </c>
      <c r="F1008" t="s">
        <v>61</v>
      </c>
      <c r="G1008" t="s">
        <v>61</v>
      </c>
      <c r="H1008" s="3">
        <v>46191</v>
      </c>
      <c r="I1008" s="3">
        <v>46191</v>
      </c>
      <c r="J1008" t="s">
        <v>219</v>
      </c>
      <c r="K1008" s="3">
        <v>46197</v>
      </c>
      <c r="L1008" s="3">
        <v>46195</v>
      </c>
      <c r="M1008" s="3">
        <v>46191</v>
      </c>
      <c r="N1008" s="3">
        <v>46191</v>
      </c>
      <c r="O1008" t="s">
        <v>480</v>
      </c>
      <c r="P1008" t="s">
        <v>55</v>
      </c>
      <c r="Q1008">
        <v>1133</v>
      </c>
      <c r="S1008" t="s">
        <v>124</v>
      </c>
      <c r="T1008" t="s">
        <v>1429</v>
      </c>
      <c r="U1008">
        <v>1135</v>
      </c>
      <c r="V1008" t="s">
        <v>122</v>
      </c>
      <c r="W1008">
        <v>13.4</v>
      </c>
      <c r="X1008" t="s">
        <v>57</v>
      </c>
      <c r="Z1008" t="s">
        <v>124</v>
      </c>
      <c r="AA1008" t="s">
        <v>131</v>
      </c>
      <c r="AE1008">
        <v>1</v>
      </c>
      <c r="AF1008">
        <v>0</v>
      </c>
      <c r="AG1008">
        <v>0</v>
      </c>
      <c r="AH1008">
        <v>0</v>
      </c>
      <c r="AI1008">
        <v>0</v>
      </c>
      <c r="AJ1008">
        <v>1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</row>
    <row r="1009" spans="1:42" x14ac:dyDescent="0.25">
      <c r="A1009">
        <v>1135</v>
      </c>
      <c r="B1009" t="s">
        <v>1842</v>
      </c>
      <c r="C1009" t="s">
        <v>1840</v>
      </c>
      <c r="D1009" t="s">
        <v>126</v>
      </c>
      <c r="E1009" s="4">
        <v>1</v>
      </c>
      <c r="F1009" t="s">
        <v>61</v>
      </c>
      <c r="G1009" t="s">
        <v>61</v>
      </c>
      <c r="H1009" s="3">
        <v>46192</v>
      </c>
      <c r="I1009" s="3">
        <v>46192</v>
      </c>
      <c r="J1009" t="s">
        <v>128</v>
      </c>
      <c r="K1009" s="3">
        <v>46198</v>
      </c>
      <c r="L1009" s="3">
        <v>46198</v>
      </c>
      <c r="M1009" s="3">
        <v>46192</v>
      </c>
      <c r="N1009" s="3">
        <v>46192</v>
      </c>
      <c r="O1009" t="s">
        <v>211</v>
      </c>
      <c r="P1009" t="s">
        <v>55</v>
      </c>
      <c r="Q1009">
        <v>1134</v>
      </c>
      <c r="S1009" t="s">
        <v>1444</v>
      </c>
      <c r="T1009" t="s">
        <v>1429</v>
      </c>
      <c r="U1009">
        <v>1136</v>
      </c>
      <c r="V1009" t="s">
        <v>61</v>
      </c>
      <c r="W1009">
        <v>13.4</v>
      </c>
      <c r="X1009" t="s">
        <v>57</v>
      </c>
      <c r="Z1009" t="s">
        <v>1444</v>
      </c>
      <c r="AA1009" t="s">
        <v>131</v>
      </c>
      <c r="AE1009">
        <v>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1</v>
      </c>
      <c r="AM1009">
        <v>0</v>
      </c>
      <c r="AN1009">
        <v>0</v>
      </c>
      <c r="AO1009">
        <v>0</v>
      </c>
      <c r="AP1009">
        <v>0</v>
      </c>
    </row>
    <row r="1010" spans="1:42" x14ac:dyDescent="0.25">
      <c r="A1010">
        <v>1136</v>
      </c>
      <c r="B1010" t="s">
        <v>1843</v>
      </c>
      <c r="C1010" t="s">
        <v>1840</v>
      </c>
      <c r="D1010" t="s">
        <v>133</v>
      </c>
      <c r="E1010" s="4">
        <v>1</v>
      </c>
      <c r="F1010" t="s">
        <v>63</v>
      </c>
      <c r="G1010" t="s">
        <v>63</v>
      </c>
      <c r="H1010" s="3">
        <v>46189</v>
      </c>
      <c r="I1010" s="3">
        <v>46189</v>
      </c>
      <c r="J1010" t="s">
        <v>134</v>
      </c>
      <c r="K1010" s="3">
        <v>46199</v>
      </c>
      <c r="L1010" s="3">
        <v>46199</v>
      </c>
      <c r="M1010" s="3">
        <v>46189</v>
      </c>
      <c r="N1010" s="3">
        <v>46189</v>
      </c>
      <c r="O1010" t="s">
        <v>576</v>
      </c>
      <c r="P1010" t="s">
        <v>55</v>
      </c>
      <c r="Q1010">
        <v>1135</v>
      </c>
      <c r="S1010" t="s">
        <v>124</v>
      </c>
      <c r="T1010" t="s">
        <v>1429</v>
      </c>
      <c r="V1010" t="s">
        <v>61</v>
      </c>
      <c r="W1010">
        <v>13.4</v>
      </c>
      <c r="X1010" t="s">
        <v>57</v>
      </c>
      <c r="Z1010" t="s">
        <v>124</v>
      </c>
      <c r="AA1010" t="s">
        <v>131</v>
      </c>
      <c r="AE1010">
        <v>1</v>
      </c>
      <c r="AF1010">
        <v>0</v>
      </c>
      <c r="AG1010">
        <v>0</v>
      </c>
      <c r="AH1010">
        <v>0</v>
      </c>
      <c r="AI1010">
        <v>1</v>
      </c>
      <c r="AJ1010">
        <v>0</v>
      </c>
      <c r="AK1010">
        <v>0</v>
      </c>
      <c r="AL1010">
        <v>0</v>
      </c>
      <c r="AM1010">
        <v>0</v>
      </c>
      <c r="AN1010">
        <v>1</v>
      </c>
      <c r="AO1010">
        <v>0</v>
      </c>
      <c r="AP1010">
        <v>0</v>
      </c>
    </row>
    <row r="1011" spans="1:42" x14ac:dyDescent="0.25">
      <c r="A1011">
        <v>1137</v>
      </c>
      <c r="B1011" t="s">
        <v>1844</v>
      </c>
      <c r="C1011" t="s">
        <v>1782</v>
      </c>
      <c r="D1011" t="s">
        <v>1845</v>
      </c>
      <c r="E1011" s="4">
        <v>1</v>
      </c>
      <c r="F1011" t="s">
        <v>214</v>
      </c>
      <c r="G1011" t="s">
        <v>214</v>
      </c>
      <c r="H1011" s="3">
        <v>46185</v>
      </c>
      <c r="I1011" s="3">
        <v>46192</v>
      </c>
      <c r="J1011" t="s">
        <v>571</v>
      </c>
      <c r="K1011" s="3">
        <v>46192</v>
      </c>
      <c r="L1011" s="3">
        <v>46185</v>
      </c>
      <c r="M1011" s="3">
        <v>46192</v>
      </c>
      <c r="N1011" s="3">
        <v>46192</v>
      </c>
      <c r="O1011" t="s">
        <v>571</v>
      </c>
      <c r="P1011" t="s">
        <v>55</v>
      </c>
      <c r="T1011" t="s">
        <v>1429</v>
      </c>
      <c r="V1011" t="s">
        <v>114</v>
      </c>
      <c r="X1011" t="s">
        <v>57</v>
      </c>
      <c r="AA1011" t="s">
        <v>50</v>
      </c>
      <c r="AB1011" t="s">
        <v>94</v>
      </c>
      <c r="AE1011">
        <v>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</row>
    <row r="1012" spans="1:42" x14ac:dyDescent="0.25">
      <c r="A1012">
        <v>1138</v>
      </c>
      <c r="B1012" t="s">
        <v>1846</v>
      </c>
      <c r="C1012" t="s">
        <v>1847</v>
      </c>
      <c r="D1012" t="s">
        <v>117</v>
      </c>
      <c r="E1012" s="4">
        <v>1</v>
      </c>
      <c r="F1012" t="s">
        <v>101</v>
      </c>
      <c r="G1012" t="s">
        <v>101</v>
      </c>
      <c r="H1012" s="3">
        <v>46185</v>
      </c>
      <c r="I1012" s="3">
        <v>46190</v>
      </c>
      <c r="J1012" t="s">
        <v>571</v>
      </c>
      <c r="K1012" s="3">
        <v>46190</v>
      </c>
      <c r="L1012" s="3">
        <v>46185</v>
      </c>
      <c r="M1012" s="3">
        <v>46190</v>
      </c>
      <c r="N1012" s="3">
        <v>46190</v>
      </c>
      <c r="O1012" t="s">
        <v>571</v>
      </c>
      <c r="P1012" t="s">
        <v>55</v>
      </c>
      <c r="Q1012" t="s">
        <v>1826</v>
      </c>
      <c r="S1012" t="s">
        <v>1444</v>
      </c>
      <c r="T1012" t="s">
        <v>1429</v>
      </c>
      <c r="U1012">
        <v>1139</v>
      </c>
      <c r="V1012" t="s">
        <v>101</v>
      </c>
      <c r="W1012">
        <v>13.4</v>
      </c>
      <c r="X1012" t="s">
        <v>57</v>
      </c>
      <c r="Z1012" t="s">
        <v>1444</v>
      </c>
      <c r="AA1012" t="s">
        <v>217</v>
      </c>
      <c r="AE1012">
        <v>1</v>
      </c>
      <c r="AF1012">
        <v>1</v>
      </c>
      <c r="AG1012">
        <v>1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1</v>
      </c>
    </row>
    <row r="1013" spans="1:42" x14ac:dyDescent="0.25">
      <c r="A1013">
        <v>1139</v>
      </c>
      <c r="B1013" t="s">
        <v>1848</v>
      </c>
      <c r="C1013" t="s">
        <v>1847</v>
      </c>
      <c r="D1013" t="s">
        <v>121</v>
      </c>
      <c r="E1013" s="4">
        <v>1</v>
      </c>
      <c r="F1013" t="s">
        <v>61</v>
      </c>
      <c r="G1013" t="s">
        <v>61</v>
      </c>
      <c r="H1013" s="3">
        <v>46191</v>
      </c>
      <c r="I1013" s="3">
        <v>46191</v>
      </c>
      <c r="J1013" t="s">
        <v>480</v>
      </c>
      <c r="K1013" s="3">
        <v>46191</v>
      </c>
      <c r="L1013" s="3">
        <v>46191</v>
      </c>
      <c r="M1013" s="3">
        <v>46191</v>
      </c>
      <c r="N1013" s="3">
        <v>46191</v>
      </c>
      <c r="O1013" t="s">
        <v>480</v>
      </c>
      <c r="P1013" t="s">
        <v>55</v>
      </c>
      <c r="Q1013">
        <v>1138</v>
      </c>
      <c r="S1013" t="s">
        <v>124</v>
      </c>
      <c r="T1013" t="s">
        <v>1429</v>
      </c>
      <c r="U1013">
        <v>1140</v>
      </c>
      <c r="V1013" t="s">
        <v>122</v>
      </c>
      <c r="W1013">
        <v>13.4</v>
      </c>
      <c r="X1013" t="s">
        <v>57</v>
      </c>
      <c r="Z1013" t="s">
        <v>124</v>
      </c>
      <c r="AA1013" t="s">
        <v>131</v>
      </c>
      <c r="AE1013">
        <v>1</v>
      </c>
      <c r="AF1013">
        <v>0</v>
      </c>
      <c r="AG1013">
        <v>0</v>
      </c>
      <c r="AH1013">
        <v>0</v>
      </c>
      <c r="AI1013">
        <v>0</v>
      </c>
      <c r="AJ1013">
        <v>1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</row>
    <row r="1014" spans="1:42" x14ac:dyDescent="0.25">
      <c r="A1014">
        <v>1140</v>
      </c>
      <c r="B1014" t="s">
        <v>1849</v>
      </c>
      <c r="C1014" t="s">
        <v>1847</v>
      </c>
      <c r="D1014" t="s">
        <v>126</v>
      </c>
      <c r="E1014" s="4">
        <v>1</v>
      </c>
      <c r="F1014" t="s">
        <v>61</v>
      </c>
      <c r="G1014" t="s">
        <v>61</v>
      </c>
      <c r="H1014" s="3">
        <v>46192</v>
      </c>
      <c r="I1014" s="3">
        <v>46192</v>
      </c>
      <c r="J1014" t="s">
        <v>211</v>
      </c>
      <c r="K1014" s="3">
        <v>46192</v>
      </c>
      <c r="L1014" s="3">
        <v>46192</v>
      </c>
      <c r="M1014" s="3">
        <v>46192</v>
      </c>
      <c r="N1014" s="3">
        <v>46192</v>
      </c>
      <c r="O1014" t="s">
        <v>211</v>
      </c>
      <c r="P1014" t="s">
        <v>55</v>
      </c>
      <c r="Q1014">
        <v>1139</v>
      </c>
      <c r="S1014" t="s">
        <v>1444</v>
      </c>
      <c r="T1014" t="s">
        <v>1429</v>
      </c>
      <c r="U1014">
        <v>1141</v>
      </c>
      <c r="V1014" t="s">
        <v>61</v>
      </c>
      <c r="W1014">
        <v>13.4</v>
      </c>
      <c r="X1014" t="s">
        <v>57</v>
      </c>
      <c r="Z1014" t="s">
        <v>1444</v>
      </c>
      <c r="AA1014" t="s">
        <v>131</v>
      </c>
      <c r="AE1014">
        <v>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1</v>
      </c>
      <c r="AM1014">
        <v>0</v>
      </c>
      <c r="AN1014">
        <v>0</v>
      </c>
      <c r="AO1014">
        <v>0</v>
      </c>
      <c r="AP1014">
        <v>0</v>
      </c>
    </row>
    <row r="1015" spans="1:42" x14ac:dyDescent="0.25">
      <c r="A1015">
        <v>1141</v>
      </c>
      <c r="B1015" t="s">
        <v>1850</v>
      </c>
      <c r="C1015" t="s">
        <v>1847</v>
      </c>
      <c r="D1015" t="s">
        <v>133</v>
      </c>
      <c r="E1015" s="4">
        <v>1</v>
      </c>
      <c r="F1015" t="s">
        <v>63</v>
      </c>
      <c r="G1015" t="s">
        <v>63</v>
      </c>
      <c r="H1015" s="3">
        <v>46192</v>
      </c>
      <c r="I1015" s="3">
        <v>46192</v>
      </c>
      <c r="J1015" t="s">
        <v>576</v>
      </c>
      <c r="K1015" s="3">
        <v>46189</v>
      </c>
      <c r="L1015" s="3">
        <v>46189</v>
      </c>
      <c r="M1015" s="3">
        <v>46192</v>
      </c>
      <c r="N1015" s="3">
        <v>46192</v>
      </c>
      <c r="O1015" t="s">
        <v>211</v>
      </c>
      <c r="P1015" t="s">
        <v>55</v>
      </c>
      <c r="Q1015">
        <v>1140</v>
      </c>
      <c r="S1015" t="s">
        <v>124</v>
      </c>
      <c r="T1015" t="s">
        <v>1429</v>
      </c>
      <c r="V1015" t="s">
        <v>61</v>
      </c>
      <c r="W1015">
        <v>13.4</v>
      </c>
      <c r="X1015" t="s">
        <v>57</v>
      </c>
      <c r="Z1015" t="s">
        <v>124</v>
      </c>
      <c r="AA1015" t="s">
        <v>131</v>
      </c>
      <c r="AE1015">
        <v>1</v>
      </c>
      <c r="AF1015">
        <v>0</v>
      </c>
      <c r="AG1015">
        <v>0</v>
      </c>
      <c r="AH1015">
        <v>0</v>
      </c>
      <c r="AI1015">
        <v>1</v>
      </c>
      <c r="AJ1015">
        <v>0</v>
      </c>
      <c r="AK1015">
        <v>0</v>
      </c>
      <c r="AL1015">
        <v>0</v>
      </c>
      <c r="AM1015">
        <v>0</v>
      </c>
      <c r="AN1015">
        <v>1</v>
      </c>
      <c r="AO1015">
        <v>0</v>
      </c>
      <c r="AP1015">
        <v>0</v>
      </c>
    </row>
    <row r="1016" spans="1:42" x14ac:dyDescent="0.25">
      <c r="A1016">
        <v>1142</v>
      </c>
      <c r="B1016" t="s">
        <v>1851</v>
      </c>
      <c r="C1016" t="s">
        <v>1429</v>
      </c>
      <c r="D1016" t="s">
        <v>1852</v>
      </c>
      <c r="E1016" s="4">
        <v>1</v>
      </c>
      <c r="F1016" t="s">
        <v>1038</v>
      </c>
      <c r="G1016" t="s">
        <v>1038</v>
      </c>
      <c r="H1016" s="3">
        <v>46156</v>
      </c>
      <c r="I1016" s="3">
        <v>46174</v>
      </c>
      <c r="J1016" t="s">
        <v>741</v>
      </c>
      <c r="K1016" s="3">
        <v>46199</v>
      </c>
      <c r="L1016" s="3">
        <v>46154</v>
      </c>
      <c r="M1016" s="3">
        <v>46174</v>
      </c>
      <c r="N1016" s="3">
        <v>46174</v>
      </c>
      <c r="O1016" t="s">
        <v>406</v>
      </c>
      <c r="P1016" t="s">
        <v>55</v>
      </c>
      <c r="T1016" t="s">
        <v>1429</v>
      </c>
      <c r="V1016" t="s">
        <v>433</v>
      </c>
      <c r="X1016" t="s">
        <v>57</v>
      </c>
      <c r="AA1016" t="s">
        <v>50</v>
      </c>
      <c r="AB1016" t="s">
        <v>94</v>
      </c>
      <c r="AE1016">
        <v>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</row>
    <row r="1017" spans="1:42" x14ac:dyDescent="0.25">
      <c r="A1017">
        <v>1143</v>
      </c>
      <c r="B1017" t="s">
        <v>1853</v>
      </c>
      <c r="C1017" t="s">
        <v>1854</v>
      </c>
      <c r="D1017" t="s">
        <v>1855</v>
      </c>
      <c r="E1017" s="4">
        <v>1</v>
      </c>
      <c r="F1017" t="s">
        <v>210</v>
      </c>
      <c r="G1017" t="s">
        <v>210</v>
      </c>
      <c r="H1017" s="3">
        <v>46156</v>
      </c>
      <c r="I1017" s="3">
        <v>46167</v>
      </c>
      <c r="J1017" t="s">
        <v>741</v>
      </c>
      <c r="K1017" s="3">
        <v>46170</v>
      </c>
      <c r="L1017" s="3">
        <v>46154</v>
      </c>
      <c r="M1017" s="3">
        <v>46167</v>
      </c>
      <c r="N1017" s="3">
        <v>46167</v>
      </c>
      <c r="O1017" t="s">
        <v>406</v>
      </c>
      <c r="P1017" t="s">
        <v>55</v>
      </c>
      <c r="T1017" t="s">
        <v>1429</v>
      </c>
      <c r="V1017" t="s">
        <v>1038</v>
      </c>
      <c r="X1017" t="s">
        <v>57</v>
      </c>
      <c r="AA1017" t="s">
        <v>50</v>
      </c>
      <c r="AB1017" t="s">
        <v>94</v>
      </c>
      <c r="AE1017">
        <v>1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</row>
    <row r="1018" spans="1:42" x14ac:dyDescent="0.25">
      <c r="A1018">
        <v>1144</v>
      </c>
      <c r="B1018" t="s">
        <v>1856</v>
      </c>
      <c r="C1018" t="s">
        <v>1857</v>
      </c>
      <c r="D1018" t="s">
        <v>117</v>
      </c>
      <c r="E1018" s="4">
        <v>1</v>
      </c>
      <c r="F1018" t="s">
        <v>210</v>
      </c>
      <c r="G1018" t="s">
        <v>210</v>
      </c>
      <c r="H1018" s="3">
        <v>46156</v>
      </c>
      <c r="I1018" s="3">
        <v>46167</v>
      </c>
      <c r="J1018" t="s">
        <v>741</v>
      </c>
      <c r="K1018" s="3">
        <v>46167</v>
      </c>
      <c r="L1018" s="3">
        <v>46154</v>
      </c>
      <c r="M1018" s="3">
        <v>46167</v>
      </c>
      <c r="N1018" s="3">
        <v>46167</v>
      </c>
      <c r="O1018" t="s">
        <v>406</v>
      </c>
      <c r="P1018" t="s">
        <v>55</v>
      </c>
      <c r="Q1018">
        <v>359</v>
      </c>
      <c r="S1018" t="s">
        <v>1444</v>
      </c>
      <c r="T1018" t="s">
        <v>1429</v>
      </c>
      <c r="U1018" t="s">
        <v>1858</v>
      </c>
      <c r="V1018" t="s">
        <v>151</v>
      </c>
      <c r="W1018">
        <v>13.4</v>
      </c>
      <c r="X1018" t="s">
        <v>57</v>
      </c>
      <c r="Z1018" t="s">
        <v>1444</v>
      </c>
      <c r="AA1018" t="s">
        <v>93</v>
      </c>
      <c r="AE1018">
        <v>1</v>
      </c>
      <c r="AF1018">
        <v>1</v>
      </c>
      <c r="AG1018">
        <v>1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1</v>
      </c>
    </row>
    <row r="1019" spans="1:42" x14ac:dyDescent="0.25">
      <c r="A1019">
        <v>1145</v>
      </c>
      <c r="B1019" t="s">
        <v>1859</v>
      </c>
      <c r="C1019" t="s">
        <v>1857</v>
      </c>
      <c r="D1019" t="s">
        <v>121</v>
      </c>
      <c r="E1019" s="4">
        <v>1</v>
      </c>
      <c r="F1019" t="s">
        <v>63</v>
      </c>
      <c r="G1019" t="s">
        <v>63</v>
      </c>
      <c r="H1019" s="3">
        <v>46167</v>
      </c>
      <c r="I1019" s="3">
        <v>46167</v>
      </c>
      <c r="J1019" t="s">
        <v>206</v>
      </c>
      <c r="K1019" s="3">
        <v>46168</v>
      </c>
      <c r="L1019" s="3">
        <v>46168</v>
      </c>
      <c r="M1019" s="3">
        <v>46167</v>
      </c>
      <c r="N1019" s="3">
        <v>46167</v>
      </c>
      <c r="O1019" t="s">
        <v>74</v>
      </c>
      <c r="P1019" t="s">
        <v>55</v>
      </c>
      <c r="Q1019">
        <v>1144</v>
      </c>
      <c r="S1019" t="s">
        <v>124</v>
      </c>
      <c r="T1019" t="s">
        <v>1429</v>
      </c>
      <c r="U1019">
        <v>1146</v>
      </c>
      <c r="V1019" t="s">
        <v>61</v>
      </c>
      <c r="W1019">
        <v>13.4</v>
      </c>
      <c r="X1019" t="s">
        <v>57</v>
      </c>
      <c r="Z1019" t="s">
        <v>124</v>
      </c>
      <c r="AA1019" t="s">
        <v>77</v>
      </c>
      <c r="AE1019">
        <v>1</v>
      </c>
      <c r="AF1019">
        <v>0</v>
      </c>
      <c r="AG1019">
        <v>0</v>
      </c>
      <c r="AH1019">
        <v>0</v>
      </c>
      <c r="AI1019">
        <v>0</v>
      </c>
      <c r="AJ1019">
        <v>1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</row>
    <row r="1020" spans="1:42" x14ac:dyDescent="0.25">
      <c r="A1020">
        <v>1146</v>
      </c>
      <c r="B1020" t="s">
        <v>1860</v>
      </c>
      <c r="C1020" t="s">
        <v>1857</v>
      </c>
      <c r="D1020" t="s">
        <v>126</v>
      </c>
      <c r="E1020" s="4">
        <v>1</v>
      </c>
      <c r="F1020" t="s">
        <v>63</v>
      </c>
      <c r="G1020" t="s">
        <v>63</v>
      </c>
      <c r="H1020" s="3">
        <v>46167</v>
      </c>
      <c r="I1020" s="3">
        <v>46167</v>
      </c>
      <c r="J1020" t="s">
        <v>97</v>
      </c>
      <c r="K1020" s="3">
        <v>46169</v>
      </c>
      <c r="L1020" s="3">
        <v>46169</v>
      </c>
      <c r="M1020" s="3">
        <v>46167</v>
      </c>
      <c r="N1020" s="3">
        <v>46167</v>
      </c>
      <c r="O1020" t="s">
        <v>74</v>
      </c>
      <c r="P1020" t="s">
        <v>55</v>
      </c>
      <c r="Q1020">
        <v>1145</v>
      </c>
      <c r="S1020" t="s">
        <v>1444</v>
      </c>
      <c r="T1020" t="s">
        <v>1429</v>
      </c>
      <c r="U1020">
        <v>1147</v>
      </c>
      <c r="V1020" t="s">
        <v>61</v>
      </c>
      <c r="W1020">
        <v>13.4</v>
      </c>
      <c r="X1020" t="s">
        <v>57</v>
      </c>
      <c r="Z1020" t="s">
        <v>1444</v>
      </c>
      <c r="AA1020" t="s">
        <v>77</v>
      </c>
      <c r="AE1020">
        <v>1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1</v>
      </c>
      <c r="AM1020">
        <v>0</v>
      </c>
      <c r="AN1020">
        <v>0</v>
      </c>
      <c r="AO1020">
        <v>0</v>
      </c>
      <c r="AP1020">
        <v>0</v>
      </c>
    </row>
    <row r="1021" spans="1:42" x14ac:dyDescent="0.25">
      <c r="A1021">
        <v>1147</v>
      </c>
      <c r="B1021" t="s">
        <v>1861</v>
      </c>
      <c r="C1021" t="s">
        <v>1857</v>
      </c>
      <c r="D1021" t="s">
        <v>133</v>
      </c>
      <c r="E1021" s="4">
        <v>1</v>
      </c>
      <c r="F1021" t="s">
        <v>63</v>
      </c>
      <c r="G1021" t="s">
        <v>63</v>
      </c>
      <c r="H1021" s="3">
        <v>46167</v>
      </c>
      <c r="I1021" s="3">
        <v>46167</v>
      </c>
      <c r="J1021" t="s">
        <v>448</v>
      </c>
      <c r="K1021" s="3">
        <v>46170</v>
      </c>
      <c r="L1021" s="3">
        <v>46170</v>
      </c>
      <c r="M1021" s="3">
        <v>46167</v>
      </c>
      <c r="N1021" s="3">
        <v>46167</v>
      </c>
      <c r="O1021" t="s">
        <v>74</v>
      </c>
      <c r="P1021" t="s">
        <v>55</v>
      </c>
      <c r="Q1021">
        <v>1146</v>
      </c>
      <c r="S1021" t="s">
        <v>124</v>
      </c>
      <c r="T1021" t="s">
        <v>1429</v>
      </c>
      <c r="U1021">
        <v>1164</v>
      </c>
      <c r="V1021" t="s">
        <v>61</v>
      </c>
      <c r="W1021">
        <v>13.4</v>
      </c>
      <c r="X1021" t="s">
        <v>57</v>
      </c>
      <c r="Z1021" t="s">
        <v>124</v>
      </c>
      <c r="AA1021" t="s">
        <v>77</v>
      </c>
      <c r="AE1021">
        <v>1</v>
      </c>
      <c r="AF1021">
        <v>0</v>
      </c>
      <c r="AG1021">
        <v>0</v>
      </c>
      <c r="AH1021">
        <v>0</v>
      </c>
      <c r="AI1021">
        <v>1</v>
      </c>
      <c r="AJ1021">
        <v>0</v>
      </c>
      <c r="AK1021">
        <v>0</v>
      </c>
      <c r="AL1021">
        <v>0</v>
      </c>
      <c r="AM1021">
        <v>0</v>
      </c>
      <c r="AN1021">
        <v>1</v>
      </c>
      <c r="AO1021">
        <v>0</v>
      </c>
      <c r="AP1021">
        <v>0</v>
      </c>
    </row>
    <row r="1022" spans="1:42" x14ac:dyDescent="0.25">
      <c r="A1022">
        <v>1148</v>
      </c>
      <c r="B1022" t="s">
        <v>1862</v>
      </c>
      <c r="C1022" t="s">
        <v>1854</v>
      </c>
      <c r="D1022" t="s">
        <v>1863</v>
      </c>
      <c r="E1022" s="4">
        <v>1</v>
      </c>
      <c r="F1022" t="s">
        <v>210</v>
      </c>
      <c r="G1022" t="s">
        <v>210</v>
      </c>
      <c r="H1022" s="3">
        <v>46156</v>
      </c>
      <c r="I1022" s="3">
        <v>46167</v>
      </c>
      <c r="J1022" t="s">
        <v>406</v>
      </c>
      <c r="K1022" s="3">
        <v>46167</v>
      </c>
      <c r="L1022" s="3">
        <v>46156</v>
      </c>
      <c r="M1022" s="3">
        <v>46167</v>
      </c>
      <c r="N1022" s="3">
        <v>46167</v>
      </c>
      <c r="O1022" t="s">
        <v>406</v>
      </c>
      <c r="P1022" t="s">
        <v>55</v>
      </c>
      <c r="T1022" t="s">
        <v>1429</v>
      </c>
      <c r="V1022" t="s">
        <v>1038</v>
      </c>
      <c r="X1022" t="s">
        <v>57</v>
      </c>
      <c r="AA1022" t="s">
        <v>50</v>
      </c>
      <c r="AB1022" t="s">
        <v>94</v>
      </c>
      <c r="AE1022">
        <v>1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</row>
    <row r="1023" spans="1:42" x14ac:dyDescent="0.25">
      <c r="A1023">
        <v>1149</v>
      </c>
      <c r="B1023" t="s">
        <v>1864</v>
      </c>
      <c r="C1023" t="s">
        <v>1865</v>
      </c>
      <c r="D1023" t="s">
        <v>117</v>
      </c>
      <c r="E1023" s="4">
        <v>1</v>
      </c>
      <c r="F1023" t="s">
        <v>210</v>
      </c>
      <c r="G1023" t="s">
        <v>210</v>
      </c>
      <c r="H1023" s="3">
        <v>46156</v>
      </c>
      <c r="I1023" s="3">
        <v>46167</v>
      </c>
      <c r="J1023" t="s">
        <v>406</v>
      </c>
      <c r="K1023" s="3">
        <v>46167</v>
      </c>
      <c r="L1023" s="3">
        <v>46156</v>
      </c>
      <c r="M1023" s="3">
        <v>46167</v>
      </c>
      <c r="N1023" s="3">
        <v>46167</v>
      </c>
      <c r="O1023" t="s">
        <v>406</v>
      </c>
      <c r="P1023" t="s">
        <v>55</v>
      </c>
      <c r="Q1023">
        <v>359</v>
      </c>
      <c r="S1023" t="s">
        <v>1444</v>
      </c>
      <c r="T1023" t="s">
        <v>1429</v>
      </c>
      <c r="U1023" t="s">
        <v>1866</v>
      </c>
      <c r="V1023" t="s">
        <v>151</v>
      </c>
      <c r="W1023">
        <v>13.4</v>
      </c>
      <c r="X1023" t="s">
        <v>57</v>
      </c>
      <c r="Z1023" t="s">
        <v>1444</v>
      </c>
      <c r="AA1023" t="s">
        <v>93</v>
      </c>
      <c r="AE1023">
        <v>1</v>
      </c>
      <c r="AF1023">
        <v>1</v>
      </c>
      <c r="AG1023">
        <v>1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1</v>
      </c>
    </row>
    <row r="1024" spans="1:42" x14ac:dyDescent="0.25">
      <c r="A1024">
        <v>1150</v>
      </c>
      <c r="B1024" t="s">
        <v>1867</v>
      </c>
      <c r="C1024" t="s">
        <v>1865</v>
      </c>
      <c r="D1024" t="s">
        <v>121</v>
      </c>
      <c r="E1024" s="4">
        <v>1</v>
      </c>
      <c r="F1024" t="s">
        <v>63</v>
      </c>
      <c r="G1024" t="s">
        <v>63</v>
      </c>
      <c r="H1024" s="3">
        <v>46167</v>
      </c>
      <c r="I1024" s="3">
        <v>46167</v>
      </c>
      <c r="J1024" t="s">
        <v>74</v>
      </c>
      <c r="K1024" s="3">
        <v>46167</v>
      </c>
      <c r="L1024" s="3">
        <v>46167</v>
      </c>
      <c r="M1024" s="3">
        <v>46167</v>
      </c>
      <c r="N1024" s="3">
        <v>46167</v>
      </c>
      <c r="O1024" t="s">
        <v>74</v>
      </c>
      <c r="P1024" t="s">
        <v>55</v>
      </c>
      <c r="Q1024">
        <v>1149</v>
      </c>
      <c r="S1024" t="s">
        <v>124</v>
      </c>
      <c r="T1024" t="s">
        <v>1429</v>
      </c>
      <c r="U1024">
        <v>1151</v>
      </c>
      <c r="V1024" t="s">
        <v>61</v>
      </c>
      <c r="W1024">
        <v>13.4</v>
      </c>
      <c r="X1024" t="s">
        <v>57</v>
      </c>
      <c r="Z1024" t="s">
        <v>124</v>
      </c>
      <c r="AA1024" t="s">
        <v>77</v>
      </c>
      <c r="AE1024">
        <v>1</v>
      </c>
      <c r="AF1024">
        <v>0</v>
      </c>
      <c r="AG1024">
        <v>0</v>
      </c>
      <c r="AH1024">
        <v>0</v>
      </c>
      <c r="AI1024">
        <v>0</v>
      </c>
      <c r="AJ1024">
        <v>1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</row>
    <row r="1025" spans="1:42" x14ac:dyDescent="0.25">
      <c r="A1025">
        <v>1151</v>
      </c>
      <c r="B1025" t="s">
        <v>1868</v>
      </c>
      <c r="C1025" t="s">
        <v>1865</v>
      </c>
      <c r="D1025" t="s">
        <v>126</v>
      </c>
      <c r="E1025" s="4">
        <v>1</v>
      </c>
      <c r="F1025" t="s">
        <v>63</v>
      </c>
      <c r="G1025" t="s">
        <v>63</v>
      </c>
      <c r="H1025" s="3">
        <v>46167</v>
      </c>
      <c r="I1025" s="3">
        <v>46167</v>
      </c>
      <c r="J1025" t="s">
        <v>74</v>
      </c>
      <c r="K1025" s="3">
        <v>46167</v>
      </c>
      <c r="L1025" s="3">
        <v>46167</v>
      </c>
      <c r="M1025" s="3">
        <v>46167</v>
      </c>
      <c r="N1025" s="3">
        <v>46167</v>
      </c>
      <c r="O1025" t="s">
        <v>74</v>
      </c>
      <c r="P1025" t="s">
        <v>55</v>
      </c>
      <c r="Q1025">
        <v>1150</v>
      </c>
      <c r="S1025" t="s">
        <v>1444</v>
      </c>
      <c r="T1025" t="s">
        <v>1429</v>
      </c>
      <c r="U1025">
        <v>1152</v>
      </c>
      <c r="V1025" t="s">
        <v>61</v>
      </c>
      <c r="W1025">
        <v>13.4</v>
      </c>
      <c r="X1025" t="s">
        <v>57</v>
      </c>
      <c r="Z1025" t="s">
        <v>1444</v>
      </c>
      <c r="AA1025" t="s">
        <v>77</v>
      </c>
      <c r="AE1025">
        <v>1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1</v>
      </c>
      <c r="AM1025">
        <v>0</v>
      </c>
      <c r="AN1025">
        <v>0</v>
      </c>
      <c r="AO1025">
        <v>0</v>
      </c>
      <c r="AP1025">
        <v>0</v>
      </c>
    </row>
    <row r="1026" spans="1:42" x14ac:dyDescent="0.25">
      <c r="A1026">
        <v>1152</v>
      </c>
      <c r="B1026" t="s">
        <v>1869</v>
      </c>
      <c r="C1026" t="s">
        <v>1865</v>
      </c>
      <c r="D1026" t="s">
        <v>133</v>
      </c>
      <c r="E1026" s="4">
        <v>1</v>
      </c>
      <c r="F1026" t="s">
        <v>63</v>
      </c>
      <c r="G1026" t="s">
        <v>63</v>
      </c>
      <c r="H1026" s="3">
        <v>46167</v>
      </c>
      <c r="I1026" s="3">
        <v>46167</v>
      </c>
      <c r="J1026" t="s">
        <v>74</v>
      </c>
      <c r="K1026" s="3">
        <v>46167</v>
      </c>
      <c r="L1026" s="3">
        <v>46167</v>
      </c>
      <c r="M1026" s="3">
        <v>46167</v>
      </c>
      <c r="N1026" s="3">
        <v>46167</v>
      </c>
      <c r="O1026" t="s">
        <v>74</v>
      </c>
      <c r="P1026" t="s">
        <v>55</v>
      </c>
      <c r="Q1026">
        <v>1151</v>
      </c>
      <c r="S1026" t="s">
        <v>124</v>
      </c>
      <c r="T1026" t="s">
        <v>1429</v>
      </c>
      <c r="U1026">
        <v>1164</v>
      </c>
      <c r="V1026" t="s">
        <v>61</v>
      </c>
      <c r="W1026">
        <v>13.4</v>
      </c>
      <c r="X1026" t="s">
        <v>57</v>
      </c>
      <c r="Z1026" t="s">
        <v>124</v>
      </c>
      <c r="AA1026" t="s">
        <v>77</v>
      </c>
      <c r="AE1026">
        <v>1</v>
      </c>
      <c r="AF1026">
        <v>0</v>
      </c>
      <c r="AG1026">
        <v>0</v>
      </c>
      <c r="AH1026">
        <v>0</v>
      </c>
      <c r="AI1026">
        <v>1</v>
      </c>
      <c r="AJ1026">
        <v>0</v>
      </c>
      <c r="AK1026">
        <v>0</v>
      </c>
      <c r="AL1026">
        <v>0</v>
      </c>
      <c r="AM1026">
        <v>0</v>
      </c>
      <c r="AN1026">
        <v>1</v>
      </c>
      <c r="AO1026">
        <v>0</v>
      </c>
      <c r="AP1026">
        <v>0</v>
      </c>
    </row>
    <row r="1027" spans="1:42" x14ac:dyDescent="0.25">
      <c r="A1027">
        <v>1153</v>
      </c>
      <c r="B1027" t="s">
        <v>1870</v>
      </c>
      <c r="C1027" t="s">
        <v>1854</v>
      </c>
      <c r="D1027" t="s">
        <v>1871</v>
      </c>
      <c r="E1027" s="4">
        <v>1</v>
      </c>
      <c r="F1027" t="s">
        <v>210</v>
      </c>
      <c r="G1027" t="s">
        <v>210</v>
      </c>
      <c r="H1027" s="3">
        <v>46156</v>
      </c>
      <c r="I1027" s="3">
        <v>46167</v>
      </c>
      <c r="J1027" t="s">
        <v>406</v>
      </c>
      <c r="K1027" s="3">
        <v>46167</v>
      </c>
      <c r="L1027" s="3">
        <v>46156</v>
      </c>
      <c r="M1027" s="3">
        <v>46167</v>
      </c>
      <c r="N1027" s="3">
        <v>46167</v>
      </c>
      <c r="O1027" t="s">
        <v>406</v>
      </c>
      <c r="P1027" t="s">
        <v>55</v>
      </c>
      <c r="T1027" t="s">
        <v>1429</v>
      </c>
      <c r="V1027" t="s">
        <v>1038</v>
      </c>
      <c r="X1027" t="s">
        <v>57</v>
      </c>
      <c r="AA1027" t="s">
        <v>50</v>
      </c>
      <c r="AB1027" t="s">
        <v>94</v>
      </c>
      <c r="AE1027">
        <v>1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</row>
    <row r="1028" spans="1:42" x14ac:dyDescent="0.25">
      <c r="A1028">
        <v>1154</v>
      </c>
      <c r="B1028" t="s">
        <v>1872</v>
      </c>
      <c r="C1028" t="s">
        <v>1873</v>
      </c>
      <c r="D1028" t="s">
        <v>117</v>
      </c>
      <c r="E1028" s="4">
        <v>1</v>
      </c>
      <c r="F1028" t="s">
        <v>210</v>
      </c>
      <c r="G1028" t="s">
        <v>210</v>
      </c>
      <c r="H1028" s="3">
        <v>46156</v>
      </c>
      <c r="I1028" s="3">
        <v>46167</v>
      </c>
      <c r="J1028" t="s">
        <v>406</v>
      </c>
      <c r="K1028" s="3">
        <v>46167</v>
      </c>
      <c r="L1028" s="3">
        <v>46156</v>
      </c>
      <c r="M1028" s="3">
        <v>46167</v>
      </c>
      <c r="N1028" s="3">
        <v>46167</v>
      </c>
      <c r="O1028" t="s">
        <v>406</v>
      </c>
      <c r="P1028" t="s">
        <v>55</v>
      </c>
      <c r="Q1028">
        <v>359</v>
      </c>
      <c r="S1028" t="s">
        <v>1444</v>
      </c>
      <c r="T1028" t="s">
        <v>1429</v>
      </c>
      <c r="U1028" t="s">
        <v>1874</v>
      </c>
      <c r="V1028" t="s">
        <v>151</v>
      </c>
      <c r="W1028">
        <v>13.4</v>
      </c>
      <c r="X1028" t="s">
        <v>57</v>
      </c>
      <c r="Z1028" t="s">
        <v>1444</v>
      </c>
      <c r="AA1028" t="s">
        <v>93</v>
      </c>
      <c r="AE1028">
        <v>1</v>
      </c>
      <c r="AF1028">
        <v>1</v>
      </c>
      <c r="AG1028">
        <v>1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1</v>
      </c>
    </row>
    <row r="1029" spans="1:42" x14ac:dyDescent="0.25">
      <c r="A1029">
        <v>1155</v>
      </c>
      <c r="B1029" t="s">
        <v>1875</v>
      </c>
      <c r="C1029" t="s">
        <v>1873</v>
      </c>
      <c r="D1029" t="s">
        <v>121</v>
      </c>
      <c r="E1029" s="4">
        <v>1</v>
      </c>
      <c r="F1029" t="s">
        <v>63</v>
      </c>
      <c r="G1029" t="s">
        <v>63</v>
      </c>
      <c r="H1029" s="3">
        <v>46167</v>
      </c>
      <c r="I1029" s="3">
        <v>46167</v>
      </c>
      <c r="J1029" t="s">
        <v>74</v>
      </c>
      <c r="K1029" s="3">
        <v>46167</v>
      </c>
      <c r="L1029" s="3">
        <v>46167</v>
      </c>
      <c r="M1029" s="3">
        <v>46167</v>
      </c>
      <c r="N1029" s="3">
        <v>46167</v>
      </c>
      <c r="O1029" t="s">
        <v>74</v>
      </c>
      <c r="P1029" t="s">
        <v>55</v>
      </c>
      <c r="Q1029">
        <v>1154</v>
      </c>
      <c r="S1029" t="s">
        <v>124</v>
      </c>
      <c r="T1029" t="s">
        <v>1429</v>
      </c>
      <c r="U1029">
        <v>1156</v>
      </c>
      <c r="V1029" t="s">
        <v>61</v>
      </c>
      <c r="W1029">
        <v>13.4</v>
      </c>
      <c r="X1029" t="s">
        <v>57</v>
      </c>
      <c r="Z1029" t="s">
        <v>124</v>
      </c>
      <c r="AA1029" t="s">
        <v>77</v>
      </c>
      <c r="AE1029">
        <v>1</v>
      </c>
      <c r="AF1029">
        <v>0</v>
      </c>
      <c r="AG1029">
        <v>0</v>
      </c>
      <c r="AH1029">
        <v>0</v>
      </c>
      <c r="AI1029">
        <v>0</v>
      </c>
      <c r="AJ1029">
        <v>1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</row>
    <row r="1030" spans="1:42" x14ac:dyDescent="0.25">
      <c r="A1030">
        <v>1156</v>
      </c>
      <c r="B1030" t="s">
        <v>1876</v>
      </c>
      <c r="C1030" t="s">
        <v>1873</v>
      </c>
      <c r="D1030" t="s">
        <v>126</v>
      </c>
      <c r="E1030" s="4">
        <v>1</v>
      </c>
      <c r="F1030" t="s">
        <v>63</v>
      </c>
      <c r="G1030" t="s">
        <v>63</v>
      </c>
      <c r="H1030" s="3">
        <v>46167</v>
      </c>
      <c r="I1030" s="3">
        <v>46167</v>
      </c>
      <c r="J1030" t="s">
        <v>74</v>
      </c>
      <c r="K1030" s="3">
        <v>46167</v>
      </c>
      <c r="L1030" s="3">
        <v>46167</v>
      </c>
      <c r="M1030" s="3">
        <v>46167</v>
      </c>
      <c r="N1030" s="3">
        <v>46167</v>
      </c>
      <c r="O1030" t="s">
        <v>74</v>
      </c>
      <c r="P1030" t="s">
        <v>55</v>
      </c>
      <c r="Q1030">
        <v>1155</v>
      </c>
      <c r="S1030" t="s">
        <v>1444</v>
      </c>
      <c r="T1030" t="s">
        <v>1429</v>
      </c>
      <c r="U1030">
        <v>1157</v>
      </c>
      <c r="V1030" t="s">
        <v>61</v>
      </c>
      <c r="W1030">
        <v>13.4</v>
      </c>
      <c r="X1030" t="s">
        <v>57</v>
      </c>
      <c r="Z1030" t="s">
        <v>1444</v>
      </c>
      <c r="AA1030" t="s">
        <v>77</v>
      </c>
      <c r="AE1030">
        <v>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1</v>
      </c>
      <c r="AM1030">
        <v>0</v>
      </c>
      <c r="AN1030">
        <v>0</v>
      </c>
      <c r="AO1030">
        <v>0</v>
      </c>
      <c r="AP1030">
        <v>0</v>
      </c>
    </row>
    <row r="1031" spans="1:42" x14ac:dyDescent="0.25">
      <c r="A1031">
        <v>1157</v>
      </c>
      <c r="B1031" t="s">
        <v>1877</v>
      </c>
      <c r="C1031" t="s">
        <v>1873</v>
      </c>
      <c r="D1031" t="s">
        <v>133</v>
      </c>
      <c r="E1031" s="4">
        <v>1</v>
      </c>
      <c r="F1031" t="s">
        <v>63</v>
      </c>
      <c r="G1031" t="s">
        <v>63</v>
      </c>
      <c r="H1031" s="3">
        <v>46167</v>
      </c>
      <c r="I1031" s="3">
        <v>46167</v>
      </c>
      <c r="J1031" t="s">
        <v>74</v>
      </c>
      <c r="K1031" s="3">
        <v>46167</v>
      </c>
      <c r="L1031" s="3">
        <v>46167</v>
      </c>
      <c r="M1031" s="3">
        <v>46167</v>
      </c>
      <c r="N1031" s="3">
        <v>46167</v>
      </c>
      <c r="O1031" t="s">
        <v>74</v>
      </c>
      <c r="P1031" t="s">
        <v>55</v>
      </c>
      <c r="Q1031">
        <v>1156</v>
      </c>
      <c r="S1031" t="s">
        <v>124</v>
      </c>
      <c r="T1031" t="s">
        <v>1429</v>
      </c>
      <c r="U1031">
        <v>1164</v>
      </c>
      <c r="V1031" t="s">
        <v>61</v>
      </c>
      <c r="W1031">
        <v>13.4</v>
      </c>
      <c r="X1031" t="s">
        <v>57</v>
      </c>
      <c r="Z1031" t="s">
        <v>124</v>
      </c>
      <c r="AA1031" t="s">
        <v>77</v>
      </c>
      <c r="AE1031">
        <v>1</v>
      </c>
      <c r="AF1031">
        <v>0</v>
      </c>
      <c r="AG1031">
        <v>0</v>
      </c>
      <c r="AH1031">
        <v>0</v>
      </c>
      <c r="AI1031">
        <v>1</v>
      </c>
      <c r="AJ1031">
        <v>0</v>
      </c>
      <c r="AK1031">
        <v>0</v>
      </c>
      <c r="AL1031">
        <v>0</v>
      </c>
      <c r="AM1031">
        <v>0</v>
      </c>
      <c r="AN1031">
        <v>1</v>
      </c>
      <c r="AO1031">
        <v>0</v>
      </c>
      <c r="AP1031">
        <v>0</v>
      </c>
    </row>
    <row r="1032" spans="1:42" x14ac:dyDescent="0.25">
      <c r="A1032">
        <v>1158</v>
      </c>
      <c r="B1032" t="s">
        <v>1878</v>
      </c>
      <c r="C1032" t="s">
        <v>1854</v>
      </c>
      <c r="D1032" t="s">
        <v>1879</v>
      </c>
      <c r="E1032" s="4">
        <v>1</v>
      </c>
      <c r="F1032" t="s">
        <v>210</v>
      </c>
      <c r="G1032" t="s">
        <v>210</v>
      </c>
      <c r="H1032" s="3">
        <v>46157</v>
      </c>
      <c r="I1032" s="3">
        <v>46168</v>
      </c>
      <c r="J1032" t="s">
        <v>480</v>
      </c>
      <c r="K1032" s="3">
        <v>46199</v>
      </c>
      <c r="L1032" s="3">
        <v>46191</v>
      </c>
      <c r="M1032" s="3">
        <v>46168</v>
      </c>
      <c r="N1032" s="3">
        <v>46168</v>
      </c>
      <c r="O1032" t="s">
        <v>444</v>
      </c>
      <c r="P1032" t="s">
        <v>55</v>
      </c>
      <c r="T1032" t="s">
        <v>1429</v>
      </c>
      <c r="V1032" t="s">
        <v>175</v>
      </c>
      <c r="X1032" t="s">
        <v>57</v>
      </c>
      <c r="AA1032" t="s">
        <v>50</v>
      </c>
      <c r="AB1032" t="s">
        <v>94</v>
      </c>
      <c r="AE1032">
        <v>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</row>
    <row r="1033" spans="1:42" x14ac:dyDescent="0.25">
      <c r="A1033">
        <v>1159</v>
      </c>
      <c r="B1033" t="s">
        <v>1880</v>
      </c>
      <c r="C1033" t="s">
        <v>1881</v>
      </c>
      <c r="D1033" t="s">
        <v>117</v>
      </c>
      <c r="E1033" s="4">
        <v>1</v>
      </c>
      <c r="F1033" t="s">
        <v>788</v>
      </c>
      <c r="G1033" t="s">
        <v>788</v>
      </c>
      <c r="H1033" s="3">
        <v>46157</v>
      </c>
      <c r="I1033" s="3">
        <v>46157</v>
      </c>
      <c r="J1033" t="s">
        <v>480</v>
      </c>
      <c r="K1033" s="3">
        <v>46192</v>
      </c>
      <c r="L1033" s="3">
        <v>46191</v>
      </c>
      <c r="M1033" s="3">
        <v>46157</v>
      </c>
      <c r="N1033" s="3">
        <v>46157</v>
      </c>
      <c r="O1033" t="s">
        <v>444</v>
      </c>
      <c r="P1033" t="s">
        <v>55</v>
      </c>
      <c r="Q1033" t="s">
        <v>1882</v>
      </c>
      <c r="S1033" t="s">
        <v>1433</v>
      </c>
      <c r="T1033" t="s">
        <v>1429</v>
      </c>
      <c r="U1033">
        <v>1160</v>
      </c>
      <c r="V1033" t="s">
        <v>127</v>
      </c>
      <c r="W1033">
        <v>13.4</v>
      </c>
      <c r="X1033" t="s">
        <v>57</v>
      </c>
      <c r="Z1033" t="s">
        <v>1433</v>
      </c>
      <c r="AA1033" t="s">
        <v>217</v>
      </c>
      <c r="AE1033">
        <v>1</v>
      </c>
      <c r="AF1033">
        <v>1</v>
      </c>
      <c r="AG1033">
        <v>1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1</v>
      </c>
    </row>
    <row r="1034" spans="1:42" x14ac:dyDescent="0.25">
      <c r="A1034">
        <v>1160</v>
      </c>
      <c r="B1034" t="s">
        <v>1883</v>
      </c>
      <c r="C1034" t="s">
        <v>1881</v>
      </c>
      <c r="D1034" t="s">
        <v>121</v>
      </c>
      <c r="E1034" s="4">
        <v>1</v>
      </c>
      <c r="F1034" t="s">
        <v>122</v>
      </c>
      <c r="G1034" t="s">
        <v>122</v>
      </c>
      <c r="H1034" s="3">
        <v>46161</v>
      </c>
      <c r="I1034" s="3">
        <v>46163</v>
      </c>
      <c r="J1034" t="s">
        <v>219</v>
      </c>
      <c r="K1034" s="3">
        <v>46197</v>
      </c>
      <c r="L1034" s="3">
        <v>46195</v>
      </c>
      <c r="M1034" s="3">
        <v>46163</v>
      </c>
      <c r="N1034" s="3">
        <v>46163</v>
      </c>
      <c r="O1034" t="s">
        <v>90</v>
      </c>
      <c r="P1034" t="s">
        <v>55</v>
      </c>
      <c r="Q1034">
        <v>1159</v>
      </c>
      <c r="S1034" t="s">
        <v>124</v>
      </c>
      <c r="T1034" t="s">
        <v>1429</v>
      </c>
      <c r="U1034">
        <v>1161</v>
      </c>
      <c r="V1034" t="s">
        <v>122</v>
      </c>
      <c r="W1034">
        <v>13.4</v>
      </c>
      <c r="X1034" t="s">
        <v>57</v>
      </c>
      <c r="Z1034" t="s">
        <v>124</v>
      </c>
      <c r="AA1034" t="s">
        <v>131</v>
      </c>
      <c r="AE1034">
        <v>1</v>
      </c>
      <c r="AF1034">
        <v>0</v>
      </c>
      <c r="AG1034">
        <v>0</v>
      </c>
      <c r="AH1034">
        <v>0</v>
      </c>
      <c r="AI1034">
        <v>0</v>
      </c>
      <c r="AJ1034">
        <v>1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</row>
    <row r="1035" spans="1:42" x14ac:dyDescent="0.25">
      <c r="A1035">
        <v>1161</v>
      </c>
      <c r="B1035" t="s">
        <v>1884</v>
      </c>
      <c r="C1035" t="s">
        <v>1881</v>
      </c>
      <c r="D1035" t="s">
        <v>126</v>
      </c>
      <c r="E1035" s="4">
        <v>1</v>
      </c>
      <c r="F1035" t="s">
        <v>127</v>
      </c>
      <c r="G1035" t="s">
        <v>127</v>
      </c>
      <c r="H1035" s="3">
        <v>46167</v>
      </c>
      <c r="I1035" s="3">
        <v>46168</v>
      </c>
      <c r="J1035" t="s">
        <v>128</v>
      </c>
      <c r="K1035" s="3">
        <v>46198</v>
      </c>
      <c r="L1035" s="3">
        <v>46198</v>
      </c>
      <c r="M1035" s="3">
        <v>46168</v>
      </c>
      <c r="N1035" s="3">
        <v>46168</v>
      </c>
      <c r="O1035" t="s">
        <v>74</v>
      </c>
      <c r="P1035" t="s">
        <v>55</v>
      </c>
      <c r="Q1035">
        <v>1160</v>
      </c>
      <c r="S1035" t="s">
        <v>1433</v>
      </c>
      <c r="T1035" t="s">
        <v>1429</v>
      </c>
      <c r="U1035">
        <v>1162</v>
      </c>
      <c r="V1035" t="s">
        <v>61</v>
      </c>
      <c r="W1035">
        <v>13.4</v>
      </c>
      <c r="X1035" t="s">
        <v>57</v>
      </c>
      <c r="Z1035" t="s">
        <v>1433</v>
      </c>
      <c r="AA1035" t="s">
        <v>131</v>
      </c>
      <c r="AE1035">
        <v>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1</v>
      </c>
      <c r="AM1035">
        <v>0</v>
      </c>
      <c r="AN1035">
        <v>0</v>
      </c>
      <c r="AO1035">
        <v>0</v>
      </c>
      <c r="AP1035">
        <v>0</v>
      </c>
    </row>
    <row r="1036" spans="1:42" x14ac:dyDescent="0.25">
      <c r="A1036">
        <v>1162</v>
      </c>
      <c r="B1036" t="s">
        <v>1885</v>
      </c>
      <c r="C1036" t="s">
        <v>1881</v>
      </c>
      <c r="D1036" t="s">
        <v>133</v>
      </c>
      <c r="E1036" s="4">
        <v>1</v>
      </c>
      <c r="F1036" t="s">
        <v>63</v>
      </c>
      <c r="G1036" t="s">
        <v>63</v>
      </c>
      <c r="H1036" s="3">
        <v>46168</v>
      </c>
      <c r="I1036" s="3">
        <v>46168</v>
      </c>
      <c r="J1036" t="s">
        <v>134</v>
      </c>
      <c r="K1036" s="3">
        <v>46199</v>
      </c>
      <c r="L1036" s="3">
        <v>46199</v>
      </c>
      <c r="M1036" s="3">
        <v>46168</v>
      </c>
      <c r="N1036" s="3">
        <v>46168</v>
      </c>
      <c r="O1036" t="s">
        <v>206</v>
      </c>
      <c r="P1036" t="s">
        <v>55</v>
      </c>
      <c r="Q1036">
        <v>1161</v>
      </c>
      <c r="S1036" t="s">
        <v>124</v>
      </c>
      <c r="T1036" t="s">
        <v>1429</v>
      </c>
      <c r="V1036" t="s">
        <v>61</v>
      </c>
      <c r="W1036">
        <v>13.4</v>
      </c>
      <c r="X1036" t="s">
        <v>57</v>
      </c>
      <c r="Z1036" t="s">
        <v>124</v>
      </c>
      <c r="AA1036" t="s">
        <v>131</v>
      </c>
      <c r="AE1036">
        <v>1</v>
      </c>
      <c r="AF1036">
        <v>0</v>
      </c>
      <c r="AG1036">
        <v>0</v>
      </c>
      <c r="AH1036">
        <v>0</v>
      </c>
      <c r="AI1036">
        <v>1</v>
      </c>
      <c r="AJ1036">
        <v>0</v>
      </c>
      <c r="AK1036">
        <v>0</v>
      </c>
      <c r="AL1036">
        <v>0</v>
      </c>
      <c r="AM1036">
        <v>0</v>
      </c>
      <c r="AN1036">
        <v>1</v>
      </c>
      <c r="AO1036">
        <v>0</v>
      </c>
      <c r="AP1036">
        <v>0</v>
      </c>
    </row>
    <row r="1037" spans="1:42" x14ac:dyDescent="0.25">
      <c r="A1037">
        <v>1163</v>
      </c>
      <c r="B1037" t="s">
        <v>1886</v>
      </c>
      <c r="C1037" t="s">
        <v>1854</v>
      </c>
      <c r="D1037" t="s">
        <v>1887</v>
      </c>
      <c r="E1037" s="4">
        <v>1</v>
      </c>
      <c r="F1037" t="s">
        <v>138</v>
      </c>
      <c r="G1037" t="s">
        <v>138</v>
      </c>
      <c r="H1037" s="3">
        <v>46168</v>
      </c>
      <c r="I1037" s="3">
        <v>46174</v>
      </c>
      <c r="J1037" t="s">
        <v>189</v>
      </c>
      <c r="K1037" s="3">
        <v>46183</v>
      </c>
      <c r="L1037" s="3">
        <v>46171</v>
      </c>
      <c r="M1037" s="3">
        <v>46174</v>
      </c>
      <c r="N1037" s="3">
        <v>46174</v>
      </c>
      <c r="O1037" t="s">
        <v>206</v>
      </c>
      <c r="P1037" t="s">
        <v>55</v>
      </c>
      <c r="T1037" t="s">
        <v>1429</v>
      </c>
      <c r="V1037" t="s">
        <v>175</v>
      </c>
      <c r="X1037" t="s">
        <v>57</v>
      </c>
      <c r="AA1037" t="s">
        <v>50</v>
      </c>
      <c r="AB1037" t="s">
        <v>94</v>
      </c>
      <c r="AE1037">
        <v>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</row>
    <row r="1038" spans="1:42" x14ac:dyDescent="0.25">
      <c r="A1038">
        <v>1164</v>
      </c>
      <c r="B1038" t="s">
        <v>1888</v>
      </c>
      <c r="C1038" t="s">
        <v>1889</v>
      </c>
      <c r="D1038" t="s">
        <v>117</v>
      </c>
      <c r="E1038" s="4">
        <v>1</v>
      </c>
      <c r="F1038" t="s">
        <v>127</v>
      </c>
      <c r="G1038" t="s">
        <v>127</v>
      </c>
      <c r="H1038" s="3">
        <v>46168</v>
      </c>
      <c r="I1038" s="3">
        <v>46169</v>
      </c>
      <c r="J1038" t="s">
        <v>189</v>
      </c>
      <c r="K1038" s="3">
        <v>46174</v>
      </c>
      <c r="L1038" s="3">
        <v>46171</v>
      </c>
      <c r="M1038" s="3">
        <v>46169</v>
      </c>
      <c r="N1038" s="3">
        <v>46169</v>
      </c>
      <c r="O1038" t="s">
        <v>206</v>
      </c>
      <c r="P1038" t="s">
        <v>55</v>
      </c>
      <c r="Q1038" t="s">
        <v>1890</v>
      </c>
      <c r="S1038" t="s">
        <v>1444</v>
      </c>
      <c r="T1038" t="s">
        <v>1429</v>
      </c>
      <c r="U1038" t="s">
        <v>1891</v>
      </c>
      <c r="V1038" t="s">
        <v>127</v>
      </c>
      <c r="W1038">
        <v>13.4</v>
      </c>
      <c r="X1038" t="s">
        <v>57</v>
      </c>
      <c r="Z1038" t="s">
        <v>1444</v>
      </c>
      <c r="AA1038" t="s">
        <v>77</v>
      </c>
      <c r="AE1038">
        <v>1</v>
      </c>
      <c r="AF1038">
        <v>1</v>
      </c>
      <c r="AG1038">
        <v>1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1</v>
      </c>
    </row>
    <row r="1039" spans="1:42" x14ac:dyDescent="0.25">
      <c r="A1039">
        <v>1165</v>
      </c>
      <c r="B1039" t="s">
        <v>1892</v>
      </c>
      <c r="C1039" t="s">
        <v>1889</v>
      </c>
      <c r="D1039" t="s">
        <v>121</v>
      </c>
      <c r="E1039" s="4">
        <v>1</v>
      </c>
      <c r="F1039" t="s">
        <v>61</v>
      </c>
      <c r="G1039" t="s">
        <v>61</v>
      </c>
      <c r="H1039" s="3">
        <v>46169</v>
      </c>
      <c r="I1039" s="3">
        <v>46170</v>
      </c>
      <c r="J1039" t="s">
        <v>472</v>
      </c>
      <c r="K1039" s="3">
        <v>46181</v>
      </c>
      <c r="L1039" s="3">
        <v>46175</v>
      </c>
      <c r="M1039" s="3">
        <v>46170</v>
      </c>
      <c r="N1039" s="3">
        <v>46170</v>
      </c>
      <c r="O1039" t="s">
        <v>97</v>
      </c>
      <c r="P1039" t="s">
        <v>55</v>
      </c>
      <c r="Q1039">
        <v>1164</v>
      </c>
      <c r="S1039" t="s">
        <v>124</v>
      </c>
      <c r="T1039" t="s">
        <v>1429</v>
      </c>
      <c r="U1039">
        <v>1166</v>
      </c>
      <c r="V1039" t="s">
        <v>122</v>
      </c>
      <c r="W1039">
        <v>13.4</v>
      </c>
      <c r="X1039" t="s">
        <v>57</v>
      </c>
      <c r="Z1039" t="s">
        <v>124</v>
      </c>
      <c r="AA1039" t="s">
        <v>460</v>
      </c>
      <c r="AE1039">
        <v>1</v>
      </c>
      <c r="AF1039">
        <v>0</v>
      </c>
      <c r="AG1039">
        <v>0</v>
      </c>
      <c r="AH1039">
        <v>0</v>
      </c>
      <c r="AI1039">
        <v>0</v>
      </c>
      <c r="AJ1039">
        <v>1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</row>
    <row r="1040" spans="1:42" x14ac:dyDescent="0.25">
      <c r="A1040">
        <v>1166</v>
      </c>
      <c r="B1040" t="s">
        <v>1893</v>
      </c>
      <c r="C1040" t="s">
        <v>1889</v>
      </c>
      <c r="D1040" t="s">
        <v>126</v>
      </c>
      <c r="E1040" s="4">
        <v>1</v>
      </c>
      <c r="F1040" t="s">
        <v>61</v>
      </c>
      <c r="G1040" t="s">
        <v>61</v>
      </c>
      <c r="H1040" s="3">
        <v>46170</v>
      </c>
      <c r="I1040" s="3">
        <v>46171</v>
      </c>
      <c r="J1040" t="s">
        <v>204</v>
      </c>
      <c r="K1040" s="3">
        <v>46182</v>
      </c>
      <c r="L1040" s="3">
        <v>46182</v>
      </c>
      <c r="M1040" s="3">
        <v>46171</v>
      </c>
      <c r="N1040" s="3">
        <v>46171</v>
      </c>
      <c r="O1040" t="s">
        <v>448</v>
      </c>
      <c r="P1040" t="s">
        <v>55</v>
      </c>
      <c r="Q1040">
        <v>1165</v>
      </c>
      <c r="S1040" t="s">
        <v>1444</v>
      </c>
      <c r="T1040" t="s">
        <v>1429</v>
      </c>
      <c r="U1040">
        <v>1167</v>
      </c>
      <c r="V1040" t="s">
        <v>61</v>
      </c>
      <c r="W1040">
        <v>13.4</v>
      </c>
      <c r="X1040" t="s">
        <v>57</v>
      </c>
      <c r="Z1040" t="s">
        <v>1444</v>
      </c>
      <c r="AA1040" t="s">
        <v>462</v>
      </c>
      <c r="AE1040">
        <v>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1</v>
      </c>
      <c r="AM1040">
        <v>0</v>
      </c>
      <c r="AN1040">
        <v>0</v>
      </c>
      <c r="AO1040">
        <v>0</v>
      </c>
      <c r="AP1040">
        <v>0</v>
      </c>
    </row>
    <row r="1041" spans="1:42" x14ac:dyDescent="0.25">
      <c r="A1041">
        <v>1167</v>
      </c>
      <c r="B1041" t="s">
        <v>1894</v>
      </c>
      <c r="C1041" t="s">
        <v>1889</v>
      </c>
      <c r="D1041" t="s">
        <v>133</v>
      </c>
      <c r="E1041" s="4">
        <v>1</v>
      </c>
      <c r="F1041" t="s">
        <v>61</v>
      </c>
      <c r="G1041" t="s">
        <v>61</v>
      </c>
      <c r="H1041" s="3">
        <v>46171</v>
      </c>
      <c r="I1041" s="3">
        <v>46174</v>
      </c>
      <c r="J1041" t="s">
        <v>592</v>
      </c>
      <c r="K1041" s="3">
        <v>46183</v>
      </c>
      <c r="L1041" s="3">
        <v>46183</v>
      </c>
      <c r="M1041" s="3">
        <v>46174</v>
      </c>
      <c r="N1041" s="3">
        <v>46174</v>
      </c>
      <c r="O1041" t="s">
        <v>189</v>
      </c>
      <c r="P1041" t="s">
        <v>55</v>
      </c>
      <c r="Q1041">
        <v>1166</v>
      </c>
      <c r="S1041" t="s">
        <v>124</v>
      </c>
      <c r="T1041" t="s">
        <v>1429</v>
      </c>
      <c r="V1041" t="s">
        <v>61</v>
      </c>
      <c r="W1041">
        <v>13.4</v>
      </c>
      <c r="X1041" t="s">
        <v>57</v>
      </c>
      <c r="Z1041" t="s">
        <v>124</v>
      </c>
      <c r="AA1041" t="s">
        <v>462</v>
      </c>
      <c r="AE1041">
        <v>1</v>
      </c>
      <c r="AF1041">
        <v>0</v>
      </c>
      <c r="AG1041">
        <v>0</v>
      </c>
      <c r="AH1041">
        <v>0</v>
      </c>
      <c r="AI1041">
        <v>1</v>
      </c>
      <c r="AJ1041">
        <v>0</v>
      </c>
      <c r="AK1041">
        <v>0</v>
      </c>
      <c r="AL1041">
        <v>0</v>
      </c>
      <c r="AM1041">
        <v>0</v>
      </c>
      <c r="AN1041">
        <v>1</v>
      </c>
      <c r="AO1041">
        <v>0</v>
      </c>
      <c r="AP1041">
        <v>0</v>
      </c>
    </row>
    <row r="1042" spans="1:42" x14ac:dyDescent="0.25">
      <c r="A1042">
        <v>1168</v>
      </c>
      <c r="B1042" t="s">
        <v>1895</v>
      </c>
      <c r="C1042" t="s">
        <v>1854</v>
      </c>
      <c r="D1042" t="s">
        <v>1896</v>
      </c>
      <c r="E1042" s="4">
        <v>1</v>
      </c>
      <c r="F1042" t="s">
        <v>138</v>
      </c>
      <c r="G1042" t="s">
        <v>138</v>
      </c>
      <c r="H1042" s="3">
        <v>46168</v>
      </c>
      <c r="I1042" s="3">
        <v>46174</v>
      </c>
      <c r="J1042" t="s">
        <v>189</v>
      </c>
      <c r="K1042" s="3">
        <v>46183</v>
      </c>
      <c r="L1042" s="3">
        <v>46171</v>
      </c>
      <c r="M1042" s="3">
        <v>46174</v>
      </c>
      <c r="N1042" s="3">
        <v>46174</v>
      </c>
      <c r="O1042" t="s">
        <v>206</v>
      </c>
      <c r="P1042" t="s">
        <v>55</v>
      </c>
      <c r="T1042" t="s">
        <v>1429</v>
      </c>
      <c r="V1042" t="s">
        <v>175</v>
      </c>
      <c r="X1042" t="s">
        <v>57</v>
      </c>
      <c r="AA1042" t="s">
        <v>50</v>
      </c>
      <c r="AB1042" t="s">
        <v>94</v>
      </c>
      <c r="AE1042">
        <v>1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</row>
    <row r="1043" spans="1:42" x14ac:dyDescent="0.25">
      <c r="A1043">
        <v>1169</v>
      </c>
      <c r="B1043" t="s">
        <v>1897</v>
      </c>
      <c r="C1043" t="s">
        <v>1898</v>
      </c>
      <c r="D1043" t="s">
        <v>117</v>
      </c>
      <c r="E1043" s="4">
        <v>1</v>
      </c>
      <c r="F1043" t="s">
        <v>127</v>
      </c>
      <c r="G1043" t="s">
        <v>127</v>
      </c>
      <c r="H1043" s="3">
        <v>46168</v>
      </c>
      <c r="I1043" s="3">
        <v>46169</v>
      </c>
      <c r="J1043" t="s">
        <v>189</v>
      </c>
      <c r="K1043" s="3">
        <v>46174</v>
      </c>
      <c r="L1043" s="3">
        <v>46171</v>
      </c>
      <c r="M1043" s="3">
        <v>46169</v>
      </c>
      <c r="N1043" s="3">
        <v>46169</v>
      </c>
      <c r="O1043" t="s">
        <v>206</v>
      </c>
      <c r="P1043" t="s">
        <v>55</v>
      </c>
      <c r="Q1043" t="s">
        <v>1899</v>
      </c>
      <c r="S1043" t="s">
        <v>1444</v>
      </c>
      <c r="T1043" t="s">
        <v>1429</v>
      </c>
      <c r="U1043">
        <v>1170</v>
      </c>
      <c r="V1043" t="s">
        <v>127</v>
      </c>
      <c r="W1043">
        <v>13.4</v>
      </c>
      <c r="X1043" t="s">
        <v>57</v>
      </c>
      <c r="Z1043" t="s">
        <v>1444</v>
      </c>
      <c r="AA1043" t="s">
        <v>77</v>
      </c>
      <c r="AE1043">
        <v>1</v>
      </c>
      <c r="AF1043">
        <v>1</v>
      </c>
      <c r="AG1043">
        <v>1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1</v>
      </c>
    </row>
    <row r="1044" spans="1:42" x14ac:dyDescent="0.25">
      <c r="A1044">
        <v>1170</v>
      </c>
      <c r="B1044" t="s">
        <v>1900</v>
      </c>
      <c r="C1044" t="s">
        <v>1898</v>
      </c>
      <c r="D1044" t="s">
        <v>121</v>
      </c>
      <c r="E1044" s="4">
        <v>1</v>
      </c>
      <c r="F1044" t="s">
        <v>127</v>
      </c>
      <c r="G1044" t="s">
        <v>127</v>
      </c>
      <c r="H1044" s="3">
        <v>46169</v>
      </c>
      <c r="I1044" s="3">
        <v>46170</v>
      </c>
      <c r="J1044" t="s">
        <v>472</v>
      </c>
      <c r="K1044" s="3">
        <v>46181</v>
      </c>
      <c r="L1044" s="3">
        <v>46175</v>
      </c>
      <c r="M1044" s="3">
        <v>46170</v>
      </c>
      <c r="N1044" s="3">
        <v>46170</v>
      </c>
      <c r="O1044" t="s">
        <v>97</v>
      </c>
      <c r="P1044" t="s">
        <v>55</v>
      </c>
      <c r="Q1044">
        <v>1169</v>
      </c>
      <c r="S1044" t="s">
        <v>124</v>
      </c>
      <c r="T1044" t="s">
        <v>1429</v>
      </c>
      <c r="U1044">
        <v>1171</v>
      </c>
      <c r="V1044" t="s">
        <v>122</v>
      </c>
      <c r="W1044">
        <v>13.4</v>
      </c>
      <c r="X1044" t="s">
        <v>57</v>
      </c>
      <c r="Z1044" t="s">
        <v>124</v>
      </c>
      <c r="AA1044" t="s">
        <v>460</v>
      </c>
      <c r="AE1044">
        <v>1</v>
      </c>
      <c r="AF1044">
        <v>0</v>
      </c>
      <c r="AG1044">
        <v>0</v>
      </c>
      <c r="AH1044">
        <v>0</v>
      </c>
      <c r="AI1044">
        <v>0</v>
      </c>
      <c r="AJ1044">
        <v>1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</row>
    <row r="1045" spans="1:42" x14ac:dyDescent="0.25">
      <c r="A1045">
        <v>1171</v>
      </c>
      <c r="B1045" t="s">
        <v>1901</v>
      </c>
      <c r="C1045" t="s">
        <v>1898</v>
      </c>
      <c r="D1045" t="s">
        <v>126</v>
      </c>
      <c r="E1045" s="4">
        <v>1</v>
      </c>
      <c r="F1045" t="s">
        <v>127</v>
      </c>
      <c r="G1045" t="s">
        <v>127</v>
      </c>
      <c r="H1045" s="3">
        <v>46170</v>
      </c>
      <c r="I1045" s="3">
        <v>46171</v>
      </c>
      <c r="J1045" t="s">
        <v>204</v>
      </c>
      <c r="K1045" s="3">
        <v>46182</v>
      </c>
      <c r="L1045" s="3">
        <v>46182</v>
      </c>
      <c r="M1045" s="3">
        <v>46171</v>
      </c>
      <c r="N1045" s="3">
        <v>46171</v>
      </c>
      <c r="O1045" t="s">
        <v>448</v>
      </c>
      <c r="P1045" t="s">
        <v>55</v>
      </c>
      <c r="Q1045">
        <v>1170</v>
      </c>
      <c r="S1045" t="s">
        <v>1444</v>
      </c>
      <c r="T1045" t="s">
        <v>1429</v>
      </c>
      <c r="U1045">
        <v>1172</v>
      </c>
      <c r="V1045" t="s">
        <v>61</v>
      </c>
      <c r="W1045">
        <v>13.4</v>
      </c>
      <c r="X1045" t="s">
        <v>57</v>
      </c>
      <c r="Z1045" t="s">
        <v>1444</v>
      </c>
      <c r="AA1045" t="s">
        <v>462</v>
      </c>
      <c r="AE1045">
        <v>1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1</v>
      </c>
      <c r="AM1045">
        <v>0</v>
      </c>
      <c r="AN1045">
        <v>0</v>
      </c>
      <c r="AO1045">
        <v>0</v>
      </c>
      <c r="AP1045">
        <v>0</v>
      </c>
    </row>
    <row r="1046" spans="1:42" x14ac:dyDescent="0.25">
      <c r="A1046">
        <v>1172</v>
      </c>
      <c r="B1046" t="s">
        <v>1902</v>
      </c>
      <c r="C1046" t="s">
        <v>1898</v>
      </c>
      <c r="D1046" t="s">
        <v>133</v>
      </c>
      <c r="E1046" s="4">
        <v>1</v>
      </c>
      <c r="F1046" t="s">
        <v>127</v>
      </c>
      <c r="G1046" t="s">
        <v>127</v>
      </c>
      <c r="H1046" s="3">
        <v>46171</v>
      </c>
      <c r="I1046" s="3">
        <v>46174</v>
      </c>
      <c r="J1046" t="s">
        <v>592</v>
      </c>
      <c r="K1046" s="3">
        <v>46183</v>
      </c>
      <c r="L1046" s="3">
        <v>46183</v>
      </c>
      <c r="M1046" s="3">
        <v>46174</v>
      </c>
      <c r="N1046" s="3">
        <v>46174</v>
      </c>
      <c r="O1046" t="s">
        <v>189</v>
      </c>
      <c r="P1046" t="s">
        <v>55</v>
      </c>
      <c r="Q1046">
        <v>1171</v>
      </c>
      <c r="S1046" t="s">
        <v>124</v>
      </c>
      <c r="T1046" t="s">
        <v>1429</v>
      </c>
      <c r="V1046" t="s">
        <v>61</v>
      </c>
      <c r="W1046">
        <v>13.4</v>
      </c>
      <c r="X1046" t="s">
        <v>57</v>
      </c>
      <c r="Z1046" t="s">
        <v>124</v>
      </c>
      <c r="AA1046" t="s">
        <v>462</v>
      </c>
      <c r="AE1046">
        <v>1</v>
      </c>
      <c r="AF1046">
        <v>0</v>
      </c>
      <c r="AG1046">
        <v>0</v>
      </c>
      <c r="AH1046">
        <v>0</v>
      </c>
      <c r="AI1046">
        <v>1</v>
      </c>
      <c r="AJ1046">
        <v>0</v>
      </c>
      <c r="AK1046">
        <v>0</v>
      </c>
      <c r="AL1046">
        <v>0</v>
      </c>
      <c r="AM1046">
        <v>0</v>
      </c>
      <c r="AN1046">
        <v>1</v>
      </c>
      <c r="AO1046">
        <v>0</v>
      </c>
      <c r="AP1046">
        <v>0</v>
      </c>
    </row>
    <row r="1047" spans="1:42" x14ac:dyDescent="0.25">
      <c r="A1047">
        <v>1173</v>
      </c>
      <c r="B1047" t="s">
        <v>1903</v>
      </c>
      <c r="C1047" t="s">
        <v>1854</v>
      </c>
      <c r="D1047" t="s">
        <v>1904</v>
      </c>
      <c r="E1047" s="4">
        <v>1</v>
      </c>
      <c r="F1047" t="s">
        <v>138</v>
      </c>
      <c r="G1047" t="s">
        <v>138</v>
      </c>
      <c r="H1047" s="3">
        <v>46168</v>
      </c>
      <c r="I1047" s="3">
        <v>46174</v>
      </c>
      <c r="J1047" t="s">
        <v>189</v>
      </c>
      <c r="K1047" s="3">
        <v>46183</v>
      </c>
      <c r="L1047" s="3">
        <v>46171</v>
      </c>
      <c r="M1047" s="3">
        <v>46174</v>
      </c>
      <c r="N1047" s="3">
        <v>46174</v>
      </c>
      <c r="O1047" t="s">
        <v>206</v>
      </c>
      <c r="P1047" t="s">
        <v>55</v>
      </c>
      <c r="T1047" t="s">
        <v>1429</v>
      </c>
      <c r="V1047" t="s">
        <v>175</v>
      </c>
      <c r="X1047" t="s">
        <v>57</v>
      </c>
      <c r="AA1047" t="s">
        <v>50</v>
      </c>
      <c r="AB1047" t="s">
        <v>94</v>
      </c>
      <c r="AE1047">
        <v>1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</row>
    <row r="1048" spans="1:42" x14ac:dyDescent="0.25">
      <c r="A1048">
        <v>1174</v>
      </c>
      <c r="B1048" t="s">
        <v>1905</v>
      </c>
      <c r="C1048" t="s">
        <v>1906</v>
      </c>
      <c r="D1048" t="s">
        <v>117</v>
      </c>
      <c r="E1048" s="4">
        <v>1</v>
      </c>
      <c r="F1048" t="s">
        <v>127</v>
      </c>
      <c r="G1048" t="s">
        <v>127</v>
      </c>
      <c r="H1048" s="3">
        <v>46168</v>
      </c>
      <c r="I1048" s="3">
        <v>46169</v>
      </c>
      <c r="J1048" t="s">
        <v>189</v>
      </c>
      <c r="K1048" s="3">
        <v>46174</v>
      </c>
      <c r="L1048" s="3">
        <v>46171</v>
      </c>
      <c r="M1048" s="3">
        <v>46169</v>
      </c>
      <c r="N1048" s="3">
        <v>46169</v>
      </c>
      <c r="O1048" t="s">
        <v>206</v>
      </c>
      <c r="P1048" t="s">
        <v>55</v>
      </c>
      <c r="Q1048" t="s">
        <v>1899</v>
      </c>
      <c r="S1048" t="s">
        <v>1444</v>
      </c>
      <c r="T1048" t="s">
        <v>1429</v>
      </c>
      <c r="U1048">
        <v>1175</v>
      </c>
      <c r="V1048" t="s">
        <v>127</v>
      </c>
      <c r="W1048">
        <v>13.4</v>
      </c>
      <c r="X1048" t="s">
        <v>57</v>
      </c>
      <c r="Z1048" t="s">
        <v>1444</v>
      </c>
      <c r="AA1048" t="s">
        <v>77</v>
      </c>
      <c r="AE1048">
        <v>1</v>
      </c>
      <c r="AF1048">
        <v>1</v>
      </c>
      <c r="AG1048">
        <v>1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1</v>
      </c>
    </row>
    <row r="1049" spans="1:42" x14ac:dyDescent="0.25">
      <c r="A1049">
        <v>1175</v>
      </c>
      <c r="B1049" t="s">
        <v>1907</v>
      </c>
      <c r="C1049" t="s">
        <v>1906</v>
      </c>
      <c r="D1049" t="s">
        <v>121</v>
      </c>
      <c r="E1049" s="4">
        <v>1</v>
      </c>
      <c r="F1049" t="s">
        <v>127</v>
      </c>
      <c r="G1049" t="s">
        <v>127</v>
      </c>
      <c r="H1049" s="3">
        <v>46169</v>
      </c>
      <c r="I1049" s="3">
        <v>46170</v>
      </c>
      <c r="J1049" t="s">
        <v>472</v>
      </c>
      <c r="K1049" s="3">
        <v>46181</v>
      </c>
      <c r="L1049" s="3">
        <v>46175</v>
      </c>
      <c r="M1049" s="3">
        <v>46170</v>
      </c>
      <c r="N1049" s="3">
        <v>46170</v>
      </c>
      <c r="O1049" t="s">
        <v>97</v>
      </c>
      <c r="P1049" t="s">
        <v>55</v>
      </c>
      <c r="Q1049">
        <v>1174</v>
      </c>
      <c r="S1049" t="s">
        <v>124</v>
      </c>
      <c r="T1049" t="s">
        <v>1429</v>
      </c>
      <c r="U1049">
        <v>1176</v>
      </c>
      <c r="V1049" t="s">
        <v>122</v>
      </c>
      <c r="W1049">
        <v>13.4</v>
      </c>
      <c r="X1049" t="s">
        <v>57</v>
      </c>
      <c r="Z1049" t="s">
        <v>124</v>
      </c>
      <c r="AA1049" t="s">
        <v>460</v>
      </c>
      <c r="AE1049">
        <v>1</v>
      </c>
      <c r="AF1049">
        <v>0</v>
      </c>
      <c r="AG1049">
        <v>0</v>
      </c>
      <c r="AH1049">
        <v>0</v>
      </c>
      <c r="AI1049">
        <v>0</v>
      </c>
      <c r="AJ1049">
        <v>1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</row>
    <row r="1050" spans="1:42" x14ac:dyDescent="0.25">
      <c r="A1050">
        <v>1176</v>
      </c>
      <c r="B1050" t="s">
        <v>1908</v>
      </c>
      <c r="C1050" t="s">
        <v>1906</v>
      </c>
      <c r="D1050" t="s">
        <v>126</v>
      </c>
      <c r="E1050" s="4">
        <v>1</v>
      </c>
      <c r="F1050" t="s">
        <v>127</v>
      </c>
      <c r="G1050" t="s">
        <v>127</v>
      </c>
      <c r="H1050" s="3">
        <v>46170</v>
      </c>
      <c r="I1050" s="3">
        <v>46171</v>
      </c>
      <c r="J1050" t="s">
        <v>204</v>
      </c>
      <c r="K1050" s="3">
        <v>46182</v>
      </c>
      <c r="L1050" s="3">
        <v>46182</v>
      </c>
      <c r="M1050" s="3">
        <v>46171</v>
      </c>
      <c r="N1050" s="3">
        <v>46171</v>
      </c>
      <c r="O1050" t="s">
        <v>448</v>
      </c>
      <c r="P1050" t="s">
        <v>55</v>
      </c>
      <c r="Q1050">
        <v>1175</v>
      </c>
      <c r="S1050" t="s">
        <v>1444</v>
      </c>
      <c r="T1050" t="s">
        <v>1429</v>
      </c>
      <c r="U1050">
        <v>1177</v>
      </c>
      <c r="V1050" t="s">
        <v>61</v>
      </c>
      <c r="W1050">
        <v>13.4</v>
      </c>
      <c r="X1050" t="s">
        <v>57</v>
      </c>
      <c r="Z1050" t="s">
        <v>1444</v>
      </c>
      <c r="AA1050" t="s">
        <v>462</v>
      </c>
      <c r="AE1050">
        <v>1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1</v>
      </c>
      <c r="AM1050">
        <v>0</v>
      </c>
      <c r="AN1050">
        <v>0</v>
      </c>
      <c r="AO1050">
        <v>0</v>
      </c>
      <c r="AP1050">
        <v>0</v>
      </c>
    </row>
    <row r="1051" spans="1:42" x14ac:dyDescent="0.25">
      <c r="A1051">
        <v>1177</v>
      </c>
      <c r="B1051" t="s">
        <v>1909</v>
      </c>
      <c r="C1051" t="s">
        <v>1906</v>
      </c>
      <c r="D1051" t="s">
        <v>133</v>
      </c>
      <c r="E1051" s="4">
        <v>1</v>
      </c>
      <c r="F1051" t="s">
        <v>127</v>
      </c>
      <c r="G1051" t="s">
        <v>127</v>
      </c>
      <c r="H1051" s="3">
        <v>46171</v>
      </c>
      <c r="I1051" s="3">
        <v>46174</v>
      </c>
      <c r="J1051" t="s">
        <v>592</v>
      </c>
      <c r="K1051" s="3">
        <v>46183</v>
      </c>
      <c r="L1051" s="3">
        <v>46183</v>
      </c>
      <c r="M1051" s="3">
        <v>46174</v>
      </c>
      <c r="N1051" s="3">
        <v>46174</v>
      </c>
      <c r="O1051" t="s">
        <v>189</v>
      </c>
      <c r="P1051" t="s">
        <v>55</v>
      </c>
      <c r="Q1051">
        <v>1176</v>
      </c>
      <c r="S1051" t="s">
        <v>124</v>
      </c>
      <c r="T1051" t="s">
        <v>1429</v>
      </c>
      <c r="V1051" t="s">
        <v>61</v>
      </c>
      <c r="W1051">
        <v>13.4</v>
      </c>
      <c r="X1051" t="s">
        <v>57</v>
      </c>
      <c r="Z1051" t="s">
        <v>124</v>
      </c>
      <c r="AA1051" t="s">
        <v>462</v>
      </c>
      <c r="AE1051">
        <v>1</v>
      </c>
      <c r="AF1051">
        <v>0</v>
      </c>
      <c r="AG1051">
        <v>0</v>
      </c>
      <c r="AH1051">
        <v>0</v>
      </c>
      <c r="AI1051">
        <v>1</v>
      </c>
      <c r="AJ1051">
        <v>0</v>
      </c>
      <c r="AK1051">
        <v>0</v>
      </c>
      <c r="AL1051">
        <v>0</v>
      </c>
      <c r="AM1051">
        <v>0</v>
      </c>
      <c r="AN1051">
        <v>1</v>
      </c>
      <c r="AO1051">
        <v>0</v>
      </c>
      <c r="AP1051">
        <v>0</v>
      </c>
    </row>
    <row r="1052" spans="1:42" x14ac:dyDescent="0.25">
      <c r="A1052">
        <v>1178</v>
      </c>
      <c r="B1052" t="s">
        <v>1910</v>
      </c>
      <c r="C1052" t="s">
        <v>1854</v>
      </c>
      <c r="D1052" t="s">
        <v>1911</v>
      </c>
      <c r="E1052" s="4">
        <v>1</v>
      </c>
      <c r="F1052" t="s">
        <v>138</v>
      </c>
      <c r="G1052" t="s">
        <v>138</v>
      </c>
      <c r="H1052" s="3">
        <v>46168</v>
      </c>
      <c r="I1052" s="3">
        <v>46174</v>
      </c>
      <c r="J1052" t="s">
        <v>206</v>
      </c>
      <c r="K1052" s="3">
        <v>46174</v>
      </c>
      <c r="L1052" s="3">
        <v>46168</v>
      </c>
      <c r="M1052" s="3">
        <v>46174</v>
      </c>
      <c r="N1052" s="3">
        <v>46174</v>
      </c>
      <c r="O1052" t="s">
        <v>206</v>
      </c>
      <c r="P1052" t="s">
        <v>55</v>
      </c>
      <c r="T1052" t="s">
        <v>1429</v>
      </c>
      <c r="V1052" t="s">
        <v>175</v>
      </c>
      <c r="X1052" t="s">
        <v>57</v>
      </c>
      <c r="AA1052" t="s">
        <v>50</v>
      </c>
      <c r="AB1052" t="s">
        <v>94</v>
      </c>
      <c r="AE1052">
        <v>1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</row>
    <row r="1053" spans="1:42" x14ac:dyDescent="0.25">
      <c r="A1053">
        <v>1179</v>
      </c>
      <c r="B1053" t="s">
        <v>1912</v>
      </c>
      <c r="C1053" t="s">
        <v>1913</v>
      </c>
      <c r="D1053" t="s">
        <v>117</v>
      </c>
      <c r="E1053" s="4">
        <v>1</v>
      </c>
      <c r="F1053" t="s">
        <v>127</v>
      </c>
      <c r="G1053" t="s">
        <v>127</v>
      </c>
      <c r="H1053" s="3">
        <v>46168</v>
      </c>
      <c r="I1053" s="3">
        <v>46169</v>
      </c>
      <c r="J1053" t="s">
        <v>206</v>
      </c>
      <c r="K1053" s="3">
        <v>46169</v>
      </c>
      <c r="L1053" s="3">
        <v>46168</v>
      </c>
      <c r="M1053" s="3">
        <v>46169</v>
      </c>
      <c r="N1053" s="3">
        <v>46169</v>
      </c>
      <c r="O1053" t="s">
        <v>206</v>
      </c>
      <c r="P1053" t="s">
        <v>55</v>
      </c>
      <c r="Q1053" t="s">
        <v>1899</v>
      </c>
      <c r="S1053" t="s">
        <v>1444</v>
      </c>
      <c r="T1053" t="s">
        <v>1429</v>
      </c>
      <c r="U1053">
        <v>1180</v>
      </c>
      <c r="V1053" t="s">
        <v>127</v>
      </c>
      <c r="W1053">
        <v>13.4</v>
      </c>
      <c r="X1053" t="s">
        <v>57</v>
      </c>
      <c r="Z1053" t="s">
        <v>1444</v>
      </c>
      <c r="AA1053" t="s">
        <v>77</v>
      </c>
      <c r="AE1053">
        <v>1</v>
      </c>
      <c r="AF1053">
        <v>1</v>
      </c>
      <c r="AG1053">
        <v>1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1</v>
      </c>
    </row>
    <row r="1054" spans="1:42" x14ac:dyDescent="0.25">
      <c r="A1054">
        <v>1180</v>
      </c>
      <c r="B1054" t="s">
        <v>1914</v>
      </c>
      <c r="C1054" t="s">
        <v>1913</v>
      </c>
      <c r="D1054" t="s">
        <v>121</v>
      </c>
      <c r="E1054" s="4">
        <v>1</v>
      </c>
      <c r="F1054" t="s">
        <v>127</v>
      </c>
      <c r="G1054" t="s">
        <v>127</v>
      </c>
      <c r="H1054" s="3">
        <v>46169</v>
      </c>
      <c r="I1054" s="3">
        <v>46170</v>
      </c>
      <c r="J1054" t="s">
        <v>97</v>
      </c>
      <c r="K1054" s="3">
        <v>46170</v>
      </c>
      <c r="L1054" s="3">
        <v>46169</v>
      </c>
      <c r="M1054" s="3">
        <v>46170</v>
      </c>
      <c r="N1054" s="3">
        <v>46170</v>
      </c>
      <c r="O1054" t="s">
        <v>97</v>
      </c>
      <c r="P1054" t="s">
        <v>55</v>
      </c>
      <c r="Q1054">
        <v>1179</v>
      </c>
      <c r="S1054" t="s">
        <v>124</v>
      </c>
      <c r="T1054" t="s">
        <v>1429</v>
      </c>
      <c r="U1054">
        <v>1181</v>
      </c>
      <c r="V1054" t="s">
        <v>122</v>
      </c>
      <c r="W1054">
        <v>13.4</v>
      </c>
      <c r="X1054" t="s">
        <v>57</v>
      </c>
      <c r="Z1054" t="s">
        <v>124</v>
      </c>
      <c r="AA1054" t="s">
        <v>460</v>
      </c>
      <c r="AE1054">
        <v>1</v>
      </c>
      <c r="AF1054">
        <v>0</v>
      </c>
      <c r="AG1054">
        <v>0</v>
      </c>
      <c r="AH1054">
        <v>0</v>
      </c>
      <c r="AI1054">
        <v>0</v>
      </c>
      <c r="AJ1054">
        <v>1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</row>
    <row r="1055" spans="1:42" x14ac:dyDescent="0.25">
      <c r="A1055">
        <v>1181</v>
      </c>
      <c r="B1055" t="s">
        <v>1915</v>
      </c>
      <c r="C1055" t="s">
        <v>1913</v>
      </c>
      <c r="D1055" t="s">
        <v>126</v>
      </c>
      <c r="E1055" s="4">
        <v>1</v>
      </c>
      <c r="F1055" t="s">
        <v>127</v>
      </c>
      <c r="G1055" t="s">
        <v>127</v>
      </c>
      <c r="H1055" s="3">
        <v>46170</v>
      </c>
      <c r="I1055" s="3">
        <v>46171</v>
      </c>
      <c r="J1055" t="s">
        <v>448</v>
      </c>
      <c r="K1055" s="3">
        <v>46171</v>
      </c>
      <c r="L1055" s="3">
        <v>46170</v>
      </c>
      <c r="M1055" s="3">
        <v>46171</v>
      </c>
      <c r="N1055" s="3">
        <v>46171</v>
      </c>
      <c r="O1055" t="s">
        <v>448</v>
      </c>
      <c r="P1055" t="s">
        <v>55</v>
      </c>
      <c r="Q1055">
        <v>1180</v>
      </c>
      <c r="S1055" t="s">
        <v>1444</v>
      </c>
      <c r="T1055" t="s">
        <v>1429</v>
      </c>
      <c r="U1055">
        <v>1182</v>
      </c>
      <c r="V1055" t="s">
        <v>61</v>
      </c>
      <c r="W1055">
        <v>13.4</v>
      </c>
      <c r="X1055" t="s">
        <v>57</v>
      </c>
      <c r="Z1055" t="s">
        <v>1444</v>
      </c>
      <c r="AA1055" t="s">
        <v>462</v>
      </c>
      <c r="AE1055">
        <v>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1</v>
      </c>
      <c r="AM1055">
        <v>0</v>
      </c>
      <c r="AN1055">
        <v>0</v>
      </c>
      <c r="AO1055">
        <v>0</v>
      </c>
      <c r="AP1055">
        <v>0</v>
      </c>
    </row>
    <row r="1056" spans="1:42" x14ac:dyDescent="0.25">
      <c r="A1056">
        <v>1182</v>
      </c>
      <c r="B1056" t="s">
        <v>1916</v>
      </c>
      <c r="C1056" t="s">
        <v>1913</v>
      </c>
      <c r="D1056" t="s">
        <v>133</v>
      </c>
      <c r="E1056" s="4">
        <v>1</v>
      </c>
      <c r="F1056" t="s">
        <v>127</v>
      </c>
      <c r="G1056" t="s">
        <v>127</v>
      </c>
      <c r="H1056" s="3">
        <v>46171</v>
      </c>
      <c r="I1056" s="3">
        <v>46174</v>
      </c>
      <c r="J1056" t="s">
        <v>189</v>
      </c>
      <c r="K1056" s="3">
        <v>46174</v>
      </c>
      <c r="L1056" s="3">
        <v>46171</v>
      </c>
      <c r="M1056" s="3">
        <v>46174</v>
      </c>
      <c r="N1056" s="3">
        <v>46174</v>
      </c>
      <c r="O1056" t="s">
        <v>189</v>
      </c>
      <c r="P1056" t="s">
        <v>55</v>
      </c>
      <c r="Q1056">
        <v>1181</v>
      </c>
      <c r="S1056" t="s">
        <v>124</v>
      </c>
      <c r="T1056" t="s">
        <v>1429</v>
      </c>
      <c r="V1056" t="s">
        <v>61</v>
      </c>
      <c r="W1056">
        <v>13.4</v>
      </c>
      <c r="X1056" t="s">
        <v>57</v>
      </c>
      <c r="Z1056" t="s">
        <v>124</v>
      </c>
      <c r="AA1056" t="s">
        <v>462</v>
      </c>
      <c r="AE1056">
        <v>1</v>
      </c>
      <c r="AF1056">
        <v>0</v>
      </c>
      <c r="AG1056">
        <v>0</v>
      </c>
      <c r="AH1056">
        <v>0</v>
      </c>
      <c r="AI1056">
        <v>1</v>
      </c>
      <c r="AJ1056">
        <v>0</v>
      </c>
      <c r="AK1056">
        <v>0</v>
      </c>
      <c r="AL1056">
        <v>0</v>
      </c>
      <c r="AM1056">
        <v>0</v>
      </c>
      <c r="AN1056">
        <v>1</v>
      </c>
      <c r="AO1056">
        <v>0</v>
      </c>
      <c r="AP1056">
        <v>0</v>
      </c>
    </row>
    <row r="1057" spans="1:42" x14ac:dyDescent="0.25">
      <c r="A1057">
        <v>1183</v>
      </c>
      <c r="B1057" t="s">
        <v>1917</v>
      </c>
      <c r="C1057" t="s">
        <v>1854</v>
      </c>
      <c r="D1057" t="s">
        <v>1918</v>
      </c>
      <c r="E1057" s="4">
        <v>1</v>
      </c>
      <c r="F1057" t="s">
        <v>138</v>
      </c>
      <c r="G1057" t="s">
        <v>138</v>
      </c>
      <c r="H1057" s="3">
        <v>46168</v>
      </c>
      <c r="I1057" s="3">
        <v>46174</v>
      </c>
      <c r="J1057" t="s">
        <v>206</v>
      </c>
      <c r="K1057" s="3">
        <v>46174</v>
      </c>
      <c r="L1057" s="3">
        <v>46168</v>
      </c>
      <c r="M1057" s="3">
        <v>46174</v>
      </c>
      <c r="N1057" s="3">
        <v>46174</v>
      </c>
      <c r="O1057" t="s">
        <v>206</v>
      </c>
      <c r="P1057" t="s">
        <v>55</v>
      </c>
      <c r="T1057" t="s">
        <v>1429</v>
      </c>
      <c r="V1057" t="s">
        <v>175</v>
      </c>
      <c r="X1057" t="s">
        <v>57</v>
      </c>
      <c r="AA1057" t="s">
        <v>50</v>
      </c>
      <c r="AB1057" t="s">
        <v>94</v>
      </c>
      <c r="AE1057">
        <v>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</row>
    <row r="1058" spans="1:42" x14ac:dyDescent="0.25">
      <c r="A1058">
        <v>1184</v>
      </c>
      <c r="B1058" t="s">
        <v>1919</v>
      </c>
      <c r="C1058" t="s">
        <v>1920</v>
      </c>
      <c r="D1058" t="s">
        <v>117</v>
      </c>
      <c r="E1058" s="4">
        <v>1</v>
      </c>
      <c r="F1058" t="s">
        <v>127</v>
      </c>
      <c r="G1058" t="s">
        <v>127</v>
      </c>
      <c r="H1058" s="3">
        <v>46168</v>
      </c>
      <c r="I1058" s="3">
        <v>46169</v>
      </c>
      <c r="J1058" t="s">
        <v>206</v>
      </c>
      <c r="K1058" s="3">
        <v>46169</v>
      </c>
      <c r="L1058" s="3">
        <v>46168</v>
      </c>
      <c r="M1058" s="3">
        <v>46169</v>
      </c>
      <c r="N1058" s="3">
        <v>46169</v>
      </c>
      <c r="O1058" t="s">
        <v>206</v>
      </c>
      <c r="P1058" t="s">
        <v>55</v>
      </c>
      <c r="Q1058" t="s">
        <v>1899</v>
      </c>
      <c r="S1058" t="s">
        <v>1444</v>
      </c>
      <c r="T1058" t="s">
        <v>1429</v>
      </c>
      <c r="U1058">
        <v>1185</v>
      </c>
      <c r="V1058" t="s">
        <v>127</v>
      </c>
      <c r="W1058">
        <v>13.4</v>
      </c>
      <c r="X1058" t="s">
        <v>57</v>
      </c>
      <c r="Z1058" t="s">
        <v>1444</v>
      </c>
      <c r="AA1058" t="s">
        <v>77</v>
      </c>
      <c r="AE1058">
        <v>1</v>
      </c>
      <c r="AF1058">
        <v>1</v>
      </c>
      <c r="AG1058">
        <v>1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1</v>
      </c>
    </row>
    <row r="1059" spans="1:42" x14ac:dyDescent="0.25">
      <c r="A1059">
        <v>1185</v>
      </c>
      <c r="B1059" t="s">
        <v>1921</v>
      </c>
      <c r="C1059" t="s">
        <v>1920</v>
      </c>
      <c r="D1059" t="s">
        <v>121</v>
      </c>
      <c r="E1059" s="4">
        <v>1</v>
      </c>
      <c r="F1059" t="s">
        <v>127</v>
      </c>
      <c r="G1059" t="s">
        <v>127</v>
      </c>
      <c r="H1059" s="3">
        <v>46169</v>
      </c>
      <c r="I1059" s="3">
        <v>46170</v>
      </c>
      <c r="J1059" t="s">
        <v>97</v>
      </c>
      <c r="K1059" s="3">
        <v>46170</v>
      </c>
      <c r="L1059" s="3">
        <v>46169</v>
      </c>
      <c r="M1059" s="3">
        <v>46170</v>
      </c>
      <c r="N1059" s="3">
        <v>46170</v>
      </c>
      <c r="O1059" t="s">
        <v>97</v>
      </c>
      <c r="P1059" t="s">
        <v>55</v>
      </c>
      <c r="Q1059">
        <v>1184</v>
      </c>
      <c r="S1059" t="s">
        <v>124</v>
      </c>
      <c r="T1059" t="s">
        <v>1429</v>
      </c>
      <c r="U1059">
        <v>1186</v>
      </c>
      <c r="V1059" t="s">
        <v>122</v>
      </c>
      <c r="W1059">
        <v>13.4</v>
      </c>
      <c r="X1059" t="s">
        <v>57</v>
      </c>
      <c r="Z1059" t="s">
        <v>124</v>
      </c>
      <c r="AA1059" t="s">
        <v>460</v>
      </c>
      <c r="AE1059">
        <v>1</v>
      </c>
      <c r="AF1059">
        <v>0</v>
      </c>
      <c r="AG1059">
        <v>0</v>
      </c>
      <c r="AH1059">
        <v>0</v>
      </c>
      <c r="AI1059">
        <v>0</v>
      </c>
      <c r="AJ1059">
        <v>1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</row>
    <row r="1060" spans="1:42" x14ac:dyDescent="0.25">
      <c r="A1060">
        <v>1186</v>
      </c>
      <c r="B1060" t="s">
        <v>1922</v>
      </c>
      <c r="C1060" t="s">
        <v>1920</v>
      </c>
      <c r="D1060" t="s">
        <v>126</v>
      </c>
      <c r="E1060" s="4">
        <v>1</v>
      </c>
      <c r="F1060" t="s">
        <v>127</v>
      </c>
      <c r="G1060" t="s">
        <v>127</v>
      </c>
      <c r="H1060" s="3">
        <v>46170</v>
      </c>
      <c r="I1060" s="3">
        <v>46171</v>
      </c>
      <c r="J1060" t="s">
        <v>448</v>
      </c>
      <c r="K1060" s="3">
        <v>46171</v>
      </c>
      <c r="L1060" s="3">
        <v>46170</v>
      </c>
      <c r="M1060" s="3">
        <v>46171</v>
      </c>
      <c r="N1060" s="3">
        <v>46171</v>
      </c>
      <c r="O1060" t="s">
        <v>448</v>
      </c>
      <c r="P1060" t="s">
        <v>55</v>
      </c>
      <c r="Q1060">
        <v>1185</v>
      </c>
      <c r="S1060" t="s">
        <v>1444</v>
      </c>
      <c r="T1060" t="s">
        <v>1429</v>
      </c>
      <c r="U1060">
        <v>1187</v>
      </c>
      <c r="V1060" t="s">
        <v>61</v>
      </c>
      <c r="W1060">
        <v>13.4</v>
      </c>
      <c r="X1060" t="s">
        <v>57</v>
      </c>
      <c r="Z1060" t="s">
        <v>1444</v>
      </c>
      <c r="AA1060" t="s">
        <v>462</v>
      </c>
      <c r="AE1060">
        <v>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1</v>
      </c>
      <c r="AM1060">
        <v>0</v>
      </c>
      <c r="AN1060">
        <v>0</v>
      </c>
      <c r="AO1060">
        <v>0</v>
      </c>
      <c r="AP1060">
        <v>0</v>
      </c>
    </row>
    <row r="1061" spans="1:42" x14ac:dyDescent="0.25">
      <c r="A1061">
        <v>1187</v>
      </c>
      <c r="B1061" t="s">
        <v>1923</v>
      </c>
      <c r="C1061" t="s">
        <v>1920</v>
      </c>
      <c r="D1061" t="s">
        <v>133</v>
      </c>
      <c r="E1061" s="4">
        <v>1</v>
      </c>
      <c r="F1061" t="s">
        <v>127</v>
      </c>
      <c r="G1061" t="s">
        <v>127</v>
      </c>
      <c r="H1061" s="3">
        <v>46171</v>
      </c>
      <c r="I1061" s="3">
        <v>46174</v>
      </c>
      <c r="J1061" t="s">
        <v>189</v>
      </c>
      <c r="K1061" s="3">
        <v>46174</v>
      </c>
      <c r="L1061" s="3">
        <v>46171</v>
      </c>
      <c r="M1061" s="3">
        <v>46174</v>
      </c>
      <c r="N1061" s="3">
        <v>46174</v>
      </c>
      <c r="O1061" t="s">
        <v>189</v>
      </c>
      <c r="P1061" t="s">
        <v>55</v>
      </c>
      <c r="Q1061">
        <v>1186</v>
      </c>
      <c r="S1061" t="s">
        <v>124</v>
      </c>
      <c r="T1061" t="s">
        <v>1429</v>
      </c>
      <c r="V1061" t="s">
        <v>61</v>
      </c>
      <c r="W1061">
        <v>13.4</v>
      </c>
      <c r="X1061" t="s">
        <v>57</v>
      </c>
      <c r="Z1061" t="s">
        <v>124</v>
      </c>
      <c r="AA1061" t="s">
        <v>462</v>
      </c>
      <c r="AE1061">
        <v>1</v>
      </c>
      <c r="AF1061">
        <v>0</v>
      </c>
      <c r="AG1061">
        <v>0</v>
      </c>
      <c r="AH1061">
        <v>0</v>
      </c>
      <c r="AI1061">
        <v>1</v>
      </c>
      <c r="AJ1061">
        <v>0</v>
      </c>
      <c r="AK1061">
        <v>0</v>
      </c>
      <c r="AL1061">
        <v>0</v>
      </c>
      <c r="AM1061">
        <v>0</v>
      </c>
      <c r="AN1061">
        <v>1</v>
      </c>
      <c r="AO1061">
        <v>0</v>
      </c>
      <c r="AP1061">
        <v>0</v>
      </c>
    </row>
    <row r="1062" spans="1:42" x14ac:dyDescent="0.25">
      <c r="A1062">
        <v>1188</v>
      </c>
      <c r="B1062" t="s">
        <v>1924</v>
      </c>
      <c r="C1062" t="s">
        <v>1429</v>
      </c>
      <c r="D1062" t="s">
        <v>1925</v>
      </c>
      <c r="E1062" s="4">
        <v>1</v>
      </c>
      <c r="F1062" t="s">
        <v>175</v>
      </c>
      <c r="G1062" t="s">
        <v>175</v>
      </c>
      <c r="H1062" s="3">
        <v>46171</v>
      </c>
      <c r="I1062" s="3">
        <v>46183</v>
      </c>
      <c r="J1062" t="s">
        <v>491</v>
      </c>
      <c r="K1062" s="3">
        <v>46197</v>
      </c>
      <c r="L1062" s="3">
        <v>46163</v>
      </c>
      <c r="M1062" s="3">
        <v>46183</v>
      </c>
      <c r="N1062" s="3">
        <v>46183</v>
      </c>
      <c r="O1062" t="s">
        <v>189</v>
      </c>
      <c r="P1062" t="s">
        <v>55</v>
      </c>
      <c r="T1062" t="s">
        <v>1429</v>
      </c>
      <c r="V1062" t="s">
        <v>613</v>
      </c>
      <c r="X1062" t="s">
        <v>57</v>
      </c>
      <c r="AA1062" t="s">
        <v>50</v>
      </c>
      <c r="AB1062" t="s">
        <v>94</v>
      </c>
      <c r="AE1062">
        <v>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</row>
    <row r="1063" spans="1:42" x14ac:dyDescent="0.25">
      <c r="A1063">
        <v>1189</v>
      </c>
      <c r="B1063" t="s">
        <v>1926</v>
      </c>
      <c r="C1063" t="s">
        <v>1927</v>
      </c>
      <c r="D1063" t="s">
        <v>1928</v>
      </c>
      <c r="E1063" s="4">
        <v>1</v>
      </c>
      <c r="F1063" t="s">
        <v>101</v>
      </c>
      <c r="G1063" t="s">
        <v>101</v>
      </c>
      <c r="H1063" s="3">
        <v>46176</v>
      </c>
      <c r="I1063" s="3">
        <v>46183</v>
      </c>
      <c r="J1063" t="s">
        <v>491</v>
      </c>
      <c r="K1063" s="3">
        <v>46185</v>
      </c>
      <c r="L1063" s="3">
        <v>46163</v>
      </c>
      <c r="M1063" s="3">
        <v>46183</v>
      </c>
      <c r="N1063" s="3">
        <v>46183</v>
      </c>
      <c r="O1063" t="s">
        <v>459</v>
      </c>
      <c r="P1063" t="s">
        <v>55</v>
      </c>
      <c r="T1063" t="s">
        <v>1429</v>
      </c>
      <c r="V1063" t="s">
        <v>330</v>
      </c>
      <c r="X1063" t="s">
        <v>57</v>
      </c>
      <c r="AA1063" t="s">
        <v>50</v>
      </c>
      <c r="AB1063" t="s">
        <v>94</v>
      </c>
      <c r="AE1063">
        <v>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</row>
    <row r="1064" spans="1:42" x14ac:dyDescent="0.25">
      <c r="A1064">
        <v>1190</v>
      </c>
      <c r="B1064" t="s">
        <v>1929</v>
      </c>
      <c r="C1064" t="s">
        <v>1930</v>
      </c>
      <c r="D1064" t="s">
        <v>117</v>
      </c>
      <c r="E1064" s="4">
        <v>1</v>
      </c>
      <c r="F1064" t="s">
        <v>127</v>
      </c>
      <c r="G1064" t="s">
        <v>127</v>
      </c>
      <c r="H1064" s="3">
        <v>46176</v>
      </c>
      <c r="I1064" s="3">
        <v>46181</v>
      </c>
      <c r="J1064" t="s">
        <v>491</v>
      </c>
      <c r="K1064" s="3">
        <v>46176</v>
      </c>
      <c r="L1064" s="3">
        <v>46163</v>
      </c>
      <c r="M1064" s="3">
        <v>46181</v>
      </c>
      <c r="N1064" s="3">
        <v>46181</v>
      </c>
      <c r="O1064" t="s">
        <v>459</v>
      </c>
      <c r="P1064" t="s">
        <v>55</v>
      </c>
      <c r="Q1064" t="s">
        <v>1931</v>
      </c>
      <c r="S1064" t="s">
        <v>1444</v>
      </c>
      <c r="T1064" t="s">
        <v>1429</v>
      </c>
      <c r="U1064" t="s">
        <v>1932</v>
      </c>
      <c r="V1064" t="s">
        <v>151</v>
      </c>
      <c r="W1064">
        <v>13.4</v>
      </c>
      <c r="X1064" t="s">
        <v>57</v>
      </c>
      <c r="Z1064" t="s">
        <v>1444</v>
      </c>
      <c r="AA1064" t="s">
        <v>198</v>
      </c>
      <c r="AE1064">
        <v>1</v>
      </c>
      <c r="AF1064">
        <v>1</v>
      </c>
      <c r="AG1064">
        <v>1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1</v>
      </c>
    </row>
    <row r="1065" spans="1:42" x14ac:dyDescent="0.25">
      <c r="A1065">
        <v>1191</v>
      </c>
      <c r="B1065" t="s">
        <v>1933</v>
      </c>
      <c r="C1065" t="s">
        <v>1930</v>
      </c>
      <c r="D1065" t="s">
        <v>121</v>
      </c>
      <c r="E1065" s="4">
        <v>1</v>
      </c>
      <c r="F1065" t="s">
        <v>127</v>
      </c>
      <c r="G1065" t="s">
        <v>127</v>
      </c>
      <c r="H1065" s="3">
        <v>46181</v>
      </c>
      <c r="I1065" s="3">
        <v>46182</v>
      </c>
      <c r="J1065" t="s">
        <v>201</v>
      </c>
      <c r="K1065" s="3">
        <v>46183</v>
      </c>
      <c r="L1065" s="3">
        <v>46181</v>
      </c>
      <c r="M1065" s="3">
        <v>46182</v>
      </c>
      <c r="N1065" s="3">
        <v>46182</v>
      </c>
      <c r="O1065" t="s">
        <v>201</v>
      </c>
      <c r="P1065" t="s">
        <v>55</v>
      </c>
      <c r="Q1065">
        <v>1190</v>
      </c>
      <c r="S1065" t="s">
        <v>124</v>
      </c>
      <c r="T1065" t="s">
        <v>1429</v>
      </c>
      <c r="U1065">
        <v>1192</v>
      </c>
      <c r="V1065" t="s">
        <v>122</v>
      </c>
      <c r="W1065">
        <v>13.4</v>
      </c>
      <c r="X1065" t="s">
        <v>57</v>
      </c>
      <c r="Z1065" t="s">
        <v>124</v>
      </c>
      <c r="AA1065" t="s">
        <v>462</v>
      </c>
      <c r="AE1065">
        <v>1</v>
      </c>
      <c r="AF1065">
        <v>0</v>
      </c>
      <c r="AG1065">
        <v>0</v>
      </c>
      <c r="AH1065">
        <v>0</v>
      </c>
      <c r="AI1065">
        <v>0</v>
      </c>
      <c r="AJ1065">
        <v>1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</row>
    <row r="1066" spans="1:42" x14ac:dyDescent="0.25">
      <c r="A1066">
        <v>1192</v>
      </c>
      <c r="B1066" t="s">
        <v>1934</v>
      </c>
      <c r="C1066" t="s">
        <v>1930</v>
      </c>
      <c r="D1066" t="s">
        <v>126</v>
      </c>
      <c r="E1066" s="4">
        <v>1</v>
      </c>
      <c r="F1066" t="s">
        <v>61</v>
      </c>
      <c r="G1066" t="s">
        <v>61</v>
      </c>
      <c r="H1066" s="3">
        <v>46182</v>
      </c>
      <c r="I1066" s="3">
        <v>46182</v>
      </c>
      <c r="J1066" t="s">
        <v>476</v>
      </c>
      <c r="K1066" s="3">
        <v>46184</v>
      </c>
      <c r="L1066" s="3">
        <v>46184</v>
      </c>
      <c r="M1066" s="3">
        <v>46182</v>
      </c>
      <c r="N1066" s="3">
        <v>46182</v>
      </c>
      <c r="O1066" t="s">
        <v>204</v>
      </c>
      <c r="P1066" t="s">
        <v>55</v>
      </c>
      <c r="Q1066">
        <v>1191</v>
      </c>
      <c r="S1066" t="s">
        <v>1444</v>
      </c>
      <c r="T1066" t="s">
        <v>1429</v>
      </c>
      <c r="U1066">
        <v>1193</v>
      </c>
      <c r="V1066" t="s">
        <v>61</v>
      </c>
      <c r="W1066">
        <v>13.4</v>
      </c>
      <c r="X1066" t="s">
        <v>57</v>
      </c>
      <c r="Z1066" t="s">
        <v>1444</v>
      </c>
      <c r="AA1066" t="s">
        <v>462</v>
      </c>
      <c r="AE1066">
        <v>1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1</v>
      </c>
      <c r="AM1066">
        <v>0</v>
      </c>
      <c r="AN1066">
        <v>0</v>
      </c>
      <c r="AO1066">
        <v>0</v>
      </c>
      <c r="AP1066">
        <v>0</v>
      </c>
    </row>
    <row r="1067" spans="1:42" x14ac:dyDescent="0.25">
      <c r="A1067">
        <v>1193</v>
      </c>
      <c r="B1067" t="s">
        <v>1935</v>
      </c>
      <c r="C1067" t="s">
        <v>1930</v>
      </c>
      <c r="D1067" t="s">
        <v>133</v>
      </c>
      <c r="E1067" s="4">
        <v>1</v>
      </c>
      <c r="F1067" t="s">
        <v>127</v>
      </c>
      <c r="G1067" t="s">
        <v>127</v>
      </c>
      <c r="H1067" s="3">
        <v>46182</v>
      </c>
      <c r="I1067" s="3">
        <v>46183</v>
      </c>
      <c r="J1067" t="s">
        <v>571</v>
      </c>
      <c r="K1067" s="3">
        <v>46185</v>
      </c>
      <c r="L1067" s="3">
        <v>46185</v>
      </c>
      <c r="M1067" s="3">
        <v>46183</v>
      </c>
      <c r="N1067" s="3">
        <v>46183</v>
      </c>
      <c r="O1067" t="s">
        <v>204</v>
      </c>
      <c r="P1067" t="s">
        <v>55</v>
      </c>
      <c r="Q1067">
        <v>1192</v>
      </c>
      <c r="S1067" t="s">
        <v>124</v>
      </c>
      <c r="T1067" t="s">
        <v>1429</v>
      </c>
      <c r="U1067" t="s">
        <v>1936</v>
      </c>
      <c r="V1067" t="s">
        <v>61</v>
      </c>
      <c r="W1067">
        <v>13.4</v>
      </c>
      <c r="X1067" t="s">
        <v>57</v>
      </c>
      <c r="Z1067" t="s">
        <v>124</v>
      </c>
      <c r="AA1067" t="s">
        <v>462</v>
      </c>
      <c r="AE1067">
        <v>1</v>
      </c>
      <c r="AF1067">
        <v>0</v>
      </c>
      <c r="AG1067">
        <v>0</v>
      </c>
      <c r="AH1067">
        <v>0</v>
      </c>
      <c r="AI1067">
        <v>1</v>
      </c>
      <c r="AJ1067">
        <v>0</v>
      </c>
      <c r="AK1067">
        <v>0</v>
      </c>
      <c r="AL1067">
        <v>0</v>
      </c>
      <c r="AM1067">
        <v>0</v>
      </c>
      <c r="AN1067">
        <v>1</v>
      </c>
      <c r="AO1067">
        <v>0</v>
      </c>
      <c r="AP1067">
        <v>0</v>
      </c>
    </row>
    <row r="1068" spans="1:42" x14ac:dyDescent="0.25">
      <c r="A1068">
        <v>1194</v>
      </c>
      <c r="B1068" t="s">
        <v>1937</v>
      </c>
      <c r="C1068" t="s">
        <v>1927</v>
      </c>
      <c r="D1068" t="s">
        <v>1938</v>
      </c>
      <c r="E1068" s="4">
        <v>1</v>
      </c>
      <c r="F1068" t="s">
        <v>101</v>
      </c>
      <c r="G1068" t="s">
        <v>101</v>
      </c>
      <c r="H1068" s="3">
        <v>46176</v>
      </c>
      <c r="I1068" s="3">
        <v>46183</v>
      </c>
      <c r="J1068" t="s">
        <v>459</v>
      </c>
      <c r="K1068" s="3">
        <v>46183</v>
      </c>
      <c r="L1068" s="3">
        <v>46176</v>
      </c>
      <c r="M1068" s="3">
        <v>46183</v>
      </c>
      <c r="N1068" s="3">
        <v>46183</v>
      </c>
      <c r="O1068" t="s">
        <v>459</v>
      </c>
      <c r="P1068" t="s">
        <v>55</v>
      </c>
      <c r="T1068" t="s">
        <v>1429</v>
      </c>
      <c r="V1068" t="s">
        <v>330</v>
      </c>
      <c r="X1068" t="s">
        <v>57</v>
      </c>
      <c r="AA1068" t="s">
        <v>50</v>
      </c>
      <c r="AB1068" t="s">
        <v>94</v>
      </c>
      <c r="AE1068">
        <v>1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</row>
    <row r="1069" spans="1:42" x14ac:dyDescent="0.25">
      <c r="A1069">
        <v>1195</v>
      </c>
      <c r="B1069" t="s">
        <v>1939</v>
      </c>
      <c r="C1069" t="s">
        <v>1940</v>
      </c>
      <c r="D1069" t="s">
        <v>117</v>
      </c>
      <c r="E1069" s="4">
        <v>1</v>
      </c>
      <c r="F1069" t="s">
        <v>127</v>
      </c>
      <c r="G1069" t="s">
        <v>127</v>
      </c>
      <c r="H1069" s="3">
        <v>46176</v>
      </c>
      <c r="I1069" s="3">
        <v>46181</v>
      </c>
      <c r="J1069" t="s">
        <v>459</v>
      </c>
      <c r="K1069" s="3">
        <v>46181</v>
      </c>
      <c r="L1069" s="3">
        <v>46176</v>
      </c>
      <c r="M1069" s="3">
        <v>46181</v>
      </c>
      <c r="N1069" s="3">
        <v>46181</v>
      </c>
      <c r="O1069" t="s">
        <v>459</v>
      </c>
      <c r="P1069" t="s">
        <v>55</v>
      </c>
      <c r="Q1069" t="s">
        <v>1931</v>
      </c>
      <c r="S1069" t="s">
        <v>1444</v>
      </c>
      <c r="T1069" t="s">
        <v>1429</v>
      </c>
      <c r="U1069" t="s">
        <v>1941</v>
      </c>
      <c r="V1069" t="s">
        <v>151</v>
      </c>
      <c r="W1069">
        <v>13.4</v>
      </c>
      <c r="X1069" t="s">
        <v>57</v>
      </c>
      <c r="Z1069" t="s">
        <v>1444</v>
      </c>
      <c r="AA1069" t="s">
        <v>198</v>
      </c>
      <c r="AE1069">
        <v>1</v>
      </c>
      <c r="AF1069">
        <v>1</v>
      </c>
      <c r="AG1069">
        <v>1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1</v>
      </c>
    </row>
    <row r="1070" spans="1:42" x14ac:dyDescent="0.25">
      <c r="A1070">
        <v>1196</v>
      </c>
      <c r="B1070" t="s">
        <v>1942</v>
      </c>
      <c r="C1070" t="s">
        <v>1940</v>
      </c>
      <c r="D1070" t="s">
        <v>121</v>
      </c>
      <c r="E1070" s="4">
        <v>1</v>
      </c>
      <c r="F1070" t="s">
        <v>127</v>
      </c>
      <c r="G1070" t="s">
        <v>127</v>
      </c>
      <c r="H1070" s="3">
        <v>46181</v>
      </c>
      <c r="I1070" s="3">
        <v>46182</v>
      </c>
      <c r="J1070" t="s">
        <v>201</v>
      </c>
      <c r="K1070" s="3">
        <v>46182</v>
      </c>
      <c r="L1070" s="3">
        <v>46181</v>
      </c>
      <c r="M1070" s="3">
        <v>46182</v>
      </c>
      <c r="N1070" s="3">
        <v>46182</v>
      </c>
      <c r="O1070" t="s">
        <v>201</v>
      </c>
      <c r="P1070" t="s">
        <v>55</v>
      </c>
      <c r="Q1070">
        <v>1195</v>
      </c>
      <c r="S1070" t="s">
        <v>124</v>
      </c>
      <c r="T1070" t="s">
        <v>1429</v>
      </c>
      <c r="U1070">
        <v>1197</v>
      </c>
      <c r="V1070" t="s">
        <v>122</v>
      </c>
      <c r="W1070">
        <v>13.4</v>
      </c>
      <c r="X1070" t="s">
        <v>57</v>
      </c>
      <c r="Z1070" t="s">
        <v>124</v>
      </c>
      <c r="AA1070" t="s">
        <v>462</v>
      </c>
      <c r="AE1070">
        <v>1</v>
      </c>
      <c r="AF1070">
        <v>0</v>
      </c>
      <c r="AG1070">
        <v>0</v>
      </c>
      <c r="AH1070">
        <v>0</v>
      </c>
      <c r="AI1070">
        <v>0</v>
      </c>
      <c r="AJ1070">
        <v>1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</row>
    <row r="1071" spans="1:42" x14ac:dyDescent="0.25">
      <c r="A1071">
        <v>1197</v>
      </c>
      <c r="B1071" t="s">
        <v>1943</v>
      </c>
      <c r="C1071" t="s">
        <v>1940</v>
      </c>
      <c r="D1071" t="s">
        <v>126</v>
      </c>
      <c r="E1071" s="4">
        <v>1</v>
      </c>
      <c r="F1071" t="s">
        <v>61</v>
      </c>
      <c r="G1071" t="s">
        <v>61</v>
      </c>
      <c r="H1071" s="3">
        <v>46182</v>
      </c>
      <c r="I1071" s="3">
        <v>46182</v>
      </c>
      <c r="J1071" t="s">
        <v>204</v>
      </c>
      <c r="K1071" s="3">
        <v>46182</v>
      </c>
      <c r="L1071" s="3">
        <v>46182</v>
      </c>
      <c r="M1071" s="3">
        <v>46182</v>
      </c>
      <c r="N1071" s="3">
        <v>46182</v>
      </c>
      <c r="O1071" t="s">
        <v>204</v>
      </c>
      <c r="P1071" t="s">
        <v>55</v>
      </c>
      <c r="Q1071">
        <v>1196</v>
      </c>
      <c r="S1071" t="s">
        <v>1444</v>
      </c>
      <c r="T1071" t="s">
        <v>1429</v>
      </c>
      <c r="U1071">
        <v>1198</v>
      </c>
      <c r="V1071" t="s">
        <v>61</v>
      </c>
      <c r="W1071">
        <v>13.4</v>
      </c>
      <c r="X1071" t="s">
        <v>57</v>
      </c>
      <c r="Z1071" t="s">
        <v>1444</v>
      </c>
      <c r="AA1071" t="s">
        <v>462</v>
      </c>
      <c r="AE1071">
        <v>1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1</v>
      </c>
      <c r="AM1071">
        <v>0</v>
      </c>
      <c r="AN1071">
        <v>0</v>
      </c>
      <c r="AO1071">
        <v>0</v>
      </c>
      <c r="AP1071">
        <v>0</v>
      </c>
    </row>
    <row r="1072" spans="1:42" x14ac:dyDescent="0.25">
      <c r="A1072">
        <v>1198</v>
      </c>
      <c r="B1072" t="s">
        <v>1944</v>
      </c>
      <c r="C1072" t="s">
        <v>1940</v>
      </c>
      <c r="D1072" t="s">
        <v>133</v>
      </c>
      <c r="E1072" s="4">
        <v>1</v>
      </c>
      <c r="F1072" t="s">
        <v>127</v>
      </c>
      <c r="G1072" t="s">
        <v>127</v>
      </c>
      <c r="H1072" s="3">
        <v>46182</v>
      </c>
      <c r="I1072" s="3">
        <v>46183</v>
      </c>
      <c r="J1072" t="s">
        <v>204</v>
      </c>
      <c r="K1072" s="3">
        <v>46183</v>
      </c>
      <c r="L1072" s="3">
        <v>46182</v>
      </c>
      <c r="M1072" s="3">
        <v>46183</v>
      </c>
      <c r="N1072" s="3">
        <v>46183</v>
      </c>
      <c r="O1072" t="s">
        <v>204</v>
      </c>
      <c r="P1072" t="s">
        <v>55</v>
      </c>
      <c r="Q1072">
        <v>1197</v>
      </c>
      <c r="S1072" t="s">
        <v>124</v>
      </c>
      <c r="T1072" t="s">
        <v>1429</v>
      </c>
      <c r="U1072" t="s">
        <v>1936</v>
      </c>
      <c r="V1072" t="s">
        <v>61</v>
      </c>
      <c r="W1072">
        <v>13.4</v>
      </c>
      <c r="X1072" t="s">
        <v>57</v>
      </c>
      <c r="Z1072" t="s">
        <v>124</v>
      </c>
      <c r="AA1072" t="s">
        <v>462</v>
      </c>
      <c r="AE1072">
        <v>1</v>
      </c>
      <c r="AF1072">
        <v>0</v>
      </c>
      <c r="AG1072">
        <v>0</v>
      </c>
      <c r="AH1072">
        <v>0</v>
      </c>
      <c r="AI1072">
        <v>1</v>
      </c>
      <c r="AJ1072">
        <v>0</v>
      </c>
      <c r="AK1072">
        <v>0</v>
      </c>
      <c r="AL1072">
        <v>0</v>
      </c>
      <c r="AM1072">
        <v>0</v>
      </c>
      <c r="AN1072">
        <v>1</v>
      </c>
      <c r="AO1072">
        <v>0</v>
      </c>
      <c r="AP1072">
        <v>0</v>
      </c>
    </row>
    <row r="1073" spans="1:42" x14ac:dyDescent="0.25">
      <c r="A1073">
        <v>1199</v>
      </c>
      <c r="B1073" t="s">
        <v>1945</v>
      </c>
      <c r="C1073" t="s">
        <v>1927</v>
      </c>
      <c r="D1073" t="s">
        <v>1946</v>
      </c>
      <c r="E1073" s="4">
        <v>1</v>
      </c>
      <c r="F1073" t="s">
        <v>101</v>
      </c>
      <c r="G1073" t="s">
        <v>101</v>
      </c>
      <c r="H1073" s="3">
        <v>46176</v>
      </c>
      <c r="I1073" s="3">
        <v>46183</v>
      </c>
      <c r="J1073" t="s">
        <v>459</v>
      </c>
      <c r="K1073" s="3">
        <v>46183</v>
      </c>
      <c r="L1073" s="3">
        <v>46176</v>
      </c>
      <c r="M1073" s="3">
        <v>46183</v>
      </c>
      <c r="N1073" s="3">
        <v>46183</v>
      </c>
      <c r="O1073" t="s">
        <v>459</v>
      </c>
      <c r="P1073" t="s">
        <v>55</v>
      </c>
      <c r="T1073" t="s">
        <v>1429</v>
      </c>
      <c r="V1073" t="s">
        <v>330</v>
      </c>
      <c r="X1073" t="s">
        <v>57</v>
      </c>
      <c r="AA1073" t="s">
        <v>50</v>
      </c>
      <c r="AB1073" t="s">
        <v>94</v>
      </c>
      <c r="AE1073">
        <v>1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</row>
    <row r="1074" spans="1:42" x14ac:dyDescent="0.25">
      <c r="A1074">
        <v>1200</v>
      </c>
      <c r="B1074" t="s">
        <v>1947</v>
      </c>
      <c r="C1074" t="s">
        <v>1948</v>
      </c>
      <c r="D1074" t="s">
        <v>117</v>
      </c>
      <c r="E1074" s="4">
        <v>1</v>
      </c>
      <c r="F1074" t="s">
        <v>127</v>
      </c>
      <c r="G1074" t="s">
        <v>127</v>
      </c>
      <c r="H1074" s="3">
        <v>46176</v>
      </c>
      <c r="I1074" s="3">
        <v>46181</v>
      </c>
      <c r="J1074" t="s">
        <v>459</v>
      </c>
      <c r="K1074" s="3">
        <v>46181</v>
      </c>
      <c r="L1074" s="3">
        <v>46176</v>
      </c>
      <c r="M1074" s="3">
        <v>46181</v>
      </c>
      <c r="N1074" s="3">
        <v>46181</v>
      </c>
      <c r="O1074" t="s">
        <v>459</v>
      </c>
      <c r="P1074" t="s">
        <v>55</v>
      </c>
      <c r="Q1074" t="s">
        <v>1931</v>
      </c>
      <c r="S1074" t="s">
        <v>1444</v>
      </c>
      <c r="T1074" t="s">
        <v>1429</v>
      </c>
      <c r="U1074" t="s">
        <v>1949</v>
      </c>
      <c r="V1074" t="s">
        <v>151</v>
      </c>
      <c r="W1074">
        <v>13.4</v>
      </c>
      <c r="X1074" t="s">
        <v>57</v>
      </c>
      <c r="Z1074" t="s">
        <v>1444</v>
      </c>
      <c r="AA1074" t="s">
        <v>198</v>
      </c>
      <c r="AE1074">
        <v>1</v>
      </c>
      <c r="AF1074">
        <v>1</v>
      </c>
      <c r="AG1074">
        <v>1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1</v>
      </c>
    </row>
    <row r="1075" spans="1:42" x14ac:dyDescent="0.25">
      <c r="A1075">
        <v>1201</v>
      </c>
      <c r="B1075" t="s">
        <v>1950</v>
      </c>
      <c r="C1075" t="s">
        <v>1948</v>
      </c>
      <c r="D1075" t="s">
        <v>121</v>
      </c>
      <c r="E1075" s="4">
        <v>1</v>
      </c>
      <c r="F1075" t="s">
        <v>127</v>
      </c>
      <c r="G1075" t="s">
        <v>127</v>
      </c>
      <c r="H1075" s="3">
        <v>46181</v>
      </c>
      <c r="I1075" s="3">
        <v>46182</v>
      </c>
      <c r="J1075" t="s">
        <v>201</v>
      </c>
      <c r="K1075" s="3">
        <v>46182</v>
      </c>
      <c r="L1075" s="3">
        <v>46181</v>
      </c>
      <c r="M1075" s="3">
        <v>46182</v>
      </c>
      <c r="N1075" s="3">
        <v>46182</v>
      </c>
      <c r="O1075" t="s">
        <v>201</v>
      </c>
      <c r="P1075" t="s">
        <v>55</v>
      </c>
      <c r="Q1075">
        <v>1200</v>
      </c>
      <c r="S1075" t="s">
        <v>124</v>
      </c>
      <c r="T1075" t="s">
        <v>1429</v>
      </c>
      <c r="U1075">
        <v>1202</v>
      </c>
      <c r="V1075" t="s">
        <v>122</v>
      </c>
      <c r="W1075">
        <v>13.4</v>
      </c>
      <c r="X1075" t="s">
        <v>57</v>
      </c>
      <c r="Z1075" t="s">
        <v>124</v>
      </c>
      <c r="AA1075" t="s">
        <v>462</v>
      </c>
      <c r="AE1075">
        <v>1</v>
      </c>
      <c r="AF1075">
        <v>0</v>
      </c>
      <c r="AG1075">
        <v>0</v>
      </c>
      <c r="AH1075">
        <v>0</v>
      </c>
      <c r="AI1075">
        <v>0</v>
      </c>
      <c r="AJ1075">
        <v>1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</row>
    <row r="1076" spans="1:42" x14ac:dyDescent="0.25">
      <c r="A1076">
        <v>1202</v>
      </c>
      <c r="B1076" t="s">
        <v>1951</v>
      </c>
      <c r="C1076" t="s">
        <v>1948</v>
      </c>
      <c r="D1076" t="s">
        <v>126</v>
      </c>
      <c r="E1076" s="4">
        <v>1</v>
      </c>
      <c r="F1076" t="s">
        <v>61</v>
      </c>
      <c r="G1076" t="s">
        <v>61</v>
      </c>
      <c r="H1076" s="3">
        <v>46182</v>
      </c>
      <c r="I1076" s="3">
        <v>46182</v>
      </c>
      <c r="J1076" t="s">
        <v>204</v>
      </c>
      <c r="K1076" s="3">
        <v>46182</v>
      </c>
      <c r="L1076" s="3">
        <v>46182</v>
      </c>
      <c r="M1076" s="3">
        <v>46182</v>
      </c>
      <c r="N1076" s="3">
        <v>46182</v>
      </c>
      <c r="O1076" t="s">
        <v>204</v>
      </c>
      <c r="P1076" t="s">
        <v>55</v>
      </c>
      <c r="Q1076">
        <v>1201</v>
      </c>
      <c r="S1076" t="s">
        <v>1444</v>
      </c>
      <c r="T1076" t="s">
        <v>1429</v>
      </c>
      <c r="U1076">
        <v>1203</v>
      </c>
      <c r="V1076" t="s">
        <v>61</v>
      </c>
      <c r="W1076">
        <v>13.4</v>
      </c>
      <c r="X1076" t="s">
        <v>57</v>
      </c>
      <c r="Z1076" t="s">
        <v>1444</v>
      </c>
      <c r="AA1076" t="s">
        <v>462</v>
      </c>
      <c r="AE1076">
        <v>1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1</v>
      </c>
      <c r="AM1076">
        <v>0</v>
      </c>
      <c r="AN1076">
        <v>0</v>
      </c>
      <c r="AO1076">
        <v>0</v>
      </c>
      <c r="AP1076">
        <v>0</v>
      </c>
    </row>
    <row r="1077" spans="1:42" x14ac:dyDescent="0.25">
      <c r="A1077">
        <v>1203</v>
      </c>
      <c r="B1077" t="s">
        <v>1952</v>
      </c>
      <c r="C1077" t="s">
        <v>1948</v>
      </c>
      <c r="D1077" t="s">
        <v>133</v>
      </c>
      <c r="E1077" s="4">
        <v>1</v>
      </c>
      <c r="F1077" t="s">
        <v>127</v>
      </c>
      <c r="G1077" t="s">
        <v>127</v>
      </c>
      <c r="H1077" s="3">
        <v>46182</v>
      </c>
      <c r="I1077" s="3">
        <v>46183</v>
      </c>
      <c r="J1077" t="s">
        <v>204</v>
      </c>
      <c r="K1077" s="3">
        <v>46183</v>
      </c>
      <c r="L1077" s="3">
        <v>46182</v>
      </c>
      <c r="M1077" s="3">
        <v>46183</v>
      </c>
      <c r="N1077" s="3">
        <v>46183</v>
      </c>
      <c r="O1077" t="s">
        <v>204</v>
      </c>
      <c r="P1077" t="s">
        <v>55</v>
      </c>
      <c r="Q1077">
        <v>1202</v>
      </c>
      <c r="S1077" t="s">
        <v>124</v>
      </c>
      <c r="T1077" t="s">
        <v>1429</v>
      </c>
      <c r="U1077" t="s">
        <v>1936</v>
      </c>
      <c r="V1077" t="s">
        <v>61</v>
      </c>
      <c r="W1077">
        <v>13.4</v>
      </c>
      <c r="X1077" t="s">
        <v>57</v>
      </c>
      <c r="Z1077" t="s">
        <v>124</v>
      </c>
      <c r="AA1077" t="s">
        <v>462</v>
      </c>
      <c r="AE1077">
        <v>1</v>
      </c>
      <c r="AF1077">
        <v>0</v>
      </c>
      <c r="AG1077">
        <v>0</v>
      </c>
      <c r="AH1077">
        <v>0</v>
      </c>
      <c r="AI1077">
        <v>1</v>
      </c>
      <c r="AJ1077">
        <v>0</v>
      </c>
      <c r="AK1077">
        <v>0</v>
      </c>
      <c r="AL1077">
        <v>0</v>
      </c>
      <c r="AM1077">
        <v>0</v>
      </c>
      <c r="AN1077">
        <v>1</v>
      </c>
      <c r="AO1077">
        <v>0</v>
      </c>
      <c r="AP1077">
        <v>0</v>
      </c>
    </row>
    <row r="1078" spans="1:42" x14ac:dyDescent="0.25">
      <c r="A1078">
        <v>1204</v>
      </c>
      <c r="B1078" t="s">
        <v>1953</v>
      </c>
      <c r="C1078" t="s">
        <v>1927</v>
      </c>
      <c r="D1078" t="s">
        <v>1954</v>
      </c>
      <c r="E1078" s="4">
        <v>1</v>
      </c>
      <c r="F1078" t="s">
        <v>175</v>
      </c>
      <c r="G1078" t="s">
        <v>175</v>
      </c>
      <c r="H1078" s="3">
        <v>46171</v>
      </c>
      <c r="I1078" s="3">
        <v>46183</v>
      </c>
      <c r="J1078" t="s">
        <v>571</v>
      </c>
      <c r="K1078" s="3">
        <v>46196</v>
      </c>
      <c r="L1078" s="3">
        <v>46185</v>
      </c>
      <c r="M1078" s="3">
        <v>46183</v>
      </c>
      <c r="N1078" s="3">
        <v>46183</v>
      </c>
      <c r="O1078" t="s">
        <v>189</v>
      </c>
      <c r="P1078" t="s">
        <v>55</v>
      </c>
      <c r="T1078" t="s">
        <v>1429</v>
      </c>
      <c r="V1078" t="s">
        <v>210</v>
      </c>
      <c r="X1078" t="s">
        <v>57</v>
      </c>
      <c r="AA1078" t="s">
        <v>50</v>
      </c>
      <c r="AB1078" t="s">
        <v>94</v>
      </c>
      <c r="AE1078">
        <v>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</row>
    <row r="1079" spans="1:42" x14ac:dyDescent="0.25">
      <c r="A1079">
        <v>1205</v>
      </c>
      <c r="B1079" t="s">
        <v>1955</v>
      </c>
      <c r="C1079" t="s">
        <v>1956</v>
      </c>
      <c r="D1079" t="s">
        <v>117</v>
      </c>
      <c r="E1079" s="4">
        <v>1</v>
      </c>
      <c r="F1079" t="s">
        <v>122</v>
      </c>
      <c r="G1079" t="s">
        <v>122</v>
      </c>
      <c r="H1079" s="3">
        <v>46171</v>
      </c>
      <c r="I1079" s="3">
        <v>46175</v>
      </c>
      <c r="J1079" t="s">
        <v>571</v>
      </c>
      <c r="K1079" s="3">
        <v>46189</v>
      </c>
      <c r="L1079" s="3">
        <v>46185</v>
      </c>
      <c r="M1079" s="3">
        <v>46175</v>
      </c>
      <c r="N1079" s="3">
        <v>46175</v>
      </c>
      <c r="O1079" t="s">
        <v>189</v>
      </c>
      <c r="P1079" t="s">
        <v>55</v>
      </c>
      <c r="Q1079" t="s">
        <v>1957</v>
      </c>
      <c r="S1079" t="s">
        <v>1433</v>
      </c>
      <c r="T1079" t="s">
        <v>1429</v>
      </c>
      <c r="U1079">
        <v>1206</v>
      </c>
      <c r="V1079" t="s">
        <v>122</v>
      </c>
      <c r="W1079">
        <v>13.4</v>
      </c>
      <c r="X1079" t="s">
        <v>57</v>
      </c>
      <c r="Z1079" t="s">
        <v>1433</v>
      </c>
      <c r="AA1079" t="s">
        <v>462</v>
      </c>
      <c r="AE1079">
        <v>1</v>
      </c>
      <c r="AF1079">
        <v>1</v>
      </c>
      <c r="AG1079">
        <v>1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1</v>
      </c>
    </row>
    <row r="1080" spans="1:42" x14ac:dyDescent="0.25">
      <c r="A1080">
        <v>1206</v>
      </c>
      <c r="B1080" t="s">
        <v>1958</v>
      </c>
      <c r="C1080" t="s">
        <v>1956</v>
      </c>
      <c r="D1080" t="s">
        <v>121</v>
      </c>
      <c r="E1080" s="4">
        <v>1</v>
      </c>
      <c r="F1080" t="s">
        <v>127</v>
      </c>
      <c r="G1080" t="s">
        <v>127</v>
      </c>
      <c r="H1080" s="3">
        <v>46176</v>
      </c>
      <c r="I1080" s="3">
        <v>46181</v>
      </c>
      <c r="J1080" t="s">
        <v>75</v>
      </c>
      <c r="K1080" s="3">
        <v>46192</v>
      </c>
      <c r="L1080" s="3">
        <v>46190</v>
      </c>
      <c r="M1080" s="3">
        <v>46181</v>
      </c>
      <c r="N1080" s="3">
        <v>46181</v>
      </c>
      <c r="O1080" t="s">
        <v>459</v>
      </c>
      <c r="P1080" t="s">
        <v>55</v>
      </c>
      <c r="Q1080">
        <v>1205</v>
      </c>
      <c r="S1080" t="s">
        <v>124</v>
      </c>
      <c r="T1080" t="s">
        <v>1429</v>
      </c>
      <c r="U1080">
        <v>1207</v>
      </c>
      <c r="V1080" t="s">
        <v>122</v>
      </c>
      <c r="W1080">
        <v>13.4</v>
      </c>
      <c r="X1080" t="s">
        <v>57</v>
      </c>
      <c r="Z1080" t="s">
        <v>124</v>
      </c>
      <c r="AA1080" t="s">
        <v>217</v>
      </c>
      <c r="AE1080">
        <v>1</v>
      </c>
      <c r="AF1080">
        <v>0</v>
      </c>
      <c r="AG1080">
        <v>0</v>
      </c>
      <c r="AH1080">
        <v>0</v>
      </c>
      <c r="AI1080">
        <v>0</v>
      </c>
      <c r="AJ1080">
        <v>1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</row>
    <row r="1081" spans="1:42" x14ac:dyDescent="0.25">
      <c r="A1081">
        <v>1207</v>
      </c>
      <c r="B1081" t="s">
        <v>1959</v>
      </c>
      <c r="C1081" t="s">
        <v>1956</v>
      </c>
      <c r="D1081" t="s">
        <v>126</v>
      </c>
      <c r="E1081" s="4">
        <v>1</v>
      </c>
      <c r="F1081" t="s">
        <v>61</v>
      </c>
      <c r="G1081" t="s">
        <v>61</v>
      </c>
      <c r="H1081" s="3">
        <v>46182</v>
      </c>
      <c r="I1081" s="3">
        <v>46182</v>
      </c>
      <c r="J1081" t="s">
        <v>219</v>
      </c>
      <c r="K1081" s="3">
        <v>46195</v>
      </c>
      <c r="L1081" s="3">
        <v>46195</v>
      </c>
      <c r="M1081" s="3">
        <v>46182</v>
      </c>
      <c r="N1081" s="3">
        <v>46182</v>
      </c>
      <c r="O1081" t="s">
        <v>204</v>
      </c>
      <c r="P1081" t="s">
        <v>55</v>
      </c>
      <c r="Q1081">
        <v>1206</v>
      </c>
      <c r="S1081" t="s">
        <v>1433</v>
      </c>
      <c r="T1081" t="s">
        <v>1429</v>
      </c>
      <c r="U1081">
        <v>1208</v>
      </c>
      <c r="V1081" t="s">
        <v>61</v>
      </c>
      <c r="W1081">
        <v>13.4</v>
      </c>
      <c r="X1081" t="s">
        <v>57</v>
      </c>
      <c r="Z1081" t="s">
        <v>1433</v>
      </c>
      <c r="AA1081" t="s">
        <v>131</v>
      </c>
      <c r="AE1081">
        <v>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1</v>
      </c>
      <c r="AM1081">
        <v>0</v>
      </c>
      <c r="AN1081">
        <v>0</v>
      </c>
      <c r="AO1081">
        <v>0</v>
      </c>
      <c r="AP1081">
        <v>0</v>
      </c>
    </row>
    <row r="1082" spans="1:42" x14ac:dyDescent="0.25">
      <c r="A1082">
        <v>1208</v>
      </c>
      <c r="B1082" t="s">
        <v>1960</v>
      </c>
      <c r="C1082" t="s">
        <v>1956</v>
      </c>
      <c r="D1082" t="s">
        <v>133</v>
      </c>
      <c r="E1082" s="4">
        <v>1</v>
      </c>
      <c r="F1082" t="s">
        <v>61</v>
      </c>
      <c r="G1082" t="s">
        <v>61</v>
      </c>
      <c r="H1082" s="3">
        <v>46182</v>
      </c>
      <c r="I1082" s="3">
        <v>46183</v>
      </c>
      <c r="J1082" t="s">
        <v>212</v>
      </c>
      <c r="K1082" s="3">
        <v>46196</v>
      </c>
      <c r="L1082" s="3">
        <v>46196</v>
      </c>
      <c r="M1082" s="3">
        <v>46183</v>
      </c>
      <c r="N1082" s="3">
        <v>46183</v>
      </c>
      <c r="O1082" t="s">
        <v>204</v>
      </c>
      <c r="P1082" t="s">
        <v>55</v>
      </c>
      <c r="Q1082">
        <v>1207</v>
      </c>
      <c r="S1082" t="s">
        <v>124</v>
      </c>
      <c r="T1082" t="s">
        <v>1429</v>
      </c>
      <c r="V1082" t="s">
        <v>61</v>
      </c>
      <c r="W1082">
        <v>13.4</v>
      </c>
      <c r="X1082" t="s">
        <v>57</v>
      </c>
      <c r="Z1082" t="s">
        <v>124</v>
      </c>
      <c r="AA1082" t="s">
        <v>131</v>
      </c>
      <c r="AE1082">
        <v>1</v>
      </c>
      <c r="AF1082">
        <v>0</v>
      </c>
      <c r="AG1082">
        <v>0</v>
      </c>
      <c r="AH1082">
        <v>0</v>
      </c>
      <c r="AI1082">
        <v>1</v>
      </c>
      <c r="AJ1082">
        <v>0</v>
      </c>
      <c r="AK1082">
        <v>0</v>
      </c>
      <c r="AL1082">
        <v>0</v>
      </c>
      <c r="AM1082">
        <v>0</v>
      </c>
      <c r="AN1082">
        <v>1</v>
      </c>
      <c r="AO1082">
        <v>0</v>
      </c>
      <c r="AP1082">
        <v>0</v>
      </c>
    </row>
    <row r="1083" spans="1:42" x14ac:dyDescent="0.25">
      <c r="A1083">
        <v>1209</v>
      </c>
      <c r="B1083" t="s">
        <v>1961</v>
      </c>
      <c r="C1083" t="s">
        <v>1927</v>
      </c>
      <c r="D1083" t="s">
        <v>1962</v>
      </c>
      <c r="E1083" s="4">
        <v>1</v>
      </c>
      <c r="F1083" t="s">
        <v>101</v>
      </c>
      <c r="G1083" t="s">
        <v>101</v>
      </c>
      <c r="H1083" s="3">
        <v>46176</v>
      </c>
      <c r="I1083" s="3">
        <v>46183</v>
      </c>
      <c r="J1083" t="s">
        <v>595</v>
      </c>
      <c r="K1083" s="3">
        <v>46197</v>
      </c>
      <c r="L1083" s="3">
        <v>46188</v>
      </c>
      <c r="M1083" s="3">
        <v>46183</v>
      </c>
      <c r="N1083" s="3">
        <v>46183</v>
      </c>
      <c r="O1083" t="s">
        <v>459</v>
      </c>
      <c r="P1083" t="s">
        <v>55</v>
      </c>
      <c r="T1083" t="s">
        <v>1429</v>
      </c>
      <c r="V1083" t="s">
        <v>210</v>
      </c>
      <c r="X1083" t="s">
        <v>57</v>
      </c>
      <c r="AA1083" t="s">
        <v>50</v>
      </c>
      <c r="AB1083" t="s">
        <v>94</v>
      </c>
      <c r="AE1083">
        <v>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</row>
    <row r="1084" spans="1:42" x14ac:dyDescent="0.25">
      <c r="A1084">
        <v>1210</v>
      </c>
      <c r="B1084" t="s">
        <v>1963</v>
      </c>
      <c r="C1084" t="s">
        <v>1964</v>
      </c>
      <c r="D1084" t="s">
        <v>117</v>
      </c>
      <c r="E1084" s="4">
        <v>1</v>
      </c>
      <c r="F1084" t="s">
        <v>61</v>
      </c>
      <c r="G1084" t="s">
        <v>61</v>
      </c>
      <c r="H1084" s="3">
        <v>46176</v>
      </c>
      <c r="I1084" s="3">
        <v>46181</v>
      </c>
      <c r="J1084" t="s">
        <v>595</v>
      </c>
      <c r="K1084" s="3">
        <v>46190</v>
      </c>
      <c r="L1084" s="3">
        <v>46188</v>
      </c>
      <c r="M1084" s="3">
        <v>46181</v>
      </c>
      <c r="N1084" s="3">
        <v>46181</v>
      </c>
      <c r="O1084" t="s">
        <v>459</v>
      </c>
      <c r="P1084" t="s">
        <v>55</v>
      </c>
      <c r="Q1084" t="s">
        <v>1965</v>
      </c>
      <c r="S1084" t="s">
        <v>1444</v>
      </c>
      <c r="T1084" t="s">
        <v>1429</v>
      </c>
      <c r="U1084" t="s">
        <v>1966</v>
      </c>
      <c r="V1084" t="s">
        <v>122</v>
      </c>
      <c r="W1084">
        <v>13.4</v>
      </c>
      <c r="X1084" t="s">
        <v>57</v>
      </c>
      <c r="Z1084" t="s">
        <v>1444</v>
      </c>
      <c r="AA1084" t="s">
        <v>217</v>
      </c>
      <c r="AE1084">
        <v>1</v>
      </c>
      <c r="AF1084">
        <v>1</v>
      </c>
      <c r="AG1084">
        <v>1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1</v>
      </c>
    </row>
    <row r="1085" spans="1:42" x14ac:dyDescent="0.25">
      <c r="A1085">
        <v>1211</v>
      </c>
      <c r="B1085" t="s">
        <v>1967</v>
      </c>
      <c r="C1085" t="s">
        <v>1964</v>
      </c>
      <c r="D1085" t="s">
        <v>121</v>
      </c>
      <c r="E1085" s="4">
        <v>1</v>
      </c>
      <c r="F1085" t="s">
        <v>127</v>
      </c>
      <c r="G1085" t="s">
        <v>127</v>
      </c>
      <c r="H1085" s="3">
        <v>46181</v>
      </c>
      <c r="I1085" s="3">
        <v>46182</v>
      </c>
      <c r="J1085" t="s">
        <v>480</v>
      </c>
      <c r="K1085" s="3">
        <v>46195</v>
      </c>
      <c r="L1085" s="3">
        <v>46191</v>
      </c>
      <c r="M1085" s="3">
        <v>46182</v>
      </c>
      <c r="N1085" s="3">
        <v>46182</v>
      </c>
      <c r="O1085" t="s">
        <v>201</v>
      </c>
      <c r="P1085" t="s">
        <v>55</v>
      </c>
      <c r="Q1085">
        <v>1210</v>
      </c>
      <c r="S1085" t="s">
        <v>124</v>
      </c>
      <c r="T1085" t="s">
        <v>1429</v>
      </c>
      <c r="U1085">
        <v>1212</v>
      </c>
      <c r="V1085" t="s">
        <v>122</v>
      </c>
      <c r="W1085">
        <v>13.4</v>
      </c>
      <c r="X1085" t="s">
        <v>57</v>
      </c>
      <c r="Z1085" t="s">
        <v>124</v>
      </c>
      <c r="AA1085" t="s">
        <v>217</v>
      </c>
      <c r="AE1085">
        <v>1</v>
      </c>
      <c r="AF1085">
        <v>0</v>
      </c>
      <c r="AG1085">
        <v>0</v>
      </c>
      <c r="AH1085">
        <v>0</v>
      </c>
      <c r="AI1085">
        <v>0</v>
      </c>
      <c r="AJ1085">
        <v>1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</row>
    <row r="1086" spans="1:42" x14ac:dyDescent="0.25">
      <c r="A1086">
        <v>1212</v>
      </c>
      <c r="B1086" t="s">
        <v>1968</v>
      </c>
      <c r="C1086" t="s">
        <v>1964</v>
      </c>
      <c r="D1086" t="s">
        <v>126</v>
      </c>
      <c r="E1086" s="4">
        <v>1</v>
      </c>
      <c r="F1086" t="s">
        <v>61</v>
      </c>
      <c r="G1086" t="s">
        <v>61</v>
      </c>
      <c r="H1086" s="3">
        <v>46182</v>
      </c>
      <c r="I1086" s="3">
        <v>46182</v>
      </c>
      <c r="J1086" t="s">
        <v>212</v>
      </c>
      <c r="K1086" s="3">
        <v>46196</v>
      </c>
      <c r="L1086" s="3">
        <v>46196</v>
      </c>
      <c r="M1086" s="3">
        <v>46182</v>
      </c>
      <c r="N1086" s="3">
        <v>46182</v>
      </c>
      <c r="O1086" t="s">
        <v>204</v>
      </c>
      <c r="P1086" t="s">
        <v>55</v>
      </c>
      <c r="Q1086">
        <v>1211</v>
      </c>
      <c r="S1086" t="s">
        <v>1444</v>
      </c>
      <c r="T1086" t="s">
        <v>1429</v>
      </c>
      <c r="U1086">
        <v>1213</v>
      </c>
      <c r="V1086" t="s">
        <v>61</v>
      </c>
      <c r="W1086">
        <v>13.4</v>
      </c>
      <c r="X1086" t="s">
        <v>57</v>
      </c>
      <c r="Z1086" t="s">
        <v>1444</v>
      </c>
      <c r="AA1086" t="s">
        <v>131</v>
      </c>
      <c r="AE1086">
        <v>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1</v>
      </c>
      <c r="AM1086">
        <v>0</v>
      </c>
      <c r="AN1086">
        <v>0</v>
      </c>
      <c r="AO1086">
        <v>0</v>
      </c>
      <c r="AP1086">
        <v>0</v>
      </c>
    </row>
    <row r="1087" spans="1:42" x14ac:dyDescent="0.25">
      <c r="A1087">
        <v>1213</v>
      </c>
      <c r="B1087" t="s">
        <v>1969</v>
      </c>
      <c r="C1087" t="s">
        <v>1964</v>
      </c>
      <c r="D1087" t="s">
        <v>133</v>
      </c>
      <c r="E1087" s="4">
        <v>1</v>
      </c>
      <c r="F1087" t="s">
        <v>61</v>
      </c>
      <c r="G1087" t="s">
        <v>61</v>
      </c>
      <c r="H1087" s="3">
        <v>46182</v>
      </c>
      <c r="I1087" s="3">
        <v>46183</v>
      </c>
      <c r="J1087" t="s">
        <v>207</v>
      </c>
      <c r="K1087" s="3">
        <v>46197</v>
      </c>
      <c r="L1087" s="3">
        <v>46197</v>
      </c>
      <c r="M1087" s="3">
        <v>46183</v>
      </c>
      <c r="N1087" s="3">
        <v>46183</v>
      </c>
      <c r="O1087" t="s">
        <v>204</v>
      </c>
      <c r="P1087" t="s">
        <v>55</v>
      </c>
      <c r="Q1087">
        <v>1212</v>
      </c>
      <c r="S1087" t="s">
        <v>124</v>
      </c>
      <c r="T1087" t="s">
        <v>1429</v>
      </c>
      <c r="V1087" t="s">
        <v>61</v>
      </c>
      <c r="W1087">
        <v>13.4</v>
      </c>
      <c r="X1087" t="s">
        <v>57</v>
      </c>
      <c r="Z1087" t="s">
        <v>124</v>
      </c>
      <c r="AA1087" t="s">
        <v>131</v>
      </c>
      <c r="AE1087">
        <v>1</v>
      </c>
      <c r="AF1087">
        <v>0</v>
      </c>
      <c r="AG1087">
        <v>0</v>
      </c>
      <c r="AH1087">
        <v>0</v>
      </c>
      <c r="AI1087">
        <v>1</v>
      </c>
      <c r="AJ1087">
        <v>0</v>
      </c>
      <c r="AK1087">
        <v>0</v>
      </c>
      <c r="AL1087">
        <v>0</v>
      </c>
      <c r="AM1087">
        <v>0</v>
      </c>
      <c r="AN1087">
        <v>1</v>
      </c>
      <c r="AO1087">
        <v>0</v>
      </c>
      <c r="AP1087">
        <v>0</v>
      </c>
    </row>
    <row r="1088" spans="1:42" x14ac:dyDescent="0.25">
      <c r="A1088">
        <v>1214</v>
      </c>
      <c r="B1088" t="s">
        <v>1970</v>
      </c>
      <c r="C1088" t="s">
        <v>1927</v>
      </c>
      <c r="D1088" t="s">
        <v>1971</v>
      </c>
      <c r="E1088" s="4">
        <v>1</v>
      </c>
      <c r="F1088" t="s">
        <v>101</v>
      </c>
      <c r="G1088" t="s">
        <v>101</v>
      </c>
      <c r="H1088" s="3">
        <v>46176</v>
      </c>
      <c r="I1088" s="3">
        <v>46183</v>
      </c>
      <c r="J1088" t="s">
        <v>576</v>
      </c>
      <c r="K1088" s="3">
        <v>46197</v>
      </c>
      <c r="L1088" s="3">
        <v>46189</v>
      </c>
      <c r="M1088" s="3">
        <v>46183</v>
      </c>
      <c r="N1088" s="3">
        <v>46183</v>
      </c>
      <c r="O1088" t="s">
        <v>459</v>
      </c>
      <c r="P1088" t="s">
        <v>55</v>
      </c>
      <c r="T1088" t="s">
        <v>1429</v>
      </c>
      <c r="V1088" t="s">
        <v>175</v>
      </c>
      <c r="X1088" t="s">
        <v>57</v>
      </c>
      <c r="AA1088" t="s">
        <v>50</v>
      </c>
      <c r="AB1088" t="s">
        <v>94</v>
      </c>
      <c r="AE1088">
        <v>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</row>
    <row r="1089" spans="1:42" x14ac:dyDescent="0.25">
      <c r="A1089">
        <v>1215</v>
      </c>
      <c r="B1089" t="s">
        <v>1972</v>
      </c>
      <c r="C1089" t="s">
        <v>1973</v>
      </c>
      <c r="D1089" t="s">
        <v>117</v>
      </c>
      <c r="E1089" s="4">
        <v>1</v>
      </c>
      <c r="F1089" t="s">
        <v>127</v>
      </c>
      <c r="G1089" t="s">
        <v>127</v>
      </c>
      <c r="H1089" s="3">
        <v>46176</v>
      </c>
      <c r="I1089" s="3">
        <v>46181</v>
      </c>
      <c r="J1089" t="s">
        <v>576</v>
      </c>
      <c r="K1089" s="3">
        <v>46190</v>
      </c>
      <c r="L1089" s="3">
        <v>46189</v>
      </c>
      <c r="M1089" s="3">
        <v>46181</v>
      </c>
      <c r="N1089" s="3">
        <v>46181</v>
      </c>
      <c r="O1089" t="s">
        <v>459</v>
      </c>
      <c r="P1089" t="s">
        <v>55</v>
      </c>
      <c r="Q1089" t="s">
        <v>1974</v>
      </c>
      <c r="S1089" t="s">
        <v>1444</v>
      </c>
      <c r="T1089" t="s">
        <v>1429</v>
      </c>
      <c r="U1089">
        <v>1216</v>
      </c>
      <c r="V1089" t="s">
        <v>127</v>
      </c>
      <c r="W1089">
        <v>13.4</v>
      </c>
      <c r="X1089" t="s">
        <v>57</v>
      </c>
      <c r="Z1089" t="s">
        <v>1444</v>
      </c>
      <c r="AA1089" t="s">
        <v>217</v>
      </c>
      <c r="AE1089">
        <v>1</v>
      </c>
      <c r="AF1089">
        <v>1</v>
      </c>
      <c r="AG1089">
        <v>1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1</v>
      </c>
    </row>
    <row r="1090" spans="1:42" x14ac:dyDescent="0.25">
      <c r="A1090">
        <v>1216</v>
      </c>
      <c r="B1090" t="s">
        <v>1975</v>
      </c>
      <c r="C1090" t="s">
        <v>1973</v>
      </c>
      <c r="D1090" t="s">
        <v>121</v>
      </c>
      <c r="E1090" s="4">
        <v>1</v>
      </c>
      <c r="F1090" t="s">
        <v>127</v>
      </c>
      <c r="G1090" t="s">
        <v>127</v>
      </c>
      <c r="H1090" s="3">
        <v>46181</v>
      </c>
      <c r="I1090" s="3">
        <v>46182</v>
      </c>
      <c r="J1090" t="s">
        <v>480</v>
      </c>
      <c r="K1090" s="3">
        <v>46195</v>
      </c>
      <c r="L1090" s="3">
        <v>46191</v>
      </c>
      <c r="M1090" s="3">
        <v>46182</v>
      </c>
      <c r="N1090" s="3">
        <v>46182</v>
      </c>
      <c r="O1090" t="s">
        <v>201</v>
      </c>
      <c r="P1090" t="s">
        <v>55</v>
      </c>
      <c r="Q1090">
        <v>1215</v>
      </c>
      <c r="S1090" t="s">
        <v>124</v>
      </c>
      <c r="T1090" t="s">
        <v>1429</v>
      </c>
      <c r="U1090">
        <v>1217</v>
      </c>
      <c r="V1090" t="s">
        <v>122</v>
      </c>
      <c r="W1090">
        <v>13.4</v>
      </c>
      <c r="X1090" t="s">
        <v>57</v>
      </c>
      <c r="Z1090" t="s">
        <v>124</v>
      </c>
      <c r="AA1090" t="s">
        <v>217</v>
      </c>
      <c r="AE1090">
        <v>1</v>
      </c>
      <c r="AF1090">
        <v>0</v>
      </c>
      <c r="AG1090">
        <v>0</v>
      </c>
      <c r="AH1090">
        <v>0</v>
      </c>
      <c r="AI1090">
        <v>0</v>
      </c>
      <c r="AJ1090">
        <v>1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</row>
    <row r="1091" spans="1:42" x14ac:dyDescent="0.25">
      <c r="A1091">
        <v>1217</v>
      </c>
      <c r="B1091" t="s">
        <v>1976</v>
      </c>
      <c r="C1091" t="s">
        <v>1973</v>
      </c>
      <c r="D1091" t="s">
        <v>126</v>
      </c>
      <c r="E1091" s="4">
        <v>1</v>
      </c>
      <c r="F1091" t="s">
        <v>61</v>
      </c>
      <c r="G1091" t="s">
        <v>61</v>
      </c>
      <c r="H1091" s="3">
        <v>46182</v>
      </c>
      <c r="I1091" s="3">
        <v>46182</v>
      </c>
      <c r="J1091" t="s">
        <v>212</v>
      </c>
      <c r="K1091" s="3">
        <v>46196</v>
      </c>
      <c r="L1091" s="3">
        <v>46196</v>
      </c>
      <c r="M1091" s="3">
        <v>46182</v>
      </c>
      <c r="N1091" s="3">
        <v>46182</v>
      </c>
      <c r="O1091" t="s">
        <v>204</v>
      </c>
      <c r="P1091" t="s">
        <v>55</v>
      </c>
      <c r="Q1091">
        <v>1216</v>
      </c>
      <c r="S1091" t="s">
        <v>1444</v>
      </c>
      <c r="T1091" t="s">
        <v>1429</v>
      </c>
      <c r="U1091">
        <v>1218</v>
      </c>
      <c r="V1091" t="s">
        <v>61</v>
      </c>
      <c r="W1091">
        <v>13.4</v>
      </c>
      <c r="X1091" t="s">
        <v>57</v>
      </c>
      <c r="Z1091" t="s">
        <v>1444</v>
      </c>
      <c r="AA1091" t="s">
        <v>131</v>
      </c>
      <c r="AE1091">
        <v>1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1</v>
      </c>
      <c r="AM1091">
        <v>0</v>
      </c>
      <c r="AN1091">
        <v>0</v>
      </c>
      <c r="AO1091">
        <v>0</v>
      </c>
      <c r="AP1091">
        <v>0</v>
      </c>
    </row>
    <row r="1092" spans="1:42" x14ac:dyDescent="0.25">
      <c r="A1092">
        <v>1218</v>
      </c>
      <c r="B1092" t="s">
        <v>1977</v>
      </c>
      <c r="C1092" t="s">
        <v>1973</v>
      </c>
      <c r="D1092" t="s">
        <v>133</v>
      </c>
      <c r="E1092" s="4">
        <v>1</v>
      </c>
      <c r="F1092" t="s">
        <v>127</v>
      </c>
      <c r="G1092" t="s">
        <v>127</v>
      </c>
      <c r="H1092" s="3">
        <v>46182</v>
      </c>
      <c r="I1092" s="3">
        <v>46183</v>
      </c>
      <c r="J1092" t="s">
        <v>207</v>
      </c>
      <c r="K1092" s="3">
        <v>46197</v>
      </c>
      <c r="L1092" s="3">
        <v>46197</v>
      </c>
      <c r="M1092" s="3">
        <v>46183</v>
      </c>
      <c r="N1092" s="3">
        <v>46183</v>
      </c>
      <c r="O1092" t="s">
        <v>204</v>
      </c>
      <c r="P1092" t="s">
        <v>55</v>
      </c>
      <c r="Q1092">
        <v>1217</v>
      </c>
      <c r="S1092" t="s">
        <v>124</v>
      </c>
      <c r="T1092" t="s">
        <v>1429</v>
      </c>
      <c r="V1092" t="s">
        <v>61</v>
      </c>
      <c r="W1092">
        <v>13.4</v>
      </c>
      <c r="X1092" t="s">
        <v>57</v>
      </c>
      <c r="Z1092" t="s">
        <v>124</v>
      </c>
      <c r="AA1092" t="s">
        <v>131</v>
      </c>
      <c r="AE1092">
        <v>1</v>
      </c>
      <c r="AF1092">
        <v>0</v>
      </c>
      <c r="AG1092">
        <v>0</v>
      </c>
      <c r="AH1092">
        <v>0</v>
      </c>
      <c r="AI1092">
        <v>1</v>
      </c>
      <c r="AJ1092">
        <v>0</v>
      </c>
      <c r="AK1092">
        <v>0</v>
      </c>
      <c r="AL1092">
        <v>0</v>
      </c>
      <c r="AM1092">
        <v>0</v>
      </c>
      <c r="AN1092">
        <v>1</v>
      </c>
      <c r="AO1092">
        <v>0</v>
      </c>
      <c r="AP1092">
        <v>0</v>
      </c>
    </row>
    <row r="1093" spans="1:42" x14ac:dyDescent="0.25">
      <c r="A1093">
        <v>1219</v>
      </c>
      <c r="B1093" t="s">
        <v>1978</v>
      </c>
      <c r="C1093" t="s">
        <v>1927</v>
      </c>
      <c r="D1093" t="s">
        <v>1979</v>
      </c>
      <c r="E1093" s="4">
        <v>1</v>
      </c>
      <c r="F1093" t="s">
        <v>101</v>
      </c>
      <c r="G1093" t="s">
        <v>101</v>
      </c>
      <c r="H1093" s="3">
        <v>46176</v>
      </c>
      <c r="I1093" s="3">
        <v>46183</v>
      </c>
      <c r="J1093" t="s">
        <v>459</v>
      </c>
      <c r="K1093" s="3">
        <v>46183</v>
      </c>
      <c r="L1093" s="3">
        <v>46176</v>
      </c>
      <c r="M1093" s="3">
        <v>46183</v>
      </c>
      <c r="N1093" s="3">
        <v>46183</v>
      </c>
      <c r="O1093" t="s">
        <v>459</v>
      </c>
      <c r="P1093" t="s">
        <v>55</v>
      </c>
      <c r="T1093" t="s">
        <v>1429</v>
      </c>
      <c r="V1093" t="s">
        <v>210</v>
      </c>
      <c r="X1093" t="s">
        <v>57</v>
      </c>
      <c r="AA1093" t="s">
        <v>50</v>
      </c>
      <c r="AB1093" t="s">
        <v>94</v>
      </c>
      <c r="AE1093">
        <v>1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</row>
    <row r="1094" spans="1:42" x14ac:dyDescent="0.25">
      <c r="A1094">
        <v>1220</v>
      </c>
      <c r="B1094" t="s">
        <v>1980</v>
      </c>
      <c r="C1094" t="s">
        <v>1981</v>
      </c>
      <c r="D1094" t="s">
        <v>117</v>
      </c>
      <c r="E1094" s="4">
        <v>1</v>
      </c>
      <c r="F1094" t="s">
        <v>127</v>
      </c>
      <c r="G1094" t="s">
        <v>127</v>
      </c>
      <c r="H1094" s="3">
        <v>46176</v>
      </c>
      <c r="I1094" s="3">
        <v>46181</v>
      </c>
      <c r="J1094" t="s">
        <v>459</v>
      </c>
      <c r="K1094" s="3">
        <v>46181</v>
      </c>
      <c r="L1094" s="3">
        <v>46176</v>
      </c>
      <c r="M1094" s="3">
        <v>46181</v>
      </c>
      <c r="N1094" s="3">
        <v>46181</v>
      </c>
      <c r="O1094" t="s">
        <v>459</v>
      </c>
      <c r="P1094" t="s">
        <v>55</v>
      </c>
      <c r="Q1094" t="s">
        <v>1965</v>
      </c>
      <c r="S1094" t="s">
        <v>1444</v>
      </c>
      <c r="T1094" t="s">
        <v>1429</v>
      </c>
      <c r="U1094" t="s">
        <v>1982</v>
      </c>
      <c r="V1094" t="s">
        <v>122</v>
      </c>
      <c r="W1094">
        <v>13.4</v>
      </c>
      <c r="X1094" t="s">
        <v>57</v>
      </c>
      <c r="Z1094" t="s">
        <v>1444</v>
      </c>
      <c r="AA1094" t="s">
        <v>217</v>
      </c>
      <c r="AE1094">
        <v>1</v>
      </c>
      <c r="AF1094">
        <v>1</v>
      </c>
      <c r="AG1094">
        <v>1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1</v>
      </c>
    </row>
    <row r="1095" spans="1:42" x14ac:dyDescent="0.25">
      <c r="A1095">
        <v>1221</v>
      </c>
      <c r="B1095" t="s">
        <v>1983</v>
      </c>
      <c r="C1095" t="s">
        <v>1981</v>
      </c>
      <c r="D1095" t="s">
        <v>121</v>
      </c>
      <c r="E1095" s="4">
        <v>1</v>
      </c>
      <c r="F1095" t="s">
        <v>127</v>
      </c>
      <c r="G1095" t="s">
        <v>127</v>
      </c>
      <c r="H1095" s="3">
        <v>46181</v>
      </c>
      <c r="I1095" s="3">
        <v>46182</v>
      </c>
      <c r="J1095" t="s">
        <v>201</v>
      </c>
      <c r="K1095" s="3">
        <v>46182</v>
      </c>
      <c r="L1095" s="3">
        <v>46181</v>
      </c>
      <c r="M1095" s="3">
        <v>46182</v>
      </c>
      <c r="N1095" s="3">
        <v>46182</v>
      </c>
      <c r="O1095" t="s">
        <v>201</v>
      </c>
      <c r="P1095" t="s">
        <v>55</v>
      </c>
      <c r="Q1095">
        <v>1220</v>
      </c>
      <c r="S1095" t="s">
        <v>124</v>
      </c>
      <c r="T1095" t="s">
        <v>1429</v>
      </c>
      <c r="U1095">
        <v>1222</v>
      </c>
      <c r="V1095" t="s">
        <v>122</v>
      </c>
      <c r="W1095">
        <v>13.4</v>
      </c>
      <c r="X1095" t="s">
        <v>57</v>
      </c>
      <c r="Z1095" t="s">
        <v>124</v>
      </c>
      <c r="AA1095" t="s">
        <v>217</v>
      </c>
      <c r="AE1095">
        <v>1</v>
      </c>
      <c r="AF1095">
        <v>0</v>
      </c>
      <c r="AG1095">
        <v>0</v>
      </c>
      <c r="AH1095">
        <v>0</v>
      </c>
      <c r="AI1095">
        <v>0</v>
      </c>
      <c r="AJ1095">
        <v>1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</row>
    <row r="1096" spans="1:42" x14ac:dyDescent="0.25">
      <c r="A1096">
        <v>1222</v>
      </c>
      <c r="B1096" t="s">
        <v>1984</v>
      </c>
      <c r="C1096" t="s">
        <v>1981</v>
      </c>
      <c r="D1096" t="s">
        <v>126</v>
      </c>
      <c r="E1096" s="4">
        <v>1</v>
      </c>
      <c r="F1096" t="s">
        <v>61</v>
      </c>
      <c r="G1096" t="s">
        <v>61</v>
      </c>
      <c r="H1096" s="3">
        <v>46182</v>
      </c>
      <c r="I1096" s="3">
        <v>46182</v>
      </c>
      <c r="J1096" t="s">
        <v>204</v>
      </c>
      <c r="K1096" s="3">
        <v>46182</v>
      </c>
      <c r="L1096" s="3">
        <v>46182</v>
      </c>
      <c r="M1096" s="3">
        <v>46182</v>
      </c>
      <c r="N1096" s="3">
        <v>46182</v>
      </c>
      <c r="O1096" t="s">
        <v>204</v>
      </c>
      <c r="P1096" t="s">
        <v>55</v>
      </c>
      <c r="Q1096">
        <v>1221</v>
      </c>
      <c r="S1096" t="s">
        <v>1444</v>
      </c>
      <c r="T1096" t="s">
        <v>1429</v>
      </c>
      <c r="U1096">
        <v>1223</v>
      </c>
      <c r="V1096" t="s">
        <v>61</v>
      </c>
      <c r="W1096">
        <v>13.4</v>
      </c>
      <c r="X1096" t="s">
        <v>57</v>
      </c>
      <c r="Z1096" t="s">
        <v>1444</v>
      </c>
      <c r="AA1096" t="s">
        <v>131</v>
      </c>
      <c r="AE1096">
        <v>1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1</v>
      </c>
      <c r="AM1096">
        <v>0</v>
      </c>
      <c r="AN1096">
        <v>0</v>
      </c>
      <c r="AO1096">
        <v>0</v>
      </c>
      <c r="AP1096">
        <v>0</v>
      </c>
    </row>
    <row r="1097" spans="1:42" x14ac:dyDescent="0.25">
      <c r="A1097">
        <v>1223</v>
      </c>
      <c r="B1097" t="s">
        <v>1985</v>
      </c>
      <c r="C1097" t="s">
        <v>1981</v>
      </c>
      <c r="D1097" t="s">
        <v>133</v>
      </c>
      <c r="E1097" s="4">
        <v>1</v>
      </c>
      <c r="F1097" t="s">
        <v>127</v>
      </c>
      <c r="G1097" t="s">
        <v>127</v>
      </c>
      <c r="H1097" s="3">
        <v>46182</v>
      </c>
      <c r="I1097" s="3">
        <v>46183</v>
      </c>
      <c r="J1097" t="s">
        <v>204</v>
      </c>
      <c r="K1097" s="3">
        <v>46183</v>
      </c>
      <c r="L1097" s="3">
        <v>46182</v>
      </c>
      <c r="M1097" s="3">
        <v>46183</v>
      </c>
      <c r="N1097" s="3">
        <v>46183</v>
      </c>
      <c r="O1097" t="s">
        <v>204</v>
      </c>
      <c r="P1097" t="s">
        <v>55</v>
      </c>
      <c r="Q1097">
        <v>1222</v>
      </c>
      <c r="S1097" t="s">
        <v>124</v>
      </c>
      <c r="T1097" t="s">
        <v>1429</v>
      </c>
      <c r="V1097" t="s">
        <v>61</v>
      </c>
      <c r="W1097">
        <v>13.4</v>
      </c>
      <c r="X1097" t="s">
        <v>57</v>
      </c>
      <c r="Z1097" t="s">
        <v>124</v>
      </c>
      <c r="AA1097" t="s">
        <v>131</v>
      </c>
      <c r="AE1097">
        <v>1</v>
      </c>
      <c r="AF1097">
        <v>0</v>
      </c>
      <c r="AG1097">
        <v>0</v>
      </c>
      <c r="AH1097">
        <v>0</v>
      </c>
      <c r="AI1097">
        <v>1</v>
      </c>
      <c r="AJ1097">
        <v>0</v>
      </c>
      <c r="AK1097">
        <v>0</v>
      </c>
      <c r="AL1097">
        <v>0</v>
      </c>
      <c r="AM1097">
        <v>0</v>
      </c>
      <c r="AN1097">
        <v>1</v>
      </c>
      <c r="AO1097">
        <v>0</v>
      </c>
      <c r="AP1097">
        <v>0</v>
      </c>
    </row>
    <row r="1098" spans="1:42" x14ac:dyDescent="0.25">
      <c r="A1098">
        <v>1224</v>
      </c>
      <c r="B1098" t="s">
        <v>1986</v>
      </c>
      <c r="C1098" t="s">
        <v>1927</v>
      </c>
      <c r="D1098" t="s">
        <v>1987</v>
      </c>
      <c r="E1098" s="4">
        <v>1</v>
      </c>
      <c r="F1098" t="s">
        <v>101</v>
      </c>
      <c r="G1098" t="s">
        <v>101</v>
      </c>
      <c r="H1098" s="3">
        <v>46176</v>
      </c>
      <c r="I1098" s="3">
        <v>46183</v>
      </c>
      <c r="J1098" t="s">
        <v>459</v>
      </c>
      <c r="K1098" s="3">
        <v>46183</v>
      </c>
      <c r="L1098" s="3">
        <v>46176</v>
      </c>
      <c r="M1098" s="3">
        <v>46183</v>
      </c>
      <c r="N1098" s="3">
        <v>46183</v>
      </c>
      <c r="O1098" t="s">
        <v>459</v>
      </c>
      <c r="P1098" t="s">
        <v>55</v>
      </c>
      <c r="T1098" t="s">
        <v>1429</v>
      </c>
      <c r="V1098" t="s">
        <v>175</v>
      </c>
      <c r="X1098" t="s">
        <v>57</v>
      </c>
      <c r="AA1098" t="s">
        <v>50</v>
      </c>
      <c r="AB1098" t="s">
        <v>94</v>
      </c>
      <c r="AE1098">
        <v>1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</row>
    <row r="1099" spans="1:42" x14ac:dyDescent="0.25">
      <c r="A1099">
        <v>1225</v>
      </c>
      <c r="B1099" t="s">
        <v>1988</v>
      </c>
      <c r="C1099" t="s">
        <v>1989</v>
      </c>
      <c r="D1099" t="s">
        <v>117</v>
      </c>
      <c r="E1099" s="4">
        <v>1</v>
      </c>
      <c r="F1099" t="s">
        <v>127</v>
      </c>
      <c r="G1099" t="s">
        <v>127</v>
      </c>
      <c r="H1099" s="3">
        <v>46176</v>
      </c>
      <c r="I1099" s="3">
        <v>46181</v>
      </c>
      <c r="J1099" t="s">
        <v>459</v>
      </c>
      <c r="K1099" s="3">
        <v>46181</v>
      </c>
      <c r="L1099" s="3">
        <v>46176</v>
      </c>
      <c r="M1099" s="3">
        <v>46181</v>
      </c>
      <c r="N1099" s="3">
        <v>46181</v>
      </c>
      <c r="O1099" t="s">
        <v>459</v>
      </c>
      <c r="P1099" t="s">
        <v>55</v>
      </c>
      <c r="Q1099" t="s">
        <v>1990</v>
      </c>
      <c r="S1099" t="s">
        <v>1444</v>
      </c>
      <c r="T1099" t="s">
        <v>1429</v>
      </c>
      <c r="U1099">
        <v>1226</v>
      </c>
      <c r="V1099" t="s">
        <v>127</v>
      </c>
      <c r="W1099">
        <v>13.4</v>
      </c>
      <c r="X1099" t="s">
        <v>57</v>
      </c>
      <c r="Z1099" t="s">
        <v>1444</v>
      </c>
      <c r="AA1099" t="s">
        <v>217</v>
      </c>
      <c r="AE1099">
        <v>1</v>
      </c>
      <c r="AF1099">
        <v>1</v>
      </c>
      <c r="AG1099">
        <v>1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1</v>
      </c>
    </row>
    <row r="1100" spans="1:42" x14ac:dyDescent="0.25">
      <c r="A1100">
        <v>1226</v>
      </c>
      <c r="B1100" t="s">
        <v>1991</v>
      </c>
      <c r="C1100" t="s">
        <v>1989</v>
      </c>
      <c r="D1100" t="s">
        <v>121</v>
      </c>
      <c r="E1100" s="4">
        <v>1</v>
      </c>
      <c r="F1100" t="s">
        <v>127</v>
      </c>
      <c r="G1100" t="s">
        <v>127</v>
      </c>
      <c r="H1100" s="3">
        <v>46181</v>
      </c>
      <c r="I1100" s="3">
        <v>46182</v>
      </c>
      <c r="J1100" t="s">
        <v>201</v>
      </c>
      <c r="K1100" s="3">
        <v>46182</v>
      </c>
      <c r="L1100" s="3">
        <v>46181</v>
      </c>
      <c r="M1100" s="3">
        <v>46182</v>
      </c>
      <c r="N1100" s="3">
        <v>46182</v>
      </c>
      <c r="O1100" t="s">
        <v>201</v>
      </c>
      <c r="P1100" t="s">
        <v>55</v>
      </c>
      <c r="Q1100">
        <v>1225</v>
      </c>
      <c r="S1100" t="s">
        <v>124</v>
      </c>
      <c r="T1100" t="s">
        <v>1429</v>
      </c>
      <c r="U1100">
        <v>1227</v>
      </c>
      <c r="V1100" t="s">
        <v>122</v>
      </c>
      <c r="W1100">
        <v>13.4</v>
      </c>
      <c r="X1100" t="s">
        <v>57</v>
      </c>
      <c r="Z1100" t="s">
        <v>124</v>
      </c>
      <c r="AA1100" t="s">
        <v>217</v>
      </c>
      <c r="AE1100">
        <v>1</v>
      </c>
      <c r="AF1100">
        <v>0</v>
      </c>
      <c r="AG1100">
        <v>0</v>
      </c>
      <c r="AH1100">
        <v>0</v>
      </c>
      <c r="AI1100">
        <v>0</v>
      </c>
      <c r="AJ1100">
        <v>1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</row>
    <row r="1101" spans="1:42" x14ac:dyDescent="0.25">
      <c r="A1101">
        <v>1227</v>
      </c>
      <c r="B1101" t="s">
        <v>1992</v>
      </c>
      <c r="C1101" t="s">
        <v>1989</v>
      </c>
      <c r="D1101" t="s">
        <v>126</v>
      </c>
      <c r="E1101" s="4">
        <v>1</v>
      </c>
      <c r="F1101" t="s">
        <v>61</v>
      </c>
      <c r="G1101" t="s">
        <v>61</v>
      </c>
      <c r="H1101" s="3">
        <v>46182</v>
      </c>
      <c r="I1101" s="3">
        <v>46182</v>
      </c>
      <c r="J1101" t="s">
        <v>204</v>
      </c>
      <c r="K1101" s="3">
        <v>46182</v>
      </c>
      <c r="L1101" s="3">
        <v>46182</v>
      </c>
      <c r="M1101" s="3">
        <v>46182</v>
      </c>
      <c r="N1101" s="3">
        <v>46182</v>
      </c>
      <c r="O1101" t="s">
        <v>204</v>
      </c>
      <c r="P1101" t="s">
        <v>55</v>
      </c>
      <c r="Q1101">
        <v>1226</v>
      </c>
      <c r="S1101" t="s">
        <v>1444</v>
      </c>
      <c r="T1101" t="s">
        <v>1429</v>
      </c>
      <c r="U1101">
        <v>1228</v>
      </c>
      <c r="V1101" t="s">
        <v>61</v>
      </c>
      <c r="W1101">
        <v>13.4</v>
      </c>
      <c r="X1101" t="s">
        <v>57</v>
      </c>
      <c r="Z1101" t="s">
        <v>1444</v>
      </c>
      <c r="AA1101" t="s">
        <v>131</v>
      </c>
      <c r="AE1101">
        <v>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1</v>
      </c>
      <c r="AM1101">
        <v>0</v>
      </c>
      <c r="AN1101">
        <v>0</v>
      </c>
      <c r="AO1101">
        <v>0</v>
      </c>
      <c r="AP1101">
        <v>0</v>
      </c>
    </row>
    <row r="1102" spans="1:42" x14ac:dyDescent="0.25">
      <c r="A1102">
        <v>1228</v>
      </c>
      <c r="B1102" t="s">
        <v>1993</v>
      </c>
      <c r="C1102" t="s">
        <v>1989</v>
      </c>
      <c r="D1102" t="s">
        <v>133</v>
      </c>
      <c r="E1102" s="4">
        <v>1</v>
      </c>
      <c r="F1102" t="s">
        <v>127</v>
      </c>
      <c r="G1102" t="s">
        <v>127</v>
      </c>
      <c r="H1102" s="3">
        <v>46182</v>
      </c>
      <c r="I1102" s="3">
        <v>46183</v>
      </c>
      <c r="J1102" t="s">
        <v>204</v>
      </c>
      <c r="K1102" s="3">
        <v>46183</v>
      </c>
      <c r="L1102" s="3">
        <v>46182</v>
      </c>
      <c r="M1102" s="3">
        <v>46183</v>
      </c>
      <c r="N1102" s="3">
        <v>46183</v>
      </c>
      <c r="O1102" t="s">
        <v>204</v>
      </c>
      <c r="P1102" t="s">
        <v>55</v>
      </c>
      <c r="Q1102">
        <v>1227</v>
      </c>
      <c r="S1102" t="s">
        <v>124</v>
      </c>
      <c r="T1102" t="s">
        <v>1429</v>
      </c>
      <c r="V1102" t="s">
        <v>61</v>
      </c>
      <c r="W1102">
        <v>13.4</v>
      </c>
      <c r="X1102" t="s">
        <v>57</v>
      </c>
      <c r="Z1102" t="s">
        <v>124</v>
      </c>
      <c r="AA1102" t="s">
        <v>131</v>
      </c>
      <c r="AE1102">
        <v>1</v>
      </c>
      <c r="AF1102">
        <v>0</v>
      </c>
      <c r="AG1102">
        <v>0</v>
      </c>
      <c r="AH1102">
        <v>0</v>
      </c>
      <c r="AI1102">
        <v>1</v>
      </c>
      <c r="AJ1102">
        <v>0</v>
      </c>
      <c r="AK1102">
        <v>0</v>
      </c>
      <c r="AL1102">
        <v>0</v>
      </c>
      <c r="AM1102">
        <v>0</v>
      </c>
      <c r="AN1102">
        <v>1</v>
      </c>
      <c r="AO1102">
        <v>0</v>
      </c>
      <c r="AP1102">
        <v>0</v>
      </c>
    </row>
    <row r="1103" spans="1:42" x14ac:dyDescent="0.25">
      <c r="A1103">
        <v>1229</v>
      </c>
      <c r="B1103" t="s">
        <v>1994</v>
      </c>
      <c r="C1103" t="s">
        <v>1927</v>
      </c>
      <c r="D1103" t="s">
        <v>1995</v>
      </c>
      <c r="E1103" s="4">
        <v>1</v>
      </c>
      <c r="F1103" t="s">
        <v>101</v>
      </c>
      <c r="G1103" t="s">
        <v>101</v>
      </c>
      <c r="H1103" s="3">
        <v>46176</v>
      </c>
      <c r="I1103" s="3">
        <v>46183</v>
      </c>
      <c r="J1103" t="s">
        <v>459</v>
      </c>
      <c r="K1103" s="3">
        <v>46183</v>
      </c>
      <c r="L1103" s="3">
        <v>46176</v>
      </c>
      <c r="M1103" s="3">
        <v>46183</v>
      </c>
      <c r="N1103" s="3">
        <v>46183</v>
      </c>
      <c r="O1103" t="s">
        <v>459</v>
      </c>
      <c r="P1103" t="s">
        <v>55</v>
      </c>
      <c r="T1103" t="s">
        <v>1429</v>
      </c>
      <c r="V1103" t="s">
        <v>175</v>
      </c>
      <c r="X1103" t="s">
        <v>57</v>
      </c>
      <c r="AA1103" t="s">
        <v>50</v>
      </c>
      <c r="AB1103" t="s">
        <v>94</v>
      </c>
      <c r="AE1103">
        <v>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</row>
    <row r="1104" spans="1:42" x14ac:dyDescent="0.25">
      <c r="A1104">
        <v>1230</v>
      </c>
      <c r="B1104" t="s">
        <v>1996</v>
      </c>
      <c r="C1104" t="s">
        <v>1997</v>
      </c>
      <c r="D1104" t="s">
        <v>117</v>
      </c>
      <c r="E1104" s="4">
        <v>1</v>
      </c>
      <c r="F1104" t="s">
        <v>127</v>
      </c>
      <c r="G1104" t="s">
        <v>127</v>
      </c>
      <c r="H1104" s="3">
        <v>46176</v>
      </c>
      <c r="I1104" s="3">
        <v>46181</v>
      </c>
      <c r="J1104" t="s">
        <v>459</v>
      </c>
      <c r="K1104" s="3">
        <v>46181</v>
      </c>
      <c r="L1104" s="3">
        <v>46176</v>
      </c>
      <c r="M1104" s="3">
        <v>46181</v>
      </c>
      <c r="N1104" s="3">
        <v>46181</v>
      </c>
      <c r="O1104" t="s">
        <v>459</v>
      </c>
      <c r="P1104" t="s">
        <v>55</v>
      </c>
      <c r="Q1104" t="s">
        <v>1990</v>
      </c>
      <c r="S1104" t="s">
        <v>1444</v>
      </c>
      <c r="T1104" t="s">
        <v>1429</v>
      </c>
      <c r="U1104">
        <v>1231</v>
      </c>
      <c r="V1104" t="s">
        <v>127</v>
      </c>
      <c r="W1104">
        <v>13.4</v>
      </c>
      <c r="X1104" t="s">
        <v>57</v>
      </c>
      <c r="Z1104" t="s">
        <v>1444</v>
      </c>
      <c r="AA1104" t="s">
        <v>217</v>
      </c>
      <c r="AE1104">
        <v>1</v>
      </c>
      <c r="AF1104">
        <v>1</v>
      </c>
      <c r="AG1104">
        <v>1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1</v>
      </c>
    </row>
    <row r="1105" spans="1:42" x14ac:dyDescent="0.25">
      <c r="A1105">
        <v>1231</v>
      </c>
      <c r="B1105" t="s">
        <v>1998</v>
      </c>
      <c r="C1105" t="s">
        <v>1997</v>
      </c>
      <c r="D1105" t="s">
        <v>121</v>
      </c>
      <c r="E1105" s="4">
        <v>1</v>
      </c>
      <c r="F1105" t="s">
        <v>127</v>
      </c>
      <c r="G1105" t="s">
        <v>127</v>
      </c>
      <c r="H1105" s="3">
        <v>46181</v>
      </c>
      <c r="I1105" s="3">
        <v>46182</v>
      </c>
      <c r="J1105" t="s">
        <v>201</v>
      </c>
      <c r="K1105" s="3">
        <v>46182</v>
      </c>
      <c r="L1105" s="3">
        <v>46181</v>
      </c>
      <c r="M1105" s="3">
        <v>46182</v>
      </c>
      <c r="N1105" s="3">
        <v>46182</v>
      </c>
      <c r="O1105" t="s">
        <v>201</v>
      </c>
      <c r="P1105" t="s">
        <v>55</v>
      </c>
      <c r="Q1105">
        <v>1230</v>
      </c>
      <c r="S1105" t="s">
        <v>124</v>
      </c>
      <c r="T1105" t="s">
        <v>1429</v>
      </c>
      <c r="U1105">
        <v>1232</v>
      </c>
      <c r="V1105" t="s">
        <v>122</v>
      </c>
      <c r="W1105">
        <v>13.4</v>
      </c>
      <c r="X1105" t="s">
        <v>57</v>
      </c>
      <c r="Z1105" t="s">
        <v>124</v>
      </c>
      <c r="AA1105" t="s">
        <v>217</v>
      </c>
      <c r="AE1105">
        <v>1</v>
      </c>
      <c r="AF1105">
        <v>0</v>
      </c>
      <c r="AG1105">
        <v>0</v>
      </c>
      <c r="AH1105">
        <v>0</v>
      </c>
      <c r="AI1105">
        <v>0</v>
      </c>
      <c r="AJ1105">
        <v>1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</row>
    <row r="1106" spans="1:42" x14ac:dyDescent="0.25">
      <c r="A1106">
        <v>1232</v>
      </c>
      <c r="B1106" t="s">
        <v>1999</v>
      </c>
      <c r="C1106" t="s">
        <v>1997</v>
      </c>
      <c r="D1106" t="s">
        <v>126</v>
      </c>
      <c r="E1106" s="4">
        <v>1</v>
      </c>
      <c r="F1106" t="s">
        <v>61</v>
      </c>
      <c r="G1106" t="s">
        <v>61</v>
      </c>
      <c r="H1106" s="3">
        <v>46182</v>
      </c>
      <c r="I1106" s="3">
        <v>46182</v>
      </c>
      <c r="J1106" t="s">
        <v>204</v>
      </c>
      <c r="K1106" s="3">
        <v>46182</v>
      </c>
      <c r="L1106" s="3">
        <v>46182</v>
      </c>
      <c r="M1106" s="3">
        <v>46182</v>
      </c>
      <c r="N1106" s="3">
        <v>46182</v>
      </c>
      <c r="O1106" t="s">
        <v>204</v>
      </c>
      <c r="P1106" t="s">
        <v>55</v>
      </c>
      <c r="Q1106">
        <v>1231</v>
      </c>
      <c r="S1106" t="s">
        <v>1444</v>
      </c>
      <c r="T1106" t="s">
        <v>1429</v>
      </c>
      <c r="U1106">
        <v>1233</v>
      </c>
      <c r="V1106" t="s">
        <v>61</v>
      </c>
      <c r="W1106">
        <v>13.4</v>
      </c>
      <c r="X1106" t="s">
        <v>57</v>
      </c>
      <c r="Z1106" t="s">
        <v>1444</v>
      </c>
      <c r="AA1106" t="s">
        <v>131</v>
      </c>
      <c r="AE1106">
        <v>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1</v>
      </c>
      <c r="AM1106">
        <v>0</v>
      </c>
      <c r="AN1106">
        <v>0</v>
      </c>
      <c r="AO1106">
        <v>0</v>
      </c>
      <c r="AP1106">
        <v>0</v>
      </c>
    </row>
    <row r="1107" spans="1:42" x14ac:dyDescent="0.25">
      <c r="A1107">
        <v>1233</v>
      </c>
      <c r="B1107" t="s">
        <v>2000</v>
      </c>
      <c r="C1107" t="s">
        <v>1997</v>
      </c>
      <c r="D1107" t="s">
        <v>133</v>
      </c>
      <c r="E1107" s="4">
        <v>1</v>
      </c>
      <c r="F1107" t="s">
        <v>127</v>
      </c>
      <c r="G1107" t="s">
        <v>127</v>
      </c>
      <c r="H1107" s="3">
        <v>46182</v>
      </c>
      <c r="I1107" s="3">
        <v>46183</v>
      </c>
      <c r="J1107" t="s">
        <v>204</v>
      </c>
      <c r="K1107" s="3">
        <v>46183</v>
      </c>
      <c r="L1107" s="3">
        <v>46182</v>
      </c>
      <c r="M1107" s="3">
        <v>46183</v>
      </c>
      <c r="N1107" s="3">
        <v>46183</v>
      </c>
      <c r="O1107" t="s">
        <v>204</v>
      </c>
      <c r="P1107" t="s">
        <v>55</v>
      </c>
      <c r="Q1107">
        <v>1232</v>
      </c>
      <c r="S1107" t="s">
        <v>124</v>
      </c>
      <c r="T1107" t="s">
        <v>1429</v>
      </c>
      <c r="V1107" t="s">
        <v>61</v>
      </c>
      <c r="W1107">
        <v>13.4</v>
      </c>
      <c r="X1107" t="s">
        <v>57</v>
      </c>
      <c r="Z1107" t="s">
        <v>124</v>
      </c>
      <c r="AA1107" t="s">
        <v>131</v>
      </c>
      <c r="AE1107">
        <v>1</v>
      </c>
      <c r="AF1107">
        <v>0</v>
      </c>
      <c r="AG1107">
        <v>0</v>
      </c>
      <c r="AH1107">
        <v>0</v>
      </c>
      <c r="AI1107">
        <v>1</v>
      </c>
      <c r="AJ1107">
        <v>0</v>
      </c>
      <c r="AK1107">
        <v>0</v>
      </c>
      <c r="AL1107">
        <v>0</v>
      </c>
      <c r="AM1107">
        <v>0</v>
      </c>
      <c r="AN1107">
        <v>1</v>
      </c>
      <c r="AO1107">
        <v>0</v>
      </c>
      <c r="AP1107">
        <v>0</v>
      </c>
    </row>
    <row r="1108" spans="1:42" x14ac:dyDescent="0.25">
      <c r="A1108">
        <v>1265</v>
      </c>
      <c r="B1108" t="s">
        <v>2001</v>
      </c>
      <c r="C1108" t="s">
        <v>1429</v>
      </c>
      <c r="D1108" t="s">
        <v>947</v>
      </c>
      <c r="E1108" s="4">
        <v>1</v>
      </c>
      <c r="F1108" t="s">
        <v>1780</v>
      </c>
      <c r="G1108" t="s">
        <v>1780</v>
      </c>
      <c r="H1108" s="3">
        <v>46168</v>
      </c>
      <c r="I1108" s="3">
        <v>46197</v>
      </c>
      <c r="J1108" t="s">
        <v>185</v>
      </c>
      <c r="K1108" s="3">
        <v>46196</v>
      </c>
      <c r="L1108" s="3">
        <v>46160</v>
      </c>
      <c r="M1108" s="3">
        <v>46197</v>
      </c>
      <c r="N1108" s="3">
        <v>46197</v>
      </c>
      <c r="O1108" t="s">
        <v>206</v>
      </c>
      <c r="P1108" t="s">
        <v>55</v>
      </c>
      <c r="T1108" t="s">
        <v>1429</v>
      </c>
      <c r="V1108" t="s">
        <v>976</v>
      </c>
      <c r="X1108" t="s">
        <v>57</v>
      </c>
      <c r="AA1108" t="s">
        <v>50</v>
      </c>
      <c r="AB1108" t="s">
        <v>94</v>
      </c>
      <c r="AE1108">
        <v>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</row>
    <row r="1109" spans="1:42" x14ac:dyDescent="0.25">
      <c r="A1109">
        <v>1266</v>
      </c>
      <c r="B1109" t="s">
        <v>2002</v>
      </c>
      <c r="C1109" t="s">
        <v>949</v>
      </c>
      <c r="D1109" t="s">
        <v>2003</v>
      </c>
      <c r="E1109" s="4">
        <v>1</v>
      </c>
      <c r="F1109" t="s">
        <v>2004</v>
      </c>
      <c r="G1109" t="s">
        <v>2004</v>
      </c>
      <c r="H1109" s="3">
        <v>46168</v>
      </c>
      <c r="I1109" s="3">
        <v>46188</v>
      </c>
      <c r="J1109" t="s">
        <v>185</v>
      </c>
      <c r="K1109" s="3">
        <v>46182</v>
      </c>
      <c r="L1109" s="3">
        <v>46160</v>
      </c>
      <c r="M1109" s="3">
        <v>46188</v>
      </c>
      <c r="N1109" s="3">
        <v>46188</v>
      </c>
      <c r="O1109" t="s">
        <v>206</v>
      </c>
      <c r="P1109" t="s">
        <v>55</v>
      </c>
      <c r="T1109" t="s">
        <v>1429</v>
      </c>
      <c r="V1109" t="s">
        <v>330</v>
      </c>
      <c r="X1109" t="s">
        <v>57</v>
      </c>
      <c r="AA1109" t="s">
        <v>50</v>
      </c>
      <c r="AB1109" t="s">
        <v>94</v>
      </c>
      <c r="AE1109">
        <v>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</row>
    <row r="1110" spans="1:42" x14ac:dyDescent="0.25">
      <c r="A1110">
        <v>1267</v>
      </c>
      <c r="B1110" t="s">
        <v>2005</v>
      </c>
      <c r="C1110" t="s">
        <v>2006</v>
      </c>
      <c r="D1110" t="s">
        <v>117</v>
      </c>
      <c r="E1110" s="4">
        <v>1</v>
      </c>
      <c r="F1110" t="s">
        <v>690</v>
      </c>
      <c r="G1110" t="s">
        <v>690</v>
      </c>
      <c r="H1110" s="3">
        <v>46168</v>
      </c>
      <c r="I1110" s="3">
        <v>46185</v>
      </c>
      <c r="J1110" t="s">
        <v>185</v>
      </c>
      <c r="K1110" s="3">
        <v>46171</v>
      </c>
      <c r="L1110" s="3">
        <v>46160</v>
      </c>
      <c r="M1110" s="3">
        <v>46185</v>
      </c>
      <c r="N1110" s="3">
        <v>46185</v>
      </c>
      <c r="O1110" t="s">
        <v>206</v>
      </c>
      <c r="P1110" t="s">
        <v>55</v>
      </c>
      <c r="Q1110">
        <v>452</v>
      </c>
      <c r="S1110" t="s">
        <v>1444</v>
      </c>
      <c r="T1110" t="s">
        <v>1429</v>
      </c>
      <c r="U1110" t="s">
        <v>2007</v>
      </c>
      <c r="V1110" t="s">
        <v>151</v>
      </c>
      <c r="W1110">
        <v>13.4</v>
      </c>
      <c r="X1110" t="s">
        <v>57</v>
      </c>
      <c r="Z1110" t="s">
        <v>1444</v>
      </c>
      <c r="AA1110" t="s">
        <v>198</v>
      </c>
      <c r="AE1110">
        <v>1</v>
      </c>
      <c r="AF1110">
        <v>1</v>
      </c>
      <c r="AG1110">
        <v>1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1</v>
      </c>
    </row>
    <row r="1111" spans="1:42" x14ac:dyDescent="0.25">
      <c r="A1111">
        <v>1268</v>
      </c>
      <c r="B1111" t="s">
        <v>2008</v>
      </c>
      <c r="C1111" t="s">
        <v>2006</v>
      </c>
      <c r="D1111" t="s">
        <v>121</v>
      </c>
      <c r="E1111" s="4">
        <v>1</v>
      </c>
      <c r="F1111" t="s">
        <v>138</v>
      </c>
      <c r="G1111" t="s">
        <v>138</v>
      </c>
      <c r="H1111" s="3">
        <v>46181</v>
      </c>
      <c r="I1111" s="3">
        <v>46185</v>
      </c>
      <c r="J1111" t="s">
        <v>193</v>
      </c>
      <c r="K1111" s="3">
        <v>46176</v>
      </c>
      <c r="L1111" s="3">
        <v>46174</v>
      </c>
      <c r="M1111" s="3">
        <v>46185</v>
      </c>
      <c r="N1111" s="3">
        <v>46185</v>
      </c>
      <c r="O1111" t="s">
        <v>201</v>
      </c>
      <c r="P1111" t="s">
        <v>55</v>
      </c>
      <c r="Q1111">
        <v>1267</v>
      </c>
      <c r="S1111" t="s">
        <v>124</v>
      </c>
      <c r="T1111" t="s">
        <v>1429</v>
      </c>
      <c r="U1111">
        <v>1269</v>
      </c>
      <c r="V1111" t="s">
        <v>122</v>
      </c>
      <c r="W1111">
        <v>13.4</v>
      </c>
      <c r="X1111" t="s">
        <v>57</v>
      </c>
      <c r="Z1111" t="s">
        <v>124</v>
      </c>
      <c r="AA1111" t="s">
        <v>460</v>
      </c>
      <c r="AE1111">
        <v>1</v>
      </c>
      <c r="AF1111">
        <v>0</v>
      </c>
      <c r="AG1111">
        <v>0</v>
      </c>
      <c r="AH1111">
        <v>0</v>
      </c>
      <c r="AI1111">
        <v>0</v>
      </c>
      <c r="AJ1111">
        <v>1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</row>
    <row r="1112" spans="1:42" x14ac:dyDescent="0.25">
      <c r="A1112">
        <v>1269</v>
      </c>
      <c r="B1112" t="s">
        <v>2009</v>
      </c>
      <c r="C1112" t="s">
        <v>2006</v>
      </c>
      <c r="D1112" t="s">
        <v>126</v>
      </c>
      <c r="E1112" s="4">
        <v>1</v>
      </c>
      <c r="F1112" t="s">
        <v>61</v>
      </c>
      <c r="G1112" t="s">
        <v>61</v>
      </c>
      <c r="H1112" s="3">
        <v>46184</v>
      </c>
      <c r="I1112" s="3">
        <v>46188</v>
      </c>
      <c r="J1112" t="s">
        <v>201</v>
      </c>
      <c r="K1112" s="3">
        <v>46181</v>
      </c>
      <c r="L1112" s="3">
        <v>46181</v>
      </c>
      <c r="M1112" s="3">
        <v>46188</v>
      </c>
      <c r="N1112" s="3">
        <v>46188</v>
      </c>
      <c r="O1112" t="s">
        <v>476</v>
      </c>
      <c r="P1112" t="s">
        <v>55</v>
      </c>
      <c r="Q1112">
        <v>1268</v>
      </c>
      <c r="S1112" t="s">
        <v>1444</v>
      </c>
      <c r="T1112" t="s">
        <v>1429</v>
      </c>
      <c r="U1112">
        <v>1270</v>
      </c>
      <c r="V1112" t="s">
        <v>61</v>
      </c>
      <c r="W1112">
        <v>13.4</v>
      </c>
      <c r="X1112" t="s">
        <v>57</v>
      </c>
      <c r="Z1112" t="s">
        <v>1444</v>
      </c>
      <c r="AA1112" t="s">
        <v>462</v>
      </c>
      <c r="AE1112">
        <v>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1</v>
      </c>
      <c r="AM1112">
        <v>0</v>
      </c>
      <c r="AN1112">
        <v>0</v>
      </c>
      <c r="AO1112">
        <v>0</v>
      </c>
      <c r="AP1112">
        <v>0</v>
      </c>
    </row>
    <row r="1113" spans="1:42" x14ac:dyDescent="0.25">
      <c r="A1113">
        <v>1270</v>
      </c>
      <c r="B1113" t="s">
        <v>2010</v>
      </c>
      <c r="C1113" t="s">
        <v>2006</v>
      </c>
      <c r="D1113" t="s">
        <v>133</v>
      </c>
      <c r="E1113" s="4">
        <v>1</v>
      </c>
      <c r="F1113" t="s">
        <v>61</v>
      </c>
      <c r="G1113" t="s">
        <v>61</v>
      </c>
      <c r="H1113" s="3">
        <v>46185</v>
      </c>
      <c r="I1113" s="3">
        <v>46188</v>
      </c>
      <c r="J1113" t="s">
        <v>204</v>
      </c>
      <c r="K1113" s="3">
        <v>46182</v>
      </c>
      <c r="L1113" s="3">
        <v>46182</v>
      </c>
      <c r="M1113" s="3">
        <v>46188</v>
      </c>
      <c r="N1113" s="3">
        <v>46188</v>
      </c>
      <c r="O1113" t="s">
        <v>571</v>
      </c>
      <c r="P1113" t="s">
        <v>55</v>
      </c>
      <c r="Q1113">
        <v>1269</v>
      </c>
      <c r="S1113" t="s">
        <v>124</v>
      </c>
      <c r="T1113" t="s">
        <v>1429</v>
      </c>
      <c r="U1113">
        <v>1287</v>
      </c>
      <c r="V1113" t="s">
        <v>61</v>
      </c>
      <c r="W1113">
        <v>13.4</v>
      </c>
      <c r="X1113" t="s">
        <v>57</v>
      </c>
      <c r="Z1113" t="s">
        <v>124</v>
      </c>
      <c r="AA1113" t="s">
        <v>462</v>
      </c>
      <c r="AE1113">
        <v>1</v>
      </c>
      <c r="AF1113">
        <v>0</v>
      </c>
      <c r="AG1113">
        <v>0</v>
      </c>
      <c r="AH1113">
        <v>0</v>
      </c>
      <c r="AI1113">
        <v>1</v>
      </c>
      <c r="AJ1113">
        <v>0</v>
      </c>
      <c r="AK1113">
        <v>0</v>
      </c>
      <c r="AL1113">
        <v>0</v>
      </c>
      <c r="AM1113">
        <v>0</v>
      </c>
      <c r="AN1113">
        <v>1</v>
      </c>
      <c r="AO1113">
        <v>0</v>
      </c>
      <c r="AP1113">
        <v>0</v>
      </c>
    </row>
    <row r="1114" spans="1:42" x14ac:dyDescent="0.25">
      <c r="A1114">
        <v>1271</v>
      </c>
      <c r="B1114" t="s">
        <v>2011</v>
      </c>
      <c r="C1114" t="s">
        <v>949</v>
      </c>
      <c r="D1114" t="s">
        <v>2012</v>
      </c>
      <c r="E1114" s="4">
        <v>1</v>
      </c>
      <c r="F1114" t="s">
        <v>1038</v>
      </c>
      <c r="G1114" t="s">
        <v>1038</v>
      </c>
      <c r="H1114" s="3">
        <v>46168</v>
      </c>
      <c r="I1114" s="3">
        <v>46188</v>
      </c>
      <c r="J1114" t="s">
        <v>206</v>
      </c>
      <c r="K1114" s="3">
        <v>46188</v>
      </c>
      <c r="L1114" s="3">
        <v>46168</v>
      </c>
      <c r="M1114" s="3">
        <v>46188</v>
      </c>
      <c r="N1114" s="3">
        <v>46188</v>
      </c>
      <c r="O1114" t="s">
        <v>206</v>
      </c>
      <c r="P1114" t="s">
        <v>55</v>
      </c>
      <c r="T1114" t="s">
        <v>1429</v>
      </c>
      <c r="V1114" t="s">
        <v>330</v>
      </c>
      <c r="X1114" t="s">
        <v>57</v>
      </c>
      <c r="AA1114" t="s">
        <v>50</v>
      </c>
      <c r="AB1114" t="s">
        <v>94</v>
      </c>
      <c r="AE1114">
        <v>1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</row>
    <row r="1115" spans="1:42" x14ac:dyDescent="0.25">
      <c r="A1115">
        <v>1272</v>
      </c>
      <c r="B1115" t="s">
        <v>2013</v>
      </c>
      <c r="C1115" t="s">
        <v>2014</v>
      </c>
      <c r="D1115" t="s">
        <v>117</v>
      </c>
      <c r="E1115" s="4">
        <v>1</v>
      </c>
      <c r="F1115" t="s">
        <v>690</v>
      </c>
      <c r="G1115" t="s">
        <v>690</v>
      </c>
      <c r="H1115" s="3">
        <v>46168</v>
      </c>
      <c r="I1115" s="3">
        <v>46185</v>
      </c>
      <c r="J1115" t="s">
        <v>206</v>
      </c>
      <c r="K1115" s="3">
        <v>46185</v>
      </c>
      <c r="L1115" s="3">
        <v>46168</v>
      </c>
      <c r="M1115" s="3">
        <v>46185</v>
      </c>
      <c r="N1115" s="3">
        <v>46185</v>
      </c>
      <c r="O1115" t="s">
        <v>206</v>
      </c>
      <c r="P1115" t="s">
        <v>55</v>
      </c>
      <c r="Q1115">
        <v>452</v>
      </c>
      <c r="S1115" t="s">
        <v>1444</v>
      </c>
      <c r="T1115" t="s">
        <v>1429</v>
      </c>
      <c r="U1115" t="s">
        <v>2015</v>
      </c>
      <c r="V1115" t="s">
        <v>151</v>
      </c>
      <c r="W1115">
        <v>13.4</v>
      </c>
      <c r="X1115" t="s">
        <v>57</v>
      </c>
      <c r="Z1115" t="s">
        <v>1444</v>
      </c>
      <c r="AA1115" t="s">
        <v>198</v>
      </c>
      <c r="AE1115">
        <v>1</v>
      </c>
      <c r="AF1115">
        <v>1</v>
      </c>
      <c r="AG1115">
        <v>1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1</v>
      </c>
    </row>
    <row r="1116" spans="1:42" x14ac:dyDescent="0.25">
      <c r="A1116">
        <v>1273</v>
      </c>
      <c r="B1116" t="s">
        <v>2016</v>
      </c>
      <c r="C1116" t="s">
        <v>2014</v>
      </c>
      <c r="D1116" t="s">
        <v>121</v>
      </c>
      <c r="E1116" s="4">
        <v>1</v>
      </c>
      <c r="F1116" t="s">
        <v>138</v>
      </c>
      <c r="G1116" t="s">
        <v>138</v>
      </c>
      <c r="H1116" s="3">
        <v>46181</v>
      </c>
      <c r="I1116" s="3">
        <v>46185</v>
      </c>
      <c r="J1116" t="s">
        <v>201</v>
      </c>
      <c r="K1116" s="3">
        <v>46185</v>
      </c>
      <c r="L1116" s="3">
        <v>46181</v>
      </c>
      <c r="M1116" s="3">
        <v>46185</v>
      </c>
      <c r="N1116" s="3">
        <v>46185</v>
      </c>
      <c r="O1116" t="s">
        <v>201</v>
      </c>
      <c r="P1116" t="s">
        <v>55</v>
      </c>
      <c r="Q1116">
        <v>1272</v>
      </c>
      <c r="S1116" t="s">
        <v>124</v>
      </c>
      <c r="T1116" t="s">
        <v>1429</v>
      </c>
      <c r="U1116">
        <v>1274</v>
      </c>
      <c r="V1116" t="s">
        <v>122</v>
      </c>
      <c r="W1116">
        <v>13.4</v>
      </c>
      <c r="X1116" t="s">
        <v>57</v>
      </c>
      <c r="Z1116" t="s">
        <v>124</v>
      </c>
      <c r="AA1116" t="s">
        <v>460</v>
      </c>
      <c r="AE1116">
        <v>1</v>
      </c>
      <c r="AF1116">
        <v>0</v>
      </c>
      <c r="AG1116">
        <v>0</v>
      </c>
      <c r="AH1116">
        <v>0</v>
      </c>
      <c r="AI1116">
        <v>0</v>
      </c>
      <c r="AJ1116">
        <v>1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</row>
    <row r="1117" spans="1:42" x14ac:dyDescent="0.25">
      <c r="A1117">
        <v>1274</v>
      </c>
      <c r="B1117" t="s">
        <v>2017</v>
      </c>
      <c r="C1117" t="s">
        <v>2014</v>
      </c>
      <c r="D1117" t="s">
        <v>126</v>
      </c>
      <c r="E1117" s="4">
        <v>1</v>
      </c>
      <c r="F1117" t="s">
        <v>539</v>
      </c>
      <c r="G1117" t="s">
        <v>539</v>
      </c>
      <c r="H1117" s="3">
        <v>46184</v>
      </c>
      <c r="I1117" s="3">
        <v>46188</v>
      </c>
      <c r="J1117" t="s">
        <v>476</v>
      </c>
      <c r="K1117" s="3">
        <v>46188</v>
      </c>
      <c r="L1117" s="3">
        <v>46184</v>
      </c>
      <c r="M1117" s="3">
        <v>46188</v>
      </c>
      <c r="N1117" s="3">
        <v>46188</v>
      </c>
      <c r="O1117" t="s">
        <v>476</v>
      </c>
      <c r="P1117" t="s">
        <v>55</v>
      </c>
      <c r="Q1117">
        <v>1273</v>
      </c>
      <c r="S1117" t="s">
        <v>1444</v>
      </c>
      <c r="T1117" t="s">
        <v>1429</v>
      </c>
      <c r="U1117">
        <v>1275</v>
      </c>
      <c r="V1117" t="s">
        <v>61</v>
      </c>
      <c r="W1117">
        <v>13.4</v>
      </c>
      <c r="X1117" t="s">
        <v>57</v>
      </c>
      <c r="Z1117" t="s">
        <v>1444</v>
      </c>
      <c r="AA1117" t="s">
        <v>462</v>
      </c>
      <c r="AE1117">
        <v>1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1</v>
      </c>
      <c r="AM1117">
        <v>0</v>
      </c>
      <c r="AN1117">
        <v>0</v>
      </c>
      <c r="AO1117">
        <v>0</v>
      </c>
      <c r="AP1117">
        <v>0</v>
      </c>
    </row>
    <row r="1118" spans="1:42" x14ac:dyDescent="0.25">
      <c r="A1118">
        <v>1275</v>
      </c>
      <c r="B1118" t="s">
        <v>2018</v>
      </c>
      <c r="C1118" t="s">
        <v>2014</v>
      </c>
      <c r="D1118" t="s">
        <v>133</v>
      </c>
      <c r="E1118" s="4">
        <v>1</v>
      </c>
      <c r="F1118" t="s">
        <v>61</v>
      </c>
      <c r="G1118" t="s">
        <v>61</v>
      </c>
      <c r="H1118" s="3">
        <v>46185</v>
      </c>
      <c r="I1118" s="3">
        <v>46188</v>
      </c>
      <c r="J1118" t="s">
        <v>571</v>
      </c>
      <c r="K1118" s="3">
        <v>46188</v>
      </c>
      <c r="L1118" s="3">
        <v>46185</v>
      </c>
      <c r="M1118" s="3">
        <v>46188</v>
      </c>
      <c r="N1118" s="3">
        <v>46188</v>
      </c>
      <c r="O1118" t="s">
        <v>571</v>
      </c>
      <c r="P1118" t="s">
        <v>55</v>
      </c>
      <c r="Q1118">
        <v>1274</v>
      </c>
      <c r="S1118" t="s">
        <v>124</v>
      </c>
      <c r="T1118" t="s">
        <v>1429</v>
      </c>
      <c r="U1118">
        <v>1287</v>
      </c>
      <c r="V1118" t="s">
        <v>61</v>
      </c>
      <c r="W1118">
        <v>13.4</v>
      </c>
      <c r="X1118" t="s">
        <v>57</v>
      </c>
      <c r="Z1118" t="s">
        <v>124</v>
      </c>
      <c r="AA1118" t="s">
        <v>462</v>
      </c>
      <c r="AE1118">
        <v>1</v>
      </c>
      <c r="AF1118">
        <v>0</v>
      </c>
      <c r="AG1118">
        <v>0</v>
      </c>
      <c r="AH1118">
        <v>0</v>
      </c>
      <c r="AI1118">
        <v>1</v>
      </c>
      <c r="AJ1118">
        <v>0</v>
      </c>
      <c r="AK1118">
        <v>0</v>
      </c>
      <c r="AL1118">
        <v>0</v>
      </c>
      <c r="AM1118">
        <v>0</v>
      </c>
      <c r="AN1118">
        <v>1</v>
      </c>
      <c r="AO1118">
        <v>0</v>
      </c>
      <c r="AP1118">
        <v>0</v>
      </c>
    </row>
    <row r="1119" spans="1:42" x14ac:dyDescent="0.25">
      <c r="A1119">
        <v>1276</v>
      </c>
      <c r="B1119" t="s">
        <v>2019</v>
      </c>
      <c r="C1119" t="s">
        <v>949</v>
      </c>
      <c r="D1119" t="s">
        <v>2020</v>
      </c>
      <c r="E1119" s="4">
        <v>1</v>
      </c>
      <c r="F1119" t="s">
        <v>365</v>
      </c>
      <c r="G1119" t="s">
        <v>365</v>
      </c>
      <c r="H1119" s="3">
        <v>46168</v>
      </c>
      <c r="I1119" s="3">
        <v>46189</v>
      </c>
      <c r="J1119" t="s">
        <v>206</v>
      </c>
      <c r="K1119" s="3">
        <v>46188</v>
      </c>
      <c r="L1119" s="3">
        <v>46168</v>
      </c>
      <c r="M1119" s="3">
        <v>46189</v>
      </c>
      <c r="N1119" s="3">
        <v>46189</v>
      </c>
      <c r="O1119" t="s">
        <v>206</v>
      </c>
      <c r="P1119" t="s">
        <v>55</v>
      </c>
      <c r="T1119" t="s">
        <v>1429</v>
      </c>
      <c r="V1119" t="s">
        <v>330</v>
      </c>
      <c r="X1119" t="s">
        <v>57</v>
      </c>
      <c r="AA1119" t="s">
        <v>50</v>
      </c>
      <c r="AB1119" t="s">
        <v>94</v>
      </c>
      <c r="AE1119">
        <v>1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</row>
    <row r="1120" spans="1:42" x14ac:dyDescent="0.25">
      <c r="A1120">
        <v>1277</v>
      </c>
      <c r="B1120" t="s">
        <v>2021</v>
      </c>
      <c r="C1120" t="s">
        <v>2022</v>
      </c>
      <c r="D1120" t="s">
        <v>117</v>
      </c>
      <c r="E1120" s="4">
        <v>1</v>
      </c>
      <c r="F1120" t="s">
        <v>690</v>
      </c>
      <c r="G1120" t="s">
        <v>690</v>
      </c>
      <c r="H1120" s="3">
        <v>46168</v>
      </c>
      <c r="I1120" s="3">
        <v>46185</v>
      </c>
      <c r="J1120" t="s">
        <v>206</v>
      </c>
      <c r="K1120" s="3">
        <v>46185</v>
      </c>
      <c r="L1120" s="3">
        <v>46168</v>
      </c>
      <c r="M1120" s="3">
        <v>46185</v>
      </c>
      <c r="N1120" s="3">
        <v>46185</v>
      </c>
      <c r="O1120" t="s">
        <v>206</v>
      </c>
      <c r="P1120" t="s">
        <v>55</v>
      </c>
      <c r="Q1120">
        <v>452</v>
      </c>
      <c r="S1120" t="s">
        <v>1444</v>
      </c>
      <c r="T1120" t="s">
        <v>1429</v>
      </c>
      <c r="U1120" t="s">
        <v>2023</v>
      </c>
      <c r="V1120" t="s">
        <v>151</v>
      </c>
      <c r="W1120">
        <v>13.4</v>
      </c>
      <c r="X1120" t="s">
        <v>57</v>
      </c>
      <c r="Z1120" t="s">
        <v>1444</v>
      </c>
      <c r="AA1120" t="s">
        <v>198</v>
      </c>
      <c r="AE1120">
        <v>1</v>
      </c>
      <c r="AF1120">
        <v>1</v>
      </c>
      <c r="AG1120">
        <v>1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1</v>
      </c>
    </row>
    <row r="1121" spans="1:42" x14ac:dyDescent="0.25">
      <c r="A1121">
        <v>1278</v>
      </c>
      <c r="B1121" t="s">
        <v>2024</v>
      </c>
      <c r="C1121" t="s">
        <v>2022</v>
      </c>
      <c r="D1121" t="s">
        <v>121</v>
      </c>
      <c r="E1121" s="4">
        <v>1</v>
      </c>
      <c r="F1121" t="s">
        <v>138</v>
      </c>
      <c r="G1121" t="s">
        <v>138</v>
      </c>
      <c r="H1121" s="3">
        <v>46181</v>
      </c>
      <c r="I1121" s="3">
        <v>46185</v>
      </c>
      <c r="J1121" t="s">
        <v>201</v>
      </c>
      <c r="K1121" s="3">
        <v>46185</v>
      </c>
      <c r="L1121" s="3">
        <v>46181</v>
      </c>
      <c r="M1121" s="3">
        <v>46185</v>
      </c>
      <c r="N1121" s="3">
        <v>46185</v>
      </c>
      <c r="O1121" t="s">
        <v>201</v>
      </c>
      <c r="P1121" t="s">
        <v>55</v>
      </c>
      <c r="Q1121">
        <v>1277</v>
      </c>
      <c r="S1121" t="s">
        <v>124</v>
      </c>
      <c r="T1121" t="s">
        <v>1429</v>
      </c>
      <c r="U1121">
        <v>1279</v>
      </c>
      <c r="V1121" t="s">
        <v>122</v>
      </c>
      <c r="W1121">
        <v>13.4</v>
      </c>
      <c r="X1121" t="s">
        <v>57</v>
      </c>
      <c r="Z1121" t="s">
        <v>124</v>
      </c>
      <c r="AA1121" t="s">
        <v>460</v>
      </c>
      <c r="AE1121">
        <v>1</v>
      </c>
      <c r="AF1121">
        <v>0</v>
      </c>
      <c r="AG1121">
        <v>0</v>
      </c>
      <c r="AH1121">
        <v>0</v>
      </c>
      <c r="AI1121">
        <v>0</v>
      </c>
      <c r="AJ1121">
        <v>1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</row>
    <row r="1122" spans="1:42" x14ac:dyDescent="0.25">
      <c r="A1122">
        <v>1279</v>
      </c>
      <c r="B1122" t="s">
        <v>2025</v>
      </c>
      <c r="C1122" t="s">
        <v>2022</v>
      </c>
      <c r="D1122" t="s">
        <v>126</v>
      </c>
      <c r="E1122" s="4">
        <v>1</v>
      </c>
      <c r="F1122" t="s">
        <v>539</v>
      </c>
      <c r="G1122" t="s">
        <v>539</v>
      </c>
      <c r="H1122" s="3">
        <v>46184</v>
      </c>
      <c r="I1122" s="3">
        <v>46188</v>
      </c>
      <c r="J1122" t="s">
        <v>476</v>
      </c>
      <c r="K1122" s="3">
        <v>46188</v>
      </c>
      <c r="L1122" s="3">
        <v>46184</v>
      </c>
      <c r="M1122" s="3">
        <v>46188</v>
      </c>
      <c r="N1122" s="3">
        <v>46188</v>
      </c>
      <c r="O1122" t="s">
        <v>476</v>
      </c>
      <c r="P1122" t="s">
        <v>55</v>
      </c>
      <c r="Q1122">
        <v>1278</v>
      </c>
      <c r="S1122" t="s">
        <v>1444</v>
      </c>
      <c r="T1122" t="s">
        <v>1429</v>
      </c>
      <c r="U1122">
        <v>1280</v>
      </c>
      <c r="V1122" t="s">
        <v>61</v>
      </c>
      <c r="W1122">
        <v>13.4</v>
      </c>
      <c r="X1122" t="s">
        <v>57</v>
      </c>
      <c r="Z1122" t="s">
        <v>1444</v>
      </c>
      <c r="AA1122" t="s">
        <v>462</v>
      </c>
      <c r="AE1122">
        <v>1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1</v>
      </c>
      <c r="AM1122">
        <v>0</v>
      </c>
      <c r="AN1122">
        <v>0</v>
      </c>
      <c r="AO1122">
        <v>0</v>
      </c>
      <c r="AP1122">
        <v>0</v>
      </c>
    </row>
    <row r="1123" spans="1:42" x14ac:dyDescent="0.25">
      <c r="A1123">
        <v>1280</v>
      </c>
      <c r="B1123" t="s">
        <v>2026</v>
      </c>
      <c r="C1123" t="s">
        <v>2022</v>
      </c>
      <c r="D1123" t="s">
        <v>133</v>
      </c>
      <c r="E1123" s="4">
        <v>1</v>
      </c>
      <c r="F1123" t="s">
        <v>127</v>
      </c>
      <c r="G1123" t="s">
        <v>127</v>
      </c>
      <c r="H1123" s="3">
        <v>46185</v>
      </c>
      <c r="I1123" s="3">
        <v>46189</v>
      </c>
      <c r="J1123" t="s">
        <v>571</v>
      </c>
      <c r="K1123" s="3">
        <v>46189</v>
      </c>
      <c r="L1123" s="3">
        <v>46185</v>
      </c>
      <c r="M1123" s="3">
        <v>46189</v>
      </c>
      <c r="N1123" s="3">
        <v>46189</v>
      </c>
      <c r="O1123" t="s">
        <v>571</v>
      </c>
      <c r="P1123" t="s">
        <v>55</v>
      </c>
      <c r="Q1123">
        <v>1279</v>
      </c>
      <c r="S1123" t="s">
        <v>124</v>
      </c>
      <c r="T1123" t="s">
        <v>1429</v>
      </c>
      <c r="U1123">
        <v>1287</v>
      </c>
      <c r="V1123" t="s">
        <v>61</v>
      </c>
      <c r="W1123">
        <v>13.4</v>
      </c>
      <c r="X1123" t="s">
        <v>57</v>
      </c>
      <c r="Z1123" t="s">
        <v>124</v>
      </c>
      <c r="AA1123" t="s">
        <v>462</v>
      </c>
      <c r="AE1123">
        <v>1</v>
      </c>
      <c r="AF1123">
        <v>0</v>
      </c>
      <c r="AG1123">
        <v>0</v>
      </c>
      <c r="AH1123">
        <v>0</v>
      </c>
      <c r="AI1123">
        <v>1</v>
      </c>
      <c r="AJ1123">
        <v>0</v>
      </c>
      <c r="AK1123">
        <v>0</v>
      </c>
      <c r="AL1123">
        <v>0</v>
      </c>
      <c r="AM1123">
        <v>0</v>
      </c>
      <c r="AN1123">
        <v>1</v>
      </c>
      <c r="AO1123">
        <v>0</v>
      </c>
      <c r="AP1123">
        <v>0</v>
      </c>
    </row>
    <row r="1124" spans="1:42" x14ac:dyDescent="0.25">
      <c r="A1124">
        <v>1281</v>
      </c>
      <c r="B1124" t="s">
        <v>2027</v>
      </c>
      <c r="C1124" t="s">
        <v>949</v>
      </c>
      <c r="D1124" t="s">
        <v>2028</v>
      </c>
      <c r="E1124" s="4">
        <v>1</v>
      </c>
      <c r="F1124" t="s">
        <v>138</v>
      </c>
      <c r="G1124" t="s">
        <v>138</v>
      </c>
      <c r="H1124" s="3">
        <v>46185</v>
      </c>
      <c r="I1124" s="3">
        <v>46192</v>
      </c>
      <c r="J1124" t="s">
        <v>592</v>
      </c>
      <c r="K1124" s="3">
        <v>46196</v>
      </c>
      <c r="L1124" s="3">
        <v>46183</v>
      </c>
      <c r="M1124" s="3">
        <v>46192</v>
      </c>
      <c r="N1124" s="3">
        <v>46192</v>
      </c>
      <c r="O1124" t="s">
        <v>571</v>
      </c>
      <c r="P1124" t="s">
        <v>55</v>
      </c>
      <c r="T1124" t="s">
        <v>1429</v>
      </c>
      <c r="V1124" t="s">
        <v>151</v>
      </c>
      <c r="X1124" t="s">
        <v>57</v>
      </c>
      <c r="AA1124" t="s">
        <v>50</v>
      </c>
      <c r="AB1124" t="s">
        <v>94</v>
      </c>
      <c r="AE1124">
        <v>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</row>
    <row r="1125" spans="1:42" x14ac:dyDescent="0.25">
      <c r="A1125">
        <v>1282</v>
      </c>
      <c r="B1125" t="s">
        <v>2029</v>
      </c>
      <c r="C1125" t="s">
        <v>2030</v>
      </c>
      <c r="D1125" t="s">
        <v>117</v>
      </c>
      <c r="E1125" s="4">
        <v>1</v>
      </c>
      <c r="F1125" t="s">
        <v>63</v>
      </c>
      <c r="G1125" t="s">
        <v>63</v>
      </c>
      <c r="H1125" s="3">
        <v>46185</v>
      </c>
      <c r="I1125" s="3">
        <v>46185</v>
      </c>
      <c r="J1125" t="s">
        <v>592</v>
      </c>
      <c r="K1125" s="3">
        <v>46189</v>
      </c>
      <c r="L1125" s="3">
        <v>46183</v>
      </c>
      <c r="M1125" s="3">
        <v>46185</v>
      </c>
      <c r="N1125" s="3">
        <v>46185</v>
      </c>
      <c r="O1125" t="s">
        <v>571</v>
      </c>
      <c r="P1125" t="s">
        <v>55</v>
      </c>
      <c r="Q1125" t="s">
        <v>2031</v>
      </c>
      <c r="S1125" t="s">
        <v>1433</v>
      </c>
      <c r="T1125" t="s">
        <v>1429</v>
      </c>
      <c r="U1125">
        <v>1283</v>
      </c>
      <c r="V1125" t="s">
        <v>138</v>
      </c>
      <c r="W1125">
        <v>13.4</v>
      </c>
      <c r="X1125" t="s">
        <v>57</v>
      </c>
      <c r="Z1125" t="s">
        <v>1433</v>
      </c>
      <c r="AA1125" t="s">
        <v>462</v>
      </c>
      <c r="AE1125">
        <v>1</v>
      </c>
      <c r="AF1125">
        <v>1</v>
      </c>
      <c r="AG1125">
        <v>1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1</v>
      </c>
    </row>
    <row r="1126" spans="1:42" x14ac:dyDescent="0.25">
      <c r="A1126">
        <v>1283</v>
      </c>
      <c r="B1126" t="s">
        <v>2032</v>
      </c>
      <c r="C1126" t="s">
        <v>2030</v>
      </c>
      <c r="D1126" t="s">
        <v>121</v>
      </c>
      <c r="E1126" s="4">
        <v>1</v>
      </c>
      <c r="F1126" t="s">
        <v>122</v>
      </c>
      <c r="G1126" t="s">
        <v>122</v>
      </c>
      <c r="H1126" s="3">
        <v>46188</v>
      </c>
      <c r="I1126" s="3">
        <v>46190</v>
      </c>
      <c r="J1126" t="s">
        <v>75</v>
      </c>
      <c r="K1126" s="3">
        <v>46192</v>
      </c>
      <c r="L1126" s="3">
        <v>46190</v>
      </c>
      <c r="M1126" s="3">
        <v>46190</v>
      </c>
      <c r="N1126" s="3">
        <v>46190</v>
      </c>
      <c r="O1126" t="s">
        <v>595</v>
      </c>
      <c r="P1126" t="s">
        <v>55</v>
      </c>
      <c r="Q1126">
        <v>1282</v>
      </c>
      <c r="S1126" t="s">
        <v>124</v>
      </c>
      <c r="T1126" t="s">
        <v>1429</v>
      </c>
      <c r="U1126">
        <v>1284</v>
      </c>
      <c r="V1126" t="s">
        <v>122</v>
      </c>
      <c r="W1126">
        <v>13.4</v>
      </c>
      <c r="X1126" t="s">
        <v>57</v>
      </c>
      <c r="Z1126" t="s">
        <v>124</v>
      </c>
      <c r="AA1126" t="s">
        <v>217</v>
      </c>
      <c r="AE1126">
        <v>1</v>
      </c>
      <c r="AF1126">
        <v>0</v>
      </c>
      <c r="AG1126">
        <v>0</v>
      </c>
      <c r="AH1126">
        <v>0</v>
      </c>
      <c r="AI1126">
        <v>0</v>
      </c>
      <c r="AJ1126">
        <v>1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</row>
    <row r="1127" spans="1:42" x14ac:dyDescent="0.25">
      <c r="A1127">
        <v>1284</v>
      </c>
      <c r="B1127" t="s">
        <v>2033</v>
      </c>
      <c r="C1127" t="s">
        <v>2030</v>
      </c>
      <c r="D1127" t="s">
        <v>126</v>
      </c>
      <c r="E1127" s="4">
        <v>1</v>
      </c>
      <c r="F1127" t="s">
        <v>61</v>
      </c>
      <c r="G1127" t="s">
        <v>61</v>
      </c>
      <c r="H1127" s="3">
        <v>46191</v>
      </c>
      <c r="I1127" s="3">
        <v>46191</v>
      </c>
      <c r="J1127" t="s">
        <v>219</v>
      </c>
      <c r="K1127" s="3">
        <v>46195</v>
      </c>
      <c r="L1127" s="3">
        <v>46195</v>
      </c>
      <c r="M1127" s="3">
        <v>46191</v>
      </c>
      <c r="N1127" s="3">
        <v>46191</v>
      </c>
      <c r="O1127" t="s">
        <v>480</v>
      </c>
      <c r="P1127" t="s">
        <v>55</v>
      </c>
      <c r="Q1127">
        <v>1283</v>
      </c>
      <c r="S1127" t="s">
        <v>1433</v>
      </c>
      <c r="T1127" t="s">
        <v>1429</v>
      </c>
      <c r="U1127">
        <v>1285</v>
      </c>
      <c r="V1127" t="s">
        <v>61</v>
      </c>
      <c r="W1127">
        <v>13.4</v>
      </c>
      <c r="X1127" t="s">
        <v>57</v>
      </c>
      <c r="Z1127" t="s">
        <v>1433</v>
      </c>
      <c r="AA1127" t="s">
        <v>131</v>
      </c>
      <c r="AE1127">
        <v>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1</v>
      </c>
      <c r="AM1127">
        <v>0</v>
      </c>
      <c r="AN1127">
        <v>0</v>
      </c>
      <c r="AO1127">
        <v>0</v>
      </c>
      <c r="AP1127">
        <v>0</v>
      </c>
    </row>
    <row r="1128" spans="1:42" x14ac:dyDescent="0.25">
      <c r="A1128">
        <v>1285</v>
      </c>
      <c r="B1128" t="s">
        <v>2034</v>
      </c>
      <c r="C1128" t="s">
        <v>2030</v>
      </c>
      <c r="D1128" t="s">
        <v>133</v>
      </c>
      <c r="E1128" s="4">
        <v>1</v>
      </c>
      <c r="F1128" t="s">
        <v>61</v>
      </c>
      <c r="G1128" t="s">
        <v>61</v>
      </c>
      <c r="H1128" s="3">
        <v>46192</v>
      </c>
      <c r="I1128" s="3">
        <v>46192</v>
      </c>
      <c r="J1128" t="s">
        <v>212</v>
      </c>
      <c r="K1128" s="3">
        <v>46196</v>
      </c>
      <c r="L1128" s="3">
        <v>46196</v>
      </c>
      <c r="M1128" s="3">
        <v>46192</v>
      </c>
      <c r="N1128" s="3">
        <v>46192</v>
      </c>
      <c r="O1128" t="s">
        <v>211</v>
      </c>
      <c r="P1128" t="s">
        <v>55</v>
      </c>
      <c r="Q1128">
        <v>1284</v>
      </c>
      <c r="S1128" t="s">
        <v>124</v>
      </c>
      <c r="T1128" t="s">
        <v>1429</v>
      </c>
      <c r="V1128" t="s">
        <v>61</v>
      </c>
      <c r="W1128">
        <v>13.4</v>
      </c>
      <c r="X1128" t="s">
        <v>57</v>
      </c>
      <c r="Z1128" t="s">
        <v>124</v>
      </c>
      <c r="AA1128" t="s">
        <v>131</v>
      </c>
      <c r="AE1128">
        <v>1</v>
      </c>
      <c r="AF1128">
        <v>0</v>
      </c>
      <c r="AG1128">
        <v>0</v>
      </c>
      <c r="AH1128">
        <v>0</v>
      </c>
      <c r="AI1128">
        <v>1</v>
      </c>
      <c r="AJ1128">
        <v>0</v>
      </c>
      <c r="AK1128">
        <v>0</v>
      </c>
      <c r="AL1128">
        <v>0</v>
      </c>
      <c r="AM1128">
        <v>0</v>
      </c>
      <c r="AN1128">
        <v>1</v>
      </c>
      <c r="AO1128">
        <v>0</v>
      </c>
      <c r="AP1128">
        <v>0</v>
      </c>
    </row>
    <row r="1129" spans="1:42" x14ac:dyDescent="0.25">
      <c r="A1129">
        <v>1286</v>
      </c>
      <c r="B1129" t="s">
        <v>2035</v>
      </c>
      <c r="C1129" t="s">
        <v>949</v>
      </c>
      <c r="D1129" t="s">
        <v>2036</v>
      </c>
      <c r="E1129" s="4">
        <v>1</v>
      </c>
      <c r="F1129" t="s">
        <v>214</v>
      </c>
      <c r="G1129" t="s">
        <v>214</v>
      </c>
      <c r="H1129" s="3">
        <v>46190</v>
      </c>
      <c r="I1129" s="3">
        <v>46197</v>
      </c>
      <c r="J1129" t="s">
        <v>592</v>
      </c>
      <c r="K1129" s="3">
        <v>46188</v>
      </c>
      <c r="L1129" s="3">
        <v>46183</v>
      </c>
      <c r="M1129" s="3">
        <v>46197</v>
      </c>
      <c r="N1129" s="3">
        <v>46197</v>
      </c>
      <c r="O1129" t="s">
        <v>75</v>
      </c>
      <c r="P1129" t="s">
        <v>55</v>
      </c>
      <c r="T1129" t="s">
        <v>1429</v>
      </c>
      <c r="V1129" t="s">
        <v>101</v>
      </c>
      <c r="X1129" t="s">
        <v>57</v>
      </c>
      <c r="AA1129" t="s">
        <v>50</v>
      </c>
      <c r="AB1129" t="s">
        <v>94</v>
      </c>
      <c r="AE1129">
        <v>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</row>
    <row r="1130" spans="1:42" x14ac:dyDescent="0.25">
      <c r="A1130">
        <v>1287</v>
      </c>
      <c r="B1130" t="s">
        <v>2037</v>
      </c>
      <c r="C1130" t="s">
        <v>2038</v>
      </c>
      <c r="D1130" t="s">
        <v>117</v>
      </c>
      <c r="E1130" s="4">
        <v>1</v>
      </c>
      <c r="F1130" t="s">
        <v>122</v>
      </c>
      <c r="G1130" t="s">
        <v>122</v>
      </c>
      <c r="H1130" s="3">
        <v>46190</v>
      </c>
      <c r="I1130" s="3">
        <v>46192</v>
      </c>
      <c r="J1130" t="s">
        <v>592</v>
      </c>
      <c r="K1130" s="3">
        <v>46183</v>
      </c>
      <c r="L1130" s="3">
        <v>46183</v>
      </c>
      <c r="M1130" s="3">
        <v>46192</v>
      </c>
      <c r="N1130" s="3">
        <v>46192</v>
      </c>
      <c r="O1130" t="s">
        <v>75</v>
      </c>
      <c r="P1130" t="s">
        <v>55</v>
      </c>
      <c r="Q1130" t="s">
        <v>2039</v>
      </c>
      <c r="S1130" t="s">
        <v>1444</v>
      </c>
      <c r="T1130" t="s">
        <v>1429</v>
      </c>
      <c r="U1130" t="s">
        <v>2040</v>
      </c>
      <c r="V1130" t="s">
        <v>61</v>
      </c>
      <c r="W1130">
        <v>13.4</v>
      </c>
      <c r="X1130" t="s">
        <v>57</v>
      </c>
      <c r="Z1130" t="s">
        <v>1444</v>
      </c>
      <c r="AA1130" t="s">
        <v>462</v>
      </c>
      <c r="AE1130">
        <v>1</v>
      </c>
      <c r="AF1130">
        <v>1</v>
      </c>
      <c r="AG1130">
        <v>1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1</v>
      </c>
    </row>
    <row r="1131" spans="1:42" x14ac:dyDescent="0.25">
      <c r="A1131">
        <v>1288</v>
      </c>
      <c r="B1131" t="s">
        <v>2041</v>
      </c>
      <c r="C1131" t="s">
        <v>2038</v>
      </c>
      <c r="D1131" t="s">
        <v>121</v>
      </c>
      <c r="E1131" s="4">
        <v>1</v>
      </c>
      <c r="F1131" t="s">
        <v>61</v>
      </c>
      <c r="G1131" t="s">
        <v>61</v>
      </c>
      <c r="H1131" s="3">
        <v>46195</v>
      </c>
      <c r="I1131" s="3">
        <v>46195</v>
      </c>
      <c r="J1131" t="s">
        <v>476</v>
      </c>
      <c r="K1131" s="3">
        <v>46184</v>
      </c>
      <c r="L1131" s="3">
        <v>46184</v>
      </c>
      <c r="M1131" s="3">
        <v>46195</v>
      </c>
      <c r="N1131" s="3">
        <v>46195</v>
      </c>
      <c r="O1131" t="s">
        <v>219</v>
      </c>
      <c r="P1131" t="s">
        <v>55</v>
      </c>
      <c r="Q1131">
        <v>1287</v>
      </c>
      <c r="S1131" t="s">
        <v>124</v>
      </c>
      <c r="T1131" t="s">
        <v>1429</v>
      </c>
      <c r="U1131">
        <v>1289</v>
      </c>
      <c r="V1131" t="s">
        <v>61</v>
      </c>
      <c r="W1131">
        <v>13.4</v>
      </c>
      <c r="X1131" t="s">
        <v>57</v>
      </c>
      <c r="Z1131" t="s">
        <v>124</v>
      </c>
      <c r="AA1131" t="s">
        <v>462</v>
      </c>
      <c r="AE1131">
        <v>1</v>
      </c>
      <c r="AF1131">
        <v>0</v>
      </c>
      <c r="AG1131">
        <v>0</v>
      </c>
      <c r="AH1131">
        <v>0</v>
      </c>
      <c r="AI1131">
        <v>0</v>
      </c>
      <c r="AJ1131">
        <v>1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</row>
    <row r="1132" spans="1:42" x14ac:dyDescent="0.25">
      <c r="A1132">
        <v>1289</v>
      </c>
      <c r="B1132" t="s">
        <v>2042</v>
      </c>
      <c r="C1132" t="s">
        <v>2038</v>
      </c>
      <c r="D1132" t="s">
        <v>126</v>
      </c>
      <c r="E1132" s="4">
        <v>1</v>
      </c>
      <c r="F1132" t="s">
        <v>61</v>
      </c>
      <c r="G1132" t="s">
        <v>61</v>
      </c>
      <c r="H1132" s="3">
        <v>46196</v>
      </c>
      <c r="I1132" s="3">
        <v>46196</v>
      </c>
      <c r="J1132" t="s">
        <v>571</v>
      </c>
      <c r="K1132" s="3">
        <v>46185</v>
      </c>
      <c r="L1132" s="3">
        <v>46185</v>
      </c>
      <c r="M1132" s="3">
        <v>46196</v>
      </c>
      <c r="N1132" s="3">
        <v>46196</v>
      </c>
      <c r="O1132" t="s">
        <v>212</v>
      </c>
      <c r="P1132" t="s">
        <v>55</v>
      </c>
      <c r="Q1132">
        <v>1288</v>
      </c>
      <c r="S1132" t="s">
        <v>1444</v>
      </c>
      <c r="T1132" t="s">
        <v>1429</v>
      </c>
      <c r="U1132">
        <v>1290</v>
      </c>
      <c r="V1132" t="s">
        <v>61</v>
      </c>
      <c r="W1132">
        <v>13.4</v>
      </c>
      <c r="X1132" t="s">
        <v>57</v>
      </c>
      <c r="Z1132" t="s">
        <v>1444</v>
      </c>
      <c r="AA1132" t="s">
        <v>462</v>
      </c>
      <c r="AE1132">
        <v>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1</v>
      </c>
      <c r="AM1132">
        <v>0</v>
      </c>
      <c r="AN1132">
        <v>0</v>
      </c>
      <c r="AO1132">
        <v>0</v>
      </c>
      <c r="AP1132">
        <v>0</v>
      </c>
    </row>
    <row r="1133" spans="1:42" x14ac:dyDescent="0.25">
      <c r="A1133">
        <v>1290</v>
      </c>
      <c r="B1133" t="s">
        <v>2043</v>
      </c>
      <c r="C1133" t="s">
        <v>2038</v>
      </c>
      <c r="D1133" t="s">
        <v>133</v>
      </c>
      <c r="E1133" s="4">
        <v>1</v>
      </c>
      <c r="F1133" t="s">
        <v>61</v>
      </c>
      <c r="G1133" t="s">
        <v>61</v>
      </c>
      <c r="H1133" s="3">
        <v>46197</v>
      </c>
      <c r="I1133" s="3">
        <v>46197</v>
      </c>
      <c r="J1133" t="s">
        <v>595</v>
      </c>
      <c r="K1133" s="3">
        <v>46188</v>
      </c>
      <c r="L1133" s="3">
        <v>46188</v>
      </c>
      <c r="M1133" s="3">
        <v>46197</v>
      </c>
      <c r="N1133" s="3">
        <v>46197</v>
      </c>
      <c r="O1133" t="s">
        <v>207</v>
      </c>
      <c r="P1133" t="s">
        <v>55</v>
      </c>
      <c r="Q1133">
        <v>1289</v>
      </c>
      <c r="S1133" t="s">
        <v>124</v>
      </c>
      <c r="T1133" t="s">
        <v>1429</v>
      </c>
      <c r="V1133" t="s">
        <v>61</v>
      </c>
      <c r="W1133">
        <v>13.4</v>
      </c>
      <c r="X1133" t="s">
        <v>57</v>
      </c>
      <c r="Z1133" t="s">
        <v>124</v>
      </c>
      <c r="AA1133" t="s">
        <v>217</v>
      </c>
      <c r="AE1133">
        <v>1</v>
      </c>
      <c r="AF1133">
        <v>0</v>
      </c>
      <c r="AG1133">
        <v>0</v>
      </c>
      <c r="AH1133">
        <v>0</v>
      </c>
      <c r="AI1133">
        <v>1</v>
      </c>
      <c r="AJ1133">
        <v>0</v>
      </c>
      <c r="AK1133">
        <v>0</v>
      </c>
      <c r="AL1133">
        <v>0</v>
      </c>
      <c r="AM1133">
        <v>0</v>
      </c>
      <c r="AN1133">
        <v>1</v>
      </c>
      <c r="AO1133">
        <v>0</v>
      </c>
      <c r="AP1133">
        <v>0</v>
      </c>
    </row>
    <row r="1134" spans="1:42" x14ac:dyDescent="0.25">
      <c r="A1134">
        <v>1291</v>
      </c>
      <c r="B1134" t="s">
        <v>2044</v>
      </c>
      <c r="C1134" t="s">
        <v>949</v>
      </c>
      <c r="D1134" t="s">
        <v>2045</v>
      </c>
      <c r="E1134" s="4">
        <v>1</v>
      </c>
      <c r="F1134" t="s">
        <v>214</v>
      </c>
      <c r="G1134" t="s">
        <v>214</v>
      </c>
      <c r="H1134" s="3">
        <v>46190</v>
      </c>
      <c r="I1134" s="3">
        <v>46197</v>
      </c>
      <c r="J1134" t="s">
        <v>592</v>
      </c>
      <c r="K1134" s="3">
        <v>46188</v>
      </c>
      <c r="L1134" s="3">
        <v>46183</v>
      </c>
      <c r="M1134" s="3">
        <v>46197</v>
      </c>
      <c r="N1134" s="3">
        <v>46197</v>
      </c>
      <c r="O1134" t="s">
        <v>75</v>
      </c>
      <c r="P1134" t="s">
        <v>55</v>
      </c>
      <c r="T1134" t="s">
        <v>1429</v>
      </c>
      <c r="V1134" t="s">
        <v>101</v>
      </c>
      <c r="X1134" t="s">
        <v>57</v>
      </c>
      <c r="AA1134" t="s">
        <v>50</v>
      </c>
      <c r="AB1134" t="s">
        <v>94</v>
      </c>
      <c r="AE1134">
        <v>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</row>
    <row r="1135" spans="1:42" x14ac:dyDescent="0.25">
      <c r="A1135">
        <v>1292</v>
      </c>
      <c r="B1135" t="s">
        <v>2046</v>
      </c>
      <c r="C1135" t="s">
        <v>2047</v>
      </c>
      <c r="D1135" t="s">
        <v>117</v>
      </c>
      <c r="E1135" s="4">
        <v>1</v>
      </c>
      <c r="F1135" t="s">
        <v>122</v>
      </c>
      <c r="G1135" t="s">
        <v>122</v>
      </c>
      <c r="H1135" s="3">
        <v>46190</v>
      </c>
      <c r="I1135" s="3">
        <v>46192</v>
      </c>
      <c r="J1135" t="s">
        <v>592</v>
      </c>
      <c r="K1135" s="3">
        <v>46183</v>
      </c>
      <c r="L1135" s="3">
        <v>46183</v>
      </c>
      <c r="M1135" s="3">
        <v>46192</v>
      </c>
      <c r="N1135" s="3">
        <v>46192</v>
      </c>
      <c r="O1135" t="s">
        <v>75</v>
      </c>
      <c r="P1135" t="s">
        <v>55</v>
      </c>
      <c r="Q1135" t="s">
        <v>2048</v>
      </c>
      <c r="S1135" t="s">
        <v>1444</v>
      </c>
      <c r="T1135" t="s">
        <v>1429</v>
      </c>
      <c r="U1135">
        <v>1293</v>
      </c>
      <c r="V1135" t="s">
        <v>61</v>
      </c>
      <c r="W1135">
        <v>13.4</v>
      </c>
      <c r="X1135" t="s">
        <v>57</v>
      </c>
      <c r="Z1135" t="s">
        <v>1444</v>
      </c>
      <c r="AA1135" t="s">
        <v>462</v>
      </c>
      <c r="AE1135">
        <v>1</v>
      </c>
      <c r="AF1135">
        <v>1</v>
      </c>
      <c r="AG1135">
        <v>1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1</v>
      </c>
    </row>
    <row r="1136" spans="1:42" x14ac:dyDescent="0.25">
      <c r="A1136">
        <v>1293</v>
      </c>
      <c r="B1136" t="s">
        <v>2049</v>
      </c>
      <c r="C1136" t="s">
        <v>2047</v>
      </c>
      <c r="D1136" t="s">
        <v>121</v>
      </c>
      <c r="E1136" s="4">
        <v>1</v>
      </c>
      <c r="F1136" t="s">
        <v>61</v>
      </c>
      <c r="G1136" t="s">
        <v>61</v>
      </c>
      <c r="H1136" s="3">
        <v>46195</v>
      </c>
      <c r="I1136" s="3">
        <v>46195</v>
      </c>
      <c r="J1136" t="s">
        <v>476</v>
      </c>
      <c r="K1136" s="3">
        <v>46184</v>
      </c>
      <c r="L1136" s="3">
        <v>46184</v>
      </c>
      <c r="M1136" s="3">
        <v>46195</v>
      </c>
      <c r="N1136" s="3">
        <v>46195</v>
      </c>
      <c r="O1136" t="s">
        <v>219</v>
      </c>
      <c r="P1136" t="s">
        <v>55</v>
      </c>
      <c r="Q1136">
        <v>1292</v>
      </c>
      <c r="S1136" t="s">
        <v>124</v>
      </c>
      <c r="T1136" t="s">
        <v>1429</v>
      </c>
      <c r="U1136">
        <v>1294</v>
      </c>
      <c r="V1136" t="s">
        <v>61</v>
      </c>
      <c r="W1136">
        <v>13.4</v>
      </c>
      <c r="X1136" t="s">
        <v>57</v>
      </c>
      <c r="Z1136" t="s">
        <v>124</v>
      </c>
      <c r="AA1136" t="s">
        <v>462</v>
      </c>
      <c r="AE1136">
        <v>1</v>
      </c>
      <c r="AF1136">
        <v>0</v>
      </c>
      <c r="AG1136">
        <v>0</v>
      </c>
      <c r="AH1136">
        <v>0</v>
      </c>
      <c r="AI1136">
        <v>0</v>
      </c>
      <c r="AJ1136">
        <v>1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</row>
    <row r="1137" spans="1:42" x14ac:dyDescent="0.25">
      <c r="A1137">
        <v>1294</v>
      </c>
      <c r="B1137" t="s">
        <v>2050</v>
      </c>
      <c r="C1137" t="s">
        <v>2047</v>
      </c>
      <c r="D1137" t="s">
        <v>126</v>
      </c>
      <c r="E1137" s="4">
        <v>1</v>
      </c>
      <c r="F1137" t="s">
        <v>61</v>
      </c>
      <c r="G1137" t="s">
        <v>61</v>
      </c>
      <c r="H1137" s="3">
        <v>46196</v>
      </c>
      <c r="I1137" s="3">
        <v>46196</v>
      </c>
      <c r="J1137" t="s">
        <v>571</v>
      </c>
      <c r="K1137" s="3">
        <v>46185</v>
      </c>
      <c r="L1137" s="3">
        <v>46185</v>
      </c>
      <c r="M1137" s="3">
        <v>46196</v>
      </c>
      <c r="N1137" s="3">
        <v>46196</v>
      </c>
      <c r="O1137" t="s">
        <v>212</v>
      </c>
      <c r="P1137" t="s">
        <v>55</v>
      </c>
      <c r="Q1137">
        <v>1293</v>
      </c>
      <c r="S1137" t="s">
        <v>1444</v>
      </c>
      <c r="T1137" t="s">
        <v>1429</v>
      </c>
      <c r="U1137">
        <v>1295</v>
      </c>
      <c r="V1137" t="s">
        <v>61</v>
      </c>
      <c r="W1137">
        <v>13.4</v>
      </c>
      <c r="X1137" t="s">
        <v>57</v>
      </c>
      <c r="Z1137" t="s">
        <v>1444</v>
      </c>
      <c r="AA1137" t="s">
        <v>462</v>
      </c>
      <c r="AE1137">
        <v>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1</v>
      </c>
      <c r="AM1137">
        <v>0</v>
      </c>
      <c r="AN1137">
        <v>0</v>
      </c>
      <c r="AO1137">
        <v>0</v>
      </c>
      <c r="AP1137">
        <v>0</v>
      </c>
    </row>
    <row r="1138" spans="1:42" x14ac:dyDescent="0.25">
      <c r="A1138">
        <v>1295</v>
      </c>
      <c r="B1138" t="s">
        <v>2051</v>
      </c>
      <c r="C1138" t="s">
        <v>2047</v>
      </c>
      <c r="D1138" t="s">
        <v>133</v>
      </c>
      <c r="E1138" s="4">
        <v>1</v>
      </c>
      <c r="F1138" t="s">
        <v>61</v>
      </c>
      <c r="G1138" t="s">
        <v>61</v>
      </c>
      <c r="H1138" s="3">
        <v>46197</v>
      </c>
      <c r="I1138" s="3">
        <v>46197</v>
      </c>
      <c r="J1138" t="s">
        <v>595</v>
      </c>
      <c r="K1138" s="3">
        <v>46188</v>
      </c>
      <c r="L1138" s="3">
        <v>46188</v>
      </c>
      <c r="M1138" s="3">
        <v>46197</v>
      </c>
      <c r="N1138" s="3">
        <v>46197</v>
      </c>
      <c r="O1138" t="s">
        <v>207</v>
      </c>
      <c r="P1138" t="s">
        <v>55</v>
      </c>
      <c r="Q1138">
        <v>1294</v>
      </c>
      <c r="S1138" t="s">
        <v>124</v>
      </c>
      <c r="T1138" t="s">
        <v>1429</v>
      </c>
      <c r="V1138" t="s">
        <v>61</v>
      </c>
      <c r="W1138">
        <v>13.4</v>
      </c>
      <c r="X1138" t="s">
        <v>57</v>
      </c>
      <c r="Z1138" t="s">
        <v>124</v>
      </c>
      <c r="AA1138" t="s">
        <v>217</v>
      </c>
      <c r="AE1138">
        <v>1</v>
      </c>
      <c r="AF1138">
        <v>0</v>
      </c>
      <c r="AG1138">
        <v>0</v>
      </c>
      <c r="AH1138">
        <v>0</v>
      </c>
      <c r="AI1138">
        <v>1</v>
      </c>
      <c r="AJ1138">
        <v>0</v>
      </c>
      <c r="AK1138">
        <v>0</v>
      </c>
      <c r="AL1138">
        <v>0</v>
      </c>
      <c r="AM1138">
        <v>0</v>
      </c>
      <c r="AN1138">
        <v>1</v>
      </c>
      <c r="AO1138">
        <v>0</v>
      </c>
      <c r="AP1138">
        <v>0</v>
      </c>
    </row>
    <row r="1139" spans="1:42" x14ac:dyDescent="0.25">
      <c r="A1139">
        <v>1296</v>
      </c>
      <c r="B1139" t="s">
        <v>2052</v>
      </c>
      <c r="C1139" t="s">
        <v>949</v>
      </c>
      <c r="D1139" t="s">
        <v>2053</v>
      </c>
      <c r="E1139" s="4">
        <v>1</v>
      </c>
      <c r="F1139" t="s">
        <v>214</v>
      </c>
      <c r="G1139" t="s">
        <v>214</v>
      </c>
      <c r="H1139" s="3">
        <v>46190</v>
      </c>
      <c r="I1139" s="3">
        <v>46197</v>
      </c>
      <c r="J1139" t="s">
        <v>75</v>
      </c>
      <c r="K1139" s="3">
        <v>46197</v>
      </c>
      <c r="L1139" s="3">
        <v>46190</v>
      </c>
      <c r="M1139" s="3">
        <v>46197</v>
      </c>
      <c r="N1139" s="3">
        <v>46197</v>
      </c>
      <c r="O1139" t="s">
        <v>75</v>
      </c>
      <c r="P1139" t="s">
        <v>55</v>
      </c>
      <c r="T1139" t="s">
        <v>1429</v>
      </c>
      <c r="V1139" t="s">
        <v>101</v>
      </c>
      <c r="X1139" t="s">
        <v>57</v>
      </c>
      <c r="AA1139" t="s">
        <v>50</v>
      </c>
      <c r="AB1139" t="s">
        <v>94</v>
      </c>
      <c r="AE1139">
        <v>1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</row>
    <row r="1140" spans="1:42" x14ac:dyDescent="0.25">
      <c r="A1140">
        <v>1297</v>
      </c>
      <c r="B1140" t="s">
        <v>2054</v>
      </c>
      <c r="C1140" t="s">
        <v>2055</v>
      </c>
      <c r="D1140" t="s">
        <v>117</v>
      </c>
      <c r="E1140" s="4">
        <v>1</v>
      </c>
      <c r="F1140" t="s">
        <v>122</v>
      </c>
      <c r="G1140" t="s">
        <v>122</v>
      </c>
      <c r="H1140" s="3">
        <v>46190</v>
      </c>
      <c r="I1140" s="3">
        <v>46192</v>
      </c>
      <c r="J1140" t="s">
        <v>75</v>
      </c>
      <c r="K1140" s="3">
        <v>46192</v>
      </c>
      <c r="L1140" s="3">
        <v>46190</v>
      </c>
      <c r="M1140" s="3">
        <v>46192</v>
      </c>
      <c r="N1140" s="3">
        <v>46192</v>
      </c>
      <c r="O1140" t="s">
        <v>75</v>
      </c>
      <c r="P1140" t="s">
        <v>55</v>
      </c>
      <c r="Q1140" t="s">
        <v>2048</v>
      </c>
      <c r="S1140" t="s">
        <v>1444</v>
      </c>
      <c r="T1140" t="s">
        <v>1429</v>
      </c>
      <c r="U1140">
        <v>1298</v>
      </c>
      <c r="V1140" t="s">
        <v>61</v>
      </c>
      <c r="W1140">
        <v>13.4</v>
      </c>
      <c r="X1140" t="s">
        <v>57</v>
      </c>
      <c r="Z1140" t="s">
        <v>1444</v>
      </c>
      <c r="AA1140" t="s">
        <v>462</v>
      </c>
      <c r="AE1140">
        <v>1</v>
      </c>
      <c r="AF1140">
        <v>1</v>
      </c>
      <c r="AG1140">
        <v>1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1</v>
      </c>
    </row>
    <row r="1141" spans="1:42" x14ac:dyDescent="0.25">
      <c r="A1141">
        <v>1298</v>
      </c>
      <c r="B1141" t="s">
        <v>2056</v>
      </c>
      <c r="C1141" t="s">
        <v>2055</v>
      </c>
      <c r="D1141" t="s">
        <v>121</v>
      </c>
      <c r="E1141" s="4">
        <v>1</v>
      </c>
      <c r="F1141" t="s">
        <v>61</v>
      </c>
      <c r="G1141" t="s">
        <v>61</v>
      </c>
      <c r="H1141" s="3">
        <v>46195</v>
      </c>
      <c r="I1141" s="3">
        <v>46195</v>
      </c>
      <c r="J1141" t="s">
        <v>219</v>
      </c>
      <c r="K1141" s="3">
        <v>46195</v>
      </c>
      <c r="L1141" s="3">
        <v>46195</v>
      </c>
      <c r="M1141" s="3">
        <v>46195</v>
      </c>
      <c r="N1141" s="3">
        <v>46195</v>
      </c>
      <c r="O1141" t="s">
        <v>219</v>
      </c>
      <c r="P1141" t="s">
        <v>55</v>
      </c>
      <c r="Q1141">
        <v>1297</v>
      </c>
      <c r="S1141" t="s">
        <v>124</v>
      </c>
      <c r="T1141" t="s">
        <v>1429</v>
      </c>
      <c r="U1141">
        <v>1299</v>
      </c>
      <c r="V1141" t="s">
        <v>61</v>
      </c>
      <c r="W1141">
        <v>13.4</v>
      </c>
      <c r="X1141" t="s">
        <v>57</v>
      </c>
      <c r="Z1141" t="s">
        <v>124</v>
      </c>
      <c r="AA1141" t="s">
        <v>462</v>
      </c>
      <c r="AE1141">
        <v>1</v>
      </c>
      <c r="AF1141">
        <v>0</v>
      </c>
      <c r="AG1141">
        <v>0</v>
      </c>
      <c r="AH1141">
        <v>0</v>
      </c>
      <c r="AI1141">
        <v>0</v>
      </c>
      <c r="AJ1141">
        <v>1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</row>
    <row r="1142" spans="1:42" x14ac:dyDescent="0.25">
      <c r="A1142">
        <v>1299</v>
      </c>
      <c r="B1142" t="s">
        <v>2057</v>
      </c>
      <c r="C1142" t="s">
        <v>2055</v>
      </c>
      <c r="D1142" t="s">
        <v>126</v>
      </c>
      <c r="E1142" s="4">
        <v>1</v>
      </c>
      <c r="F1142" t="s">
        <v>61</v>
      </c>
      <c r="G1142" t="s">
        <v>61</v>
      </c>
      <c r="H1142" s="3">
        <v>46196</v>
      </c>
      <c r="I1142" s="3">
        <v>46196</v>
      </c>
      <c r="J1142" t="s">
        <v>212</v>
      </c>
      <c r="K1142" s="3">
        <v>46196</v>
      </c>
      <c r="L1142" s="3">
        <v>46196</v>
      </c>
      <c r="M1142" s="3">
        <v>46196</v>
      </c>
      <c r="N1142" s="3">
        <v>46196</v>
      </c>
      <c r="O1142" t="s">
        <v>212</v>
      </c>
      <c r="P1142" t="s">
        <v>55</v>
      </c>
      <c r="Q1142">
        <v>1298</v>
      </c>
      <c r="S1142" t="s">
        <v>1444</v>
      </c>
      <c r="T1142" t="s">
        <v>1429</v>
      </c>
      <c r="U1142">
        <v>1300</v>
      </c>
      <c r="V1142" t="s">
        <v>61</v>
      </c>
      <c r="W1142">
        <v>13.4</v>
      </c>
      <c r="X1142" t="s">
        <v>57</v>
      </c>
      <c r="Z1142" t="s">
        <v>1444</v>
      </c>
      <c r="AA1142" t="s">
        <v>462</v>
      </c>
      <c r="AE1142">
        <v>1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1</v>
      </c>
      <c r="AM1142">
        <v>0</v>
      </c>
      <c r="AN1142">
        <v>0</v>
      </c>
      <c r="AO1142">
        <v>0</v>
      </c>
      <c r="AP1142">
        <v>0</v>
      </c>
    </row>
    <row r="1143" spans="1:42" x14ac:dyDescent="0.25">
      <c r="A1143">
        <v>1300</v>
      </c>
      <c r="B1143" t="s">
        <v>2058</v>
      </c>
      <c r="C1143" t="s">
        <v>2055</v>
      </c>
      <c r="D1143" t="s">
        <v>133</v>
      </c>
      <c r="E1143" s="4">
        <v>1</v>
      </c>
      <c r="F1143" t="s">
        <v>61</v>
      </c>
      <c r="G1143" t="s">
        <v>61</v>
      </c>
      <c r="H1143" s="3">
        <v>46197</v>
      </c>
      <c r="I1143" s="3">
        <v>46197</v>
      </c>
      <c r="J1143" t="s">
        <v>207</v>
      </c>
      <c r="K1143" s="3">
        <v>46197</v>
      </c>
      <c r="L1143" s="3">
        <v>46197</v>
      </c>
      <c r="M1143" s="3">
        <v>46197</v>
      </c>
      <c r="N1143" s="3">
        <v>46197</v>
      </c>
      <c r="O1143" t="s">
        <v>207</v>
      </c>
      <c r="P1143" t="s">
        <v>55</v>
      </c>
      <c r="Q1143">
        <v>1299</v>
      </c>
      <c r="S1143" t="s">
        <v>124</v>
      </c>
      <c r="T1143" t="s">
        <v>1429</v>
      </c>
      <c r="V1143" t="s">
        <v>61</v>
      </c>
      <c r="W1143">
        <v>13.4</v>
      </c>
      <c r="X1143" t="s">
        <v>57</v>
      </c>
      <c r="Z1143" t="s">
        <v>124</v>
      </c>
      <c r="AA1143" t="s">
        <v>217</v>
      </c>
      <c r="AE1143">
        <v>1</v>
      </c>
      <c r="AF1143">
        <v>0</v>
      </c>
      <c r="AG1143">
        <v>0</v>
      </c>
      <c r="AH1143">
        <v>0</v>
      </c>
      <c r="AI1143">
        <v>1</v>
      </c>
      <c r="AJ1143">
        <v>0</v>
      </c>
      <c r="AK1143">
        <v>0</v>
      </c>
      <c r="AL1143">
        <v>0</v>
      </c>
      <c r="AM1143">
        <v>0</v>
      </c>
      <c r="AN1143">
        <v>1</v>
      </c>
      <c r="AO1143">
        <v>0</v>
      </c>
      <c r="AP1143">
        <v>0</v>
      </c>
    </row>
    <row r="1144" spans="1:42" x14ac:dyDescent="0.25">
      <c r="A1144">
        <v>1301</v>
      </c>
      <c r="B1144" t="s">
        <v>2059</v>
      </c>
      <c r="C1144" t="s">
        <v>949</v>
      </c>
      <c r="D1144" t="s">
        <v>2060</v>
      </c>
      <c r="E1144" s="4">
        <v>1</v>
      </c>
      <c r="F1144" t="s">
        <v>214</v>
      </c>
      <c r="G1144" t="s">
        <v>214</v>
      </c>
      <c r="H1144" s="3">
        <v>46190</v>
      </c>
      <c r="I1144" s="3">
        <v>46197</v>
      </c>
      <c r="J1144" t="s">
        <v>75</v>
      </c>
      <c r="K1144" s="3">
        <v>46197</v>
      </c>
      <c r="L1144" s="3">
        <v>46190</v>
      </c>
      <c r="M1144" s="3">
        <v>46197</v>
      </c>
      <c r="N1144" s="3">
        <v>46197</v>
      </c>
      <c r="O1144" t="s">
        <v>75</v>
      </c>
      <c r="P1144" t="s">
        <v>55</v>
      </c>
      <c r="T1144" t="s">
        <v>1429</v>
      </c>
      <c r="V1144" t="s">
        <v>101</v>
      </c>
      <c r="X1144" t="s">
        <v>57</v>
      </c>
      <c r="AA1144" t="s">
        <v>50</v>
      </c>
      <c r="AB1144" t="s">
        <v>94</v>
      </c>
      <c r="AE1144">
        <v>1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</row>
    <row r="1145" spans="1:42" x14ac:dyDescent="0.25">
      <c r="A1145">
        <v>1302</v>
      </c>
      <c r="B1145" t="s">
        <v>2061</v>
      </c>
      <c r="C1145" t="s">
        <v>2062</v>
      </c>
      <c r="D1145" t="s">
        <v>117</v>
      </c>
      <c r="E1145" s="4">
        <v>1</v>
      </c>
      <c r="F1145" t="s">
        <v>122</v>
      </c>
      <c r="G1145" t="s">
        <v>122</v>
      </c>
      <c r="H1145" s="3">
        <v>46190</v>
      </c>
      <c r="I1145" s="3">
        <v>46192</v>
      </c>
      <c r="J1145" t="s">
        <v>75</v>
      </c>
      <c r="K1145" s="3">
        <v>46192</v>
      </c>
      <c r="L1145" s="3">
        <v>46190</v>
      </c>
      <c r="M1145" s="3">
        <v>46192</v>
      </c>
      <c r="N1145" s="3">
        <v>46192</v>
      </c>
      <c r="O1145" t="s">
        <v>75</v>
      </c>
      <c r="P1145" t="s">
        <v>55</v>
      </c>
      <c r="Q1145" t="s">
        <v>2048</v>
      </c>
      <c r="S1145" t="s">
        <v>1444</v>
      </c>
      <c r="T1145" t="s">
        <v>1429</v>
      </c>
      <c r="U1145">
        <v>1303</v>
      </c>
      <c r="V1145" t="s">
        <v>61</v>
      </c>
      <c r="W1145">
        <v>13.4</v>
      </c>
      <c r="X1145" t="s">
        <v>57</v>
      </c>
      <c r="Z1145" t="s">
        <v>1444</v>
      </c>
      <c r="AA1145" t="s">
        <v>462</v>
      </c>
      <c r="AE1145">
        <v>1</v>
      </c>
      <c r="AF1145">
        <v>1</v>
      </c>
      <c r="AG1145">
        <v>1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1</v>
      </c>
    </row>
    <row r="1146" spans="1:42" x14ac:dyDescent="0.25">
      <c r="A1146">
        <v>1303</v>
      </c>
      <c r="B1146" t="s">
        <v>2063</v>
      </c>
      <c r="C1146" t="s">
        <v>2062</v>
      </c>
      <c r="D1146" t="s">
        <v>121</v>
      </c>
      <c r="E1146" s="4">
        <v>1</v>
      </c>
      <c r="F1146" t="s">
        <v>61</v>
      </c>
      <c r="G1146" t="s">
        <v>61</v>
      </c>
      <c r="H1146" s="3">
        <v>46195</v>
      </c>
      <c r="I1146" s="3">
        <v>46195</v>
      </c>
      <c r="J1146" t="s">
        <v>219</v>
      </c>
      <c r="K1146" s="3">
        <v>46195</v>
      </c>
      <c r="L1146" s="3">
        <v>46195</v>
      </c>
      <c r="M1146" s="3">
        <v>46195</v>
      </c>
      <c r="N1146" s="3">
        <v>46195</v>
      </c>
      <c r="O1146" t="s">
        <v>219</v>
      </c>
      <c r="P1146" t="s">
        <v>55</v>
      </c>
      <c r="Q1146">
        <v>1302</v>
      </c>
      <c r="S1146" t="s">
        <v>124</v>
      </c>
      <c r="T1146" t="s">
        <v>1429</v>
      </c>
      <c r="U1146">
        <v>1304</v>
      </c>
      <c r="V1146" t="s">
        <v>61</v>
      </c>
      <c r="W1146">
        <v>13.4</v>
      </c>
      <c r="X1146" t="s">
        <v>57</v>
      </c>
      <c r="Z1146" t="s">
        <v>124</v>
      </c>
      <c r="AA1146" t="s">
        <v>462</v>
      </c>
      <c r="AE1146">
        <v>1</v>
      </c>
      <c r="AF1146">
        <v>0</v>
      </c>
      <c r="AG1146">
        <v>0</v>
      </c>
      <c r="AH1146">
        <v>0</v>
      </c>
      <c r="AI1146">
        <v>0</v>
      </c>
      <c r="AJ1146">
        <v>1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</row>
    <row r="1147" spans="1:42" x14ac:dyDescent="0.25">
      <c r="A1147">
        <v>1304</v>
      </c>
      <c r="B1147" t="s">
        <v>2064</v>
      </c>
      <c r="C1147" t="s">
        <v>2062</v>
      </c>
      <c r="D1147" t="s">
        <v>126</v>
      </c>
      <c r="E1147" s="4">
        <v>1</v>
      </c>
      <c r="F1147" t="s">
        <v>61</v>
      </c>
      <c r="G1147" t="s">
        <v>61</v>
      </c>
      <c r="H1147" s="3">
        <v>46196</v>
      </c>
      <c r="I1147" s="3">
        <v>46196</v>
      </c>
      <c r="J1147" t="s">
        <v>212</v>
      </c>
      <c r="K1147" s="3">
        <v>46196</v>
      </c>
      <c r="L1147" s="3">
        <v>46196</v>
      </c>
      <c r="M1147" s="3">
        <v>46196</v>
      </c>
      <c r="N1147" s="3">
        <v>46196</v>
      </c>
      <c r="O1147" t="s">
        <v>212</v>
      </c>
      <c r="P1147" t="s">
        <v>55</v>
      </c>
      <c r="Q1147">
        <v>1303</v>
      </c>
      <c r="S1147" t="s">
        <v>1444</v>
      </c>
      <c r="T1147" t="s">
        <v>1429</v>
      </c>
      <c r="U1147">
        <v>1305</v>
      </c>
      <c r="V1147" t="s">
        <v>61</v>
      </c>
      <c r="W1147">
        <v>13.4</v>
      </c>
      <c r="X1147" t="s">
        <v>57</v>
      </c>
      <c r="Z1147" t="s">
        <v>1444</v>
      </c>
      <c r="AA1147" t="s">
        <v>462</v>
      </c>
      <c r="AE1147">
        <v>1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1</v>
      </c>
      <c r="AM1147">
        <v>0</v>
      </c>
      <c r="AN1147">
        <v>0</v>
      </c>
      <c r="AO1147">
        <v>0</v>
      </c>
      <c r="AP1147">
        <v>0</v>
      </c>
    </row>
    <row r="1148" spans="1:42" x14ac:dyDescent="0.25">
      <c r="A1148">
        <v>1305</v>
      </c>
      <c r="B1148" t="s">
        <v>2065</v>
      </c>
      <c r="C1148" t="s">
        <v>2062</v>
      </c>
      <c r="D1148" t="s">
        <v>133</v>
      </c>
      <c r="E1148" s="4">
        <v>1</v>
      </c>
      <c r="F1148" t="s">
        <v>61</v>
      </c>
      <c r="G1148" t="s">
        <v>61</v>
      </c>
      <c r="H1148" s="3">
        <v>46197</v>
      </c>
      <c r="I1148" s="3">
        <v>46197</v>
      </c>
      <c r="J1148" t="s">
        <v>207</v>
      </c>
      <c r="K1148" s="3">
        <v>46197</v>
      </c>
      <c r="L1148" s="3">
        <v>46197</v>
      </c>
      <c r="M1148" s="3">
        <v>46197</v>
      </c>
      <c r="N1148" s="3">
        <v>46197</v>
      </c>
      <c r="O1148" t="s">
        <v>207</v>
      </c>
      <c r="P1148" t="s">
        <v>55</v>
      </c>
      <c r="Q1148">
        <v>1304</v>
      </c>
      <c r="S1148" t="s">
        <v>124</v>
      </c>
      <c r="T1148" t="s">
        <v>1429</v>
      </c>
      <c r="V1148" t="s">
        <v>61</v>
      </c>
      <c r="W1148">
        <v>13.4</v>
      </c>
      <c r="X1148" t="s">
        <v>57</v>
      </c>
      <c r="Z1148" t="s">
        <v>124</v>
      </c>
      <c r="AA1148" t="s">
        <v>217</v>
      </c>
      <c r="AE1148">
        <v>1</v>
      </c>
      <c r="AF1148">
        <v>0</v>
      </c>
      <c r="AG1148">
        <v>0</v>
      </c>
      <c r="AH1148">
        <v>0</v>
      </c>
      <c r="AI1148">
        <v>1</v>
      </c>
      <c r="AJ1148">
        <v>0</v>
      </c>
      <c r="AK1148">
        <v>0</v>
      </c>
      <c r="AL1148">
        <v>0</v>
      </c>
      <c r="AM1148">
        <v>0</v>
      </c>
      <c r="AN1148">
        <v>1</v>
      </c>
      <c r="AO1148">
        <v>0</v>
      </c>
      <c r="AP1148">
        <v>0</v>
      </c>
    </row>
    <row r="1149" spans="1:42" x14ac:dyDescent="0.25">
      <c r="A1149">
        <v>1322</v>
      </c>
      <c r="B1149" t="s">
        <v>2066</v>
      </c>
      <c r="C1149" t="s">
        <v>1429</v>
      </c>
      <c r="D1149" t="s">
        <v>2067</v>
      </c>
      <c r="E1149" s="4">
        <v>1</v>
      </c>
      <c r="F1149" t="s">
        <v>210</v>
      </c>
      <c r="G1149" t="s">
        <v>210</v>
      </c>
      <c r="H1149" s="3">
        <v>46188</v>
      </c>
      <c r="I1149" s="3">
        <v>46197</v>
      </c>
      <c r="J1149" t="s">
        <v>448</v>
      </c>
      <c r="K1149" s="3">
        <v>46192</v>
      </c>
      <c r="L1149" s="3">
        <v>46170</v>
      </c>
      <c r="M1149" s="3">
        <v>46197</v>
      </c>
      <c r="N1149" s="3">
        <v>46197</v>
      </c>
      <c r="O1149" t="s">
        <v>595</v>
      </c>
      <c r="P1149" t="s">
        <v>55</v>
      </c>
      <c r="T1149" t="s">
        <v>1429</v>
      </c>
      <c r="V1149" t="s">
        <v>330</v>
      </c>
      <c r="X1149" t="s">
        <v>57</v>
      </c>
      <c r="AA1149" t="s">
        <v>50</v>
      </c>
      <c r="AB1149" t="s">
        <v>94</v>
      </c>
      <c r="AE1149">
        <v>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</row>
    <row r="1150" spans="1:42" x14ac:dyDescent="0.25">
      <c r="A1150">
        <v>1323</v>
      </c>
      <c r="B1150" t="s">
        <v>2068</v>
      </c>
      <c r="C1150" t="s">
        <v>2069</v>
      </c>
      <c r="D1150" t="s">
        <v>2070</v>
      </c>
      <c r="E1150" s="4">
        <v>1</v>
      </c>
      <c r="F1150" t="s">
        <v>138</v>
      </c>
      <c r="G1150" t="s">
        <v>138</v>
      </c>
      <c r="H1150" s="3">
        <v>46188</v>
      </c>
      <c r="I1150" s="3">
        <v>46192</v>
      </c>
      <c r="J1150" t="s">
        <v>595</v>
      </c>
      <c r="K1150" s="3">
        <v>46192</v>
      </c>
      <c r="L1150" s="3">
        <v>46188</v>
      </c>
      <c r="M1150" s="3">
        <v>46192</v>
      </c>
      <c r="N1150" s="3">
        <v>46192</v>
      </c>
      <c r="O1150" t="s">
        <v>595</v>
      </c>
      <c r="P1150" t="s">
        <v>55</v>
      </c>
      <c r="T1150" t="s">
        <v>1429</v>
      </c>
      <c r="V1150" t="s">
        <v>330</v>
      </c>
      <c r="X1150" t="s">
        <v>57</v>
      </c>
      <c r="AA1150" t="s">
        <v>50</v>
      </c>
      <c r="AB1150" t="s">
        <v>94</v>
      </c>
      <c r="AE1150">
        <v>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</row>
    <row r="1151" spans="1:42" x14ac:dyDescent="0.25">
      <c r="A1151">
        <v>1324</v>
      </c>
      <c r="B1151" t="s">
        <v>2071</v>
      </c>
      <c r="C1151" t="s">
        <v>2072</v>
      </c>
      <c r="D1151" t="s">
        <v>117</v>
      </c>
      <c r="E1151" s="4">
        <v>1</v>
      </c>
      <c r="F1151" t="s">
        <v>127</v>
      </c>
      <c r="G1151" t="s">
        <v>127</v>
      </c>
      <c r="H1151" s="3">
        <v>46188</v>
      </c>
      <c r="I1151" s="3">
        <v>46189</v>
      </c>
      <c r="J1151" t="s">
        <v>595</v>
      </c>
      <c r="K1151" s="3">
        <v>46189</v>
      </c>
      <c r="L1151" s="3">
        <v>46188</v>
      </c>
      <c r="M1151" s="3">
        <v>46189</v>
      </c>
      <c r="N1151" s="3">
        <v>46189</v>
      </c>
      <c r="O1151" t="s">
        <v>595</v>
      </c>
      <c r="P1151" t="s">
        <v>55</v>
      </c>
      <c r="S1151" t="s">
        <v>1444</v>
      </c>
      <c r="T1151" t="s">
        <v>1429</v>
      </c>
      <c r="U1151">
        <v>1325</v>
      </c>
      <c r="V1151" t="s">
        <v>151</v>
      </c>
      <c r="W1151">
        <v>13.4</v>
      </c>
      <c r="X1151" t="s">
        <v>57</v>
      </c>
      <c r="Z1151" t="s">
        <v>1444</v>
      </c>
      <c r="AA1151" t="s">
        <v>77</v>
      </c>
      <c r="AE1151">
        <v>1</v>
      </c>
      <c r="AF1151">
        <v>1</v>
      </c>
      <c r="AG1151">
        <v>1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1</v>
      </c>
    </row>
    <row r="1152" spans="1:42" x14ac:dyDescent="0.25">
      <c r="A1152">
        <v>1325</v>
      </c>
      <c r="B1152" t="s">
        <v>2073</v>
      </c>
      <c r="C1152" t="s">
        <v>2072</v>
      </c>
      <c r="D1152" t="s">
        <v>121</v>
      </c>
      <c r="E1152" s="4">
        <v>1</v>
      </c>
      <c r="F1152" t="s">
        <v>61</v>
      </c>
      <c r="G1152" t="s">
        <v>61</v>
      </c>
      <c r="H1152" s="3">
        <v>46190</v>
      </c>
      <c r="I1152" s="3">
        <v>46190</v>
      </c>
      <c r="J1152" t="s">
        <v>75</v>
      </c>
      <c r="K1152" s="3">
        <v>46190</v>
      </c>
      <c r="L1152" s="3">
        <v>46190</v>
      </c>
      <c r="M1152" s="3">
        <v>46190</v>
      </c>
      <c r="N1152" s="3">
        <v>46190</v>
      </c>
      <c r="O1152" t="s">
        <v>75</v>
      </c>
      <c r="P1152" t="s">
        <v>55</v>
      </c>
      <c r="Q1152">
        <v>1324</v>
      </c>
      <c r="S1152" t="s">
        <v>124</v>
      </c>
      <c r="T1152" t="s">
        <v>1429</v>
      </c>
      <c r="U1152">
        <v>1326</v>
      </c>
      <c r="V1152" t="s">
        <v>122</v>
      </c>
      <c r="W1152">
        <v>13.4</v>
      </c>
      <c r="X1152" t="s">
        <v>57</v>
      </c>
      <c r="Z1152" t="s">
        <v>124</v>
      </c>
      <c r="AA1152" t="s">
        <v>217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1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</row>
    <row r="1153" spans="1:42" x14ac:dyDescent="0.25">
      <c r="A1153">
        <v>1326</v>
      </c>
      <c r="B1153" t="s">
        <v>2074</v>
      </c>
      <c r="C1153" t="s">
        <v>2072</v>
      </c>
      <c r="D1153" t="s">
        <v>126</v>
      </c>
      <c r="E1153" s="4">
        <v>1</v>
      </c>
      <c r="F1153" t="s">
        <v>61</v>
      </c>
      <c r="G1153" t="s">
        <v>61</v>
      </c>
      <c r="H1153" s="3">
        <v>46191</v>
      </c>
      <c r="I1153" s="3">
        <v>46191</v>
      </c>
      <c r="J1153" t="s">
        <v>480</v>
      </c>
      <c r="K1153" s="3">
        <v>46191</v>
      </c>
      <c r="L1153" s="3">
        <v>46191</v>
      </c>
      <c r="M1153" s="3">
        <v>46191</v>
      </c>
      <c r="N1153" s="3">
        <v>46191</v>
      </c>
      <c r="O1153" t="s">
        <v>480</v>
      </c>
      <c r="P1153" t="s">
        <v>55</v>
      </c>
      <c r="Q1153">
        <v>1325</v>
      </c>
      <c r="S1153" t="s">
        <v>1444</v>
      </c>
      <c r="T1153" t="s">
        <v>1429</v>
      </c>
      <c r="U1153">
        <v>1327</v>
      </c>
      <c r="V1153" t="s">
        <v>61</v>
      </c>
      <c r="W1153">
        <v>13.4</v>
      </c>
      <c r="X1153" t="s">
        <v>57</v>
      </c>
      <c r="Z1153" t="s">
        <v>1444</v>
      </c>
      <c r="AA1153" t="s">
        <v>217</v>
      </c>
      <c r="AE1153">
        <v>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1</v>
      </c>
      <c r="AM1153">
        <v>0</v>
      </c>
      <c r="AN1153">
        <v>0</v>
      </c>
      <c r="AO1153">
        <v>0</v>
      </c>
      <c r="AP1153">
        <v>0</v>
      </c>
    </row>
    <row r="1154" spans="1:42" x14ac:dyDescent="0.25">
      <c r="A1154">
        <v>1327</v>
      </c>
      <c r="B1154" t="s">
        <v>2075</v>
      </c>
      <c r="C1154" t="s">
        <v>2072</v>
      </c>
      <c r="D1154" t="s">
        <v>133</v>
      </c>
      <c r="E1154" s="4">
        <v>1</v>
      </c>
      <c r="F1154" t="s">
        <v>61</v>
      </c>
      <c r="G1154" t="s">
        <v>61</v>
      </c>
      <c r="H1154" s="3">
        <v>46192</v>
      </c>
      <c r="I1154" s="3">
        <v>46192</v>
      </c>
      <c r="J1154" t="s">
        <v>211</v>
      </c>
      <c r="K1154" s="3">
        <v>46192</v>
      </c>
      <c r="L1154" s="3">
        <v>46192</v>
      </c>
      <c r="M1154" s="3">
        <v>46192</v>
      </c>
      <c r="N1154" s="3">
        <v>46192</v>
      </c>
      <c r="O1154" t="s">
        <v>211</v>
      </c>
      <c r="P1154" t="s">
        <v>55</v>
      </c>
      <c r="Q1154">
        <v>1326</v>
      </c>
      <c r="S1154" t="s">
        <v>124</v>
      </c>
      <c r="T1154" t="s">
        <v>1429</v>
      </c>
      <c r="V1154" t="s">
        <v>61</v>
      </c>
      <c r="W1154">
        <v>13.4</v>
      </c>
      <c r="X1154" t="s">
        <v>57</v>
      </c>
      <c r="Z1154" t="s">
        <v>124</v>
      </c>
      <c r="AA1154" t="s">
        <v>217</v>
      </c>
      <c r="AE1154">
        <v>1</v>
      </c>
      <c r="AF1154">
        <v>0</v>
      </c>
      <c r="AG1154">
        <v>0</v>
      </c>
      <c r="AH1154">
        <v>0</v>
      </c>
      <c r="AI1154">
        <v>1</v>
      </c>
      <c r="AJ1154">
        <v>0</v>
      </c>
      <c r="AK1154">
        <v>0</v>
      </c>
      <c r="AL1154">
        <v>0</v>
      </c>
      <c r="AM1154">
        <v>0</v>
      </c>
      <c r="AN1154">
        <v>1</v>
      </c>
      <c r="AO1154">
        <v>0</v>
      </c>
      <c r="AP1154">
        <v>0</v>
      </c>
    </row>
    <row r="1155" spans="1:42" x14ac:dyDescent="0.25">
      <c r="A1155">
        <v>1328</v>
      </c>
      <c r="B1155" t="s">
        <v>2076</v>
      </c>
      <c r="C1155" t="s">
        <v>2069</v>
      </c>
      <c r="D1155" t="s">
        <v>2077</v>
      </c>
      <c r="E1155" s="4">
        <v>1</v>
      </c>
      <c r="F1155" t="s">
        <v>210</v>
      </c>
      <c r="G1155" t="s">
        <v>210</v>
      </c>
      <c r="H1155" s="3">
        <v>46188</v>
      </c>
      <c r="I1155" s="3">
        <v>46197</v>
      </c>
      <c r="J1155" t="s">
        <v>595</v>
      </c>
      <c r="K1155" s="3">
        <v>46197</v>
      </c>
      <c r="L1155" s="3">
        <v>46188</v>
      </c>
      <c r="M1155" s="3">
        <v>46197</v>
      </c>
      <c r="N1155" s="3">
        <v>46197</v>
      </c>
      <c r="O1155" t="s">
        <v>595</v>
      </c>
      <c r="P1155" t="s">
        <v>55</v>
      </c>
      <c r="T1155" t="s">
        <v>1429</v>
      </c>
      <c r="V1155" t="s">
        <v>330</v>
      </c>
      <c r="X1155" t="s">
        <v>57</v>
      </c>
      <c r="AA1155" t="s">
        <v>50</v>
      </c>
      <c r="AB1155" t="s">
        <v>94</v>
      </c>
      <c r="AE1155">
        <v>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</row>
    <row r="1156" spans="1:42" x14ac:dyDescent="0.25">
      <c r="A1156">
        <v>1329</v>
      </c>
      <c r="B1156" t="s">
        <v>2078</v>
      </c>
      <c r="C1156" t="s">
        <v>2079</v>
      </c>
      <c r="D1156" t="s">
        <v>117</v>
      </c>
      <c r="E1156" s="4">
        <v>1</v>
      </c>
      <c r="F1156" t="s">
        <v>138</v>
      </c>
      <c r="G1156" t="s">
        <v>138</v>
      </c>
      <c r="H1156" s="3">
        <v>46188</v>
      </c>
      <c r="I1156" s="3">
        <v>46192</v>
      </c>
      <c r="J1156" t="s">
        <v>595</v>
      </c>
      <c r="K1156" s="3">
        <v>46192</v>
      </c>
      <c r="L1156" s="3">
        <v>46188</v>
      </c>
      <c r="M1156" s="3">
        <v>46192</v>
      </c>
      <c r="N1156" s="3">
        <v>46192</v>
      </c>
      <c r="O1156" t="s">
        <v>595</v>
      </c>
      <c r="P1156" t="s">
        <v>55</v>
      </c>
      <c r="S1156" t="s">
        <v>1444</v>
      </c>
      <c r="T1156" t="s">
        <v>1429</v>
      </c>
      <c r="U1156">
        <v>1330</v>
      </c>
      <c r="V1156" t="s">
        <v>151</v>
      </c>
      <c r="W1156">
        <v>13.4</v>
      </c>
      <c r="X1156" t="s">
        <v>57</v>
      </c>
      <c r="Z1156" t="s">
        <v>1444</v>
      </c>
      <c r="AA1156" t="s">
        <v>77</v>
      </c>
      <c r="AE1156">
        <v>1</v>
      </c>
      <c r="AF1156">
        <v>1</v>
      </c>
      <c r="AG1156">
        <v>1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1</v>
      </c>
    </row>
    <row r="1157" spans="1:42" x14ac:dyDescent="0.25">
      <c r="A1157">
        <v>1330</v>
      </c>
      <c r="B1157" t="s">
        <v>2080</v>
      </c>
      <c r="C1157" t="s">
        <v>2079</v>
      </c>
      <c r="D1157" t="s">
        <v>121</v>
      </c>
      <c r="E1157" s="4">
        <v>1</v>
      </c>
      <c r="F1157" t="s">
        <v>61</v>
      </c>
      <c r="G1157" t="s">
        <v>61</v>
      </c>
      <c r="H1157" s="3">
        <v>46195</v>
      </c>
      <c r="I1157" s="3">
        <v>46195</v>
      </c>
      <c r="J1157" t="s">
        <v>219</v>
      </c>
      <c r="K1157" s="3">
        <v>46195</v>
      </c>
      <c r="L1157" s="3">
        <v>46195</v>
      </c>
      <c r="M1157" s="3">
        <v>46195</v>
      </c>
      <c r="N1157" s="3">
        <v>46195</v>
      </c>
      <c r="O1157" t="s">
        <v>219</v>
      </c>
      <c r="P1157" t="s">
        <v>55</v>
      </c>
      <c r="Q1157">
        <v>1329</v>
      </c>
      <c r="S1157" t="s">
        <v>124</v>
      </c>
      <c r="T1157" t="s">
        <v>1429</v>
      </c>
      <c r="U1157">
        <v>1331</v>
      </c>
      <c r="V1157" t="s">
        <v>122</v>
      </c>
      <c r="W1157">
        <v>13.4</v>
      </c>
      <c r="X1157" t="s">
        <v>57</v>
      </c>
      <c r="Z1157" t="s">
        <v>124</v>
      </c>
      <c r="AA1157" t="s">
        <v>217</v>
      </c>
      <c r="AE1157">
        <v>1</v>
      </c>
      <c r="AF1157">
        <v>0</v>
      </c>
      <c r="AG1157">
        <v>0</v>
      </c>
      <c r="AH1157">
        <v>0</v>
      </c>
      <c r="AI1157">
        <v>0</v>
      </c>
      <c r="AJ1157">
        <v>1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</row>
    <row r="1158" spans="1:42" x14ac:dyDescent="0.25">
      <c r="A1158">
        <v>1331</v>
      </c>
      <c r="B1158" t="s">
        <v>2081</v>
      </c>
      <c r="C1158" t="s">
        <v>2079</v>
      </c>
      <c r="D1158" t="s">
        <v>126</v>
      </c>
      <c r="E1158" s="4">
        <v>1</v>
      </c>
      <c r="F1158" t="s">
        <v>61</v>
      </c>
      <c r="G1158" t="s">
        <v>61</v>
      </c>
      <c r="H1158" s="3">
        <v>46196</v>
      </c>
      <c r="I1158" s="3">
        <v>46196</v>
      </c>
      <c r="J1158" t="s">
        <v>212</v>
      </c>
      <c r="K1158" s="3">
        <v>46196</v>
      </c>
      <c r="L1158" s="3">
        <v>46196</v>
      </c>
      <c r="M1158" s="3">
        <v>46196</v>
      </c>
      <c r="N1158" s="3">
        <v>46196</v>
      </c>
      <c r="O1158" t="s">
        <v>212</v>
      </c>
      <c r="P1158" t="s">
        <v>55</v>
      </c>
      <c r="Q1158">
        <v>1330</v>
      </c>
      <c r="S1158" t="s">
        <v>1444</v>
      </c>
      <c r="T1158" t="s">
        <v>1429</v>
      </c>
      <c r="U1158">
        <v>1332</v>
      </c>
      <c r="V1158" t="s">
        <v>61</v>
      </c>
      <c r="W1158">
        <v>13.4</v>
      </c>
      <c r="X1158" t="s">
        <v>57</v>
      </c>
      <c r="Z1158" t="s">
        <v>1444</v>
      </c>
      <c r="AA1158" t="s">
        <v>217</v>
      </c>
      <c r="AE1158">
        <v>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1</v>
      </c>
      <c r="AM1158">
        <v>0</v>
      </c>
      <c r="AN1158">
        <v>0</v>
      </c>
      <c r="AO1158">
        <v>0</v>
      </c>
      <c r="AP1158">
        <v>0</v>
      </c>
    </row>
    <row r="1159" spans="1:42" x14ac:dyDescent="0.25">
      <c r="A1159">
        <v>1332</v>
      </c>
      <c r="B1159" t="s">
        <v>2082</v>
      </c>
      <c r="C1159" t="s">
        <v>2079</v>
      </c>
      <c r="D1159" t="s">
        <v>133</v>
      </c>
      <c r="E1159" s="4">
        <v>1</v>
      </c>
      <c r="F1159" t="s">
        <v>61</v>
      </c>
      <c r="G1159" t="s">
        <v>61</v>
      </c>
      <c r="H1159" s="3">
        <v>46197</v>
      </c>
      <c r="I1159" s="3">
        <v>46197</v>
      </c>
      <c r="J1159" t="s">
        <v>207</v>
      </c>
      <c r="K1159" s="3">
        <v>46197</v>
      </c>
      <c r="L1159" s="3">
        <v>46197</v>
      </c>
      <c r="M1159" s="3">
        <v>46197</v>
      </c>
      <c r="N1159" s="3">
        <v>46197</v>
      </c>
      <c r="O1159" t="s">
        <v>207</v>
      </c>
      <c r="P1159" t="s">
        <v>55</v>
      </c>
      <c r="Q1159">
        <v>1331</v>
      </c>
      <c r="S1159" t="s">
        <v>124</v>
      </c>
      <c r="T1159" t="s">
        <v>1429</v>
      </c>
      <c r="V1159" t="s">
        <v>61</v>
      </c>
      <c r="W1159">
        <v>13.4</v>
      </c>
      <c r="X1159" t="s">
        <v>57</v>
      </c>
      <c r="Z1159" t="s">
        <v>124</v>
      </c>
      <c r="AA1159" t="s">
        <v>217</v>
      </c>
      <c r="AE1159">
        <v>1</v>
      </c>
      <c r="AF1159">
        <v>0</v>
      </c>
      <c r="AG1159">
        <v>0</v>
      </c>
      <c r="AH1159">
        <v>0</v>
      </c>
      <c r="AI1159">
        <v>1</v>
      </c>
      <c r="AJ1159">
        <v>0</v>
      </c>
      <c r="AK1159">
        <v>0</v>
      </c>
      <c r="AL1159">
        <v>0</v>
      </c>
      <c r="AM1159">
        <v>0</v>
      </c>
      <c r="AN1159">
        <v>1</v>
      </c>
      <c r="AO1159">
        <v>0</v>
      </c>
      <c r="AP1159">
        <v>0</v>
      </c>
    </row>
    <row r="1160" spans="1:42" x14ac:dyDescent="0.25">
      <c r="A1160">
        <v>1333</v>
      </c>
      <c r="B1160" t="s">
        <v>2083</v>
      </c>
      <c r="C1160" t="s">
        <v>2069</v>
      </c>
      <c r="D1160" t="s">
        <v>2084</v>
      </c>
      <c r="E1160" s="4">
        <v>1</v>
      </c>
      <c r="F1160" t="s">
        <v>214</v>
      </c>
      <c r="G1160" t="s">
        <v>214</v>
      </c>
      <c r="H1160" s="3">
        <v>46190</v>
      </c>
      <c r="I1160" s="3">
        <v>46197</v>
      </c>
      <c r="J1160" t="s">
        <v>75</v>
      </c>
      <c r="K1160" s="3">
        <v>46197</v>
      </c>
      <c r="L1160" s="3">
        <v>46190</v>
      </c>
      <c r="M1160" s="3">
        <v>46197</v>
      </c>
      <c r="N1160" s="3">
        <v>46197</v>
      </c>
      <c r="O1160" t="s">
        <v>75</v>
      </c>
      <c r="P1160" t="s">
        <v>55</v>
      </c>
      <c r="T1160" t="s">
        <v>1429</v>
      </c>
      <c r="V1160" t="s">
        <v>101</v>
      </c>
      <c r="X1160" t="s">
        <v>57</v>
      </c>
      <c r="AA1160" t="s">
        <v>50</v>
      </c>
      <c r="AB1160" t="s">
        <v>94</v>
      </c>
      <c r="AE1160">
        <v>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</row>
    <row r="1161" spans="1:42" x14ac:dyDescent="0.25">
      <c r="A1161">
        <v>1334</v>
      </c>
      <c r="B1161" t="s">
        <v>2085</v>
      </c>
      <c r="C1161" t="s">
        <v>2086</v>
      </c>
      <c r="D1161" t="s">
        <v>117</v>
      </c>
      <c r="E1161" s="4">
        <v>1</v>
      </c>
      <c r="F1161" t="s">
        <v>122</v>
      </c>
      <c r="G1161" t="s">
        <v>122</v>
      </c>
      <c r="H1161" s="3">
        <v>46190</v>
      </c>
      <c r="I1161" s="3">
        <v>46192</v>
      </c>
      <c r="J1161" t="s">
        <v>75</v>
      </c>
      <c r="K1161" s="3">
        <v>46192</v>
      </c>
      <c r="L1161" s="3">
        <v>46190</v>
      </c>
      <c r="M1161" s="3">
        <v>46192</v>
      </c>
      <c r="N1161" s="3">
        <v>46192</v>
      </c>
      <c r="O1161" t="s">
        <v>75</v>
      </c>
      <c r="P1161" t="s">
        <v>55</v>
      </c>
      <c r="Q1161" t="s">
        <v>2048</v>
      </c>
      <c r="S1161" t="s">
        <v>1444</v>
      </c>
      <c r="T1161" t="s">
        <v>1429</v>
      </c>
      <c r="U1161">
        <v>1335</v>
      </c>
      <c r="V1161" t="s">
        <v>61</v>
      </c>
      <c r="W1161">
        <v>13.4</v>
      </c>
      <c r="X1161" t="s">
        <v>57</v>
      </c>
      <c r="Z1161" t="s">
        <v>1444</v>
      </c>
      <c r="AA1161" t="s">
        <v>462</v>
      </c>
      <c r="AE1161">
        <v>1</v>
      </c>
      <c r="AF1161">
        <v>1</v>
      </c>
      <c r="AG1161">
        <v>1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1</v>
      </c>
    </row>
    <row r="1162" spans="1:42" x14ac:dyDescent="0.25">
      <c r="A1162">
        <v>1335</v>
      </c>
      <c r="B1162" t="s">
        <v>2087</v>
      </c>
      <c r="C1162" t="s">
        <v>2086</v>
      </c>
      <c r="D1162" t="s">
        <v>121</v>
      </c>
      <c r="E1162" s="4">
        <v>1</v>
      </c>
      <c r="F1162" t="s">
        <v>61</v>
      </c>
      <c r="G1162" t="s">
        <v>61</v>
      </c>
      <c r="H1162" s="3">
        <v>46195</v>
      </c>
      <c r="I1162" s="3">
        <v>46195</v>
      </c>
      <c r="J1162" t="s">
        <v>219</v>
      </c>
      <c r="K1162" s="3">
        <v>46195</v>
      </c>
      <c r="L1162" s="3">
        <v>46195</v>
      </c>
      <c r="M1162" s="3">
        <v>46195</v>
      </c>
      <c r="N1162" s="3">
        <v>46195</v>
      </c>
      <c r="O1162" t="s">
        <v>219</v>
      </c>
      <c r="P1162" t="s">
        <v>55</v>
      </c>
      <c r="Q1162">
        <v>1334</v>
      </c>
      <c r="S1162" t="s">
        <v>124</v>
      </c>
      <c r="T1162" t="s">
        <v>1429</v>
      </c>
      <c r="U1162">
        <v>1336</v>
      </c>
      <c r="V1162" t="s">
        <v>61</v>
      </c>
      <c r="W1162">
        <v>13.4</v>
      </c>
      <c r="X1162" t="s">
        <v>57</v>
      </c>
      <c r="Z1162" t="s">
        <v>124</v>
      </c>
      <c r="AA1162" t="s">
        <v>462</v>
      </c>
      <c r="AE1162">
        <v>1</v>
      </c>
      <c r="AF1162">
        <v>0</v>
      </c>
      <c r="AG1162">
        <v>0</v>
      </c>
      <c r="AH1162">
        <v>0</v>
      </c>
      <c r="AI1162">
        <v>0</v>
      </c>
      <c r="AJ1162">
        <v>1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</row>
    <row r="1163" spans="1:42" x14ac:dyDescent="0.25">
      <c r="A1163">
        <v>1336</v>
      </c>
      <c r="B1163" t="s">
        <v>2088</v>
      </c>
      <c r="C1163" t="s">
        <v>2086</v>
      </c>
      <c r="D1163" t="s">
        <v>126</v>
      </c>
      <c r="E1163" s="4">
        <v>1</v>
      </c>
      <c r="F1163" t="s">
        <v>61</v>
      </c>
      <c r="G1163" t="s">
        <v>61</v>
      </c>
      <c r="H1163" s="3">
        <v>46196</v>
      </c>
      <c r="I1163" s="3">
        <v>46196</v>
      </c>
      <c r="J1163" t="s">
        <v>212</v>
      </c>
      <c r="K1163" s="3">
        <v>46196</v>
      </c>
      <c r="L1163" s="3">
        <v>46196</v>
      </c>
      <c r="M1163" s="3">
        <v>46196</v>
      </c>
      <c r="N1163" s="3">
        <v>46196</v>
      </c>
      <c r="O1163" t="s">
        <v>212</v>
      </c>
      <c r="P1163" t="s">
        <v>55</v>
      </c>
      <c r="Q1163">
        <v>1335</v>
      </c>
      <c r="S1163" t="s">
        <v>1444</v>
      </c>
      <c r="T1163" t="s">
        <v>1429</v>
      </c>
      <c r="U1163">
        <v>1337</v>
      </c>
      <c r="V1163" t="s">
        <v>61</v>
      </c>
      <c r="W1163">
        <v>13.4</v>
      </c>
      <c r="X1163" t="s">
        <v>57</v>
      </c>
      <c r="Z1163" t="s">
        <v>1444</v>
      </c>
      <c r="AA1163" t="s">
        <v>462</v>
      </c>
      <c r="AE1163">
        <v>1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1</v>
      </c>
      <c r="AM1163">
        <v>0</v>
      </c>
      <c r="AN1163">
        <v>0</v>
      </c>
      <c r="AO1163">
        <v>0</v>
      </c>
      <c r="AP1163">
        <v>0</v>
      </c>
    </row>
    <row r="1164" spans="1:42" x14ac:dyDescent="0.25">
      <c r="A1164">
        <v>1337</v>
      </c>
      <c r="B1164" t="s">
        <v>2089</v>
      </c>
      <c r="C1164" t="s">
        <v>2086</v>
      </c>
      <c r="D1164" t="s">
        <v>133</v>
      </c>
      <c r="E1164" s="4">
        <v>1</v>
      </c>
      <c r="F1164" t="s">
        <v>61</v>
      </c>
      <c r="G1164" t="s">
        <v>61</v>
      </c>
      <c r="H1164" s="3">
        <v>46197</v>
      </c>
      <c r="I1164" s="3">
        <v>46197</v>
      </c>
      <c r="J1164" t="s">
        <v>207</v>
      </c>
      <c r="K1164" s="3">
        <v>46197</v>
      </c>
      <c r="L1164" s="3">
        <v>46197</v>
      </c>
      <c r="M1164" s="3">
        <v>46197</v>
      </c>
      <c r="N1164" s="3">
        <v>46197</v>
      </c>
      <c r="O1164" t="s">
        <v>207</v>
      </c>
      <c r="P1164" t="s">
        <v>55</v>
      </c>
      <c r="Q1164">
        <v>1336</v>
      </c>
      <c r="S1164" t="s">
        <v>124</v>
      </c>
      <c r="T1164" t="s">
        <v>1429</v>
      </c>
      <c r="V1164" t="s">
        <v>61</v>
      </c>
      <c r="W1164">
        <v>13.4</v>
      </c>
      <c r="X1164" t="s">
        <v>57</v>
      </c>
      <c r="Z1164" t="s">
        <v>124</v>
      </c>
      <c r="AA1164" t="s">
        <v>217</v>
      </c>
      <c r="AE1164">
        <v>1</v>
      </c>
      <c r="AF1164">
        <v>0</v>
      </c>
      <c r="AG1164">
        <v>0</v>
      </c>
      <c r="AH1164">
        <v>0</v>
      </c>
      <c r="AI1164">
        <v>1</v>
      </c>
      <c r="AJ1164">
        <v>0</v>
      </c>
      <c r="AK1164">
        <v>0</v>
      </c>
      <c r="AL1164">
        <v>0</v>
      </c>
      <c r="AM1164">
        <v>0</v>
      </c>
      <c r="AN1164">
        <v>1</v>
      </c>
      <c r="AO1164">
        <v>0</v>
      </c>
      <c r="AP1164">
        <v>0</v>
      </c>
    </row>
    <row r="1165" spans="1:42" x14ac:dyDescent="0.25">
      <c r="A1165">
        <v>1338</v>
      </c>
      <c r="B1165" t="s">
        <v>2090</v>
      </c>
      <c r="C1165" t="s">
        <v>2069</v>
      </c>
      <c r="D1165" t="s">
        <v>2091</v>
      </c>
      <c r="E1165" s="4">
        <v>1</v>
      </c>
      <c r="F1165" t="s">
        <v>214</v>
      </c>
      <c r="G1165" t="s">
        <v>214</v>
      </c>
      <c r="H1165" s="3">
        <v>46190</v>
      </c>
      <c r="I1165" s="3">
        <v>46197</v>
      </c>
      <c r="J1165" t="s">
        <v>75</v>
      </c>
      <c r="K1165" s="3">
        <v>46197</v>
      </c>
      <c r="L1165" s="3">
        <v>46190</v>
      </c>
      <c r="M1165" s="3">
        <v>46197</v>
      </c>
      <c r="N1165" s="3">
        <v>46197</v>
      </c>
      <c r="O1165" t="s">
        <v>75</v>
      </c>
      <c r="P1165" t="s">
        <v>55</v>
      </c>
      <c r="T1165" t="s">
        <v>1429</v>
      </c>
      <c r="V1165" t="s">
        <v>101</v>
      </c>
      <c r="X1165" t="s">
        <v>57</v>
      </c>
      <c r="AA1165" t="s">
        <v>50</v>
      </c>
      <c r="AB1165" t="s">
        <v>94</v>
      </c>
      <c r="AE1165">
        <v>1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</row>
    <row r="1166" spans="1:42" x14ac:dyDescent="0.25">
      <c r="A1166">
        <v>1339</v>
      </c>
      <c r="B1166" t="s">
        <v>2092</v>
      </c>
      <c r="C1166" t="s">
        <v>2093</v>
      </c>
      <c r="D1166" t="s">
        <v>117</v>
      </c>
      <c r="E1166" s="4">
        <v>1</v>
      </c>
      <c r="F1166" t="s">
        <v>122</v>
      </c>
      <c r="G1166" t="s">
        <v>122</v>
      </c>
      <c r="H1166" s="3">
        <v>46190</v>
      </c>
      <c r="I1166" s="3">
        <v>46192</v>
      </c>
      <c r="J1166" t="s">
        <v>75</v>
      </c>
      <c r="K1166" s="3">
        <v>46192</v>
      </c>
      <c r="L1166" s="3">
        <v>46190</v>
      </c>
      <c r="M1166" s="3">
        <v>46192</v>
      </c>
      <c r="N1166" s="3">
        <v>46192</v>
      </c>
      <c r="O1166" t="s">
        <v>75</v>
      </c>
      <c r="P1166" t="s">
        <v>55</v>
      </c>
      <c r="Q1166" t="s">
        <v>2048</v>
      </c>
      <c r="S1166" t="s">
        <v>1444</v>
      </c>
      <c r="T1166" t="s">
        <v>1429</v>
      </c>
      <c r="U1166">
        <v>1340</v>
      </c>
      <c r="V1166" t="s">
        <v>61</v>
      </c>
      <c r="W1166">
        <v>13.4</v>
      </c>
      <c r="X1166" t="s">
        <v>57</v>
      </c>
      <c r="Z1166" t="s">
        <v>1444</v>
      </c>
      <c r="AA1166" t="s">
        <v>462</v>
      </c>
      <c r="AE1166">
        <v>1</v>
      </c>
      <c r="AF1166">
        <v>1</v>
      </c>
      <c r="AG1166">
        <v>1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1</v>
      </c>
    </row>
    <row r="1167" spans="1:42" x14ac:dyDescent="0.25">
      <c r="A1167">
        <v>1340</v>
      </c>
      <c r="B1167" t="s">
        <v>2094</v>
      </c>
      <c r="C1167" t="s">
        <v>2093</v>
      </c>
      <c r="D1167" t="s">
        <v>121</v>
      </c>
      <c r="E1167" s="4">
        <v>1</v>
      </c>
      <c r="F1167" t="s">
        <v>61</v>
      </c>
      <c r="G1167" t="s">
        <v>61</v>
      </c>
      <c r="H1167" s="3">
        <v>46195</v>
      </c>
      <c r="I1167" s="3">
        <v>46195</v>
      </c>
      <c r="J1167" t="s">
        <v>219</v>
      </c>
      <c r="K1167" s="3">
        <v>46195</v>
      </c>
      <c r="L1167" s="3">
        <v>46195</v>
      </c>
      <c r="M1167" s="3">
        <v>46195</v>
      </c>
      <c r="N1167" s="3">
        <v>46195</v>
      </c>
      <c r="O1167" t="s">
        <v>219</v>
      </c>
      <c r="P1167" t="s">
        <v>55</v>
      </c>
      <c r="Q1167">
        <v>1339</v>
      </c>
      <c r="S1167" t="s">
        <v>124</v>
      </c>
      <c r="T1167" t="s">
        <v>1429</v>
      </c>
      <c r="U1167">
        <v>1341</v>
      </c>
      <c r="V1167" t="s">
        <v>61</v>
      </c>
      <c r="W1167">
        <v>13.4</v>
      </c>
      <c r="X1167" t="s">
        <v>57</v>
      </c>
      <c r="Z1167" t="s">
        <v>124</v>
      </c>
      <c r="AA1167" t="s">
        <v>462</v>
      </c>
      <c r="AE1167">
        <v>1</v>
      </c>
      <c r="AF1167">
        <v>0</v>
      </c>
      <c r="AG1167">
        <v>0</v>
      </c>
      <c r="AH1167">
        <v>0</v>
      </c>
      <c r="AI1167">
        <v>0</v>
      </c>
      <c r="AJ1167">
        <v>1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</row>
    <row r="1168" spans="1:42" x14ac:dyDescent="0.25">
      <c r="A1168">
        <v>1341</v>
      </c>
      <c r="B1168" t="s">
        <v>2095</v>
      </c>
      <c r="C1168" t="s">
        <v>2093</v>
      </c>
      <c r="D1168" t="s">
        <v>126</v>
      </c>
      <c r="E1168" s="4">
        <v>1</v>
      </c>
      <c r="F1168" t="s">
        <v>61</v>
      </c>
      <c r="G1168" t="s">
        <v>61</v>
      </c>
      <c r="H1168" s="3">
        <v>46196</v>
      </c>
      <c r="I1168" s="3">
        <v>46196</v>
      </c>
      <c r="J1168" t="s">
        <v>212</v>
      </c>
      <c r="K1168" s="3">
        <v>46196</v>
      </c>
      <c r="L1168" s="3">
        <v>46196</v>
      </c>
      <c r="M1168" s="3">
        <v>46196</v>
      </c>
      <c r="N1168" s="3">
        <v>46196</v>
      </c>
      <c r="O1168" t="s">
        <v>212</v>
      </c>
      <c r="P1168" t="s">
        <v>55</v>
      </c>
      <c r="Q1168">
        <v>1340</v>
      </c>
      <c r="S1168" t="s">
        <v>1444</v>
      </c>
      <c r="T1168" t="s">
        <v>1429</v>
      </c>
      <c r="U1168">
        <v>1342</v>
      </c>
      <c r="V1168" t="s">
        <v>61</v>
      </c>
      <c r="W1168">
        <v>13.4</v>
      </c>
      <c r="X1168" t="s">
        <v>57</v>
      </c>
      <c r="Z1168" t="s">
        <v>1444</v>
      </c>
      <c r="AA1168" t="s">
        <v>462</v>
      </c>
      <c r="AE1168">
        <v>1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1</v>
      </c>
      <c r="AM1168">
        <v>0</v>
      </c>
      <c r="AN1168">
        <v>0</v>
      </c>
      <c r="AO1168">
        <v>0</v>
      </c>
      <c r="AP1168">
        <v>0</v>
      </c>
    </row>
    <row r="1169" spans="1:42" x14ac:dyDescent="0.25">
      <c r="A1169">
        <v>1342</v>
      </c>
      <c r="B1169" t="s">
        <v>2096</v>
      </c>
      <c r="C1169" t="s">
        <v>2093</v>
      </c>
      <c r="D1169" t="s">
        <v>133</v>
      </c>
      <c r="E1169" s="4">
        <v>1</v>
      </c>
      <c r="F1169" t="s">
        <v>61</v>
      </c>
      <c r="G1169" t="s">
        <v>61</v>
      </c>
      <c r="H1169" s="3">
        <v>46197</v>
      </c>
      <c r="I1169" s="3">
        <v>46197</v>
      </c>
      <c r="J1169" t="s">
        <v>207</v>
      </c>
      <c r="K1169" s="3">
        <v>46197</v>
      </c>
      <c r="L1169" s="3">
        <v>46197</v>
      </c>
      <c r="M1169" s="3">
        <v>46197</v>
      </c>
      <c r="N1169" s="3">
        <v>46197</v>
      </c>
      <c r="O1169" t="s">
        <v>207</v>
      </c>
      <c r="P1169" t="s">
        <v>55</v>
      </c>
      <c r="Q1169">
        <v>1341</v>
      </c>
      <c r="S1169" t="s">
        <v>124</v>
      </c>
      <c r="T1169" t="s">
        <v>1429</v>
      </c>
      <c r="V1169" t="s">
        <v>61</v>
      </c>
      <c r="W1169">
        <v>13.4</v>
      </c>
      <c r="X1169" t="s">
        <v>57</v>
      </c>
      <c r="Z1169" t="s">
        <v>124</v>
      </c>
      <c r="AA1169" t="s">
        <v>217</v>
      </c>
      <c r="AE1169">
        <v>1</v>
      </c>
      <c r="AF1169">
        <v>0</v>
      </c>
      <c r="AG1169">
        <v>0</v>
      </c>
      <c r="AH1169">
        <v>0</v>
      </c>
      <c r="AI1169">
        <v>1</v>
      </c>
      <c r="AJ1169">
        <v>0</v>
      </c>
      <c r="AK1169">
        <v>0</v>
      </c>
      <c r="AL1169">
        <v>0</v>
      </c>
      <c r="AM1169">
        <v>0</v>
      </c>
      <c r="AN1169">
        <v>1</v>
      </c>
      <c r="AO1169">
        <v>0</v>
      </c>
      <c r="AP1169">
        <v>0</v>
      </c>
    </row>
    <row r="1170" spans="1:42" x14ac:dyDescent="0.25">
      <c r="A1170">
        <v>1343</v>
      </c>
      <c r="B1170" t="s">
        <v>2097</v>
      </c>
      <c r="C1170" t="s">
        <v>1429</v>
      </c>
      <c r="D1170" t="s">
        <v>984</v>
      </c>
      <c r="E1170" s="4">
        <v>1</v>
      </c>
      <c r="F1170" t="s">
        <v>210</v>
      </c>
      <c r="G1170" t="s">
        <v>210</v>
      </c>
      <c r="H1170" s="3">
        <v>46190</v>
      </c>
      <c r="I1170" s="3">
        <v>46199</v>
      </c>
      <c r="J1170" t="s">
        <v>75</v>
      </c>
      <c r="K1170" s="3">
        <v>46199</v>
      </c>
      <c r="L1170" s="3">
        <v>46190</v>
      </c>
      <c r="M1170" s="3">
        <v>46199</v>
      </c>
      <c r="N1170" s="3">
        <v>46199</v>
      </c>
      <c r="O1170" t="s">
        <v>75</v>
      </c>
      <c r="P1170" t="s">
        <v>55</v>
      </c>
      <c r="T1170" t="s">
        <v>1429</v>
      </c>
      <c r="V1170" t="s">
        <v>330</v>
      </c>
      <c r="X1170" t="s">
        <v>57</v>
      </c>
      <c r="AA1170" t="s">
        <v>50</v>
      </c>
      <c r="AE1170">
        <v>1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</row>
    <row r="1171" spans="1:42" x14ac:dyDescent="0.25">
      <c r="A1171">
        <v>1344</v>
      </c>
      <c r="B1171" t="s">
        <v>2098</v>
      </c>
      <c r="C1171" t="s">
        <v>986</v>
      </c>
      <c r="D1171" t="s">
        <v>2099</v>
      </c>
      <c r="E1171" s="4">
        <v>1</v>
      </c>
      <c r="F1171" t="s">
        <v>138</v>
      </c>
      <c r="G1171" t="s">
        <v>138</v>
      </c>
      <c r="H1171" s="3">
        <v>46195</v>
      </c>
      <c r="I1171" s="3">
        <v>46199</v>
      </c>
      <c r="J1171" t="s">
        <v>219</v>
      </c>
      <c r="K1171" s="3">
        <v>46199</v>
      </c>
      <c r="L1171" s="3">
        <v>46195</v>
      </c>
      <c r="M1171" s="3">
        <v>46199</v>
      </c>
      <c r="N1171" s="3">
        <v>46199</v>
      </c>
      <c r="O1171" t="s">
        <v>219</v>
      </c>
      <c r="P1171" t="s">
        <v>55</v>
      </c>
      <c r="T1171" t="s">
        <v>1429</v>
      </c>
      <c r="V1171" t="s">
        <v>330</v>
      </c>
      <c r="X1171" t="s">
        <v>57</v>
      </c>
      <c r="AA1171" t="s">
        <v>50</v>
      </c>
      <c r="AB1171" t="s">
        <v>94</v>
      </c>
      <c r="AE1171">
        <v>1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</row>
    <row r="1172" spans="1:42" x14ac:dyDescent="0.25">
      <c r="A1172">
        <v>1345</v>
      </c>
      <c r="B1172" t="s">
        <v>2100</v>
      </c>
      <c r="C1172" t="s">
        <v>2101</v>
      </c>
      <c r="D1172" t="s">
        <v>117</v>
      </c>
      <c r="E1172" s="4">
        <v>1</v>
      </c>
      <c r="F1172" t="s">
        <v>61</v>
      </c>
      <c r="G1172" t="s">
        <v>61</v>
      </c>
      <c r="H1172" s="3">
        <v>46195</v>
      </c>
      <c r="I1172" s="3">
        <v>46195</v>
      </c>
      <c r="J1172" t="s">
        <v>219</v>
      </c>
      <c r="K1172" s="3">
        <v>46195</v>
      </c>
      <c r="L1172" s="3">
        <v>46195</v>
      </c>
      <c r="M1172" s="3">
        <v>46195</v>
      </c>
      <c r="N1172" s="3">
        <v>46195</v>
      </c>
      <c r="O1172" t="s">
        <v>219</v>
      </c>
      <c r="P1172" t="s">
        <v>55</v>
      </c>
      <c r="S1172" t="s">
        <v>1444</v>
      </c>
      <c r="T1172" t="s">
        <v>1429</v>
      </c>
      <c r="U1172">
        <v>1346</v>
      </c>
      <c r="V1172" t="s">
        <v>151</v>
      </c>
      <c r="W1172">
        <v>13.4</v>
      </c>
      <c r="X1172" t="s">
        <v>57</v>
      </c>
      <c r="Z1172" t="s">
        <v>1444</v>
      </c>
      <c r="AA1172" t="s">
        <v>77</v>
      </c>
      <c r="AE1172">
        <v>1</v>
      </c>
      <c r="AF1172">
        <v>1</v>
      </c>
      <c r="AG1172">
        <v>1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1</v>
      </c>
    </row>
    <row r="1173" spans="1:42" x14ac:dyDescent="0.25">
      <c r="A1173">
        <v>1346</v>
      </c>
      <c r="B1173" t="s">
        <v>2102</v>
      </c>
      <c r="C1173" t="s">
        <v>2101</v>
      </c>
      <c r="D1173" t="s">
        <v>121</v>
      </c>
      <c r="E1173" s="4">
        <v>1</v>
      </c>
      <c r="F1173" t="s">
        <v>61</v>
      </c>
      <c r="G1173" t="s">
        <v>61</v>
      </c>
      <c r="H1173" s="3">
        <v>46196</v>
      </c>
      <c r="I1173" s="3">
        <v>46196</v>
      </c>
      <c r="J1173" t="s">
        <v>212</v>
      </c>
      <c r="K1173" s="3">
        <v>46196</v>
      </c>
      <c r="L1173" s="3">
        <v>46196</v>
      </c>
      <c r="M1173" s="3">
        <v>46196</v>
      </c>
      <c r="N1173" s="3">
        <v>46196</v>
      </c>
      <c r="O1173" t="s">
        <v>212</v>
      </c>
      <c r="P1173" t="s">
        <v>55</v>
      </c>
      <c r="Q1173">
        <v>1345</v>
      </c>
      <c r="S1173" t="s">
        <v>124</v>
      </c>
      <c r="T1173" t="s">
        <v>1429</v>
      </c>
      <c r="U1173">
        <v>1347</v>
      </c>
      <c r="V1173" t="s">
        <v>122</v>
      </c>
      <c r="W1173">
        <v>13.4</v>
      </c>
      <c r="X1173" t="s">
        <v>57</v>
      </c>
      <c r="Z1173" t="s">
        <v>124</v>
      </c>
      <c r="AA1173" t="s">
        <v>217</v>
      </c>
      <c r="AE1173">
        <v>1</v>
      </c>
      <c r="AF1173">
        <v>0</v>
      </c>
      <c r="AG1173">
        <v>0</v>
      </c>
      <c r="AH1173">
        <v>0</v>
      </c>
      <c r="AI1173">
        <v>0</v>
      </c>
      <c r="AJ1173">
        <v>1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</row>
    <row r="1174" spans="1:42" x14ac:dyDescent="0.25">
      <c r="A1174">
        <v>1347</v>
      </c>
      <c r="B1174" t="s">
        <v>2103</v>
      </c>
      <c r="C1174" t="s">
        <v>2101</v>
      </c>
      <c r="D1174" t="s">
        <v>126</v>
      </c>
      <c r="E1174" s="4">
        <v>1</v>
      </c>
      <c r="F1174" t="s">
        <v>61</v>
      </c>
      <c r="G1174" t="s">
        <v>61</v>
      </c>
      <c r="H1174" s="3">
        <v>46197</v>
      </c>
      <c r="I1174" s="3">
        <v>46197</v>
      </c>
      <c r="J1174" t="s">
        <v>207</v>
      </c>
      <c r="K1174" s="3">
        <v>46197</v>
      </c>
      <c r="L1174" s="3">
        <v>46197</v>
      </c>
      <c r="M1174" s="3">
        <v>46197</v>
      </c>
      <c r="N1174" s="3">
        <v>46197</v>
      </c>
      <c r="O1174" t="s">
        <v>207</v>
      </c>
      <c r="P1174" t="s">
        <v>55</v>
      </c>
      <c r="Q1174">
        <v>1346</v>
      </c>
      <c r="S1174" t="s">
        <v>1444</v>
      </c>
      <c r="T1174" t="s">
        <v>1429</v>
      </c>
      <c r="U1174">
        <v>1348</v>
      </c>
      <c r="V1174" t="s">
        <v>61</v>
      </c>
      <c r="W1174">
        <v>13.4</v>
      </c>
      <c r="X1174" t="s">
        <v>57</v>
      </c>
      <c r="Z1174" t="s">
        <v>1444</v>
      </c>
      <c r="AA1174" t="s">
        <v>217</v>
      </c>
      <c r="AE1174">
        <v>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1</v>
      </c>
      <c r="AM1174">
        <v>0</v>
      </c>
      <c r="AN1174">
        <v>0</v>
      </c>
      <c r="AO1174">
        <v>0</v>
      </c>
      <c r="AP1174">
        <v>0</v>
      </c>
    </row>
    <row r="1175" spans="1:42" x14ac:dyDescent="0.25">
      <c r="A1175">
        <v>1348</v>
      </c>
      <c r="B1175" t="s">
        <v>2104</v>
      </c>
      <c r="C1175" t="s">
        <v>2101</v>
      </c>
      <c r="D1175" t="s">
        <v>133</v>
      </c>
      <c r="E1175" s="4">
        <v>1</v>
      </c>
      <c r="F1175" t="s">
        <v>127</v>
      </c>
      <c r="G1175" t="s">
        <v>127</v>
      </c>
      <c r="H1175" s="3">
        <v>46198</v>
      </c>
      <c r="I1175" s="3">
        <v>46199</v>
      </c>
      <c r="J1175" t="s">
        <v>128</v>
      </c>
      <c r="K1175" s="3">
        <v>46199</v>
      </c>
      <c r="L1175" s="3">
        <v>46198</v>
      </c>
      <c r="M1175" s="3">
        <v>46199</v>
      </c>
      <c r="N1175" s="3">
        <v>46199</v>
      </c>
      <c r="O1175" t="s">
        <v>128</v>
      </c>
      <c r="P1175" t="s">
        <v>55</v>
      </c>
      <c r="Q1175">
        <v>1347</v>
      </c>
      <c r="S1175" t="s">
        <v>124</v>
      </c>
      <c r="T1175" t="s">
        <v>1429</v>
      </c>
      <c r="V1175" t="s">
        <v>61</v>
      </c>
      <c r="W1175">
        <v>13.4</v>
      </c>
      <c r="X1175" t="s">
        <v>57</v>
      </c>
      <c r="Z1175" t="s">
        <v>124</v>
      </c>
      <c r="AA1175" t="s">
        <v>217</v>
      </c>
      <c r="AE1175">
        <v>1</v>
      </c>
      <c r="AF1175">
        <v>0</v>
      </c>
      <c r="AG1175">
        <v>0</v>
      </c>
      <c r="AH1175">
        <v>0</v>
      </c>
      <c r="AI1175">
        <v>1</v>
      </c>
      <c r="AJ1175">
        <v>0</v>
      </c>
      <c r="AK1175">
        <v>0</v>
      </c>
      <c r="AL1175">
        <v>0</v>
      </c>
      <c r="AM1175">
        <v>0</v>
      </c>
      <c r="AN1175">
        <v>1</v>
      </c>
      <c r="AO1175">
        <v>0</v>
      </c>
      <c r="AP1175">
        <v>0</v>
      </c>
    </row>
    <row r="1176" spans="1:42" x14ac:dyDescent="0.25">
      <c r="A1176">
        <v>1349</v>
      </c>
      <c r="B1176" t="s">
        <v>2105</v>
      </c>
      <c r="C1176" t="s">
        <v>986</v>
      </c>
      <c r="D1176" t="s">
        <v>2106</v>
      </c>
      <c r="E1176" s="4">
        <v>1</v>
      </c>
      <c r="F1176" t="s">
        <v>101</v>
      </c>
      <c r="G1176" t="s">
        <v>101</v>
      </c>
      <c r="H1176" s="3">
        <v>46195</v>
      </c>
      <c r="I1176" s="3">
        <v>46198</v>
      </c>
      <c r="J1176" t="s">
        <v>219</v>
      </c>
      <c r="K1176" s="3">
        <v>46198</v>
      </c>
      <c r="L1176" s="3">
        <v>46195</v>
      </c>
      <c r="M1176" s="3">
        <v>46198</v>
      </c>
      <c r="N1176" s="3">
        <v>46198</v>
      </c>
      <c r="O1176" t="s">
        <v>219</v>
      </c>
      <c r="P1176" t="s">
        <v>55</v>
      </c>
      <c r="T1176" t="s">
        <v>1429</v>
      </c>
      <c r="V1176" t="s">
        <v>330</v>
      </c>
      <c r="X1176" t="s">
        <v>57</v>
      </c>
      <c r="AA1176" t="s">
        <v>50</v>
      </c>
      <c r="AE1176">
        <v>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</row>
    <row r="1177" spans="1:42" x14ac:dyDescent="0.25">
      <c r="A1177">
        <v>1350</v>
      </c>
      <c r="B1177" t="s">
        <v>2107</v>
      </c>
      <c r="C1177" t="s">
        <v>2108</v>
      </c>
      <c r="D1177" t="s">
        <v>117</v>
      </c>
      <c r="E1177" s="4">
        <v>1</v>
      </c>
      <c r="F1177" t="s">
        <v>61</v>
      </c>
      <c r="G1177" t="s">
        <v>61</v>
      </c>
      <c r="H1177" s="3">
        <v>46195</v>
      </c>
      <c r="I1177" s="3">
        <v>46195</v>
      </c>
      <c r="J1177" t="s">
        <v>219</v>
      </c>
      <c r="K1177" s="3">
        <v>46195</v>
      </c>
      <c r="L1177" s="3">
        <v>46195</v>
      </c>
      <c r="M1177" s="3">
        <v>46195</v>
      </c>
      <c r="N1177" s="3">
        <v>46195</v>
      </c>
      <c r="O1177" t="s">
        <v>219</v>
      </c>
      <c r="P1177" t="s">
        <v>55</v>
      </c>
      <c r="S1177" t="s">
        <v>1444</v>
      </c>
      <c r="T1177" t="s">
        <v>1429</v>
      </c>
      <c r="U1177">
        <v>1351</v>
      </c>
      <c r="V1177" t="s">
        <v>151</v>
      </c>
      <c r="W1177">
        <v>13.4</v>
      </c>
      <c r="X1177" t="s">
        <v>57</v>
      </c>
      <c r="Z1177" t="s">
        <v>1444</v>
      </c>
      <c r="AA1177" t="s">
        <v>77</v>
      </c>
      <c r="AE1177">
        <v>1</v>
      </c>
      <c r="AF1177">
        <v>1</v>
      </c>
      <c r="AG1177">
        <v>1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1</v>
      </c>
    </row>
    <row r="1178" spans="1:42" x14ac:dyDescent="0.25">
      <c r="A1178">
        <v>1351</v>
      </c>
      <c r="B1178" t="s">
        <v>2109</v>
      </c>
      <c r="C1178" t="s">
        <v>2108</v>
      </c>
      <c r="D1178" t="s">
        <v>121</v>
      </c>
      <c r="E1178" s="4">
        <v>1</v>
      </c>
      <c r="F1178" t="s">
        <v>61</v>
      </c>
      <c r="G1178" t="s">
        <v>61</v>
      </c>
      <c r="H1178" s="3">
        <v>46196</v>
      </c>
      <c r="I1178" s="3">
        <v>46196</v>
      </c>
      <c r="J1178" t="s">
        <v>212</v>
      </c>
      <c r="K1178" s="3">
        <v>46196</v>
      </c>
      <c r="L1178" s="3">
        <v>46195</v>
      </c>
      <c r="M1178" s="3">
        <v>46196</v>
      </c>
      <c r="N1178" s="3">
        <v>46196</v>
      </c>
      <c r="O1178" t="s">
        <v>212</v>
      </c>
      <c r="P1178" t="s">
        <v>55</v>
      </c>
      <c r="Q1178">
        <v>1350</v>
      </c>
      <c r="S1178" t="s">
        <v>124</v>
      </c>
      <c r="T1178" t="s">
        <v>1429</v>
      </c>
      <c r="U1178">
        <v>1352</v>
      </c>
      <c r="V1178" t="s">
        <v>122</v>
      </c>
      <c r="W1178">
        <v>13.4</v>
      </c>
      <c r="X1178" t="s">
        <v>57</v>
      </c>
      <c r="Z1178" t="s">
        <v>124</v>
      </c>
      <c r="AA1178" t="s">
        <v>217</v>
      </c>
      <c r="AE1178">
        <v>1</v>
      </c>
      <c r="AF1178">
        <v>0</v>
      </c>
      <c r="AG1178">
        <v>0</v>
      </c>
      <c r="AH1178">
        <v>0</v>
      </c>
      <c r="AI1178">
        <v>0</v>
      </c>
      <c r="AJ1178">
        <v>1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</row>
    <row r="1179" spans="1:42" x14ac:dyDescent="0.25">
      <c r="A1179">
        <v>1352</v>
      </c>
      <c r="B1179" t="s">
        <v>2110</v>
      </c>
      <c r="C1179" t="s">
        <v>2108</v>
      </c>
      <c r="D1179" t="s">
        <v>126</v>
      </c>
      <c r="E1179" s="4">
        <v>1</v>
      </c>
      <c r="F1179" t="s">
        <v>61</v>
      </c>
      <c r="G1179" t="s">
        <v>61</v>
      </c>
      <c r="H1179" s="3">
        <v>46197</v>
      </c>
      <c r="I1179" s="3">
        <v>46197</v>
      </c>
      <c r="J1179" t="s">
        <v>207</v>
      </c>
      <c r="K1179" s="3">
        <v>46197</v>
      </c>
      <c r="L1179" s="3">
        <v>46196</v>
      </c>
      <c r="M1179" s="3">
        <v>46197</v>
      </c>
      <c r="N1179" s="3">
        <v>46197</v>
      </c>
      <c r="O1179" t="s">
        <v>207</v>
      </c>
      <c r="P1179" t="s">
        <v>55</v>
      </c>
      <c r="Q1179">
        <v>1351</v>
      </c>
      <c r="S1179" t="s">
        <v>1444</v>
      </c>
      <c r="T1179" t="s">
        <v>1429</v>
      </c>
      <c r="U1179">
        <v>1353</v>
      </c>
      <c r="V1179" t="s">
        <v>61</v>
      </c>
      <c r="W1179">
        <v>13.4</v>
      </c>
      <c r="X1179" t="s">
        <v>57</v>
      </c>
      <c r="Z1179" t="s">
        <v>1444</v>
      </c>
      <c r="AA1179" t="s">
        <v>217</v>
      </c>
      <c r="AE1179">
        <v>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1</v>
      </c>
      <c r="AM1179">
        <v>0</v>
      </c>
      <c r="AN1179">
        <v>0</v>
      </c>
      <c r="AO1179">
        <v>0</v>
      </c>
      <c r="AP1179">
        <v>0</v>
      </c>
    </row>
    <row r="1180" spans="1:42" x14ac:dyDescent="0.25">
      <c r="A1180">
        <v>1353</v>
      </c>
      <c r="B1180" t="s">
        <v>2111</v>
      </c>
      <c r="C1180" t="s">
        <v>2108</v>
      </c>
      <c r="D1180" t="s">
        <v>133</v>
      </c>
      <c r="E1180" s="4">
        <v>1</v>
      </c>
      <c r="F1180" t="s">
        <v>61</v>
      </c>
      <c r="G1180" t="s">
        <v>61</v>
      </c>
      <c r="H1180" s="3">
        <v>46198</v>
      </c>
      <c r="I1180" s="3">
        <v>46198</v>
      </c>
      <c r="J1180" t="s">
        <v>128</v>
      </c>
      <c r="K1180" s="3">
        <v>46198</v>
      </c>
      <c r="L1180" s="3">
        <v>46197</v>
      </c>
      <c r="M1180" s="3">
        <v>46198</v>
      </c>
      <c r="N1180" s="3">
        <v>46198</v>
      </c>
      <c r="O1180" t="s">
        <v>128</v>
      </c>
      <c r="P1180" t="s">
        <v>55</v>
      </c>
      <c r="Q1180">
        <v>1352</v>
      </c>
      <c r="S1180" t="s">
        <v>124</v>
      </c>
      <c r="T1180" t="s">
        <v>1429</v>
      </c>
      <c r="V1180" t="s">
        <v>61</v>
      </c>
      <c r="W1180">
        <v>13.4</v>
      </c>
      <c r="X1180" t="s">
        <v>57</v>
      </c>
      <c r="Z1180" t="s">
        <v>124</v>
      </c>
      <c r="AA1180" t="s">
        <v>217</v>
      </c>
      <c r="AE1180">
        <v>1</v>
      </c>
      <c r="AF1180">
        <v>0</v>
      </c>
      <c r="AG1180">
        <v>0</v>
      </c>
      <c r="AH1180">
        <v>0</v>
      </c>
      <c r="AI1180">
        <v>1</v>
      </c>
      <c r="AJ1180">
        <v>0</v>
      </c>
      <c r="AK1180">
        <v>0</v>
      </c>
      <c r="AL1180">
        <v>0</v>
      </c>
      <c r="AM1180">
        <v>0</v>
      </c>
      <c r="AN1180">
        <v>1</v>
      </c>
      <c r="AO1180">
        <v>0</v>
      </c>
      <c r="AP1180">
        <v>0</v>
      </c>
    </row>
    <row r="1181" spans="1:42" x14ac:dyDescent="0.25">
      <c r="A1181">
        <v>1354</v>
      </c>
      <c r="B1181" t="s">
        <v>2112</v>
      </c>
      <c r="C1181" t="s">
        <v>986</v>
      </c>
      <c r="D1181" t="s">
        <v>2113</v>
      </c>
      <c r="E1181" s="4">
        <v>1</v>
      </c>
      <c r="F1181" t="s">
        <v>214</v>
      </c>
      <c r="G1181" t="s">
        <v>214</v>
      </c>
      <c r="H1181" s="3">
        <v>46190</v>
      </c>
      <c r="I1181" s="3">
        <v>46197</v>
      </c>
      <c r="J1181" t="s">
        <v>75</v>
      </c>
      <c r="K1181" s="3">
        <v>46197</v>
      </c>
      <c r="L1181" s="3">
        <v>46190</v>
      </c>
      <c r="M1181" s="3">
        <v>46197</v>
      </c>
      <c r="N1181" s="3">
        <v>46197</v>
      </c>
      <c r="O1181" t="s">
        <v>75</v>
      </c>
      <c r="P1181" t="s">
        <v>55</v>
      </c>
      <c r="T1181" t="s">
        <v>1429</v>
      </c>
      <c r="V1181" t="s">
        <v>101</v>
      </c>
      <c r="X1181" t="s">
        <v>57</v>
      </c>
      <c r="AA1181" t="s">
        <v>50</v>
      </c>
      <c r="AE1181">
        <v>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</row>
    <row r="1182" spans="1:42" x14ac:dyDescent="0.25">
      <c r="A1182">
        <v>1355</v>
      </c>
      <c r="B1182" t="s">
        <v>2114</v>
      </c>
      <c r="C1182" t="s">
        <v>2115</v>
      </c>
      <c r="D1182" t="s">
        <v>117</v>
      </c>
      <c r="E1182" s="4">
        <v>1</v>
      </c>
      <c r="F1182" t="s">
        <v>122</v>
      </c>
      <c r="G1182" t="s">
        <v>122</v>
      </c>
      <c r="H1182" s="3">
        <v>46190</v>
      </c>
      <c r="I1182" s="3">
        <v>46192</v>
      </c>
      <c r="J1182" t="s">
        <v>75</v>
      </c>
      <c r="K1182" s="3">
        <v>46192</v>
      </c>
      <c r="L1182" s="3">
        <v>46190</v>
      </c>
      <c r="M1182" s="3">
        <v>46192</v>
      </c>
      <c r="N1182" s="3">
        <v>46192</v>
      </c>
      <c r="O1182" t="s">
        <v>75</v>
      </c>
      <c r="P1182" t="s">
        <v>55</v>
      </c>
      <c r="Q1182" t="s">
        <v>2048</v>
      </c>
      <c r="S1182" t="s">
        <v>1444</v>
      </c>
      <c r="T1182" t="s">
        <v>1429</v>
      </c>
      <c r="U1182">
        <v>1356</v>
      </c>
      <c r="V1182" t="s">
        <v>61</v>
      </c>
      <c r="W1182">
        <v>13.4</v>
      </c>
      <c r="X1182" t="s">
        <v>57</v>
      </c>
      <c r="Z1182" t="s">
        <v>1444</v>
      </c>
      <c r="AA1182" t="s">
        <v>462</v>
      </c>
      <c r="AE1182">
        <v>1</v>
      </c>
      <c r="AF1182">
        <v>1</v>
      </c>
      <c r="AG1182">
        <v>1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1</v>
      </c>
    </row>
    <row r="1183" spans="1:42" x14ac:dyDescent="0.25">
      <c r="A1183">
        <v>1356</v>
      </c>
      <c r="B1183" t="s">
        <v>2116</v>
      </c>
      <c r="C1183" t="s">
        <v>2115</v>
      </c>
      <c r="D1183" t="s">
        <v>121</v>
      </c>
      <c r="E1183" s="4">
        <v>1</v>
      </c>
      <c r="F1183" t="s">
        <v>61</v>
      </c>
      <c r="G1183" t="s">
        <v>61</v>
      </c>
      <c r="H1183" s="3">
        <v>46195</v>
      </c>
      <c r="I1183" s="3">
        <v>46195</v>
      </c>
      <c r="J1183" t="s">
        <v>219</v>
      </c>
      <c r="K1183" s="3">
        <v>46195</v>
      </c>
      <c r="L1183" s="3">
        <v>46195</v>
      </c>
      <c r="M1183" s="3">
        <v>46195</v>
      </c>
      <c r="N1183" s="3">
        <v>46195</v>
      </c>
      <c r="O1183" t="s">
        <v>219</v>
      </c>
      <c r="P1183" t="s">
        <v>55</v>
      </c>
      <c r="Q1183">
        <v>1355</v>
      </c>
      <c r="S1183" t="s">
        <v>124</v>
      </c>
      <c r="T1183" t="s">
        <v>1429</v>
      </c>
      <c r="U1183">
        <v>1357</v>
      </c>
      <c r="V1183" t="s">
        <v>61</v>
      </c>
      <c r="W1183">
        <v>13.4</v>
      </c>
      <c r="X1183" t="s">
        <v>57</v>
      </c>
      <c r="Z1183" t="s">
        <v>124</v>
      </c>
      <c r="AA1183" t="s">
        <v>462</v>
      </c>
      <c r="AE1183">
        <v>1</v>
      </c>
      <c r="AF1183">
        <v>0</v>
      </c>
      <c r="AG1183">
        <v>0</v>
      </c>
      <c r="AH1183">
        <v>0</v>
      </c>
      <c r="AI1183">
        <v>0</v>
      </c>
      <c r="AJ1183">
        <v>1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</row>
    <row r="1184" spans="1:42" x14ac:dyDescent="0.25">
      <c r="A1184">
        <v>1357</v>
      </c>
      <c r="B1184" t="s">
        <v>2117</v>
      </c>
      <c r="C1184" t="s">
        <v>2115</v>
      </c>
      <c r="D1184" t="s">
        <v>126</v>
      </c>
      <c r="E1184" s="4">
        <v>1</v>
      </c>
      <c r="F1184" t="s">
        <v>61</v>
      </c>
      <c r="G1184" t="s">
        <v>61</v>
      </c>
      <c r="H1184" s="3">
        <v>46196</v>
      </c>
      <c r="I1184" s="3">
        <v>46196</v>
      </c>
      <c r="J1184" t="s">
        <v>212</v>
      </c>
      <c r="K1184" s="3">
        <v>46196</v>
      </c>
      <c r="L1184" s="3">
        <v>46196</v>
      </c>
      <c r="M1184" s="3">
        <v>46196</v>
      </c>
      <c r="N1184" s="3">
        <v>46196</v>
      </c>
      <c r="O1184" t="s">
        <v>212</v>
      </c>
      <c r="P1184" t="s">
        <v>55</v>
      </c>
      <c r="Q1184">
        <v>1356</v>
      </c>
      <c r="S1184" t="s">
        <v>1444</v>
      </c>
      <c r="T1184" t="s">
        <v>1429</v>
      </c>
      <c r="U1184">
        <v>1358</v>
      </c>
      <c r="V1184" t="s">
        <v>61</v>
      </c>
      <c r="W1184">
        <v>13.4</v>
      </c>
      <c r="X1184" t="s">
        <v>57</v>
      </c>
      <c r="Z1184" t="s">
        <v>1444</v>
      </c>
      <c r="AA1184" t="s">
        <v>462</v>
      </c>
      <c r="AE1184">
        <v>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1</v>
      </c>
      <c r="AM1184">
        <v>0</v>
      </c>
      <c r="AN1184">
        <v>0</v>
      </c>
      <c r="AO1184">
        <v>0</v>
      </c>
      <c r="AP1184">
        <v>0</v>
      </c>
    </row>
    <row r="1185" spans="1:42" x14ac:dyDescent="0.25">
      <c r="A1185">
        <v>1358</v>
      </c>
      <c r="B1185" t="s">
        <v>2118</v>
      </c>
      <c r="C1185" t="s">
        <v>2115</v>
      </c>
      <c r="D1185" t="s">
        <v>133</v>
      </c>
      <c r="E1185" s="4">
        <v>1</v>
      </c>
      <c r="F1185" t="s">
        <v>61</v>
      </c>
      <c r="G1185" t="s">
        <v>61</v>
      </c>
      <c r="H1185" s="3">
        <v>46197</v>
      </c>
      <c r="I1185" s="3">
        <v>46197</v>
      </c>
      <c r="J1185" t="s">
        <v>207</v>
      </c>
      <c r="K1185" s="3">
        <v>46197</v>
      </c>
      <c r="L1185" s="3">
        <v>46197</v>
      </c>
      <c r="M1185" s="3">
        <v>46197</v>
      </c>
      <c r="N1185" s="3">
        <v>46197</v>
      </c>
      <c r="O1185" t="s">
        <v>207</v>
      </c>
      <c r="P1185" t="s">
        <v>55</v>
      </c>
      <c r="Q1185">
        <v>1357</v>
      </c>
      <c r="S1185" t="s">
        <v>124</v>
      </c>
      <c r="T1185" t="s">
        <v>1429</v>
      </c>
      <c r="V1185" t="s">
        <v>61</v>
      </c>
      <c r="W1185">
        <v>13.4</v>
      </c>
      <c r="X1185" t="s">
        <v>57</v>
      </c>
      <c r="Z1185" t="s">
        <v>124</v>
      </c>
      <c r="AA1185" t="s">
        <v>217</v>
      </c>
      <c r="AE1185">
        <v>1</v>
      </c>
      <c r="AF1185">
        <v>0</v>
      </c>
      <c r="AG1185">
        <v>0</v>
      </c>
      <c r="AH1185">
        <v>0</v>
      </c>
      <c r="AI1185">
        <v>1</v>
      </c>
      <c r="AJ1185">
        <v>0</v>
      </c>
      <c r="AK1185">
        <v>0</v>
      </c>
      <c r="AL1185">
        <v>0</v>
      </c>
      <c r="AM1185">
        <v>0</v>
      </c>
      <c r="AN1185">
        <v>1</v>
      </c>
      <c r="AO1185">
        <v>0</v>
      </c>
      <c r="AP1185">
        <v>0</v>
      </c>
    </row>
    <row r="1186" spans="1:42" x14ac:dyDescent="0.25">
      <c r="A1186">
        <v>1359</v>
      </c>
      <c r="B1186" t="s">
        <v>2119</v>
      </c>
      <c r="C1186" t="s">
        <v>986</v>
      </c>
      <c r="D1186" t="s">
        <v>2120</v>
      </c>
      <c r="E1186" s="4">
        <v>1</v>
      </c>
      <c r="F1186" t="s">
        <v>214</v>
      </c>
      <c r="G1186" t="s">
        <v>214</v>
      </c>
      <c r="H1186" s="3">
        <v>46190</v>
      </c>
      <c r="I1186" s="3">
        <v>46197</v>
      </c>
      <c r="J1186" t="s">
        <v>75</v>
      </c>
      <c r="K1186" s="3">
        <v>46197</v>
      </c>
      <c r="L1186" s="3">
        <v>46190</v>
      </c>
      <c r="M1186" s="3">
        <v>46197</v>
      </c>
      <c r="N1186" s="3">
        <v>46197</v>
      </c>
      <c r="O1186" t="s">
        <v>75</v>
      </c>
      <c r="P1186" t="s">
        <v>55</v>
      </c>
      <c r="T1186" t="s">
        <v>1429</v>
      </c>
      <c r="V1186" t="s">
        <v>101</v>
      </c>
      <c r="X1186" t="s">
        <v>57</v>
      </c>
      <c r="AA1186" t="s">
        <v>50</v>
      </c>
      <c r="AB1186" t="s">
        <v>94</v>
      </c>
      <c r="AE1186">
        <v>1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</row>
    <row r="1187" spans="1:42" x14ac:dyDescent="0.25">
      <c r="A1187">
        <v>1360</v>
      </c>
      <c r="B1187" t="s">
        <v>2121</v>
      </c>
      <c r="C1187" t="s">
        <v>2122</v>
      </c>
      <c r="D1187" t="s">
        <v>117</v>
      </c>
      <c r="E1187" s="4">
        <v>1</v>
      </c>
      <c r="F1187" t="s">
        <v>122</v>
      </c>
      <c r="G1187" t="s">
        <v>122</v>
      </c>
      <c r="H1187" s="3">
        <v>46190</v>
      </c>
      <c r="I1187" s="3">
        <v>46192</v>
      </c>
      <c r="J1187" t="s">
        <v>75</v>
      </c>
      <c r="K1187" s="3">
        <v>46192</v>
      </c>
      <c r="L1187" s="3">
        <v>46190</v>
      </c>
      <c r="M1187" s="3">
        <v>46192</v>
      </c>
      <c r="N1187" s="3">
        <v>46192</v>
      </c>
      <c r="O1187" t="s">
        <v>75</v>
      </c>
      <c r="P1187" t="s">
        <v>55</v>
      </c>
      <c r="Q1187" t="s">
        <v>2048</v>
      </c>
      <c r="S1187" t="s">
        <v>1444</v>
      </c>
      <c r="T1187" t="s">
        <v>1429</v>
      </c>
      <c r="U1187">
        <v>1361</v>
      </c>
      <c r="V1187" t="s">
        <v>61</v>
      </c>
      <c r="W1187">
        <v>13.4</v>
      </c>
      <c r="X1187" t="s">
        <v>57</v>
      </c>
      <c r="Z1187" t="s">
        <v>1444</v>
      </c>
      <c r="AA1187" t="s">
        <v>462</v>
      </c>
      <c r="AE1187">
        <v>1</v>
      </c>
      <c r="AF1187">
        <v>1</v>
      </c>
      <c r="AG1187">
        <v>1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1</v>
      </c>
    </row>
    <row r="1188" spans="1:42" x14ac:dyDescent="0.25">
      <c r="A1188">
        <v>1361</v>
      </c>
      <c r="B1188" t="s">
        <v>2123</v>
      </c>
      <c r="C1188" t="s">
        <v>2122</v>
      </c>
      <c r="D1188" t="s">
        <v>121</v>
      </c>
      <c r="E1188" s="4">
        <v>1</v>
      </c>
      <c r="F1188" t="s">
        <v>61</v>
      </c>
      <c r="G1188" t="s">
        <v>61</v>
      </c>
      <c r="H1188" s="3">
        <v>46195</v>
      </c>
      <c r="I1188" s="3">
        <v>46195</v>
      </c>
      <c r="J1188" t="s">
        <v>219</v>
      </c>
      <c r="K1188" s="3">
        <v>46195</v>
      </c>
      <c r="L1188" s="3">
        <v>46195</v>
      </c>
      <c r="M1188" s="3">
        <v>46195</v>
      </c>
      <c r="N1188" s="3">
        <v>46195</v>
      </c>
      <c r="O1188" t="s">
        <v>219</v>
      </c>
      <c r="P1188" t="s">
        <v>55</v>
      </c>
      <c r="Q1188">
        <v>1360</v>
      </c>
      <c r="S1188" t="s">
        <v>124</v>
      </c>
      <c r="T1188" t="s">
        <v>1429</v>
      </c>
      <c r="U1188">
        <v>1362</v>
      </c>
      <c r="V1188" t="s">
        <v>61</v>
      </c>
      <c r="W1188">
        <v>13.4</v>
      </c>
      <c r="X1188" t="s">
        <v>57</v>
      </c>
      <c r="Z1188" t="s">
        <v>124</v>
      </c>
      <c r="AA1188" t="s">
        <v>462</v>
      </c>
      <c r="AE1188">
        <v>1</v>
      </c>
      <c r="AF1188">
        <v>0</v>
      </c>
      <c r="AG1188">
        <v>0</v>
      </c>
      <c r="AH1188">
        <v>0</v>
      </c>
      <c r="AI1188">
        <v>0</v>
      </c>
      <c r="AJ1188">
        <v>1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</row>
    <row r="1189" spans="1:42" x14ac:dyDescent="0.25">
      <c r="A1189">
        <v>1362</v>
      </c>
      <c r="B1189" t="s">
        <v>2124</v>
      </c>
      <c r="C1189" t="s">
        <v>2122</v>
      </c>
      <c r="D1189" t="s">
        <v>126</v>
      </c>
      <c r="E1189" s="4">
        <v>1</v>
      </c>
      <c r="F1189" t="s">
        <v>61</v>
      </c>
      <c r="G1189" t="s">
        <v>61</v>
      </c>
      <c r="H1189" s="3">
        <v>46196</v>
      </c>
      <c r="I1189" s="3">
        <v>46196</v>
      </c>
      <c r="J1189" t="s">
        <v>212</v>
      </c>
      <c r="K1189" s="3">
        <v>46196</v>
      </c>
      <c r="L1189" s="3">
        <v>46196</v>
      </c>
      <c r="M1189" s="3">
        <v>46196</v>
      </c>
      <c r="N1189" s="3">
        <v>46196</v>
      </c>
      <c r="O1189" t="s">
        <v>212</v>
      </c>
      <c r="P1189" t="s">
        <v>55</v>
      </c>
      <c r="Q1189">
        <v>1361</v>
      </c>
      <c r="S1189" t="s">
        <v>1444</v>
      </c>
      <c r="T1189" t="s">
        <v>1429</v>
      </c>
      <c r="U1189">
        <v>1363</v>
      </c>
      <c r="V1189" t="s">
        <v>61</v>
      </c>
      <c r="W1189">
        <v>13.4</v>
      </c>
      <c r="X1189" t="s">
        <v>57</v>
      </c>
      <c r="Z1189" t="s">
        <v>1444</v>
      </c>
      <c r="AA1189" t="s">
        <v>462</v>
      </c>
      <c r="AE1189">
        <v>1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1</v>
      </c>
      <c r="AM1189">
        <v>0</v>
      </c>
      <c r="AN1189">
        <v>0</v>
      </c>
      <c r="AO1189">
        <v>0</v>
      </c>
      <c r="AP1189">
        <v>0</v>
      </c>
    </row>
    <row r="1190" spans="1:42" x14ac:dyDescent="0.25">
      <c r="A1190">
        <v>1363</v>
      </c>
      <c r="B1190" t="s">
        <v>2125</v>
      </c>
      <c r="C1190" t="s">
        <v>2122</v>
      </c>
      <c r="D1190" t="s">
        <v>133</v>
      </c>
      <c r="E1190" s="4">
        <v>1</v>
      </c>
      <c r="F1190" t="s">
        <v>61</v>
      </c>
      <c r="G1190" t="s">
        <v>61</v>
      </c>
      <c r="H1190" s="3">
        <v>46197</v>
      </c>
      <c r="I1190" s="3">
        <v>46197</v>
      </c>
      <c r="J1190" t="s">
        <v>207</v>
      </c>
      <c r="K1190" s="3">
        <v>46197</v>
      </c>
      <c r="L1190" s="3">
        <v>46197</v>
      </c>
      <c r="M1190" s="3">
        <v>46197</v>
      </c>
      <c r="N1190" s="3">
        <v>46197</v>
      </c>
      <c r="O1190" t="s">
        <v>207</v>
      </c>
      <c r="P1190" t="s">
        <v>55</v>
      </c>
      <c r="Q1190">
        <v>1362</v>
      </c>
      <c r="S1190" t="s">
        <v>124</v>
      </c>
      <c r="T1190" t="s">
        <v>1429</v>
      </c>
      <c r="V1190" t="s">
        <v>61</v>
      </c>
      <c r="W1190">
        <v>13.4</v>
      </c>
      <c r="X1190" t="s">
        <v>57</v>
      </c>
      <c r="Z1190" t="s">
        <v>124</v>
      </c>
      <c r="AA1190" t="s">
        <v>217</v>
      </c>
      <c r="AE1190">
        <v>1</v>
      </c>
      <c r="AF1190">
        <v>0</v>
      </c>
      <c r="AG1190">
        <v>0</v>
      </c>
      <c r="AH1190">
        <v>0</v>
      </c>
      <c r="AI1190">
        <v>1</v>
      </c>
      <c r="AJ1190">
        <v>0</v>
      </c>
      <c r="AK1190">
        <v>0</v>
      </c>
      <c r="AL1190">
        <v>0</v>
      </c>
      <c r="AM1190">
        <v>0</v>
      </c>
      <c r="AN1190">
        <v>1</v>
      </c>
      <c r="AO1190">
        <v>0</v>
      </c>
      <c r="AP1190">
        <v>0</v>
      </c>
    </row>
    <row r="1191" spans="1:42" x14ac:dyDescent="0.25">
      <c r="A1191">
        <v>1364</v>
      </c>
      <c r="B1191" t="s">
        <v>2126</v>
      </c>
      <c r="C1191" t="s">
        <v>1429</v>
      </c>
      <c r="D1191" t="s">
        <v>2127</v>
      </c>
      <c r="E1191" s="4">
        <v>1</v>
      </c>
      <c r="F1191" t="s">
        <v>122</v>
      </c>
      <c r="G1191" t="s">
        <v>122</v>
      </c>
      <c r="H1191" s="3">
        <v>46198</v>
      </c>
      <c r="I1191" s="3">
        <v>46202</v>
      </c>
      <c r="J1191" t="s">
        <v>211</v>
      </c>
      <c r="K1191" s="3">
        <v>46199</v>
      </c>
      <c r="L1191" s="3">
        <v>46192</v>
      </c>
      <c r="M1191" s="3">
        <v>46202</v>
      </c>
      <c r="N1191" s="3">
        <v>46202</v>
      </c>
      <c r="O1191" t="s">
        <v>128</v>
      </c>
      <c r="P1191" t="s">
        <v>55</v>
      </c>
      <c r="T1191" t="s">
        <v>1429</v>
      </c>
      <c r="V1191" t="s">
        <v>214</v>
      </c>
      <c r="X1191" t="s">
        <v>57</v>
      </c>
      <c r="AA1191" t="s">
        <v>50</v>
      </c>
      <c r="AE1191">
        <v>1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</row>
    <row r="1192" spans="1:42" x14ac:dyDescent="0.25">
      <c r="A1192">
        <v>1365</v>
      </c>
      <c r="B1192" t="s">
        <v>2128</v>
      </c>
      <c r="C1192" t="s">
        <v>2129</v>
      </c>
      <c r="D1192" t="s">
        <v>2130</v>
      </c>
      <c r="E1192" s="4">
        <v>1</v>
      </c>
      <c r="F1192" t="s">
        <v>122</v>
      </c>
      <c r="G1192" t="s">
        <v>122</v>
      </c>
      <c r="H1192" s="3">
        <v>46198</v>
      </c>
      <c r="I1192" s="3">
        <v>46202</v>
      </c>
      <c r="J1192" t="s">
        <v>211</v>
      </c>
      <c r="K1192" s="3">
        <v>46199</v>
      </c>
      <c r="L1192" s="3">
        <v>46192</v>
      </c>
      <c r="M1192" s="3">
        <v>46202</v>
      </c>
      <c r="N1192" s="3">
        <v>46202</v>
      </c>
      <c r="O1192" t="s">
        <v>128</v>
      </c>
      <c r="P1192" t="s">
        <v>55</v>
      </c>
      <c r="T1192" t="s">
        <v>1429</v>
      </c>
      <c r="V1192" t="s">
        <v>214</v>
      </c>
      <c r="X1192" t="s">
        <v>57</v>
      </c>
      <c r="AA1192" t="s">
        <v>50</v>
      </c>
      <c r="AE1192">
        <v>1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</row>
    <row r="1193" spans="1:42" x14ac:dyDescent="0.25">
      <c r="A1193">
        <v>1366</v>
      </c>
      <c r="B1193" t="s">
        <v>2131</v>
      </c>
      <c r="C1193" t="s">
        <v>2132</v>
      </c>
      <c r="D1193" t="s">
        <v>117</v>
      </c>
      <c r="E1193" s="4">
        <v>1</v>
      </c>
      <c r="F1193" t="s">
        <v>127</v>
      </c>
      <c r="G1193" t="s">
        <v>127</v>
      </c>
      <c r="H1193" s="3">
        <v>46198</v>
      </c>
      <c r="I1193" s="3">
        <v>46199</v>
      </c>
      <c r="J1193" t="s">
        <v>211</v>
      </c>
      <c r="K1193" s="3">
        <v>46192</v>
      </c>
      <c r="L1193" s="3">
        <v>46192</v>
      </c>
      <c r="M1193" s="3">
        <v>46199</v>
      </c>
      <c r="N1193" s="3">
        <v>46199</v>
      </c>
      <c r="O1193" t="s">
        <v>128</v>
      </c>
      <c r="P1193" t="s">
        <v>55</v>
      </c>
      <c r="Q1193">
        <v>1313</v>
      </c>
      <c r="S1193" t="s">
        <v>1433</v>
      </c>
      <c r="T1193" t="s">
        <v>1429</v>
      </c>
      <c r="U1193">
        <v>1367</v>
      </c>
      <c r="V1193" t="s">
        <v>61</v>
      </c>
      <c r="W1193">
        <v>13.4</v>
      </c>
      <c r="X1193" t="s">
        <v>57</v>
      </c>
      <c r="Z1193" t="s">
        <v>1433</v>
      </c>
      <c r="AA1193" t="s">
        <v>217</v>
      </c>
      <c r="AE1193">
        <v>1</v>
      </c>
      <c r="AF1193">
        <v>1</v>
      </c>
      <c r="AG1193">
        <v>1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1</v>
      </c>
    </row>
    <row r="1194" spans="1:42" x14ac:dyDescent="0.25">
      <c r="A1194">
        <v>1367</v>
      </c>
      <c r="B1194" t="s">
        <v>2133</v>
      </c>
      <c r="C1194" t="s">
        <v>2132</v>
      </c>
      <c r="D1194" t="s">
        <v>121</v>
      </c>
      <c r="E1194" s="4">
        <v>1</v>
      </c>
      <c r="F1194" t="s">
        <v>61</v>
      </c>
      <c r="G1194" t="s">
        <v>61</v>
      </c>
      <c r="H1194" s="3">
        <v>46202</v>
      </c>
      <c r="I1194" s="3">
        <v>46202</v>
      </c>
      <c r="J1194" t="s">
        <v>219</v>
      </c>
      <c r="K1194" s="3">
        <v>46197</v>
      </c>
      <c r="L1194" s="3">
        <v>46195</v>
      </c>
      <c r="M1194" s="3">
        <v>46202</v>
      </c>
      <c r="N1194" s="3">
        <v>46202</v>
      </c>
      <c r="O1194" t="s">
        <v>2134</v>
      </c>
      <c r="P1194" t="s">
        <v>55</v>
      </c>
      <c r="Q1194">
        <v>1366</v>
      </c>
      <c r="S1194" t="s">
        <v>124</v>
      </c>
      <c r="T1194" t="s">
        <v>1429</v>
      </c>
      <c r="U1194" t="s">
        <v>2135</v>
      </c>
      <c r="V1194" t="s">
        <v>122</v>
      </c>
      <c r="W1194">
        <v>13.4</v>
      </c>
      <c r="X1194" t="s">
        <v>57</v>
      </c>
      <c r="Z1194" t="s">
        <v>124</v>
      </c>
      <c r="AA1194" t="s">
        <v>131</v>
      </c>
      <c r="AE1194">
        <v>1</v>
      </c>
      <c r="AF1194">
        <v>0</v>
      </c>
      <c r="AG1194">
        <v>0</v>
      </c>
      <c r="AH1194">
        <v>0</v>
      </c>
      <c r="AI1194">
        <v>0</v>
      </c>
      <c r="AJ1194">
        <v>1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</row>
    <row r="1195" spans="1:42" x14ac:dyDescent="0.25">
      <c r="A1195">
        <v>1368</v>
      </c>
      <c r="B1195" t="s">
        <v>2136</v>
      </c>
      <c r="C1195" t="s">
        <v>2132</v>
      </c>
      <c r="D1195" t="s">
        <v>126</v>
      </c>
      <c r="E1195" s="4">
        <v>1</v>
      </c>
      <c r="F1195" t="s">
        <v>61</v>
      </c>
      <c r="G1195" t="s">
        <v>61</v>
      </c>
      <c r="H1195" s="3">
        <v>46202</v>
      </c>
      <c r="I1195" s="3">
        <v>46202</v>
      </c>
      <c r="J1195" t="s">
        <v>128</v>
      </c>
      <c r="K1195" s="3">
        <v>46198</v>
      </c>
      <c r="L1195" s="3">
        <v>46198</v>
      </c>
      <c r="M1195" s="3">
        <v>46202</v>
      </c>
      <c r="N1195" s="3">
        <v>46202</v>
      </c>
      <c r="O1195" t="s">
        <v>2134</v>
      </c>
      <c r="P1195" t="s">
        <v>55</v>
      </c>
      <c r="Q1195" t="s">
        <v>2137</v>
      </c>
      <c r="S1195" t="s">
        <v>1433</v>
      </c>
      <c r="T1195" t="s">
        <v>1429</v>
      </c>
      <c r="U1195" t="s">
        <v>2138</v>
      </c>
      <c r="V1195" t="s">
        <v>61</v>
      </c>
      <c r="W1195">
        <v>13.4</v>
      </c>
      <c r="X1195" t="s">
        <v>57</v>
      </c>
      <c r="Z1195" t="s">
        <v>1433</v>
      </c>
      <c r="AA1195" t="s">
        <v>131</v>
      </c>
      <c r="AE1195">
        <v>1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1</v>
      </c>
      <c r="AM1195">
        <v>0</v>
      </c>
      <c r="AN1195">
        <v>0</v>
      </c>
      <c r="AO1195">
        <v>0</v>
      </c>
      <c r="AP1195">
        <v>0</v>
      </c>
    </row>
    <row r="1196" spans="1:42" x14ac:dyDescent="0.25">
      <c r="A1196">
        <v>1369</v>
      </c>
      <c r="B1196" t="s">
        <v>2139</v>
      </c>
      <c r="C1196" t="s">
        <v>2132</v>
      </c>
      <c r="D1196" t="s">
        <v>133</v>
      </c>
      <c r="E1196" s="4">
        <v>1</v>
      </c>
      <c r="F1196" t="s">
        <v>61</v>
      </c>
      <c r="G1196" t="s">
        <v>61</v>
      </c>
      <c r="H1196" s="3">
        <v>46202</v>
      </c>
      <c r="I1196" s="3">
        <v>46202</v>
      </c>
      <c r="J1196" t="s">
        <v>134</v>
      </c>
      <c r="K1196" s="3">
        <v>46199</v>
      </c>
      <c r="L1196" s="3">
        <v>46199</v>
      </c>
      <c r="M1196" s="3">
        <v>46202</v>
      </c>
      <c r="N1196" s="3">
        <v>46202</v>
      </c>
      <c r="O1196" t="s">
        <v>2134</v>
      </c>
      <c r="P1196" t="s">
        <v>55</v>
      </c>
      <c r="Q1196" t="s">
        <v>2135</v>
      </c>
      <c r="S1196" t="s">
        <v>124</v>
      </c>
      <c r="T1196" t="s">
        <v>1429</v>
      </c>
      <c r="V1196" t="s">
        <v>61</v>
      </c>
      <c r="W1196">
        <v>13.4</v>
      </c>
      <c r="X1196" t="s">
        <v>57</v>
      </c>
      <c r="Z1196" t="s">
        <v>124</v>
      </c>
      <c r="AA1196" t="s">
        <v>131</v>
      </c>
      <c r="AE1196">
        <v>1</v>
      </c>
      <c r="AF1196">
        <v>0</v>
      </c>
      <c r="AG1196">
        <v>0</v>
      </c>
      <c r="AH1196">
        <v>0</v>
      </c>
      <c r="AI1196">
        <v>1</v>
      </c>
      <c r="AJ1196">
        <v>0</v>
      </c>
      <c r="AK1196">
        <v>0</v>
      </c>
      <c r="AL1196">
        <v>0</v>
      </c>
      <c r="AM1196">
        <v>0</v>
      </c>
      <c r="AN1196">
        <v>1</v>
      </c>
      <c r="AO1196">
        <v>0</v>
      </c>
      <c r="AP1196">
        <v>0</v>
      </c>
    </row>
    <row r="1197" spans="1:42" x14ac:dyDescent="0.25">
      <c r="A1197">
        <v>1375</v>
      </c>
      <c r="B1197" t="s">
        <v>2140</v>
      </c>
      <c r="C1197" t="s">
        <v>52</v>
      </c>
      <c r="D1197" t="s">
        <v>2141</v>
      </c>
      <c r="E1197" s="4">
        <v>1</v>
      </c>
      <c r="F1197" t="s">
        <v>1034</v>
      </c>
      <c r="G1197" t="s">
        <v>1034</v>
      </c>
      <c r="H1197" s="3">
        <v>46106</v>
      </c>
      <c r="I1197" s="3">
        <v>46197</v>
      </c>
      <c r="J1197" t="s">
        <v>123</v>
      </c>
      <c r="K1197" s="3">
        <v>46199</v>
      </c>
      <c r="L1197" s="3">
        <v>46104</v>
      </c>
      <c r="M1197" s="3">
        <v>46197</v>
      </c>
      <c r="N1197" s="3">
        <v>46197</v>
      </c>
      <c r="O1197" t="s">
        <v>431</v>
      </c>
      <c r="P1197" t="s">
        <v>55</v>
      </c>
      <c r="V1197" t="s">
        <v>423</v>
      </c>
      <c r="W1197">
        <v>473.08</v>
      </c>
      <c r="X1197" t="s">
        <v>57</v>
      </c>
      <c r="AA1197" t="s">
        <v>50</v>
      </c>
      <c r="AE1197">
        <v>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</row>
    <row r="1198" spans="1:42" x14ac:dyDescent="0.25">
      <c r="A1198">
        <v>1376</v>
      </c>
      <c r="B1198" t="s">
        <v>2142</v>
      </c>
      <c r="C1198" t="s">
        <v>2143</v>
      </c>
      <c r="D1198" t="s">
        <v>2144</v>
      </c>
      <c r="E1198" s="4">
        <v>1</v>
      </c>
      <c r="F1198" t="s">
        <v>210</v>
      </c>
      <c r="G1198" t="s">
        <v>210</v>
      </c>
      <c r="H1198" s="3">
        <v>46106</v>
      </c>
      <c r="I1198" s="3">
        <v>46119</v>
      </c>
      <c r="J1198" t="s">
        <v>123</v>
      </c>
      <c r="K1198" s="3">
        <v>46119</v>
      </c>
      <c r="L1198" s="3">
        <v>46104</v>
      </c>
      <c r="M1198" s="3">
        <v>46119</v>
      </c>
      <c r="N1198" s="3">
        <v>46119</v>
      </c>
      <c r="O1198" t="s">
        <v>431</v>
      </c>
      <c r="P1198" t="s">
        <v>55</v>
      </c>
      <c r="T1198" t="s">
        <v>2143</v>
      </c>
      <c r="V1198" t="s">
        <v>151</v>
      </c>
      <c r="W1198">
        <v>23.52</v>
      </c>
      <c r="X1198" t="s">
        <v>57</v>
      </c>
      <c r="AA1198" t="s">
        <v>50</v>
      </c>
      <c r="AE1198">
        <v>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</row>
    <row r="1199" spans="1:42" x14ac:dyDescent="0.25">
      <c r="A1199">
        <v>1377</v>
      </c>
      <c r="B1199" t="s">
        <v>2145</v>
      </c>
      <c r="C1199" t="s">
        <v>2146</v>
      </c>
      <c r="D1199" t="s">
        <v>117</v>
      </c>
      <c r="E1199" s="4">
        <v>1</v>
      </c>
      <c r="F1199" t="s">
        <v>138</v>
      </c>
      <c r="G1199" t="s">
        <v>138</v>
      </c>
      <c r="H1199" s="3">
        <v>46106</v>
      </c>
      <c r="I1199" s="3">
        <v>46112</v>
      </c>
      <c r="J1199" t="s">
        <v>123</v>
      </c>
      <c r="K1199" s="3">
        <v>46108</v>
      </c>
      <c r="L1199" s="3">
        <v>46104</v>
      </c>
      <c r="M1199" s="3">
        <v>46112</v>
      </c>
      <c r="N1199" s="3">
        <v>46112</v>
      </c>
      <c r="O1199" t="s">
        <v>431</v>
      </c>
      <c r="P1199" t="s">
        <v>55</v>
      </c>
      <c r="Q1199">
        <v>12</v>
      </c>
      <c r="R1199" s="1">
        <v>46112</v>
      </c>
      <c r="S1199" t="s">
        <v>2147</v>
      </c>
      <c r="T1199" t="s">
        <v>2143</v>
      </c>
      <c r="U1199">
        <v>1378</v>
      </c>
      <c r="V1199" t="s">
        <v>138</v>
      </c>
      <c r="W1199">
        <v>13.4</v>
      </c>
      <c r="X1199" t="s">
        <v>57</v>
      </c>
      <c r="Z1199" t="s">
        <v>2147</v>
      </c>
      <c r="AA1199" t="s">
        <v>64</v>
      </c>
      <c r="AE1199">
        <v>1</v>
      </c>
      <c r="AF1199">
        <v>1</v>
      </c>
      <c r="AG1199">
        <v>1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1</v>
      </c>
    </row>
    <row r="1200" spans="1:42" x14ac:dyDescent="0.25">
      <c r="A1200">
        <v>1378</v>
      </c>
      <c r="B1200" t="s">
        <v>2148</v>
      </c>
      <c r="C1200" t="s">
        <v>2146</v>
      </c>
      <c r="D1200" t="s">
        <v>121</v>
      </c>
      <c r="E1200" s="4">
        <v>1</v>
      </c>
      <c r="F1200" t="s">
        <v>122</v>
      </c>
      <c r="G1200" t="s">
        <v>122</v>
      </c>
      <c r="H1200" s="3">
        <v>46111</v>
      </c>
      <c r="I1200" s="3">
        <v>46113</v>
      </c>
      <c r="J1200" t="s">
        <v>275</v>
      </c>
      <c r="K1200" s="3">
        <v>46113</v>
      </c>
      <c r="L1200" s="3">
        <v>46111</v>
      </c>
      <c r="M1200" s="3">
        <v>46113</v>
      </c>
      <c r="N1200" s="3">
        <v>46113</v>
      </c>
      <c r="O1200" t="s">
        <v>275</v>
      </c>
      <c r="P1200" t="s">
        <v>55</v>
      </c>
      <c r="Q1200">
        <v>1377</v>
      </c>
      <c r="S1200" t="s">
        <v>124</v>
      </c>
      <c r="T1200" t="s">
        <v>2143</v>
      </c>
      <c r="U1200">
        <v>1379</v>
      </c>
      <c r="V1200" t="s">
        <v>122</v>
      </c>
      <c r="W1200">
        <v>13.4</v>
      </c>
      <c r="X1200" t="s">
        <v>57</v>
      </c>
      <c r="Z1200" t="s">
        <v>124</v>
      </c>
      <c r="AA1200" t="s">
        <v>255</v>
      </c>
      <c r="AE1200">
        <v>1</v>
      </c>
      <c r="AF1200">
        <v>0</v>
      </c>
      <c r="AG1200">
        <v>0</v>
      </c>
      <c r="AH1200">
        <v>0</v>
      </c>
      <c r="AI1200">
        <v>0</v>
      </c>
      <c r="AJ1200">
        <v>1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</row>
    <row r="1201" spans="1:42" x14ac:dyDescent="0.25">
      <c r="A1201">
        <v>1379</v>
      </c>
      <c r="B1201" t="s">
        <v>2149</v>
      </c>
      <c r="C1201" t="s">
        <v>2146</v>
      </c>
      <c r="D1201" t="s">
        <v>126</v>
      </c>
      <c r="E1201" s="4">
        <v>1</v>
      </c>
      <c r="F1201" t="s">
        <v>61</v>
      </c>
      <c r="G1201" t="s">
        <v>61</v>
      </c>
      <c r="H1201" s="3">
        <v>46114</v>
      </c>
      <c r="I1201" s="3">
        <v>46114</v>
      </c>
      <c r="J1201" t="s">
        <v>2150</v>
      </c>
      <c r="K1201" s="3">
        <v>46114</v>
      </c>
      <c r="L1201" s="3">
        <v>46114</v>
      </c>
      <c r="M1201" s="3">
        <v>46114</v>
      </c>
      <c r="N1201" s="3">
        <v>46114</v>
      </c>
      <c r="O1201" t="s">
        <v>2150</v>
      </c>
      <c r="P1201" t="s">
        <v>55</v>
      </c>
      <c r="Q1201">
        <v>1378</v>
      </c>
      <c r="S1201" t="s">
        <v>2147</v>
      </c>
      <c r="T1201" t="s">
        <v>2143</v>
      </c>
      <c r="U1201">
        <v>1380</v>
      </c>
      <c r="V1201" t="s">
        <v>61</v>
      </c>
      <c r="W1201">
        <v>13.4</v>
      </c>
      <c r="X1201" t="s">
        <v>57</v>
      </c>
      <c r="Z1201" t="s">
        <v>2147</v>
      </c>
      <c r="AA1201" t="s">
        <v>255</v>
      </c>
      <c r="AE1201">
        <v>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1</v>
      </c>
      <c r="AM1201">
        <v>0</v>
      </c>
      <c r="AN1201">
        <v>0</v>
      </c>
      <c r="AO1201">
        <v>0</v>
      </c>
      <c r="AP1201">
        <v>0</v>
      </c>
    </row>
    <row r="1202" spans="1:42" x14ac:dyDescent="0.25">
      <c r="A1202">
        <v>1380</v>
      </c>
      <c r="B1202" t="s">
        <v>2151</v>
      </c>
      <c r="C1202" t="s">
        <v>2146</v>
      </c>
      <c r="D1202" t="s">
        <v>133</v>
      </c>
      <c r="E1202" s="4">
        <v>1</v>
      </c>
      <c r="F1202" t="s">
        <v>61</v>
      </c>
      <c r="G1202" t="s">
        <v>61</v>
      </c>
      <c r="H1202" s="3">
        <v>46118</v>
      </c>
      <c r="I1202" s="3">
        <v>46119</v>
      </c>
      <c r="J1202" t="s">
        <v>2152</v>
      </c>
      <c r="K1202" s="3">
        <v>46119</v>
      </c>
      <c r="L1202" s="3">
        <v>46119</v>
      </c>
      <c r="M1202" s="3">
        <v>46119</v>
      </c>
      <c r="N1202" s="3">
        <v>46119</v>
      </c>
      <c r="O1202" t="s">
        <v>2153</v>
      </c>
      <c r="P1202" t="s">
        <v>55</v>
      </c>
      <c r="Q1202">
        <v>1379</v>
      </c>
      <c r="S1202" t="s">
        <v>124</v>
      </c>
      <c r="T1202" t="s">
        <v>2143</v>
      </c>
      <c r="V1202" t="s">
        <v>61</v>
      </c>
      <c r="W1202">
        <v>13.4</v>
      </c>
      <c r="X1202" t="s">
        <v>57</v>
      </c>
      <c r="Z1202" t="s">
        <v>124</v>
      </c>
      <c r="AA1202" t="s">
        <v>82</v>
      </c>
      <c r="AE1202">
        <v>1</v>
      </c>
      <c r="AF1202">
        <v>0</v>
      </c>
      <c r="AG1202">
        <v>0</v>
      </c>
      <c r="AH1202">
        <v>0</v>
      </c>
      <c r="AI1202">
        <v>1</v>
      </c>
      <c r="AJ1202">
        <v>0</v>
      </c>
      <c r="AK1202">
        <v>0</v>
      </c>
      <c r="AL1202">
        <v>0</v>
      </c>
      <c r="AM1202">
        <v>0</v>
      </c>
      <c r="AN1202">
        <v>1</v>
      </c>
      <c r="AO1202">
        <v>0</v>
      </c>
      <c r="AP1202">
        <v>0</v>
      </c>
    </row>
    <row r="1203" spans="1:42" x14ac:dyDescent="0.25">
      <c r="A1203">
        <v>1381</v>
      </c>
      <c r="B1203" t="s">
        <v>2154</v>
      </c>
      <c r="C1203" t="s">
        <v>2143</v>
      </c>
      <c r="D1203" t="s">
        <v>2155</v>
      </c>
      <c r="E1203" s="4">
        <v>1</v>
      </c>
      <c r="F1203" t="s">
        <v>214</v>
      </c>
      <c r="G1203" t="s">
        <v>214</v>
      </c>
      <c r="H1203" s="3">
        <v>46167</v>
      </c>
      <c r="I1203" s="3">
        <v>46174</v>
      </c>
      <c r="J1203" t="s">
        <v>459</v>
      </c>
      <c r="K1203" s="3">
        <v>46190</v>
      </c>
      <c r="L1203" s="3">
        <v>46176</v>
      </c>
      <c r="M1203" s="3">
        <v>46174</v>
      </c>
      <c r="N1203" s="3">
        <v>46174</v>
      </c>
      <c r="O1203" t="s">
        <v>74</v>
      </c>
      <c r="P1203" t="s">
        <v>55</v>
      </c>
      <c r="T1203" t="s">
        <v>2143</v>
      </c>
      <c r="V1203" t="s">
        <v>114</v>
      </c>
      <c r="W1203">
        <v>40.799999999999997</v>
      </c>
      <c r="X1203" t="s">
        <v>57</v>
      </c>
      <c r="AA1203" t="s">
        <v>50</v>
      </c>
      <c r="AE1203">
        <v>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</row>
    <row r="1204" spans="1:42" x14ac:dyDescent="0.25">
      <c r="A1204">
        <v>1382</v>
      </c>
      <c r="B1204" t="s">
        <v>2156</v>
      </c>
      <c r="C1204" t="s">
        <v>2157</v>
      </c>
      <c r="D1204" t="s">
        <v>117</v>
      </c>
      <c r="E1204" s="4">
        <v>1</v>
      </c>
      <c r="F1204" t="s">
        <v>122</v>
      </c>
      <c r="G1204" t="s">
        <v>122</v>
      </c>
      <c r="H1204" s="3">
        <v>46167</v>
      </c>
      <c r="I1204" s="3">
        <v>46169</v>
      </c>
      <c r="J1204" t="s">
        <v>459</v>
      </c>
      <c r="K1204" s="3">
        <v>46183</v>
      </c>
      <c r="L1204" s="3">
        <v>46176</v>
      </c>
      <c r="M1204" s="3">
        <v>46169</v>
      </c>
      <c r="N1204" s="3">
        <v>46169</v>
      </c>
      <c r="O1204" t="s">
        <v>74</v>
      </c>
      <c r="P1204" t="s">
        <v>55</v>
      </c>
      <c r="Q1204" t="s">
        <v>442</v>
      </c>
      <c r="S1204" t="s">
        <v>2147</v>
      </c>
      <c r="T1204" t="s">
        <v>2143</v>
      </c>
      <c r="U1204">
        <v>1383</v>
      </c>
      <c r="V1204" t="s">
        <v>101</v>
      </c>
      <c r="W1204">
        <v>13.4</v>
      </c>
      <c r="X1204" t="s">
        <v>57</v>
      </c>
      <c r="Z1204" t="s">
        <v>2147</v>
      </c>
      <c r="AA1204" t="s">
        <v>460</v>
      </c>
      <c r="AE1204">
        <v>1</v>
      </c>
      <c r="AF1204">
        <v>1</v>
      </c>
      <c r="AG1204">
        <v>1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1</v>
      </c>
    </row>
    <row r="1205" spans="1:42" x14ac:dyDescent="0.25">
      <c r="A1205">
        <v>1383</v>
      </c>
      <c r="B1205" t="s">
        <v>2158</v>
      </c>
      <c r="C1205" t="s">
        <v>2157</v>
      </c>
      <c r="D1205" t="s">
        <v>121</v>
      </c>
      <c r="E1205" s="4">
        <v>1</v>
      </c>
      <c r="F1205" t="s">
        <v>61</v>
      </c>
      <c r="G1205" t="s">
        <v>61</v>
      </c>
      <c r="H1205" s="3">
        <v>46169</v>
      </c>
      <c r="I1205" s="3">
        <v>46170</v>
      </c>
      <c r="J1205" t="s">
        <v>476</v>
      </c>
      <c r="K1205" s="3">
        <v>46188</v>
      </c>
      <c r="L1205" s="3">
        <v>46184</v>
      </c>
      <c r="M1205" s="3">
        <v>46170</v>
      </c>
      <c r="N1205" s="3">
        <v>46170</v>
      </c>
      <c r="O1205" t="s">
        <v>97</v>
      </c>
      <c r="P1205" t="s">
        <v>55</v>
      </c>
      <c r="Q1205">
        <v>1382</v>
      </c>
      <c r="S1205" t="s">
        <v>124</v>
      </c>
      <c r="T1205" t="s">
        <v>2143</v>
      </c>
      <c r="U1205">
        <v>1384</v>
      </c>
      <c r="V1205" t="s">
        <v>122</v>
      </c>
      <c r="W1205">
        <v>13.4</v>
      </c>
      <c r="X1205" t="s">
        <v>57</v>
      </c>
      <c r="Z1205" t="s">
        <v>124</v>
      </c>
      <c r="AA1205" t="s">
        <v>462</v>
      </c>
      <c r="AE1205">
        <v>1</v>
      </c>
      <c r="AF1205">
        <v>0</v>
      </c>
      <c r="AG1205">
        <v>0</v>
      </c>
      <c r="AH1205">
        <v>0</v>
      </c>
      <c r="AI1205">
        <v>0</v>
      </c>
      <c r="AJ1205">
        <v>1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</row>
    <row r="1206" spans="1:42" x14ac:dyDescent="0.25">
      <c r="A1206">
        <v>1384</v>
      </c>
      <c r="B1206" t="s">
        <v>2159</v>
      </c>
      <c r="C1206" t="s">
        <v>2157</v>
      </c>
      <c r="D1206" t="s">
        <v>126</v>
      </c>
      <c r="E1206" s="4">
        <v>1</v>
      </c>
      <c r="F1206" t="s">
        <v>61</v>
      </c>
      <c r="G1206" t="s">
        <v>61</v>
      </c>
      <c r="H1206" s="3">
        <v>46171</v>
      </c>
      <c r="I1206" s="3">
        <v>46171</v>
      </c>
      <c r="J1206" t="s">
        <v>576</v>
      </c>
      <c r="K1206" s="3">
        <v>46189</v>
      </c>
      <c r="L1206" s="3">
        <v>46189</v>
      </c>
      <c r="M1206" s="3">
        <v>46171</v>
      </c>
      <c r="N1206" s="3">
        <v>46171</v>
      </c>
      <c r="O1206" t="s">
        <v>189</v>
      </c>
      <c r="P1206" t="s">
        <v>55</v>
      </c>
      <c r="Q1206">
        <v>1383</v>
      </c>
      <c r="S1206" t="s">
        <v>2147</v>
      </c>
      <c r="T1206" t="s">
        <v>2143</v>
      </c>
      <c r="U1206">
        <v>1385</v>
      </c>
      <c r="V1206" t="s">
        <v>61</v>
      </c>
      <c r="W1206">
        <v>13.4</v>
      </c>
      <c r="X1206" t="s">
        <v>57</v>
      </c>
      <c r="Z1206" t="s">
        <v>2147</v>
      </c>
      <c r="AA1206" t="s">
        <v>217</v>
      </c>
      <c r="AE1206">
        <v>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1</v>
      </c>
      <c r="AM1206">
        <v>0</v>
      </c>
      <c r="AN1206">
        <v>0</v>
      </c>
      <c r="AO1206">
        <v>0</v>
      </c>
      <c r="AP1206">
        <v>0</v>
      </c>
    </row>
    <row r="1207" spans="1:42" x14ac:dyDescent="0.25">
      <c r="A1207">
        <v>1385</v>
      </c>
      <c r="B1207" t="s">
        <v>2160</v>
      </c>
      <c r="C1207" t="s">
        <v>2157</v>
      </c>
      <c r="D1207" t="s">
        <v>133</v>
      </c>
      <c r="E1207" s="4">
        <v>1</v>
      </c>
      <c r="F1207" t="s">
        <v>61</v>
      </c>
      <c r="G1207" t="s">
        <v>61</v>
      </c>
      <c r="H1207" s="3">
        <v>46174</v>
      </c>
      <c r="I1207" s="3">
        <v>46174</v>
      </c>
      <c r="J1207" t="s">
        <v>75</v>
      </c>
      <c r="K1207" s="3">
        <v>46190</v>
      </c>
      <c r="L1207" s="3">
        <v>46190</v>
      </c>
      <c r="M1207" s="3">
        <v>46174</v>
      </c>
      <c r="N1207" s="3">
        <v>46174</v>
      </c>
      <c r="O1207" t="s">
        <v>193</v>
      </c>
      <c r="P1207" t="s">
        <v>55</v>
      </c>
      <c r="Q1207">
        <v>1384</v>
      </c>
      <c r="S1207" t="s">
        <v>124</v>
      </c>
      <c r="T1207" t="s">
        <v>2143</v>
      </c>
      <c r="U1207">
        <v>1417</v>
      </c>
      <c r="V1207" t="s">
        <v>61</v>
      </c>
      <c r="W1207">
        <v>13.4</v>
      </c>
      <c r="X1207" t="s">
        <v>57</v>
      </c>
      <c r="Z1207" t="s">
        <v>124</v>
      </c>
      <c r="AA1207" t="s">
        <v>217</v>
      </c>
      <c r="AE1207">
        <v>1</v>
      </c>
      <c r="AF1207">
        <v>0</v>
      </c>
      <c r="AG1207">
        <v>0</v>
      </c>
      <c r="AH1207">
        <v>0</v>
      </c>
      <c r="AI1207">
        <v>1</v>
      </c>
      <c r="AJ1207">
        <v>0</v>
      </c>
      <c r="AK1207">
        <v>0</v>
      </c>
      <c r="AL1207">
        <v>0</v>
      </c>
      <c r="AM1207">
        <v>0</v>
      </c>
      <c r="AN1207">
        <v>1</v>
      </c>
      <c r="AO1207">
        <v>0</v>
      </c>
      <c r="AP1207">
        <v>0</v>
      </c>
    </row>
    <row r="1208" spans="1:42" x14ac:dyDescent="0.25">
      <c r="A1208">
        <v>1386</v>
      </c>
      <c r="B1208" t="s">
        <v>2161</v>
      </c>
      <c r="C1208" t="s">
        <v>2143</v>
      </c>
      <c r="D1208" t="s">
        <v>2162</v>
      </c>
      <c r="E1208" s="4">
        <v>1</v>
      </c>
      <c r="F1208" t="s">
        <v>138</v>
      </c>
      <c r="G1208" t="s">
        <v>138</v>
      </c>
      <c r="H1208" s="3">
        <v>46189</v>
      </c>
      <c r="I1208" s="3">
        <v>46196</v>
      </c>
      <c r="J1208" t="s">
        <v>204</v>
      </c>
      <c r="K1208" s="3">
        <v>46190</v>
      </c>
      <c r="L1208" s="3">
        <v>46182</v>
      </c>
      <c r="M1208" s="3">
        <v>46196</v>
      </c>
      <c r="N1208" s="3">
        <v>46196</v>
      </c>
      <c r="O1208" t="s">
        <v>576</v>
      </c>
      <c r="P1208" t="s">
        <v>55</v>
      </c>
      <c r="T1208" t="s">
        <v>2143</v>
      </c>
      <c r="V1208" t="s">
        <v>175</v>
      </c>
      <c r="W1208">
        <v>23.52</v>
      </c>
      <c r="X1208" t="s">
        <v>57</v>
      </c>
      <c r="AA1208" t="s">
        <v>50</v>
      </c>
      <c r="AE1208">
        <v>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</row>
    <row r="1209" spans="1:42" x14ac:dyDescent="0.25">
      <c r="A1209">
        <v>1387</v>
      </c>
      <c r="B1209" t="s">
        <v>2163</v>
      </c>
      <c r="C1209" t="s">
        <v>2164</v>
      </c>
      <c r="D1209" t="s">
        <v>117</v>
      </c>
      <c r="E1209" s="4">
        <v>1</v>
      </c>
      <c r="F1209" t="s">
        <v>61</v>
      </c>
      <c r="G1209" t="s">
        <v>61</v>
      </c>
      <c r="H1209" s="3">
        <v>46189</v>
      </c>
      <c r="I1209" s="3">
        <v>46190</v>
      </c>
      <c r="J1209" t="s">
        <v>204</v>
      </c>
      <c r="K1209" s="3">
        <v>46183</v>
      </c>
      <c r="L1209" s="3">
        <v>46182</v>
      </c>
      <c r="M1209" s="3">
        <v>46190</v>
      </c>
      <c r="N1209" s="3">
        <v>46190</v>
      </c>
      <c r="O1209" t="s">
        <v>576</v>
      </c>
      <c r="P1209" t="s">
        <v>55</v>
      </c>
      <c r="Q1209">
        <v>1392</v>
      </c>
      <c r="S1209" t="s">
        <v>2147</v>
      </c>
      <c r="T1209" t="s">
        <v>2143</v>
      </c>
      <c r="U1209" t="s">
        <v>2165</v>
      </c>
      <c r="V1209" t="s">
        <v>127</v>
      </c>
      <c r="W1209">
        <v>13.4</v>
      </c>
      <c r="X1209" t="s">
        <v>57</v>
      </c>
      <c r="Z1209" t="s">
        <v>2147</v>
      </c>
      <c r="AA1209" t="s">
        <v>462</v>
      </c>
      <c r="AE1209">
        <v>1</v>
      </c>
      <c r="AF1209">
        <v>1</v>
      </c>
      <c r="AG1209">
        <v>1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1</v>
      </c>
    </row>
    <row r="1210" spans="1:42" x14ac:dyDescent="0.25">
      <c r="A1210">
        <v>1388</v>
      </c>
      <c r="B1210" t="s">
        <v>2166</v>
      </c>
      <c r="C1210" t="s">
        <v>2164</v>
      </c>
      <c r="D1210" t="s">
        <v>121</v>
      </c>
      <c r="E1210" s="4">
        <v>1</v>
      </c>
      <c r="F1210" t="s">
        <v>127</v>
      </c>
      <c r="G1210" t="s">
        <v>127</v>
      </c>
      <c r="H1210" s="3">
        <v>46190</v>
      </c>
      <c r="I1210" s="3">
        <v>46192</v>
      </c>
      <c r="J1210" t="s">
        <v>476</v>
      </c>
      <c r="K1210" s="3">
        <v>46188</v>
      </c>
      <c r="L1210" s="3">
        <v>46184</v>
      </c>
      <c r="M1210" s="3">
        <v>46192</v>
      </c>
      <c r="N1210" s="3">
        <v>46192</v>
      </c>
      <c r="O1210" t="s">
        <v>75</v>
      </c>
      <c r="P1210" t="s">
        <v>55</v>
      </c>
      <c r="Q1210">
        <v>1387</v>
      </c>
      <c r="S1210" t="s">
        <v>124</v>
      </c>
      <c r="T1210" t="s">
        <v>2143</v>
      </c>
      <c r="U1210">
        <v>1389</v>
      </c>
      <c r="V1210" t="s">
        <v>122</v>
      </c>
      <c r="W1210">
        <v>13.4</v>
      </c>
      <c r="X1210" t="s">
        <v>57</v>
      </c>
      <c r="Z1210" t="s">
        <v>124</v>
      </c>
      <c r="AA1210" t="s">
        <v>462</v>
      </c>
      <c r="AE1210">
        <v>1</v>
      </c>
      <c r="AF1210">
        <v>0</v>
      </c>
      <c r="AG1210">
        <v>0</v>
      </c>
      <c r="AH1210">
        <v>0</v>
      </c>
      <c r="AI1210">
        <v>0</v>
      </c>
      <c r="AJ1210">
        <v>1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</row>
    <row r="1211" spans="1:42" x14ac:dyDescent="0.25">
      <c r="A1211">
        <v>1389</v>
      </c>
      <c r="B1211" t="s">
        <v>2167</v>
      </c>
      <c r="C1211" t="s">
        <v>2164</v>
      </c>
      <c r="D1211" t="s">
        <v>126</v>
      </c>
      <c r="E1211" s="4">
        <v>1</v>
      </c>
      <c r="F1211" t="s">
        <v>61</v>
      </c>
      <c r="G1211" t="s">
        <v>61</v>
      </c>
      <c r="H1211" s="3">
        <v>46192</v>
      </c>
      <c r="I1211" s="3">
        <v>46195</v>
      </c>
      <c r="J1211" t="s">
        <v>576</v>
      </c>
      <c r="K1211" s="3">
        <v>46189</v>
      </c>
      <c r="L1211" s="3">
        <v>46189</v>
      </c>
      <c r="M1211" s="3">
        <v>46195</v>
      </c>
      <c r="N1211" s="3">
        <v>46195</v>
      </c>
      <c r="O1211" t="s">
        <v>211</v>
      </c>
      <c r="P1211" t="s">
        <v>55</v>
      </c>
      <c r="Q1211">
        <v>1388</v>
      </c>
      <c r="S1211" t="s">
        <v>2147</v>
      </c>
      <c r="T1211" t="s">
        <v>2143</v>
      </c>
      <c r="U1211">
        <v>1390</v>
      </c>
      <c r="V1211" t="s">
        <v>61</v>
      </c>
      <c r="W1211">
        <v>13.4</v>
      </c>
      <c r="X1211" t="s">
        <v>57</v>
      </c>
      <c r="Z1211" t="s">
        <v>2147</v>
      </c>
      <c r="AA1211" t="s">
        <v>217</v>
      </c>
      <c r="AE1211">
        <v>1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1</v>
      </c>
      <c r="AM1211">
        <v>0</v>
      </c>
      <c r="AN1211">
        <v>0</v>
      </c>
      <c r="AO1211">
        <v>0</v>
      </c>
      <c r="AP1211">
        <v>0</v>
      </c>
    </row>
    <row r="1212" spans="1:42" x14ac:dyDescent="0.25">
      <c r="A1212">
        <v>1390</v>
      </c>
      <c r="B1212" t="s">
        <v>2168</v>
      </c>
      <c r="C1212" t="s">
        <v>2164</v>
      </c>
      <c r="D1212" t="s">
        <v>133</v>
      </c>
      <c r="E1212" s="4">
        <v>1</v>
      </c>
      <c r="F1212" t="s">
        <v>61</v>
      </c>
      <c r="G1212" t="s">
        <v>61</v>
      </c>
      <c r="H1212" s="3">
        <v>46195</v>
      </c>
      <c r="I1212" s="3">
        <v>46196</v>
      </c>
      <c r="J1212" t="s">
        <v>75</v>
      </c>
      <c r="K1212" s="3">
        <v>46190</v>
      </c>
      <c r="L1212" s="3">
        <v>46190</v>
      </c>
      <c r="M1212" s="3">
        <v>46196</v>
      </c>
      <c r="N1212" s="3">
        <v>46196</v>
      </c>
      <c r="O1212" t="s">
        <v>219</v>
      </c>
      <c r="P1212" t="s">
        <v>55</v>
      </c>
      <c r="Q1212">
        <v>1389</v>
      </c>
      <c r="S1212" t="s">
        <v>124</v>
      </c>
      <c r="T1212" t="s">
        <v>2143</v>
      </c>
      <c r="V1212" t="s">
        <v>61</v>
      </c>
      <c r="W1212">
        <v>13.4</v>
      </c>
      <c r="X1212" t="s">
        <v>57</v>
      </c>
      <c r="Z1212" t="s">
        <v>124</v>
      </c>
      <c r="AA1212" t="s">
        <v>217</v>
      </c>
      <c r="AE1212">
        <v>1</v>
      </c>
      <c r="AF1212">
        <v>0</v>
      </c>
      <c r="AG1212">
        <v>0</v>
      </c>
      <c r="AH1212">
        <v>0</v>
      </c>
      <c r="AI1212">
        <v>1</v>
      </c>
      <c r="AJ1212">
        <v>0</v>
      </c>
      <c r="AK1212">
        <v>0</v>
      </c>
      <c r="AL1212">
        <v>0</v>
      </c>
      <c r="AM1212">
        <v>0</v>
      </c>
      <c r="AN1212">
        <v>1</v>
      </c>
      <c r="AO1212">
        <v>0</v>
      </c>
      <c r="AP1212">
        <v>0</v>
      </c>
    </row>
    <row r="1213" spans="1:42" x14ac:dyDescent="0.25">
      <c r="A1213">
        <v>1391</v>
      </c>
      <c r="B1213" t="s">
        <v>2169</v>
      </c>
      <c r="C1213" t="s">
        <v>2143</v>
      </c>
      <c r="D1213" t="s">
        <v>2170</v>
      </c>
      <c r="E1213" s="4">
        <v>1</v>
      </c>
      <c r="F1213" t="s">
        <v>175</v>
      </c>
      <c r="G1213" t="s">
        <v>175</v>
      </c>
      <c r="H1213" s="3">
        <v>46176</v>
      </c>
      <c r="I1213" s="3">
        <v>46188</v>
      </c>
      <c r="J1213" t="s">
        <v>459</v>
      </c>
      <c r="K1213" s="3">
        <v>46188</v>
      </c>
      <c r="L1213" s="3">
        <v>46176</v>
      </c>
      <c r="M1213" s="3">
        <v>46188</v>
      </c>
      <c r="N1213" s="3">
        <v>46188</v>
      </c>
      <c r="O1213" t="s">
        <v>459</v>
      </c>
      <c r="P1213" t="s">
        <v>55</v>
      </c>
      <c r="T1213" t="s">
        <v>2143</v>
      </c>
      <c r="V1213" t="s">
        <v>175</v>
      </c>
      <c r="W1213">
        <v>23.52</v>
      </c>
      <c r="X1213" t="s">
        <v>57</v>
      </c>
      <c r="AA1213" t="s">
        <v>50</v>
      </c>
      <c r="AE1213">
        <v>1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</row>
    <row r="1214" spans="1:42" x14ac:dyDescent="0.25">
      <c r="A1214">
        <v>1392</v>
      </c>
      <c r="B1214" t="s">
        <v>2171</v>
      </c>
      <c r="C1214" t="s">
        <v>2172</v>
      </c>
      <c r="D1214" t="s">
        <v>117</v>
      </c>
      <c r="E1214" s="4">
        <v>1</v>
      </c>
      <c r="F1214" t="s">
        <v>127</v>
      </c>
      <c r="G1214" t="s">
        <v>127</v>
      </c>
      <c r="H1214" s="3">
        <v>46176</v>
      </c>
      <c r="I1214" s="3">
        <v>46181</v>
      </c>
      <c r="J1214" t="s">
        <v>459</v>
      </c>
      <c r="K1214" s="3">
        <v>46181</v>
      </c>
      <c r="L1214" s="3">
        <v>46176</v>
      </c>
      <c r="M1214" s="3">
        <v>46181</v>
      </c>
      <c r="N1214" s="3">
        <v>46181</v>
      </c>
      <c r="O1214" t="s">
        <v>459</v>
      </c>
      <c r="P1214" t="s">
        <v>55</v>
      </c>
      <c r="Q1214">
        <v>1412</v>
      </c>
      <c r="S1214" t="s">
        <v>2147</v>
      </c>
      <c r="T1214" t="s">
        <v>2143</v>
      </c>
      <c r="U1214" t="s">
        <v>2173</v>
      </c>
      <c r="V1214" t="s">
        <v>127</v>
      </c>
      <c r="W1214">
        <v>13.4</v>
      </c>
      <c r="X1214" t="s">
        <v>57</v>
      </c>
      <c r="Z1214" t="s">
        <v>2147</v>
      </c>
      <c r="AA1214" t="s">
        <v>460</v>
      </c>
      <c r="AE1214">
        <v>1</v>
      </c>
      <c r="AF1214">
        <v>1</v>
      </c>
      <c r="AG1214">
        <v>1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1</v>
      </c>
    </row>
    <row r="1215" spans="1:42" x14ac:dyDescent="0.25">
      <c r="A1215">
        <v>1393</v>
      </c>
      <c r="B1215" t="s">
        <v>2174</v>
      </c>
      <c r="C1215" t="s">
        <v>2172</v>
      </c>
      <c r="D1215" t="s">
        <v>121</v>
      </c>
      <c r="E1215" s="4">
        <v>1</v>
      </c>
      <c r="F1215" t="s">
        <v>122</v>
      </c>
      <c r="G1215" t="s">
        <v>122</v>
      </c>
      <c r="H1215" s="3">
        <v>46182</v>
      </c>
      <c r="I1215" s="3">
        <v>46184</v>
      </c>
      <c r="J1215" t="s">
        <v>204</v>
      </c>
      <c r="K1215" s="3">
        <v>46184</v>
      </c>
      <c r="L1215" s="3">
        <v>46182</v>
      </c>
      <c r="M1215" s="3">
        <v>46184</v>
      </c>
      <c r="N1215" s="3">
        <v>46184</v>
      </c>
      <c r="O1215" t="s">
        <v>204</v>
      </c>
      <c r="P1215" t="s">
        <v>55</v>
      </c>
      <c r="Q1215">
        <v>1392</v>
      </c>
      <c r="S1215" t="s">
        <v>124</v>
      </c>
      <c r="T1215" t="s">
        <v>2143</v>
      </c>
      <c r="U1215">
        <v>1394</v>
      </c>
      <c r="V1215" t="s">
        <v>122</v>
      </c>
      <c r="W1215">
        <v>13.4</v>
      </c>
      <c r="X1215" t="s">
        <v>57</v>
      </c>
      <c r="Z1215" t="s">
        <v>124</v>
      </c>
      <c r="AA1215" t="s">
        <v>462</v>
      </c>
      <c r="AE1215">
        <v>1</v>
      </c>
      <c r="AF1215">
        <v>0</v>
      </c>
      <c r="AG1215">
        <v>0</v>
      </c>
      <c r="AH1215">
        <v>0</v>
      </c>
      <c r="AI1215">
        <v>0</v>
      </c>
      <c r="AJ1215">
        <v>1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</row>
    <row r="1216" spans="1:42" x14ac:dyDescent="0.25">
      <c r="A1216">
        <v>1394</v>
      </c>
      <c r="B1216" t="s">
        <v>2175</v>
      </c>
      <c r="C1216" t="s">
        <v>2172</v>
      </c>
      <c r="D1216" t="s">
        <v>126</v>
      </c>
      <c r="E1216" s="4">
        <v>1</v>
      </c>
      <c r="F1216" t="s">
        <v>61</v>
      </c>
      <c r="G1216" t="s">
        <v>61</v>
      </c>
      <c r="H1216" s="3">
        <v>46185</v>
      </c>
      <c r="I1216" s="3">
        <v>46185</v>
      </c>
      <c r="J1216" t="s">
        <v>571</v>
      </c>
      <c r="K1216" s="3">
        <v>46185</v>
      </c>
      <c r="L1216" s="3">
        <v>46185</v>
      </c>
      <c r="M1216" s="3">
        <v>46185</v>
      </c>
      <c r="N1216" s="3">
        <v>46185</v>
      </c>
      <c r="O1216" t="s">
        <v>571</v>
      </c>
      <c r="P1216" t="s">
        <v>55</v>
      </c>
      <c r="Q1216">
        <v>1393</v>
      </c>
      <c r="S1216" t="s">
        <v>2147</v>
      </c>
      <c r="T1216" t="s">
        <v>2143</v>
      </c>
      <c r="U1216">
        <v>1395</v>
      </c>
      <c r="V1216" t="s">
        <v>61</v>
      </c>
      <c r="W1216">
        <v>13.4</v>
      </c>
      <c r="X1216" t="s">
        <v>57</v>
      </c>
      <c r="Z1216" t="s">
        <v>2147</v>
      </c>
      <c r="AA1216" t="s">
        <v>462</v>
      </c>
      <c r="AE1216">
        <v>1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1</v>
      </c>
      <c r="AM1216">
        <v>0</v>
      </c>
      <c r="AN1216">
        <v>0</v>
      </c>
      <c r="AO1216">
        <v>0</v>
      </c>
      <c r="AP1216">
        <v>0</v>
      </c>
    </row>
    <row r="1217" spans="1:42" x14ac:dyDescent="0.25">
      <c r="A1217">
        <v>1395</v>
      </c>
      <c r="B1217" t="s">
        <v>2176</v>
      </c>
      <c r="C1217" t="s">
        <v>2172</v>
      </c>
      <c r="D1217" t="s">
        <v>133</v>
      </c>
      <c r="E1217" s="4">
        <v>1</v>
      </c>
      <c r="F1217" t="s">
        <v>61</v>
      </c>
      <c r="G1217" t="s">
        <v>61</v>
      </c>
      <c r="H1217" s="3">
        <v>46188</v>
      </c>
      <c r="I1217" s="3">
        <v>46188</v>
      </c>
      <c r="J1217" t="s">
        <v>595</v>
      </c>
      <c r="K1217" s="3">
        <v>46188</v>
      </c>
      <c r="L1217" s="3">
        <v>46188</v>
      </c>
      <c r="M1217" s="3">
        <v>46188</v>
      </c>
      <c r="N1217" s="3">
        <v>46188</v>
      </c>
      <c r="O1217" t="s">
        <v>595</v>
      </c>
      <c r="P1217" t="s">
        <v>55</v>
      </c>
      <c r="Q1217">
        <v>1394</v>
      </c>
      <c r="S1217" t="s">
        <v>124</v>
      </c>
      <c r="T1217" t="s">
        <v>2143</v>
      </c>
      <c r="V1217" t="s">
        <v>61</v>
      </c>
      <c r="W1217">
        <v>13.4</v>
      </c>
      <c r="X1217" t="s">
        <v>57</v>
      </c>
      <c r="Z1217" t="s">
        <v>124</v>
      </c>
      <c r="AA1217" t="s">
        <v>217</v>
      </c>
      <c r="AE1217">
        <v>1</v>
      </c>
      <c r="AF1217">
        <v>0</v>
      </c>
      <c r="AG1217">
        <v>0</v>
      </c>
      <c r="AH1217">
        <v>0</v>
      </c>
      <c r="AI1217">
        <v>1</v>
      </c>
      <c r="AJ1217">
        <v>0</v>
      </c>
      <c r="AK1217">
        <v>0</v>
      </c>
      <c r="AL1217">
        <v>0</v>
      </c>
      <c r="AM1217">
        <v>0</v>
      </c>
      <c r="AN1217">
        <v>1</v>
      </c>
      <c r="AO1217">
        <v>0</v>
      </c>
      <c r="AP1217">
        <v>0</v>
      </c>
    </row>
    <row r="1218" spans="1:42" x14ac:dyDescent="0.25">
      <c r="A1218">
        <v>1396</v>
      </c>
      <c r="B1218" t="s">
        <v>2177</v>
      </c>
      <c r="C1218" t="s">
        <v>2143</v>
      </c>
      <c r="D1218" t="s">
        <v>2178</v>
      </c>
      <c r="E1218" s="4">
        <v>1</v>
      </c>
      <c r="F1218" t="s">
        <v>982</v>
      </c>
      <c r="G1218" t="s">
        <v>982</v>
      </c>
      <c r="H1218" s="3">
        <v>46149</v>
      </c>
      <c r="I1218" s="3">
        <v>46171</v>
      </c>
      <c r="J1218" t="s">
        <v>471</v>
      </c>
      <c r="K1218" s="3">
        <v>46174</v>
      </c>
      <c r="L1218" s="3">
        <v>46164</v>
      </c>
      <c r="M1218" s="3">
        <v>46171</v>
      </c>
      <c r="N1218" s="3">
        <v>46171</v>
      </c>
      <c r="O1218" t="s">
        <v>416</v>
      </c>
      <c r="P1218" t="s">
        <v>55</v>
      </c>
      <c r="T1218" t="s">
        <v>2143</v>
      </c>
      <c r="V1218" t="s">
        <v>175</v>
      </c>
      <c r="W1218">
        <v>23.52</v>
      </c>
      <c r="X1218" t="s">
        <v>57</v>
      </c>
      <c r="AA1218" t="s">
        <v>50</v>
      </c>
      <c r="AE1218">
        <v>1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</row>
    <row r="1219" spans="1:42" x14ac:dyDescent="0.25">
      <c r="A1219">
        <v>1397</v>
      </c>
      <c r="B1219" t="s">
        <v>2179</v>
      </c>
      <c r="C1219" t="s">
        <v>2180</v>
      </c>
      <c r="D1219" t="s">
        <v>117</v>
      </c>
      <c r="E1219" s="4">
        <v>1</v>
      </c>
      <c r="F1219" t="s">
        <v>2181</v>
      </c>
      <c r="G1219" t="s">
        <v>2181</v>
      </c>
      <c r="H1219" s="3">
        <v>46149</v>
      </c>
      <c r="I1219" s="3">
        <v>46153</v>
      </c>
      <c r="J1219" t="s">
        <v>471</v>
      </c>
      <c r="K1219" s="3">
        <v>46167</v>
      </c>
      <c r="L1219" s="3">
        <v>46164</v>
      </c>
      <c r="M1219" s="3">
        <v>46153</v>
      </c>
      <c r="N1219" s="3">
        <v>46153</v>
      </c>
      <c r="O1219" t="s">
        <v>416</v>
      </c>
      <c r="P1219" t="s">
        <v>55</v>
      </c>
      <c r="Q1219">
        <v>183</v>
      </c>
      <c r="S1219" t="s">
        <v>2147</v>
      </c>
      <c r="T1219" t="s">
        <v>2143</v>
      </c>
      <c r="U1219" t="s">
        <v>2182</v>
      </c>
      <c r="V1219" t="s">
        <v>127</v>
      </c>
      <c r="W1219">
        <v>13.4</v>
      </c>
      <c r="X1219" t="s">
        <v>57</v>
      </c>
      <c r="Z1219" t="s">
        <v>2147</v>
      </c>
      <c r="AA1219" t="s">
        <v>198</v>
      </c>
      <c r="AE1219">
        <v>1</v>
      </c>
      <c r="AF1219">
        <v>1</v>
      </c>
      <c r="AG1219">
        <v>1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1</v>
      </c>
    </row>
    <row r="1220" spans="1:42" x14ac:dyDescent="0.25">
      <c r="A1220">
        <v>1398</v>
      </c>
      <c r="B1220" t="s">
        <v>2183</v>
      </c>
      <c r="C1220" t="s">
        <v>2180</v>
      </c>
      <c r="D1220" t="s">
        <v>121</v>
      </c>
      <c r="E1220" s="4">
        <v>1</v>
      </c>
      <c r="F1220" t="s">
        <v>122</v>
      </c>
      <c r="G1220" t="s">
        <v>122</v>
      </c>
      <c r="H1220" s="3">
        <v>46167</v>
      </c>
      <c r="I1220" s="3">
        <v>46169</v>
      </c>
      <c r="J1220" t="s">
        <v>206</v>
      </c>
      <c r="K1220" s="3">
        <v>46170</v>
      </c>
      <c r="L1220" s="3">
        <v>46168</v>
      </c>
      <c r="M1220" s="3">
        <v>46169</v>
      </c>
      <c r="N1220" s="3">
        <v>46169</v>
      </c>
      <c r="O1220" t="s">
        <v>74</v>
      </c>
      <c r="P1220" t="s">
        <v>55</v>
      </c>
      <c r="Q1220">
        <v>1397</v>
      </c>
      <c r="S1220" t="s">
        <v>124</v>
      </c>
      <c r="T1220" t="s">
        <v>2143</v>
      </c>
      <c r="U1220">
        <v>1399</v>
      </c>
      <c r="V1220" t="s">
        <v>122</v>
      </c>
      <c r="W1220">
        <v>13.4</v>
      </c>
      <c r="X1220" t="s">
        <v>57</v>
      </c>
      <c r="Z1220" t="s">
        <v>124</v>
      </c>
      <c r="AA1220" t="s">
        <v>77</v>
      </c>
      <c r="AE1220">
        <v>1</v>
      </c>
      <c r="AF1220">
        <v>0</v>
      </c>
      <c r="AG1220">
        <v>0</v>
      </c>
      <c r="AH1220">
        <v>0</v>
      </c>
      <c r="AI1220">
        <v>0</v>
      </c>
      <c r="AJ1220">
        <v>1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</row>
    <row r="1221" spans="1:42" x14ac:dyDescent="0.25">
      <c r="A1221">
        <v>1399</v>
      </c>
      <c r="B1221" t="s">
        <v>2184</v>
      </c>
      <c r="C1221" t="s">
        <v>2180</v>
      </c>
      <c r="D1221" t="s">
        <v>126</v>
      </c>
      <c r="E1221" s="4">
        <v>1</v>
      </c>
      <c r="F1221" t="s">
        <v>61</v>
      </c>
      <c r="G1221" t="s">
        <v>61</v>
      </c>
      <c r="H1221" s="3">
        <v>46169</v>
      </c>
      <c r="I1221" s="3">
        <v>46170</v>
      </c>
      <c r="J1221" t="s">
        <v>189</v>
      </c>
      <c r="K1221" s="3">
        <v>46171</v>
      </c>
      <c r="L1221" s="3">
        <v>46171</v>
      </c>
      <c r="M1221" s="3">
        <v>46170</v>
      </c>
      <c r="N1221" s="3">
        <v>46170</v>
      </c>
      <c r="O1221" t="s">
        <v>97</v>
      </c>
      <c r="P1221" t="s">
        <v>55</v>
      </c>
      <c r="Q1221">
        <v>1398</v>
      </c>
      <c r="S1221" t="s">
        <v>2147</v>
      </c>
      <c r="T1221" t="s">
        <v>2143</v>
      </c>
      <c r="U1221">
        <v>1400</v>
      </c>
      <c r="V1221" t="s">
        <v>61</v>
      </c>
      <c r="W1221">
        <v>13.4</v>
      </c>
      <c r="X1221" t="s">
        <v>57</v>
      </c>
      <c r="Z1221" t="s">
        <v>2147</v>
      </c>
      <c r="AA1221" t="s">
        <v>77</v>
      </c>
      <c r="AE1221">
        <v>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1</v>
      </c>
      <c r="AM1221">
        <v>0</v>
      </c>
      <c r="AN1221">
        <v>0</v>
      </c>
      <c r="AO1221">
        <v>0</v>
      </c>
      <c r="AP1221">
        <v>0</v>
      </c>
    </row>
    <row r="1222" spans="1:42" x14ac:dyDescent="0.25">
      <c r="A1222">
        <v>1400</v>
      </c>
      <c r="B1222" t="s">
        <v>2185</v>
      </c>
      <c r="C1222" t="s">
        <v>2180</v>
      </c>
      <c r="D1222" t="s">
        <v>133</v>
      </c>
      <c r="E1222" s="4">
        <v>1</v>
      </c>
      <c r="F1222" t="s">
        <v>61</v>
      </c>
      <c r="G1222" t="s">
        <v>61</v>
      </c>
      <c r="H1222" s="3">
        <v>46171</v>
      </c>
      <c r="I1222" s="3">
        <v>46171</v>
      </c>
      <c r="J1222" t="s">
        <v>193</v>
      </c>
      <c r="K1222" s="3">
        <v>46174</v>
      </c>
      <c r="L1222" s="3">
        <v>46174</v>
      </c>
      <c r="M1222" s="3">
        <v>46171</v>
      </c>
      <c r="N1222" s="3">
        <v>46171</v>
      </c>
      <c r="O1222" t="s">
        <v>189</v>
      </c>
      <c r="P1222" t="s">
        <v>55</v>
      </c>
      <c r="Q1222">
        <v>1399</v>
      </c>
      <c r="S1222" t="s">
        <v>124</v>
      </c>
      <c r="T1222" t="s">
        <v>2143</v>
      </c>
      <c r="V1222" t="s">
        <v>61</v>
      </c>
      <c r="W1222">
        <v>13.4</v>
      </c>
      <c r="X1222" t="s">
        <v>57</v>
      </c>
      <c r="Z1222" t="s">
        <v>124</v>
      </c>
      <c r="AA1222" t="s">
        <v>460</v>
      </c>
      <c r="AE1222">
        <v>1</v>
      </c>
      <c r="AF1222">
        <v>0</v>
      </c>
      <c r="AG1222">
        <v>0</v>
      </c>
      <c r="AH1222">
        <v>0</v>
      </c>
      <c r="AI1222">
        <v>1</v>
      </c>
      <c r="AJ1222">
        <v>0</v>
      </c>
      <c r="AK1222">
        <v>0</v>
      </c>
      <c r="AL1222">
        <v>0</v>
      </c>
      <c r="AM1222">
        <v>0</v>
      </c>
      <c r="AN1222">
        <v>1</v>
      </c>
      <c r="AO1222">
        <v>0</v>
      </c>
      <c r="AP1222">
        <v>0</v>
      </c>
    </row>
    <row r="1223" spans="1:42" x14ac:dyDescent="0.25">
      <c r="A1223">
        <v>1401</v>
      </c>
      <c r="B1223" t="s">
        <v>2186</v>
      </c>
      <c r="C1223" t="s">
        <v>2143</v>
      </c>
      <c r="D1223" t="s">
        <v>2187</v>
      </c>
      <c r="E1223" s="4">
        <v>1</v>
      </c>
      <c r="F1223" t="s">
        <v>101</v>
      </c>
      <c r="G1223" t="s">
        <v>101</v>
      </c>
      <c r="H1223" s="3">
        <v>46192</v>
      </c>
      <c r="I1223" s="3">
        <v>46197</v>
      </c>
      <c r="J1223" t="s">
        <v>480</v>
      </c>
      <c r="K1223" s="3">
        <v>46199</v>
      </c>
      <c r="L1223" s="3">
        <v>46191</v>
      </c>
      <c r="M1223" s="3">
        <v>46197</v>
      </c>
      <c r="N1223" s="3">
        <v>46197</v>
      </c>
      <c r="O1223" t="s">
        <v>211</v>
      </c>
      <c r="P1223" t="s">
        <v>55</v>
      </c>
      <c r="T1223" t="s">
        <v>2143</v>
      </c>
      <c r="V1223" t="s">
        <v>175</v>
      </c>
      <c r="W1223">
        <v>29.28</v>
      </c>
      <c r="X1223" t="s">
        <v>57</v>
      </c>
      <c r="AA1223" t="s">
        <v>50</v>
      </c>
      <c r="AE1223">
        <v>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</row>
    <row r="1224" spans="1:42" x14ac:dyDescent="0.25">
      <c r="A1224">
        <v>1402</v>
      </c>
      <c r="B1224" t="s">
        <v>2188</v>
      </c>
      <c r="C1224" t="s">
        <v>2189</v>
      </c>
      <c r="D1224" t="s">
        <v>117</v>
      </c>
      <c r="E1224" s="4">
        <v>1</v>
      </c>
      <c r="F1224" t="s">
        <v>127</v>
      </c>
      <c r="G1224" t="s">
        <v>127</v>
      </c>
      <c r="H1224" s="3">
        <v>46192</v>
      </c>
      <c r="I1224" s="3">
        <v>46195</v>
      </c>
      <c r="J1224" t="s">
        <v>480</v>
      </c>
      <c r="K1224" s="3">
        <v>46192</v>
      </c>
      <c r="L1224" s="3">
        <v>46191</v>
      </c>
      <c r="M1224" s="3">
        <v>46195</v>
      </c>
      <c r="N1224" s="3">
        <v>46195</v>
      </c>
      <c r="O1224" t="s">
        <v>211</v>
      </c>
      <c r="P1224" t="s">
        <v>55</v>
      </c>
      <c r="Q1224" t="s">
        <v>2190</v>
      </c>
      <c r="S1224" t="s">
        <v>2147</v>
      </c>
      <c r="T1224" t="s">
        <v>2143</v>
      </c>
      <c r="U1224">
        <v>1403</v>
      </c>
      <c r="V1224" t="s">
        <v>127</v>
      </c>
      <c r="W1224">
        <v>13.4</v>
      </c>
      <c r="X1224" t="s">
        <v>57</v>
      </c>
      <c r="Z1224" t="s">
        <v>2147</v>
      </c>
      <c r="AA1224" t="s">
        <v>217</v>
      </c>
      <c r="AE1224">
        <v>1</v>
      </c>
      <c r="AF1224">
        <v>1</v>
      </c>
      <c r="AG1224">
        <v>1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1</v>
      </c>
    </row>
    <row r="1225" spans="1:42" x14ac:dyDescent="0.25">
      <c r="A1225">
        <v>1403</v>
      </c>
      <c r="B1225" t="s">
        <v>2191</v>
      </c>
      <c r="C1225" t="s">
        <v>2189</v>
      </c>
      <c r="D1225" t="s">
        <v>121</v>
      </c>
      <c r="E1225" s="4">
        <v>1</v>
      </c>
      <c r="F1225" t="s">
        <v>61</v>
      </c>
      <c r="G1225" t="s">
        <v>61</v>
      </c>
      <c r="H1225" s="3">
        <v>46196</v>
      </c>
      <c r="I1225" s="3">
        <v>46196</v>
      </c>
      <c r="J1225" t="s">
        <v>219</v>
      </c>
      <c r="K1225" s="3">
        <v>46197</v>
      </c>
      <c r="L1225" s="3">
        <v>46195</v>
      </c>
      <c r="M1225" s="3">
        <v>46196</v>
      </c>
      <c r="N1225" s="3">
        <v>46196</v>
      </c>
      <c r="O1225" t="s">
        <v>212</v>
      </c>
      <c r="P1225" t="s">
        <v>55</v>
      </c>
      <c r="Q1225">
        <v>1402</v>
      </c>
      <c r="S1225" t="s">
        <v>124</v>
      </c>
      <c r="T1225" t="s">
        <v>2143</v>
      </c>
      <c r="U1225">
        <v>1404</v>
      </c>
      <c r="V1225" t="s">
        <v>122</v>
      </c>
      <c r="W1225">
        <v>13.4</v>
      </c>
      <c r="X1225" t="s">
        <v>57</v>
      </c>
      <c r="Z1225" t="s">
        <v>124</v>
      </c>
      <c r="AA1225" t="s">
        <v>131</v>
      </c>
      <c r="AE1225">
        <v>1</v>
      </c>
      <c r="AF1225">
        <v>0</v>
      </c>
      <c r="AG1225">
        <v>0</v>
      </c>
      <c r="AH1225">
        <v>0</v>
      </c>
      <c r="AI1225">
        <v>0</v>
      </c>
      <c r="AJ1225">
        <v>1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</row>
    <row r="1226" spans="1:42" x14ac:dyDescent="0.25">
      <c r="A1226">
        <v>1404</v>
      </c>
      <c r="B1226" t="s">
        <v>2192</v>
      </c>
      <c r="C1226" t="s">
        <v>2189</v>
      </c>
      <c r="D1226" t="s">
        <v>126</v>
      </c>
      <c r="E1226" s="4">
        <v>1</v>
      </c>
      <c r="F1226" t="s">
        <v>61</v>
      </c>
      <c r="G1226" t="s">
        <v>61</v>
      </c>
      <c r="H1226" s="3">
        <v>46197</v>
      </c>
      <c r="I1226" s="3">
        <v>46197</v>
      </c>
      <c r="J1226" t="s">
        <v>128</v>
      </c>
      <c r="K1226" s="3">
        <v>46198</v>
      </c>
      <c r="L1226" s="3">
        <v>46198</v>
      </c>
      <c r="M1226" s="3">
        <v>46197</v>
      </c>
      <c r="N1226" s="3">
        <v>46197</v>
      </c>
      <c r="O1226" t="s">
        <v>207</v>
      </c>
      <c r="P1226" t="s">
        <v>55</v>
      </c>
      <c r="Q1226">
        <v>1403</v>
      </c>
      <c r="S1226" t="s">
        <v>2147</v>
      </c>
      <c r="T1226" t="s">
        <v>2143</v>
      </c>
      <c r="U1226" t="s">
        <v>2193</v>
      </c>
      <c r="V1226" t="s">
        <v>61</v>
      </c>
      <c r="W1226">
        <v>13.4</v>
      </c>
      <c r="X1226" t="s">
        <v>57</v>
      </c>
      <c r="Z1226" t="s">
        <v>2147</v>
      </c>
      <c r="AA1226" t="s">
        <v>131</v>
      </c>
      <c r="AE1226">
        <v>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1</v>
      </c>
      <c r="AM1226">
        <v>0</v>
      </c>
      <c r="AN1226">
        <v>0</v>
      </c>
      <c r="AO1226">
        <v>0</v>
      </c>
      <c r="AP1226">
        <v>0</v>
      </c>
    </row>
    <row r="1227" spans="1:42" x14ac:dyDescent="0.25">
      <c r="A1227">
        <v>1405</v>
      </c>
      <c r="B1227" t="s">
        <v>2194</v>
      </c>
      <c r="C1227" t="s">
        <v>2189</v>
      </c>
      <c r="D1227" t="s">
        <v>133</v>
      </c>
      <c r="E1227" s="4">
        <v>1</v>
      </c>
      <c r="F1227" t="s">
        <v>61</v>
      </c>
      <c r="G1227" t="s">
        <v>61</v>
      </c>
      <c r="H1227" s="3">
        <v>46197</v>
      </c>
      <c r="I1227" s="3">
        <v>46197</v>
      </c>
      <c r="J1227" t="s">
        <v>134</v>
      </c>
      <c r="K1227" s="3">
        <v>46199</v>
      </c>
      <c r="L1227" s="3">
        <v>46199</v>
      </c>
      <c r="M1227" s="3">
        <v>46197</v>
      </c>
      <c r="N1227" s="3">
        <v>46197</v>
      </c>
      <c r="O1227" t="s">
        <v>207</v>
      </c>
      <c r="P1227" t="s">
        <v>55</v>
      </c>
      <c r="Q1227" t="s">
        <v>2195</v>
      </c>
      <c r="S1227" t="s">
        <v>124</v>
      </c>
      <c r="T1227" t="s">
        <v>2143</v>
      </c>
      <c r="V1227" t="s">
        <v>61</v>
      </c>
      <c r="W1227">
        <v>13.4</v>
      </c>
      <c r="X1227" t="s">
        <v>57</v>
      </c>
      <c r="Z1227" t="s">
        <v>124</v>
      </c>
      <c r="AA1227" t="s">
        <v>131</v>
      </c>
      <c r="AE1227">
        <v>1</v>
      </c>
      <c r="AF1227">
        <v>0</v>
      </c>
      <c r="AG1227">
        <v>0</v>
      </c>
      <c r="AH1227">
        <v>0</v>
      </c>
      <c r="AI1227">
        <v>1</v>
      </c>
      <c r="AJ1227">
        <v>0</v>
      </c>
      <c r="AK1227">
        <v>0</v>
      </c>
      <c r="AL1227">
        <v>0</v>
      </c>
      <c r="AM1227">
        <v>0</v>
      </c>
      <c r="AN1227">
        <v>1</v>
      </c>
      <c r="AO1227">
        <v>0</v>
      </c>
      <c r="AP1227">
        <v>0</v>
      </c>
    </row>
    <row r="1228" spans="1:42" x14ac:dyDescent="0.25">
      <c r="A1228">
        <v>1406</v>
      </c>
      <c r="B1228" t="s">
        <v>2196</v>
      </c>
      <c r="C1228" t="s">
        <v>2143</v>
      </c>
      <c r="D1228" t="s">
        <v>2197</v>
      </c>
      <c r="E1228" s="4">
        <v>1</v>
      </c>
      <c r="F1228" t="s">
        <v>101</v>
      </c>
      <c r="G1228" t="s">
        <v>101</v>
      </c>
      <c r="H1228" s="3">
        <v>46189</v>
      </c>
      <c r="I1228" s="3">
        <v>46195</v>
      </c>
      <c r="J1228" t="s">
        <v>480</v>
      </c>
      <c r="K1228" s="3">
        <v>46199</v>
      </c>
      <c r="L1228" s="3">
        <v>46191</v>
      </c>
      <c r="M1228" s="3">
        <v>46195</v>
      </c>
      <c r="N1228" s="3">
        <v>46195</v>
      </c>
      <c r="O1228" t="s">
        <v>576</v>
      </c>
      <c r="P1228" t="s">
        <v>55</v>
      </c>
      <c r="T1228" t="s">
        <v>2143</v>
      </c>
      <c r="V1228" t="s">
        <v>175</v>
      </c>
      <c r="W1228">
        <v>35.04</v>
      </c>
      <c r="X1228" t="s">
        <v>57</v>
      </c>
      <c r="AA1228" t="s">
        <v>50</v>
      </c>
      <c r="AE1228">
        <v>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</row>
    <row r="1229" spans="1:42" x14ac:dyDescent="0.25">
      <c r="A1229">
        <v>1407</v>
      </c>
      <c r="B1229" t="s">
        <v>2198</v>
      </c>
      <c r="C1229" t="s">
        <v>2199</v>
      </c>
      <c r="D1229" t="s">
        <v>117</v>
      </c>
      <c r="E1229" s="4">
        <v>1</v>
      </c>
      <c r="F1229" t="s">
        <v>127</v>
      </c>
      <c r="G1229" t="s">
        <v>127</v>
      </c>
      <c r="H1229" s="3">
        <v>46189</v>
      </c>
      <c r="I1229" s="3">
        <v>46191</v>
      </c>
      <c r="J1229" t="s">
        <v>480</v>
      </c>
      <c r="K1229" s="3">
        <v>46192</v>
      </c>
      <c r="L1229" s="3">
        <v>46191</v>
      </c>
      <c r="M1229" s="3">
        <v>46191</v>
      </c>
      <c r="N1229" s="3">
        <v>46191</v>
      </c>
      <c r="O1229" t="s">
        <v>576</v>
      </c>
      <c r="P1229" t="s">
        <v>55</v>
      </c>
      <c r="Q1229" t="s">
        <v>2190</v>
      </c>
      <c r="S1229" t="s">
        <v>2147</v>
      </c>
      <c r="T1229" t="s">
        <v>2143</v>
      </c>
      <c r="U1229">
        <v>1408</v>
      </c>
      <c r="V1229" t="s">
        <v>127</v>
      </c>
      <c r="W1229">
        <v>13.4</v>
      </c>
      <c r="X1229" t="s">
        <v>57</v>
      </c>
      <c r="Z1229" t="s">
        <v>2147</v>
      </c>
      <c r="AA1229" t="s">
        <v>217</v>
      </c>
      <c r="AE1229">
        <v>1</v>
      </c>
      <c r="AF1229">
        <v>1</v>
      </c>
      <c r="AG1229">
        <v>1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1</v>
      </c>
    </row>
    <row r="1230" spans="1:42" x14ac:dyDescent="0.25">
      <c r="A1230">
        <v>1408</v>
      </c>
      <c r="B1230" t="s">
        <v>2200</v>
      </c>
      <c r="C1230" t="s">
        <v>2199</v>
      </c>
      <c r="D1230" t="s">
        <v>121</v>
      </c>
      <c r="E1230" s="4">
        <v>1</v>
      </c>
      <c r="F1230" t="s">
        <v>61</v>
      </c>
      <c r="G1230" t="s">
        <v>61</v>
      </c>
      <c r="H1230" s="3">
        <v>46191</v>
      </c>
      <c r="I1230" s="3">
        <v>46192</v>
      </c>
      <c r="J1230" t="s">
        <v>219</v>
      </c>
      <c r="K1230" s="3">
        <v>46197</v>
      </c>
      <c r="L1230" s="3">
        <v>46195</v>
      </c>
      <c r="M1230" s="3">
        <v>46192</v>
      </c>
      <c r="N1230" s="3">
        <v>46192</v>
      </c>
      <c r="O1230" t="s">
        <v>480</v>
      </c>
      <c r="P1230" t="s">
        <v>55</v>
      </c>
      <c r="Q1230">
        <v>1407</v>
      </c>
      <c r="S1230" t="s">
        <v>124</v>
      </c>
      <c r="T1230" t="s">
        <v>2143</v>
      </c>
      <c r="U1230">
        <v>1409</v>
      </c>
      <c r="V1230" t="s">
        <v>122</v>
      </c>
      <c r="W1230">
        <v>13.4</v>
      </c>
      <c r="X1230" t="s">
        <v>57</v>
      </c>
      <c r="Z1230" t="s">
        <v>124</v>
      </c>
      <c r="AA1230" t="s">
        <v>131</v>
      </c>
      <c r="AE1230">
        <v>1</v>
      </c>
      <c r="AF1230">
        <v>0</v>
      </c>
      <c r="AG1230">
        <v>0</v>
      </c>
      <c r="AH1230">
        <v>0</v>
      </c>
      <c r="AI1230">
        <v>0</v>
      </c>
      <c r="AJ1230">
        <v>1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</row>
    <row r="1231" spans="1:42" x14ac:dyDescent="0.25">
      <c r="A1231">
        <v>1409</v>
      </c>
      <c r="B1231" t="s">
        <v>2201</v>
      </c>
      <c r="C1231" t="s">
        <v>2199</v>
      </c>
      <c r="D1231" t="s">
        <v>126</v>
      </c>
      <c r="E1231" s="4">
        <v>1</v>
      </c>
      <c r="F1231" t="s">
        <v>61</v>
      </c>
      <c r="G1231" t="s">
        <v>61</v>
      </c>
      <c r="H1231" s="3">
        <v>46192</v>
      </c>
      <c r="I1231" s="3">
        <v>46195</v>
      </c>
      <c r="J1231" t="s">
        <v>128</v>
      </c>
      <c r="K1231" s="3">
        <v>46198</v>
      </c>
      <c r="L1231" s="3">
        <v>46198</v>
      </c>
      <c r="M1231" s="3">
        <v>46195</v>
      </c>
      <c r="N1231" s="3">
        <v>46195</v>
      </c>
      <c r="O1231" t="s">
        <v>211</v>
      </c>
      <c r="P1231" t="s">
        <v>55</v>
      </c>
      <c r="Q1231">
        <v>1408</v>
      </c>
      <c r="S1231" t="s">
        <v>2147</v>
      </c>
      <c r="T1231" t="s">
        <v>2143</v>
      </c>
      <c r="U1231" t="s">
        <v>2202</v>
      </c>
      <c r="V1231" t="s">
        <v>61</v>
      </c>
      <c r="W1231">
        <v>13.4</v>
      </c>
      <c r="X1231" t="s">
        <v>57</v>
      </c>
      <c r="Z1231" t="s">
        <v>2147</v>
      </c>
      <c r="AA1231" t="s">
        <v>131</v>
      </c>
      <c r="AE1231">
        <v>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1</v>
      </c>
      <c r="AM1231">
        <v>0</v>
      </c>
      <c r="AN1231">
        <v>0</v>
      </c>
      <c r="AO1231">
        <v>0</v>
      </c>
      <c r="AP1231">
        <v>0</v>
      </c>
    </row>
    <row r="1232" spans="1:42" x14ac:dyDescent="0.25">
      <c r="A1232">
        <v>1410</v>
      </c>
      <c r="B1232" t="s">
        <v>2203</v>
      </c>
      <c r="C1232" t="s">
        <v>2199</v>
      </c>
      <c r="D1232" t="s">
        <v>133</v>
      </c>
      <c r="E1232" s="4">
        <v>1</v>
      </c>
      <c r="F1232" t="s">
        <v>61</v>
      </c>
      <c r="G1232" t="s">
        <v>61</v>
      </c>
      <c r="H1232" s="3">
        <v>46192</v>
      </c>
      <c r="I1232" s="3">
        <v>46195</v>
      </c>
      <c r="J1232" t="s">
        <v>134</v>
      </c>
      <c r="K1232" s="3">
        <v>46199</v>
      </c>
      <c r="L1232" s="3">
        <v>46199</v>
      </c>
      <c r="M1232" s="3">
        <v>46195</v>
      </c>
      <c r="N1232" s="3">
        <v>46195</v>
      </c>
      <c r="O1232" t="s">
        <v>211</v>
      </c>
      <c r="P1232" t="s">
        <v>55</v>
      </c>
      <c r="Q1232" t="s">
        <v>2204</v>
      </c>
      <c r="S1232" t="s">
        <v>124</v>
      </c>
      <c r="T1232" t="s">
        <v>2143</v>
      </c>
      <c r="V1232" t="s">
        <v>61</v>
      </c>
      <c r="W1232">
        <v>13.4</v>
      </c>
      <c r="X1232" t="s">
        <v>57</v>
      </c>
      <c r="Z1232" t="s">
        <v>124</v>
      </c>
      <c r="AA1232" t="s">
        <v>131</v>
      </c>
      <c r="AE1232">
        <v>1</v>
      </c>
      <c r="AF1232">
        <v>0</v>
      </c>
      <c r="AG1232">
        <v>0</v>
      </c>
      <c r="AH1232">
        <v>0</v>
      </c>
      <c r="AI1232">
        <v>1</v>
      </c>
      <c r="AJ1232">
        <v>0</v>
      </c>
      <c r="AK1232">
        <v>0</v>
      </c>
      <c r="AL1232">
        <v>0</v>
      </c>
      <c r="AM1232">
        <v>0</v>
      </c>
      <c r="AN1232">
        <v>1</v>
      </c>
      <c r="AO1232">
        <v>0</v>
      </c>
      <c r="AP1232">
        <v>0</v>
      </c>
    </row>
    <row r="1233" spans="1:42" x14ac:dyDescent="0.25">
      <c r="A1233">
        <v>1411</v>
      </c>
      <c r="B1233" t="s">
        <v>2205</v>
      </c>
      <c r="C1233" t="s">
        <v>2143</v>
      </c>
      <c r="D1233" t="s">
        <v>2206</v>
      </c>
      <c r="E1233" s="4">
        <v>1</v>
      </c>
      <c r="F1233" t="s">
        <v>2207</v>
      </c>
      <c r="G1233" t="s">
        <v>2207</v>
      </c>
      <c r="H1233" s="3">
        <v>46157</v>
      </c>
      <c r="I1233" s="3">
        <v>46183</v>
      </c>
      <c r="J1233" t="s">
        <v>193</v>
      </c>
      <c r="K1233" s="3">
        <v>46184</v>
      </c>
      <c r="L1233" s="3">
        <v>46174</v>
      </c>
      <c r="M1233" s="3">
        <v>46183</v>
      </c>
      <c r="N1233" s="3">
        <v>46183</v>
      </c>
      <c r="O1233" t="s">
        <v>444</v>
      </c>
      <c r="P1233" t="s">
        <v>55</v>
      </c>
      <c r="T1233" t="s">
        <v>2143</v>
      </c>
      <c r="V1233" t="s">
        <v>175</v>
      </c>
      <c r="W1233">
        <v>29.28</v>
      </c>
      <c r="X1233" t="s">
        <v>57</v>
      </c>
      <c r="AA1233" t="s">
        <v>50</v>
      </c>
      <c r="AE1233">
        <v>1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</row>
    <row r="1234" spans="1:42" x14ac:dyDescent="0.25">
      <c r="A1234">
        <v>1412</v>
      </c>
      <c r="B1234" t="s">
        <v>2208</v>
      </c>
      <c r="C1234" t="s">
        <v>2209</v>
      </c>
      <c r="D1234" t="s">
        <v>117</v>
      </c>
      <c r="E1234" s="4">
        <v>1</v>
      </c>
      <c r="F1234" t="s">
        <v>2210</v>
      </c>
      <c r="G1234" t="s">
        <v>2210</v>
      </c>
      <c r="H1234" s="3">
        <v>46157</v>
      </c>
      <c r="I1234" s="3">
        <v>46175</v>
      </c>
      <c r="J1234" t="s">
        <v>193</v>
      </c>
      <c r="K1234" s="3">
        <v>46175</v>
      </c>
      <c r="L1234" s="3">
        <v>46174</v>
      </c>
      <c r="M1234" s="3">
        <v>46175</v>
      </c>
      <c r="N1234" s="3">
        <v>46175</v>
      </c>
      <c r="O1234" t="s">
        <v>444</v>
      </c>
      <c r="P1234" t="s">
        <v>55</v>
      </c>
      <c r="Q1234">
        <v>1422</v>
      </c>
      <c r="S1234" t="s">
        <v>2211</v>
      </c>
      <c r="T1234" t="s">
        <v>2143</v>
      </c>
      <c r="U1234" t="s">
        <v>2212</v>
      </c>
      <c r="V1234" t="s">
        <v>127</v>
      </c>
      <c r="W1234">
        <v>13.4</v>
      </c>
      <c r="X1234" t="s">
        <v>57</v>
      </c>
      <c r="Z1234" t="s">
        <v>2211</v>
      </c>
      <c r="AA1234" t="s">
        <v>460</v>
      </c>
      <c r="AE1234">
        <v>1</v>
      </c>
      <c r="AF1234">
        <v>1</v>
      </c>
      <c r="AG1234">
        <v>1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1</v>
      </c>
    </row>
    <row r="1235" spans="1:42" x14ac:dyDescent="0.25">
      <c r="A1235">
        <v>1413</v>
      </c>
      <c r="B1235" t="s">
        <v>2213</v>
      </c>
      <c r="C1235" t="s">
        <v>2209</v>
      </c>
      <c r="D1235" t="s">
        <v>121</v>
      </c>
      <c r="E1235" s="4">
        <v>1</v>
      </c>
      <c r="F1235" t="s">
        <v>127</v>
      </c>
      <c r="G1235" t="s">
        <v>127</v>
      </c>
      <c r="H1235" s="3">
        <v>46176</v>
      </c>
      <c r="I1235" s="3">
        <v>46181</v>
      </c>
      <c r="J1235" t="s">
        <v>459</v>
      </c>
      <c r="K1235" s="3">
        <v>46182</v>
      </c>
      <c r="L1235" s="3">
        <v>46176</v>
      </c>
      <c r="M1235" s="3">
        <v>46181</v>
      </c>
      <c r="N1235" s="3">
        <v>46181</v>
      </c>
      <c r="O1235" t="s">
        <v>459</v>
      </c>
      <c r="P1235" t="s">
        <v>55</v>
      </c>
      <c r="Q1235">
        <v>1412</v>
      </c>
      <c r="S1235" t="s">
        <v>124</v>
      </c>
      <c r="T1235" t="s">
        <v>2143</v>
      </c>
      <c r="U1235">
        <v>1414</v>
      </c>
      <c r="V1235" t="s">
        <v>122</v>
      </c>
      <c r="W1235">
        <v>13.4</v>
      </c>
      <c r="X1235" t="s">
        <v>57</v>
      </c>
      <c r="Z1235" t="s">
        <v>124</v>
      </c>
      <c r="AA1235" t="s">
        <v>460</v>
      </c>
      <c r="AE1235">
        <v>1</v>
      </c>
      <c r="AF1235">
        <v>0</v>
      </c>
      <c r="AG1235">
        <v>0</v>
      </c>
      <c r="AH1235">
        <v>0</v>
      </c>
      <c r="AI1235">
        <v>0</v>
      </c>
      <c r="AJ1235">
        <v>1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</row>
    <row r="1236" spans="1:42" x14ac:dyDescent="0.25">
      <c r="A1236">
        <v>1414</v>
      </c>
      <c r="B1236" t="s">
        <v>2214</v>
      </c>
      <c r="C1236" t="s">
        <v>2209</v>
      </c>
      <c r="D1236" t="s">
        <v>126</v>
      </c>
      <c r="E1236" s="4">
        <v>1</v>
      </c>
      <c r="F1236" t="s">
        <v>61</v>
      </c>
      <c r="G1236" t="s">
        <v>61</v>
      </c>
      <c r="H1236" s="3">
        <v>46182</v>
      </c>
      <c r="I1236" s="3">
        <v>46182</v>
      </c>
      <c r="J1236" t="s">
        <v>592</v>
      </c>
      <c r="K1236" s="3">
        <v>46183</v>
      </c>
      <c r="L1236" s="3">
        <v>46183</v>
      </c>
      <c r="M1236" s="3">
        <v>46182</v>
      </c>
      <c r="N1236" s="3">
        <v>46182</v>
      </c>
      <c r="O1236" t="s">
        <v>204</v>
      </c>
      <c r="P1236" t="s">
        <v>55</v>
      </c>
      <c r="Q1236">
        <v>1413</v>
      </c>
      <c r="S1236" t="s">
        <v>2211</v>
      </c>
      <c r="T1236" t="s">
        <v>2143</v>
      </c>
      <c r="U1236">
        <v>1415</v>
      </c>
      <c r="V1236" t="s">
        <v>61</v>
      </c>
      <c r="W1236">
        <v>13.4</v>
      </c>
      <c r="X1236" t="s">
        <v>57</v>
      </c>
      <c r="Z1236" t="s">
        <v>2211</v>
      </c>
      <c r="AA1236" t="s">
        <v>462</v>
      </c>
      <c r="AE1236">
        <v>1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1</v>
      </c>
      <c r="AM1236">
        <v>0</v>
      </c>
      <c r="AN1236">
        <v>0</v>
      </c>
      <c r="AO1236">
        <v>0</v>
      </c>
      <c r="AP1236">
        <v>0</v>
      </c>
    </row>
    <row r="1237" spans="1:42" x14ac:dyDescent="0.25">
      <c r="A1237">
        <v>1415</v>
      </c>
      <c r="B1237" t="s">
        <v>2215</v>
      </c>
      <c r="C1237" t="s">
        <v>2209</v>
      </c>
      <c r="D1237" t="s">
        <v>133</v>
      </c>
      <c r="E1237" s="4">
        <v>1</v>
      </c>
      <c r="F1237" t="s">
        <v>63</v>
      </c>
      <c r="G1237" t="s">
        <v>63</v>
      </c>
      <c r="H1237" s="3">
        <v>46182</v>
      </c>
      <c r="I1237" s="3">
        <v>46183</v>
      </c>
      <c r="J1237" t="s">
        <v>476</v>
      </c>
      <c r="K1237" s="3">
        <v>46184</v>
      </c>
      <c r="L1237" s="3">
        <v>46184</v>
      </c>
      <c r="M1237" s="3">
        <v>46183</v>
      </c>
      <c r="N1237" s="3">
        <v>46183</v>
      </c>
      <c r="O1237" t="s">
        <v>204</v>
      </c>
      <c r="P1237" t="s">
        <v>55</v>
      </c>
      <c r="Q1237">
        <v>1414</v>
      </c>
      <c r="S1237" t="s">
        <v>124</v>
      </c>
      <c r="T1237" t="s">
        <v>2143</v>
      </c>
      <c r="V1237" t="s">
        <v>61</v>
      </c>
      <c r="W1237">
        <v>13.4</v>
      </c>
      <c r="X1237" t="s">
        <v>57</v>
      </c>
      <c r="Z1237" t="s">
        <v>124</v>
      </c>
      <c r="AA1237" t="s">
        <v>462</v>
      </c>
      <c r="AE1237">
        <v>1</v>
      </c>
      <c r="AF1237">
        <v>0</v>
      </c>
      <c r="AG1237">
        <v>0</v>
      </c>
      <c r="AH1237">
        <v>0</v>
      </c>
      <c r="AI1237">
        <v>1</v>
      </c>
      <c r="AJ1237">
        <v>0</v>
      </c>
      <c r="AK1237">
        <v>0</v>
      </c>
      <c r="AL1237">
        <v>0</v>
      </c>
      <c r="AM1237">
        <v>0</v>
      </c>
      <c r="AN1237">
        <v>1</v>
      </c>
      <c r="AO1237">
        <v>0</v>
      </c>
      <c r="AP1237">
        <v>0</v>
      </c>
    </row>
    <row r="1238" spans="1:42" x14ac:dyDescent="0.25">
      <c r="A1238">
        <v>1416</v>
      </c>
      <c r="B1238" t="s">
        <v>2216</v>
      </c>
      <c r="C1238" t="s">
        <v>2143</v>
      </c>
      <c r="D1238" t="s">
        <v>2217</v>
      </c>
      <c r="E1238" s="4">
        <v>1</v>
      </c>
      <c r="F1238" t="s">
        <v>210</v>
      </c>
      <c r="G1238" t="s">
        <v>210</v>
      </c>
      <c r="H1238" s="3">
        <v>46167</v>
      </c>
      <c r="I1238" s="3">
        <v>46176</v>
      </c>
      <c r="J1238" t="s">
        <v>480</v>
      </c>
      <c r="K1238" s="3">
        <v>46199</v>
      </c>
      <c r="L1238" s="3">
        <v>46191</v>
      </c>
      <c r="M1238" s="3">
        <v>46176</v>
      </c>
      <c r="N1238" s="3">
        <v>46176</v>
      </c>
      <c r="O1238" t="s">
        <v>74</v>
      </c>
      <c r="P1238" t="s">
        <v>55</v>
      </c>
      <c r="T1238" t="s">
        <v>2143</v>
      </c>
      <c r="V1238" t="s">
        <v>175</v>
      </c>
      <c r="W1238">
        <v>23.52</v>
      </c>
      <c r="X1238" t="s">
        <v>57</v>
      </c>
      <c r="AA1238" t="s">
        <v>50</v>
      </c>
      <c r="AE1238">
        <v>1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</row>
    <row r="1239" spans="1:42" x14ac:dyDescent="0.25">
      <c r="A1239">
        <v>1417</v>
      </c>
      <c r="B1239" t="s">
        <v>2218</v>
      </c>
      <c r="C1239" t="s">
        <v>2219</v>
      </c>
      <c r="D1239" t="s">
        <v>117</v>
      </c>
      <c r="E1239" s="4">
        <v>1</v>
      </c>
      <c r="F1239" t="s">
        <v>127</v>
      </c>
      <c r="G1239" t="s">
        <v>127</v>
      </c>
      <c r="H1239" s="3">
        <v>46167</v>
      </c>
      <c r="I1239" s="3">
        <v>46168</v>
      </c>
      <c r="J1239" t="s">
        <v>480</v>
      </c>
      <c r="K1239" s="3">
        <v>46192</v>
      </c>
      <c r="L1239" s="3">
        <v>46191</v>
      </c>
      <c r="M1239" s="3">
        <v>46168</v>
      </c>
      <c r="N1239" s="3">
        <v>46168</v>
      </c>
      <c r="O1239" t="s">
        <v>74</v>
      </c>
      <c r="P1239" t="s">
        <v>55</v>
      </c>
      <c r="Q1239">
        <v>1385</v>
      </c>
      <c r="S1239" t="s">
        <v>2211</v>
      </c>
      <c r="T1239" t="s">
        <v>2143</v>
      </c>
      <c r="U1239">
        <v>1418</v>
      </c>
      <c r="V1239" t="s">
        <v>127</v>
      </c>
      <c r="W1239">
        <v>13.4</v>
      </c>
      <c r="X1239" t="s">
        <v>57</v>
      </c>
      <c r="Z1239" t="s">
        <v>2211</v>
      </c>
      <c r="AA1239" t="s">
        <v>217</v>
      </c>
      <c r="AE1239">
        <v>1</v>
      </c>
      <c r="AF1239">
        <v>1</v>
      </c>
      <c r="AG1239">
        <v>1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1</v>
      </c>
    </row>
    <row r="1240" spans="1:42" x14ac:dyDescent="0.25">
      <c r="A1240">
        <v>1418</v>
      </c>
      <c r="B1240" t="s">
        <v>2220</v>
      </c>
      <c r="C1240" t="s">
        <v>2219</v>
      </c>
      <c r="D1240" t="s">
        <v>121</v>
      </c>
      <c r="E1240" s="4">
        <v>1</v>
      </c>
      <c r="F1240" t="s">
        <v>127</v>
      </c>
      <c r="G1240" t="s">
        <v>127</v>
      </c>
      <c r="H1240" s="3">
        <v>46169</v>
      </c>
      <c r="I1240" s="3">
        <v>46170</v>
      </c>
      <c r="J1240" t="s">
        <v>219</v>
      </c>
      <c r="K1240" s="3">
        <v>46197</v>
      </c>
      <c r="L1240" s="3">
        <v>46195</v>
      </c>
      <c r="M1240" s="3">
        <v>46170</v>
      </c>
      <c r="N1240" s="3">
        <v>46170</v>
      </c>
      <c r="O1240" t="s">
        <v>97</v>
      </c>
      <c r="P1240" t="s">
        <v>55</v>
      </c>
      <c r="Q1240">
        <v>1417</v>
      </c>
      <c r="S1240" t="s">
        <v>124</v>
      </c>
      <c r="T1240" t="s">
        <v>2143</v>
      </c>
      <c r="U1240">
        <v>1419</v>
      </c>
      <c r="V1240" t="s">
        <v>122</v>
      </c>
      <c r="W1240">
        <v>13.4</v>
      </c>
      <c r="X1240" t="s">
        <v>57</v>
      </c>
      <c r="Z1240" t="s">
        <v>124</v>
      </c>
      <c r="AA1240" t="s">
        <v>131</v>
      </c>
      <c r="AE1240">
        <v>1</v>
      </c>
      <c r="AF1240">
        <v>0</v>
      </c>
      <c r="AG1240">
        <v>0</v>
      </c>
      <c r="AH1240">
        <v>0</v>
      </c>
      <c r="AI1240">
        <v>0</v>
      </c>
      <c r="AJ1240">
        <v>1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</row>
    <row r="1241" spans="1:42" x14ac:dyDescent="0.25">
      <c r="A1241">
        <v>1419</v>
      </c>
      <c r="B1241" t="s">
        <v>2221</v>
      </c>
      <c r="C1241" t="s">
        <v>2219</v>
      </c>
      <c r="D1241" t="s">
        <v>126</v>
      </c>
      <c r="E1241" s="4">
        <v>1</v>
      </c>
      <c r="F1241" t="s">
        <v>127</v>
      </c>
      <c r="G1241" t="s">
        <v>127</v>
      </c>
      <c r="H1241" s="3">
        <v>46171</v>
      </c>
      <c r="I1241" s="3">
        <v>46174</v>
      </c>
      <c r="J1241" t="s">
        <v>128</v>
      </c>
      <c r="K1241" s="3">
        <v>46198</v>
      </c>
      <c r="L1241" s="3">
        <v>46198</v>
      </c>
      <c r="M1241" s="3">
        <v>46174</v>
      </c>
      <c r="N1241" s="3">
        <v>46174</v>
      </c>
      <c r="O1241" t="s">
        <v>189</v>
      </c>
      <c r="P1241" t="s">
        <v>55</v>
      </c>
      <c r="Q1241">
        <v>1418</v>
      </c>
      <c r="S1241" t="s">
        <v>2211</v>
      </c>
      <c r="T1241" t="s">
        <v>2143</v>
      </c>
      <c r="U1241">
        <v>1420</v>
      </c>
      <c r="V1241" t="s">
        <v>61</v>
      </c>
      <c r="W1241">
        <v>13.4</v>
      </c>
      <c r="X1241" t="s">
        <v>57</v>
      </c>
      <c r="Z1241" t="s">
        <v>2211</v>
      </c>
      <c r="AA1241" t="s">
        <v>131</v>
      </c>
      <c r="AE1241">
        <v>1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1</v>
      </c>
      <c r="AM1241">
        <v>0</v>
      </c>
      <c r="AN1241">
        <v>0</v>
      </c>
      <c r="AO1241">
        <v>0</v>
      </c>
      <c r="AP1241">
        <v>0</v>
      </c>
    </row>
    <row r="1242" spans="1:42" x14ac:dyDescent="0.25">
      <c r="A1242">
        <v>1420</v>
      </c>
      <c r="B1242" t="s">
        <v>2222</v>
      </c>
      <c r="C1242" t="s">
        <v>2219</v>
      </c>
      <c r="D1242" t="s">
        <v>133</v>
      </c>
      <c r="E1242" s="4">
        <v>1</v>
      </c>
      <c r="F1242" t="s">
        <v>127</v>
      </c>
      <c r="G1242" t="s">
        <v>127</v>
      </c>
      <c r="H1242" s="3">
        <v>46175</v>
      </c>
      <c r="I1242" s="3">
        <v>46176</v>
      </c>
      <c r="J1242" t="s">
        <v>134</v>
      </c>
      <c r="K1242" s="3">
        <v>46199</v>
      </c>
      <c r="L1242" s="3">
        <v>46199</v>
      </c>
      <c r="M1242" s="3">
        <v>46176</v>
      </c>
      <c r="N1242" s="3">
        <v>46176</v>
      </c>
      <c r="O1242" t="s">
        <v>472</v>
      </c>
      <c r="P1242" t="s">
        <v>55</v>
      </c>
      <c r="Q1242">
        <v>1419</v>
      </c>
      <c r="S1242" t="s">
        <v>124</v>
      </c>
      <c r="T1242" t="s">
        <v>2143</v>
      </c>
      <c r="V1242" t="s">
        <v>61</v>
      </c>
      <c r="W1242">
        <v>13.4</v>
      </c>
      <c r="X1242" t="s">
        <v>57</v>
      </c>
      <c r="Z1242" t="s">
        <v>124</v>
      </c>
      <c r="AA1242" t="s">
        <v>131</v>
      </c>
      <c r="AE1242">
        <v>1</v>
      </c>
      <c r="AF1242">
        <v>0</v>
      </c>
      <c r="AG1242">
        <v>0</v>
      </c>
      <c r="AH1242">
        <v>0</v>
      </c>
      <c r="AI1242">
        <v>1</v>
      </c>
      <c r="AJ1242">
        <v>0</v>
      </c>
      <c r="AK1242">
        <v>0</v>
      </c>
      <c r="AL1242">
        <v>0</v>
      </c>
      <c r="AM1242">
        <v>0</v>
      </c>
      <c r="AN1242">
        <v>1</v>
      </c>
      <c r="AO1242">
        <v>0</v>
      </c>
      <c r="AP1242">
        <v>0</v>
      </c>
    </row>
    <row r="1243" spans="1:42" x14ac:dyDescent="0.25">
      <c r="A1243">
        <v>1421</v>
      </c>
      <c r="B1243" t="s">
        <v>2223</v>
      </c>
      <c r="C1243" t="s">
        <v>2143</v>
      </c>
      <c r="D1243" t="s">
        <v>2224</v>
      </c>
      <c r="E1243" s="4">
        <v>1</v>
      </c>
      <c r="F1243" t="s">
        <v>2225</v>
      </c>
      <c r="G1243" t="s">
        <v>2225</v>
      </c>
      <c r="H1243" s="3">
        <v>46153</v>
      </c>
      <c r="I1243" s="3">
        <v>46164</v>
      </c>
      <c r="J1243" t="s">
        <v>206</v>
      </c>
      <c r="K1243" s="3">
        <v>46182</v>
      </c>
      <c r="L1243" s="3">
        <v>46168</v>
      </c>
      <c r="M1243" s="3">
        <v>46164</v>
      </c>
      <c r="N1243" s="3">
        <v>46164</v>
      </c>
      <c r="O1243" t="s">
        <v>418</v>
      </c>
      <c r="P1243" t="s">
        <v>55</v>
      </c>
      <c r="T1243" t="s">
        <v>2143</v>
      </c>
      <c r="V1243" t="s">
        <v>114</v>
      </c>
      <c r="W1243">
        <v>23.52</v>
      </c>
      <c r="X1243" t="s">
        <v>57</v>
      </c>
      <c r="AA1243" t="s">
        <v>50</v>
      </c>
      <c r="AE1243">
        <v>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</row>
    <row r="1244" spans="1:42" x14ac:dyDescent="0.25">
      <c r="A1244">
        <v>1422</v>
      </c>
      <c r="B1244" t="s">
        <v>2226</v>
      </c>
      <c r="C1244" t="s">
        <v>2227</v>
      </c>
      <c r="D1244" t="s">
        <v>117</v>
      </c>
      <c r="E1244" s="4">
        <v>1</v>
      </c>
      <c r="F1244" t="s">
        <v>101</v>
      </c>
      <c r="G1244" t="s">
        <v>101</v>
      </c>
      <c r="H1244" s="3">
        <v>46153</v>
      </c>
      <c r="I1244" s="3">
        <v>46157</v>
      </c>
      <c r="J1244" t="s">
        <v>206</v>
      </c>
      <c r="K1244" s="3">
        <v>46171</v>
      </c>
      <c r="L1244" s="3">
        <v>46168</v>
      </c>
      <c r="M1244" s="3">
        <v>46157</v>
      </c>
      <c r="N1244" s="3">
        <v>46157</v>
      </c>
      <c r="O1244" t="s">
        <v>418</v>
      </c>
      <c r="P1244" t="s">
        <v>55</v>
      </c>
      <c r="Q1244">
        <v>1397</v>
      </c>
      <c r="S1244" t="s">
        <v>2211</v>
      </c>
      <c r="T1244" t="s">
        <v>2143</v>
      </c>
      <c r="U1244" t="s">
        <v>2228</v>
      </c>
      <c r="V1244" t="s">
        <v>101</v>
      </c>
      <c r="W1244">
        <v>13.4</v>
      </c>
      <c r="X1244" t="s">
        <v>57</v>
      </c>
      <c r="Z1244" t="s">
        <v>2211</v>
      </c>
      <c r="AA1244" t="s">
        <v>77</v>
      </c>
      <c r="AE1244">
        <v>1</v>
      </c>
      <c r="AF1244">
        <v>1</v>
      </c>
      <c r="AG1244">
        <v>1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1</v>
      </c>
    </row>
    <row r="1245" spans="1:42" x14ac:dyDescent="0.25">
      <c r="A1245">
        <v>1423</v>
      </c>
      <c r="B1245" t="s">
        <v>2229</v>
      </c>
      <c r="C1245" t="s">
        <v>2227</v>
      </c>
      <c r="D1245" t="s">
        <v>121</v>
      </c>
      <c r="E1245" s="4">
        <v>1</v>
      </c>
      <c r="F1245" t="s">
        <v>122</v>
      </c>
      <c r="G1245" t="s">
        <v>122</v>
      </c>
      <c r="H1245" s="3">
        <v>46157</v>
      </c>
      <c r="I1245" s="3">
        <v>46162</v>
      </c>
      <c r="J1245" t="s">
        <v>193</v>
      </c>
      <c r="K1245" s="3">
        <v>46176</v>
      </c>
      <c r="L1245" s="3">
        <v>46174</v>
      </c>
      <c r="M1245" s="3">
        <v>46162</v>
      </c>
      <c r="N1245" s="3">
        <v>46162</v>
      </c>
      <c r="O1245" t="s">
        <v>444</v>
      </c>
      <c r="P1245" t="s">
        <v>55</v>
      </c>
      <c r="Q1245">
        <v>1422</v>
      </c>
      <c r="S1245" t="s">
        <v>124</v>
      </c>
      <c r="T1245" t="s">
        <v>2143</v>
      </c>
      <c r="U1245">
        <v>1424</v>
      </c>
      <c r="V1245" t="s">
        <v>122</v>
      </c>
      <c r="W1245">
        <v>13.4</v>
      </c>
      <c r="X1245" t="s">
        <v>57</v>
      </c>
      <c r="Z1245" t="s">
        <v>124</v>
      </c>
      <c r="AA1245" t="s">
        <v>460</v>
      </c>
      <c r="AE1245">
        <v>1</v>
      </c>
      <c r="AF1245">
        <v>0</v>
      </c>
      <c r="AG1245">
        <v>0</v>
      </c>
      <c r="AH1245">
        <v>0</v>
      </c>
      <c r="AI1245">
        <v>0</v>
      </c>
      <c r="AJ1245">
        <v>1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</row>
    <row r="1246" spans="1:42" x14ac:dyDescent="0.25">
      <c r="A1246">
        <v>1424</v>
      </c>
      <c r="B1246" t="s">
        <v>2230</v>
      </c>
      <c r="C1246" t="s">
        <v>2227</v>
      </c>
      <c r="D1246" t="s">
        <v>126</v>
      </c>
      <c r="E1246" s="4">
        <v>1</v>
      </c>
      <c r="F1246" t="s">
        <v>61</v>
      </c>
      <c r="G1246" t="s">
        <v>61</v>
      </c>
      <c r="H1246" s="3">
        <v>46162</v>
      </c>
      <c r="I1246" s="3">
        <v>46163</v>
      </c>
      <c r="J1246" t="s">
        <v>201</v>
      </c>
      <c r="K1246" s="3">
        <v>46181</v>
      </c>
      <c r="L1246" s="3">
        <v>46181</v>
      </c>
      <c r="M1246" s="3">
        <v>46163</v>
      </c>
      <c r="N1246" s="3">
        <v>46163</v>
      </c>
      <c r="O1246" t="s">
        <v>200</v>
      </c>
      <c r="P1246" t="s">
        <v>55</v>
      </c>
      <c r="Q1246">
        <v>1423</v>
      </c>
      <c r="S1246" t="s">
        <v>2211</v>
      </c>
      <c r="T1246" t="s">
        <v>2143</v>
      </c>
      <c r="U1246">
        <v>1425</v>
      </c>
      <c r="V1246" t="s">
        <v>61</v>
      </c>
      <c r="W1246">
        <v>13.4</v>
      </c>
      <c r="X1246" t="s">
        <v>57</v>
      </c>
      <c r="Z1246" t="s">
        <v>2211</v>
      </c>
      <c r="AA1246" t="s">
        <v>462</v>
      </c>
      <c r="AE1246">
        <v>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1</v>
      </c>
      <c r="AM1246">
        <v>0</v>
      </c>
      <c r="AN1246">
        <v>0</v>
      </c>
      <c r="AO1246">
        <v>0</v>
      </c>
      <c r="AP1246">
        <v>0</v>
      </c>
    </row>
    <row r="1247" spans="1:42" x14ac:dyDescent="0.25">
      <c r="A1247">
        <v>1425</v>
      </c>
      <c r="B1247" t="s">
        <v>2231</v>
      </c>
      <c r="C1247" t="s">
        <v>2227</v>
      </c>
      <c r="D1247" t="s">
        <v>133</v>
      </c>
      <c r="E1247" s="4">
        <v>1</v>
      </c>
      <c r="F1247" t="s">
        <v>61</v>
      </c>
      <c r="G1247" t="s">
        <v>61</v>
      </c>
      <c r="H1247" s="3">
        <v>46163</v>
      </c>
      <c r="I1247" s="3">
        <v>46164</v>
      </c>
      <c r="J1247" t="s">
        <v>204</v>
      </c>
      <c r="K1247" s="3">
        <v>46182</v>
      </c>
      <c r="L1247" s="3">
        <v>46182</v>
      </c>
      <c r="M1247" s="3">
        <v>46164</v>
      </c>
      <c r="N1247" s="3">
        <v>46164</v>
      </c>
      <c r="O1247" t="s">
        <v>491</v>
      </c>
      <c r="P1247" t="s">
        <v>55</v>
      </c>
      <c r="Q1247">
        <v>1424</v>
      </c>
      <c r="S1247" t="s">
        <v>124</v>
      </c>
      <c r="T1247" t="s">
        <v>2143</v>
      </c>
      <c r="V1247" t="s">
        <v>61</v>
      </c>
      <c r="W1247">
        <v>13.4</v>
      </c>
      <c r="X1247" t="s">
        <v>57</v>
      </c>
      <c r="Z1247" t="s">
        <v>124</v>
      </c>
      <c r="AA1247" t="s">
        <v>462</v>
      </c>
      <c r="AE1247">
        <v>1</v>
      </c>
      <c r="AF1247">
        <v>0</v>
      </c>
      <c r="AG1247">
        <v>0</v>
      </c>
      <c r="AH1247">
        <v>0</v>
      </c>
      <c r="AI1247">
        <v>1</v>
      </c>
      <c r="AJ1247">
        <v>0</v>
      </c>
      <c r="AK1247">
        <v>0</v>
      </c>
      <c r="AL1247">
        <v>0</v>
      </c>
      <c r="AM1247">
        <v>0</v>
      </c>
      <c r="AN1247">
        <v>1</v>
      </c>
      <c r="AO1247">
        <v>0</v>
      </c>
      <c r="AP1247">
        <v>0</v>
      </c>
    </row>
    <row r="1248" spans="1:42" x14ac:dyDescent="0.25">
      <c r="A1248">
        <v>1426</v>
      </c>
      <c r="B1248" t="s">
        <v>2232</v>
      </c>
      <c r="C1248" t="s">
        <v>2143</v>
      </c>
      <c r="D1248" t="s">
        <v>2233</v>
      </c>
      <c r="E1248" s="4">
        <v>1</v>
      </c>
      <c r="F1248" t="s">
        <v>101</v>
      </c>
      <c r="G1248" t="s">
        <v>101</v>
      </c>
      <c r="H1248" s="3">
        <v>46192</v>
      </c>
      <c r="I1248" s="3">
        <v>46197</v>
      </c>
      <c r="J1248" t="s">
        <v>480</v>
      </c>
      <c r="K1248" s="3">
        <v>46199</v>
      </c>
      <c r="L1248" s="3">
        <v>46191</v>
      </c>
      <c r="M1248" s="3">
        <v>46197</v>
      </c>
      <c r="N1248" s="3">
        <v>46197</v>
      </c>
      <c r="O1248" t="s">
        <v>211</v>
      </c>
      <c r="P1248" t="s">
        <v>55</v>
      </c>
      <c r="T1248" t="s">
        <v>2143</v>
      </c>
      <c r="V1248" t="s">
        <v>175</v>
      </c>
      <c r="W1248">
        <v>23.52</v>
      </c>
      <c r="X1248" t="s">
        <v>57</v>
      </c>
      <c r="AA1248" t="s">
        <v>50</v>
      </c>
      <c r="AE1248">
        <v>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</row>
    <row r="1249" spans="1:42" x14ac:dyDescent="0.25">
      <c r="A1249">
        <v>1427</v>
      </c>
      <c r="B1249" t="s">
        <v>2234</v>
      </c>
      <c r="C1249" t="s">
        <v>2235</v>
      </c>
      <c r="D1249" t="s">
        <v>117</v>
      </c>
      <c r="E1249" s="4">
        <v>1</v>
      </c>
      <c r="F1249" t="s">
        <v>127</v>
      </c>
      <c r="G1249" t="s">
        <v>127</v>
      </c>
      <c r="H1249" s="3">
        <v>46192</v>
      </c>
      <c r="I1249" s="3">
        <v>46195</v>
      </c>
      <c r="J1249" t="s">
        <v>480</v>
      </c>
      <c r="K1249" s="3">
        <v>46192</v>
      </c>
      <c r="L1249" s="3">
        <v>46191</v>
      </c>
      <c r="M1249" s="3">
        <v>46195</v>
      </c>
      <c r="N1249" s="3">
        <v>46195</v>
      </c>
      <c r="O1249" t="s">
        <v>211</v>
      </c>
      <c r="P1249" t="s">
        <v>55</v>
      </c>
      <c r="Q1249" t="s">
        <v>2190</v>
      </c>
      <c r="S1249" t="s">
        <v>2211</v>
      </c>
      <c r="T1249" t="s">
        <v>2143</v>
      </c>
      <c r="U1249">
        <v>1428</v>
      </c>
      <c r="V1249" t="s">
        <v>127</v>
      </c>
      <c r="W1249">
        <v>13.4</v>
      </c>
      <c r="X1249" t="s">
        <v>57</v>
      </c>
      <c r="Z1249" t="s">
        <v>2211</v>
      </c>
      <c r="AA1249" t="s">
        <v>217</v>
      </c>
      <c r="AE1249">
        <v>1</v>
      </c>
      <c r="AF1249">
        <v>1</v>
      </c>
      <c r="AG1249">
        <v>1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1</v>
      </c>
    </row>
    <row r="1250" spans="1:42" x14ac:dyDescent="0.25">
      <c r="A1250">
        <v>1428</v>
      </c>
      <c r="B1250" t="s">
        <v>2236</v>
      </c>
      <c r="C1250" t="s">
        <v>2235</v>
      </c>
      <c r="D1250" t="s">
        <v>121</v>
      </c>
      <c r="E1250" s="4">
        <v>1</v>
      </c>
      <c r="F1250" t="s">
        <v>61</v>
      </c>
      <c r="G1250" t="s">
        <v>61</v>
      </c>
      <c r="H1250" s="3">
        <v>46196</v>
      </c>
      <c r="I1250" s="3">
        <v>46196</v>
      </c>
      <c r="J1250" t="s">
        <v>219</v>
      </c>
      <c r="K1250" s="3">
        <v>46197</v>
      </c>
      <c r="L1250" s="3">
        <v>46195</v>
      </c>
      <c r="M1250" s="3">
        <v>46196</v>
      </c>
      <c r="N1250" s="3">
        <v>46196</v>
      </c>
      <c r="O1250" t="s">
        <v>212</v>
      </c>
      <c r="P1250" t="s">
        <v>55</v>
      </c>
      <c r="Q1250">
        <v>1427</v>
      </c>
      <c r="S1250" t="s">
        <v>124</v>
      </c>
      <c r="T1250" t="s">
        <v>2143</v>
      </c>
      <c r="U1250">
        <v>1429</v>
      </c>
      <c r="V1250" t="s">
        <v>122</v>
      </c>
      <c r="W1250">
        <v>13.4</v>
      </c>
      <c r="X1250" t="s">
        <v>57</v>
      </c>
      <c r="Z1250" t="s">
        <v>124</v>
      </c>
      <c r="AA1250" t="s">
        <v>131</v>
      </c>
      <c r="AE1250">
        <v>1</v>
      </c>
      <c r="AF1250">
        <v>0</v>
      </c>
      <c r="AG1250">
        <v>0</v>
      </c>
      <c r="AH1250">
        <v>0</v>
      </c>
      <c r="AI1250">
        <v>0</v>
      </c>
      <c r="AJ1250">
        <v>1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</row>
    <row r="1251" spans="1:42" x14ac:dyDescent="0.25">
      <c r="A1251">
        <v>1429</v>
      </c>
      <c r="B1251" t="s">
        <v>2237</v>
      </c>
      <c r="C1251" t="s">
        <v>2235</v>
      </c>
      <c r="D1251" t="s">
        <v>126</v>
      </c>
      <c r="E1251" s="4">
        <v>1</v>
      </c>
      <c r="F1251" t="s">
        <v>61</v>
      </c>
      <c r="G1251" t="s">
        <v>61</v>
      </c>
      <c r="H1251" s="3">
        <v>46197</v>
      </c>
      <c r="I1251" s="3">
        <v>46197</v>
      </c>
      <c r="J1251" t="s">
        <v>128</v>
      </c>
      <c r="K1251" s="3">
        <v>46198</v>
      </c>
      <c r="L1251" s="3">
        <v>46198</v>
      </c>
      <c r="M1251" s="3">
        <v>46197</v>
      </c>
      <c r="N1251" s="3">
        <v>46197</v>
      </c>
      <c r="O1251" t="s">
        <v>207</v>
      </c>
      <c r="P1251" t="s">
        <v>55</v>
      </c>
      <c r="Q1251">
        <v>1428</v>
      </c>
      <c r="S1251" t="s">
        <v>2211</v>
      </c>
      <c r="T1251" t="s">
        <v>2143</v>
      </c>
      <c r="U1251" t="s">
        <v>2238</v>
      </c>
      <c r="V1251" t="s">
        <v>61</v>
      </c>
      <c r="W1251">
        <v>13.4</v>
      </c>
      <c r="X1251" t="s">
        <v>57</v>
      </c>
      <c r="Z1251" t="s">
        <v>2211</v>
      </c>
      <c r="AA1251" t="s">
        <v>131</v>
      </c>
      <c r="AE1251">
        <v>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1</v>
      </c>
      <c r="AM1251">
        <v>0</v>
      </c>
      <c r="AN1251">
        <v>0</v>
      </c>
      <c r="AO1251">
        <v>0</v>
      </c>
      <c r="AP1251">
        <v>0</v>
      </c>
    </row>
    <row r="1252" spans="1:42" x14ac:dyDescent="0.25">
      <c r="A1252">
        <v>1430</v>
      </c>
      <c r="B1252" t="s">
        <v>2239</v>
      </c>
      <c r="C1252" t="s">
        <v>2235</v>
      </c>
      <c r="D1252" t="s">
        <v>133</v>
      </c>
      <c r="E1252" s="4">
        <v>1</v>
      </c>
      <c r="F1252" t="s">
        <v>61</v>
      </c>
      <c r="G1252" t="s">
        <v>61</v>
      </c>
      <c r="H1252" s="3">
        <v>46197</v>
      </c>
      <c r="I1252" s="3">
        <v>46197</v>
      </c>
      <c r="J1252" t="s">
        <v>134</v>
      </c>
      <c r="K1252" s="3">
        <v>46199</v>
      </c>
      <c r="L1252" s="3">
        <v>46199</v>
      </c>
      <c r="M1252" s="3">
        <v>46197</v>
      </c>
      <c r="N1252" s="3">
        <v>46197</v>
      </c>
      <c r="O1252" t="s">
        <v>207</v>
      </c>
      <c r="P1252" t="s">
        <v>55</v>
      </c>
      <c r="Q1252" t="s">
        <v>2240</v>
      </c>
      <c r="S1252" t="s">
        <v>124</v>
      </c>
      <c r="T1252" t="s">
        <v>2143</v>
      </c>
      <c r="V1252" t="s">
        <v>61</v>
      </c>
      <c r="W1252">
        <v>13.4</v>
      </c>
      <c r="X1252" t="s">
        <v>57</v>
      </c>
      <c r="Z1252" t="s">
        <v>124</v>
      </c>
      <c r="AA1252" t="s">
        <v>131</v>
      </c>
      <c r="AE1252">
        <v>1</v>
      </c>
      <c r="AF1252">
        <v>0</v>
      </c>
      <c r="AG1252">
        <v>0</v>
      </c>
      <c r="AH1252">
        <v>0</v>
      </c>
      <c r="AI1252">
        <v>1</v>
      </c>
      <c r="AJ1252">
        <v>0</v>
      </c>
      <c r="AK1252">
        <v>0</v>
      </c>
      <c r="AL1252">
        <v>0</v>
      </c>
      <c r="AM1252">
        <v>0</v>
      </c>
      <c r="AN1252">
        <v>1</v>
      </c>
      <c r="AO1252">
        <v>0</v>
      </c>
      <c r="AP1252">
        <v>0</v>
      </c>
    </row>
    <row r="1253" spans="1:42" x14ac:dyDescent="0.25">
      <c r="A1253">
        <v>1431</v>
      </c>
      <c r="B1253" t="s">
        <v>2241</v>
      </c>
      <c r="C1253" t="s">
        <v>52</v>
      </c>
      <c r="D1253" t="s">
        <v>2242</v>
      </c>
      <c r="E1253" s="4">
        <v>1</v>
      </c>
      <c r="F1253" t="s">
        <v>2243</v>
      </c>
      <c r="G1253" t="s">
        <v>2243</v>
      </c>
      <c r="H1253" s="3">
        <v>46120</v>
      </c>
      <c r="I1253" s="3">
        <v>46198</v>
      </c>
      <c r="J1253" t="s">
        <v>123</v>
      </c>
      <c r="K1253" s="3">
        <v>46198</v>
      </c>
      <c r="L1253" s="3">
        <v>46104</v>
      </c>
      <c r="M1253" s="3">
        <v>46198</v>
      </c>
      <c r="N1253" s="3">
        <v>46198</v>
      </c>
      <c r="O1253" t="s">
        <v>685</v>
      </c>
      <c r="P1253" t="s">
        <v>55</v>
      </c>
      <c r="V1253" t="s">
        <v>2244</v>
      </c>
      <c r="W1253">
        <v>163.36000000000001</v>
      </c>
      <c r="X1253" t="s">
        <v>57</v>
      </c>
      <c r="AA1253" t="s">
        <v>50</v>
      </c>
      <c r="AE1253">
        <v>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</row>
    <row r="1254" spans="1:42" x14ac:dyDescent="0.25">
      <c r="A1254">
        <v>1432</v>
      </c>
      <c r="B1254" t="s">
        <v>2245</v>
      </c>
      <c r="C1254" t="s">
        <v>2246</v>
      </c>
      <c r="D1254" t="s">
        <v>2247</v>
      </c>
      <c r="E1254" s="4">
        <v>1</v>
      </c>
      <c r="F1254" t="s">
        <v>976</v>
      </c>
      <c r="G1254" t="s">
        <v>976</v>
      </c>
      <c r="H1254" s="3">
        <v>46120</v>
      </c>
      <c r="I1254" s="3">
        <v>46157</v>
      </c>
      <c r="J1254" t="s">
        <v>123</v>
      </c>
      <c r="K1254" s="3">
        <v>46119</v>
      </c>
      <c r="L1254" s="3">
        <v>46104</v>
      </c>
      <c r="M1254" s="3">
        <v>46157</v>
      </c>
      <c r="N1254" s="3">
        <v>46157</v>
      </c>
      <c r="O1254" t="s">
        <v>685</v>
      </c>
      <c r="P1254" t="s">
        <v>55</v>
      </c>
      <c r="T1254" t="s">
        <v>2246</v>
      </c>
      <c r="V1254" t="s">
        <v>151</v>
      </c>
      <c r="W1254">
        <v>23.52</v>
      </c>
      <c r="X1254" t="s">
        <v>57</v>
      </c>
      <c r="AA1254" t="s">
        <v>50</v>
      </c>
      <c r="AE1254">
        <v>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</row>
    <row r="1255" spans="1:42" x14ac:dyDescent="0.25">
      <c r="A1255">
        <v>1433</v>
      </c>
      <c r="B1255" t="s">
        <v>2248</v>
      </c>
      <c r="C1255" t="s">
        <v>2249</v>
      </c>
      <c r="D1255" t="s">
        <v>117</v>
      </c>
      <c r="E1255" s="4">
        <v>1</v>
      </c>
      <c r="F1255" t="s">
        <v>138</v>
      </c>
      <c r="G1255" t="s">
        <v>138</v>
      </c>
      <c r="H1255" s="3">
        <v>46120</v>
      </c>
      <c r="I1255" s="3">
        <v>46126</v>
      </c>
      <c r="J1255" t="s">
        <v>123</v>
      </c>
      <c r="K1255" s="3">
        <v>46108</v>
      </c>
      <c r="L1255" s="3">
        <v>46104</v>
      </c>
      <c r="M1255" s="3">
        <v>46126</v>
      </c>
      <c r="N1255" s="3">
        <v>46126</v>
      </c>
      <c r="O1255" t="s">
        <v>685</v>
      </c>
      <c r="P1255" t="s">
        <v>55</v>
      </c>
      <c r="Q1255" t="s">
        <v>2250</v>
      </c>
      <c r="R1255" s="1">
        <v>46129.727083333331</v>
      </c>
      <c r="S1255" t="s">
        <v>2251</v>
      </c>
      <c r="T1255" t="s">
        <v>2246</v>
      </c>
      <c r="U1255">
        <v>1434</v>
      </c>
      <c r="V1255" t="s">
        <v>138</v>
      </c>
      <c r="W1255">
        <v>13.4</v>
      </c>
      <c r="X1255" t="s">
        <v>57</v>
      </c>
      <c r="Z1255" t="s">
        <v>2251</v>
      </c>
      <c r="AA1255" t="s">
        <v>64</v>
      </c>
      <c r="AE1255">
        <v>1</v>
      </c>
      <c r="AF1255">
        <v>1</v>
      </c>
      <c r="AG1255">
        <v>1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1</v>
      </c>
    </row>
    <row r="1256" spans="1:42" x14ac:dyDescent="0.25">
      <c r="A1256">
        <v>1434</v>
      </c>
      <c r="B1256" t="s">
        <v>2252</v>
      </c>
      <c r="C1256" t="s">
        <v>2249</v>
      </c>
      <c r="D1256" t="s">
        <v>121</v>
      </c>
      <c r="E1256" s="4">
        <v>1</v>
      </c>
      <c r="F1256" t="s">
        <v>122</v>
      </c>
      <c r="G1256" t="s">
        <v>122</v>
      </c>
      <c r="H1256" s="3">
        <v>46127</v>
      </c>
      <c r="I1256" s="3">
        <v>46129</v>
      </c>
      <c r="J1256" t="s">
        <v>275</v>
      </c>
      <c r="K1256" s="3">
        <v>46113</v>
      </c>
      <c r="L1256" s="3">
        <v>46111</v>
      </c>
      <c r="M1256" s="3">
        <v>46129</v>
      </c>
      <c r="N1256" s="3">
        <v>46129</v>
      </c>
      <c r="O1256" t="s">
        <v>146</v>
      </c>
      <c r="P1256" t="s">
        <v>55</v>
      </c>
      <c r="Q1256">
        <v>1433</v>
      </c>
      <c r="R1256" s="1">
        <v>46140.618055555547</v>
      </c>
      <c r="S1256" t="s">
        <v>124</v>
      </c>
      <c r="T1256" t="s">
        <v>2246</v>
      </c>
      <c r="U1256">
        <v>1435</v>
      </c>
      <c r="V1256" t="s">
        <v>122</v>
      </c>
      <c r="W1256">
        <v>13.4</v>
      </c>
      <c r="X1256" t="s">
        <v>57</v>
      </c>
      <c r="Z1256" t="s">
        <v>124</v>
      </c>
      <c r="AA1256" t="s">
        <v>255</v>
      </c>
      <c r="AE1256">
        <v>1</v>
      </c>
      <c r="AF1256">
        <v>0</v>
      </c>
      <c r="AG1256">
        <v>0</v>
      </c>
      <c r="AH1256">
        <v>0</v>
      </c>
      <c r="AI1256">
        <v>0</v>
      </c>
      <c r="AJ1256">
        <v>1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</row>
    <row r="1257" spans="1:42" x14ac:dyDescent="0.25">
      <c r="A1257">
        <v>1435</v>
      </c>
      <c r="B1257" t="s">
        <v>2253</v>
      </c>
      <c r="C1257" t="s">
        <v>2249</v>
      </c>
      <c r="D1257" t="s">
        <v>126</v>
      </c>
      <c r="E1257" s="4">
        <v>1</v>
      </c>
      <c r="F1257" t="s">
        <v>295</v>
      </c>
      <c r="G1257" t="s">
        <v>295</v>
      </c>
      <c r="H1257" s="3">
        <v>46134</v>
      </c>
      <c r="I1257" s="3">
        <v>46156</v>
      </c>
      <c r="J1257" t="s">
        <v>2150</v>
      </c>
      <c r="K1257" s="3">
        <v>46114</v>
      </c>
      <c r="L1257" s="3">
        <v>46114</v>
      </c>
      <c r="M1257" s="3">
        <v>46156</v>
      </c>
      <c r="N1257" s="3">
        <v>46156</v>
      </c>
      <c r="O1257" t="s">
        <v>337</v>
      </c>
      <c r="P1257" t="s">
        <v>55</v>
      </c>
      <c r="Q1257">
        <v>1434</v>
      </c>
      <c r="R1257" s="1">
        <v>46140.618055555547</v>
      </c>
      <c r="S1257" t="s">
        <v>2251</v>
      </c>
      <c r="T1257" t="s">
        <v>2246</v>
      </c>
      <c r="U1257">
        <v>1436</v>
      </c>
      <c r="V1257" t="s">
        <v>61</v>
      </c>
      <c r="W1257">
        <v>13.4</v>
      </c>
      <c r="X1257" t="s">
        <v>57</v>
      </c>
      <c r="Z1257" t="s">
        <v>2251</v>
      </c>
      <c r="AA1257" t="s">
        <v>255</v>
      </c>
      <c r="AE1257">
        <v>1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1</v>
      </c>
      <c r="AM1257">
        <v>0</v>
      </c>
      <c r="AN1257">
        <v>0</v>
      </c>
      <c r="AO1257">
        <v>0</v>
      </c>
      <c r="AP1257">
        <v>0</v>
      </c>
    </row>
    <row r="1258" spans="1:42" x14ac:dyDescent="0.25">
      <c r="A1258">
        <v>1436</v>
      </c>
      <c r="B1258" t="s">
        <v>2254</v>
      </c>
      <c r="C1258" t="s">
        <v>2249</v>
      </c>
      <c r="D1258" t="s">
        <v>133</v>
      </c>
      <c r="E1258" s="4">
        <v>1</v>
      </c>
      <c r="F1258" t="s">
        <v>539</v>
      </c>
      <c r="G1258" t="s">
        <v>539</v>
      </c>
      <c r="H1258" s="3">
        <v>46135</v>
      </c>
      <c r="I1258" s="3">
        <v>46157</v>
      </c>
      <c r="J1258" t="s">
        <v>2152</v>
      </c>
      <c r="K1258" s="3">
        <v>46119</v>
      </c>
      <c r="L1258" s="3">
        <v>46119</v>
      </c>
      <c r="M1258" s="3">
        <v>46157</v>
      </c>
      <c r="N1258" s="3">
        <v>46157</v>
      </c>
      <c r="O1258" t="s">
        <v>371</v>
      </c>
      <c r="P1258" t="s">
        <v>55</v>
      </c>
      <c r="Q1258">
        <v>1435</v>
      </c>
      <c r="R1258" s="1">
        <v>46140.618055555547</v>
      </c>
      <c r="S1258" t="s">
        <v>124</v>
      </c>
      <c r="T1258" t="s">
        <v>2246</v>
      </c>
      <c r="V1258" t="s">
        <v>61</v>
      </c>
      <c r="W1258">
        <v>13.4</v>
      </c>
      <c r="X1258" t="s">
        <v>57</v>
      </c>
      <c r="Z1258" t="s">
        <v>124</v>
      </c>
      <c r="AA1258" t="s">
        <v>82</v>
      </c>
      <c r="AE1258">
        <v>1</v>
      </c>
      <c r="AF1258">
        <v>0</v>
      </c>
      <c r="AG1258">
        <v>0</v>
      </c>
      <c r="AH1258">
        <v>0</v>
      </c>
      <c r="AI1258">
        <v>1</v>
      </c>
      <c r="AJ1258">
        <v>0</v>
      </c>
      <c r="AK1258">
        <v>0</v>
      </c>
      <c r="AL1258">
        <v>0</v>
      </c>
      <c r="AM1258">
        <v>0</v>
      </c>
      <c r="AN1258">
        <v>1</v>
      </c>
      <c r="AO1258">
        <v>0</v>
      </c>
      <c r="AP1258">
        <v>0</v>
      </c>
    </row>
    <row r="1259" spans="1:42" x14ac:dyDescent="0.25">
      <c r="A1259">
        <v>1437</v>
      </c>
      <c r="B1259" t="s">
        <v>2255</v>
      </c>
      <c r="C1259" t="s">
        <v>2246</v>
      </c>
      <c r="D1259" t="s">
        <v>2256</v>
      </c>
      <c r="E1259" s="4">
        <v>1</v>
      </c>
      <c r="F1259" t="s">
        <v>976</v>
      </c>
      <c r="G1259" t="s">
        <v>976</v>
      </c>
      <c r="H1259" s="3">
        <v>46120</v>
      </c>
      <c r="I1259" s="3">
        <v>46157</v>
      </c>
      <c r="J1259" t="s">
        <v>123</v>
      </c>
      <c r="K1259" s="3">
        <v>46119</v>
      </c>
      <c r="L1259" s="3">
        <v>46104</v>
      </c>
      <c r="M1259" s="3">
        <v>46157</v>
      </c>
      <c r="N1259" s="3">
        <v>46157</v>
      </c>
      <c r="O1259" t="s">
        <v>685</v>
      </c>
      <c r="P1259" t="s">
        <v>55</v>
      </c>
      <c r="T1259" t="s">
        <v>2246</v>
      </c>
      <c r="V1259" t="s">
        <v>151</v>
      </c>
      <c r="W1259">
        <v>23.52</v>
      </c>
      <c r="X1259" t="s">
        <v>57</v>
      </c>
      <c r="AA1259" t="s">
        <v>50</v>
      </c>
      <c r="AE1259">
        <v>1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</row>
    <row r="1260" spans="1:42" x14ac:dyDescent="0.25">
      <c r="A1260">
        <v>1438</v>
      </c>
      <c r="B1260" t="s">
        <v>2257</v>
      </c>
      <c r="C1260" t="s">
        <v>2258</v>
      </c>
      <c r="D1260" t="s">
        <v>117</v>
      </c>
      <c r="E1260" s="4">
        <v>1</v>
      </c>
      <c r="F1260" t="s">
        <v>138</v>
      </c>
      <c r="G1260" t="s">
        <v>138</v>
      </c>
      <c r="H1260" s="3">
        <v>46120</v>
      </c>
      <c r="I1260" s="3">
        <v>46126</v>
      </c>
      <c r="J1260" t="s">
        <v>123</v>
      </c>
      <c r="K1260" s="3">
        <v>46108</v>
      </c>
      <c r="L1260" s="3">
        <v>46104</v>
      </c>
      <c r="M1260" s="3">
        <v>46126</v>
      </c>
      <c r="N1260" s="3">
        <v>46126</v>
      </c>
      <c r="O1260" t="s">
        <v>685</v>
      </c>
      <c r="P1260" t="s">
        <v>55</v>
      </c>
      <c r="Q1260" t="s">
        <v>2250</v>
      </c>
      <c r="R1260" s="1">
        <v>46129.727083333331</v>
      </c>
      <c r="S1260" t="s">
        <v>2251</v>
      </c>
      <c r="T1260" t="s">
        <v>2246</v>
      </c>
      <c r="U1260">
        <v>1439</v>
      </c>
      <c r="V1260" t="s">
        <v>138</v>
      </c>
      <c r="W1260">
        <v>13.4</v>
      </c>
      <c r="X1260" t="s">
        <v>57</v>
      </c>
      <c r="Z1260" t="s">
        <v>2251</v>
      </c>
      <c r="AA1260" t="s">
        <v>64</v>
      </c>
      <c r="AE1260">
        <v>1</v>
      </c>
      <c r="AF1260">
        <v>1</v>
      </c>
      <c r="AG1260">
        <v>1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1</v>
      </c>
    </row>
    <row r="1261" spans="1:42" x14ac:dyDescent="0.25">
      <c r="A1261">
        <v>1439</v>
      </c>
      <c r="B1261" t="s">
        <v>2259</v>
      </c>
      <c r="C1261" t="s">
        <v>2258</v>
      </c>
      <c r="D1261" t="s">
        <v>121</v>
      </c>
      <c r="E1261" s="4">
        <v>1</v>
      </c>
      <c r="F1261" t="s">
        <v>122</v>
      </c>
      <c r="G1261" t="s">
        <v>122</v>
      </c>
      <c r="H1261" s="3">
        <v>46127</v>
      </c>
      <c r="I1261" s="3">
        <v>46129</v>
      </c>
      <c r="J1261" t="s">
        <v>275</v>
      </c>
      <c r="K1261" s="3">
        <v>46113</v>
      </c>
      <c r="L1261" s="3">
        <v>46111</v>
      </c>
      <c r="M1261" s="3">
        <v>46129</v>
      </c>
      <c r="N1261" s="3">
        <v>46129</v>
      </c>
      <c r="O1261" t="s">
        <v>146</v>
      </c>
      <c r="P1261" t="s">
        <v>55</v>
      </c>
      <c r="Q1261">
        <v>1438</v>
      </c>
      <c r="R1261" s="1">
        <v>46140.618055555547</v>
      </c>
      <c r="S1261" t="s">
        <v>124</v>
      </c>
      <c r="T1261" t="s">
        <v>2246</v>
      </c>
      <c r="U1261">
        <v>1440</v>
      </c>
      <c r="V1261" t="s">
        <v>122</v>
      </c>
      <c r="W1261">
        <v>13.4</v>
      </c>
      <c r="X1261" t="s">
        <v>57</v>
      </c>
      <c r="Z1261" t="s">
        <v>124</v>
      </c>
      <c r="AA1261" t="s">
        <v>255</v>
      </c>
      <c r="AE1261">
        <v>1</v>
      </c>
      <c r="AF1261">
        <v>0</v>
      </c>
      <c r="AG1261">
        <v>0</v>
      </c>
      <c r="AH1261">
        <v>0</v>
      </c>
      <c r="AI1261">
        <v>0</v>
      </c>
      <c r="AJ1261">
        <v>1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</row>
    <row r="1262" spans="1:42" x14ac:dyDescent="0.25">
      <c r="A1262">
        <v>1440</v>
      </c>
      <c r="B1262" t="s">
        <v>2260</v>
      </c>
      <c r="C1262" t="s">
        <v>2258</v>
      </c>
      <c r="D1262" t="s">
        <v>126</v>
      </c>
      <c r="E1262" s="4">
        <v>1</v>
      </c>
      <c r="F1262" t="s">
        <v>295</v>
      </c>
      <c r="G1262" t="s">
        <v>295</v>
      </c>
      <c r="H1262" s="3">
        <v>46134</v>
      </c>
      <c r="I1262" s="3">
        <v>46156</v>
      </c>
      <c r="J1262" t="s">
        <v>2150</v>
      </c>
      <c r="K1262" s="3">
        <v>46114</v>
      </c>
      <c r="L1262" s="3">
        <v>46114</v>
      </c>
      <c r="M1262" s="3">
        <v>46156</v>
      </c>
      <c r="N1262" s="3">
        <v>46156</v>
      </c>
      <c r="O1262" t="s">
        <v>337</v>
      </c>
      <c r="P1262" t="s">
        <v>55</v>
      </c>
      <c r="Q1262">
        <v>1439</v>
      </c>
      <c r="R1262" s="1">
        <v>46140.618055555547</v>
      </c>
      <c r="S1262" t="s">
        <v>2251</v>
      </c>
      <c r="T1262" t="s">
        <v>2246</v>
      </c>
      <c r="U1262">
        <v>1441</v>
      </c>
      <c r="V1262" t="s">
        <v>61</v>
      </c>
      <c r="W1262">
        <v>13.4</v>
      </c>
      <c r="X1262" t="s">
        <v>57</v>
      </c>
      <c r="Z1262" t="s">
        <v>2251</v>
      </c>
      <c r="AA1262" t="s">
        <v>255</v>
      </c>
      <c r="AE1262">
        <v>1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1</v>
      </c>
      <c r="AM1262">
        <v>0</v>
      </c>
      <c r="AN1262">
        <v>0</v>
      </c>
      <c r="AO1262">
        <v>0</v>
      </c>
      <c r="AP1262">
        <v>0</v>
      </c>
    </row>
    <row r="1263" spans="1:42" x14ac:dyDescent="0.25">
      <c r="A1263">
        <v>1441</v>
      </c>
      <c r="B1263" t="s">
        <v>2261</v>
      </c>
      <c r="C1263" t="s">
        <v>2258</v>
      </c>
      <c r="D1263" t="s">
        <v>133</v>
      </c>
      <c r="E1263" s="4">
        <v>1</v>
      </c>
      <c r="F1263" t="s">
        <v>295</v>
      </c>
      <c r="G1263" t="s">
        <v>295</v>
      </c>
      <c r="H1263" s="3">
        <v>46135</v>
      </c>
      <c r="I1263" s="3">
        <v>46157</v>
      </c>
      <c r="J1263" t="s">
        <v>2152</v>
      </c>
      <c r="K1263" s="3">
        <v>46119</v>
      </c>
      <c r="L1263" s="3">
        <v>46119</v>
      </c>
      <c r="M1263" s="3">
        <v>46157</v>
      </c>
      <c r="N1263" s="3">
        <v>46157</v>
      </c>
      <c r="O1263" t="s">
        <v>371</v>
      </c>
      <c r="P1263" t="s">
        <v>55</v>
      </c>
      <c r="Q1263">
        <v>1440</v>
      </c>
      <c r="R1263" s="1">
        <v>46140.618055555547</v>
      </c>
      <c r="S1263" t="s">
        <v>124</v>
      </c>
      <c r="T1263" t="s">
        <v>2246</v>
      </c>
      <c r="U1263">
        <v>1443</v>
      </c>
      <c r="V1263" t="s">
        <v>61</v>
      </c>
      <c r="W1263">
        <v>13.4</v>
      </c>
      <c r="X1263" t="s">
        <v>57</v>
      </c>
      <c r="Z1263" t="s">
        <v>124</v>
      </c>
      <c r="AA1263" t="s">
        <v>82</v>
      </c>
      <c r="AE1263">
        <v>1</v>
      </c>
      <c r="AF1263">
        <v>0</v>
      </c>
      <c r="AG1263">
        <v>0</v>
      </c>
      <c r="AH1263">
        <v>0</v>
      </c>
      <c r="AI1263">
        <v>1</v>
      </c>
      <c r="AJ1263">
        <v>0</v>
      </c>
      <c r="AK1263">
        <v>0</v>
      </c>
      <c r="AL1263">
        <v>0</v>
      </c>
      <c r="AM1263">
        <v>0</v>
      </c>
      <c r="AN1263">
        <v>1</v>
      </c>
      <c r="AO1263">
        <v>0</v>
      </c>
      <c r="AP1263">
        <v>0</v>
      </c>
    </row>
    <row r="1264" spans="1:42" x14ac:dyDescent="0.25">
      <c r="A1264">
        <v>1442</v>
      </c>
      <c r="B1264" t="s">
        <v>2262</v>
      </c>
      <c r="C1264" t="s">
        <v>2246</v>
      </c>
      <c r="D1264" t="s">
        <v>2263</v>
      </c>
      <c r="E1264" s="4">
        <v>1</v>
      </c>
      <c r="F1264" t="s">
        <v>110</v>
      </c>
      <c r="G1264" t="s">
        <v>110</v>
      </c>
      <c r="H1264" s="3">
        <v>46134</v>
      </c>
      <c r="I1264" s="3">
        <v>46163</v>
      </c>
      <c r="J1264" t="s">
        <v>685</v>
      </c>
      <c r="K1264" s="3">
        <v>46128</v>
      </c>
      <c r="L1264" s="3">
        <v>46120</v>
      </c>
      <c r="M1264" s="3">
        <v>46163</v>
      </c>
      <c r="N1264" s="3">
        <v>46163</v>
      </c>
      <c r="O1264" t="s">
        <v>337</v>
      </c>
      <c r="P1264" t="s">
        <v>55</v>
      </c>
      <c r="T1264" t="s">
        <v>2246</v>
      </c>
      <c r="V1264" t="s">
        <v>175</v>
      </c>
      <c r="W1264">
        <v>17.760000000000002</v>
      </c>
      <c r="X1264" t="s">
        <v>57</v>
      </c>
      <c r="AA1264" t="s">
        <v>50</v>
      </c>
      <c r="AE1264">
        <v>1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</row>
    <row r="1265" spans="1:42" x14ac:dyDescent="0.25">
      <c r="A1265">
        <v>1443</v>
      </c>
      <c r="B1265" t="s">
        <v>2264</v>
      </c>
      <c r="C1265" t="s">
        <v>2265</v>
      </c>
      <c r="D1265" t="s">
        <v>117</v>
      </c>
      <c r="E1265" s="4">
        <v>1</v>
      </c>
      <c r="F1265" t="s">
        <v>122</v>
      </c>
      <c r="G1265" t="s">
        <v>122</v>
      </c>
      <c r="H1265" s="3">
        <v>46134</v>
      </c>
      <c r="I1265" s="3">
        <v>46136</v>
      </c>
      <c r="J1265" t="s">
        <v>685</v>
      </c>
      <c r="K1265" s="3">
        <v>46121</v>
      </c>
      <c r="L1265" s="3">
        <v>46120</v>
      </c>
      <c r="M1265" s="3">
        <v>46136</v>
      </c>
      <c r="N1265" s="3">
        <v>46136</v>
      </c>
      <c r="O1265" t="s">
        <v>337</v>
      </c>
      <c r="P1265" t="s">
        <v>55</v>
      </c>
      <c r="Q1265">
        <v>1441</v>
      </c>
      <c r="S1265" t="s">
        <v>2251</v>
      </c>
      <c r="T1265" t="s">
        <v>2246</v>
      </c>
      <c r="U1265">
        <v>1444</v>
      </c>
      <c r="V1265" t="s">
        <v>127</v>
      </c>
      <c r="W1265">
        <v>13.4</v>
      </c>
      <c r="X1265" t="s">
        <v>57</v>
      </c>
      <c r="Z1265" t="s">
        <v>2251</v>
      </c>
      <c r="AA1265" t="s">
        <v>82</v>
      </c>
      <c r="AE1265">
        <v>1</v>
      </c>
      <c r="AF1265">
        <v>1</v>
      </c>
      <c r="AG1265">
        <v>1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1</v>
      </c>
    </row>
    <row r="1266" spans="1:42" x14ac:dyDescent="0.25">
      <c r="A1266">
        <v>1444</v>
      </c>
      <c r="B1266" t="s">
        <v>2266</v>
      </c>
      <c r="C1266" t="s">
        <v>2265</v>
      </c>
      <c r="D1266" t="s">
        <v>121</v>
      </c>
      <c r="E1266" s="4">
        <v>1</v>
      </c>
      <c r="F1266" t="s">
        <v>61</v>
      </c>
      <c r="G1266" t="s">
        <v>61</v>
      </c>
      <c r="H1266" s="3">
        <v>46139</v>
      </c>
      <c r="I1266" s="3">
        <v>46139</v>
      </c>
      <c r="J1266" t="s">
        <v>80</v>
      </c>
      <c r="K1266" s="3">
        <v>46126</v>
      </c>
      <c r="L1266" s="3">
        <v>46122</v>
      </c>
      <c r="M1266" s="3">
        <v>46139</v>
      </c>
      <c r="N1266" s="3">
        <v>46139</v>
      </c>
      <c r="O1266" t="s">
        <v>188</v>
      </c>
      <c r="P1266" t="s">
        <v>55</v>
      </c>
      <c r="Q1266">
        <v>1443</v>
      </c>
      <c r="S1266" t="s">
        <v>124</v>
      </c>
      <c r="T1266" t="s">
        <v>2246</v>
      </c>
      <c r="U1266">
        <v>1445</v>
      </c>
      <c r="V1266" t="s">
        <v>122</v>
      </c>
      <c r="W1266">
        <v>13.4</v>
      </c>
      <c r="X1266" t="s">
        <v>57</v>
      </c>
      <c r="Z1266" t="s">
        <v>124</v>
      </c>
      <c r="AA1266" t="s">
        <v>82</v>
      </c>
      <c r="AE1266">
        <v>1</v>
      </c>
      <c r="AF1266">
        <v>0</v>
      </c>
      <c r="AG1266">
        <v>0</v>
      </c>
      <c r="AH1266">
        <v>0</v>
      </c>
      <c r="AI1266">
        <v>0</v>
      </c>
      <c r="AJ1266">
        <v>1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</row>
    <row r="1267" spans="1:42" x14ac:dyDescent="0.25">
      <c r="A1267">
        <v>1445</v>
      </c>
      <c r="B1267" t="s">
        <v>2267</v>
      </c>
      <c r="C1267" t="s">
        <v>2265</v>
      </c>
      <c r="D1267" t="s">
        <v>126</v>
      </c>
      <c r="E1267" s="4">
        <v>1</v>
      </c>
      <c r="F1267" t="s">
        <v>982</v>
      </c>
      <c r="G1267" t="s">
        <v>982</v>
      </c>
      <c r="H1267" s="3">
        <v>46140</v>
      </c>
      <c r="I1267" s="3">
        <v>46163</v>
      </c>
      <c r="J1267" t="s">
        <v>146</v>
      </c>
      <c r="K1267" s="3">
        <v>46127</v>
      </c>
      <c r="L1267" s="3">
        <v>46127</v>
      </c>
      <c r="M1267" s="3">
        <v>46163</v>
      </c>
      <c r="N1267" s="3">
        <v>46163</v>
      </c>
      <c r="O1267" t="s">
        <v>85</v>
      </c>
      <c r="P1267" t="s">
        <v>55</v>
      </c>
      <c r="Q1267">
        <v>1444</v>
      </c>
      <c r="S1267" t="s">
        <v>2251</v>
      </c>
      <c r="T1267" t="s">
        <v>2246</v>
      </c>
      <c r="U1267">
        <v>1446</v>
      </c>
      <c r="V1267" t="s">
        <v>61</v>
      </c>
      <c r="W1267">
        <v>13.4</v>
      </c>
      <c r="X1267" t="s">
        <v>57</v>
      </c>
      <c r="Z1267" t="s">
        <v>2251</v>
      </c>
      <c r="AA1267" t="s">
        <v>180</v>
      </c>
      <c r="AE1267">
        <v>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1</v>
      </c>
      <c r="AM1267">
        <v>0</v>
      </c>
      <c r="AN1267">
        <v>0</v>
      </c>
      <c r="AO1267">
        <v>0</v>
      </c>
      <c r="AP1267">
        <v>0</v>
      </c>
    </row>
    <row r="1268" spans="1:42" x14ac:dyDescent="0.25">
      <c r="A1268">
        <v>1446</v>
      </c>
      <c r="B1268" t="s">
        <v>2268</v>
      </c>
      <c r="C1268" t="s">
        <v>2265</v>
      </c>
      <c r="D1268" t="s">
        <v>133</v>
      </c>
      <c r="E1268" s="4">
        <v>1</v>
      </c>
      <c r="F1268" t="s">
        <v>788</v>
      </c>
      <c r="G1268" t="s">
        <v>788</v>
      </c>
      <c r="H1268" s="3">
        <v>46141</v>
      </c>
      <c r="I1268" s="3">
        <v>46163</v>
      </c>
      <c r="J1268" t="s">
        <v>148</v>
      </c>
      <c r="K1268" s="3">
        <v>46128</v>
      </c>
      <c r="L1268" s="3">
        <v>46128</v>
      </c>
      <c r="M1268" s="3">
        <v>46163</v>
      </c>
      <c r="N1268" s="3">
        <v>46163</v>
      </c>
      <c r="O1268" t="s">
        <v>415</v>
      </c>
      <c r="P1268" t="s">
        <v>55</v>
      </c>
      <c r="Q1268">
        <v>1445</v>
      </c>
      <c r="S1268" t="s">
        <v>124</v>
      </c>
      <c r="T1268" t="s">
        <v>2246</v>
      </c>
      <c r="V1268" t="s">
        <v>61</v>
      </c>
      <c r="W1268">
        <v>13.4</v>
      </c>
      <c r="X1268" t="s">
        <v>57</v>
      </c>
      <c r="Z1268" t="s">
        <v>124</v>
      </c>
      <c r="AA1268" t="s">
        <v>180</v>
      </c>
      <c r="AE1268">
        <v>1</v>
      </c>
      <c r="AF1268">
        <v>0</v>
      </c>
      <c r="AG1268">
        <v>0</v>
      </c>
      <c r="AH1268">
        <v>0</v>
      </c>
      <c r="AI1268">
        <v>1</v>
      </c>
      <c r="AJ1268">
        <v>0</v>
      </c>
      <c r="AK1268">
        <v>0</v>
      </c>
      <c r="AL1268">
        <v>0</v>
      </c>
      <c r="AM1268">
        <v>0</v>
      </c>
      <c r="AN1268">
        <v>1</v>
      </c>
      <c r="AO1268">
        <v>0</v>
      </c>
      <c r="AP1268">
        <v>0</v>
      </c>
    </row>
    <row r="1269" spans="1:42" x14ac:dyDescent="0.25">
      <c r="A1269">
        <v>1447</v>
      </c>
      <c r="B1269" t="s">
        <v>2269</v>
      </c>
      <c r="C1269" t="s">
        <v>2246</v>
      </c>
      <c r="D1269" t="s">
        <v>2270</v>
      </c>
      <c r="E1269" s="4">
        <v>1</v>
      </c>
      <c r="F1269" t="s">
        <v>1038</v>
      </c>
      <c r="G1269" t="s">
        <v>1038</v>
      </c>
      <c r="H1269" s="3">
        <v>46154</v>
      </c>
      <c r="I1269" s="3">
        <v>46170</v>
      </c>
      <c r="J1269" t="s">
        <v>206</v>
      </c>
      <c r="K1269" s="3">
        <v>46176</v>
      </c>
      <c r="L1269" s="3">
        <v>46168</v>
      </c>
      <c r="M1269" s="3">
        <v>46170</v>
      </c>
      <c r="N1269" s="3">
        <v>46170</v>
      </c>
      <c r="O1269" t="s">
        <v>741</v>
      </c>
      <c r="P1269" t="s">
        <v>55</v>
      </c>
      <c r="T1269" t="s">
        <v>2246</v>
      </c>
      <c r="V1269" t="s">
        <v>175</v>
      </c>
      <c r="W1269">
        <v>23.52</v>
      </c>
      <c r="X1269" t="s">
        <v>57</v>
      </c>
      <c r="AA1269" t="s">
        <v>50</v>
      </c>
      <c r="AE1269">
        <v>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</row>
    <row r="1270" spans="1:42" x14ac:dyDescent="0.25">
      <c r="A1270">
        <v>1448</v>
      </c>
      <c r="B1270" t="s">
        <v>2271</v>
      </c>
      <c r="C1270" t="s">
        <v>2272</v>
      </c>
      <c r="D1270" t="s">
        <v>117</v>
      </c>
      <c r="E1270" s="4">
        <v>1</v>
      </c>
      <c r="F1270" t="s">
        <v>138</v>
      </c>
      <c r="G1270" t="s">
        <v>138</v>
      </c>
      <c r="H1270" s="3">
        <v>46154</v>
      </c>
      <c r="I1270" s="3">
        <v>46160</v>
      </c>
      <c r="J1270" t="s">
        <v>206</v>
      </c>
      <c r="K1270" s="3">
        <v>46170</v>
      </c>
      <c r="L1270" s="3">
        <v>46168</v>
      </c>
      <c r="M1270" s="3">
        <v>46160</v>
      </c>
      <c r="N1270" s="3">
        <v>46160</v>
      </c>
      <c r="O1270" t="s">
        <v>741</v>
      </c>
      <c r="P1270" t="s">
        <v>55</v>
      </c>
      <c r="Q1270" t="s">
        <v>2273</v>
      </c>
      <c r="S1270" t="s">
        <v>2251</v>
      </c>
      <c r="T1270" t="s">
        <v>2246</v>
      </c>
      <c r="U1270" t="s">
        <v>2274</v>
      </c>
      <c r="V1270" t="s">
        <v>122</v>
      </c>
      <c r="W1270">
        <v>13.4</v>
      </c>
      <c r="X1270" t="s">
        <v>57</v>
      </c>
      <c r="Z1270" t="s">
        <v>2251</v>
      </c>
      <c r="AA1270" t="s">
        <v>77</v>
      </c>
      <c r="AE1270">
        <v>1</v>
      </c>
      <c r="AF1270">
        <v>1</v>
      </c>
      <c r="AG1270">
        <v>1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1</v>
      </c>
    </row>
    <row r="1271" spans="1:42" x14ac:dyDescent="0.25">
      <c r="A1271">
        <v>1449</v>
      </c>
      <c r="B1271" t="s">
        <v>2275</v>
      </c>
      <c r="C1271" t="s">
        <v>2272</v>
      </c>
      <c r="D1271" t="s">
        <v>121</v>
      </c>
      <c r="E1271" s="4">
        <v>1</v>
      </c>
      <c r="F1271" t="s">
        <v>127</v>
      </c>
      <c r="G1271" t="s">
        <v>127</v>
      </c>
      <c r="H1271" s="3">
        <v>46160</v>
      </c>
      <c r="I1271" s="3">
        <v>46162</v>
      </c>
      <c r="J1271" t="s">
        <v>189</v>
      </c>
      <c r="K1271" s="3">
        <v>46174</v>
      </c>
      <c r="L1271" s="3">
        <v>46171</v>
      </c>
      <c r="M1271" s="3">
        <v>46162</v>
      </c>
      <c r="N1271" s="3">
        <v>46162</v>
      </c>
      <c r="O1271" t="s">
        <v>185</v>
      </c>
      <c r="P1271" t="s">
        <v>55</v>
      </c>
      <c r="Q1271">
        <v>1448</v>
      </c>
      <c r="S1271" t="s">
        <v>124</v>
      </c>
      <c r="T1271" t="s">
        <v>2246</v>
      </c>
      <c r="U1271">
        <v>1450</v>
      </c>
      <c r="V1271" t="s">
        <v>127</v>
      </c>
      <c r="W1271">
        <v>13.4</v>
      </c>
      <c r="X1271" t="s">
        <v>57</v>
      </c>
      <c r="Z1271" t="s">
        <v>124</v>
      </c>
      <c r="AA1271" t="s">
        <v>77</v>
      </c>
      <c r="AE1271">
        <v>1</v>
      </c>
      <c r="AF1271">
        <v>0</v>
      </c>
      <c r="AG1271">
        <v>0</v>
      </c>
      <c r="AH1271">
        <v>0</v>
      </c>
      <c r="AI1271">
        <v>0</v>
      </c>
      <c r="AJ1271">
        <v>1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</row>
    <row r="1272" spans="1:42" x14ac:dyDescent="0.25">
      <c r="A1272">
        <v>1450</v>
      </c>
      <c r="B1272" t="s">
        <v>2276</v>
      </c>
      <c r="C1272" t="s">
        <v>2272</v>
      </c>
      <c r="D1272" t="s">
        <v>126</v>
      </c>
      <c r="E1272" s="4">
        <v>1</v>
      </c>
      <c r="F1272" t="s">
        <v>122</v>
      </c>
      <c r="G1272" t="s">
        <v>122</v>
      </c>
      <c r="H1272" s="3">
        <v>46163</v>
      </c>
      <c r="I1272" s="3">
        <v>46167</v>
      </c>
      <c r="J1272" t="s">
        <v>472</v>
      </c>
      <c r="K1272" s="3">
        <v>46175</v>
      </c>
      <c r="L1272" s="3">
        <v>46175</v>
      </c>
      <c r="M1272" s="3">
        <v>46167</v>
      </c>
      <c r="N1272" s="3">
        <v>46167</v>
      </c>
      <c r="O1272" t="s">
        <v>491</v>
      </c>
      <c r="P1272" t="s">
        <v>55</v>
      </c>
      <c r="Q1272">
        <v>1449</v>
      </c>
      <c r="S1272" t="s">
        <v>2251</v>
      </c>
      <c r="T1272" t="s">
        <v>2246</v>
      </c>
      <c r="U1272">
        <v>1451</v>
      </c>
      <c r="V1272" t="s">
        <v>61</v>
      </c>
      <c r="W1272">
        <v>13.4</v>
      </c>
      <c r="X1272" t="s">
        <v>57</v>
      </c>
      <c r="Z1272" t="s">
        <v>2251</v>
      </c>
      <c r="AA1272" t="s">
        <v>460</v>
      </c>
      <c r="AE1272">
        <v>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1</v>
      </c>
      <c r="AM1272">
        <v>0</v>
      </c>
      <c r="AN1272">
        <v>0</v>
      </c>
      <c r="AO1272">
        <v>0</v>
      </c>
      <c r="AP1272">
        <v>0</v>
      </c>
    </row>
    <row r="1273" spans="1:42" x14ac:dyDescent="0.25">
      <c r="A1273">
        <v>1451</v>
      </c>
      <c r="B1273" t="s">
        <v>2277</v>
      </c>
      <c r="C1273" t="s">
        <v>2272</v>
      </c>
      <c r="D1273" t="s">
        <v>133</v>
      </c>
      <c r="E1273" s="4">
        <v>1</v>
      </c>
      <c r="F1273" t="s">
        <v>840</v>
      </c>
      <c r="G1273" t="s">
        <v>840</v>
      </c>
      <c r="H1273" s="3">
        <v>46167</v>
      </c>
      <c r="I1273" s="3">
        <v>46170</v>
      </c>
      <c r="J1273" t="s">
        <v>459</v>
      </c>
      <c r="K1273" s="3">
        <v>46176</v>
      </c>
      <c r="L1273" s="3">
        <v>46176</v>
      </c>
      <c r="M1273" s="3">
        <v>46170</v>
      </c>
      <c r="N1273" s="3">
        <v>46170</v>
      </c>
      <c r="O1273" t="s">
        <v>74</v>
      </c>
      <c r="P1273" t="s">
        <v>55</v>
      </c>
      <c r="Q1273">
        <v>1450</v>
      </c>
      <c r="S1273" t="s">
        <v>124</v>
      </c>
      <c r="T1273" t="s">
        <v>2246</v>
      </c>
      <c r="V1273" t="s">
        <v>61</v>
      </c>
      <c r="W1273">
        <v>13.4</v>
      </c>
      <c r="X1273" t="s">
        <v>57</v>
      </c>
      <c r="Z1273" t="s">
        <v>124</v>
      </c>
      <c r="AA1273" t="s">
        <v>460</v>
      </c>
      <c r="AE1273">
        <v>1</v>
      </c>
      <c r="AF1273">
        <v>0</v>
      </c>
      <c r="AG1273">
        <v>0</v>
      </c>
      <c r="AH1273">
        <v>0</v>
      </c>
      <c r="AI1273">
        <v>1</v>
      </c>
      <c r="AJ1273">
        <v>0</v>
      </c>
      <c r="AK1273">
        <v>0</v>
      </c>
      <c r="AL1273">
        <v>0</v>
      </c>
      <c r="AM1273">
        <v>0</v>
      </c>
      <c r="AN1273">
        <v>1</v>
      </c>
      <c r="AO1273">
        <v>0</v>
      </c>
      <c r="AP1273">
        <v>0</v>
      </c>
    </row>
    <row r="1274" spans="1:42" x14ac:dyDescent="0.25">
      <c r="A1274">
        <v>1452</v>
      </c>
      <c r="B1274" t="s">
        <v>2278</v>
      </c>
      <c r="C1274" t="s">
        <v>2246</v>
      </c>
      <c r="D1274" t="s">
        <v>2279</v>
      </c>
      <c r="E1274" s="4">
        <v>1</v>
      </c>
      <c r="F1274" t="s">
        <v>1780</v>
      </c>
      <c r="G1274" t="s">
        <v>1780</v>
      </c>
      <c r="H1274" s="3">
        <v>46161</v>
      </c>
      <c r="I1274" s="3">
        <v>46190</v>
      </c>
      <c r="J1274" t="s">
        <v>189</v>
      </c>
      <c r="K1274" s="3">
        <v>46183</v>
      </c>
      <c r="L1274" s="3">
        <v>46171</v>
      </c>
      <c r="M1274" s="3">
        <v>46190</v>
      </c>
      <c r="N1274" s="3">
        <v>46190</v>
      </c>
      <c r="O1274" t="s">
        <v>90</v>
      </c>
      <c r="P1274" t="s">
        <v>55</v>
      </c>
      <c r="T1274" t="s">
        <v>2246</v>
      </c>
      <c r="V1274" t="s">
        <v>175</v>
      </c>
      <c r="W1274">
        <v>23.52</v>
      </c>
      <c r="X1274" t="s">
        <v>57</v>
      </c>
      <c r="AA1274" t="s">
        <v>50</v>
      </c>
      <c r="AB1274" t="s">
        <v>94</v>
      </c>
      <c r="AE1274">
        <v>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</row>
    <row r="1275" spans="1:42" x14ac:dyDescent="0.25">
      <c r="A1275">
        <v>1453</v>
      </c>
      <c r="B1275" t="s">
        <v>2280</v>
      </c>
      <c r="C1275" t="s">
        <v>2281</v>
      </c>
      <c r="D1275" t="s">
        <v>117</v>
      </c>
      <c r="E1275" s="4">
        <v>1</v>
      </c>
      <c r="F1275" t="s">
        <v>127</v>
      </c>
      <c r="G1275" t="s">
        <v>127</v>
      </c>
      <c r="H1275" s="3">
        <v>46161</v>
      </c>
      <c r="I1275" s="3">
        <v>46162</v>
      </c>
      <c r="J1275" t="s">
        <v>189</v>
      </c>
      <c r="K1275" s="3">
        <v>46174</v>
      </c>
      <c r="L1275" s="3">
        <v>46171</v>
      </c>
      <c r="M1275" s="3">
        <v>46162</v>
      </c>
      <c r="N1275" s="3">
        <v>46162</v>
      </c>
      <c r="O1275" t="s">
        <v>90</v>
      </c>
      <c r="P1275" t="s">
        <v>55</v>
      </c>
      <c r="Q1275">
        <v>1448</v>
      </c>
      <c r="S1275" t="s">
        <v>2251</v>
      </c>
      <c r="T1275" t="s">
        <v>2246</v>
      </c>
      <c r="U1275" t="s">
        <v>2282</v>
      </c>
      <c r="V1275" t="s">
        <v>127</v>
      </c>
      <c r="W1275">
        <v>13.4</v>
      </c>
      <c r="X1275" t="s">
        <v>57</v>
      </c>
      <c r="Z1275" t="s">
        <v>2251</v>
      </c>
      <c r="AA1275" t="s">
        <v>77</v>
      </c>
      <c r="AE1275">
        <v>1</v>
      </c>
      <c r="AF1275">
        <v>1</v>
      </c>
      <c r="AG1275">
        <v>1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1</v>
      </c>
    </row>
    <row r="1276" spans="1:42" x14ac:dyDescent="0.25">
      <c r="A1276">
        <v>1454</v>
      </c>
      <c r="B1276" t="s">
        <v>2283</v>
      </c>
      <c r="C1276" t="s">
        <v>2281</v>
      </c>
      <c r="D1276" t="s">
        <v>121</v>
      </c>
      <c r="E1276" s="4">
        <v>1</v>
      </c>
      <c r="F1276" t="s">
        <v>61</v>
      </c>
      <c r="G1276" t="s">
        <v>61</v>
      </c>
      <c r="H1276" s="3">
        <v>46162</v>
      </c>
      <c r="I1276" s="3">
        <v>46163</v>
      </c>
      <c r="J1276" t="s">
        <v>472</v>
      </c>
      <c r="K1276" s="3">
        <v>46181</v>
      </c>
      <c r="L1276" s="3">
        <v>46175</v>
      </c>
      <c r="M1276" s="3">
        <v>46163</v>
      </c>
      <c r="N1276" s="3">
        <v>46163</v>
      </c>
      <c r="O1276" t="s">
        <v>200</v>
      </c>
      <c r="P1276" t="s">
        <v>55</v>
      </c>
      <c r="Q1276">
        <v>1453</v>
      </c>
      <c r="S1276" t="s">
        <v>124</v>
      </c>
      <c r="T1276" t="s">
        <v>2246</v>
      </c>
      <c r="U1276">
        <v>1455</v>
      </c>
      <c r="V1276" t="s">
        <v>122</v>
      </c>
      <c r="W1276">
        <v>13.4</v>
      </c>
      <c r="X1276" t="s">
        <v>57</v>
      </c>
      <c r="Z1276" t="s">
        <v>124</v>
      </c>
      <c r="AA1276" t="s">
        <v>460</v>
      </c>
      <c r="AE1276">
        <v>1</v>
      </c>
      <c r="AF1276">
        <v>0</v>
      </c>
      <c r="AG1276">
        <v>0</v>
      </c>
      <c r="AH1276">
        <v>0</v>
      </c>
      <c r="AI1276">
        <v>0</v>
      </c>
      <c r="AJ1276">
        <v>1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</row>
    <row r="1277" spans="1:42" x14ac:dyDescent="0.25">
      <c r="A1277">
        <v>1455</v>
      </c>
      <c r="B1277" t="s">
        <v>2284</v>
      </c>
      <c r="C1277" t="s">
        <v>2281</v>
      </c>
      <c r="D1277" t="s">
        <v>126</v>
      </c>
      <c r="E1277" s="4">
        <v>1</v>
      </c>
      <c r="F1277" t="s">
        <v>61</v>
      </c>
      <c r="G1277" t="s">
        <v>61</v>
      </c>
      <c r="H1277" s="3">
        <v>46163</v>
      </c>
      <c r="I1277" s="3">
        <v>46164</v>
      </c>
      <c r="J1277" t="s">
        <v>204</v>
      </c>
      <c r="K1277" s="3">
        <v>46182</v>
      </c>
      <c r="L1277" s="3">
        <v>46182</v>
      </c>
      <c r="M1277" s="3">
        <v>46164</v>
      </c>
      <c r="N1277" s="3">
        <v>46164</v>
      </c>
      <c r="O1277" t="s">
        <v>491</v>
      </c>
      <c r="P1277" t="s">
        <v>55</v>
      </c>
      <c r="Q1277">
        <v>1454</v>
      </c>
      <c r="S1277" t="s">
        <v>2251</v>
      </c>
      <c r="T1277" t="s">
        <v>2246</v>
      </c>
      <c r="U1277">
        <v>1456</v>
      </c>
      <c r="V1277" t="s">
        <v>61</v>
      </c>
      <c r="W1277">
        <v>13.4</v>
      </c>
      <c r="X1277" t="s">
        <v>57</v>
      </c>
      <c r="Z1277" t="s">
        <v>2251</v>
      </c>
      <c r="AA1277" t="s">
        <v>462</v>
      </c>
      <c r="AE1277">
        <v>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1</v>
      </c>
      <c r="AM1277">
        <v>0</v>
      </c>
      <c r="AN1277">
        <v>0</v>
      </c>
      <c r="AO1277">
        <v>0</v>
      </c>
      <c r="AP1277">
        <v>0</v>
      </c>
    </row>
    <row r="1278" spans="1:42" x14ac:dyDescent="0.25">
      <c r="A1278">
        <v>1456</v>
      </c>
      <c r="B1278" t="s">
        <v>2285</v>
      </c>
      <c r="C1278" t="s">
        <v>2281</v>
      </c>
      <c r="D1278" t="s">
        <v>133</v>
      </c>
      <c r="E1278" s="4">
        <v>1</v>
      </c>
      <c r="F1278" t="s">
        <v>295</v>
      </c>
      <c r="G1278" t="s">
        <v>295</v>
      </c>
      <c r="H1278" s="3">
        <v>46167</v>
      </c>
      <c r="I1278" s="3">
        <v>46190</v>
      </c>
      <c r="J1278" t="s">
        <v>592</v>
      </c>
      <c r="K1278" s="3">
        <v>46183</v>
      </c>
      <c r="L1278" s="3">
        <v>46183</v>
      </c>
      <c r="M1278" s="3">
        <v>46190</v>
      </c>
      <c r="N1278" s="3">
        <v>46190</v>
      </c>
      <c r="O1278" t="s">
        <v>74</v>
      </c>
      <c r="P1278" t="s">
        <v>55</v>
      </c>
      <c r="Q1278">
        <v>1455</v>
      </c>
      <c r="S1278" t="s">
        <v>124</v>
      </c>
      <c r="T1278" t="s">
        <v>2246</v>
      </c>
      <c r="V1278" t="s">
        <v>61</v>
      </c>
      <c r="W1278">
        <v>13.4</v>
      </c>
      <c r="X1278" t="s">
        <v>57</v>
      </c>
      <c r="Z1278" t="s">
        <v>124</v>
      </c>
      <c r="AA1278" t="s">
        <v>462</v>
      </c>
      <c r="AE1278">
        <v>1</v>
      </c>
      <c r="AF1278">
        <v>0</v>
      </c>
      <c r="AG1278">
        <v>0</v>
      </c>
      <c r="AH1278">
        <v>0</v>
      </c>
      <c r="AI1278">
        <v>1</v>
      </c>
      <c r="AJ1278">
        <v>0</v>
      </c>
      <c r="AK1278">
        <v>0</v>
      </c>
      <c r="AL1278">
        <v>0</v>
      </c>
      <c r="AM1278">
        <v>0</v>
      </c>
      <c r="AN1278">
        <v>1</v>
      </c>
      <c r="AO1278">
        <v>0</v>
      </c>
      <c r="AP1278">
        <v>0</v>
      </c>
    </row>
    <row r="1279" spans="1:42" x14ac:dyDescent="0.25">
      <c r="A1279">
        <v>1457</v>
      </c>
      <c r="B1279" t="s">
        <v>2286</v>
      </c>
      <c r="C1279" t="s">
        <v>2246</v>
      </c>
      <c r="D1279" t="s">
        <v>2287</v>
      </c>
      <c r="E1279" s="4">
        <v>1</v>
      </c>
      <c r="F1279" t="s">
        <v>187</v>
      </c>
      <c r="G1279" t="s">
        <v>187</v>
      </c>
      <c r="H1279" s="3">
        <v>46162</v>
      </c>
      <c r="I1279" s="3">
        <v>46190</v>
      </c>
      <c r="J1279" t="s">
        <v>200</v>
      </c>
      <c r="K1279" s="3">
        <v>46190</v>
      </c>
      <c r="L1279" s="3">
        <v>46162</v>
      </c>
      <c r="M1279" s="3">
        <v>46190</v>
      </c>
      <c r="N1279" s="3">
        <v>46190</v>
      </c>
      <c r="O1279" t="s">
        <v>200</v>
      </c>
      <c r="P1279" t="s">
        <v>55</v>
      </c>
      <c r="T1279" t="s">
        <v>2246</v>
      </c>
      <c r="V1279" t="s">
        <v>175</v>
      </c>
      <c r="W1279">
        <v>23.52</v>
      </c>
      <c r="X1279" t="s">
        <v>57</v>
      </c>
      <c r="AA1279" t="s">
        <v>50</v>
      </c>
      <c r="AB1279" t="s">
        <v>94</v>
      </c>
      <c r="AE1279">
        <v>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</row>
    <row r="1280" spans="1:42" x14ac:dyDescent="0.25">
      <c r="A1280">
        <v>1458</v>
      </c>
      <c r="B1280" t="s">
        <v>2288</v>
      </c>
      <c r="C1280" t="s">
        <v>2289</v>
      </c>
      <c r="D1280" t="s">
        <v>117</v>
      </c>
      <c r="E1280" s="4">
        <v>1</v>
      </c>
      <c r="F1280" t="s">
        <v>101</v>
      </c>
      <c r="G1280" t="s">
        <v>101</v>
      </c>
      <c r="H1280" s="3">
        <v>46162</v>
      </c>
      <c r="I1280" s="3">
        <v>46167</v>
      </c>
      <c r="J1280" t="s">
        <v>200</v>
      </c>
      <c r="K1280" s="3">
        <v>46167</v>
      </c>
      <c r="L1280" s="3">
        <v>46162</v>
      </c>
      <c r="M1280" s="3">
        <v>46167</v>
      </c>
      <c r="N1280" s="3">
        <v>46167</v>
      </c>
      <c r="O1280" t="s">
        <v>200</v>
      </c>
      <c r="P1280" t="s">
        <v>55</v>
      </c>
      <c r="Q1280">
        <v>1453</v>
      </c>
      <c r="S1280" t="s">
        <v>2251</v>
      </c>
      <c r="T1280" t="s">
        <v>2246</v>
      </c>
      <c r="U1280" t="s">
        <v>2290</v>
      </c>
      <c r="V1280" t="s">
        <v>127</v>
      </c>
      <c r="W1280">
        <v>13.4</v>
      </c>
      <c r="X1280" t="s">
        <v>57</v>
      </c>
      <c r="Z1280" t="s">
        <v>2251</v>
      </c>
      <c r="AA1280" t="s">
        <v>460</v>
      </c>
      <c r="AE1280">
        <v>1</v>
      </c>
      <c r="AF1280">
        <v>1</v>
      </c>
      <c r="AG1280">
        <v>1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1</v>
      </c>
    </row>
    <row r="1281" spans="1:42" x14ac:dyDescent="0.25">
      <c r="A1281">
        <v>1459</v>
      </c>
      <c r="B1281" t="s">
        <v>2291</v>
      </c>
      <c r="C1281" t="s">
        <v>2289</v>
      </c>
      <c r="D1281" t="s">
        <v>121</v>
      </c>
      <c r="E1281" s="4">
        <v>1</v>
      </c>
      <c r="F1281" t="s">
        <v>63</v>
      </c>
      <c r="G1281" t="s">
        <v>63</v>
      </c>
      <c r="H1281" s="3">
        <v>46167</v>
      </c>
      <c r="I1281" s="3">
        <v>46167</v>
      </c>
      <c r="J1281" t="s">
        <v>74</v>
      </c>
      <c r="K1281" s="3">
        <v>46167</v>
      </c>
      <c r="L1281" s="3">
        <v>46167</v>
      </c>
      <c r="M1281" s="3">
        <v>46167</v>
      </c>
      <c r="N1281" s="3">
        <v>46167</v>
      </c>
      <c r="O1281" t="s">
        <v>74</v>
      </c>
      <c r="P1281" t="s">
        <v>55</v>
      </c>
      <c r="Q1281">
        <v>1458</v>
      </c>
      <c r="S1281" t="s">
        <v>124</v>
      </c>
      <c r="T1281" t="s">
        <v>2246</v>
      </c>
      <c r="U1281">
        <v>1460</v>
      </c>
      <c r="V1281" t="s">
        <v>122</v>
      </c>
      <c r="W1281">
        <v>13.4</v>
      </c>
      <c r="X1281" t="s">
        <v>57</v>
      </c>
      <c r="Z1281" t="s">
        <v>124</v>
      </c>
      <c r="AA1281" t="s">
        <v>462</v>
      </c>
      <c r="AE1281">
        <v>1</v>
      </c>
      <c r="AF1281">
        <v>0</v>
      </c>
      <c r="AG1281">
        <v>0</v>
      </c>
      <c r="AH1281">
        <v>0</v>
      </c>
      <c r="AI1281">
        <v>0</v>
      </c>
      <c r="AJ1281">
        <v>1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</row>
    <row r="1282" spans="1:42" x14ac:dyDescent="0.25">
      <c r="A1282">
        <v>1460</v>
      </c>
      <c r="B1282" t="s">
        <v>2292</v>
      </c>
      <c r="C1282" t="s">
        <v>2289</v>
      </c>
      <c r="D1282" t="s">
        <v>126</v>
      </c>
      <c r="E1282" s="4">
        <v>1</v>
      </c>
      <c r="F1282" t="s">
        <v>61</v>
      </c>
      <c r="G1282" t="s">
        <v>61</v>
      </c>
      <c r="H1282" s="3">
        <v>46168</v>
      </c>
      <c r="I1282" s="3">
        <v>46168</v>
      </c>
      <c r="J1282" t="s">
        <v>206</v>
      </c>
      <c r="K1282" s="3">
        <v>46168</v>
      </c>
      <c r="L1282" s="3">
        <v>46168</v>
      </c>
      <c r="M1282" s="3">
        <v>46168</v>
      </c>
      <c r="N1282" s="3">
        <v>46168</v>
      </c>
      <c r="O1282" t="s">
        <v>206</v>
      </c>
      <c r="P1282" t="s">
        <v>55</v>
      </c>
      <c r="Q1282">
        <v>1459</v>
      </c>
      <c r="S1282" t="s">
        <v>2251</v>
      </c>
      <c r="T1282" t="s">
        <v>2246</v>
      </c>
      <c r="U1282">
        <v>1461</v>
      </c>
      <c r="V1282" t="s">
        <v>61</v>
      </c>
      <c r="W1282">
        <v>13.4</v>
      </c>
      <c r="X1282" t="s">
        <v>57</v>
      </c>
      <c r="Z1282" t="s">
        <v>2251</v>
      </c>
      <c r="AA1282" t="s">
        <v>462</v>
      </c>
      <c r="AE1282">
        <v>1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1</v>
      </c>
      <c r="AM1282">
        <v>0</v>
      </c>
      <c r="AN1282">
        <v>0</v>
      </c>
      <c r="AO1282">
        <v>0</v>
      </c>
      <c r="AP1282">
        <v>0</v>
      </c>
    </row>
    <row r="1283" spans="1:42" x14ac:dyDescent="0.25">
      <c r="A1283">
        <v>1461</v>
      </c>
      <c r="B1283" t="s">
        <v>2293</v>
      </c>
      <c r="C1283" t="s">
        <v>2289</v>
      </c>
      <c r="D1283" t="s">
        <v>133</v>
      </c>
      <c r="E1283" s="4">
        <v>1</v>
      </c>
      <c r="F1283" t="s">
        <v>365</v>
      </c>
      <c r="G1283" t="s">
        <v>365</v>
      </c>
      <c r="H1283" s="3">
        <v>46169</v>
      </c>
      <c r="I1283" s="3">
        <v>46190</v>
      </c>
      <c r="J1283" t="s">
        <v>97</v>
      </c>
      <c r="K1283" s="3">
        <v>46190</v>
      </c>
      <c r="L1283" s="3">
        <v>46169</v>
      </c>
      <c r="M1283" s="3">
        <v>46190</v>
      </c>
      <c r="N1283" s="3">
        <v>46190</v>
      </c>
      <c r="O1283" t="s">
        <v>97</v>
      </c>
      <c r="P1283" t="s">
        <v>55</v>
      </c>
      <c r="Q1283">
        <v>1460</v>
      </c>
      <c r="S1283" t="s">
        <v>124</v>
      </c>
      <c r="T1283" t="s">
        <v>2246</v>
      </c>
      <c r="V1283" t="s">
        <v>61</v>
      </c>
      <c r="W1283">
        <v>13.4</v>
      </c>
      <c r="X1283" t="s">
        <v>57</v>
      </c>
      <c r="Z1283" t="s">
        <v>124</v>
      </c>
      <c r="AA1283" t="s">
        <v>462</v>
      </c>
      <c r="AE1283">
        <v>1</v>
      </c>
      <c r="AF1283">
        <v>0</v>
      </c>
      <c r="AG1283">
        <v>0</v>
      </c>
      <c r="AH1283">
        <v>0</v>
      </c>
      <c r="AI1283">
        <v>1</v>
      </c>
      <c r="AJ1283">
        <v>0</v>
      </c>
      <c r="AK1283">
        <v>0</v>
      </c>
      <c r="AL1283">
        <v>0</v>
      </c>
      <c r="AM1283">
        <v>0</v>
      </c>
      <c r="AN1283">
        <v>1</v>
      </c>
      <c r="AO1283">
        <v>0</v>
      </c>
      <c r="AP1283">
        <v>0</v>
      </c>
    </row>
    <row r="1284" spans="1:42" x14ac:dyDescent="0.25">
      <c r="A1284">
        <v>1467</v>
      </c>
      <c r="B1284" t="s">
        <v>2294</v>
      </c>
      <c r="C1284" t="s">
        <v>2246</v>
      </c>
      <c r="D1284" t="s">
        <v>2295</v>
      </c>
      <c r="E1284" s="4">
        <v>1</v>
      </c>
      <c r="F1284" t="s">
        <v>101</v>
      </c>
      <c r="G1284" t="s">
        <v>101</v>
      </c>
      <c r="H1284" s="3">
        <v>46195</v>
      </c>
      <c r="I1284" s="3">
        <v>46198</v>
      </c>
      <c r="J1284" t="s">
        <v>576</v>
      </c>
      <c r="K1284" s="3">
        <v>46198</v>
      </c>
      <c r="L1284" s="3">
        <v>46189</v>
      </c>
      <c r="M1284" s="3">
        <v>46198</v>
      </c>
      <c r="N1284" s="3">
        <v>46198</v>
      </c>
      <c r="O1284" t="s">
        <v>219</v>
      </c>
      <c r="P1284" t="s">
        <v>55</v>
      </c>
      <c r="T1284" t="s">
        <v>2246</v>
      </c>
      <c r="V1284" t="s">
        <v>210</v>
      </c>
      <c r="W1284">
        <v>35.04</v>
      </c>
      <c r="X1284" t="s">
        <v>57</v>
      </c>
      <c r="AA1284" t="s">
        <v>50</v>
      </c>
      <c r="AE1284">
        <v>1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</row>
    <row r="1285" spans="1:42" x14ac:dyDescent="0.25">
      <c r="A1285">
        <v>1468</v>
      </c>
      <c r="B1285" t="s">
        <v>2296</v>
      </c>
      <c r="C1285" t="s">
        <v>2297</v>
      </c>
      <c r="D1285" t="s">
        <v>117</v>
      </c>
      <c r="E1285" s="4">
        <v>1</v>
      </c>
      <c r="F1285" t="s">
        <v>61</v>
      </c>
      <c r="G1285" t="s">
        <v>61</v>
      </c>
      <c r="H1285" s="3">
        <v>46195</v>
      </c>
      <c r="I1285" s="3">
        <v>46195</v>
      </c>
      <c r="J1285" t="s">
        <v>576</v>
      </c>
      <c r="K1285" s="3">
        <v>46191</v>
      </c>
      <c r="L1285" s="3">
        <v>46189</v>
      </c>
      <c r="M1285" s="3">
        <v>46195</v>
      </c>
      <c r="N1285" s="3">
        <v>46195</v>
      </c>
      <c r="O1285" t="s">
        <v>219</v>
      </c>
      <c r="P1285" t="s">
        <v>55</v>
      </c>
      <c r="Q1285" t="s">
        <v>2298</v>
      </c>
      <c r="S1285" t="s">
        <v>2251</v>
      </c>
      <c r="T1285" t="s">
        <v>2246</v>
      </c>
      <c r="U1285">
        <v>1469</v>
      </c>
      <c r="V1285" t="s">
        <v>122</v>
      </c>
      <c r="W1285">
        <v>13.4</v>
      </c>
      <c r="X1285" t="s">
        <v>57</v>
      </c>
      <c r="Z1285" t="s">
        <v>2251</v>
      </c>
      <c r="AA1285" t="s">
        <v>217</v>
      </c>
      <c r="AE1285">
        <v>1</v>
      </c>
      <c r="AF1285">
        <v>1</v>
      </c>
      <c r="AG1285">
        <v>1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1</v>
      </c>
    </row>
    <row r="1286" spans="1:42" x14ac:dyDescent="0.25">
      <c r="A1286">
        <v>1469</v>
      </c>
      <c r="B1286" t="s">
        <v>2299</v>
      </c>
      <c r="C1286" t="s">
        <v>2297</v>
      </c>
      <c r="D1286" t="s">
        <v>121</v>
      </c>
      <c r="E1286" s="4">
        <v>1</v>
      </c>
      <c r="F1286" t="s">
        <v>61</v>
      </c>
      <c r="G1286" t="s">
        <v>61</v>
      </c>
      <c r="H1286" s="3">
        <v>46196</v>
      </c>
      <c r="I1286" s="3">
        <v>46196</v>
      </c>
      <c r="J1286" t="s">
        <v>211</v>
      </c>
      <c r="K1286" s="3">
        <v>46196</v>
      </c>
      <c r="L1286" s="3">
        <v>46192</v>
      </c>
      <c r="M1286" s="3">
        <v>46196</v>
      </c>
      <c r="N1286" s="3">
        <v>46196</v>
      </c>
      <c r="O1286" t="s">
        <v>212</v>
      </c>
      <c r="P1286" t="s">
        <v>55</v>
      </c>
      <c r="Q1286">
        <v>1468</v>
      </c>
      <c r="S1286" t="s">
        <v>124</v>
      </c>
      <c r="T1286" t="s">
        <v>2246</v>
      </c>
      <c r="U1286">
        <v>1470</v>
      </c>
      <c r="V1286" t="s">
        <v>122</v>
      </c>
      <c r="W1286">
        <v>13.4</v>
      </c>
      <c r="X1286" t="s">
        <v>57</v>
      </c>
      <c r="Z1286" t="s">
        <v>124</v>
      </c>
      <c r="AA1286" t="s">
        <v>217</v>
      </c>
      <c r="AE1286">
        <v>1</v>
      </c>
      <c r="AF1286">
        <v>0</v>
      </c>
      <c r="AG1286">
        <v>0</v>
      </c>
      <c r="AH1286">
        <v>0</v>
      </c>
      <c r="AI1286">
        <v>0</v>
      </c>
      <c r="AJ1286">
        <v>1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</row>
    <row r="1287" spans="1:42" x14ac:dyDescent="0.25">
      <c r="A1287">
        <v>1470</v>
      </c>
      <c r="B1287" t="s">
        <v>2300</v>
      </c>
      <c r="C1287" t="s">
        <v>2297</v>
      </c>
      <c r="D1287" t="s">
        <v>126</v>
      </c>
      <c r="E1287" s="4">
        <v>1</v>
      </c>
      <c r="F1287" t="s">
        <v>61</v>
      </c>
      <c r="G1287" t="s">
        <v>61</v>
      </c>
      <c r="H1287" s="3">
        <v>46197</v>
      </c>
      <c r="I1287" s="3">
        <v>46197</v>
      </c>
      <c r="J1287" t="s">
        <v>207</v>
      </c>
      <c r="K1287" s="3">
        <v>46197</v>
      </c>
      <c r="L1287" s="3">
        <v>46197</v>
      </c>
      <c r="M1287" s="3">
        <v>46197</v>
      </c>
      <c r="N1287" s="3">
        <v>46197</v>
      </c>
      <c r="O1287" t="s">
        <v>207</v>
      </c>
      <c r="P1287" t="s">
        <v>55</v>
      </c>
      <c r="Q1287">
        <v>1469</v>
      </c>
      <c r="S1287" t="s">
        <v>2251</v>
      </c>
      <c r="T1287" t="s">
        <v>2246</v>
      </c>
      <c r="U1287">
        <v>1471</v>
      </c>
      <c r="V1287" t="s">
        <v>61</v>
      </c>
      <c r="W1287">
        <v>13.4</v>
      </c>
      <c r="X1287" t="s">
        <v>57</v>
      </c>
      <c r="Z1287" t="s">
        <v>2251</v>
      </c>
      <c r="AA1287" t="s">
        <v>131</v>
      </c>
      <c r="AE1287">
        <v>1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1</v>
      </c>
      <c r="AM1287">
        <v>0</v>
      </c>
      <c r="AN1287">
        <v>0</v>
      </c>
      <c r="AO1287">
        <v>0</v>
      </c>
      <c r="AP1287">
        <v>0</v>
      </c>
    </row>
    <row r="1288" spans="1:42" x14ac:dyDescent="0.25">
      <c r="A1288">
        <v>1471</v>
      </c>
      <c r="B1288" t="s">
        <v>2301</v>
      </c>
      <c r="C1288" t="s">
        <v>2297</v>
      </c>
      <c r="D1288" t="s">
        <v>133</v>
      </c>
      <c r="E1288" s="4">
        <v>1</v>
      </c>
      <c r="F1288" t="s">
        <v>61</v>
      </c>
      <c r="G1288" t="s">
        <v>61</v>
      </c>
      <c r="H1288" s="3">
        <v>46198</v>
      </c>
      <c r="I1288" s="3">
        <v>46198</v>
      </c>
      <c r="J1288" t="s">
        <v>128</v>
      </c>
      <c r="K1288" s="3">
        <v>46198</v>
      </c>
      <c r="L1288" s="3">
        <v>46198</v>
      </c>
      <c r="M1288" s="3">
        <v>46198</v>
      </c>
      <c r="N1288" s="3">
        <v>46198</v>
      </c>
      <c r="O1288" t="s">
        <v>128</v>
      </c>
      <c r="P1288" t="s">
        <v>55</v>
      </c>
      <c r="Q1288">
        <v>1470</v>
      </c>
      <c r="S1288" t="s">
        <v>124</v>
      </c>
      <c r="T1288" t="s">
        <v>2246</v>
      </c>
      <c r="V1288" t="s">
        <v>61</v>
      </c>
      <c r="W1288">
        <v>13.4</v>
      </c>
      <c r="X1288" t="s">
        <v>57</v>
      </c>
      <c r="Z1288" t="s">
        <v>124</v>
      </c>
      <c r="AA1288" t="s">
        <v>131</v>
      </c>
      <c r="AE1288">
        <v>1</v>
      </c>
      <c r="AF1288">
        <v>0</v>
      </c>
      <c r="AG1288">
        <v>0</v>
      </c>
      <c r="AH1288">
        <v>0</v>
      </c>
      <c r="AI1288">
        <v>1</v>
      </c>
      <c r="AJ1288">
        <v>0</v>
      </c>
      <c r="AK1288">
        <v>0</v>
      </c>
      <c r="AL1288">
        <v>0</v>
      </c>
      <c r="AM1288">
        <v>0</v>
      </c>
      <c r="AN1288">
        <v>1</v>
      </c>
      <c r="AO1288">
        <v>0</v>
      </c>
      <c r="AP1288">
        <v>0</v>
      </c>
    </row>
    <row r="1289" spans="1:42" x14ac:dyDescent="0.25">
      <c r="A1289">
        <v>1477</v>
      </c>
      <c r="B1289" t="s">
        <v>2302</v>
      </c>
      <c r="C1289" t="s">
        <v>2246</v>
      </c>
      <c r="D1289" t="s">
        <v>2303</v>
      </c>
      <c r="E1289" s="4">
        <v>1</v>
      </c>
      <c r="F1289" t="s">
        <v>138</v>
      </c>
      <c r="G1289" t="s">
        <v>138</v>
      </c>
      <c r="H1289" s="3">
        <v>46188</v>
      </c>
      <c r="I1289" s="3">
        <v>46192</v>
      </c>
      <c r="J1289" t="s">
        <v>576</v>
      </c>
      <c r="K1289" s="3">
        <v>46198</v>
      </c>
      <c r="L1289" s="3">
        <v>46189</v>
      </c>
      <c r="M1289" s="3">
        <v>46192</v>
      </c>
      <c r="N1289" s="3">
        <v>46192</v>
      </c>
      <c r="O1289" t="s">
        <v>595</v>
      </c>
      <c r="P1289" t="s">
        <v>55</v>
      </c>
      <c r="T1289" t="s">
        <v>2246</v>
      </c>
      <c r="V1289" t="s">
        <v>210</v>
      </c>
      <c r="W1289">
        <v>29.28</v>
      </c>
      <c r="X1289" t="s">
        <v>57</v>
      </c>
      <c r="AA1289" t="s">
        <v>50</v>
      </c>
      <c r="AE1289">
        <v>1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</row>
    <row r="1290" spans="1:42" x14ac:dyDescent="0.25">
      <c r="A1290">
        <v>1478</v>
      </c>
      <c r="B1290" t="s">
        <v>2304</v>
      </c>
      <c r="C1290" t="s">
        <v>2305</v>
      </c>
      <c r="D1290" t="s">
        <v>117</v>
      </c>
      <c r="E1290" s="4">
        <v>1</v>
      </c>
      <c r="F1290" t="s">
        <v>61</v>
      </c>
      <c r="G1290" t="s">
        <v>61</v>
      </c>
      <c r="H1290" s="3">
        <v>46188</v>
      </c>
      <c r="I1290" s="3">
        <v>46188</v>
      </c>
      <c r="J1290" t="s">
        <v>576</v>
      </c>
      <c r="K1290" s="3">
        <v>46191</v>
      </c>
      <c r="L1290" s="3">
        <v>46189</v>
      </c>
      <c r="M1290" s="3">
        <v>46188</v>
      </c>
      <c r="N1290" s="3">
        <v>46188</v>
      </c>
      <c r="O1290" t="s">
        <v>595</v>
      </c>
      <c r="P1290" t="s">
        <v>55</v>
      </c>
      <c r="Q1290" t="s">
        <v>2298</v>
      </c>
      <c r="S1290" t="s">
        <v>2306</v>
      </c>
      <c r="T1290" t="s">
        <v>2246</v>
      </c>
      <c r="U1290">
        <v>1479</v>
      </c>
      <c r="V1290" t="s">
        <v>122</v>
      </c>
      <c r="W1290">
        <v>13.4</v>
      </c>
      <c r="X1290" t="s">
        <v>57</v>
      </c>
      <c r="Z1290" t="s">
        <v>2306</v>
      </c>
      <c r="AA1290" t="s">
        <v>217</v>
      </c>
      <c r="AE1290">
        <v>1</v>
      </c>
      <c r="AF1290">
        <v>1</v>
      </c>
      <c r="AG1290">
        <v>1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1</v>
      </c>
    </row>
    <row r="1291" spans="1:42" x14ac:dyDescent="0.25">
      <c r="A1291">
        <v>1479</v>
      </c>
      <c r="B1291" t="s">
        <v>2307</v>
      </c>
      <c r="C1291" t="s">
        <v>2305</v>
      </c>
      <c r="D1291" t="s">
        <v>121</v>
      </c>
      <c r="E1291" s="4">
        <v>1</v>
      </c>
      <c r="F1291" t="s">
        <v>122</v>
      </c>
      <c r="G1291" t="s">
        <v>122</v>
      </c>
      <c r="H1291" s="3">
        <v>46189</v>
      </c>
      <c r="I1291" s="3">
        <v>46191</v>
      </c>
      <c r="J1291" t="s">
        <v>211</v>
      </c>
      <c r="K1291" s="3">
        <v>46196</v>
      </c>
      <c r="L1291" s="3">
        <v>46192</v>
      </c>
      <c r="M1291" s="3">
        <v>46191</v>
      </c>
      <c r="N1291" s="3">
        <v>46191</v>
      </c>
      <c r="O1291" t="s">
        <v>576</v>
      </c>
      <c r="P1291" t="s">
        <v>55</v>
      </c>
      <c r="Q1291">
        <v>1478</v>
      </c>
      <c r="S1291" t="s">
        <v>124</v>
      </c>
      <c r="T1291" t="s">
        <v>2246</v>
      </c>
      <c r="U1291">
        <v>1480</v>
      </c>
      <c r="V1291" t="s">
        <v>122</v>
      </c>
      <c r="W1291">
        <v>13.4</v>
      </c>
      <c r="X1291" t="s">
        <v>57</v>
      </c>
      <c r="Z1291" t="s">
        <v>124</v>
      </c>
      <c r="AA1291" t="s">
        <v>217</v>
      </c>
      <c r="AE1291">
        <v>1</v>
      </c>
      <c r="AF1291">
        <v>0</v>
      </c>
      <c r="AG1291">
        <v>0</v>
      </c>
      <c r="AH1291">
        <v>0</v>
      </c>
      <c r="AI1291">
        <v>0</v>
      </c>
      <c r="AJ1291">
        <v>1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</row>
    <row r="1292" spans="1:42" x14ac:dyDescent="0.25">
      <c r="A1292">
        <v>1480</v>
      </c>
      <c r="B1292" t="s">
        <v>2308</v>
      </c>
      <c r="C1292" t="s">
        <v>2305</v>
      </c>
      <c r="D1292" t="s">
        <v>126</v>
      </c>
      <c r="E1292" s="4">
        <v>1</v>
      </c>
      <c r="F1292" t="s">
        <v>61</v>
      </c>
      <c r="G1292" t="s">
        <v>61</v>
      </c>
      <c r="H1292" s="3">
        <v>46192</v>
      </c>
      <c r="I1292" s="3">
        <v>46192</v>
      </c>
      <c r="J1292" t="s">
        <v>207</v>
      </c>
      <c r="K1292" s="3">
        <v>46197</v>
      </c>
      <c r="L1292" s="3">
        <v>46197</v>
      </c>
      <c r="M1292" s="3">
        <v>46192</v>
      </c>
      <c r="N1292" s="3">
        <v>46192</v>
      </c>
      <c r="O1292" t="s">
        <v>211</v>
      </c>
      <c r="P1292" t="s">
        <v>55</v>
      </c>
      <c r="Q1292">
        <v>1479</v>
      </c>
      <c r="S1292" t="s">
        <v>2306</v>
      </c>
      <c r="T1292" t="s">
        <v>2246</v>
      </c>
      <c r="U1292">
        <v>1481</v>
      </c>
      <c r="V1292" t="s">
        <v>61</v>
      </c>
      <c r="W1292">
        <v>13.4</v>
      </c>
      <c r="X1292" t="s">
        <v>57</v>
      </c>
      <c r="Z1292" t="s">
        <v>2306</v>
      </c>
      <c r="AA1292" t="s">
        <v>131</v>
      </c>
      <c r="AE1292">
        <v>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1</v>
      </c>
      <c r="AM1292">
        <v>0</v>
      </c>
      <c r="AN1292">
        <v>0</v>
      </c>
      <c r="AO1292">
        <v>0</v>
      </c>
      <c r="AP1292">
        <v>0</v>
      </c>
    </row>
    <row r="1293" spans="1:42" x14ac:dyDescent="0.25">
      <c r="A1293">
        <v>1481</v>
      </c>
      <c r="B1293" t="s">
        <v>2309</v>
      </c>
      <c r="C1293" t="s">
        <v>2305</v>
      </c>
      <c r="D1293" t="s">
        <v>133</v>
      </c>
      <c r="E1293" s="4">
        <v>1</v>
      </c>
      <c r="F1293" t="s">
        <v>63</v>
      </c>
      <c r="G1293" t="s">
        <v>63</v>
      </c>
      <c r="H1293" s="3">
        <v>46190</v>
      </c>
      <c r="I1293" s="3">
        <v>46190</v>
      </c>
      <c r="J1293" t="s">
        <v>128</v>
      </c>
      <c r="K1293" s="3">
        <v>46198</v>
      </c>
      <c r="L1293" s="3">
        <v>46198</v>
      </c>
      <c r="M1293" s="3">
        <v>46190</v>
      </c>
      <c r="N1293" s="3">
        <v>46190</v>
      </c>
      <c r="O1293" t="s">
        <v>75</v>
      </c>
      <c r="P1293" t="s">
        <v>55</v>
      </c>
      <c r="Q1293">
        <v>1480</v>
      </c>
      <c r="S1293" t="s">
        <v>124</v>
      </c>
      <c r="T1293" t="s">
        <v>2246</v>
      </c>
      <c r="V1293" t="s">
        <v>61</v>
      </c>
      <c r="W1293">
        <v>13.4</v>
      </c>
      <c r="X1293" t="s">
        <v>57</v>
      </c>
      <c r="Z1293" t="s">
        <v>124</v>
      </c>
      <c r="AA1293" t="s">
        <v>131</v>
      </c>
      <c r="AE1293">
        <v>1</v>
      </c>
      <c r="AF1293">
        <v>0</v>
      </c>
      <c r="AG1293">
        <v>0</v>
      </c>
      <c r="AH1293">
        <v>0</v>
      </c>
      <c r="AI1293">
        <v>1</v>
      </c>
      <c r="AJ1293">
        <v>0</v>
      </c>
      <c r="AK1293">
        <v>0</v>
      </c>
      <c r="AL1293">
        <v>0</v>
      </c>
      <c r="AM1293">
        <v>0</v>
      </c>
      <c r="AN1293">
        <v>1</v>
      </c>
      <c r="AO1293">
        <v>0</v>
      </c>
      <c r="AP1293">
        <v>0</v>
      </c>
    </row>
    <row r="1294" spans="1:42" x14ac:dyDescent="0.25">
      <c r="A1294">
        <v>1482</v>
      </c>
      <c r="B1294" t="s">
        <v>2310</v>
      </c>
      <c r="C1294" t="s">
        <v>2246</v>
      </c>
      <c r="D1294" t="s">
        <v>2311</v>
      </c>
      <c r="E1294" s="4">
        <v>1</v>
      </c>
      <c r="F1294" t="s">
        <v>295</v>
      </c>
      <c r="G1294" t="s">
        <v>295</v>
      </c>
      <c r="H1294" s="3">
        <v>46134</v>
      </c>
      <c r="I1294" s="3">
        <v>46156</v>
      </c>
      <c r="J1294" t="s">
        <v>337</v>
      </c>
      <c r="K1294" s="3">
        <v>46142</v>
      </c>
      <c r="L1294" s="3">
        <v>46134</v>
      </c>
      <c r="M1294" s="3">
        <v>46156</v>
      </c>
      <c r="N1294" s="3">
        <v>46156</v>
      </c>
      <c r="O1294" t="s">
        <v>337</v>
      </c>
      <c r="P1294" t="s">
        <v>55</v>
      </c>
      <c r="T1294" t="s">
        <v>2246</v>
      </c>
      <c r="U1294">
        <v>1448</v>
      </c>
      <c r="V1294" t="s">
        <v>175</v>
      </c>
      <c r="W1294">
        <v>14.88</v>
      </c>
      <c r="X1294" t="s">
        <v>57</v>
      </c>
      <c r="AA1294" t="s">
        <v>50</v>
      </c>
      <c r="AE1294">
        <v>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</row>
    <row r="1295" spans="1:42" x14ac:dyDescent="0.25">
      <c r="A1295">
        <v>1483</v>
      </c>
      <c r="B1295" t="s">
        <v>2312</v>
      </c>
      <c r="C1295" t="s">
        <v>2313</v>
      </c>
      <c r="D1295" t="s">
        <v>117</v>
      </c>
      <c r="E1295" s="4">
        <v>1</v>
      </c>
      <c r="F1295" t="s">
        <v>127</v>
      </c>
      <c r="G1295" t="s">
        <v>127</v>
      </c>
      <c r="H1295" s="3">
        <v>46134</v>
      </c>
      <c r="I1295" s="3">
        <v>46135</v>
      </c>
      <c r="J1295" t="s">
        <v>337</v>
      </c>
      <c r="K1295" s="3">
        <v>46135</v>
      </c>
      <c r="L1295" s="3">
        <v>46134</v>
      </c>
      <c r="M1295" s="3">
        <v>46135</v>
      </c>
      <c r="N1295" s="3">
        <v>46135</v>
      </c>
      <c r="O1295" t="s">
        <v>337</v>
      </c>
      <c r="P1295" t="s">
        <v>55</v>
      </c>
      <c r="Q1295">
        <v>102</v>
      </c>
      <c r="S1295" t="s">
        <v>2306</v>
      </c>
      <c r="T1295" t="s">
        <v>2246</v>
      </c>
      <c r="U1295" t="s">
        <v>2314</v>
      </c>
      <c r="V1295" t="s">
        <v>127</v>
      </c>
      <c r="W1295">
        <v>13.4</v>
      </c>
      <c r="X1295" t="s">
        <v>57</v>
      </c>
      <c r="Z1295" t="s">
        <v>2306</v>
      </c>
      <c r="AA1295" t="s">
        <v>71</v>
      </c>
      <c r="AE1295">
        <v>1</v>
      </c>
      <c r="AF1295">
        <v>1</v>
      </c>
      <c r="AG1295">
        <v>1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1</v>
      </c>
    </row>
    <row r="1296" spans="1:42" x14ac:dyDescent="0.25">
      <c r="A1296">
        <v>1484</v>
      </c>
      <c r="B1296" t="s">
        <v>2315</v>
      </c>
      <c r="C1296" t="s">
        <v>2313</v>
      </c>
      <c r="D1296" t="s">
        <v>121</v>
      </c>
      <c r="E1296" s="4">
        <v>1</v>
      </c>
      <c r="F1296" t="s">
        <v>122</v>
      </c>
      <c r="G1296" t="s">
        <v>122</v>
      </c>
      <c r="H1296" s="3">
        <v>46136</v>
      </c>
      <c r="I1296" s="3">
        <v>46140</v>
      </c>
      <c r="J1296" t="s">
        <v>67</v>
      </c>
      <c r="K1296" s="3">
        <v>46140</v>
      </c>
      <c r="L1296" s="3">
        <v>46136</v>
      </c>
      <c r="M1296" s="3">
        <v>46140</v>
      </c>
      <c r="N1296" s="3">
        <v>46140</v>
      </c>
      <c r="O1296" t="s">
        <v>67</v>
      </c>
      <c r="P1296" t="s">
        <v>55</v>
      </c>
      <c r="Q1296">
        <v>1483</v>
      </c>
      <c r="S1296" t="s">
        <v>124</v>
      </c>
      <c r="T1296" t="s">
        <v>2246</v>
      </c>
      <c r="U1296">
        <v>1485</v>
      </c>
      <c r="V1296" t="s">
        <v>122</v>
      </c>
      <c r="W1296">
        <v>13.4</v>
      </c>
      <c r="X1296" t="s">
        <v>57</v>
      </c>
      <c r="Z1296" t="s">
        <v>124</v>
      </c>
      <c r="AA1296" t="s">
        <v>71</v>
      </c>
      <c r="AE1296">
        <v>1</v>
      </c>
      <c r="AF1296">
        <v>0</v>
      </c>
      <c r="AG1296">
        <v>0</v>
      </c>
      <c r="AH1296">
        <v>0</v>
      </c>
      <c r="AI1296">
        <v>0</v>
      </c>
      <c r="AJ1296">
        <v>1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</row>
    <row r="1297" spans="1:42" x14ac:dyDescent="0.25">
      <c r="A1297">
        <v>1485</v>
      </c>
      <c r="B1297" t="s">
        <v>2316</v>
      </c>
      <c r="C1297" t="s">
        <v>2313</v>
      </c>
      <c r="D1297" t="s">
        <v>126</v>
      </c>
      <c r="E1297" s="4">
        <v>1</v>
      </c>
      <c r="F1297" t="s">
        <v>203</v>
      </c>
      <c r="G1297" t="s">
        <v>203</v>
      </c>
      <c r="H1297" s="3">
        <v>46141</v>
      </c>
      <c r="I1297" s="3">
        <v>46156</v>
      </c>
      <c r="J1297" t="s">
        <v>415</v>
      </c>
      <c r="K1297" s="3">
        <v>46141</v>
      </c>
      <c r="L1297" s="3">
        <v>46141</v>
      </c>
      <c r="M1297" s="3">
        <v>46156</v>
      </c>
      <c r="N1297" s="3">
        <v>46156</v>
      </c>
      <c r="O1297" t="s">
        <v>415</v>
      </c>
      <c r="P1297" t="s">
        <v>55</v>
      </c>
      <c r="Q1297">
        <v>1484</v>
      </c>
      <c r="S1297" t="s">
        <v>2306</v>
      </c>
      <c r="T1297" t="s">
        <v>2246</v>
      </c>
      <c r="U1297">
        <v>1486</v>
      </c>
      <c r="V1297" t="s">
        <v>61</v>
      </c>
      <c r="W1297">
        <v>13.4</v>
      </c>
      <c r="X1297" t="s">
        <v>57</v>
      </c>
      <c r="Z1297" t="s">
        <v>2306</v>
      </c>
      <c r="AA1297" t="s">
        <v>71</v>
      </c>
      <c r="AE1297">
        <v>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1</v>
      </c>
      <c r="AM1297">
        <v>0</v>
      </c>
      <c r="AN1297">
        <v>0</v>
      </c>
      <c r="AO1297">
        <v>0</v>
      </c>
      <c r="AP1297">
        <v>0</v>
      </c>
    </row>
    <row r="1298" spans="1:42" x14ac:dyDescent="0.25">
      <c r="A1298">
        <v>1486</v>
      </c>
      <c r="B1298" t="s">
        <v>2317</v>
      </c>
      <c r="C1298" t="s">
        <v>2313</v>
      </c>
      <c r="D1298" t="s">
        <v>133</v>
      </c>
      <c r="E1298" s="4">
        <v>1</v>
      </c>
      <c r="F1298" t="s">
        <v>63</v>
      </c>
      <c r="G1298" t="s">
        <v>63</v>
      </c>
      <c r="H1298" s="3">
        <v>46141</v>
      </c>
      <c r="I1298" s="3">
        <v>46156</v>
      </c>
      <c r="J1298" t="s">
        <v>527</v>
      </c>
      <c r="K1298" s="3">
        <v>46142</v>
      </c>
      <c r="L1298" s="3">
        <v>46142</v>
      </c>
      <c r="M1298" s="3">
        <v>46156</v>
      </c>
      <c r="N1298" s="3">
        <v>46156</v>
      </c>
      <c r="O1298" t="s">
        <v>415</v>
      </c>
      <c r="P1298" t="s">
        <v>55</v>
      </c>
      <c r="Q1298">
        <v>1485</v>
      </c>
      <c r="S1298" t="s">
        <v>124</v>
      </c>
      <c r="T1298" t="s">
        <v>2246</v>
      </c>
      <c r="V1298" t="s">
        <v>61</v>
      </c>
      <c r="W1298">
        <v>13.4</v>
      </c>
      <c r="X1298" t="s">
        <v>57</v>
      </c>
      <c r="Z1298" t="s">
        <v>124</v>
      </c>
      <c r="AA1298" t="s">
        <v>71</v>
      </c>
      <c r="AE1298">
        <v>1</v>
      </c>
      <c r="AF1298">
        <v>0</v>
      </c>
      <c r="AG1298">
        <v>0</v>
      </c>
      <c r="AH1298">
        <v>0</v>
      </c>
      <c r="AI1298">
        <v>1</v>
      </c>
      <c r="AJ1298">
        <v>0</v>
      </c>
      <c r="AK1298">
        <v>0</v>
      </c>
      <c r="AL1298">
        <v>0</v>
      </c>
      <c r="AM1298">
        <v>0</v>
      </c>
      <c r="AN1298">
        <v>1</v>
      </c>
      <c r="AO1298">
        <v>0</v>
      </c>
      <c r="AP1298">
        <v>0</v>
      </c>
    </row>
    <row r="1299" spans="1:42" x14ac:dyDescent="0.25">
      <c r="A1299">
        <v>1487</v>
      </c>
      <c r="B1299" t="s">
        <v>2318</v>
      </c>
      <c r="C1299" t="s">
        <v>2246</v>
      </c>
      <c r="D1299" t="s">
        <v>2319</v>
      </c>
      <c r="E1299" s="4">
        <v>1</v>
      </c>
      <c r="F1299" t="s">
        <v>203</v>
      </c>
      <c r="G1299" t="s">
        <v>203</v>
      </c>
      <c r="H1299" s="3">
        <v>46150</v>
      </c>
      <c r="I1299" s="3">
        <v>46164</v>
      </c>
      <c r="J1299" t="s">
        <v>67</v>
      </c>
      <c r="K1299" s="3">
        <v>46147</v>
      </c>
      <c r="L1299" s="3">
        <v>46136</v>
      </c>
      <c r="M1299" s="3">
        <v>46164</v>
      </c>
      <c r="N1299" s="3">
        <v>46164</v>
      </c>
      <c r="O1299" t="s">
        <v>403</v>
      </c>
      <c r="P1299" t="s">
        <v>55</v>
      </c>
      <c r="T1299" t="s">
        <v>2246</v>
      </c>
      <c r="U1299">
        <v>1448</v>
      </c>
      <c r="V1299" t="s">
        <v>175</v>
      </c>
      <c r="W1299">
        <v>35.04</v>
      </c>
      <c r="X1299" t="s">
        <v>57</v>
      </c>
      <c r="AA1299" t="s">
        <v>50</v>
      </c>
      <c r="AE1299">
        <v>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</row>
    <row r="1300" spans="1:42" x14ac:dyDescent="0.25">
      <c r="A1300">
        <v>1488</v>
      </c>
      <c r="B1300" t="s">
        <v>2320</v>
      </c>
      <c r="C1300" t="s">
        <v>2321</v>
      </c>
      <c r="D1300" t="s">
        <v>117</v>
      </c>
      <c r="E1300" s="4">
        <v>1</v>
      </c>
      <c r="F1300" t="s">
        <v>127</v>
      </c>
      <c r="G1300" t="s">
        <v>127</v>
      </c>
      <c r="H1300" s="3">
        <v>46150</v>
      </c>
      <c r="I1300" s="3">
        <v>46153</v>
      </c>
      <c r="J1300" t="s">
        <v>67</v>
      </c>
      <c r="K1300" s="3">
        <v>46139</v>
      </c>
      <c r="L1300" s="3">
        <v>46136</v>
      </c>
      <c r="M1300" s="3">
        <v>46153</v>
      </c>
      <c r="N1300" s="3">
        <v>46153</v>
      </c>
      <c r="O1300" t="s">
        <v>403</v>
      </c>
      <c r="P1300" t="s">
        <v>55</v>
      </c>
      <c r="Q1300" t="s">
        <v>2322</v>
      </c>
      <c r="S1300" t="s">
        <v>2306</v>
      </c>
      <c r="T1300" t="s">
        <v>2246</v>
      </c>
      <c r="U1300" t="s">
        <v>2323</v>
      </c>
      <c r="V1300" t="s">
        <v>127</v>
      </c>
      <c r="W1300">
        <v>13.4</v>
      </c>
      <c r="X1300" t="s">
        <v>57</v>
      </c>
      <c r="Z1300" t="s">
        <v>2306</v>
      </c>
      <c r="AA1300" t="s">
        <v>71</v>
      </c>
      <c r="AE1300">
        <v>1</v>
      </c>
      <c r="AF1300">
        <v>1</v>
      </c>
      <c r="AG1300">
        <v>1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1</v>
      </c>
    </row>
    <row r="1301" spans="1:42" x14ac:dyDescent="0.25">
      <c r="A1301">
        <v>1489</v>
      </c>
      <c r="B1301" t="s">
        <v>2324</v>
      </c>
      <c r="C1301" t="s">
        <v>2321</v>
      </c>
      <c r="D1301" t="s">
        <v>121</v>
      </c>
      <c r="E1301" s="4">
        <v>1</v>
      </c>
      <c r="F1301" t="s">
        <v>61</v>
      </c>
      <c r="G1301" t="s">
        <v>61</v>
      </c>
      <c r="H1301" s="3">
        <v>46153</v>
      </c>
      <c r="I1301" s="3">
        <v>46154</v>
      </c>
      <c r="J1301" t="s">
        <v>85</v>
      </c>
      <c r="K1301" s="3">
        <v>46142</v>
      </c>
      <c r="L1301" s="3">
        <v>46140</v>
      </c>
      <c r="M1301" s="3">
        <v>46154</v>
      </c>
      <c r="N1301" s="3">
        <v>46154</v>
      </c>
      <c r="O1301" t="s">
        <v>418</v>
      </c>
      <c r="P1301" t="s">
        <v>55</v>
      </c>
      <c r="Q1301">
        <v>1488</v>
      </c>
      <c r="S1301" t="s">
        <v>124</v>
      </c>
      <c r="T1301" t="s">
        <v>2246</v>
      </c>
      <c r="U1301">
        <v>1490</v>
      </c>
      <c r="V1301" t="s">
        <v>122</v>
      </c>
      <c r="W1301">
        <v>13.4</v>
      </c>
      <c r="X1301" t="s">
        <v>57</v>
      </c>
      <c r="Z1301" t="s">
        <v>124</v>
      </c>
      <c r="AA1301" t="s">
        <v>71</v>
      </c>
      <c r="AE1301">
        <v>1</v>
      </c>
      <c r="AF1301">
        <v>0</v>
      </c>
      <c r="AG1301">
        <v>0</v>
      </c>
      <c r="AH1301">
        <v>0</v>
      </c>
      <c r="AI1301">
        <v>0</v>
      </c>
      <c r="AJ1301">
        <v>1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</row>
    <row r="1302" spans="1:42" x14ac:dyDescent="0.25">
      <c r="A1302">
        <v>1490</v>
      </c>
      <c r="B1302" t="s">
        <v>2325</v>
      </c>
      <c r="C1302" t="s">
        <v>2321</v>
      </c>
      <c r="D1302" t="s">
        <v>126</v>
      </c>
      <c r="E1302" s="4">
        <v>1</v>
      </c>
      <c r="F1302" t="s">
        <v>210</v>
      </c>
      <c r="G1302" t="s">
        <v>210</v>
      </c>
      <c r="H1302" s="3">
        <v>46155</v>
      </c>
      <c r="I1302" s="3">
        <v>46164</v>
      </c>
      <c r="J1302" t="s">
        <v>409</v>
      </c>
      <c r="K1302" s="3">
        <v>46146</v>
      </c>
      <c r="L1302" s="3">
        <v>46146</v>
      </c>
      <c r="M1302" s="3">
        <v>46164</v>
      </c>
      <c r="N1302" s="3">
        <v>46164</v>
      </c>
      <c r="O1302" t="s">
        <v>68</v>
      </c>
      <c r="P1302" t="s">
        <v>55</v>
      </c>
      <c r="Q1302">
        <v>1489</v>
      </c>
      <c r="S1302" t="s">
        <v>2306</v>
      </c>
      <c r="T1302" t="s">
        <v>2246</v>
      </c>
      <c r="U1302">
        <v>1491</v>
      </c>
      <c r="V1302" t="s">
        <v>61</v>
      </c>
      <c r="W1302">
        <v>13.4</v>
      </c>
      <c r="X1302" t="s">
        <v>57</v>
      </c>
      <c r="Z1302" t="s">
        <v>2306</v>
      </c>
      <c r="AA1302" t="s">
        <v>401</v>
      </c>
      <c r="AE1302">
        <v>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1</v>
      </c>
      <c r="AM1302">
        <v>0</v>
      </c>
      <c r="AN1302">
        <v>0</v>
      </c>
      <c r="AO1302">
        <v>0</v>
      </c>
      <c r="AP1302">
        <v>0</v>
      </c>
    </row>
    <row r="1303" spans="1:42" x14ac:dyDescent="0.25">
      <c r="A1303">
        <v>1491</v>
      </c>
      <c r="B1303" t="s">
        <v>2326</v>
      </c>
      <c r="C1303" t="s">
        <v>2321</v>
      </c>
      <c r="D1303" t="s">
        <v>133</v>
      </c>
      <c r="E1303" s="4">
        <v>1</v>
      </c>
      <c r="F1303" t="s">
        <v>494</v>
      </c>
      <c r="G1303" t="s">
        <v>494</v>
      </c>
      <c r="H1303" s="3">
        <v>46155</v>
      </c>
      <c r="I1303" s="3">
        <v>46164</v>
      </c>
      <c r="J1303" t="s">
        <v>183</v>
      </c>
      <c r="K1303" s="3">
        <v>46147</v>
      </c>
      <c r="L1303" s="3">
        <v>46147</v>
      </c>
      <c r="M1303" s="3">
        <v>46164</v>
      </c>
      <c r="N1303" s="3">
        <v>46164</v>
      </c>
      <c r="O1303" t="s">
        <v>68</v>
      </c>
      <c r="P1303" t="s">
        <v>55</v>
      </c>
      <c r="Q1303">
        <v>1490</v>
      </c>
      <c r="S1303" t="s">
        <v>124</v>
      </c>
      <c r="T1303" t="s">
        <v>2246</v>
      </c>
      <c r="V1303" t="s">
        <v>61</v>
      </c>
      <c r="W1303">
        <v>13.4</v>
      </c>
      <c r="X1303" t="s">
        <v>57</v>
      </c>
      <c r="Z1303" t="s">
        <v>124</v>
      </c>
      <c r="AA1303" t="s">
        <v>401</v>
      </c>
      <c r="AE1303">
        <v>1</v>
      </c>
      <c r="AF1303">
        <v>0</v>
      </c>
      <c r="AG1303">
        <v>0</v>
      </c>
      <c r="AH1303">
        <v>0</v>
      </c>
      <c r="AI1303">
        <v>1</v>
      </c>
      <c r="AJ1303">
        <v>0</v>
      </c>
      <c r="AK1303">
        <v>0</v>
      </c>
      <c r="AL1303">
        <v>0</v>
      </c>
      <c r="AM1303">
        <v>0</v>
      </c>
      <c r="AN1303">
        <v>1</v>
      </c>
      <c r="AO1303">
        <v>0</v>
      </c>
      <c r="AP1303">
        <v>0</v>
      </c>
    </row>
    <row r="1304" spans="1:42" x14ac:dyDescent="0.25">
      <c r="A1304">
        <v>1492</v>
      </c>
      <c r="B1304" t="s">
        <v>2327</v>
      </c>
      <c r="C1304" t="s">
        <v>2246</v>
      </c>
      <c r="D1304" t="s">
        <v>2328</v>
      </c>
      <c r="E1304" s="4">
        <v>1</v>
      </c>
      <c r="F1304" t="s">
        <v>187</v>
      </c>
      <c r="G1304" t="s">
        <v>187</v>
      </c>
      <c r="H1304" s="3">
        <v>46139</v>
      </c>
      <c r="I1304" s="3">
        <v>46164</v>
      </c>
      <c r="J1304" t="s">
        <v>85</v>
      </c>
      <c r="K1304" s="3">
        <v>46149</v>
      </c>
      <c r="L1304" s="3">
        <v>46140</v>
      </c>
      <c r="M1304" s="3">
        <v>46164</v>
      </c>
      <c r="N1304" s="3">
        <v>46164</v>
      </c>
      <c r="O1304" t="s">
        <v>188</v>
      </c>
      <c r="P1304" t="s">
        <v>55</v>
      </c>
      <c r="T1304" t="s">
        <v>2246</v>
      </c>
      <c r="U1304">
        <v>1448</v>
      </c>
      <c r="V1304" t="s">
        <v>175</v>
      </c>
      <c r="W1304">
        <v>14.88</v>
      </c>
      <c r="X1304" t="s">
        <v>57</v>
      </c>
      <c r="AA1304" t="s">
        <v>50</v>
      </c>
      <c r="AE1304">
        <v>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</row>
    <row r="1305" spans="1:42" x14ac:dyDescent="0.25">
      <c r="A1305">
        <v>1493</v>
      </c>
      <c r="B1305" t="s">
        <v>2329</v>
      </c>
      <c r="C1305" t="s">
        <v>2330</v>
      </c>
      <c r="D1305" t="s">
        <v>117</v>
      </c>
      <c r="E1305" s="4">
        <v>1</v>
      </c>
      <c r="F1305" t="s">
        <v>101</v>
      </c>
      <c r="G1305" t="s">
        <v>101</v>
      </c>
      <c r="H1305" s="3">
        <v>46139</v>
      </c>
      <c r="I1305" s="3">
        <v>46142</v>
      </c>
      <c r="J1305" t="s">
        <v>85</v>
      </c>
      <c r="K1305" s="3">
        <v>46141</v>
      </c>
      <c r="L1305" s="3">
        <v>46140</v>
      </c>
      <c r="M1305" s="3">
        <v>46142</v>
      </c>
      <c r="N1305" s="3">
        <v>46142</v>
      </c>
      <c r="O1305" t="s">
        <v>188</v>
      </c>
      <c r="P1305" t="s">
        <v>55</v>
      </c>
      <c r="Q1305" t="s">
        <v>2331</v>
      </c>
      <c r="S1305" t="s">
        <v>2306</v>
      </c>
      <c r="T1305" t="s">
        <v>2246</v>
      </c>
      <c r="U1305" t="s">
        <v>2332</v>
      </c>
      <c r="V1305" t="s">
        <v>127</v>
      </c>
      <c r="W1305">
        <v>13.4</v>
      </c>
      <c r="X1305" t="s">
        <v>57</v>
      </c>
      <c r="Z1305" t="s">
        <v>2306</v>
      </c>
      <c r="AA1305" t="s">
        <v>71</v>
      </c>
      <c r="AE1305">
        <v>1</v>
      </c>
      <c r="AF1305">
        <v>1</v>
      </c>
      <c r="AG1305">
        <v>1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1</v>
      </c>
    </row>
    <row r="1306" spans="1:42" x14ac:dyDescent="0.25">
      <c r="A1306">
        <v>1494</v>
      </c>
      <c r="B1306" t="s">
        <v>2333</v>
      </c>
      <c r="C1306" t="s">
        <v>2330</v>
      </c>
      <c r="D1306" t="s">
        <v>121</v>
      </c>
      <c r="E1306" s="4">
        <v>1</v>
      </c>
      <c r="F1306" t="s">
        <v>61</v>
      </c>
      <c r="G1306" t="s">
        <v>61</v>
      </c>
      <c r="H1306" s="3">
        <v>46147</v>
      </c>
      <c r="I1306" s="3">
        <v>46147</v>
      </c>
      <c r="J1306" t="s">
        <v>527</v>
      </c>
      <c r="K1306" s="3">
        <v>46147</v>
      </c>
      <c r="L1306" s="3">
        <v>46142</v>
      </c>
      <c r="M1306" s="3">
        <v>46147</v>
      </c>
      <c r="N1306" s="3">
        <v>46147</v>
      </c>
      <c r="O1306" t="s">
        <v>183</v>
      </c>
      <c r="P1306" t="s">
        <v>55</v>
      </c>
      <c r="Q1306">
        <v>1493</v>
      </c>
      <c r="S1306" t="s">
        <v>124</v>
      </c>
      <c r="T1306" t="s">
        <v>2246</v>
      </c>
      <c r="U1306">
        <v>1495</v>
      </c>
      <c r="V1306" t="s">
        <v>122</v>
      </c>
      <c r="W1306">
        <v>13.4</v>
      </c>
      <c r="X1306" t="s">
        <v>57</v>
      </c>
      <c r="Z1306" t="s">
        <v>124</v>
      </c>
      <c r="AA1306" t="s">
        <v>71</v>
      </c>
      <c r="AE1306">
        <v>1</v>
      </c>
      <c r="AF1306">
        <v>0</v>
      </c>
      <c r="AG1306">
        <v>0</v>
      </c>
      <c r="AH1306">
        <v>0</v>
      </c>
      <c r="AI1306">
        <v>0</v>
      </c>
      <c r="AJ1306">
        <v>1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</row>
    <row r="1307" spans="1:42" x14ac:dyDescent="0.25">
      <c r="A1307">
        <v>1495</v>
      </c>
      <c r="B1307" t="s">
        <v>2334</v>
      </c>
      <c r="C1307" t="s">
        <v>2330</v>
      </c>
      <c r="D1307" t="s">
        <v>126</v>
      </c>
      <c r="E1307" s="4">
        <v>1</v>
      </c>
      <c r="F1307" t="s">
        <v>1038</v>
      </c>
      <c r="G1307" t="s">
        <v>1038</v>
      </c>
      <c r="H1307" s="3">
        <v>46148</v>
      </c>
      <c r="I1307" s="3">
        <v>46164</v>
      </c>
      <c r="J1307" t="s">
        <v>304</v>
      </c>
      <c r="K1307" s="3">
        <v>46148</v>
      </c>
      <c r="L1307" s="3">
        <v>46148</v>
      </c>
      <c r="M1307" s="3">
        <v>46164</v>
      </c>
      <c r="N1307" s="3">
        <v>46164</v>
      </c>
      <c r="O1307" t="s">
        <v>304</v>
      </c>
      <c r="P1307" t="s">
        <v>55</v>
      </c>
      <c r="Q1307">
        <v>1494</v>
      </c>
      <c r="S1307" t="s">
        <v>2306</v>
      </c>
      <c r="T1307" t="s">
        <v>2246</v>
      </c>
      <c r="U1307">
        <v>1496</v>
      </c>
      <c r="V1307" t="s">
        <v>61</v>
      </c>
      <c r="W1307">
        <v>13.4</v>
      </c>
      <c r="X1307" t="s">
        <v>57</v>
      </c>
      <c r="Z1307" t="s">
        <v>2306</v>
      </c>
      <c r="AA1307" t="s">
        <v>401</v>
      </c>
      <c r="AE1307">
        <v>1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1</v>
      </c>
      <c r="AM1307">
        <v>0</v>
      </c>
      <c r="AN1307">
        <v>0</v>
      </c>
      <c r="AO1307">
        <v>0</v>
      </c>
      <c r="AP1307">
        <v>0</v>
      </c>
    </row>
    <row r="1308" spans="1:42" x14ac:dyDescent="0.25">
      <c r="A1308">
        <v>1496</v>
      </c>
      <c r="B1308" t="s">
        <v>2335</v>
      </c>
      <c r="C1308" t="s">
        <v>2330</v>
      </c>
      <c r="D1308" t="s">
        <v>133</v>
      </c>
      <c r="E1308" s="4">
        <v>1</v>
      </c>
      <c r="F1308" t="s">
        <v>690</v>
      </c>
      <c r="G1308" t="s">
        <v>690</v>
      </c>
      <c r="H1308" s="3">
        <v>46149</v>
      </c>
      <c r="I1308" s="3">
        <v>46164</v>
      </c>
      <c r="J1308" t="s">
        <v>416</v>
      </c>
      <c r="K1308" s="3">
        <v>46149</v>
      </c>
      <c r="L1308" s="3">
        <v>46149</v>
      </c>
      <c r="M1308" s="3">
        <v>46164</v>
      </c>
      <c r="N1308" s="3">
        <v>46164</v>
      </c>
      <c r="O1308" t="s">
        <v>416</v>
      </c>
      <c r="P1308" t="s">
        <v>55</v>
      </c>
      <c r="Q1308">
        <v>1495</v>
      </c>
      <c r="S1308" t="s">
        <v>124</v>
      </c>
      <c r="T1308" t="s">
        <v>2246</v>
      </c>
      <c r="V1308" t="s">
        <v>61</v>
      </c>
      <c r="W1308">
        <v>13.4</v>
      </c>
      <c r="X1308" t="s">
        <v>57</v>
      </c>
      <c r="Z1308" t="s">
        <v>124</v>
      </c>
      <c r="AA1308" t="s">
        <v>401</v>
      </c>
      <c r="AE1308">
        <v>1</v>
      </c>
      <c r="AF1308">
        <v>0</v>
      </c>
      <c r="AG1308">
        <v>0</v>
      </c>
      <c r="AH1308">
        <v>0</v>
      </c>
      <c r="AI1308">
        <v>1</v>
      </c>
      <c r="AJ1308">
        <v>0</v>
      </c>
      <c r="AK1308">
        <v>0</v>
      </c>
      <c r="AL1308">
        <v>0</v>
      </c>
      <c r="AM1308">
        <v>0</v>
      </c>
      <c r="AN1308">
        <v>1</v>
      </c>
      <c r="AO1308">
        <v>0</v>
      </c>
      <c r="AP1308">
        <v>0</v>
      </c>
    </row>
    <row r="1309" spans="1:42" x14ac:dyDescent="0.25">
      <c r="A1309">
        <v>1497</v>
      </c>
      <c r="B1309" t="s">
        <v>2336</v>
      </c>
      <c r="C1309" t="s">
        <v>2246</v>
      </c>
      <c r="D1309" t="s">
        <v>2337</v>
      </c>
      <c r="E1309" s="4">
        <v>1</v>
      </c>
      <c r="F1309" t="s">
        <v>295</v>
      </c>
      <c r="G1309" t="s">
        <v>295</v>
      </c>
      <c r="H1309" s="3">
        <v>46142</v>
      </c>
      <c r="I1309" s="3">
        <v>46164</v>
      </c>
      <c r="J1309" t="s">
        <v>527</v>
      </c>
      <c r="K1309" s="3">
        <v>46153</v>
      </c>
      <c r="L1309" s="3">
        <v>46142</v>
      </c>
      <c r="M1309" s="3">
        <v>46164</v>
      </c>
      <c r="N1309" s="3">
        <v>46164</v>
      </c>
      <c r="O1309" t="s">
        <v>527</v>
      </c>
      <c r="P1309" t="s">
        <v>55</v>
      </c>
      <c r="T1309" t="s">
        <v>2246</v>
      </c>
      <c r="U1309">
        <v>1448</v>
      </c>
      <c r="V1309" t="s">
        <v>175</v>
      </c>
      <c r="W1309">
        <v>14.88</v>
      </c>
      <c r="X1309" t="s">
        <v>57</v>
      </c>
      <c r="AA1309" t="s">
        <v>50</v>
      </c>
      <c r="AE1309">
        <v>1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</row>
    <row r="1310" spans="1:42" x14ac:dyDescent="0.25">
      <c r="A1310">
        <v>1498</v>
      </c>
      <c r="B1310" t="s">
        <v>2338</v>
      </c>
      <c r="C1310" t="s">
        <v>2339</v>
      </c>
      <c r="D1310" t="s">
        <v>117</v>
      </c>
      <c r="E1310" s="4">
        <v>1</v>
      </c>
      <c r="F1310" t="s">
        <v>127</v>
      </c>
      <c r="G1310" t="s">
        <v>127</v>
      </c>
      <c r="H1310" s="3">
        <v>46142</v>
      </c>
      <c r="I1310" s="3">
        <v>46146</v>
      </c>
      <c r="J1310" t="s">
        <v>527</v>
      </c>
      <c r="K1310" s="3">
        <v>46146</v>
      </c>
      <c r="L1310" s="3">
        <v>46142</v>
      </c>
      <c r="M1310" s="3">
        <v>46146</v>
      </c>
      <c r="N1310" s="3">
        <v>46146</v>
      </c>
      <c r="O1310" t="s">
        <v>527</v>
      </c>
      <c r="P1310" t="s">
        <v>55</v>
      </c>
      <c r="Q1310" t="s">
        <v>2340</v>
      </c>
      <c r="S1310" t="s">
        <v>2306</v>
      </c>
      <c r="T1310" t="s">
        <v>2246</v>
      </c>
      <c r="U1310" t="s">
        <v>2341</v>
      </c>
      <c r="V1310" t="s">
        <v>127</v>
      </c>
      <c r="W1310">
        <v>13.4</v>
      </c>
      <c r="X1310" t="s">
        <v>57</v>
      </c>
      <c r="Z1310" t="s">
        <v>2306</v>
      </c>
      <c r="AA1310" t="s">
        <v>71</v>
      </c>
      <c r="AE1310">
        <v>1</v>
      </c>
      <c r="AF1310">
        <v>1</v>
      </c>
      <c r="AG1310">
        <v>1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1</v>
      </c>
    </row>
    <row r="1311" spans="1:42" x14ac:dyDescent="0.25">
      <c r="A1311">
        <v>1499</v>
      </c>
      <c r="B1311" t="s">
        <v>2342</v>
      </c>
      <c r="C1311" t="s">
        <v>2339</v>
      </c>
      <c r="D1311" t="s">
        <v>121</v>
      </c>
      <c r="E1311" s="4">
        <v>1</v>
      </c>
      <c r="F1311" t="s">
        <v>122</v>
      </c>
      <c r="G1311" t="s">
        <v>122</v>
      </c>
      <c r="H1311" s="3">
        <v>46147</v>
      </c>
      <c r="I1311" s="3">
        <v>46149</v>
      </c>
      <c r="J1311" t="s">
        <v>183</v>
      </c>
      <c r="K1311" s="3">
        <v>46149</v>
      </c>
      <c r="L1311" s="3">
        <v>46147</v>
      </c>
      <c r="M1311" s="3">
        <v>46149</v>
      </c>
      <c r="N1311" s="3">
        <v>46149</v>
      </c>
      <c r="O1311" t="s">
        <v>183</v>
      </c>
      <c r="P1311" t="s">
        <v>55</v>
      </c>
      <c r="Q1311">
        <v>1498</v>
      </c>
      <c r="S1311" t="s">
        <v>124</v>
      </c>
      <c r="T1311" t="s">
        <v>2246</v>
      </c>
      <c r="U1311">
        <v>1500</v>
      </c>
      <c r="V1311" t="s">
        <v>122</v>
      </c>
      <c r="W1311">
        <v>13.4</v>
      </c>
      <c r="X1311" t="s">
        <v>57</v>
      </c>
      <c r="Z1311" t="s">
        <v>124</v>
      </c>
      <c r="AA1311" t="s">
        <v>401</v>
      </c>
      <c r="AE1311">
        <v>1</v>
      </c>
      <c r="AF1311">
        <v>0</v>
      </c>
      <c r="AG1311">
        <v>0</v>
      </c>
      <c r="AH1311">
        <v>0</v>
      </c>
      <c r="AI1311">
        <v>0</v>
      </c>
      <c r="AJ1311">
        <v>1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</row>
    <row r="1312" spans="1:42" x14ac:dyDescent="0.25">
      <c r="A1312">
        <v>1500</v>
      </c>
      <c r="B1312" t="s">
        <v>2343</v>
      </c>
      <c r="C1312" t="s">
        <v>2339</v>
      </c>
      <c r="D1312" t="s">
        <v>126</v>
      </c>
      <c r="E1312" s="4">
        <v>1</v>
      </c>
      <c r="F1312" t="s">
        <v>122</v>
      </c>
      <c r="G1312" t="s">
        <v>122</v>
      </c>
      <c r="H1312" s="3">
        <v>46150</v>
      </c>
      <c r="I1312" s="3">
        <v>46154</v>
      </c>
      <c r="J1312" t="s">
        <v>403</v>
      </c>
      <c r="K1312" s="3">
        <v>46150</v>
      </c>
      <c r="L1312" s="3">
        <v>46150</v>
      </c>
      <c r="M1312" s="3">
        <v>46154</v>
      </c>
      <c r="N1312" s="3">
        <v>46154</v>
      </c>
      <c r="O1312" t="s">
        <v>403</v>
      </c>
      <c r="P1312" t="s">
        <v>55</v>
      </c>
      <c r="Q1312">
        <v>1499</v>
      </c>
      <c r="S1312" t="s">
        <v>2306</v>
      </c>
      <c r="T1312" t="s">
        <v>2246</v>
      </c>
      <c r="U1312">
        <v>1501</v>
      </c>
      <c r="V1312" t="s">
        <v>61</v>
      </c>
      <c r="W1312">
        <v>13.4</v>
      </c>
      <c r="X1312" t="s">
        <v>57</v>
      </c>
      <c r="Z1312" t="s">
        <v>2306</v>
      </c>
      <c r="AA1312" t="s">
        <v>401</v>
      </c>
      <c r="AE1312">
        <v>1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1</v>
      </c>
      <c r="AM1312">
        <v>0</v>
      </c>
      <c r="AN1312">
        <v>0</v>
      </c>
      <c r="AO1312">
        <v>0</v>
      </c>
      <c r="AP1312">
        <v>0</v>
      </c>
    </row>
    <row r="1313" spans="1:42" x14ac:dyDescent="0.25">
      <c r="A1313">
        <v>1501</v>
      </c>
      <c r="B1313" t="s">
        <v>2344</v>
      </c>
      <c r="C1313" t="s">
        <v>2339</v>
      </c>
      <c r="D1313" t="s">
        <v>133</v>
      </c>
      <c r="E1313" s="4">
        <v>1</v>
      </c>
      <c r="F1313" t="s">
        <v>210</v>
      </c>
      <c r="G1313" t="s">
        <v>210</v>
      </c>
      <c r="H1313" s="3">
        <v>46155</v>
      </c>
      <c r="I1313" s="3">
        <v>46164</v>
      </c>
      <c r="J1313" t="s">
        <v>418</v>
      </c>
      <c r="K1313" s="3">
        <v>46153</v>
      </c>
      <c r="L1313" s="3">
        <v>46153</v>
      </c>
      <c r="M1313" s="3">
        <v>46164</v>
      </c>
      <c r="N1313" s="3">
        <v>46164</v>
      </c>
      <c r="O1313" t="s">
        <v>68</v>
      </c>
      <c r="P1313" t="s">
        <v>55</v>
      </c>
      <c r="Q1313">
        <v>1500</v>
      </c>
      <c r="S1313" t="s">
        <v>124</v>
      </c>
      <c r="T1313" t="s">
        <v>2246</v>
      </c>
      <c r="V1313" t="s">
        <v>61</v>
      </c>
      <c r="W1313">
        <v>13.4</v>
      </c>
      <c r="X1313" t="s">
        <v>57</v>
      </c>
      <c r="Z1313" t="s">
        <v>124</v>
      </c>
      <c r="AA1313" t="s">
        <v>93</v>
      </c>
      <c r="AE1313">
        <v>1</v>
      </c>
      <c r="AF1313">
        <v>0</v>
      </c>
      <c r="AG1313">
        <v>0</v>
      </c>
      <c r="AH1313">
        <v>0</v>
      </c>
      <c r="AI1313">
        <v>1</v>
      </c>
      <c r="AJ1313">
        <v>0</v>
      </c>
      <c r="AK1313">
        <v>0</v>
      </c>
      <c r="AL1313">
        <v>0</v>
      </c>
      <c r="AM1313">
        <v>0</v>
      </c>
      <c r="AN1313">
        <v>1</v>
      </c>
      <c r="AO1313">
        <v>0</v>
      </c>
      <c r="AP1313">
        <v>0</v>
      </c>
    </row>
    <row r="1314" spans="1:42" x14ac:dyDescent="0.25">
      <c r="A1314">
        <v>1502</v>
      </c>
      <c r="B1314" t="s">
        <v>2345</v>
      </c>
      <c r="C1314" t="s">
        <v>2246</v>
      </c>
      <c r="D1314" t="s">
        <v>2346</v>
      </c>
      <c r="E1314" s="4">
        <v>1</v>
      </c>
      <c r="F1314" t="s">
        <v>365</v>
      </c>
      <c r="G1314" t="s">
        <v>365</v>
      </c>
      <c r="H1314" s="3">
        <v>46147</v>
      </c>
      <c r="I1314" s="3">
        <v>46164</v>
      </c>
      <c r="J1314" t="s">
        <v>183</v>
      </c>
      <c r="K1314" s="3">
        <v>46155</v>
      </c>
      <c r="L1314" s="3">
        <v>46147</v>
      </c>
      <c r="M1314" s="3">
        <v>46164</v>
      </c>
      <c r="N1314" s="3">
        <v>46164</v>
      </c>
      <c r="O1314" t="s">
        <v>183</v>
      </c>
      <c r="P1314" t="s">
        <v>55</v>
      </c>
      <c r="T1314" t="s">
        <v>2246</v>
      </c>
      <c r="U1314">
        <v>1448</v>
      </c>
      <c r="V1314" t="s">
        <v>175</v>
      </c>
      <c r="W1314">
        <v>14.88</v>
      </c>
      <c r="X1314" t="s">
        <v>57</v>
      </c>
      <c r="AA1314" t="s">
        <v>50</v>
      </c>
      <c r="AE1314">
        <v>1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</row>
    <row r="1315" spans="1:42" x14ac:dyDescent="0.25">
      <c r="A1315">
        <v>1503</v>
      </c>
      <c r="B1315" t="s">
        <v>2347</v>
      </c>
      <c r="C1315" t="s">
        <v>2348</v>
      </c>
      <c r="D1315" t="s">
        <v>117</v>
      </c>
      <c r="E1315" s="4">
        <v>1</v>
      </c>
      <c r="F1315" t="s">
        <v>127</v>
      </c>
      <c r="G1315" t="s">
        <v>127</v>
      </c>
      <c r="H1315" s="3">
        <v>46147</v>
      </c>
      <c r="I1315" s="3">
        <v>46148</v>
      </c>
      <c r="J1315" t="s">
        <v>183</v>
      </c>
      <c r="K1315" s="3">
        <v>46148</v>
      </c>
      <c r="L1315" s="3">
        <v>46147</v>
      </c>
      <c r="M1315" s="3">
        <v>46148</v>
      </c>
      <c r="N1315" s="3">
        <v>46148</v>
      </c>
      <c r="O1315" t="s">
        <v>183</v>
      </c>
      <c r="P1315" t="s">
        <v>55</v>
      </c>
      <c r="Q1315" t="s">
        <v>2349</v>
      </c>
      <c r="S1315" t="s">
        <v>2306</v>
      </c>
      <c r="T1315" t="s">
        <v>2246</v>
      </c>
      <c r="U1315" t="s">
        <v>2350</v>
      </c>
      <c r="V1315" t="s">
        <v>127</v>
      </c>
      <c r="W1315">
        <v>13.4</v>
      </c>
      <c r="X1315" t="s">
        <v>57</v>
      </c>
      <c r="Z1315" t="s">
        <v>2306</v>
      </c>
      <c r="AA1315" t="s">
        <v>401</v>
      </c>
      <c r="AE1315">
        <v>1</v>
      </c>
      <c r="AF1315">
        <v>1</v>
      </c>
      <c r="AG1315">
        <v>1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1</v>
      </c>
    </row>
    <row r="1316" spans="1:42" x14ac:dyDescent="0.25">
      <c r="A1316">
        <v>1504</v>
      </c>
      <c r="B1316" t="s">
        <v>2351</v>
      </c>
      <c r="C1316" t="s">
        <v>2348</v>
      </c>
      <c r="D1316" t="s">
        <v>121</v>
      </c>
      <c r="E1316" s="4">
        <v>1</v>
      </c>
      <c r="F1316" t="s">
        <v>122</v>
      </c>
      <c r="G1316" t="s">
        <v>122</v>
      </c>
      <c r="H1316" s="3">
        <v>46149</v>
      </c>
      <c r="I1316" s="3">
        <v>46153</v>
      </c>
      <c r="J1316" t="s">
        <v>416</v>
      </c>
      <c r="K1316" s="3">
        <v>46153</v>
      </c>
      <c r="L1316" s="3">
        <v>46149</v>
      </c>
      <c r="M1316" s="3">
        <v>46153</v>
      </c>
      <c r="N1316" s="3">
        <v>46153</v>
      </c>
      <c r="O1316" t="s">
        <v>416</v>
      </c>
      <c r="P1316" t="s">
        <v>55</v>
      </c>
      <c r="Q1316">
        <v>1503</v>
      </c>
      <c r="S1316" t="s">
        <v>124</v>
      </c>
      <c r="T1316" t="s">
        <v>2246</v>
      </c>
      <c r="U1316">
        <v>1505</v>
      </c>
      <c r="V1316" t="s">
        <v>122</v>
      </c>
      <c r="W1316">
        <v>13.4</v>
      </c>
      <c r="X1316" t="s">
        <v>57</v>
      </c>
      <c r="Z1316" t="s">
        <v>124</v>
      </c>
      <c r="AA1316" t="s">
        <v>401</v>
      </c>
      <c r="AE1316">
        <v>1</v>
      </c>
      <c r="AF1316">
        <v>0</v>
      </c>
      <c r="AG1316">
        <v>0</v>
      </c>
      <c r="AH1316">
        <v>0</v>
      </c>
      <c r="AI1316">
        <v>0</v>
      </c>
      <c r="AJ1316">
        <v>1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</row>
    <row r="1317" spans="1:42" x14ac:dyDescent="0.25">
      <c r="A1317">
        <v>1505</v>
      </c>
      <c r="B1317" t="s">
        <v>2352</v>
      </c>
      <c r="C1317" t="s">
        <v>2348</v>
      </c>
      <c r="D1317" t="s">
        <v>126</v>
      </c>
      <c r="E1317" s="4">
        <v>1</v>
      </c>
      <c r="F1317" t="s">
        <v>2353</v>
      </c>
      <c r="G1317" t="s">
        <v>2353</v>
      </c>
      <c r="H1317" s="3">
        <v>46153</v>
      </c>
      <c r="I1317" s="3">
        <v>46164</v>
      </c>
      <c r="J1317" t="s">
        <v>741</v>
      </c>
      <c r="K1317" s="3">
        <v>46154</v>
      </c>
      <c r="L1317" s="3">
        <v>46154</v>
      </c>
      <c r="M1317" s="3">
        <v>46164</v>
      </c>
      <c r="N1317" s="3">
        <v>46164</v>
      </c>
      <c r="O1317" t="s">
        <v>418</v>
      </c>
      <c r="P1317" t="s">
        <v>55</v>
      </c>
      <c r="Q1317">
        <v>1504</v>
      </c>
      <c r="S1317" t="s">
        <v>2306</v>
      </c>
      <c r="T1317" t="s">
        <v>2246</v>
      </c>
      <c r="U1317">
        <v>1506</v>
      </c>
      <c r="V1317" t="s">
        <v>61</v>
      </c>
      <c r="W1317">
        <v>13.4</v>
      </c>
      <c r="X1317" t="s">
        <v>57</v>
      </c>
      <c r="Z1317" t="s">
        <v>2306</v>
      </c>
      <c r="AA1317" t="s">
        <v>93</v>
      </c>
      <c r="AE1317">
        <v>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1</v>
      </c>
      <c r="AM1317">
        <v>0</v>
      </c>
      <c r="AN1317">
        <v>0</v>
      </c>
      <c r="AO1317">
        <v>0</v>
      </c>
      <c r="AP1317">
        <v>0</v>
      </c>
    </row>
    <row r="1318" spans="1:42" x14ac:dyDescent="0.25">
      <c r="A1318">
        <v>1506</v>
      </c>
      <c r="B1318" t="s">
        <v>2354</v>
      </c>
      <c r="C1318" t="s">
        <v>2348</v>
      </c>
      <c r="D1318" t="s">
        <v>133</v>
      </c>
      <c r="E1318" s="4">
        <v>1</v>
      </c>
      <c r="F1318" t="s">
        <v>210</v>
      </c>
      <c r="G1318" t="s">
        <v>210</v>
      </c>
      <c r="H1318" s="3">
        <v>46155</v>
      </c>
      <c r="I1318" s="3">
        <v>46164</v>
      </c>
      <c r="J1318" t="s">
        <v>68</v>
      </c>
      <c r="K1318" s="3">
        <v>46155</v>
      </c>
      <c r="L1318" s="3">
        <v>46155</v>
      </c>
      <c r="M1318" s="3">
        <v>46164</v>
      </c>
      <c r="N1318" s="3">
        <v>46164</v>
      </c>
      <c r="O1318" t="s">
        <v>68</v>
      </c>
      <c r="P1318" t="s">
        <v>55</v>
      </c>
      <c r="Q1318">
        <v>1505</v>
      </c>
      <c r="S1318" t="s">
        <v>124</v>
      </c>
      <c r="T1318" t="s">
        <v>2246</v>
      </c>
      <c r="V1318" t="s">
        <v>61</v>
      </c>
      <c r="W1318">
        <v>13.4</v>
      </c>
      <c r="X1318" t="s">
        <v>57</v>
      </c>
      <c r="Z1318" t="s">
        <v>124</v>
      </c>
      <c r="AA1318" t="s">
        <v>93</v>
      </c>
      <c r="AE1318">
        <v>1</v>
      </c>
      <c r="AF1318">
        <v>0</v>
      </c>
      <c r="AG1318">
        <v>0</v>
      </c>
      <c r="AH1318">
        <v>0</v>
      </c>
      <c r="AI1318">
        <v>1</v>
      </c>
      <c r="AJ1318">
        <v>0</v>
      </c>
      <c r="AK1318">
        <v>0</v>
      </c>
      <c r="AL1318">
        <v>0</v>
      </c>
      <c r="AM1318">
        <v>0</v>
      </c>
      <c r="AN1318">
        <v>1</v>
      </c>
      <c r="AO1318">
        <v>0</v>
      </c>
      <c r="AP1318">
        <v>0</v>
      </c>
    </row>
    <row r="1319" spans="1:42" x14ac:dyDescent="0.25">
      <c r="A1319">
        <v>1507</v>
      </c>
      <c r="B1319" t="s">
        <v>2355</v>
      </c>
      <c r="C1319" t="s">
        <v>2246</v>
      </c>
      <c r="D1319" t="s">
        <v>2356</v>
      </c>
      <c r="E1319" s="4">
        <v>1</v>
      </c>
      <c r="F1319" t="s">
        <v>690</v>
      </c>
      <c r="G1319" t="s">
        <v>690</v>
      </c>
      <c r="H1319" s="3">
        <v>46149</v>
      </c>
      <c r="I1319" s="3">
        <v>46164</v>
      </c>
      <c r="J1319" t="s">
        <v>416</v>
      </c>
      <c r="K1319" s="3">
        <v>46157</v>
      </c>
      <c r="L1319" s="3">
        <v>46149</v>
      </c>
      <c r="M1319" s="3">
        <v>46164</v>
      </c>
      <c r="N1319" s="3">
        <v>46164</v>
      </c>
      <c r="O1319" t="s">
        <v>416</v>
      </c>
      <c r="P1319" t="s">
        <v>55</v>
      </c>
      <c r="T1319" t="s">
        <v>2246</v>
      </c>
      <c r="U1319">
        <v>1448</v>
      </c>
      <c r="V1319" t="s">
        <v>175</v>
      </c>
      <c r="W1319">
        <v>14.88</v>
      </c>
      <c r="X1319" t="s">
        <v>57</v>
      </c>
      <c r="AA1319" t="s">
        <v>50</v>
      </c>
      <c r="AE1319">
        <v>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</row>
    <row r="1320" spans="1:42" x14ac:dyDescent="0.25">
      <c r="A1320">
        <v>1508</v>
      </c>
      <c r="B1320" t="s">
        <v>2357</v>
      </c>
      <c r="C1320" t="s">
        <v>2358</v>
      </c>
      <c r="D1320" t="s">
        <v>117</v>
      </c>
      <c r="E1320" s="4">
        <v>1</v>
      </c>
      <c r="F1320" t="s">
        <v>127</v>
      </c>
      <c r="G1320" t="s">
        <v>127</v>
      </c>
      <c r="H1320" s="3">
        <v>46149</v>
      </c>
      <c r="I1320" s="3">
        <v>46150</v>
      </c>
      <c r="J1320" t="s">
        <v>416</v>
      </c>
      <c r="K1320" s="3">
        <v>46150</v>
      </c>
      <c r="L1320" s="3">
        <v>46149</v>
      </c>
      <c r="M1320" s="3">
        <v>46150</v>
      </c>
      <c r="N1320" s="3">
        <v>46150</v>
      </c>
      <c r="O1320" t="s">
        <v>416</v>
      </c>
      <c r="P1320" t="s">
        <v>55</v>
      </c>
      <c r="Q1320" t="s">
        <v>2359</v>
      </c>
      <c r="S1320" t="s">
        <v>2306</v>
      </c>
      <c r="T1320" t="s">
        <v>2246</v>
      </c>
      <c r="U1320" t="s">
        <v>2360</v>
      </c>
      <c r="V1320" t="s">
        <v>127</v>
      </c>
      <c r="W1320">
        <v>13.4</v>
      </c>
      <c r="X1320" t="s">
        <v>57</v>
      </c>
      <c r="Z1320" t="s">
        <v>2306</v>
      </c>
      <c r="AA1320" t="s">
        <v>401</v>
      </c>
      <c r="AE1320">
        <v>1</v>
      </c>
      <c r="AF1320">
        <v>1</v>
      </c>
      <c r="AG1320">
        <v>1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1</v>
      </c>
    </row>
    <row r="1321" spans="1:42" x14ac:dyDescent="0.25">
      <c r="A1321">
        <v>1509</v>
      </c>
      <c r="B1321" t="s">
        <v>2361</v>
      </c>
      <c r="C1321" t="s">
        <v>2358</v>
      </c>
      <c r="D1321" t="s">
        <v>121</v>
      </c>
      <c r="E1321" s="4">
        <v>1</v>
      </c>
      <c r="F1321" t="s">
        <v>61</v>
      </c>
      <c r="G1321" t="s">
        <v>61</v>
      </c>
      <c r="H1321" s="3">
        <v>46153</v>
      </c>
      <c r="I1321" s="3">
        <v>46153</v>
      </c>
      <c r="J1321" t="s">
        <v>418</v>
      </c>
      <c r="K1321" s="3">
        <v>46155</v>
      </c>
      <c r="L1321" s="3">
        <v>46153</v>
      </c>
      <c r="M1321" s="3">
        <v>46153</v>
      </c>
      <c r="N1321" s="3">
        <v>46153</v>
      </c>
      <c r="O1321" t="s">
        <v>418</v>
      </c>
      <c r="P1321" t="s">
        <v>55</v>
      </c>
      <c r="Q1321">
        <v>1508</v>
      </c>
      <c r="S1321" t="s">
        <v>124</v>
      </c>
      <c r="T1321" t="s">
        <v>2246</v>
      </c>
      <c r="U1321">
        <v>1510</v>
      </c>
      <c r="V1321" t="s">
        <v>122</v>
      </c>
      <c r="W1321">
        <v>13.4</v>
      </c>
      <c r="X1321" t="s">
        <v>57</v>
      </c>
      <c r="Z1321" t="s">
        <v>124</v>
      </c>
      <c r="AA1321" t="s">
        <v>93</v>
      </c>
      <c r="AE1321">
        <v>1</v>
      </c>
      <c r="AF1321">
        <v>0</v>
      </c>
      <c r="AG1321">
        <v>0</v>
      </c>
      <c r="AH1321">
        <v>0</v>
      </c>
      <c r="AI1321">
        <v>0</v>
      </c>
      <c r="AJ1321">
        <v>1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</row>
    <row r="1322" spans="1:42" x14ac:dyDescent="0.25">
      <c r="A1322">
        <v>1510</v>
      </c>
      <c r="B1322" t="s">
        <v>2362</v>
      </c>
      <c r="C1322" t="s">
        <v>2358</v>
      </c>
      <c r="D1322" t="s">
        <v>126</v>
      </c>
      <c r="E1322" s="4">
        <v>1</v>
      </c>
      <c r="F1322" t="s">
        <v>151</v>
      </c>
      <c r="G1322" t="s">
        <v>151</v>
      </c>
      <c r="H1322" s="3">
        <v>46153</v>
      </c>
      <c r="I1322" s="3">
        <v>46164</v>
      </c>
      <c r="J1322" t="s">
        <v>406</v>
      </c>
      <c r="K1322" s="3">
        <v>46156</v>
      </c>
      <c r="L1322" s="3">
        <v>46156</v>
      </c>
      <c r="M1322" s="3">
        <v>46164</v>
      </c>
      <c r="N1322" s="3">
        <v>46164</v>
      </c>
      <c r="O1322" t="s">
        <v>418</v>
      </c>
      <c r="P1322" t="s">
        <v>55</v>
      </c>
      <c r="Q1322">
        <v>1509</v>
      </c>
      <c r="S1322" t="s">
        <v>2306</v>
      </c>
      <c r="T1322" t="s">
        <v>2246</v>
      </c>
      <c r="U1322">
        <v>1511</v>
      </c>
      <c r="V1322" t="s">
        <v>61</v>
      </c>
      <c r="W1322">
        <v>13.4</v>
      </c>
      <c r="X1322" t="s">
        <v>57</v>
      </c>
      <c r="Z1322" t="s">
        <v>2306</v>
      </c>
      <c r="AA1322" t="s">
        <v>93</v>
      </c>
      <c r="AE1322">
        <v>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1</v>
      </c>
      <c r="AM1322">
        <v>0</v>
      </c>
      <c r="AN1322">
        <v>0</v>
      </c>
      <c r="AO1322">
        <v>0</v>
      </c>
      <c r="AP1322">
        <v>0</v>
      </c>
    </row>
    <row r="1323" spans="1:42" x14ac:dyDescent="0.25">
      <c r="A1323">
        <v>1511</v>
      </c>
      <c r="B1323" t="s">
        <v>2363</v>
      </c>
      <c r="C1323" t="s">
        <v>2358</v>
      </c>
      <c r="D1323" t="s">
        <v>133</v>
      </c>
      <c r="E1323" s="4">
        <v>1</v>
      </c>
      <c r="F1323" t="s">
        <v>210</v>
      </c>
      <c r="G1323" t="s">
        <v>210</v>
      </c>
      <c r="H1323" s="3">
        <v>46155</v>
      </c>
      <c r="I1323" s="3">
        <v>46164</v>
      </c>
      <c r="J1323" t="s">
        <v>444</v>
      </c>
      <c r="K1323" s="3">
        <v>46157</v>
      </c>
      <c r="L1323" s="3">
        <v>46157</v>
      </c>
      <c r="M1323" s="3">
        <v>46164</v>
      </c>
      <c r="N1323" s="3">
        <v>46164</v>
      </c>
      <c r="O1323" t="s">
        <v>68</v>
      </c>
      <c r="P1323" t="s">
        <v>55</v>
      </c>
      <c r="Q1323">
        <v>1510</v>
      </c>
      <c r="S1323" t="s">
        <v>124</v>
      </c>
      <c r="T1323" t="s">
        <v>2246</v>
      </c>
      <c r="V1323" t="s">
        <v>61</v>
      </c>
      <c r="W1323">
        <v>13.4</v>
      </c>
      <c r="X1323" t="s">
        <v>57</v>
      </c>
      <c r="Z1323" t="s">
        <v>124</v>
      </c>
      <c r="AA1323" t="s">
        <v>93</v>
      </c>
      <c r="AE1323">
        <v>1</v>
      </c>
      <c r="AF1323">
        <v>0</v>
      </c>
      <c r="AG1323">
        <v>0</v>
      </c>
      <c r="AH1323">
        <v>0</v>
      </c>
      <c r="AI1323">
        <v>1</v>
      </c>
      <c r="AJ1323">
        <v>0</v>
      </c>
      <c r="AK1323">
        <v>0</v>
      </c>
      <c r="AL1323">
        <v>0</v>
      </c>
      <c r="AM1323">
        <v>0</v>
      </c>
      <c r="AN1323">
        <v>1</v>
      </c>
      <c r="AO1323">
        <v>0</v>
      </c>
      <c r="AP1323">
        <v>0</v>
      </c>
    </row>
    <row r="1324" spans="1:42" x14ac:dyDescent="0.25">
      <c r="A1324">
        <v>1512</v>
      </c>
      <c r="B1324" t="s">
        <v>2364</v>
      </c>
      <c r="C1324" t="s">
        <v>2246</v>
      </c>
      <c r="D1324" t="s">
        <v>2365</v>
      </c>
      <c r="E1324" s="4">
        <v>1</v>
      </c>
      <c r="F1324" t="s">
        <v>330</v>
      </c>
      <c r="G1324" t="s">
        <v>330</v>
      </c>
      <c r="H1324" s="3">
        <v>46146</v>
      </c>
      <c r="I1324" s="3">
        <v>46164</v>
      </c>
      <c r="J1324" t="s">
        <v>418</v>
      </c>
      <c r="K1324" s="3">
        <v>46161</v>
      </c>
      <c r="L1324" s="3">
        <v>46153</v>
      </c>
      <c r="M1324" s="3">
        <v>46164</v>
      </c>
      <c r="N1324" s="3">
        <v>46164</v>
      </c>
      <c r="O1324" t="s">
        <v>409</v>
      </c>
      <c r="P1324" t="s">
        <v>55</v>
      </c>
      <c r="T1324" t="s">
        <v>2246</v>
      </c>
      <c r="U1324">
        <v>1448</v>
      </c>
      <c r="V1324" t="s">
        <v>175</v>
      </c>
      <c r="W1324">
        <v>14.88</v>
      </c>
      <c r="X1324" t="s">
        <v>57</v>
      </c>
      <c r="AA1324" t="s">
        <v>50</v>
      </c>
      <c r="AE1324">
        <v>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</row>
    <row r="1325" spans="1:42" x14ac:dyDescent="0.25">
      <c r="A1325">
        <v>1513</v>
      </c>
      <c r="B1325" t="s">
        <v>2366</v>
      </c>
      <c r="C1325" t="s">
        <v>2367</v>
      </c>
      <c r="D1325" t="s">
        <v>117</v>
      </c>
      <c r="E1325" s="4">
        <v>1</v>
      </c>
      <c r="F1325" t="s">
        <v>101</v>
      </c>
      <c r="G1325" t="s">
        <v>101</v>
      </c>
      <c r="H1325" s="3">
        <v>46146</v>
      </c>
      <c r="I1325" s="3">
        <v>46149</v>
      </c>
      <c r="J1325" t="s">
        <v>418</v>
      </c>
      <c r="K1325" s="3">
        <v>46154</v>
      </c>
      <c r="L1325" s="3">
        <v>46153</v>
      </c>
      <c r="M1325" s="3">
        <v>46149</v>
      </c>
      <c r="N1325" s="3">
        <v>46149</v>
      </c>
      <c r="O1325" t="s">
        <v>409</v>
      </c>
      <c r="P1325" t="s">
        <v>55</v>
      </c>
      <c r="Q1325" t="s">
        <v>2368</v>
      </c>
      <c r="S1325" t="s">
        <v>2306</v>
      </c>
      <c r="T1325" t="s">
        <v>2246</v>
      </c>
      <c r="U1325" t="s">
        <v>2369</v>
      </c>
      <c r="V1325" t="s">
        <v>127</v>
      </c>
      <c r="W1325">
        <v>13.4</v>
      </c>
      <c r="X1325" t="s">
        <v>57</v>
      </c>
      <c r="Z1325" t="s">
        <v>2306</v>
      </c>
      <c r="AA1325" t="s">
        <v>93</v>
      </c>
      <c r="AE1325">
        <v>1</v>
      </c>
      <c r="AF1325">
        <v>1</v>
      </c>
      <c r="AG1325">
        <v>1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1</v>
      </c>
    </row>
    <row r="1326" spans="1:42" x14ac:dyDescent="0.25">
      <c r="A1326">
        <v>1514</v>
      </c>
      <c r="B1326" t="s">
        <v>2370</v>
      </c>
      <c r="C1326" t="s">
        <v>2367</v>
      </c>
      <c r="D1326" t="s">
        <v>121</v>
      </c>
      <c r="E1326" s="4">
        <v>1</v>
      </c>
      <c r="F1326" t="s">
        <v>61</v>
      </c>
      <c r="G1326" t="s">
        <v>61</v>
      </c>
      <c r="H1326" s="3">
        <v>46149</v>
      </c>
      <c r="I1326" s="3">
        <v>46149</v>
      </c>
      <c r="J1326" t="s">
        <v>68</v>
      </c>
      <c r="K1326" s="3">
        <v>46157</v>
      </c>
      <c r="L1326" s="3">
        <v>46155</v>
      </c>
      <c r="M1326" s="3">
        <v>46149</v>
      </c>
      <c r="N1326" s="3">
        <v>46149</v>
      </c>
      <c r="O1326" t="s">
        <v>416</v>
      </c>
      <c r="P1326" t="s">
        <v>55</v>
      </c>
      <c r="Q1326">
        <v>1513</v>
      </c>
      <c r="S1326" t="s">
        <v>124</v>
      </c>
      <c r="T1326" t="s">
        <v>2246</v>
      </c>
      <c r="U1326">
        <v>1515</v>
      </c>
      <c r="V1326" t="s">
        <v>122</v>
      </c>
      <c r="W1326">
        <v>13.4</v>
      </c>
      <c r="X1326" t="s">
        <v>57</v>
      </c>
      <c r="Z1326" t="s">
        <v>124</v>
      </c>
      <c r="AA1326" t="s">
        <v>93</v>
      </c>
      <c r="AE1326">
        <v>1</v>
      </c>
      <c r="AF1326">
        <v>0</v>
      </c>
      <c r="AG1326">
        <v>0</v>
      </c>
      <c r="AH1326">
        <v>0</v>
      </c>
      <c r="AI1326">
        <v>0</v>
      </c>
      <c r="AJ1326">
        <v>1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</row>
    <row r="1327" spans="1:42" x14ac:dyDescent="0.25">
      <c r="A1327">
        <v>1515</v>
      </c>
      <c r="B1327" t="s">
        <v>2371</v>
      </c>
      <c r="C1327" t="s">
        <v>2367</v>
      </c>
      <c r="D1327" t="s">
        <v>126</v>
      </c>
      <c r="E1327" s="4">
        <v>1</v>
      </c>
      <c r="F1327" t="s">
        <v>122</v>
      </c>
      <c r="G1327" t="s">
        <v>122</v>
      </c>
      <c r="H1327" s="3">
        <v>46150</v>
      </c>
      <c r="I1327" s="3">
        <v>46154</v>
      </c>
      <c r="J1327" t="s">
        <v>185</v>
      </c>
      <c r="K1327" s="3">
        <v>46160</v>
      </c>
      <c r="L1327" s="3">
        <v>46160</v>
      </c>
      <c r="M1327" s="3">
        <v>46154</v>
      </c>
      <c r="N1327" s="3">
        <v>46154</v>
      </c>
      <c r="O1327" t="s">
        <v>403</v>
      </c>
      <c r="P1327" t="s">
        <v>55</v>
      </c>
      <c r="Q1327">
        <v>1514</v>
      </c>
      <c r="S1327" t="s">
        <v>2306</v>
      </c>
      <c r="T1327" t="s">
        <v>2246</v>
      </c>
      <c r="U1327">
        <v>1516</v>
      </c>
      <c r="V1327" t="s">
        <v>61</v>
      </c>
      <c r="W1327">
        <v>13.4</v>
      </c>
      <c r="X1327" t="s">
        <v>57</v>
      </c>
      <c r="Z1327" t="s">
        <v>2306</v>
      </c>
      <c r="AA1327" t="s">
        <v>198</v>
      </c>
      <c r="AE1327">
        <v>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1</v>
      </c>
      <c r="AM1327">
        <v>0</v>
      </c>
      <c r="AN1327">
        <v>0</v>
      </c>
      <c r="AO1327">
        <v>0</v>
      </c>
      <c r="AP1327">
        <v>0</v>
      </c>
    </row>
    <row r="1328" spans="1:42" x14ac:dyDescent="0.25">
      <c r="A1328">
        <v>1516</v>
      </c>
      <c r="B1328" t="s">
        <v>2372</v>
      </c>
      <c r="C1328" t="s">
        <v>2367</v>
      </c>
      <c r="D1328" t="s">
        <v>133</v>
      </c>
      <c r="E1328" s="4">
        <v>1</v>
      </c>
      <c r="F1328" t="s">
        <v>210</v>
      </c>
      <c r="G1328" t="s">
        <v>210</v>
      </c>
      <c r="H1328" s="3">
        <v>46155</v>
      </c>
      <c r="I1328" s="3">
        <v>46164</v>
      </c>
      <c r="J1328" t="s">
        <v>90</v>
      </c>
      <c r="K1328" s="3">
        <v>46161</v>
      </c>
      <c r="L1328" s="3">
        <v>46161</v>
      </c>
      <c r="M1328" s="3">
        <v>46164</v>
      </c>
      <c r="N1328" s="3">
        <v>46164</v>
      </c>
      <c r="O1328" t="s">
        <v>68</v>
      </c>
      <c r="P1328" t="s">
        <v>55</v>
      </c>
      <c r="Q1328">
        <v>1515</v>
      </c>
      <c r="S1328" t="s">
        <v>124</v>
      </c>
      <c r="T1328" t="s">
        <v>2246</v>
      </c>
      <c r="V1328" t="s">
        <v>61</v>
      </c>
      <c r="W1328">
        <v>13.4</v>
      </c>
      <c r="X1328" t="s">
        <v>57</v>
      </c>
      <c r="Z1328" t="s">
        <v>124</v>
      </c>
      <c r="AA1328" t="s">
        <v>198</v>
      </c>
      <c r="AE1328">
        <v>1</v>
      </c>
      <c r="AF1328">
        <v>0</v>
      </c>
      <c r="AG1328">
        <v>0</v>
      </c>
      <c r="AH1328">
        <v>0</v>
      </c>
      <c r="AI1328">
        <v>1</v>
      </c>
      <c r="AJ1328">
        <v>0</v>
      </c>
      <c r="AK1328">
        <v>0</v>
      </c>
      <c r="AL1328">
        <v>0</v>
      </c>
      <c r="AM1328">
        <v>0</v>
      </c>
      <c r="AN1328">
        <v>1</v>
      </c>
      <c r="AO1328">
        <v>0</v>
      </c>
      <c r="AP1328">
        <v>0</v>
      </c>
    </row>
    <row r="1329" spans="1:42" x14ac:dyDescent="0.25">
      <c r="A1329">
        <v>1522</v>
      </c>
      <c r="B1329" t="s">
        <v>2373</v>
      </c>
      <c r="C1329" t="s">
        <v>2246</v>
      </c>
      <c r="D1329" t="s">
        <v>2374</v>
      </c>
      <c r="E1329" s="4">
        <v>1</v>
      </c>
      <c r="F1329" t="s">
        <v>214</v>
      </c>
      <c r="G1329" t="s">
        <v>214</v>
      </c>
      <c r="H1329" s="3">
        <v>46174</v>
      </c>
      <c r="I1329" s="3">
        <v>46183</v>
      </c>
      <c r="J1329" t="s">
        <v>444</v>
      </c>
      <c r="K1329" s="3">
        <v>46167</v>
      </c>
      <c r="L1329" s="3">
        <v>46157</v>
      </c>
      <c r="M1329" s="3">
        <v>46183</v>
      </c>
      <c r="N1329" s="3">
        <v>46183</v>
      </c>
      <c r="O1329" t="s">
        <v>193</v>
      </c>
      <c r="P1329" t="s">
        <v>55</v>
      </c>
      <c r="T1329" t="s">
        <v>2246</v>
      </c>
      <c r="U1329" t="s">
        <v>2375</v>
      </c>
      <c r="V1329" t="s">
        <v>175</v>
      </c>
      <c r="W1329">
        <v>14.88</v>
      </c>
      <c r="X1329" t="s">
        <v>57</v>
      </c>
      <c r="AA1329" t="s">
        <v>50</v>
      </c>
      <c r="AE1329">
        <v>1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</row>
    <row r="1330" spans="1:42" x14ac:dyDescent="0.25">
      <c r="A1330">
        <v>1523</v>
      </c>
      <c r="B1330" t="s">
        <v>2376</v>
      </c>
      <c r="C1330" t="s">
        <v>2377</v>
      </c>
      <c r="D1330" t="s">
        <v>117</v>
      </c>
      <c r="E1330" s="4">
        <v>1</v>
      </c>
      <c r="F1330" t="s">
        <v>127</v>
      </c>
      <c r="G1330" t="s">
        <v>127</v>
      </c>
      <c r="H1330" s="3">
        <v>46174</v>
      </c>
      <c r="I1330" s="3">
        <v>46175</v>
      </c>
      <c r="J1330" t="s">
        <v>444</v>
      </c>
      <c r="K1330" s="3">
        <v>46160</v>
      </c>
      <c r="L1330" s="3">
        <v>46157</v>
      </c>
      <c r="M1330" s="3">
        <v>46175</v>
      </c>
      <c r="N1330" s="3">
        <v>46175</v>
      </c>
      <c r="O1330" t="s">
        <v>193</v>
      </c>
      <c r="P1330" t="s">
        <v>55</v>
      </c>
      <c r="Q1330" t="s">
        <v>2378</v>
      </c>
      <c r="S1330" t="s">
        <v>2306</v>
      </c>
      <c r="T1330" t="s">
        <v>2246</v>
      </c>
      <c r="U1330">
        <v>1524</v>
      </c>
      <c r="V1330" t="s">
        <v>127</v>
      </c>
      <c r="W1330">
        <v>13.4</v>
      </c>
      <c r="X1330" t="s">
        <v>57</v>
      </c>
      <c r="Z1330" t="s">
        <v>2306</v>
      </c>
      <c r="AA1330" t="s">
        <v>93</v>
      </c>
      <c r="AE1330">
        <v>1</v>
      </c>
      <c r="AF1330">
        <v>1</v>
      </c>
      <c r="AG1330">
        <v>1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1</v>
      </c>
    </row>
    <row r="1331" spans="1:42" x14ac:dyDescent="0.25">
      <c r="A1331">
        <v>1524</v>
      </c>
      <c r="B1331" t="s">
        <v>2379</v>
      </c>
      <c r="C1331" t="s">
        <v>2377</v>
      </c>
      <c r="D1331" t="s">
        <v>121</v>
      </c>
      <c r="E1331" s="4">
        <v>1</v>
      </c>
      <c r="F1331" t="s">
        <v>61</v>
      </c>
      <c r="G1331" t="s">
        <v>61</v>
      </c>
      <c r="H1331" s="3">
        <v>46175</v>
      </c>
      <c r="I1331" s="3">
        <v>46176</v>
      </c>
      <c r="J1331" t="s">
        <v>90</v>
      </c>
      <c r="K1331" s="3">
        <v>46163</v>
      </c>
      <c r="L1331" s="3">
        <v>46161</v>
      </c>
      <c r="M1331" s="3">
        <v>46176</v>
      </c>
      <c r="N1331" s="3">
        <v>46176</v>
      </c>
      <c r="O1331" t="s">
        <v>472</v>
      </c>
      <c r="P1331" t="s">
        <v>55</v>
      </c>
      <c r="Q1331">
        <v>1523</v>
      </c>
      <c r="S1331" t="s">
        <v>124</v>
      </c>
      <c r="T1331" t="s">
        <v>2246</v>
      </c>
      <c r="U1331">
        <v>1525</v>
      </c>
      <c r="V1331" t="s">
        <v>122</v>
      </c>
      <c r="W1331">
        <v>13.4</v>
      </c>
      <c r="X1331" t="s">
        <v>57</v>
      </c>
      <c r="Z1331" t="s">
        <v>124</v>
      </c>
      <c r="AA1331" t="s">
        <v>198</v>
      </c>
      <c r="AE1331">
        <v>1</v>
      </c>
      <c r="AF1331">
        <v>0</v>
      </c>
      <c r="AG1331">
        <v>0</v>
      </c>
      <c r="AH1331">
        <v>0</v>
      </c>
      <c r="AI1331">
        <v>0</v>
      </c>
      <c r="AJ1331">
        <v>1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</row>
    <row r="1332" spans="1:42" x14ac:dyDescent="0.25">
      <c r="A1332">
        <v>1525</v>
      </c>
      <c r="B1332" t="s">
        <v>2380</v>
      </c>
      <c r="C1332" t="s">
        <v>2377</v>
      </c>
      <c r="D1332" t="s">
        <v>126</v>
      </c>
      <c r="E1332" s="4">
        <v>1</v>
      </c>
      <c r="F1332" t="s">
        <v>127</v>
      </c>
      <c r="G1332" t="s">
        <v>127</v>
      </c>
      <c r="H1332" s="3">
        <v>46181</v>
      </c>
      <c r="I1332" s="3">
        <v>46182</v>
      </c>
      <c r="J1332" t="s">
        <v>471</v>
      </c>
      <c r="K1332" s="3">
        <v>46164</v>
      </c>
      <c r="L1332" s="3">
        <v>46164</v>
      </c>
      <c r="M1332" s="3">
        <v>46182</v>
      </c>
      <c r="N1332" s="3">
        <v>46182</v>
      </c>
      <c r="O1332" t="s">
        <v>201</v>
      </c>
      <c r="P1332" t="s">
        <v>55</v>
      </c>
      <c r="Q1332">
        <v>1524</v>
      </c>
      <c r="S1332" t="s">
        <v>2306</v>
      </c>
      <c r="T1332" t="s">
        <v>2246</v>
      </c>
      <c r="U1332">
        <v>1526</v>
      </c>
      <c r="V1332" t="s">
        <v>61</v>
      </c>
      <c r="W1332">
        <v>13.4</v>
      </c>
      <c r="X1332" t="s">
        <v>57</v>
      </c>
      <c r="Z1332" t="s">
        <v>2306</v>
      </c>
      <c r="AA1332" t="s">
        <v>198</v>
      </c>
      <c r="AE1332">
        <v>1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1</v>
      </c>
      <c r="AM1332">
        <v>0</v>
      </c>
      <c r="AN1332">
        <v>0</v>
      </c>
      <c r="AO1332">
        <v>0</v>
      </c>
      <c r="AP1332">
        <v>0</v>
      </c>
    </row>
    <row r="1333" spans="1:42" x14ac:dyDescent="0.25">
      <c r="A1333">
        <v>1526</v>
      </c>
      <c r="B1333" t="s">
        <v>2381</v>
      </c>
      <c r="C1333" t="s">
        <v>2377</v>
      </c>
      <c r="D1333" t="s">
        <v>133</v>
      </c>
      <c r="E1333" s="4">
        <v>1</v>
      </c>
      <c r="F1333" t="s">
        <v>61</v>
      </c>
      <c r="G1333" t="s">
        <v>61</v>
      </c>
      <c r="H1333" s="3">
        <v>46182</v>
      </c>
      <c r="I1333" s="3">
        <v>46183</v>
      </c>
      <c r="J1333" t="s">
        <v>74</v>
      </c>
      <c r="K1333" s="3">
        <v>46167</v>
      </c>
      <c r="L1333" s="3">
        <v>46167</v>
      </c>
      <c r="M1333" s="3">
        <v>46183</v>
      </c>
      <c r="N1333" s="3">
        <v>46183</v>
      </c>
      <c r="O1333" t="s">
        <v>204</v>
      </c>
      <c r="P1333" t="s">
        <v>55</v>
      </c>
      <c r="Q1333">
        <v>1525</v>
      </c>
      <c r="S1333" t="s">
        <v>124</v>
      </c>
      <c r="T1333" t="s">
        <v>2246</v>
      </c>
      <c r="U1333" t="s">
        <v>2382</v>
      </c>
      <c r="V1333" t="s">
        <v>61</v>
      </c>
      <c r="W1333">
        <v>13.4</v>
      </c>
      <c r="X1333" t="s">
        <v>57</v>
      </c>
      <c r="Z1333" t="s">
        <v>124</v>
      </c>
      <c r="AA1333" t="s">
        <v>77</v>
      </c>
      <c r="AE1333">
        <v>1</v>
      </c>
      <c r="AF1333">
        <v>0</v>
      </c>
      <c r="AG1333">
        <v>0</v>
      </c>
      <c r="AH1333">
        <v>0</v>
      </c>
      <c r="AI1333">
        <v>1</v>
      </c>
      <c r="AJ1333">
        <v>0</v>
      </c>
      <c r="AK1333">
        <v>0</v>
      </c>
      <c r="AL1333">
        <v>0</v>
      </c>
      <c r="AM1333">
        <v>0</v>
      </c>
      <c r="AN1333">
        <v>1</v>
      </c>
      <c r="AO1333">
        <v>0</v>
      </c>
      <c r="AP1333">
        <v>0</v>
      </c>
    </row>
    <row r="1334" spans="1:42" x14ac:dyDescent="0.25">
      <c r="A1334">
        <v>1527</v>
      </c>
      <c r="B1334" t="s">
        <v>2383</v>
      </c>
      <c r="C1334" t="s">
        <v>2246</v>
      </c>
      <c r="D1334" t="s">
        <v>2384</v>
      </c>
      <c r="E1334" s="4">
        <v>1</v>
      </c>
      <c r="F1334" t="s">
        <v>210</v>
      </c>
      <c r="G1334" t="s">
        <v>210</v>
      </c>
      <c r="H1334" s="3">
        <v>46176</v>
      </c>
      <c r="I1334" s="3">
        <v>46189</v>
      </c>
      <c r="J1334" t="s">
        <v>459</v>
      </c>
      <c r="K1334" s="3">
        <v>46189</v>
      </c>
      <c r="L1334" s="3">
        <v>46176</v>
      </c>
      <c r="M1334" s="3">
        <v>46189</v>
      </c>
      <c r="N1334" s="3">
        <v>46189</v>
      </c>
      <c r="O1334" t="s">
        <v>459</v>
      </c>
      <c r="P1334" t="s">
        <v>55</v>
      </c>
      <c r="T1334" t="s">
        <v>2246</v>
      </c>
      <c r="U1334" t="s">
        <v>2375</v>
      </c>
      <c r="V1334" t="s">
        <v>175</v>
      </c>
      <c r="W1334">
        <v>14.88</v>
      </c>
      <c r="X1334" t="s">
        <v>57</v>
      </c>
      <c r="AA1334" t="s">
        <v>50</v>
      </c>
      <c r="AB1334" t="s">
        <v>94</v>
      </c>
      <c r="AE1334">
        <v>1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</row>
    <row r="1335" spans="1:42" x14ac:dyDescent="0.25">
      <c r="A1335">
        <v>1528</v>
      </c>
      <c r="B1335" t="s">
        <v>2385</v>
      </c>
      <c r="C1335" t="s">
        <v>2386</v>
      </c>
      <c r="D1335" t="s">
        <v>117</v>
      </c>
      <c r="E1335" s="4">
        <v>1</v>
      </c>
      <c r="F1335" t="s">
        <v>127</v>
      </c>
      <c r="G1335" t="s">
        <v>127</v>
      </c>
      <c r="H1335" s="3">
        <v>46176</v>
      </c>
      <c r="I1335" s="3">
        <v>46181</v>
      </c>
      <c r="J1335" t="s">
        <v>459</v>
      </c>
      <c r="K1335" s="3">
        <v>46181</v>
      </c>
      <c r="L1335" s="3">
        <v>46176</v>
      </c>
      <c r="M1335" s="3">
        <v>46181</v>
      </c>
      <c r="N1335" s="3">
        <v>46181</v>
      </c>
      <c r="O1335" t="s">
        <v>459</v>
      </c>
      <c r="P1335" t="s">
        <v>55</v>
      </c>
      <c r="Q1335" t="s">
        <v>2378</v>
      </c>
      <c r="S1335" t="s">
        <v>2306</v>
      </c>
      <c r="T1335" t="s">
        <v>2246</v>
      </c>
      <c r="U1335">
        <v>1529</v>
      </c>
      <c r="V1335" t="s">
        <v>127</v>
      </c>
      <c r="W1335">
        <v>13.4</v>
      </c>
      <c r="X1335" t="s">
        <v>57</v>
      </c>
      <c r="Z1335" t="s">
        <v>2306</v>
      </c>
      <c r="AA1335" t="s">
        <v>93</v>
      </c>
      <c r="AE1335">
        <v>1</v>
      </c>
      <c r="AF1335">
        <v>1</v>
      </c>
      <c r="AG1335">
        <v>1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1</v>
      </c>
    </row>
    <row r="1336" spans="1:42" x14ac:dyDescent="0.25">
      <c r="A1336">
        <v>1529</v>
      </c>
      <c r="B1336" t="s">
        <v>2387</v>
      </c>
      <c r="C1336" t="s">
        <v>2386</v>
      </c>
      <c r="D1336" t="s">
        <v>121</v>
      </c>
      <c r="E1336" s="4">
        <v>1</v>
      </c>
      <c r="F1336" t="s">
        <v>61</v>
      </c>
      <c r="G1336" t="s">
        <v>61</v>
      </c>
      <c r="H1336" s="3">
        <v>46181</v>
      </c>
      <c r="I1336" s="3">
        <v>46182</v>
      </c>
      <c r="J1336" t="s">
        <v>201</v>
      </c>
      <c r="K1336" s="3">
        <v>46182</v>
      </c>
      <c r="L1336" s="3">
        <v>46181</v>
      </c>
      <c r="M1336" s="3">
        <v>46182</v>
      </c>
      <c r="N1336" s="3">
        <v>46182</v>
      </c>
      <c r="O1336" t="s">
        <v>201</v>
      </c>
      <c r="P1336" t="s">
        <v>55</v>
      </c>
      <c r="Q1336">
        <v>1528</v>
      </c>
      <c r="S1336" t="s">
        <v>124</v>
      </c>
      <c r="T1336" t="s">
        <v>2246</v>
      </c>
      <c r="U1336">
        <v>1530</v>
      </c>
      <c r="V1336" t="s">
        <v>122</v>
      </c>
      <c r="W1336">
        <v>13.4</v>
      </c>
      <c r="X1336" t="s">
        <v>57</v>
      </c>
      <c r="Z1336" t="s">
        <v>124</v>
      </c>
      <c r="AA1336" t="s">
        <v>198</v>
      </c>
      <c r="AE1336">
        <v>1</v>
      </c>
      <c r="AF1336">
        <v>0</v>
      </c>
      <c r="AG1336">
        <v>0</v>
      </c>
      <c r="AH1336">
        <v>0</v>
      </c>
      <c r="AI1336">
        <v>0</v>
      </c>
      <c r="AJ1336">
        <v>1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</row>
    <row r="1337" spans="1:42" x14ac:dyDescent="0.25">
      <c r="A1337">
        <v>1530</v>
      </c>
      <c r="B1337" t="s">
        <v>2388</v>
      </c>
      <c r="C1337" t="s">
        <v>2386</v>
      </c>
      <c r="D1337" t="s">
        <v>126</v>
      </c>
      <c r="E1337" s="4">
        <v>1</v>
      </c>
      <c r="F1337" t="s">
        <v>61</v>
      </c>
      <c r="G1337" t="s">
        <v>61</v>
      </c>
      <c r="H1337" s="3">
        <v>46182</v>
      </c>
      <c r="I1337" s="3">
        <v>46183</v>
      </c>
      <c r="J1337" t="s">
        <v>204</v>
      </c>
      <c r="K1337" s="3">
        <v>46183</v>
      </c>
      <c r="L1337" s="3">
        <v>46182</v>
      </c>
      <c r="M1337" s="3">
        <v>46183</v>
      </c>
      <c r="N1337" s="3">
        <v>46183</v>
      </c>
      <c r="O1337" t="s">
        <v>204</v>
      </c>
      <c r="P1337" t="s">
        <v>55</v>
      </c>
      <c r="Q1337">
        <v>1529</v>
      </c>
      <c r="S1337" t="s">
        <v>2306</v>
      </c>
      <c r="T1337" t="s">
        <v>2246</v>
      </c>
      <c r="U1337">
        <v>1531</v>
      </c>
      <c r="V1337" t="s">
        <v>61</v>
      </c>
      <c r="W1337">
        <v>13.4</v>
      </c>
      <c r="X1337" t="s">
        <v>57</v>
      </c>
      <c r="Z1337" t="s">
        <v>2306</v>
      </c>
      <c r="AA1337" t="s">
        <v>198</v>
      </c>
      <c r="AE1337">
        <v>1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1</v>
      </c>
      <c r="AM1337">
        <v>0</v>
      </c>
      <c r="AN1337">
        <v>0</v>
      </c>
      <c r="AO1337">
        <v>0</v>
      </c>
      <c r="AP1337">
        <v>0</v>
      </c>
    </row>
    <row r="1338" spans="1:42" x14ac:dyDescent="0.25">
      <c r="A1338">
        <v>1531</v>
      </c>
      <c r="B1338" t="s">
        <v>2389</v>
      </c>
      <c r="C1338" t="s">
        <v>2386</v>
      </c>
      <c r="D1338" t="s">
        <v>133</v>
      </c>
      <c r="E1338" s="4">
        <v>1</v>
      </c>
      <c r="F1338" t="s">
        <v>101</v>
      </c>
      <c r="G1338" t="s">
        <v>101</v>
      </c>
      <c r="H1338" s="3">
        <v>46184</v>
      </c>
      <c r="I1338" s="3">
        <v>46189</v>
      </c>
      <c r="J1338" t="s">
        <v>476</v>
      </c>
      <c r="K1338" s="3">
        <v>46189</v>
      </c>
      <c r="L1338" s="3">
        <v>46184</v>
      </c>
      <c r="M1338" s="3">
        <v>46189</v>
      </c>
      <c r="N1338" s="3">
        <v>46189</v>
      </c>
      <c r="O1338" t="s">
        <v>476</v>
      </c>
      <c r="P1338" t="s">
        <v>55</v>
      </c>
      <c r="Q1338">
        <v>1530</v>
      </c>
      <c r="S1338" t="s">
        <v>124</v>
      </c>
      <c r="T1338" t="s">
        <v>2246</v>
      </c>
      <c r="U1338" t="s">
        <v>2382</v>
      </c>
      <c r="V1338" t="s">
        <v>61</v>
      </c>
      <c r="W1338">
        <v>13.4</v>
      </c>
      <c r="X1338" t="s">
        <v>57</v>
      </c>
      <c r="Z1338" t="s">
        <v>124</v>
      </c>
      <c r="AA1338" t="s">
        <v>77</v>
      </c>
      <c r="AE1338">
        <v>1</v>
      </c>
      <c r="AF1338">
        <v>0</v>
      </c>
      <c r="AG1338">
        <v>0</v>
      </c>
      <c r="AH1338">
        <v>0</v>
      </c>
      <c r="AI1338">
        <v>1</v>
      </c>
      <c r="AJ1338">
        <v>0</v>
      </c>
      <c r="AK1338">
        <v>0</v>
      </c>
      <c r="AL1338">
        <v>0</v>
      </c>
      <c r="AM1338">
        <v>0</v>
      </c>
      <c r="AN1338">
        <v>1</v>
      </c>
      <c r="AO1338">
        <v>0</v>
      </c>
      <c r="AP1338">
        <v>0</v>
      </c>
    </row>
    <row r="1339" spans="1:42" x14ac:dyDescent="0.25">
      <c r="A1339">
        <v>1537</v>
      </c>
      <c r="B1339" t="s">
        <v>2390</v>
      </c>
      <c r="C1339" t="s">
        <v>2246</v>
      </c>
      <c r="D1339" t="s">
        <v>2391</v>
      </c>
      <c r="E1339" s="4">
        <v>1</v>
      </c>
      <c r="F1339" t="s">
        <v>175</v>
      </c>
      <c r="G1339" t="s">
        <v>175</v>
      </c>
      <c r="H1339" s="3">
        <v>46174</v>
      </c>
      <c r="I1339" s="3">
        <v>46184</v>
      </c>
      <c r="J1339" t="s">
        <v>193</v>
      </c>
      <c r="K1339" s="3">
        <v>46184</v>
      </c>
      <c r="L1339" s="3">
        <v>46174</v>
      </c>
      <c r="M1339" s="3">
        <v>46184</v>
      </c>
      <c r="N1339" s="3">
        <v>46184</v>
      </c>
      <c r="O1339" t="s">
        <v>193</v>
      </c>
      <c r="P1339" t="s">
        <v>55</v>
      </c>
      <c r="T1339" t="s">
        <v>2246</v>
      </c>
      <c r="U1339" t="s">
        <v>2375</v>
      </c>
      <c r="V1339" t="s">
        <v>175</v>
      </c>
      <c r="W1339">
        <v>14.88</v>
      </c>
      <c r="X1339" t="s">
        <v>57</v>
      </c>
      <c r="AA1339" t="s">
        <v>50</v>
      </c>
      <c r="AB1339" t="s">
        <v>94</v>
      </c>
      <c r="AE1339">
        <v>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</row>
    <row r="1340" spans="1:42" x14ac:dyDescent="0.25">
      <c r="A1340">
        <v>1538</v>
      </c>
      <c r="B1340" t="s">
        <v>2392</v>
      </c>
      <c r="C1340" t="s">
        <v>2393</v>
      </c>
      <c r="D1340" t="s">
        <v>117</v>
      </c>
      <c r="E1340" s="4">
        <v>1</v>
      </c>
      <c r="F1340" t="s">
        <v>122</v>
      </c>
      <c r="G1340" t="s">
        <v>122</v>
      </c>
      <c r="H1340" s="3">
        <v>46174</v>
      </c>
      <c r="I1340" s="3">
        <v>46176</v>
      </c>
      <c r="J1340" t="s">
        <v>193</v>
      </c>
      <c r="K1340" s="3">
        <v>46176</v>
      </c>
      <c r="L1340" s="3">
        <v>46174</v>
      </c>
      <c r="M1340" s="3">
        <v>46176</v>
      </c>
      <c r="N1340" s="3">
        <v>46176</v>
      </c>
      <c r="O1340" t="s">
        <v>193</v>
      </c>
      <c r="P1340" t="s">
        <v>55</v>
      </c>
      <c r="Q1340" t="s">
        <v>2394</v>
      </c>
      <c r="S1340" t="s">
        <v>2306</v>
      </c>
      <c r="T1340" t="s">
        <v>2246</v>
      </c>
      <c r="U1340">
        <v>1539</v>
      </c>
      <c r="V1340" t="s">
        <v>127</v>
      </c>
      <c r="W1340">
        <v>13.4</v>
      </c>
      <c r="X1340" t="s">
        <v>57</v>
      </c>
      <c r="Z1340" t="s">
        <v>2306</v>
      </c>
      <c r="AA1340" t="s">
        <v>93</v>
      </c>
      <c r="AE1340">
        <v>1</v>
      </c>
      <c r="AF1340">
        <v>1</v>
      </c>
      <c r="AG1340">
        <v>1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1</v>
      </c>
    </row>
    <row r="1341" spans="1:42" x14ac:dyDescent="0.25">
      <c r="A1341">
        <v>1539</v>
      </c>
      <c r="B1341" t="s">
        <v>2395</v>
      </c>
      <c r="C1341" t="s">
        <v>2393</v>
      </c>
      <c r="D1341" t="s">
        <v>121</v>
      </c>
      <c r="E1341" s="4">
        <v>1</v>
      </c>
      <c r="F1341" t="s">
        <v>61</v>
      </c>
      <c r="G1341" t="s">
        <v>61</v>
      </c>
      <c r="H1341" s="3">
        <v>46176</v>
      </c>
      <c r="I1341" s="3">
        <v>46176</v>
      </c>
      <c r="J1341" t="s">
        <v>459</v>
      </c>
      <c r="K1341" s="3">
        <v>46176</v>
      </c>
      <c r="L1341" s="3">
        <v>46176</v>
      </c>
      <c r="M1341" s="3">
        <v>46176</v>
      </c>
      <c r="N1341" s="3">
        <v>46176</v>
      </c>
      <c r="O1341" t="s">
        <v>459</v>
      </c>
      <c r="P1341" t="s">
        <v>55</v>
      </c>
      <c r="Q1341">
        <v>1538</v>
      </c>
      <c r="S1341" t="s">
        <v>124</v>
      </c>
      <c r="T1341" t="s">
        <v>2246</v>
      </c>
      <c r="U1341">
        <v>1540</v>
      </c>
      <c r="V1341" t="s">
        <v>122</v>
      </c>
      <c r="W1341">
        <v>13.4</v>
      </c>
      <c r="X1341" t="s">
        <v>57</v>
      </c>
      <c r="Z1341" t="s">
        <v>124</v>
      </c>
      <c r="AA1341" t="s">
        <v>198</v>
      </c>
      <c r="AE1341">
        <v>1</v>
      </c>
      <c r="AF1341">
        <v>0</v>
      </c>
      <c r="AG1341">
        <v>0</v>
      </c>
      <c r="AH1341">
        <v>0</v>
      </c>
      <c r="AI1341">
        <v>0</v>
      </c>
      <c r="AJ1341">
        <v>1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</row>
    <row r="1342" spans="1:42" x14ac:dyDescent="0.25">
      <c r="A1342">
        <v>1540</v>
      </c>
      <c r="B1342" t="s">
        <v>2396</v>
      </c>
      <c r="C1342" t="s">
        <v>2393</v>
      </c>
      <c r="D1342" t="s">
        <v>126</v>
      </c>
      <c r="E1342" s="4">
        <v>1</v>
      </c>
      <c r="F1342" t="s">
        <v>61</v>
      </c>
      <c r="G1342" t="s">
        <v>61</v>
      </c>
      <c r="H1342" s="3">
        <v>46181</v>
      </c>
      <c r="I1342" s="3">
        <v>46181</v>
      </c>
      <c r="J1342" t="s">
        <v>201</v>
      </c>
      <c r="K1342" s="3">
        <v>46181</v>
      </c>
      <c r="L1342" s="3">
        <v>46181</v>
      </c>
      <c r="M1342" s="3">
        <v>46181</v>
      </c>
      <c r="N1342" s="3">
        <v>46181</v>
      </c>
      <c r="O1342" t="s">
        <v>201</v>
      </c>
      <c r="P1342" t="s">
        <v>55</v>
      </c>
      <c r="Q1342">
        <v>1539</v>
      </c>
      <c r="S1342" t="s">
        <v>2306</v>
      </c>
      <c r="T1342" t="s">
        <v>2246</v>
      </c>
      <c r="U1342">
        <v>1541</v>
      </c>
      <c r="V1342" t="s">
        <v>61</v>
      </c>
      <c r="W1342">
        <v>13.4</v>
      </c>
      <c r="X1342" t="s">
        <v>57</v>
      </c>
      <c r="Z1342" t="s">
        <v>2306</v>
      </c>
      <c r="AA1342" t="s">
        <v>198</v>
      </c>
      <c r="AE1342">
        <v>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1</v>
      </c>
      <c r="AM1342">
        <v>0</v>
      </c>
      <c r="AN1342">
        <v>0</v>
      </c>
      <c r="AO1342">
        <v>0</v>
      </c>
      <c r="AP1342">
        <v>0</v>
      </c>
    </row>
    <row r="1343" spans="1:42" x14ac:dyDescent="0.25">
      <c r="A1343">
        <v>1541</v>
      </c>
      <c r="B1343" t="s">
        <v>2397</v>
      </c>
      <c r="C1343" t="s">
        <v>2393</v>
      </c>
      <c r="D1343" t="s">
        <v>133</v>
      </c>
      <c r="E1343" s="4">
        <v>1</v>
      </c>
      <c r="F1343" t="s">
        <v>122</v>
      </c>
      <c r="G1343" t="s">
        <v>122</v>
      </c>
      <c r="H1343" s="3">
        <v>46182</v>
      </c>
      <c r="I1343" s="3">
        <v>46184</v>
      </c>
      <c r="J1343" t="s">
        <v>204</v>
      </c>
      <c r="K1343" s="3">
        <v>46184</v>
      </c>
      <c r="L1343" s="3">
        <v>46182</v>
      </c>
      <c r="M1343" s="3">
        <v>46184</v>
      </c>
      <c r="N1343" s="3">
        <v>46184</v>
      </c>
      <c r="O1343" t="s">
        <v>204</v>
      </c>
      <c r="P1343" t="s">
        <v>55</v>
      </c>
      <c r="Q1343">
        <v>1540</v>
      </c>
      <c r="S1343" t="s">
        <v>124</v>
      </c>
      <c r="T1343" t="s">
        <v>2246</v>
      </c>
      <c r="U1343" t="s">
        <v>2398</v>
      </c>
      <c r="V1343" t="s">
        <v>61</v>
      </c>
      <c r="W1343">
        <v>13.4</v>
      </c>
      <c r="X1343" t="s">
        <v>57</v>
      </c>
      <c r="Z1343" t="s">
        <v>124</v>
      </c>
      <c r="AA1343" t="s">
        <v>77</v>
      </c>
      <c r="AE1343">
        <v>1</v>
      </c>
      <c r="AF1343">
        <v>0</v>
      </c>
      <c r="AG1343">
        <v>0</v>
      </c>
      <c r="AH1343">
        <v>0</v>
      </c>
      <c r="AI1343">
        <v>1</v>
      </c>
      <c r="AJ1343">
        <v>0</v>
      </c>
      <c r="AK1343">
        <v>0</v>
      </c>
      <c r="AL1343">
        <v>0</v>
      </c>
      <c r="AM1343">
        <v>0</v>
      </c>
      <c r="AN1343">
        <v>1</v>
      </c>
      <c r="AO1343">
        <v>0</v>
      </c>
      <c r="AP1343">
        <v>0</v>
      </c>
    </row>
    <row r="1344" spans="1:42" x14ac:dyDescent="0.25">
      <c r="A1344">
        <v>1542</v>
      </c>
      <c r="B1344" t="s">
        <v>2399</v>
      </c>
      <c r="C1344" t="s">
        <v>2246</v>
      </c>
      <c r="D1344" t="s">
        <v>2400</v>
      </c>
      <c r="E1344" s="4">
        <v>1</v>
      </c>
      <c r="F1344" t="s">
        <v>203</v>
      </c>
      <c r="G1344" t="s">
        <v>203</v>
      </c>
      <c r="H1344" s="3">
        <v>46174</v>
      </c>
      <c r="I1344" s="3">
        <v>46190</v>
      </c>
      <c r="J1344" t="s">
        <v>193</v>
      </c>
      <c r="K1344" s="3">
        <v>46190</v>
      </c>
      <c r="L1344" s="3">
        <v>46174</v>
      </c>
      <c r="M1344" s="3">
        <v>46190</v>
      </c>
      <c r="N1344" s="3">
        <v>46190</v>
      </c>
      <c r="O1344" t="s">
        <v>193</v>
      </c>
      <c r="P1344" t="s">
        <v>55</v>
      </c>
      <c r="T1344" t="s">
        <v>2246</v>
      </c>
      <c r="U1344" t="s">
        <v>2375</v>
      </c>
      <c r="V1344" t="s">
        <v>175</v>
      </c>
      <c r="W1344">
        <v>14.88</v>
      </c>
      <c r="X1344" t="s">
        <v>57</v>
      </c>
      <c r="AA1344" t="s">
        <v>50</v>
      </c>
      <c r="AB1344" t="s">
        <v>94</v>
      </c>
      <c r="AE1344">
        <v>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</row>
    <row r="1345" spans="1:42" x14ac:dyDescent="0.25">
      <c r="A1345">
        <v>1543</v>
      </c>
      <c r="B1345" t="s">
        <v>2401</v>
      </c>
      <c r="C1345" t="s">
        <v>2402</v>
      </c>
      <c r="D1345" t="s">
        <v>117</v>
      </c>
      <c r="E1345" s="4">
        <v>1</v>
      </c>
      <c r="F1345" t="s">
        <v>122</v>
      </c>
      <c r="G1345" t="s">
        <v>122</v>
      </c>
      <c r="H1345" s="3">
        <v>46174</v>
      </c>
      <c r="I1345" s="3">
        <v>46176</v>
      </c>
      <c r="J1345" t="s">
        <v>193</v>
      </c>
      <c r="K1345" s="3">
        <v>46176</v>
      </c>
      <c r="L1345" s="3">
        <v>46174</v>
      </c>
      <c r="M1345" s="3">
        <v>46176</v>
      </c>
      <c r="N1345" s="3">
        <v>46176</v>
      </c>
      <c r="O1345" t="s">
        <v>193</v>
      </c>
      <c r="P1345" t="s">
        <v>55</v>
      </c>
      <c r="Q1345" t="s">
        <v>2403</v>
      </c>
      <c r="S1345" t="s">
        <v>2306</v>
      </c>
      <c r="T1345" t="s">
        <v>2246</v>
      </c>
      <c r="U1345">
        <v>1544</v>
      </c>
      <c r="V1345" t="s">
        <v>127</v>
      </c>
      <c r="W1345">
        <v>13.4</v>
      </c>
      <c r="X1345" t="s">
        <v>57</v>
      </c>
      <c r="Z1345" t="s">
        <v>2306</v>
      </c>
      <c r="AA1345" t="s">
        <v>93</v>
      </c>
      <c r="AE1345">
        <v>1</v>
      </c>
      <c r="AF1345">
        <v>1</v>
      </c>
      <c r="AG1345">
        <v>1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1</v>
      </c>
    </row>
    <row r="1346" spans="1:42" x14ac:dyDescent="0.25">
      <c r="A1346">
        <v>1544</v>
      </c>
      <c r="B1346" t="s">
        <v>2404</v>
      </c>
      <c r="C1346" t="s">
        <v>2402</v>
      </c>
      <c r="D1346" t="s">
        <v>121</v>
      </c>
      <c r="E1346" s="4">
        <v>1</v>
      </c>
      <c r="F1346" t="s">
        <v>61</v>
      </c>
      <c r="G1346" t="s">
        <v>61</v>
      </c>
      <c r="H1346" s="3">
        <v>46176</v>
      </c>
      <c r="I1346" s="3">
        <v>46176</v>
      </c>
      <c r="J1346" t="s">
        <v>459</v>
      </c>
      <c r="K1346" s="3">
        <v>46176</v>
      </c>
      <c r="L1346" s="3">
        <v>46176</v>
      </c>
      <c r="M1346" s="3">
        <v>46176</v>
      </c>
      <c r="N1346" s="3">
        <v>46176</v>
      </c>
      <c r="O1346" t="s">
        <v>459</v>
      </c>
      <c r="P1346" t="s">
        <v>55</v>
      </c>
      <c r="Q1346">
        <v>1543</v>
      </c>
      <c r="S1346" t="s">
        <v>124</v>
      </c>
      <c r="T1346" t="s">
        <v>2246</v>
      </c>
      <c r="U1346">
        <v>1545</v>
      </c>
      <c r="V1346" t="s">
        <v>122</v>
      </c>
      <c r="W1346">
        <v>13.4</v>
      </c>
      <c r="X1346" t="s">
        <v>57</v>
      </c>
      <c r="Z1346" t="s">
        <v>124</v>
      </c>
      <c r="AA1346" t="s">
        <v>198</v>
      </c>
      <c r="AE1346">
        <v>1</v>
      </c>
      <c r="AF1346">
        <v>0</v>
      </c>
      <c r="AG1346">
        <v>0</v>
      </c>
      <c r="AH1346">
        <v>0</v>
      </c>
      <c r="AI1346">
        <v>0</v>
      </c>
      <c r="AJ1346">
        <v>1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</row>
    <row r="1347" spans="1:42" x14ac:dyDescent="0.25">
      <c r="A1347">
        <v>1545</v>
      </c>
      <c r="B1347" t="s">
        <v>2405</v>
      </c>
      <c r="C1347" t="s">
        <v>2402</v>
      </c>
      <c r="D1347" t="s">
        <v>126</v>
      </c>
      <c r="E1347" s="4">
        <v>1</v>
      </c>
      <c r="F1347" t="s">
        <v>61</v>
      </c>
      <c r="G1347" t="s">
        <v>61</v>
      </c>
      <c r="H1347" s="3">
        <v>46181</v>
      </c>
      <c r="I1347" s="3">
        <v>46181</v>
      </c>
      <c r="J1347" t="s">
        <v>201</v>
      </c>
      <c r="K1347" s="3">
        <v>46181</v>
      </c>
      <c r="L1347" s="3">
        <v>46181</v>
      </c>
      <c r="M1347" s="3">
        <v>46181</v>
      </c>
      <c r="N1347" s="3">
        <v>46181</v>
      </c>
      <c r="O1347" t="s">
        <v>201</v>
      </c>
      <c r="P1347" t="s">
        <v>55</v>
      </c>
      <c r="Q1347">
        <v>1544</v>
      </c>
      <c r="S1347" t="s">
        <v>2306</v>
      </c>
      <c r="T1347" t="s">
        <v>2246</v>
      </c>
      <c r="U1347">
        <v>1546</v>
      </c>
      <c r="V1347" t="s">
        <v>61</v>
      </c>
      <c r="W1347">
        <v>13.4</v>
      </c>
      <c r="X1347" t="s">
        <v>57</v>
      </c>
      <c r="Z1347" t="s">
        <v>2306</v>
      </c>
      <c r="AA1347" t="s">
        <v>198</v>
      </c>
      <c r="AE1347">
        <v>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1</v>
      </c>
      <c r="AM1347">
        <v>0</v>
      </c>
      <c r="AN1347">
        <v>0</v>
      </c>
      <c r="AO1347">
        <v>0</v>
      </c>
      <c r="AP1347">
        <v>0</v>
      </c>
    </row>
    <row r="1348" spans="1:42" x14ac:dyDescent="0.25">
      <c r="A1348">
        <v>1546</v>
      </c>
      <c r="B1348" t="s">
        <v>2406</v>
      </c>
      <c r="C1348" t="s">
        <v>2402</v>
      </c>
      <c r="D1348" t="s">
        <v>133</v>
      </c>
      <c r="E1348" s="4">
        <v>1</v>
      </c>
      <c r="F1348" t="s">
        <v>175</v>
      </c>
      <c r="G1348" t="s">
        <v>175</v>
      </c>
      <c r="H1348" s="3">
        <v>46182</v>
      </c>
      <c r="I1348" s="3">
        <v>46190</v>
      </c>
      <c r="J1348" t="s">
        <v>204</v>
      </c>
      <c r="K1348" s="3">
        <v>46190</v>
      </c>
      <c r="L1348" s="3">
        <v>46182</v>
      </c>
      <c r="M1348" s="3">
        <v>46190</v>
      </c>
      <c r="N1348" s="3">
        <v>46190</v>
      </c>
      <c r="O1348" t="s">
        <v>204</v>
      </c>
      <c r="P1348" t="s">
        <v>55</v>
      </c>
      <c r="Q1348">
        <v>1545</v>
      </c>
      <c r="S1348" t="s">
        <v>124</v>
      </c>
      <c r="T1348" t="s">
        <v>2246</v>
      </c>
      <c r="U1348" t="s">
        <v>2382</v>
      </c>
      <c r="V1348" t="s">
        <v>61</v>
      </c>
      <c r="W1348">
        <v>13.4</v>
      </c>
      <c r="X1348" t="s">
        <v>57</v>
      </c>
      <c r="Z1348" t="s">
        <v>124</v>
      </c>
      <c r="AA1348" t="s">
        <v>77</v>
      </c>
      <c r="AE1348">
        <v>1</v>
      </c>
      <c r="AF1348">
        <v>0</v>
      </c>
      <c r="AG1348">
        <v>0</v>
      </c>
      <c r="AH1348">
        <v>0</v>
      </c>
      <c r="AI1348">
        <v>1</v>
      </c>
      <c r="AJ1348">
        <v>0</v>
      </c>
      <c r="AK1348">
        <v>0</v>
      </c>
      <c r="AL1348">
        <v>0</v>
      </c>
      <c r="AM1348">
        <v>0</v>
      </c>
      <c r="AN1348">
        <v>1</v>
      </c>
      <c r="AO1348">
        <v>0</v>
      </c>
      <c r="AP1348">
        <v>0</v>
      </c>
    </row>
    <row r="1349" spans="1:42" x14ac:dyDescent="0.25">
      <c r="A1349">
        <v>1547</v>
      </c>
      <c r="B1349" t="s">
        <v>2407</v>
      </c>
      <c r="C1349" t="s">
        <v>2246</v>
      </c>
      <c r="D1349" t="s">
        <v>2408</v>
      </c>
      <c r="E1349" s="4">
        <v>1</v>
      </c>
      <c r="F1349" t="s">
        <v>175</v>
      </c>
      <c r="G1349" t="s">
        <v>175</v>
      </c>
      <c r="H1349" s="3">
        <v>46174</v>
      </c>
      <c r="I1349" s="3">
        <v>46184</v>
      </c>
      <c r="J1349" t="s">
        <v>193</v>
      </c>
      <c r="K1349" s="3">
        <v>46184</v>
      </c>
      <c r="L1349" s="3">
        <v>46174</v>
      </c>
      <c r="M1349" s="3">
        <v>46184</v>
      </c>
      <c r="N1349" s="3">
        <v>46184</v>
      </c>
      <c r="O1349" t="s">
        <v>193</v>
      </c>
      <c r="P1349" t="s">
        <v>55</v>
      </c>
      <c r="T1349" t="s">
        <v>2246</v>
      </c>
      <c r="U1349" t="s">
        <v>2375</v>
      </c>
      <c r="V1349" t="s">
        <v>175</v>
      </c>
      <c r="W1349">
        <v>14.88</v>
      </c>
      <c r="X1349" t="s">
        <v>57</v>
      </c>
      <c r="AA1349" t="s">
        <v>50</v>
      </c>
      <c r="AB1349" t="s">
        <v>94</v>
      </c>
      <c r="AE1349">
        <v>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</row>
    <row r="1350" spans="1:42" x14ac:dyDescent="0.25">
      <c r="A1350">
        <v>1548</v>
      </c>
      <c r="B1350" t="s">
        <v>2409</v>
      </c>
      <c r="C1350" t="s">
        <v>2410</v>
      </c>
      <c r="D1350" t="s">
        <v>117</v>
      </c>
      <c r="E1350" s="4">
        <v>1</v>
      </c>
      <c r="F1350" t="s">
        <v>804</v>
      </c>
      <c r="G1350" t="s">
        <v>804</v>
      </c>
      <c r="H1350" s="3">
        <v>46174</v>
      </c>
      <c r="I1350" s="3">
        <v>46176</v>
      </c>
      <c r="J1350" t="s">
        <v>193</v>
      </c>
      <c r="K1350" s="3">
        <v>46176</v>
      </c>
      <c r="L1350" s="3">
        <v>46174</v>
      </c>
      <c r="M1350" s="3">
        <v>46176</v>
      </c>
      <c r="N1350" s="3">
        <v>46176</v>
      </c>
      <c r="O1350" t="s">
        <v>193</v>
      </c>
      <c r="P1350" t="s">
        <v>55</v>
      </c>
      <c r="Q1350" t="s">
        <v>2411</v>
      </c>
      <c r="S1350" t="s">
        <v>2306</v>
      </c>
      <c r="T1350" t="s">
        <v>2246</v>
      </c>
      <c r="U1350">
        <v>1549</v>
      </c>
      <c r="V1350" t="s">
        <v>127</v>
      </c>
      <c r="W1350">
        <v>13.4</v>
      </c>
      <c r="X1350" t="s">
        <v>57</v>
      </c>
      <c r="Z1350" t="s">
        <v>2306</v>
      </c>
      <c r="AA1350" t="s">
        <v>93</v>
      </c>
      <c r="AE1350">
        <v>1</v>
      </c>
      <c r="AF1350">
        <v>1</v>
      </c>
      <c r="AG1350">
        <v>1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1</v>
      </c>
    </row>
    <row r="1351" spans="1:42" x14ac:dyDescent="0.25">
      <c r="A1351">
        <v>1549</v>
      </c>
      <c r="B1351" t="s">
        <v>2412</v>
      </c>
      <c r="C1351" t="s">
        <v>2410</v>
      </c>
      <c r="D1351" t="s">
        <v>121</v>
      </c>
      <c r="E1351" s="4">
        <v>1</v>
      </c>
      <c r="F1351" t="s">
        <v>61</v>
      </c>
      <c r="G1351" t="s">
        <v>61</v>
      </c>
      <c r="H1351" s="3">
        <v>46176</v>
      </c>
      <c r="I1351" s="3">
        <v>46176</v>
      </c>
      <c r="J1351" t="s">
        <v>459</v>
      </c>
      <c r="K1351" s="3">
        <v>46176</v>
      </c>
      <c r="L1351" s="3">
        <v>46176</v>
      </c>
      <c r="M1351" s="3">
        <v>46176</v>
      </c>
      <c r="N1351" s="3">
        <v>46176</v>
      </c>
      <c r="O1351" t="s">
        <v>459</v>
      </c>
      <c r="P1351" t="s">
        <v>55</v>
      </c>
      <c r="Q1351">
        <v>1548</v>
      </c>
      <c r="S1351" t="s">
        <v>124</v>
      </c>
      <c r="T1351" t="s">
        <v>2246</v>
      </c>
      <c r="U1351">
        <v>1550</v>
      </c>
      <c r="V1351" t="s">
        <v>122</v>
      </c>
      <c r="W1351">
        <v>13.4</v>
      </c>
      <c r="X1351" t="s">
        <v>57</v>
      </c>
      <c r="Z1351" t="s">
        <v>124</v>
      </c>
      <c r="AA1351" t="s">
        <v>198</v>
      </c>
      <c r="AE1351">
        <v>1</v>
      </c>
      <c r="AF1351">
        <v>0</v>
      </c>
      <c r="AG1351">
        <v>0</v>
      </c>
      <c r="AH1351">
        <v>0</v>
      </c>
      <c r="AI1351">
        <v>0</v>
      </c>
      <c r="AJ1351">
        <v>1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</row>
    <row r="1352" spans="1:42" x14ac:dyDescent="0.25">
      <c r="A1352">
        <v>1550</v>
      </c>
      <c r="B1352" t="s">
        <v>2413</v>
      </c>
      <c r="C1352" t="s">
        <v>2410</v>
      </c>
      <c r="D1352" t="s">
        <v>126</v>
      </c>
      <c r="E1352" s="4">
        <v>1</v>
      </c>
      <c r="F1352" t="s">
        <v>61</v>
      </c>
      <c r="G1352" t="s">
        <v>61</v>
      </c>
      <c r="H1352" s="3">
        <v>46181</v>
      </c>
      <c r="I1352" s="3">
        <v>46181</v>
      </c>
      <c r="J1352" t="s">
        <v>201</v>
      </c>
      <c r="K1352" s="3">
        <v>46181</v>
      </c>
      <c r="L1352" s="3">
        <v>46181</v>
      </c>
      <c r="M1352" s="3">
        <v>46181</v>
      </c>
      <c r="N1352" s="3">
        <v>46181</v>
      </c>
      <c r="O1352" t="s">
        <v>201</v>
      </c>
      <c r="P1352" t="s">
        <v>55</v>
      </c>
      <c r="Q1352">
        <v>1549</v>
      </c>
      <c r="S1352" t="s">
        <v>2306</v>
      </c>
      <c r="T1352" t="s">
        <v>2246</v>
      </c>
      <c r="U1352">
        <v>1551</v>
      </c>
      <c r="V1352" t="s">
        <v>61</v>
      </c>
      <c r="W1352">
        <v>13.4</v>
      </c>
      <c r="X1352" t="s">
        <v>57</v>
      </c>
      <c r="Z1352" t="s">
        <v>2306</v>
      </c>
      <c r="AA1352" t="s">
        <v>198</v>
      </c>
      <c r="AE1352">
        <v>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1</v>
      </c>
      <c r="AM1352">
        <v>0</v>
      </c>
      <c r="AN1352">
        <v>0</v>
      </c>
      <c r="AO1352">
        <v>0</v>
      </c>
      <c r="AP1352">
        <v>0</v>
      </c>
    </row>
    <row r="1353" spans="1:42" x14ac:dyDescent="0.25">
      <c r="A1353">
        <v>1551</v>
      </c>
      <c r="B1353" t="s">
        <v>2414</v>
      </c>
      <c r="C1353" t="s">
        <v>2410</v>
      </c>
      <c r="D1353" t="s">
        <v>133</v>
      </c>
      <c r="E1353" s="4">
        <v>1</v>
      </c>
      <c r="F1353" t="s">
        <v>122</v>
      </c>
      <c r="G1353" t="s">
        <v>122</v>
      </c>
      <c r="H1353" s="3">
        <v>46182</v>
      </c>
      <c r="I1353" s="3">
        <v>46184</v>
      </c>
      <c r="J1353" t="s">
        <v>204</v>
      </c>
      <c r="K1353" s="3">
        <v>46184</v>
      </c>
      <c r="L1353" s="3">
        <v>46182</v>
      </c>
      <c r="M1353" s="3">
        <v>46184</v>
      </c>
      <c r="N1353" s="3">
        <v>46184</v>
      </c>
      <c r="O1353" t="s">
        <v>204</v>
      </c>
      <c r="P1353" t="s">
        <v>55</v>
      </c>
      <c r="Q1353">
        <v>1550</v>
      </c>
      <c r="S1353" t="s">
        <v>124</v>
      </c>
      <c r="T1353" t="s">
        <v>2246</v>
      </c>
      <c r="U1353" t="s">
        <v>2382</v>
      </c>
      <c r="V1353" t="s">
        <v>61</v>
      </c>
      <c r="W1353">
        <v>13.4</v>
      </c>
      <c r="X1353" t="s">
        <v>57</v>
      </c>
      <c r="Z1353" t="s">
        <v>124</v>
      </c>
      <c r="AA1353" t="s">
        <v>77</v>
      </c>
      <c r="AE1353">
        <v>1</v>
      </c>
      <c r="AF1353">
        <v>0</v>
      </c>
      <c r="AG1353">
        <v>0</v>
      </c>
      <c r="AH1353">
        <v>0</v>
      </c>
      <c r="AI1353">
        <v>1</v>
      </c>
      <c r="AJ1353">
        <v>0</v>
      </c>
      <c r="AK1353">
        <v>0</v>
      </c>
      <c r="AL1353">
        <v>0</v>
      </c>
      <c r="AM1353">
        <v>0</v>
      </c>
      <c r="AN1353">
        <v>1</v>
      </c>
      <c r="AO1353">
        <v>0</v>
      </c>
      <c r="AP1353">
        <v>0</v>
      </c>
    </row>
    <row r="1354" spans="1:42" x14ac:dyDescent="0.25">
      <c r="A1354">
        <v>1552</v>
      </c>
      <c r="B1354" t="s">
        <v>2415</v>
      </c>
      <c r="C1354" t="s">
        <v>2246</v>
      </c>
      <c r="D1354" t="s">
        <v>2416</v>
      </c>
      <c r="E1354" s="4">
        <v>1</v>
      </c>
      <c r="F1354" t="s">
        <v>214</v>
      </c>
      <c r="G1354" t="s">
        <v>214</v>
      </c>
      <c r="H1354" s="3">
        <v>46174</v>
      </c>
      <c r="I1354" s="3">
        <v>46183</v>
      </c>
      <c r="J1354" t="s">
        <v>193</v>
      </c>
      <c r="K1354" s="3">
        <v>46183</v>
      </c>
      <c r="L1354" s="3">
        <v>46174</v>
      </c>
      <c r="M1354" s="3">
        <v>46183</v>
      </c>
      <c r="N1354" s="3">
        <v>46183</v>
      </c>
      <c r="O1354" t="s">
        <v>193</v>
      </c>
      <c r="P1354" t="s">
        <v>55</v>
      </c>
      <c r="T1354" t="s">
        <v>2246</v>
      </c>
      <c r="U1354" t="s">
        <v>2375</v>
      </c>
      <c r="V1354" t="s">
        <v>175</v>
      </c>
      <c r="W1354">
        <v>14.88</v>
      </c>
      <c r="X1354" t="s">
        <v>57</v>
      </c>
      <c r="AA1354" t="s">
        <v>50</v>
      </c>
      <c r="AB1354" t="s">
        <v>94</v>
      </c>
      <c r="AE1354">
        <v>1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</row>
    <row r="1355" spans="1:42" x14ac:dyDescent="0.25">
      <c r="A1355">
        <v>1553</v>
      </c>
      <c r="B1355" t="s">
        <v>2417</v>
      </c>
      <c r="C1355" t="s">
        <v>2418</v>
      </c>
      <c r="D1355" t="s">
        <v>117</v>
      </c>
      <c r="E1355" s="4">
        <v>1</v>
      </c>
      <c r="F1355" t="s">
        <v>122</v>
      </c>
      <c r="G1355" t="s">
        <v>122</v>
      </c>
      <c r="H1355" s="3">
        <v>46174</v>
      </c>
      <c r="I1355" s="3">
        <v>46176</v>
      </c>
      <c r="J1355" t="s">
        <v>193</v>
      </c>
      <c r="K1355" s="3">
        <v>46176</v>
      </c>
      <c r="L1355" s="3">
        <v>46174</v>
      </c>
      <c r="M1355" s="3">
        <v>46176</v>
      </c>
      <c r="N1355" s="3">
        <v>46176</v>
      </c>
      <c r="O1355" t="s">
        <v>193</v>
      </c>
      <c r="P1355" t="s">
        <v>55</v>
      </c>
      <c r="Q1355" t="s">
        <v>2419</v>
      </c>
      <c r="S1355" t="s">
        <v>2306</v>
      </c>
      <c r="T1355" t="s">
        <v>2246</v>
      </c>
      <c r="U1355">
        <v>1554</v>
      </c>
      <c r="V1355" t="s">
        <v>127</v>
      </c>
      <c r="W1355">
        <v>13.4</v>
      </c>
      <c r="X1355" t="s">
        <v>57</v>
      </c>
      <c r="Z1355" t="s">
        <v>2306</v>
      </c>
      <c r="AA1355" t="s">
        <v>93</v>
      </c>
      <c r="AE1355">
        <v>1</v>
      </c>
      <c r="AF1355">
        <v>1</v>
      </c>
      <c r="AG1355">
        <v>1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1</v>
      </c>
    </row>
    <row r="1356" spans="1:42" x14ac:dyDescent="0.25">
      <c r="A1356">
        <v>1554</v>
      </c>
      <c r="B1356" t="s">
        <v>2420</v>
      </c>
      <c r="C1356" t="s">
        <v>2418</v>
      </c>
      <c r="D1356" t="s">
        <v>121</v>
      </c>
      <c r="E1356" s="4">
        <v>1</v>
      </c>
      <c r="F1356" t="s">
        <v>63</v>
      </c>
      <c r="G1356" t="s">
        <v>63</v>
      </c>
      <c r="H1356" s="3">
        <v>46176</v>
      </c>
      <c r="I1356" s="3">
        <v>46176</v>
      </c>
      <c r="J1356" t="s">
        <v>459</v>
      </c>
      <c r="K1356" s="3">
        <v>46176</v>
      </c>
      <c r="L1356" s="3">
        <v>46176</v>
      </c>
      <c r="M1356" s="3">
        <v>46176</v>
      </c>
      <c r="N1356" s="3">
        <v>46176</v>
      </c>
      <c r="O1356" t="s">
        <v>459</v>
      </c>
      <c r="P1356" t="s">
        <v>55</v>
      </c>
      <c r="Q1356">
        <v>1553</v>
      </c>
      <c r="S1356" t="s">
        <v>124</v>
      </c>
      <c r="T1356" t="s">
        <v>2246</v>
      </c>
      <c r="U1356">
        <v>1555</v>
      </c>
      <c r="V1356" t="s">
        <v>122</v>
      </c>
      <c r="W1356">
        <v>13.4</v>
      </c>
      <c r="X1356" t="s">
        <v>57</v>
      </c>
      <c r="Z1356" t="s">
        <v>124</v>
      </c>
      <c r="AA1356" t="s">
        <v>198</v>
      </c>
      <c r="AE1356">
        <v>1</v>
      </c>
      <c r="AF1356">
        <v>0</v>
      </c>
      <c r="AG1356">
        <v>0</v>
      </c>
      <c r="AH1356">
        <v>0</v>
      </c>
      <c r="AI1356">
        <v>0</v>
      </c>
      <c r="AJ1356">
        <v>1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</row>
    <row r="1357" spans="1:42" x14ac:dyDescent="0.25">
      <c r="A1357">
        <v>1555</v>
      </c>
      <c r="B1357" t="s">
        <v>2421</v>
      </c>
      <c r="C1357" t="s">
        <v>2418</v>
      </c>
      <c r="D1357" t="s">
        <v>126</v>
      </c>
      <c r="E1357" s="4">
        <v>1</v>
      </c>
      <c r="F1357" t="s">
        <v>127</v>
      </c>
      <c r="G1357" t="s">
        <v>127</v>
      </c>
      <c r="H1357" s="3">
        <v>46181</v>
      </c>
      <c r="I1357" s="3">
        <v>46182</v>
      </c>
      <c r="J1357" t="s">
        <v>201</v>
      </c>
      <c r="K1357" s="3">
        <v>46182</v>
      </c>
      <c r="L1357" s="3">
        <v>46181</v>
      </c>
      <c r="M1357" s="3">
        <v>46182</v>
      </c>
      <c r="N1357" s="3">
        <v>46182</v>
      </c>
      <c r="O1357" t="s">
        <v>201</v>
      </c>
      <c r="P1357" t="s">
        <v>55</v>
      </c>
      <c r="Q1357">
        <v>1554</v>
      </c>
      <c r="S1357" t="s">
        <v>2306</v>
      </c>
      <c r="T1357" t="s">
        <v>2246</v>
      </c>
      <c r="U1357">
        <v>1556</v>
      </c>
      <c r="V1357" t="s">
        <v>61</v>
      </c>
      <c r="W1357">
        <v>13.4</v>
      </c>
      <c r="X1357" t="s">
        <v>57</v>
      </c>
      <c r="Z1357" t="s">
        <v>2306</v>
      </c>
      <c r="AA1357" t="s">
        <v>198</v>
      </c>
      <c r="AE1357">
        <v>1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1</v>
      </c>
      <c r="AM1357">
        <v>0</v>
      </c>
      <c r="AN1357">
        <v>0</v>
      </c>
      <c r="AO1357">
        <v>0</v>
      </c>
      <c r="AP1357">
        <v>0</v>
      </c>
    </row>
    <row r="1358" spans="1:42" x14ac:dyDescent="0.25">
      <c r="A1358">
        <v>1556</v>
      </c>
      <c r="B1358" t="s">
        <v>2422</v>
      </c>
      <c r="C1358" t="s">
        <v>2418</v>
      </c>
      <c r="D1358" t="s">
        <v>133</v>
      </c>
      <c r="E1358" s="4">
        <v>1</v>
      </c>
      <c r="F1358" t="s">
        <v>61</v>
      </c>
      <c r="G1358" t="s">
        <v>61</v>
      </c>
      <c r="H1358" s="3">
        <v>46182</v>
      </c>
      <c r="I1358" s="3">
        <v>46183</v>
      </c>
      <c r="J1358" t="s">
        <v>204</v>
      </c>
      <c r="K1358" s="3">
        <v>46183</v>
      </c>
      <c r="L1358" s="3">
        <v>46182</v>
      </c>
      <c r="M1358" s="3">
        <v>46183</v>
      </c>
      <c r="N1358" s="3">
        <v>46183</v>
      </c>
      <c r="O1358" t="s">
        <v>204</v>
      </c>
      <c r="P1358" t="s">
        <v>55</v>
      </c>
      <c r="Q1358">
        <v>1555</v>
      </c>
      <c r="S1358" t="s">
        <v>124</v>
      </c>
      <c r="T1358" t="s">
        <v>2246</v>
      </c>
      <c r="U1358" t="s">
        <v>2382</v>
      </c>
      <c r="V1358" t="s">
        <v>61</v>
      </c>
      <c r="W1358">
        <v>13.4</v>
      </c>
      <c r="X1358" t="s">
        <v>57</v>
      </c>
      <c r="Z1358" t="s">
        <v>124</v>
      </c>
      <c r="AA1358" t="s">
        <v>77</v>
      </c>
      <c r="AE1358">
        <v>1</v>
      </c>
      <c r="AF1358">
        <v>0</v>
      </c>
      <c r="AG1358">
        <v>0</v>
      </c>
      <c r="AH1358">
        <v>0</v>
      </c>
      <c r="AI1358">
        <v>1</v>
      </c>
      <c r="AJ1358">
        <v>0</v>
      </c>
      <c r="AK1358">
        <v>0</v>
      </c>
      <c r="AL1358">
        <v>0</v>
      </c>
      <c r="AM1358">
        <v>0</v>
      </c>
      <c r="AN1358">
        <v>1</v>
      </c>
      <c r="AO1358">
        <v>0</v>
      </c>
      <c r="AP1358">
        <v>0</v>
      </c>
    </row>
    <row r="1359" spans="1:42" x14ac:dyDescent="0.25">
      <c r="A1359">
        <v>1562</v>
      </c>
      <c r="B1359" t="s">
        <v>2423</v>
      </c>
      <c r="C1359" t="s">
        <v>52</v>
      </c>
      <c r="D1359" t="s">
        <v>2424</v>
      </c>
      <c r="E1359" s="4">
        <v>1</v>
      </c>
      <c r="F1359" t="s">
        <v>982</v>
      </c>
      <c r="G1359" t="s">
        <v>982</v>
      </c>
      <c r="H1359" s="3">
        <v>46164</v>
      </c>
      <c r="I1359" s="3">
        <v>46190</v>
      </c>
      <c r="J1359" t="s">
        <v>67</v>
      </c>
      <c r="K1359" s="3">
        <v>46198</v>
      </c>
      <c r="L1359" s="3">
        <v>46136</v>
      </c>
      <c r="M1359" s="3">
        <v>46190</v>
      </c>
      <c r="N1359" s="3">
        <v>46190</v>
      </c>
      <c r="O1359" t="s">
        <v>471</v>
      </c>
      <c r="P1359" t="s">
        <v>55</v>
      </c>
      <c r="V1359" t="s">
        <v>487</v>
      </c>
      <c r="W1359">
        <v>232.24</v>
      </c>
      <c r="X1359" t="s">
        <v>57</v>
      </c>
      <c r="AA1359" t="s">
        <v>50</v>
      </c>
      <c r="AE1359">
        <v>1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</row>
    <row r="1360" spans="1:42" x14ac:dyDescent="0.25">
      <c r="A1360">
        <v>1563</v>
      </c>
      <c r="B1360" t="s">
        <v>2425</v>
      </c>
      <c r="C1360" t="s">
        <v>2426</v>
      </c>
      <c r="D1360" t="s">
        <v>2427</v>
      </c>
      <c r="E1360" s="4">
        <v>1</v>
      </c>
      <c r="F1360" t="s">
        <v>175</v>
      </c>
      <c r="G1360" t="s">
        <v>175</v>
      </c>
      <c r="H1360" s="3">
        <v>46164</v>
      </c>
      <c r="I1360" s="3">
        <v>46174</v>
      </c>
      <c r="J1360" t="s">
        <v>67</v>
      </c>
      <c r="K1360" s="3">
        <v>46148</v>
      </c>
      <c r="L1360" s="3">
        <v>46136</v>
      </c>
      <c r="M1360" s="3">
        <v>46174</v>
      </c>
      <c r="N1360" s="3">
        <v>46174</v>
      </c>
      <c r="O1360" t="s">
        <v>471</v>
      </c>
      <c r="P1360" t="s">
        <v>55</v>
      </c>
      <c r="T1360" t="s">
        <v>2426</v>
      </c>
      <c r="V1360" t="s">
        <v>210</v>
      </c>
      <c r="W1360">
        <v>23.52</v>
      </c>
      <c r="X1360" t="s">
        <v>57</v>
      </c>
      <c r="AA1360" t="s">
        <v>50</v>
      </c>
      <c r="AE1360">
        <v>1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</row>
    <row r="1361" spans="1:42" x14ac:dyDescent="0.25">
      <c r="A1361">
        <v>1564</v>
      </c>
      <c r="B1361" t="s">
        <v>2428</v>
      </c>
      <c r="C1361" t="s">
        <v>2429</v>
      </c>
      <c r="D1361" t="s">
        <v>117</v>
      </c>
      <c r="E1361" s="4">
        <v>1</v>
      </c>
      <c r="F1361" t="s">
        <v>127</v>
      </c>
      <c r="G1361" t="s">
        <v>127</v>
      </c>
      <c r="H1361" s="3">
        <v>46164</v>
      </c>
      <c r="I1361" s="3">
        <v>46168</v>
      </c>
      <c r="J1361" t="s">
        <v>67</v>
      </c>
      <c r="K1361" s="3">
        <v>46140</v>
      </c>
      <c r="L1361" s="3">
        <v>46136</v>
      </c>
      <c r="M1361" s="3">
        <v>46168</v>
      </c>
      <c r="N1361" s="3">
        <v>46168</v>
      </c>
      <c r="O1361" t="s">
        <v>471</v>
      </c>
      <c r="P1361" t="s">
        <v>55</v>
      </c>
      <c r="Q1361" t="s">
        <v>2430</v>
      </c>
      <c r="S1361" t="s">
        <v>2147</v>
      </c>
      <c r="T1361" t="s">
        <v>2426</v>
      </c>
      <c r="U1361">
        <v>1565</v>
      </c>
      <c r="V1361" t="s">
        <v>122</v>
      </c>
      <c r="W1361">
        <v>13.4</v>
      </c>
      <c r="X1361" t="s">
        <v>57</v>
      </c>
      <c r="Z1361" t="s">
        <v>2147</v>
      </c>
      <c r="AA1361" t="s">
        <v>71</v>
      </c>
      <c r="AE1361">
        <v>1</v>
      </c>
      <c r="AF1361">
        <v>1</v>
      </c>
      <c r="AG1361">
        <v>1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1</v>
      </c>
    </row>
    <row r="1362" spans="1:42" x14ac:dyDescent="0.25">
      <c r="A1362">
        <v>1565</v>
      </c>
      <c r="B1362" t="s">
        <v>2431</v>
      </c>
      <c r="C1362" t="s">
        <v>2429</v>
      </c>
      <c r="D1362" t="s">
        <v>121</v>
      </c>
      <c r="E1362" s="4">
        <v>1</v>
      </c>
      <c r="F1362" t="s">
        <v>61</v>
      </c>
      <c r="G1362" t="s">
        <v>61</v>
      </c>
      <c r="H1362" s="3">
        <v>46169</v>
      </c>
      <c r="I1362" s="3">
        <v>46169</v>
      </c>
      <c r="J1362" t="s">
        <v>415</v>
      </c>
      <c r="K1362" s="3">
        <v>46146</v>
      </c>
      <c r="L1362" s="3">
        <v>46141</v>
      </c>
      <c r="M1362" s="3">
        <v>46169</v>
      </c>
      <c r="N1362" s="3">
        <v>46169</v>
      </c>
      <c r="O1362" t="s">
        <v>97</v>
      </c>
      <c r="P1362" t="s">
        <v>55</v>
      </c>
      <c r="Q1362">
        <v>1564</v>
      </c>
      <c r="S1362" t="s">
        <v>124</v>
      </c>
      <c r="T1362" t="s">
        <v>2426</v>
      </c>
      <c r="U1362">
        <v>1566</v>
      </c>
      <c r="V1362" t="s">
        <v>122</v>
      </c>
      <c r="W1362">
        <v>13.4</v>
      </c>
      <c r="X1362" t="s">
        <v>57</v>
      </c>
      <c r="Z1362" t="s">
        <v>124</v>
      </c>
      <c r="AA1362" t="s">
        <v>71</v>
      </c>
      <c r="AE1362">
        <v>1</v>
      </c>
      <c r="AF1362">
        <v>0</v>
      </c>
      <c r="AG1362">
        <v>0</v>
      </c>
      <c r="AH1362">
        <v>0</v>
      </c>
      <c r="AI1362">
        <v>0</v>
      </c>
      <c r="AJ1362">
        <v>1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</row>
    <row r="1363" spans="1:42" x14ac:dyDescent="0.25">
      <c r="A1363">
        <v>1566</v>
      </c>
      <c r="B1363" t="s">
        <v>2432</v>
      </c>
      <c r="C1363" t="s">
        <v>2429</v>
      </c>
      <c r="D1363" t="s">
        <v>126</v>
      </c>
      <c r="E1363" s="4">
        <v>1</v>
      </c>
      <c r="F1363" t="s">
        <v>127</v>
      </c>
      <c r="G1363" t="s">
        <v>127</v>
      </c>
      <c r="H1363" s="3">
        <v>46170</v>
      </c>
      <c r="I1363" s="3">
        <v>46171</v>
      </c>
      <c r="J1363" t="s">
        <v>183</v>
      </c>
      <c r="K1363" s="3">
        <v>46147</v>
      </c>
      <c r="L1363" s="3">
        <v>46147</v>
      </c>
      <c r="M1363" s="3">
        <v>46171</v>
      </c>
      <c r="N1363" s="3">
        <v>46171</v>
      </c>
      <c r="O1363" t="s">
        <v>448</v>
      </c>
      <c r="P1363" t="s">
        <v>55</v>
      </c>
      <c r="Q1363">
        <v>1565</v>
      </c>
      <c r="S1363" t="s">
        <v>2147</v>
      </c>
      <c r="T1363" t="s">
        <v>2426</v>
      </c>
      <c r="U1363">
        <v>1567</v>
      </c>
      <c r="V1363" t="s">
        <v>61</v>
      </c>
      <c r="W1363">
        <v>13.4</v>
      </c>
      <c r="X1363" t="s">
        <v>57</v>
      </c>
      <c r="Z1363" t="s">
        <v>2147</v>
      </c>
      <c r="AA1363" t="s">
        <v>401</v>
      </c>
      <c r="AE1363">
        <v>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1</v>
      </c>
      <c r="AM1363">
        <v>0</v>
      </c>
      <c r="AN1363">
        <v>0</v>
      </c>
      <c r="AO1363">
        <v>0</v>
      </c>
      <c r="AP1363">
        <v>0</v>
      </c>
    </row>
    <row r="1364" spans="1:42" x14ac:dyDescent="0.25">
      <c r="A1364">
        <v>1567</v>
      </c>
      <c r="B1364" t="s">
        <v>2433</v>
      </c>
      <c r="C1364" t="s">
        <v>2429</v>
      </c>
      <c r="D1364" t="s">
        <v>133</v>
      </c>
      <c r="E1364" s="4">
        <v>1</v>
      </c>
      <c r="F1364" t="s">
        <v>61</v>
      </c>
      <c r="G1364" t="s">
        <v>61</v>
      </c>
      <c r="H1364" s="3">
        <v>46171</v>
      </c>
      <c r="I1364" s="3">
        <v>46174</v>
      </c>
      <c r="J1364" t="s">
        <v>304</v>
      </c>
      <c r="K1364" s="3">
        <v>46148</v>
      </c>
      <c r="L1364" s="3">
        <v>46148</v>
      </c>
      <c r="M1364" s="3">
        <v>46174</v>
      </c>
      <c r="N1364" s="3">
        <v>46174</v>
      </c>
      <c r="O1364" t="s">
        <v>189</v>
      </c>
      <c r="P1364" t="s">
        <v>55</v>
      </c>
      <c r="Q1364">
        <v>1566</v>
      </c>
      <c r="S1364" t="s">
        <v>124</v>
      </c>
      <c r="T1364" t="s">
        <v>2426</v>
      </c>
      <c r="V1364" t="s">
        <v>61</v>
      </c>
      <c r="W1364">
        <v>13.4</v>
      </c>
      <c r="X1364" t="s">
        <v>57</v>
      </c>
      <c r="Z1364" t="s">
        <v>124</v>
      </c>
      <c r="AA1364" t="s">
        <v>401</v>
      </c>
      <c r="AE1364">
        <v>1</v>
      </c>
      <c r="AF1364">
        <v>0</v>
      </c>
      <c r="AG1364">
        <v>0</v>
      </c>
      <c r="AH1364">
        <v>0</v>
      </c>
      <c r="AI1364">
        <v>1</v>
      </c>
      <c r="AJ1364">
        <v>0</v>
      </c>
      <c r="AK1364">
        <v>0</v>
      </c>
      <c r="AL1364">
        <v>0</v>
      </c>
      <c r="AM1364">
        <v>0</v>
      </c>
      <c r="AN1364">
        <v>1</v>
      </c>
      <c r="AO1364">
        <v>0</v>
      </c>
      <c r="AP1364">
        <v>0</v>
      </c>
    </row>
    <row r="1365" spans="1:42" x14ac:dyDescent="0.25">
      <c r="A1365">
        <v>1568</v>
      </c>
      <c r="B1365" t="s">
        <v>2434</v>
      </c>
      <c r="C1365" t="s">
        <v>2426</v>
      </c>
      <c r="D1365" t="s">
        <v>2435</v>
      </c>
      <c r="E1365" s="4">
        <v>1</v>
      </c>
      <c r="F1365" t="s">
        <v>203</v>
      </c>
      <c r="G1365" t="s">
        <v>203</v>
      </c>
      <c r="H1365" s="3">
        <v>46174</v>
      </c>
      <c r="I1365" s="3">
        <v>46190</v>
      </c>
      <c r="J1365" t="s">
        <v>193</v>
      </c>
      <c r="K1365" s="3">
        <v>46190</v>
      </c>
      <c r="L1365" s="3">
        <v>46174</v>
      </c>
      <c r="M1365" s="3">
        <v>46190</v>
      </c>
      <c r="N1365" s="3">
        <v>46190</v>
      </c>
      <c r="O1365" t="s">
        <v>193</v>
      </c>
      <c r="P1365" t="s">
        <v>55</v>
      </c>
      <c r="T1365" t="s">
        <v>2426</v>
      </c>
      <c r="V1365" t="s">
        <v>175</v>
      </c>
      <c r="W1365">
        <v>17.760000000000002</v>
      </c>
      <c r="X1365" t="s">
        <v>57</v>
      </c>
      <c r="AA1365" t="s">
        <v>50</v>
      </c>
      <c r="AE1365">
        <v>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</row>
    <row r="1366" spans="1:42" x14ac:dyDescent="0.25">
      <c r="A1366">
        <v>1569</v>
      </c>
      <c r="B1366" t="s">
        <v>2436</v>
      </c>
      <c r="C1366" t="s">
        <v>2437</v>
      </c>
      <c r="D1366" t="s">
        <v>117</v>
      </c>
      <c r="E1366" s="4">
        <v>1</v>
      </c>
      <c r="F1366" t="s">
        <v>804</v>
      </c>
      <c r="G1366" t="s">
        <v>804</v>
      </c>
      <c r="H1366" s="3">
        <v>46174</v>
      </c>
      <c r="I1366" s="3">
        <v>46176</v>
      </c>
      <c r="J1366" t="s">
        <v>193</v>
      </c>
      <c r="K1366" s="3">
        <v>46176</v>
      </c>
      <c r="L1366" s="3">
        <v>46174</v>
      </c>
      <c r="M1366" s="3">
        <v>46176</v>
      </c>
      <c r="N1366" s="3">
        <v>46176</v>
      </c>
      <c r="O1366" t="s">
        <v>193</v>
      </c>
      <c r="P1366" t="s">
        <v>55</v>
      </c>
      <c r="Q1366" t="s">
        <v>2438</v>
      </c>
      <c r="S1366" t="s">
        <v>2147</v>
      </c>
      <c r="T1366" t="s">
        <v>2426</v>
      </c>
      <c r="U1366" t="s">
        <v>2439</v>
      </c>
      <c r="V1366" t="s">
        <v>127</v>
      </c>
      <c r="W1366">
        <v>13.4</v>
      </c>
      <c r="X1366" t="s">
        <v>57</v>
      </c>
      <c r="Z1366" t="s">
        <v>2147</v>
      </c>
      <c r="AA1366" t="s">
        <v>93</v>
      </c>
      <c r="AE1366">
        <v>1</v>
      </c>
      <c r="AF1366">
        <v>1</v>
      </c>
      <c r="AG1366">
        <v>1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1</v>
      </c>
    </row>
    <row r="1367" spans="1:42" x14ac:dyDescent="0.25">
      <c r="A1367">
        <v>1570</v>
      </c>
      <c r="B1367" t="s">
        <v>2440</v>
      </c>
      <c r="C1367" t="s">
        <v>2437</v>
      </c>
      <c r="D1367" t="s">
        <v>121</v>
      </c>
      <c r="E1367" s="4">
        <v>1</v>
      </c>
      <c r="F1367" t="s">
        <v>63</v>
      </c>
      <c r="G1367" t="s">
        <v>63</v>
      </c>
      <c r="H1367" s="3">
        <v>46176</v>
      </c>
      <c r="I1367" s="3">
        <v>46176</v>
      </c>
      <c r="J1367" t="s">
        <v>459</v>
      </c>
      <c r="K1367" s="3">
        <v>46176</v>
      </c>
      <c r="L1367" s="3">
        <v>46176</v>
      </c>
      <c r="M1367" s="3">
        <v>46176</v>
      </c>
      <c r="N1367" s="3">
        <v>46176</v>
      </c>
      <c r="O1367" t="s">
        <v>459</v>
      </c>
      <c r="P1367" t="s">
        <v>55</v>
      </c>
      <c r="Q1367">
        <v>1569</v>
      </c>
      <c r="S1367" t="s">
        <v>124</v>
      </c>
      <c r="T1367" t="s">
        <v>2426</v>
      </c>
      <c r="U1367">
        <v>1571</v>
      </c>
      <c r="V1367" t="s">
        <v>122</v>
      </c>
      <c r="W1367">
        <v>13.4</v>
      </c>
      <c r="X1367" t="s">
        <v>57</v>
      </c>
      <c r="Z1367" t="s">
        <v>124</v>
      </c>
      <c r="AA1367" t="s">
        <v>198</v>
      </c>
      <c r="AE1367">
        <v>1</v>
      </c>
      <c r="AF1367">
        <v>0</v>
      </c>
      <c r="AG1367">
        <v>0</v>
      </c>
      <c r="AH1367">
        <v>0</v>
      </c>
      <c r="AI1367">
        <v>0</v>
      </c>
      <c r="AJ1367">
        <v>1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</row>
    <row r="1368" spans="1:42" x14ac:dyDescent="0.25">
      <c r="A1368">
        <v>1571</v>
      </c>
      <c r="B1368" t="s">
        <v>2441</v>
      </c>
      <c r="C1368" t="s">
        <v>2437</v>
      </c>
      <c r="D1368" t="s">
        <v>126</v>
      </c>
      <c r="E1368" s="4">
        <v>1</v>
      </c>
      <c r="F1368" t="s">
        <v>61</v>
      </c>
      <c r="G1368" t="s">
        <v>61</v>
      </c>
      <c r="H1368" s="3">
        <v>46176</v>
      </c>
      <c r="I1368" s="3">
        <v>46181</v>
      </c>
      <c r="J1368" t="s">
        <v>459</v>
      </c>
      <c r="K1368" s="3">
        <v>46181</v>
      </c>
      <c r="L1368" s="3">
        <v>46176</v>
      </c>
      <c r="M1368" s="3">
        <v>46181</v>
      </c>
      <c r="N1368" s="3">
        <v>46181</v>
      </c>
      <c r="O1368" t="s">
        <v>459</v>
      </c>
      <c r="P1368" t="s">
        <v>55</v>
      </c>
      <c r="Q1368">
        <v>1570</v>
      </c>
      <c r="S1368" t="s">
        <v>2147</v>
      </c>
      <c r="T1368" t="s">
        <v>2426</v>
      </c>
      <c r="U1368">
        <v>1572</v>
      </c>
      <c r="V1368" t="s">
        <v>61</v>
      </c>
      <c r="W1368">
        <v>13.4</v>
      </c>
      <c r="X1368" t="s">
        <v>57</v>
      </c>
      <c r="Z1368" t="s">
        <v>2147</v>
      </c>
      <c r="AA1368" t="s">
        <v>198</v>
      </c>
      <c r="AE1368">
        <v>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1</v>
      </c>
      <c r="AM1368">
        <v>0</v>
      </c>
      <c r="AN1368">
        <v>0</v>
      </c>
      <c r="AO1368">
        <v>0</v>
      </c>
      <c r="AP1368">
        <v>0</v>
      </c>
    </row>
    <row r="1369" spans="1:42" x14ac:dyDescent="0.25">
      <c r="A1369">
        <v>1572</v>
      </c>
      <c r="B1369" t="s">
        <v>2442</v>
      </c>
      <c r="C1369" t="s">
        <v>2437</v>
      </c>
      <c r="D1369" t="s">
        <v>133</v>
      </c>
      <c r="E1369" s="4">
        <v>1</v>
      </c>
      <c r="F1369" t="s">
        <v>175</v>
      </c>
      <c r="G1369" t="s">
        <v>175</v>
      </c>
      <c r="H1369" s="3">
        <v>46182</v>
      </c>
      <c r="I1369" s="3">
        <v>46190</v>
      </c>
      <c r="J1369" t="s">
        <v>204</v>
      </c>
      <c r="K1369" s="3">
        <v>46190</v>
      </c>
      <c r="L1369" s="3">
        <v>46182</v>
      </c>
      <c r="M1369" s="3">
        <v>46190</v>
      </c>
      <c r="N1369" s="3">
        <v>46190</v>
      </c>
      <c r="O1369" t="s">
        <v>204</v>
      </c>
      <c r="P1369" t="s">
        <v>55</v>
      </c>
      <c r="Q1369">
        <v>1571</v>
      </c>
      <c r="S1369" t="s">
        <v>124</v>
      </c>
      <c r="T1369" t="s">
        <v>2426</v>
      </c>
      <c r="V1369" t="s">
        <v>61</v>
      </c>
      <c r="W1369">
        <v>13.4</v>
      </c>
      <c r="X1369" t="s">
        <v>57</v>
      </c>
      <c r="Z1369" t="s">
        <v>124</v>
      </c>
      <c r="AA1369" t="s">
        <v>77</v>
      </c>
      <c r="AE1369">
        <v>1</v>
      </c>
      <c r="AF1369">
        <v>0</v>
      </c>
      <c r="AG1369">
        <v>0</v>
      </c>
      <c r="AH1369">
        <v>0</v>
      </c>
      <c r="AI1369">
        <v>1</v>
      </c>
      <c r="AJ1369">
        <v>0</v>
      </c>
      <c r="AK1369">
        <v>0</v>
      </c>
      <c r="AL1369">
        <v>0</v>
      </c>
      <c r="AM1369">
        <v>0</v>
      </c>
      <c r="AN1369">
        <v>1</v>
      </c>
      <c r="AO1369">
        <v>0</v>
      </c>
      <c r="AP1369">
        <v>0</v>
      </c>
    </row>
    <row r="1370" spans="1:42" x14ac:dyDescent="0.25">
      <c r="A1370">
        <v>1588</v>
      </c>
      <c r="B1370" t="s">
        <v>2443</v>
      </c>
      <c r="C1370" t="s">
        <v>2426</v>
      </c>
      <c r="D1370" t="s">
        <v>2444</v>
      </c>
      <c r="E1370" s="4">
        <v>1</v>
      </c>
      <c r="F1370" t="s">
        <v>203</v>
      </c>
      <c r="G1370" t="s">
        <v>203</v>
      </c>
      <c r="H1370" s="3">
        <v>46174</v>
      </c>
      <c r="I1370" s="3">
        <v>46190</v>
      </c>
      <c r="J1370" t="s">
        <v>193</v>
      </c>
      <c r="K1370" s="3">
        <v>46190</v>
      </c>
      <c r="L1370" s="3">
        <v>46174</v>
      </c>
      <c r="M1370" s="3">
        <v>46190</v>
      </c>
      <c r="N1370" s="3">
        <v>46190</v>
      </c>
      <c r="O1370" t="s">
        <v>193</v>
      </c>
      <c r="P1370" t="s">
        <v>55</v>
      </c>
      <c r="T1370" t="s">
        <v>2426</v>
      </c>
      <c r="V1370" t="s">
        <v>175</v>
      </c>
      <c r="W1370">
        <v>29.28</v>
      </c>
      <c r="X1370" t="s">
        <v>57</v>
      </c>
      <c r="AA1370" t="s">
        <v>50</v>
      </c>
      <c r="AB1370" t="s">
        <v>94</v>
      </c>
      <c r="AE1370">
        <v>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</row>
    <row r="1371" spans="1:42" x14ac:dyDescent="0.25">
      <c r="A1371">
        <v>1589</v>
      </c>
      <c r="B1371" t="s">
        <v>2445</v>
      </c>
      <c r="C1371" t="s">
        <v>2446</v>
      </c>
      <c r="D1371" t="s">
        <v>117</v>
      </c>
      <c r="E1371" s="4">
        <v>1</v>
      </c>
      <c r="F1371" t="s">
        <v>122</v>
      </c>
      <c r="G1371" t="s">
        <v>122</v>
      </c>
      <c r="H1371" s="3">
        <v>46174</v>
      </c>
      <c r="I1371" s="3">
        <v>46176</v>
      </c>
      <c r="J1371" t="s">
        <v>193</v>
      </c>
      <c r="K1371" s="3">
        <v>46176</v>
      </c>
      <c r="L1371" s="3">
        <v>46174</v>
      </c>
      <c r="M1371" s="3">
        <v>46176</v>
      </c>
      <c r="N1371" s="3">
        <v>46176</v>
      </c>
      <c r="O1371" t="s">
        <v>193</v>
      </c>
      <c r="P1371" t="s">
        <v>55</v>
      </c>
      <c r="Q1371">
        <v>1560</v>
      </c>
      <c r="S1371" t="s">
        <v>2211</v>
      </c>
      <c r="T1371" t="s">
        <v>2426</v>
      </c>
      <c r="U1371" t="s">
        <v>2447</v>
      </c>
      <c r="V1371" t="s">
        <v>127</v>
      </c>
      <c r="W1371">
        <v>13.4</v>
      </c>
      <c r="X1371" t="s">
        <v>57</v>
      </c>
      <c r="Z1371" t="s">
        <v>2211</v>
      </c>
      <c r="AA1371" t="s">
        <v>217</v>
      </c>
      <c r="AE1371">
        <v>1</v>
      </c>
      <c r="AF1371">
        <v>1</v>
      </c>
      <c r="AG1371">
        <v>1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1</v>
      </c>
    </row>
    <row r="1372" spans="1:42" x14ac:dyDescent="0.25">
      <c r="A1372">
        <v>1590</v>
      </c>
      <c r="B1372" t="s">
        <v>2448</v>
      </c>
      <c r="C1372" t="s">
        <v>2446</v>
      </c>
      <c r="D1372" t="s">
        <v>121</v>
      </c>
      <c r="E1372" s="4">
        <v>1</v>
      </c>
      <c r="F1372" t="s">
        <v>61</v>
      </c>
      <c r="G1372" t="s">
        <v>61</v>
      </c>
      <c r="H1372" s="3">
        <v>46181</v>
      </c>
      <c r="I1372" s="3">
        <v>46181</v>
      </c>
      <c r="J1372" t="s">
        <v>201</v>
      </c>
      <c r="K1372" s="3">
        <v>46181</v>
      </c>
      <c r="L1372" s="3">
        <v>46181</v>
      </c>
      <c r="M1372" s="3">
        <v>46181</v>
      </c>
      <c r="N1372" s="3">
        <v>46181</v>
      </c>
      <c r="O1372" t="s">
        <v>201</v>
      </c>
      <c r="P1372" t="s">
        <v>55</v>
      </c>
      <c r="Q1372">
        <v>1589</v>
      </c>
      <c r="S1372" t="s">
        <v>124</v>
      </c>
      <c r="T1372" t="s">
        <v>2426</v>
      </c>
      <c r="U1372">
        <v>1591</v>
      </c>
      <c r="V1372" t="s">
        <v>122</v>
      </c>
      <c r="W1372">
        <v>13.4</v>
      </c>
      <c r="X1372" t="s">
        <v>57</v>
      </c>
      <c r="Z1372" t="s">
        <v>124</v>
      </c>
      <c r="AA1372" t="s">
        <v>217</v>
      </c>
      <c r="AE1372">
        <v>1</v>
      </c>
      <c r="AF1372">
        <v>0</v>
      </c>
      <c r="AG1372">
        <v>0</v>
      </c>
      <c r="AH1372">
        <v>0</v>
      </c>
      <c r="AI1372">
        <v>0</v>
      </c>
      <c r="AJ1372">
        <v>1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</row>
    <row r="1373" spans="1:42" x14ac:dyDescent="0.25">
      <c r="A1373">
        <v>1591</v>
      </c>
      <c r="B1373" t="s">
        <v>2449</v>
      </c>
      <c r="C1373" t="s">
        <v>2446</v>
      </c>
      <c r="D1373" t="s">
        <v>126</v>
      </c>
      <c r="E1373" s="4">
        <v>1</v>
      </c>
      <c r="F1373" t="s">
        <v>61</v>
      </c>
      <c r="G1373" t="s">
        <v>61</v>
      </c>
      <c r="H1373" s="3">
        <v>46182</v>
      </c>
      <c r="I1373" s="3">
        <v>46182</v>
      </c>
      <c r="J1373" t="s">
        <v>204</v>
      </c>
      <c r="K1373" s="3">
        <v>46182</v>
      </c>
      <c r="L1373" s="3">
        <v>46182</v>
      </c>
      <c r="M1373" s="3">
        <v>46182</v>
      </c>
      <c r="N1373" s="3">
        <v>46182</v>
      </c>
      <c r="O1373" t="s">
        <v>204</v>
      </c>
      <c r="P1373" t="s">
        <v>55</v>
      </c>
      <c r="Q1373">
        <v>1590</v>
      </c>
      <c r="S1373" t="s">
        <v>2211</v>
      </c>
      <c r="T1373" t="s">
        <v>2426</v>
      </c>
      <c r="U1373">
        <v>1592</v>
      </c>
      <c r="V1373" t="s">
        <v>61</v>
      </c>
      <c r="W1373">
        <v>13.4</v>
      </c>
      <c r="X1373" t="s">
        <v>57</v>
      </c>
      <c r="Z1373" t="s">
        <v>2211</v>
      </c>
      <c r="AA1373" t="s">
        <v>131</v>
      </c>
      <c r="AE1373">
        <v>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1</v>
      </c>
      <c r="AM1373">
        <v>0</v>
      </c>
      <c r="AN1373">
        <v>0</v>
      </c>
      <c r="AO1373">
        <v>0</v>
      </c>
      <c r="AP1373">
        <v>0</v>
      </c>
    </row>
    <row r="1374" spans="1:42" x14ac:dyDescent="0.25">
      <c r="A1374">
        <v>1592</v>
      </c>
      <c r="B1374" t="s">
        <v>2450</v>
      </c>
      <c r="C1374" t="s">
        <v>2446</v>
      </c>
      <c r="D1374" t="s">
        <v>133</v>
      </c>
      <c r="E1374" s="4">
        <v>1</v>
      </c>
      <c r="F1374" t="s">
        <v>214</v>
      </c>
      <c r="G1374" t="s">
        <v>214</v>
      </c>
      <c r="H1374" s="3">
        <v>46183</v>
      </c>
      <c r="I1374" s="3">
        <v>46190</v>
      </c>
      <c r="J1374" t="s">
        <v>592</v>
      </c>
      <c r="K1374" s="3">
        <v>46190</v>
      </c>
      <c r="L1374" s="3">
        <v>46183</v>
      </c>
      <c r="M1374" s="3">
        <v>46190</v>
      </c>
      <c r="N1374" s="3">
        <v>46190</v>
      </c>
      <c r="O1374" t="s">
        <v>592</v>
      </c>
      <c r="P1374" t="s">
        <v>55</v>
      </c>
      <c r="Q1374">
        <v>1591</v>
      </c>
      <c r="S1374" t="s">
        <v>124</v>
      </c>
      <c r="T1374" t="s">
        <v>2426</v>
      </c>
      <c r="V1374" t="s">
        <v>61</v>
      </c>
      <c r="W1374">
        <v>13.4</v>
      </c>
      <c r="X1374" t="s">
        <v>57</v>
      </c>
      <c r="Z1374" t="s">
        <v>124</v>
      </c>
      <c r="AA1374" t="s">
        <v>131</v>
      </c>
      <c r="AE1374">
        <v>1</v>
      </c>
      <c r="AF1374">
        <v>0</v>
      </c>
      <c r="AG1374">
        <v>0</v>
      </c>
      <c r="AH1374">
        <v>0</v>
      </c>
      <c r="AI1374">
        <v>1</v>
      </c>
      <c r="AJ1374">
        <v>0</v>
      </c>
      <c r="AK1374">
        <v>0</v>
      </c>
      <c r="AL1374">
        <v>0</v>
      </c>
      <c r="AM1374">
        <v>0</v>
      </c>
      <c r="AN1374">
        <v>1</v>
      </c>
      <c r="AO1374">
        <v>0</v>
      </c>
      <c r="AP1374">
        <v>0</v>
      </c>
    </row>
    <row r="1375" spans="1:42" x14ac:dyDescent="0.25">
      <c r="A1375">
        <v>1593</v>
      </c>
      <c r="B1375" t="s">
        <v>2451</v>
      </c>
      <c r="C1375" t="s">
        <v>2426</v>
      </c>
      <c r="D1375" t="s">
        <v>2452</v>
      </c>
      <c r="E1375" s="4">
        <v>1</v>
      </c>
      <c r="F1375" t="s">
        <v>138</v>
      </c>
      <c r="G1375" t="s">
        <v>138</v>
      </c>
      <c r="H1375" s="3">
        <v>46167</v>
      </c>
      <c r="I1375" s="3">
        <v>46171</v>
      </c>
      <c r="J1375" t="s">
        <v>576</v>
      </c>
      <c r="K1375" s="3">
        <v>46198</v>
      </c>
      <c r="L1375" s="3">
        <v>46189</v>
      </c>
      <c r="M1375" s="3">
        <v>46171</v>
      </c>
      <c r="N1375" s="3">
        <v>46171</v>
      </c>
      <c r="O1375" t="s">
        <v>74</v>
      </c>
      <c r="P1375" t="s">
        <v>55</v>
      </c>
      <c r="T1375" t="s">
        <v>2426</v>
      </c>
      <c r="V1375" t="s">
        <v>210</v>
      </c>
      <c r="W1375">
        <v>35.04</v>
      </c>
      <c r="X1375" t="s">
        <v>57</v>
      </c>
      <c r="AA1375" t="s">
        <v>50</v>
      </c>
      <c r="AE1375">
        <v>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</row>
    <row r="1376" spans="1:42" x14ac:dyDescent="0.25">
      <c r="A1376">
        <v>1594</v>
      </c>
      <c r="B1376" t="s">
        <v>2453</v>
      </c>
      <c r="C1376" t="s">
        <v>2454</v>
      </c>
      <c r="D1376" t="s">
        <v>117</v>
      </c>
      <c r="E1376" s="4">
        <v>1</v>
      </c>
      <c r="F1376" t="s">
        <v>122</v>
      </c>
      <c r="G1376" t="s">
        <v>122</v>
      </c>
      <c r="H1376" s="3">
        <v>46167</v>
      </c>
      <c r="I1376" s="3">
        <v>46169</v>
      </c>
      <c r="J1376" t="s">
        <v>576</v>
      </c>
      <c r="K1376" s="3">
        <v>46191</v>
      </c>
      <c r="L1376" s="3">
        <v>46189</v>
      </c>
      <c r="M1376" s="3">
        <v>46169</v>
      </c>
      <c r="N1376" s="3">
        <v>46169</v>
      </c>
      <c r="O1376" t="s">
        <v>74</v>
      </c>
      <c r="P1376" t="s">
        <v>55</v>
      </c>
      <c r="Q1376" t="s">
        <v>2455</v>
      </c>
      <c r="S1376" t="s">
        <v>2211</v>
      </c>
      <c r="T1376" t="s">
        <v>2426</v>
      </c>
      <c r="U1376">
        <v>1595</v>
      </c>
      <c r="V1376" t="s">
        <v>122</v>
      </c>
      <c r="W1376">
        <v>13.4</v>
      </c>
      <c r="X1376" t="s">
        <v>57</v>
      </c>
      <c r="Z1376" t="s">
        <v>2211</v>
      </c>
      <c r="AA1376" t="s">
        <v>217</v>
      </c>
      <c r="AE1376">
        <v>1</v>
      </c>
      <c r="AF1376">
        <v>1</v>
      </c>
      <c r="AG1376">
        <v>1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1</v>
      </c>
    </row>
    <row r="1377" spans="1:42" x14ac:dyDescent="0.25">
      <c r="A1377">
        <v>1595</v>
      </c>
      <c r="B1377" t="s">
        <v>2456</v>
      </c>
      <c r="C1377" t="s">
        <v>2454</v>
      </c>
      <c r="D1377" t="s">
        <v>121</v>
      </c>
      <c r="E1377" s="4">
        <v>1</v>
      </c>
      <c r="F1377" t="s">
        <v>61</v>
      </c>
      <c r="G1377" t="s">
        <v>61</v>
      </c>
      <c r="H1377" s="3">
        <v>46170</v>
      </c>
      <c r="I1377" s="3">
        <v>46170</v>
      </c>
      <c r="J1377" t="s">
        <v>211</v>
      </c>
      <c r="K1377" s="3">
        <v>46196</v>
      </c>
      <c r="L1377" s="3">
        <v>46192</v>
      </c>
      <c r="M1377" s="3">
        <v>46170</v>
      </c>
      <c r="N1377" s="3">
        <v>46170</v>
      </c>
      <c r="O1377" t="s">
        <v>448</v>
      </c>
      <c r="P1377" t="s">
        <v>55</v>
      </c>
      <c r="Q1377">
        <v>1594</v>
      </c>
      <c r="S1377" t="s">
        <v>124</v>
      </c>
      <c r="T1377" t="s">
        <v>2426</v>
      </c>
      <c r="U1377">
        <v>1596</v>
      </c>
      <c r="V1377" t="s">
        <v>122</v>
      </c>
      <c r="W1377">
        <v>13.4</v>
      </c>
      <c r="X1377" t="s">
        <v>57</v>
      </c>
      <c r="Z1377" t="s">
        <v>124</v>
      </c>
      <c r="AA1377" t="s">
        <v>217</v>
      </c>
      <c r="AE1377">
        <v>1</v>
      </c>
      <c r="AF1377">
        <v>0</v>
      </c>
      <c r="AG1377">
        <v>0</v>
      </c>
      <c r="AH1377">
        <v>0</v>
      </c>
      <c r="AI1377">
        <v>0</v>
      </c>
      <c r="AJ1377">
        <v>1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</row>
    <row r="1378" spans="1:42" x14ac:dyDescent="0.25">
      <c r="A1378">
        <v>1596</v>
      </c>
      <c r="B1378" t="s">
        <v>2457</v>
      </c>
      <c r="C1378" t="s">
        <v>2454</v>
      </c>
      <c r="D1378" t="s">
        <v>126</v>
      </c>
      <c r="E1378" s="4">
        <v>1</v>
      </c>
      <c r="F1378" t="s">
        <v>61</v>
      </c>
      <c r="G1378" t="s">
        <v>61</v>
      </c>
      <c r="H1378" s="3">
        <v>46170</v>
      </c>
      <c r="I1378" s="3">
        <v>46171</v>
      </c>
      <c r="J1378" t="s">
        <v>207</v>
      </c>
      <c r="K1378" s="3">
        <v>46197</v>
      </c>
      <c r="L1378" s="3">
        <v>46197</v>
      </c>
      <c r="M1378" s="3">
        <v>46171</v>
      </c>
      <c r="N1378" s="3">
        <v>46171</v>
      </c>
      <c r="O1378" t="s">
        <v>448</v>
      </c>
      <c r="P1378" t="s">
        <v>55</v>
      </c>
      <c r="Q1378">
        <v>1595</v>
      </c>
      <c r="S1378" t="s">
        <v>2211</v>
      </c>
      <c r="T1378" t="s">
        <v>2426</v>
      </c>
      <c r="U1378">
        <v>1597</v>
      </c>
      <c r="V1378" t="s">
        <v>61</v>
      </c>
      <c r="W1378">
        <v>13.4</v>
      </c>
      <c r="X1378" t="s">
        <v>57</v>
      </c>
      <c r="Z1378" t="s">
        <v>2211</v>
      </c>
      <c r="AA1378" t="s">
        <v>131</v>
      </c>
      <c r="AE1378">
        <v>1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1</v>
      </c>
      <c r="AM1378">
        <v>0</v>
      </c>
      <c r="AN1378">
        <v>0</v>
      </c>
      <c r="AO1378">
        <v>0</v>
      </c>
      <c r="AP1378">
        <v>0</v>
      </c>
    </row>
    <row r="1379" spans="1:42" x14ac:dyDescent="0.25">
      <c r="A1379">
        <v>1597</v>
      </c>
      <c r="B1379" t="s">
        <v>2458</v>
      </c>
      <c r="C1379" t="s">
        <v>2454</v>
      </c>
      <c r="D1379" t="s">
        <v>133</v>
      </c>
      <c r="E1379" s="4">
        <v>1</v>
      </c>
      <c r="F1379" t="s">
        <v>63</v>
      </c>
      <c r="G1379" t="s">
        <v>63</v>
      </c>
      <c r="H1379" s="3">
        <v>46171</v>
      </c>
      <c r="I1379" s="3">
        <v>46171</v>
      </c>
      <c r="J1379" t="s">
        <v>128</v>
      </c>
      <c r="K1379" s="3">
        <v>46198</v>
      </c>
      <c r="L1379" s="3">
        <v>46198</v>
      </c>
      <c r="M1379" s="3">
        <v>46171</v>
      </c>
      <c r="N1379" s="3">
        <v>46171</v>
      </c>
      <c r="O1379" t="s">
        <v>189</v>
      </c>
      <c r="P1379" t="s">
        <v>55</v>
      </c>
      <c r="Q1379">
        <v>1596</v>
      </c>
      <c r="S1379" t="s">
        <v>124</v>
      </c>
      <c r="T1379" t="s">
        <v>2426</v>
      </c>
      <c r="V1379" t="s">
        <v>61</v>
      </c>
      <c r="W1379">
        <v>13.4</v>
      </c>
      <c r="X1379" t="s">
        <v>57</v>
      </c>
      <c r="Z1379" t="s">
        <v>124</v>
      </c>
      <c r="AA1379" t="s">
        <v>131</v>
      </c>
      <c r="AE1379">
        <v>1</v>
      </c>
      <c r="AF1379">
        <v>0</v>
      </c>
      <c r="AG1379">
        <v>0</v>
      </c>
      <c r="AH1379">
        <v>0</v>
      </c>
      <c r="AI1379">
        <v>1</v>
      </c>
      <c r="AJ1379">
        <v>0</v>
      </c>
      <c r="AK1379">
        <v>0</v>
      </c>
      <c r="AL1379">
        <v>0</v>
      </c>
      <c r="AM1379">
        <v>0</v>
      </c>
      <c r="AN1379">
        <v>1</v>
      </c>
      <c r="AO1379">
        <v>0</v>
      </c>
      <c r="AP1379">
        <v>0</v>
      </c>
    </row>
    <row r="1380" spans="1:42" x14ac:dyDescent="0.25">
      <c r="A1380">
        <v>1598</v>
      </c>
      <c r="B1380" t="s">
        <v>2459</v>
      </c>
      <c r="C1380" t="s">
        <v>2426</v>
      </c>
      <c r="D1380" t="s">
        <v>2460</v>
      </c>
      <c r="E1380" s="4">
        <v>1</v>
      </c>
      <c r="F1380" t="s">
        <v>214</v>
      </c>
      <c r="G1380" t="s">
        <v>214</v>
      </c>
      <c r="H1380" s="3">
        <v>46164</v>
      </c>
      <c r="I1380" s="3">
        <v>46171</v>
      </c>
      <c r="J1380" t="s">
        <v>68</v>
      </c>
      <c r="K1380" s="3">
        <v>46167</v>
      </c>
      <c r="L1380" s="3">
        <v>46155</v>
      </c>
      <c r="M1380" s="3">
        <v>46171</v>
      </c>
      <c r="N1380" s="3">
        <v>46171</v>
      </c>
      <c r="O1380" t="s">
        <v>471</v>
      </c>
      <c r="P1380" t="s">
        <v>55</v>
      </c>
      <c r="T1380" t="s">
        <v>2426</v>
      </c>
      <c r="V1380" t="s">
        <v>114</v>
      </c>
      <c r="W1380">
        <v>23.52</v>
      </c>
      <c r="X1380" t="s">
        <v>57</v>
      </c>
      <c r="AA1380" t="s">
        <v>50</v>
      </c>
      <c r="AB1380" t="s">
        <v>94</v>
      </c>
      <c r="AE1380">
        <v>1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</row>
    <row r="1381" spans="1:42" x14ac:dyDescent="0.25">
      <c r="A1381">
        <v>1599</v>
      </c>
      <c r="B1381" t="s">
        <v>2461</v>
      </c>
      <c r="C1381" t="s">
        <v>2462</v>
      </c>
      <c r="D1381" t="s">
        <v>117</v>
      </c>
      <c r="E1381" s="4">
        <v>1</v>
      </c>
      <c r="F1381" t="s">
        <v>101</v>
      </c>
      <c r="G1381" t="s">
        <v>101</v>
      </c>
      <c r="H1381" s="3">
        <v>46164</v>
      </c>
      <c r="I1381" s="3">
        <v>46169</v>
      </c>
      <c r="J1381" t="s">
        <v>68</v>
      </c>
      <c r="K1381" s="3">
        <v>46160</v>
      </c>
      <c r="L1381" s="3">
        <v>46155</v>
      </c>
      <c r="M1381" s="3">
        <v>46169</v>
      </c>
      <c r="N1381" s="3">
        <v>46169</v>
      </c>
      <c r="O1381" t="s">
        <v>471</v>
      </c>
      <c r="P1381" t="s">
        <v>55</v>
      </c>
      <c r="Q1381" t="s">
        <v>2463</v>
      </c>
      <c r="S1381" t="s">
        <v>2211</v>
      </c>
      <c r="T1381" t="s">
        <v>2426</v>
      </c>
      <c r="U1381">
        <v>1600</v>
      </c>
      <c r="V1381" t="s">
        <v>101</v>
      </c>
      <c r="W1381">
        <v>13.4</v>
      </c>
      <c r="X1381" t="s">
        <v>57</v>
      </c>
      <c r="Z1381" t="s">
        <v>2211</v>
      </c>
      <c r="AA1381" t="s">
        <v>93</v>
      </c>
      <c r="AE1381">
        <v>1</v>
      </c>
      <c r="AF1381">
        <v>1</v>
      </c>
      <c r="AG1381">
        <v>1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1</v>
      </c>
    </row>
    <row r="1382" spans="1:42" x14ac:dyDescent="0.25">
      <c r="A1382">
        <v>1600</v>
      </c>
      <c r="B1382" t="s">
        <v>2464</v>
      </c>
      <c r="C1382" t="s">
        <v>2462</v>
      </c>
      <c r="D1382" t="s">
        <v>121</v>
      </c>
      <c r="E1382" s="4">
        <v>1</v>
      </c>
      <c r="F1382" t="s">
        <v>63</v>
      </c>
      <c r="G1382" t="s">
        <v>63</v>
      </c>
      <c r="H1382" s="3">
        <v>46169</v>
      </c>
      <c r="I1382" s="3">
        <v>46169</v>
      </c>
      <c r="J1382" t="s">
        <v>90</v>
      </c>
      <c r="K1382" s="3">
        <v>46163</v>
      </c>
      <c r="L1382" s="3">
        <v>46161</v>
      </c>
      <c r="M1382" s="3">
        <v>46169</v>
      </c>
      <c r="N1382" s="3">
        <v>46169</v>
      </c>
      <c r="O1382" t="s">
        <v>97</v>
      </c>
      <c r="P1382" t="s">
        <v>55</v>
      </c>
      <c r="Q1382">
        <v>1599</v>
      </c>
      <c r="S1382" t="s">
        <v>124</v>
      </c>
      <c r="T1382" t="s">
        <v>2426</v>
      </c>
      <c r="U1382">
        <v>1601</v>
      </c>
      <c r="V1382" t="s">
        <v>122</v>
      </c>
      <c r="W1382">
        <v>13.4</v>
      </c>
      <c r="X1382" t="s">
        <v>57</v>
      </c>
      <c r="Z1382" t="s">
        <v>124</v>
      </c>
      <c r="AA1382" t="s">
        <v>198</v>
      </c>
      <c r="AE1382">
        <v>1</v>
      </c>
      <c r="AF1382">
        <v>0</v>
      </c>
      <c r="AG1382">
        <v>0</v>
      </c>
      <c r="AH1382">
        <v>0</v>
      </c>
      <c r="AI1382">
        <v>0</v>
      </c>
      <c r="AJ1382">
        <v>1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</row>
    <row r="1383" spans="1:42" x14ac:dyDescent="0.25">
      <c r="A1383">
        <v>1601</v>
      </c>
      <c r="B1383" t="s">
        <v>2465</v>
      </c>
      <c r="C1383" t="s">
        <v>2462</v>
      </c>
      <c r="D1383" t="s">
        <v>126</v>
      </c>
      <c r="E1383" s="4">
        <v>1</v>
      </c>
      <c r="F1383" t="s">
        <v>61</v>
      </c>
      <c r="G1383" t="s">
        <v>61</v>
      </c>
      <c r="H1383" s="3">
        <v>46169</v>
      </c>
      <c r="I1383" s="3">
        <v>46170</v>
      </c>
      <c r="J1383" t="s">
        <v>471</v>
      </c>
      <c r="K1383" s="3">
        <v>46164</v>
      </c>
      <c r="L1383" s="3">
        <v>46164</v>
      </c>
      <c r="M1383" s="3">
        <v>46170</v>
      </c>
      <c r="N1383" s="3">
        <v>46170</v>
      </c>
      <c r="O1383" t="s">
        <v>97</v>
      </c>
      <c r="P1383" t="s">
        <v>55</v>
      </c>
      <c r="Q1383">
        <v>1600</v>
      </c>
      <c r="S1383" t="s">
        <v>2211</v>
      </c>
      <c r="T1383" t="s">
        <v>2426</v>
      </c>
      <c r="U1383">
        <v>1602</v>
      </c>
      <c r="V1383" t="s">
        <v>61</v>
      </c>
      <c r="W1383">
        <v>13.4</v>
      </c>
      <c r="X1383" t="s">
        <v>57</v>
      </c>
      <c r="Z1383" t="s">
        <v>2211</v>
      </c>
      <c r="AA1383" t="s">
        <v>198</v>
      </c>
      <c r="AE1383">
        <v>1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1</v>
      </c>
      <c r="AM1383">
        <v>0</v>
      </c>
      <c r="AN1383">
        <v>0</v>
      </c>
      <c r="AO1383">
        <v>0</v>
      </c>
      <c r="AP1383">
        <v>0</v>
      </c>
    </row>
    <row r="1384" spans="1:42" x14ac:dyDescent="0.25">
      <c r="A1384">
        <v>1602</v>
      </c>
      <c r="B1384" t="s">
        <v>2466</v>
      </c>
      <c r="C1384" t="s">
        <v>2462</v>
      </c>
      <c r="D1384" t="s">
        <v>133</v>
      </c>
      <c r="E1384" s="4">
        <v>1</v>
      </c>
      <c r="F1384" t="s">
        <v>61</v>
      </c>
      <c r="G1384" t="s">
        <v>61</v>
      </c>
      <c r="H1384" s="3">
        <v>46170</v>
      </c>
      <c r="I1384" s="3">
        <v>46171</v>
      </c>
      <c r="J1384" t="s">
        <v>74</v>
      </c>
      <c r="K1384" s="3">
        <v>46167</v>
      </c>
      <c r="L1384" s="3">
        <v>46167</v>
      </c>
      <c r="M1384" s="3">
        <v>46171</v>
      </c>
      <c r="N1384" s="3">
        <v>46171</v>
      </c>
      <c r="O1384" t="s">
        <v>448</v>
      </c>
      <c r="P1384" t="s">
        <v>55</v>
      </c>
      <c r="Q1384">
        <v>1601</v>
      </c>
      <c r="S1384" t="s">
        <v>124</v>
      </c>
      <c r="T1384" t="s">
        <v>2426</v>
      </c>
      <c r="V1384" t="s">
        <v>61</v>
      </c>
      <c r="W1384">
        <v>13.4</v>
      </c>
      <c r="X1384" t="s">
        <v>57</v>
      </c>
      <c r="Z1384" t="s">
        <v>124</v>
      </c>
      <c r="AA1384" t="s">
        <v>77</v>
      </c>
      <c r="AE1384">
        <v>1</v>
      </c>
      <c r="AF1384">
        <v>0</v>
      </c>
      <c r="AG1384">
        <v>0</v>
      </c>
      <c r="AH1384">
        <v>0</v>
      </c>
      <c r="AI1384">
        <v>1</v>
      </c>
      <c r="AJ1384">
        <v>0</v>
      </c>
      <c r="AK1384">
        <v>0</v>
      </c>
      <c r="AL1384">
        <v>0</v>
      </c>
      <c r="AM1384">
        <v>0</v>
      </c>
      <c r="AN1384">
        <v>1</v>
      </c>
      <c r="AO1384">
        <v>0</v>
      </c>
      <c r="AP1384">
        <v>0</v>
      </c>
    </row>
    <row r="1385" spans="1:42" x14ac:dyDescent="0.25">
      <c r="A1385">
        <v>8</v>
      </c>
      <c r="B1385" t="s">
        <v>88</v>
      </c>
      <c r="D1385" t="s">
        <v>2467</v>
      </c>
      <c r="E1385" s="4">
        <v>0</v>
      </c>
      <c r="F1385" t="s">
        <v>63</v>
      </c>
      <c r="H1385" s="3">
        <v>46155</v>
      </c>
      <c r="I1385" s="3">
        <v>46155</v>
      </c>
      <c r="P1385" t="s">
        <v>398</v>
      </c>
      <c r="Q1385" t="s">
        <v>91</v>
      </c>
      <c r="U1385" t="s">
        <v>2468</v>
      </c>
      <c r="V1385" t="s">
        <v>63</v>
      </c>
      <c r="AB1385" t="s">
        <v>2469</v>
      </c>
      <c r="AC1385" t="s">
        <v>68</v>
      </c>
      <c r="AD1385" t="s">
        <v>68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</row>
    <row r="1386" spans="1:42" x14ac:dyDescent="0.25">
      <c r="A1386">
        <v>40</v>
      </c>
      <c r="B1386" t="s">
        <v>2470</v>
      </c>
      <c r="D1386" t="s">
        <v>2471</v>
      </c>
      <c r="E1386" s="4">
        <v>0</v>
      </c>
      <c r="F1386" t="s">
        <v>175</v>
      </c>
      <c r="H1386" s="3">
        <v>46190</v>
      </c>
      <c r="I1386" s="3">
        <v>46198</v>
      </c>
      <c r="P1386" t="s">
        <v>398</v>
      </c>
      <c r="T1386" t="s">
        <v>164</v>
      </c>
      <c r="V1386" t="s">
        <v>175</v>
      </c>
      <c r="AB1386" t="s">
        <v>2469</v>
      </c>
      <c r="AC1386" t="s">
        <v>75</v>
      </c>
      <c r="AD1386" t="s">
        <v>128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</row>
    <row r="1387" spans="1:42" x14ac:dyDescent="0.25">
      <c r="A1387">
        <v>50</v>
      </c>
      <c r="B1387" t="s">
        <v>2472</v>
      </c>
      <c r="D1387" t="s">
        <v>2473</v>
      </c>
      <c r="E1387" s="4">
        <v>0</v>
      </c>
      <c r="F1387" t="s">
        <v>175</v>
      </c>
      <c r="H1387" s="3">
        <v>46189</v>
      </c>
      <c r="I1387" s="3">
        <v>46197</v>
      </c>
      <c r="P1387" t="s">
        <v>398</v>
      </c>
      <c r="T1387" t="s">
        <v>164</v>
      </c>
      <c r="V1387" t="s">
        <v>175</v>
      </c>
      <c r="AB1387" t="s">
        <v>2469</v>
      </c>
      <c r="AC1387" t="s">
        <v>576</v>
      </c>
      <c r="AD1387" t="s">
        <v>207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</row>
    <row r="1388" spans="1:42" x14ac:dyDescent="0.25">
      <c r="A1388">
        <v>55</v>
      </c>
      <c r="B1388" t="s">
        <v>2474</v>
      </c>
      <c r="D1388" t="s">
        <v>2475</v>
      </c>
      <c r="E1388" s="4">
        <v>0</v>
      </c>
      <c r="F1388" t="s">
        <v>175</v>
      </c>
      <c r="H1388" s="3">
        <v>46189</v>
      </c>
      <c r="I1388" s="3">
        <v>46197</v>
      </c>
      <c r="P1388" t="s">
        <v>398</v>
      </c>
      <c r="T1388" t="s">
        <v>164</v>
      </c>
      <c r="V1388" t="s">
        <v>175</v>
      </c>
      <c r="AB1388" t="s">
        <v>2469</v>
      </c>
      <c r="AC1388" t="s">
        <v>576</v>
      </c>
      <c r="AD1388" t="s">
        <v>207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</row>
    <row r="1389" spans="1:42" x14ac:dyDescent="0.25">
      <c r="A1389">
        <v>141</v>
      </c>
      <c r="B1389" t="s">
        <v>372</v>
      </c>
      <c r="D1389" t="s">
        <v>2476</v>
      </c>
      <c r="E1389" s="4">
        <v>0</v>
      </c>
      <c r="F1389" t="s">
        <v>210</v>
      </c>
      <c r="H1389" s="3">
        <v>46141</v>
      </c>
      <c r="I1389" s="3">
        <v>46153</v>
      </c>
      <c r="P1389" t="s">
        <v>398</v>
      </c>
      <c r="T1389" t="s">
        <v>246</v>
      </c>
      <c r="V1389" t="s">
        <v>210</v>
      </c>
      <c r="AB1389" t="s">
        <v>2469</v>
      </c>
      <c r="AC1389" t="s">
        <v>415</v>
      </c>
      <c r="AD1389" t="s">
        <v>418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</row>
    <row r="1390" spans="1:42" x14ac:dyDescent="0.25">
      <c r="A1390">
        <v>203</v>
      </c>
      <c r="B1390" t="s">
        <v>549</v>
      </c>
      <c r="D1390" t="s">
        <v>2477</v>
      </c>
      <c r="E1390" s="4">
        <v>0</v>
      </c>
      <c r="F1390" t="s">
        <v>175</v>
      </c>
      <c r="H1390" s="3">
        <v>46169</v>
      </c>
      <c r="I1390" s="3">
        <v>46181</v>
      </c>
      <c r="P1390" t="s">
        <v>398</v>
      </c>
      <c r="T1390" t="s">
        <v>425</v>
      </c>
      <c r="V1390" t="s">
        <v>175</v>
      </c>
      <c r="AB1390" t="s">
        <v>2469</v>
      </c>
      <c r="AC1390" t="s">
        <v>97</v>
      </c>
      <c r="AD1390" t="s">
        <v>201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</row>
    <row r="1391" spans="1:42" x14ac:dyDescent="0.25">
      <c r="A1391">
        <v>224</v>
      </c>
      <c r="B1391" t="s">
        <v>587</v>
      </c>
      <c r="D1391" t="s">
        <v>2478</v>
      </c>
      <c r="E1391" s="4">
        <v>0</v>
      </c>
      <c r="F1391" t="s">
        <v>175</v>
      </c>
      <c r="H1391" s="3">
        <v>46189</v>
      </c>
      <c r="I1391" s="3">
        <v>46197</v>
      </c>
      <c r="P1391" t="s">
        <v>398</v>
      </c>
      <c r="T1391" t="s">
        <v>425</v>
      </c>
      <c r="V1391" t="s">
        <v>175</v>
      </c>
      <c r="AB1391" t="s">
        <v>2469</v>
      </c>
      <c r="AC1391" t="s">
        <v>576</v>
      </c>
      <c r="AD1391" t="s">
        <v>207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</row>
    <row r="1392" spans="1:42" x14ac:dyDescent="0.25">
      <c r="A1392">
        <v>277</v>
      </c>
      <c r="B1392" t="s">
        <v>2479</v>
      </c>
      <c r="D1392" t="s">
        <v>2480</v>
      </c>
      <c r="E1392" s="4">
        <v>0</v>
      </c>
      <c r="F1392" t="s">
        <v>175</v>
      </c>
      <c r="H1392" s="3">
        <v>46189</v>
      </c>
      <c r="I1392" s="3">
        <v>46197</v>
      </c>
      <c r="P1392" t="s">
        <v>398</v>
      </c>
      <c r="T1392" t="s">
        <v>425</v>
      </c>
      <c r="V1392" t="s">
        <v>175</v>
      </c>
      <c r="AB1392" t="s">
        <v>2469</v>
      </c>
      <c r="AC1392" t="s">
        <v>576</v>
      </c>
      <c r="AD1392" t="s">
        <v>207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</row>
    <row r="1393" spans="1:42" x14ac:dyDescent="0.25">
      <c r="A1393">
        <v>314</v>
      </c>
      <c r="B1393" t="s">
        <v>2481</v>
      </c>
      <c r="D1393" t="s">
        <v>2482</v>
      </c>
      <c r="E1393" s="4">
        <v>0</v>
      </c>
      <c r="F1393" t="s">
        <v>2483</v>
      </c>
      <c r="H1393" s="3">
        <v>46148</v>
      </c>
      <c r="I1393" s="3">
        <v>46199</v>
      </c>
      <c r="P1393" t="s">
        <v>398</v>
      </c>
      <c r="T1393" t="s">
        <v>425</v>
      </c>
      <c r="V1393" t="s">
        <v>2483</v>
      </c>
      <c r="AB1393" t="s">
        <v>2469</v>
      </c>
      <c r="AC1393" t="s">
        <v>304</v>
      </c>
      <c r="AD1393" t="s">
        <v>134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</row>
    <row r="1394" spans="1:42" x14ac:dyDescent="0.25">
      <c r="A1394">
        <v>315</v>
      </c>
      <c r="B1394" t="s">
        <v>2484</v>
      </c>
      <c r="D1394" t="s">
        <v>2485</v>
      </c>
      <c r="E1394" s="4">
        <v>0</v>
      </c>
      <c r="F1394" t="s">
        <v>203</v>
      </c>
      <c r="H1394" s="3">
        <v>46148</v>
      </c>
      <c r="I1394" s="3">
        <v>46162</v>
      </c>
      <c r="P1394" t="s">
        <v>398</v>
      </c>
      <c r="T1394" t="s">
        <v>425</v>
      </c>
      <c r="U1394">
        <v>789</v>
      </c>
      <c r="V1394" t="s">
        <v>203</v>
      </c>
      <c r="AB1394" t="s">
        <v>2469</v>
      </c>
      <c r="AC1394" t="s">
        <v>304</v>
      </c>
      <c r="AD1394" t="s">
        <v>200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</row>
    <row r="1395" spans="1:42" x14ac:dyDescent="0.25">
      <c r="A1395">
        <v>320</v>
      </c>
      <c r="B1395" t="s">
        <v>2486</v>
      </c>
      <c r="D1395" t="s">
        <v>2487</v>
      </c>
      <c r="E1395" s="4">
        <v>0</v>
      </c>
      <c r="F1395" t="s">
        <v>203</v>
      </c>
      <c r="H1395" s="3">
        <v>46185</v>
      </c>
      <c r="I1395" s="3">
        <v>46199</v>
      </c>
      <c r="P1395" t="s">
        <v>398</v>
      </c>
      <c r="T1395" t="s">
        <v>425</v>
      </c>
      <c r="V1395" t="s">
        <v>203</v>
      </c>
      <c r="AB1395" t="s">
        <v>2469</v>
      </c>
      <c r="AC1395" t="s">
        <v>571</v>
      </c>
      <c r="AD1395" t="s">
        <v>134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</row>
    <row r="1396" spans="1:42" x14ac:dyDescent="0.25">
      <c r="A1396">
        <v>325</v>
      </c>
      <c r="B1396" t="s">
        <v>2488</v>
      </c>
      <c r="D1396" t="s">
        <v>2489</v>
      </c>
      <c r="E1396" s="4">
        <v>0</v>
      </c>
      <c r="F1396" t="s">
        <v>203</v>
      </c>
      <c r="H1396" s="3">
        <v>46185</v>
      </c>
      <c r="I1396" s="3">
        <v>46199</v>
      </c>
      <c r="P1396" t="s">
        <v>398</v>
      </c>
      <c r="T1396" t="s">
        <v>425</v>
      </c>
      <c r="V1396" t="s">
        <v>203</v>
      </c>
      <c r="AB1396" t="s">
        <v>2469</v>
      </c>
      <c r="AC1396" t="s">
        <v>571</v>
      </c>
      <c r="AD1396" t="s">
        <v>134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</row>
    <row r="1397" spans="1:42" x14ac:dyDescent="0.25">
      <c r="A1397">
        <v>330</v>
      </c>
      <c r="B1397" t="s">
        <v>2490</v>
      </c>
      <c r="D1397" t="s">
        <v>2491</v>
      </c>
      <c r="E1397" s="4">
        <v>0</v>
      </c>
      <c r="F1397" t="s">
        <v>203</v>
      </c>
      <c r="H1397" s="3">
        <v>46185</v>
      </c>
      <c r="I1397" s="3">
        <v>46199</v>
      </c>
      <c r="P1397" t="s">
        <v>398</v>
      </c>
      <c r="T1397" t="s">
        <v>425</v>
      </c>
      <c r="V1397" t="s">
        <v>203</v>
      </c>
      <c r="AB1397" t="s">
        <v>2469</v>
      </c>
      <c r="AC1397" t="s">
        <v>571</v>
      </c>
      <c r="AD1397" t="s">
        <v>134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</row>
    <row r="1398" spans="1:42" x14ac:dyDescent="0.25">
      <c r="A1398">
        <v>371</v>
      </c>
      <c r="B1398" t="s">
        <v>1009</v>
      </c>
      <c r="D1398" t="s">
        <v>2492</v>
      </c>
      <c r="E1398" s="4">
        <v>0</v>
      </c>
      <c r="F1398" t="s">
        <v>101</v>
      </c>
      <c r="H1398" s="3">
        <v>46170</v>
      </c>
      <c r="I1398" s="3">
        <v>46175</v>
      </c>
      <c r="P1398" t="s">
        <v>398</v>
      </c>
      <c r="T1398" t="s">
        <v>425</v>
      </c>
      <c r="V1398" t="s">
        <v>101</v>
      </c>
      <c r="AB1398" t="s">
        <v>2469</v>
      </c>
      <c r="AC1398" t="s">
        <v>448</v>
      </c>
      <c r="AD1398" t="s">
        <v>472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</row>
    <row r="1399" spans="1:42" x14ac:dyDescent="0.25">
      <c r="A1399">
        <v>387</v>
      </c>
      <c r="B1399" t="s">
        <v>2493</v>
      </c>
      <c r="D1399" t="s">
        <v>2494</v>
      </c>
      <c r="E1399" s="4">
        <v>0</v>
      </c>
      <c r="F1399" t="s">
        <v>203</v>
      </c>
      <c r="H1399" s="3">
        <v>46175</v>
      </c>
      <c r="I1399" s="3">
        <v>46191</v>
      </c>
      <c r="P1399" t="s">
        <v>398</v>
      </c>
      <c r="T1399" t="s">
        <v>1036</v>
      </c>
      <c r="V1399" t="s">
        <v>203</v>
      </c>
      <c r="AB1399" t="s">
        <v>2469</v>
      </c>
      <c r="AC1399" t="s">
        <v>472</v>
      </c>
      <c r="AD1399" t="s">
        <v>480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</row>
    <row r="1400" spans="1:42" x14ac:dyDescent="0.25">
      <c r="A1400">
        <v>392</v>
      </c>
      <c r="B1400" t="s">
        <v>2495</v>
      </c>
      <c r="D1400" t="s">
        <v>2496</v>
      </c>
      <c r="E1400" s="4">
        <v>0</v>
      </c>
      <c r="F1400" t="s">
        <v>1038</v>
      </c>
      <c r="H1400" s="3">
        <v>46175</v>
      </c>
      <c r="I1400" s="3">
        <v>46195</v>
      </c>
      <c r="P1400" t="s">
        <v>398</v>
      </c>
      <c r="T1400" t="s">
        <v>1036</v>
      </c>
      <c r="V1400" t="s">
        <v>1038</v>
      </c>
      <c r="AB1400" t="s">
        <v>2469</v>
      </c>
      <c r="AC1400" t="s">
        <v>472</v>
      </c>
      <c r="AD1400" t="s">
        <v>219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</row>
    <row r="1401" spans="1:42" x14ac:dyDescent="0.25">
      <c r="A1401">
        <v>397</v>
      </c>
      <c r="B1401" t="s">
        <v>2497</v>
      </c>
      <c r="D1401" t="s">
        <v>2498</v>
      </c>
      <c r="E1401" s="4">
        <v>0</v>
      </c>
      <c r="F1401" t="s">
        <v>1038</v>
      </c>
      <c r="H1401" s="3">
        <v>46175</v>
      </c>
      <c r="I1401" s="3">
        <v>46195</v>
      </c>
      <c r="P1401" t="s">
        <v>398</v>
      </c>
      <c r="T1401" t="s">
        <v>1036</v>
      </c>
      <c r="V1401" t="s">
        <v>1038</v>
      </c>
      <c r="AB1401" t="s">
        <v>2469</v>
      </c>
      <c r="AC1401" t="s">
        <v>472</v>
      </c>
      <c r="AD1401" t="s">
        <v>219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</row>
    <row r="1402" spans="1:42" x14ac:dyDescent="0.25">
      <c r="A1402">
        <v>402</v>
      </c>
      <c r="B1402" t="s">
        <v>2499</v>
      </c>
      <c r="D1402" t="s">
        <v>2500</v>
      </c>
      <c r="E1402" s="4">
        <v>0</v>
      </c>
      <c r="F1402" t="s">
        <v>1038</v>
      </c>
      <c r="H1402" s="3">
        <v>46175</v>
      </c>
      <c r="I1402" s="3">
        <v>46195</v>
      </c>
      <c r="P1402" t="s">
        <v>398</v>
      </c>
      <c r="T1402" t="s">
        <v>1036</v>
      </c>
      <c r="V1402" t="s">
        <v>1038</v>
      </c>
      <c r="AB1402" t="s">
        <v>2469</v>
      </c>
      <c r="AC1402" t="s">
        <v>472</v>
      </c>
      <c r="AD1402" t="s">
        <v>219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</row>
    <row r="1403" spans="1:42" x14ac:dyDescent="0.25">
      <c r="A1403">
        <v>448</v>
      </c>
      <c r="B1403" t="s">
        <v>2501</v>
      </c>
      <c r="D1403" t="s">
        <v>2502</v>
      </c>
      <c r="E1403" s="4">
        <v>0</v>
      </c>
      <c r="F1403" t="s">
        <v>175</v>
      </c>
      <c r="H1403" s="3">
        <v>46183</v>
      </c>
      <c r="I1403" s="3">
        <v>46191</v>
      </c>
      <c r="P1403" t="s">
        <v>398</v>
      </c>
      <c r="T1403" t="s">
        <v>1109</v>
      </c>
      <c r="V1403" t="s">
        <v>175</v>
      </c>
      <c r="AB1403" t="s">
        <v>2469</v>
      </c>
      <c r="AC1403" t="s">
        <v>592</v>
      </c>
      <c r="AD1403" t="s">
        <v>480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</row>
    <row r="1404" spans="1:42" x14ac:dyDescent="0.25">
      <c r="A1404">
        <v>458</v>
      </c>
      <c r="B1404" t="s">
        <v>2503</v>
      </c>
      <c r="D1404" t="s">
        <v>2504</v>
      </c>
      <c r="E1404" s="4">
        <v>0</v>
      </c>
      <c r="F1404" t="s">
        <v>2505</v>
      </c>
      <c r="H1404" s="3">
        <v>46139</v>
      </c>
      <c r="I1404" s="3">
        <v>46182</v>
      </c>
      <c r="P1404" t="s">
        <v>398</v>
      </c>
      <c r="T1404" t="s">
        <v>1109</v>
      </c>
      <c r="U1404">
        <v>444</v>
      </c>
      <c r="V1404" t="s">
        <v>2505</v>
      </c>
      <c r="AB1404" t="s">
        <v>2469</v>
      </c>
      <c r="AC1404" t="s">
        <v>188</v>
      </c>
      <c r="AD1404" t="s">
        <v>204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</row>
    <row r="1405" spans="1:42" x14ac:dyDescent="0.25">
      <c r="A1405">
        <v>468</v>
      </c>
      <c r="B1405" t="s">
        <v>2506</v>
      </c>
      <c r="D1405" t="s">
        <v>2507</v>
      </c>
      <c r="E1405" s="4">
        <v>0</v>
      </c>
      <c r="F1405" t="s">
        <v>151</v>
      </c>
      <c r="H1405" s="3">
        <v>46147</v>
      </c>
      <c r="I1405" s="3">
        <v>46160</v>
      </c>
      <c r="P1405" t="s">
        <v>398</v>
      </c>
      <c r="T1405" t="s">
        <v>1109</v>
      </c>
      <c r="V1405" t="s">
        <v>151</v>
      </c>
      <c r="AB1405" t="s">
        <v>2469</v>
      </c>
      <c r="AC1405" t="s">
        <v>183</v>
      </c>
      <c r="AD1405" t="s">
        <v>185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</row>
    <row r="1406" spans="1:42" x14ac:dyDescent="0.25">
      <c r="A1406">
        <v>483</v>
      </c>
      <c r="B1406" t="s">
        <v>1165</v>
      </c>
      <c r="D1406" t="s">
        <v>2508</v>
      </c>
      <c r="E1406" s="4">
        <v>0</v>
      </c>
      <c r="F1406" t="s">
        <v>151</v>
      </c>
      <c r="H1406" s="3">
        <v>46147</v>
      </c>
      <c r="I1406" s="3">
        <v>46160</v>
      </c>
      <c r="P1406" t="s">
        <v>398</v>
      </c>
      <c r="T1406" t="s">
        <v>1109</v>
      </c>
      <c r="V1406" t="s">
        <v>151</v>
      </c>
      <c r="AB1406" t="s">
        <v>2469</v>
      </c>
      <c r="AC1406" t="s">
        <v>183</v>
      </c>
      <c r="AD1406" t="s">
        <v>185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</row>
    <row r="1407" spans="1:42" x14ac:dyDescent="0.25">
      <c r="A1407">
        <v>498</v>
      </c>
      <c r="B1407" t="s">
        <v>1187</v>
      </c>
      <c r="D1407" t="s">
        <v>2509</v>
      </c>
      <c r="E1407" s="4">
        <v>0</v>
      </c>
      <c r="F1407" t="s">
        <v>151</v>
      </c>
      <c r="H1407" s="3">
        <v>46147</v>
      </c>
      <c r="I1407" s="3">
        <v>46160</v>
      </c>
      <c r="P1407" t="s">
        <v>398</v>
      </c>
      <c r="T1407" t="s">
        <v>1109</v>
      </c>
      <c r="V1407" t="s">
        <v>151</v>
      </c>
      <c r="AB1407" t="s">
        <v>2469</v>
      </c>
      <c r="AC1407" t="s">
        <v>183</v>
      </c>
      <c r="AD1407" t="s">
        <v>185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</row>
    <row r="1408" spans="1:42" x14ac:dyDescent="0.25">
      <c r="A1408">
        <v>543</v>
      </c>
      <c r="B1408" t="s">
        <v>1238</v>
      </c>
      <c r="D1408" t="s">
        <v>2510</v>
      </c>
      <c r="E1408" s="4">
        <v>0</v>
      </c>
      <c r="F1408" t="s">
        <v>330</v>
      </c>
      <c r="H1408" s="3">
        <v>46181</v>
      </c>
      <c r="I1408" s="3">
        <v>46199</v>
      </c>
      <c r="P1408" t="s">
        <v>398</v>
      </c>
      <c r="T1408" t="s">
        <v>1109</v>
      </c>
      <c r="V1408" t="s">
        <v>330</v>
      </c>
      <c r="AB1408" t="s">
        <v>2469</v>
      </c>
      <c r="AC1408" t="s">
        <v>201</v>
      </c>
      <c r="AD1408" t="s">
        <v>134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</row>
    <row r="1409" spans="1:42" x14ac:dyDescent="0.25">
      <c r="A1409">
        <v>558</v>
      </c>
      <c r="B1409" t="s">
        <v>1259</v>
      </c>
      <c r="D1409" t="s">
        <v>2511</v>
      </c>
      <c r="E1409" s="4">
        <v>0</v>
      </c>
      <c r="F1409" t="s">
        <v>1038</v>
      </c>
      <c r="H1409" s="3">
        <v>46170</v>
      </c>
      <c r="I1409" s="3">
        <v>46190</v>
      </c>
      <c r="P1409" t="s">
        <v>398</v>
      </c>
      <c r="T1409" t="s">
        <v>1109</v>
      </c>
      <c r="V1409" t="s">
        <v>1038</v>
      </c>
      <c r="AB1409" t="s">
        <v>2469</v>
      </c>
      <c r="AC1409" t="s">
        <v>448</v>
      </c>
      <c r="AD1409" t="s">
        <v>75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</row>
    <row r="1410" spans="1:42" x14ac:dyDescent="0.25">
      <c r="A1410">
        <v>563</v>
      </c>
      <c r="B1410" t="s">
        <v>1425</v>
      </c>
      <c r="D1410" t="s">
        <v>2512</v>
      </c>
      <c r="E1410" s="4">
        <v>0</v>
      </c>
      <c r="F1410" t="s">
        <v>676</v>
      </c>
      <c r="H1410" s="3">
        <v>46153</v>
      </c>
      <c r="I1410" s="3">
        <v>46196</v>
      </c>
      <c r="P1410" t="s">
        <v>398</v>
      </c>
      <c r="V1410" t="s">
        <v>676</v>
      </c>
      <c r="AB1410" t="s">
        <v>2469</v>
      </c>
      <c r="AC1410" t="s">
        <v>418</v>
      </c>
      <c r="AD1410" t="s">
        <v>212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</row>
    <row r="1411" spans="1:42" x14ac:dyDescent="0.25">
      <c r="A1411">
        <v>564</v>
      </c>
      <c r="B1411" t="s">
        <v>1428</v>
      </c>
      <c r="D1411" t="s">
        <v>2513</v>
      </c>
      <c r="E1411" s="4">
        <v>0</v>
      </c>
      <c r="F1411" t="s">
        <v>151</v>
      </c>
      <c r="H1411" s="3">
        <v>46167</v>
      </c>
      <c r="I1411" s="3">
        <v>46182</v>
      </c>
      <c r="P1411" t="s">
        <v>398</v>
      </c>
      <c r="T1411" t="s">
        <v>2514</v>
      </c>
      <c r="V1411" t="s">
        <v>151</v>
      </c>
      <c r="AB1411" t="s">
        <v>2469</v>
      </c>
      <c r="AC1411" t="s">
        <v>74</v>
      </c>
      <c r="AD1411" t="s">
        <v>204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</row>
    <row r="1412" spans="1:42" x14ac:dyDescent="0.25">
      <c r="A1412">
        <v>569</v>
      </c>
      <c r="B1412" t="s">
        <v>1437</v>
      </c>
      <c r="D1412" t="s">
        <v>2515</v>
      </c>
      <c r="E1412" s="4">
        <v>0</v>
      </c>
      <c r="F1412" t="s">
        <v>151</v>
      </c>
      <c r="H1412" s="3">
        <v>46153</v>
      </c>
      <c r="I1412" s="3">
        <v>46164</v>
      </c>
      <c r="P1412" t="s">
        <v>398</v>
      </c>
      <c r="T1412" t="s">
        <v>2514</v>
      </c>
      <c r="V1412" t="s">
        <v>151</v>
      </c>
      <c r="AB1412" t="s">
        <v>2469</v>
      </c>
      <c r="AC1412" t="s">
        <v>418</v>
      </c>
      <c r="AD1412" t="s">
        <v>471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</row>
    <row r="1413" spans="1:42" x14ac:dyDescent="0.25">
      <c r="A1413">
        <v>574</v>
      </c>
      <c r="B1413" t="s">
        <v>1488</v>
      </c>
      <c r="D1413" t="s">
        <v>2516</v>
      </c>
      <c r="E1413" s="4">
        <v>0</v>
      </c>
      <c r="F1413" t="s">
        <v>151</v>
      </c>
      <c r="H1413" s="3">
        <v>46183</v>
      </c>
      <c r="I1413" s="3">
        <v>46196</v>
      </c>
      <c r="P1413" t="s">
        <v>398</v>
      </c>
      <c r="T1413" t="s">
        <v>2514</v>
      </c>
      <c r="V1413" t="s">
        <v>151</v>
      </c>
      <c r="AB1413" t="s">
        <v>2469</v>
      </c>
      <c r="AC1413" t="s">
        <v>592</v>
      </c>
      <c r="AD1413" t="s">
        <v>212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</row>
    <row r="1414" spans="1:42" x14ac:dyDescent="0.25">
      <c r="A1414">
        <v>579</v>
      </c>
      <c r="B1414" t="s">
        <v>1565</v>
      </c>
      <c r="D1414" t="s">
        <v>2517</v>
      </c>
      <c r="E1414" s="4">
        <v>0</v>
      </c>
      <c r="F1414" t="s">
        <v>210</v>
      </c>
      <c r="H1414" s="3">
        <v>46183</v>
      </c>
      <c r="I1414" s="3">
        <v>46192</v>
      </c>
      <c r="P1414" t="s">
        <v>398</v>
      </c>
      <c r="T1414" t="s">
        <v>2514</v>
      </c>
      <c r="V1414" t="s">
        <v>210</v>
      </c>
      <c r="AB1414" t="s">
        <v>2469</v>
      </c>
      <c r="AC1414" t="s">
        <v>592</v>
      </c>
      <c r="AD1414" t="s">
        <v>211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</row>
    <row r="1415" spans="1:42" x14ac:dyDescent="0.25">
      <c r="A1415">
        <v>584</v>
      </c>
      <c r="B1415" t="s">
        <v>1652</v>
      </c>
      <c r="D1415" t="s">
        <v>2518</v>
      </c>
      <c r="E1415" s="4">
        <v>0</v>
      </c>
      <c r="F1415" t="s">
        <v>210</v>
      </c>
      <c r="H1415" s="3">
        <v>46164</v>
      </c>
      <c r="I1415" s="3">
        <v>46175</v>
      </c>
      <c r="P1415" t="s">
        <v>398</v>
      </c>
      <c r="T1415" t="s">
        <v>2514</v>
      </c>
      <c r="V1415" t="s">
        <v>210</v>
      </c>
      <c r="AB1415" t="s">
        <v>2469</v>
      </c>
      <c r="AC1415" t="s">
        <v>471</v>
      </c>
      <c r="AD1415" t="s">
        <v>472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</row>
    <row r="1416" spans="1:42" x14ac:dyDescent="0.25">
      <c r="A1416">
        <v>589</v>
      </c>
      <c r="B1416" t="s">
        <v>1778</v>
      </c>
      <c r="D1416" t="s">
        <v>2519</v>
      </c>
      <c r="E1416" s="4">
        <v>0</v>
      </c>
      <c r="F1416" t="s">
        <v>151</v>
      </c>
      <c r="H1416" s="3">
        <v>46167</v>
      </c>
      <c r="I1416" s="3">
        <v>46182</v>
      </c>
      <c r="P1416" t="s">
        <v>398</v>
      </c>
      <c r="T1416" t="s">
        <v>2514</v>
      </c>
      <c r="V1416" t="s">
        <v>151</v>
      </c>
      <c r="AB1416" t="s">
        <v>2469</v>
      </c>
      <c r="AC1416" t="s">
        <v>74</v>
      </c>
      <c r="AD1416" t="s">
        <v>204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</row>
    <row r="1417" spans="1:42" x14ac:dyDescent="0.25">
      <c r="A1417">
        <v>594</v>
      </c>
      <c r="B1417" t="s">
        <v>1851</v>
      </c>
      <c r="D1417" t="s">
        <v>2520</v>
      </c>
      <c r="E1417" s="4">
        <v>0</v>
      </c>
      <c r="F1417" t="s">
        <v>210</v>
      </c>
      <c r="H1417" s="3">
        <v>46183</v>
      </c>
      <c r="I1417" s="3">
        <v>46192</v>
      </c>
      <c r="P1417" t="s">
        <v>398</v>
      </c>
      <c r="T1417" t="s">
        <v>2514</v>
      </c>
      <c r="V1417" t="s">
        <v>210</v>
      </c>
      <c r="AB1417" t="s">
        <v>2469</v>
      </c>
      <c r="AC1417" t="s">
        <v>592</v>
      </c>
      <c r="AD1417" t="s">
        <v>211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</row>
    <row r="1418" spans="1:42" x14ac:dyDescent="0.25">
      <c r="A1418">
        <v>599</v>
      </c>
      <c r="B1418" t="s">
        <v>1924</v>
      </c>
      <c r="D1418" t="s">
        <v>2521</v>
      </c>
      <c r="E1418" s="4">
        <v>0</v>
      </c>
      <c r="F1418" t="s">
        <v>210</v>
      </c>
      <c r="H1418" s="3">
        <v>46183</v>
      </c>
      <c r="I1418" s="3">
        <v>46192</v>
      </c>
      <c r="P1418" t="s">
        <v>398</v>
      </c>
      <c r="T1418" t="s">
        <v>2514</v>
      </c>
      <c r="V1418" t="s">
        <v>210</v>
      </c>
      <c r="AB1418" t="s">
        <v>2469</v>
      </c>
      <c r="AC1418" t="s">
        <v>592</v>
      </c>
      <c r="AD1418" t="s">
        <v>211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</row>
    <row r="1419" spans="1:42" x14ac:dyDescent="0.25">
      <c r="A1419">
        <v>611</v>
      </c>
      <c r="B1419" t="s">
        <v>2156</v>
      </c>
      <c r="D1419" t="s">
        <v>2522</v>
      </c>
      <c r="E1419" s="4">
        <v>0</v>
      </c>
      <c r="F1419" t="s">
        <v>330</v>
      </c>
      <c r="H1419" s="3">
        <v>46147</v>
      </c>
      <c r="I1419" s="3">
        <v>46167</v>
      </c>
      <c r="P1419" t="s">
        <v>398</v>
      </c>
      <c r="T1419" t="s">
        <v>1429</v>
      </c>
      <c r="V1419" t="s">
        <v>330</v>
      </c>
      <c r="AB1419" t="s">
        <v>2469</v>
      </c>
      <c r="AC1419" t="s">
        <v>183</v>
      </c>
      <c r="AD1419" t="s">
        <v>74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</row>
    <row r="1420" spans="1:42" x14ac:dyDescent="0.25">
      <c r="A1420">
        <v>621</v>
      </c>
      <c r="B1420" t="s">
        <v>2159</v>
      </c>
      <c r="D1420" t="s">
        <v>2523</v>
      </c>
      <c r="E1420" s="4">
        <v>0</v>
      </c>
      <c r="F1420" t="s">
        <v>175</v>
      </c>
      <c r="H1420" s="3">
        <v>46168</v>
      </c>
      <c r="I1420" s="3">
        <v>46176</v>
      </c>
      <c r="P1420" t="s">
        <v>398</v>
      </c>
      <c r="T1420" t="s">
        <v>1429</v>
      </c>
      <c r="V1420" t="s">
        <v>175</v>
      </c>
      <c r="AB1420" t="s">
        <v>2469</v>
      </c>
      <c r="AC1420" t="s">
        <v>206</v>
      </c>
      <c r="AD1420" t="s">
        <v>459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</row>
    <row r="1421" spans="1:42" x14ac:dyDescent="0.25">
      <c r="A1421">
        <v>626</v>
      </c>
      <c r="B1421" t="s">
        <v>2160</v>
      </c>
      <c r="D1421" t="s">
        <v>2524</v>
      </c>
      <c r="E1421" s="4">
        <v>0</v>
      </c>
      <c r="F1421" t="s">
        <v>175</v>
      </c>
      <c r="H1421" s="3">
        <v>46168</v>
      </c>
      <c r="I1421" s="3">
        <v>46176</v>
      </c>
      <c r="P1421" t="s">
        <v>398</v>
      </c>
      <c r="T1421" t="s">
        <v>1429</v>
      </c>
      <c r="V1421" t="s">
        <v>175</v>
      </c>
      <c r="AB1421" t="s">
        <v>2469</v>
      </c>
      <c r="AC1421" t="s">
        <v>206</v>
      </c>
      <c r="AD1421" t="s">
        <v>459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</row>
    <row r="1422" spans="1:42" x14ac:dyDescent="0.25">
      <c r="A1422">
        <v>632</v>
      </c>
      <c r="B1422" t="s">
        <v>2163</v>
      </c>
      <c r="D1422" t="s">
        <v>2525</v>
      </c>
      <c r="E1422" s="4">
        <v>0</v>
      </c>
      <c r="F1422" t="s">
        <v>1038</v>
      </c>
      <c r="H1422" s="3">
        <v>46161</v>
      </c>
      <c r="I1422" s="3">
        <v>46181</v>
      </c>
      <c r="P1422" t="s">
        <v>398</v>
      </c>
      <c r="T1422" t="s">
        <v>1429</v>
      </c>
      <c r="V1422" t="s">
        <v>1038</v>
      </c>
      <c r="AB1422" t="s">
        <v>2469</v>
      </c>
      <c r="AC1422" t="s">
        <v>90</v>
      </c>
      <c r="AD1422" t="s">
        <v>201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</row>
    <row r="1423" spans="1:42" x14ac:dyDescent="0.25">
      <c r="A1423">
        <v>637</v>
      </c>
      <c r="B1423" t="s">
        <v>2166</v>
      </c>
      <c r="D1423" t="s">
        <v>2526</v>
      </c>
      <c r="E1423" s="4">
        <v>0</v>
      </c>
      <c r="F1423" t="s">
        <v>1038</v>
      </c>
      <c r="H1423" s="3">
        <v>46175</v>
      </c>
      <c r="I1423" s="3">
        <v>46195</v>
      </c>
      <c r="P1423" t="s">
        <v>398</v>
      </c>
      <c r="T1423" t="s">
        <v>1429</v>
      </c>
      <c r="V1423" t="s">
        <v>1038</v>
      </c>
      <c r="AB1423" t="s">
        <v>2469</v>
      </c>
      <c r="AC1423" t="s">
        <v>472</v>
      </c>
      <c r="AD1423" t="s">
        <v>219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</row>
    <row r="1424" spans="1:42" x14ac:dyDescent="0.25">
      <c r="A1424">
        <v>642</v>
      </c>
      <c r="B1424" t="s">
        <v>2167</v>
      </c>
      <c r="D1424" t="s">
        <v>2527</v>
      </c>
      <c r="E1424" s="4">
        <v>0</v>
      </c>
      <c r="F1424" t="s">
        <v>151</v>
      </c>
      <c r="H1424" s="3">
        <v>46182</v>
      </c>
      <c r="I1424" s="3">
        <v>46195</v>
      </c>
      <c r="P1424" t="s">
        <v>398</v>
      </c>
      <c r="T1424" t="s">
        <v>1429</v>
      </c>
      <c r="V1424" t="s">
        <v>151</v>
      </c>
      <c r="AB1424" t="s">
        <v>2469</v>
      </c>
      <c r="AC1424" t="s">
        <v>204</v>
      </c>
      <c r="AD1424" t="s">
        <v>219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</row>
    <row r="1425" spans="1:42" x14ac:dyDescent="0.25">
      <c r="A1425">
        <v>647</v>
      </c>
      <c r="B1425" t="s">
        <v>2168</v>
      </c>
      <c r="D1425" t="s">
        <v>2528</v>
      </c>
      <c r="E1425" s="4">
        <v>0</v>
      </c>
      <c r="F1425" t="s">
        <v>151</v>
      </c>
      <c r="H1425" s="3">
        <v>46182</v>
      </c>
      <c r="I1425" s="3">
        <v>46195</v>
      </c>
      <c r="P1425" t="s">
        <v>398</v>
      </c>
      <c r="T1425" t="s">
        <v>1429</v>
      </c>
      <c r="V1425" t="s">
        <v>151</v>
      </c>
      <c r="AB1425" t="s">
        <v>2469</v>
      </c>
      <c r="AC1425" t="s">
        <v>204</v>
      </c>
      <c r="AD1425" t="s">
        <v>219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</row>
    <row r="1426" spans="1:42" x14ac:dyDescent="0.25">
      <c r="A1426">
        <v>652</v>
      </c>
      <c r="B1426" t="s">
        <v>2529</v>
      </c>
      <c r="D1426" t="s">
        <v>2530</v>
      </c>
      <c r="E1426" s="4">
        <v>0</v>
      </c>
      <c r="F1426" t="s">
        <v>151</v>
      </c>
      <c r="H1426" s="3">
        <v>46182</v>
      </c>
      <c r="I1426" s="3">
        <v>46195</v>
      </c>
      <c r="P1426" t="s">
        <v>398</v>
      </c>
      <c r="T1426" t="s">
        <v>1429</v>
      </c>
      <c r="V1426" t="s">
        <v>151</v>
      </c>
      <c r="AB1426" t="s">
        <v>2469</v>
      </c>
      <c r="AC1426" t="s">
        <v>204</v>
      </c>
      <c r="AD1426" t="s">
        <v>219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</row>
    <row r="1427" spans="1:42" x14ac:dyDescent="0.25">
      <c r="A1427">
        <v>657</v>
      </c>
      <c r="B1427" t="s">
        <v>2531</v>
      </c>
      <c r="D1427" t="s">
        <v>2532</v>
      </c>
      <c r="E1427" s="4">
        <v>0</v>
      </c>
      <c r="F1427" t="s">
        <v>151</v>
      </c>
      <c r="H1427" s="3">
        <v>46182</v>
      </c>
      <c r="I1427" s="3">
        <v>46195</v>
      </c>
      <c r="P1427" t="s">
        <v>398</v>
      </c>
      <c r="T1427" t="s">
        <v>1429</v>
      </c>
      <c r="V1427" t="s">
        <v>151</v>
      </c>
      <c r="AB1427" t="s">
        <v>2469</v>
      </c>
      <c r="AC1427" t="s">
        <v>204</v>
      </c>
      <c r="AD1427" t="s">
        <v>219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</row>
    <row r="1428" spans="1:42" x14ac:dyDescent="0.25">
      <c r="A1428">
        <v>662</v>
      </c>
      <c r="B1428" t="s">
        <v>2533</v>
      </c>
      <c r="D1428" t="s">
        <v>2534</v>
      </c>
      <c r="E1428" s="4">
        <v>0</v>
      </c>
      <c r="F1428" t="s">
        <v>151</v>
      </c>
      <c r="H1428" s="3">
        <v>46182</v>
      </c>
      <c r="I1428" s="3">
        <v>46195</v>
      </c>
      <c r="P1428" t="s">
        <v>398</v>
      </c>
      <c r="T1428" t="s">
        <v>1429</v>
      </c>
      <c r="V1428" t="s">
        <v>151</v>
      </c>
      <c r="AB1428" t="s">
        <v>2469</v>
      </c>
      <c r="AC1428" t="s">
        <v>204</v>
      </c>
      <c r="AD1428" t="s">
        <v>219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</row>
    <row r="1429" spans="1:42" x14ac:dyDescent="0.25">
      <c r="A1429">
        <v>668</v>
      </c>
      <c r="B1429" t="s">
        <v>2171</v>
      </c>
      <c r="D1429" t="s">
        <v>2535</v>
      </c>
      <c r="E1429" s="4">
        <v>0</v>
      </c>
      <c r="F1429" t="s">
        <v>1038</v>
      </c>
      <c r="H1429" s="3">
        <v>46148</v>
      </c>
      <c r="I1429" s="3">
        <v>46164</v>
      </c>
      <c r="P1429" t="s">
        <v>398</v>
      </c>
      <c r="T1429" t="s">
        <v>1429</v>
      </c>
      <c r="V1429" t="s">
        <v>1038</v>
      </c>
      <c r="AB1429" t="s">
        <v>2469</v>
      </c>
      <c r="AC1429" t="s">
        <v>304</v>
      </c>
      <c r="AD1429" t="s">
        <v>471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</row>
    <row r="1430" spans="1:42" x14ac:dyDescent="0.25">
      <c r="A1430">
        <v>673</v>
      </c>
      <c r="B1430" t="s">
        <v>2174</v>
      </c>
      <c r="D1430" t="s">
        <v>2536</v>
      </c>
      <c r="E1430" s="4">
        <v>0</v>
      </c>
      <c r="F1430" t="s">
        <v>330</v>
      </c>
      <c r="H1430" s="3">
        <v>46162</v>
      </c>
      <c r="I1430" s="3">
        <v>46184</v>
      </c>
      <c r="P1430" t="s">
        <v>398</v>
      </c>
      <c r="T1430" t="s">
        <v>1429</v>
      </c>
      <c r="U1430">
        <v>773</v>
      </c>
      <c r="V1430" t="s">
        <v>330</v>
      </c>
      <c r="AB1430" t="s">
        <v>2469</v>
      </c>
      <c r="AC1430" t="s">
        <v>200</v>
      </c>
      <c r="AD1430" t="s">
        <v>476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</row>
    <row r="1431" spans="1:42" x14ac:dyDescent="0.25">
      <c r="A1431">
        <v>678</v>
      </c>
      <c r="B1431" t="s">
        <v>2175</v>
      </c>
      <c r="D1431" t="s">
        <v>2537</v>
      </c>
      <c r="E1431" s="4">
        <v>0</v>
      </c>
      <c r="F1431" t="s">
        <v>175</v>
      </c>
      <c r="H1431" s="3">
        <v>46167</v>
      </c>
      <c r="I1431" s="3">
        <v>46175</v>
      </c>
      <c r="P1431" t="s">
        <v>398</v>
      </c>
      <c r="T1431" t="s">
        <v>1429</v>
      </c>
      <c r="V1431" t="s">
        <v>175</v>
      </c>
      <c r="AB1431" t="s">
        <v>2469</v>
      </c>
      <c r="AC1431" t="s">
        <v>74</v>
      </c>
      <c r="AD1431" t="s">
        <v>472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</row>
    <row r="1432" spans="1:42" x14ac:dyDescent="0.25">
      <c r="A1432">
        <v>683</v>
      </c>
      <c r="B1432" t="s">
        <v>2176</v>
      </c>
      <c r="D1432" t="s">
        <v>2538</v>
      </c>
      <c r="E1432" s="4">
        <v>0</v>
      </c>
      <c r="F1432" t="s">
        <v>175</v>
      </c>
      <c r="H1432" s="3">
        <v>46167</v>
      </c>
      <c r="I1432" s="3">
        <v>46175</v>
      </c>
      <c r="P1432" t="s">
        <v>398</v>
      </c>
      <c r="T1432" t="s">
        <v>1429</v>
      </c>
      <c r="V1432" t="s">
        <v>175</v>
      </c>
      <c r="AB1432" t="s">
        <v>2469</v>
      </c>
      <c r="AC1432" t="s">
        <v>74</v>
      </c>
      <c r="AD1432" t="s">
        <v>472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</row>
    <row r="1433" spans="1:42" x14ac:dyDescent="0.25">
      <c r="A1433">
        <v>689</v>
      </c>
      <c r="B1433" t="s">
        <v>2179</v>
      </c>
      <c r="D1433" t="s">
        <v>2539</v>
      </c>
      <c r="E1433" s="4">
        <v>0</v>
      </c>
      <c r="F1433" t="s">
        <v>330</v>
      </c>
      <c r="H1433" s="3">
        <v>46161</v>
      </c>
      <c r="I1433" s="3">
        <v>46183</v>
      </c>
      <c r="P1433" t="s">
        <v>398</v>
      </c>
      <c r="T1433" t="s">
        <v>1429</v>
      </c>
      <c r="V1433" t="s">
        <v>330</v>
      </c>
      <c r="AB1433" t="s">
        <v>2469</v>
      </c>
      <c r="AC1433" t="s">
        <v>90</v>
      </c>
      <c r="AD1433" t="s">
        <v>592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</row>
    <row r="1434" spans="1:42" x14ac:dyDescent="0.25">
      <c r="A1434">
        <v>694</v>
      </c>
      <c r="B1434" t="s">
        <v>2183</v>
      </c>
      <c r="D1434" t="s">
        <v>2540</v>
      </c>
      <c r="E1434" s="4">
        <v>0</v>
      </c>
      <c r="F1434" t="s">
        <v>330</v>
      </c>
      <c r="H1434" s="3">
        <v>46175</v>
      </c>
      <c r="I1434" s="3">
        <v>46197</v>
      </c>
      <c r="P1434" t="s">
        <v>398</v>
      </c>
      <c r="T1434" t="s">
        <v>1429</v>
      </c>
      <c r="V1434" t="s">
        <v>330</v>
      </c>
      <c r="AB1434" t="s">
        <v>2469</v>
      </c>
      <c r="AC1434" t="s">
        <v>472</v>
      </c>
      <c r="AD1434" t="s">
        <v>207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</row>
    <row r="1435" spans="1:42" x14ac:dyDescent="0.25">
      <c r="A1435">
        <v>699</v>
      </c>
      <c r="B1435" t="s">
        <v>2184</v>
      </c>
      <c r="D1435" t="s">
        <v>2541</v>
      </c>
      <c r="E1435" s="4">
        <v>0</v>
      </c>
      <c r="F1435" t="s">
        <v>175</v>
      </c>
      <c r="H1435" s="3">
        <v>46184</v>
      </c>
      <c r="I1435" s="3">
        <v>46192</v>
      </c>
      <c r="P1435" t="s">
        <v>398</v>
      </c>
      <c r="T1435" t="s">
        <v>1429</v>
      </c>
      <c r="V1435" t="s">
        <v>175</v>
      </c>
      <c r="AB1435" t="s">
        <v>2469</v>
      </c>
      <c r="AC1435" t="s">
        <v>476</v>
      </c>
      <c r="AD1435" t="s">
        <v>211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</row>
    <row r="1436" spans="1:42" x14ac:dyDescent="0.25">
      <c r="A1436">
        <v>704</v>
      </c>
      <c r="B1436" t="s">
        <v>2185</v>
      </c>
      <c r="D1436" t="s">
        <v>2542</v>
      </c>
      <c r="E1436" s="4">
        <v>0</v>
      </c>
      <c r="F1436" t="s">
        <v>175</v>
      </c>
      <c r="H1436" s="3">
        <v>46184</v>
      </c>
      <c r="I1436" s="3">
        <v>46192</v>
      </c>
      <c r="P1436" t="s">
        <v>398</v>
      </c>
      <c r="T1436" t="s">
        <v>1429</v>
      </c>
      <c r="V1436" t="s">
        <v>175</v>
      </c>
      <c r="AB1436" t="s">
        <v>2469</v>
      </c>
      <c r="AC1436" t="s">
        <v>476</v>
      </c>
      <c r="AD1436" t="s">
        <v>211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</row>
    <row r="1437" spans="1:42" x14ac:dyDescent="0.25">
      <c r="A1437">
        <v>710</v>
      </c>
      <c r="B1437" t="s">
        <v>2188</v>
      </c>
      <c r="D1437" t="s">
        <v>2543</v>
      </c>
      <c r="E1437" s="4">
        <v>0</v>
      </c>
      <c r="F1437" t="s">
        <v>203</v>
      </c>
      <c r="H1437" s="3">
        <v>46170</v>
      </c>
      <c r="I1437" s="3">
        <v>46188</v>
      </c>
      <c r="P1437" t="s">
        <v>398</v>
      </c>
      <c r="T1437" t="s">
        <v>1429</v>
      </c>
      <c r="V1437" t="s">
        <v>203</v>
      </c>
      <c r="AB1437" t="s">
        <v>2469</v>
      </c>
      <c r="AC1437" t="s">
        <v>448</v>
      </c>
      <c r="AD1437" t="s">
        <v>595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</row>
    <row r="1438" spans="1:42" x14ac:dyDescent="0.25">
      <c r="A1438">
        <v>715</v>
      </c>
      <c r="B1438" t="s">
        <v>2191</v>
      </c>
      <c r="D1438" t="s">
        <v>2544</v>
      </c>
      <c r="E1438" s="4">
        <v>0</v>
      </c>
      <c r="F1438" t="s">
        <v>114</v>
      </c>
      <c r="H1438" s="3">
        <v>46182</v>
      </c>
      <c r="I1438" s="3">
        <v>46192</v>
      </c>
      <c r="P1438" t="s">
        <v>398</v>
      </c>
      <c r="T1438" t="s">
        <v>1429</v>
      </c>
      <c r="V1438" t="s">
        <v>114</v>
      </c>
      <c r="AB1438" t="s">
        <v>2469</v>
      </c>
      <c r="AC1438" t="s">
        <v>204</v>
      </c>
      <c r="AD1438" t="s">
        <v>211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</row>
    <row r="1439" spans="1:42" x14ac:dyDescent="0.25">
      <c r="A1439">
        <v>720</v>
      </c>
      <c r="B1439" t="s">
        <v>2192</v>
      </c>
      <c r="D1439" t="s">
        <v>2545</v>
      </c>
      <c r="E1439" s="4">
        <v>0</v>
      </c>
      <c r="F1439" t="s">
        <v>114</v>
      </c>
      <c r="H1439" s="3">
        <v>46189</v>
      </c>
      <c r="I1439" s="3">
        <v>46199</v>
      </c>
      <c r="P1439" t="s">
        <v>398</v>
      </c>
      <c r="T1439" t="s">
        <v>1429</v>
      </c>
      <c r="V1439" t="s">
        <v>114</v>
      </c>
      <c r="AB1439" t="s">
        <v>2469</v>
      </c>
      <c r="AC1439" t="s">
        <v>576</v>
      </c>
      <c r="AD1439" t="s">
        <v>134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</row>
    <row r="1440" spans="1:42" x14ac:dyDescent="0.25">
      <c r="A1440">
        <v>725</v>
      </c>
      <c r="B1440" t="s">
        <v>2194</v>
      </c>
      <c r="D1440" t="s">
        <v>2546</v>
      </c>
      <c r="E1440" s="4">
        <v>0</v>
      </c>
      <c r="F1440" t="s">
        <v>114</v>
      </c>
      <c r="H1440" s="3">
        <v>46189</v>
      </c>
      <c r="I1440" s="3">
        <v>46199</v>
      </c>
      <c r="P1440" t="s">
        <v>398</v>
      </c>
      <c r="T1440" t="s">
        <v>1429</v>
      </c>
      <c r="V1440" t="s">
        <v>114</v>
      </c>
      <c r="AB1440" t="s">
        <v>2469</v>
      </c>
      <c r="AC1440" t="s">
        <v>576</v>
      </c>
      <c r="AD1440" t="s">
        <v>134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</row>
    <row r="1441" spans="1:42" x14ac:dyDescent="0.25">
      <c r="A1441">
        <v>730</v>
      </c>
      <c r="B1441" t="s">
        <v>2547</v>
      </c>
      <c r="D1441" t="s">
        <v>2548</v>
      </c>
      <c r="E1441" s="4">
        <v>0</v>
      </c>
      <c r="F1441" t="s">
        <v>114</v>
      </c>
      <c r="H1441" s="3">
        <v>46189</v>
      </c>
      <c r="I1441" s="3">
        <v>46199</v>
      </c>
      <c r="P1441" t="s">
        <v>398</v>
      </c>
      <c r="T1441" t="s">
        <v>1429</v>
      </c>
      <c r="V1441" t="s">
        <v>114</v>
      </c>
      <c r="AB1441" t="s">
        <v>2469</v>
      </c>
      <c r="AC1441" t="s">
        <v>576</v>
      </c>
      <c r="AD1441" t="s">
        <v>134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</row>
    <row r="1442" spans="1:42" x14ac:dyDescent="0.25">
      <c r="A1442">
        <v>735</v>
      </c>
      <c r="B1442" t="s">
        <v>2549</v>
      </c>
      <c r="D1442" t="s">
        <v>2550</v>
      </c>
      <c r="E1442" s="4">
        <v>0</v>
      </c>
      <c r="F1442" t="s">
        <v>114</v>
      </c>
      <c r="H1442" s="3">
        <v>46189</v>
      </c>
      <c r="I1442" s="3">
        <v>46199</v>
      </c>
      <c r="P1442" t="s">
        <v>398</v>
      </c>
      <c r="T1442" t="s">
        <v>1429</v>
      </c>
      <c r="V1442" t="s">
        <v>114</v>
      </c>
      <c r="AB1442" t="s">
        <v>2469</v>
      </c>
      <c r="AC1442" t="s">
        <v>576</v>
      </c>
      <c r="AD1442" t="s">
        <v>134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</row>
    <row r="1443" spans="1:42" x14ac:dyDescent="0.25">
      <c r="A1443">
        <v>741</v>
      </c>
      <c r="B1443" t="s">
        <v>2198</v>
      </c>
      <c r="D1443" t="s">
        <v>2551</v>
      </c>
      <c r="E1443" s="4">
        <v>0</v>
      </c>
      <c r="F1443" t="s">
        <v>1038</v>
      </c>
      <c r="H1443" s="3">
        <v>46154</v>
      </c>
      <c r="I1443" s="3">
        <v>46170</v>
      </c>
      <c r="P1443" t="s">
        <v>398</v>
      </c>
      <c r="T1443" t="s">
        <v>1429</v>
      </c>
      <c r="V1443" t="s">
        <v>1038</v>
      </c>
      <c r="AB1443" t="s">
        <v>2469</v>
      </c>
      <c r="AC1443" t="s">
        <v>741</v>
      </c>
      <c r="AD1443" t="s">
        <v>448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</row>
    <row r="1444" spans="1:42" x14ac:dyDescent="0.25">
      <c r="A1444">
        <v>746</v>
      </c>
      <c r="B1444" t="s">
        <v>2200</v>
      </c>
      <c r="D1444" t="s">
        <v>2552</v>
      </c>
      <c r="E1444" s="4">
        <v>0</v>
      </c>
      <c r="F1444" t="s">
        <v>175</v>
      </c>
      <c r="H1444" s="3">
        <v>46191</v>
      </c>
      <c r="I1444" s="3">
        <v>46199</v>
      </c>
      <c r="P1444" t="s">
        <v>398</v>
      </c>
      <c r="T1444" t="s">
        <v>1429</v>
      </c>
      <c r="V1444" t="s">
        <v>175</v>
      </c>
      <c r="AB1444" t="s">
        <v>2469</v>
      </c>
      <c r="AC1444" t="s">
        <v>480</v>
      </c>
      <c r="AD1444" t="s">
        <v>134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</row>
    <row r="1445" spans="1:42" x14ac:dyDescent="0.25">
      <c r="A1445">
        <v>751</v>
      </c>
      <c r="B1445" t="s">
        <v>2201</v>
      </c>
      <c r="D1445" t="s">
        <v>2553</v>
      </c>
      <c r="E1445" s="4">
        <v>0</v>
      </c>
      <c r="F1445" t="s">
        <v>175</v>
      </c>
      <c r="H1445" s="3">
        <v>46171</v>
      </c>
      <c r="I1445" s="3">
        <v>46183</v>
      </c>
      <c r="P1445" t="s">
        <v>398</v>
      </c>
      <c r="T1445" t="s">
        <v>1429</v>
      </c>
      <c r="V1445" t="s">
        <v>175</v>
      </c>
      <c r="AB1445" t="s">
        <v>2469</v>
      </c>
      <c r="AC1445" t="s">
        <v>189</v>
      </c>
      <c r="AD1445" t="s">
        <v>592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</row>
    <row r="1446" spans="1:42" x14ac:dyDescent="0.25">
      <c r="A1446">
        <v>756</v>
      </c>
      <c r="B1446" t="s">
        <v>2203</v>
      </c>
      <c r="D1446" t="s">
        <v>2554</v>
      </c>
      <c r="E1446" s="4">
        <v>0</v>
      </c>
      <c r="F1446" t="s">
        <v>175</v>
      </c>
      <c r="H1446" s="3">
        <v>46171</v>
      </c>
      <c r="I1446" s="3">
        <v>46183</v>
      </c>
      <c r="P1446" t="s">
        <v>398</v>
      </c>
      <c r="T1446" t="s">
        <v>1429</v>
      </c>
      <c r="V1446" t="s">
        <v>175</v>
      </c>
      <c r="AB1446" t="s">
        <v>2469</v>
      </c>
      <c r="AC1446" t="s">
        <v>189</v>
      </c>
      <c r="AD1446" t="s">
        <v>592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</row>
    <row r="1447" spans="1:42" x14ac:dyDescent="0.25">
      <c r="A1447">
        <v>761</v>
      </c>
      <c r="B1447" t="s">
        <v>2555</v>
      </c>
      <c r="D1447" t="s">
        <v>2556</v>
      </c>
      <c r="E1447" s="4">
        <v>0</v>
      </c>
      <c r="F1447" t="s">
        <v>175</v>
      </c>
      <c r="H1447" s="3">
        <v>46171</v>
      </c>
      <c r="I1447" s="3">
        <v>46183</v>
      </c>
      <c r="P1447" t="s">
        <v>398</v>
      </c>
      <c r="T1447" t="s">
        <v>1429</v>
      </c>
      <c r="V1447" t="s">
        <v>175</v>
      </c>
      <c r="AB1447" t="s">
        <v>2469</v>
      </c>
      <c r="AC1447" t="s">
        <v>189</v>
      </c>
      <c r="AD1447" t="s">
        <v>592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</row>
    <row r="1448" spans="1:42" x14ac:dyDescent="0.25">
      <c r="A1448">
        <v>767</v>
      </c>
      <c r="B1448" t="s">
        <v>2208</v>
      </c>
      <c r="D1448" t="s">
        <v>2557</v>
      </c>
      <c r="E1448" s="4">
        <v>0</v>
      </c>
      <c r="F1448" t="s">
        <v>330</v>
      </c>
      <c r="H1448" s="3">
        <v>46163</v>
      </c>
      <c r="I1448" s="3">
        <v>46185</v>
      </c>
      <c r="P1448" t="s">
        <v>398</v>
      </c>
      <c r="T1448" t="s">
        <v>1429</v>
      </c>
      <c r="V1448" t="s">
        <v>330</v>
      </c>
      <c r="AB1448" t="s">
        <v>2469</v>
      </c>
      <c r="AC1448" t="s">
        <v>491</v>
      </c>
      <c r="AD1448" t="s">
        <v>571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</row>
    <row r="1449" spans="1:42" x14ac:dyDescent="0.25">
      <c r="A1449">
        <v>772</v>
      </c>
      <c r="B1449" t="s">
        <v>2213</v>
      </c>
      <c r="D1449" t="s">
        <v>2558</v>
      </c>
      <c r="E1449" s="4">
        <v>0</v>
      </c>
      <c r="F1449" t="s">
        <v>210</v>
      </c>
      <c r="H1449" s="3">
        <v>46185</v>
      </c>
      <c r="I1449" s="3">
        <v>46196</v>
      </c>
      <c r="P1449" t="s">
        <v>398</v>
      </c>
      <c r="T1449" t="s">
        <v>1429</v>
      </c>
      <c r="V1449" t="s">
        <v>210</v>
      </c>
      <c r="AB1449" t="s">
        <v>2469</v>
      </c>
      <c r="AC1449" t="s">
        <v>571</v>
      </c>
      <c r="AD1449" t="s">
        <v>212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</row>
    <row r="1450" spans="1:42" x14ac:dyDescent="0.25">
      <c r="A1450">
        <v>777</v>
      </c>
      <c r="B1450" t="s">
        <v>2214</v>
      </c>
      <c r="D1450" t="s">
        <v>2559</v>
      </c>
      <c r="E1450" s="4">
        <v>0</v>
      </c>
      <c r="F1450" t="s">
        <v>210</v>
      </c>
      <c r="H1450" s="3">
        <v>46188</v>
      </c>
      <c r="I1450" s="3">
        <v>46197</v>
      </c>
      <c r="P1450" t="s">
        <v>398</v>
      </c>
      <c r="T1450" t="s">
        <v>1429</v>
      </c>
      <c r="V1450" t="s">
        <v>210</v>
      </c>
      <c r="AB1450" t="s">
        <v>2469</v>
      </c>
      <c r="AC1450" t="s">
        <v>595</v>
      </c>
      <c r="AD1450" t="s">
        <v>207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</row>
    <row r="1451" spans="1:42" x14ac:dyDescent="0.25">
      <c r="A1451">
        <v>782</v>
      </c>
      <c r="B1451" t="s">
        <v>2215</v>
      </c>
      <c r="D1451" t="s">
        <v>2560</v>
      </c>
      <c r="E1451" s="4">
        <v>0</v>
      </c>
      <c r="F1451" t="s">
        <v>175</v>
      </c>
      <c r="H1451" s="3">
        <v>46189</v>
      </c>
      <c r="I1451" s="3">
        <v>46197</v>
      </c>
      <c r="P1451" t="s">
        <v>398</v>
      </c>
      <c r="T1451" t="s">
        <v>1429</v>
      </c>
      <c r="V1451" t="s">
        <v>175</v>
      </c>
      <c r="AB1451" t="s">
        <v>2469</v>
      </c>
      <c r="AC1451" t="s">
        <v>576</v>
      </c>
      <c r="AD1451" t="s">
        <v>207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</row>
    <row r="1452" spans="1:42" x14ac:dyDescent="0.25">
      <c r="A1452">
        <v>787</v>
      </c>
      <c r="B1452" t="s">
        <v>2216</v>
      </c>
      <c r="D1452" t="s">
        <v>2482</v>
      </c>
      <c r="E1452" s="4">
        <v>0</v>
      </c>
      <c r="F1452" t="s">
        <v>2561</v>
      </c>
      <c r="H1452" s="3">
        <v>46163</v>
      </c>
      <c r="I1452" s="3">
        <v>46198</v>
      </c>
      <c r="P1452" t="s">
        <v>398</v>
      </c>
      <c r="T1452" t="s">
        <v>1429</v>
      </c>
      <c r="V1452" t="s">
        <v>2561</v>
      </c>
      <c r="AB1452" t="s">
        <v>2469</v>
      </c>
      <c r="AC1452" t="s">
        <v>491</v>
      </c>
      <c r="AD1452" t="s">
        <v>128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</row>
    <row r="1453" spans="1:42" x14ac:dyDescent="0.25">
      <c r="A1453">
        <v>788</v>
      </c>
      <c r="B1453" t="s">
        <v>2218</v>
      </c>
      <c r="D1453" t="s">
        <v>2562</v>
      </c>
      <c r="E1453" s="4">
        <v>0</v>
      </c>
      <c r="F1453" t="s">
        <v>365</v>
      </c>
      <c r="H1453" s="3">
        <v>46163</v>
      </c>
      <c r="I1453" s="3">
        <v>46184</v>
      </c>
      <c r="P1453" t="s">
        <v>398</v>
      </c>
      <c r="T1453" t="s">
        <v>1429</v>
      </c>
      <c r="V1453" t="s">
        <v>365</v>
      </c>
      <c r="AB1453" t="s">
        <v>2469</v>
      </c>
      <c r="AC1453" t="s">
        <v>491</v>
      </c>
      <c r="AD1453" t="s">
        <v>476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</row>
    <row r="1454" spans="1:42" x14ac:dyDescent="0.25">
      <c r="A1454">
        <v>793</v>
      </c>
      <c r="B1454" t="s">
        <v>2220</v>
      </c>
      <c r="D1454" t="s">
        <v>2563</v>
      </c>
      <c r="E1454" s="4">
        <v>0</v>
      </c>
      <c r="F1454" t="s">
        <v>151</v>
      </c>
      <c r="H1454" s="3">
        <v>46176</v>
      </c>
      <c r="I1454" s="3">
        <v>46191</v>
      </c>
      <c r="P1454" t="s">
        <v>398</v>
      </c>
      <c r="T1454" t="s">
        <v>1429</v>
      </c>
      <c r="V1454" t="s">
        <v>151</v>
      </c>
      <c r="AB1454" t="s">
        <v>2469</v>
      </c>
      <c r="AC1454" t="s">
        <v>459</v>
      </c>
      <c r="AD1454" t="s">
        <v>480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</row>
    <row r="1455" spans="1:42" x14ac:dyDescent="0.25">
      <c r="A1455">
        <v>798</v>
      </c>
      <c r="B1455" t="s">
        <v>2221</v>
      </c>
      <c r="D1455" t="s">
        <v>2564</v>
      </c>
      <c r="E1455" s="4">
        <v>0</v>
      </c>
      <c r="F1455" t="s">
        <v>151</v>
      </c>
      <c r="H1455" s="3">
        <v>46185</v>
      </c>
      <c r="I1455" s="3">
        <v>46198</v>
      </c>
      <c r="P1455" t="s">
        <v>398</v>
      </c>
      <c r="T1455" t="s">
        <v>1429</v>
      </c>
      <c r="V1455" t="s">
        <v>151</v>
      </c>
      <c r="AB1455" t="s">
        <v>2469</v>
      </c>
      <c r="AC1455" t="s">
        <v>571</v>
      </c>
      <c r="AD1455" t="s">
        <v>128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</row>
    <row r="1456" spans="1:42" x14ac:dyDescent="0.25">
      <c r="A1456">
        <v>803</v>
      </c>
      <c r="B1456" t="s">
        <v>2222</v>
      </c>
      <c r="D1456" t="s">
        <v>2565</v>
      </c>
      <c r="E1456" s="4">
        <v>0</v>
      </c>
      <c r="F1456" t="s">
        <v>151</v>
      </c>
      <c r="H1456" s="3">
        <v>46185</v>
      </c>
      <c r="I1456" s="3">
        <v>46198</v>
      </c>
      <c r="P1456" t="s">
        <v>398</v>
      </c>
      <c r="T1456" t="s">
        <v>1429</v>
      </c>
      <c r="V1456" t="s">
        <v>151</v>
      </c>
      <c r="AB1456" t="s">
        <v>2469</v>
      </c>
      <c r="AC1456" t="s">
        <v>571</v>
      </c>
      <c r="AD1456" t="s">
        <v>128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</row>
    <row r="1457" spans="1:42" x14ac:dyDescent="0.25">
      <c r="A1457">
        <v>808</v>
      </c>
      <c r="B1457" t="s">
        <v>2566</v>
      </c>
      <c r="D1457" t="s">
        <v>2567</v>
      </c>
      <c r="E1457" s="4">
        <v>0</v>
      </c>
      <c r="F1457" t="s">
        <v>151</v>
      </c>
      <c r="H1457" s="3">
        <v>46185</v>
      </c>
      <c r="I1457" s="3">
        <v>46198</v>
      </c>
      <c r="P1457" t="s">
        <v>398</v>
      </c>
      <c r="T1457" t="s">
        <v>1429</v>
      </c>
      <c r="V1457" t="s">
        <v>151</v>
      </c>
      <c r="AB1457" t="s">
        <v>2469</v>
      </c>
      <c r="AC1457" t="s">
        <v>571</v>
      </c>
      <c r="AD1457" t="s">
        <v>128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</row>
    <row r="1458" spans="1:42" x14ac:dyDescent="0.25">
      <c r="A1458">
        <v>813</v>
      </c>
      <c r="B1458" t="s">
        <v>2568</v>
      </c>
      <c r="D1458" t="s">
        <v>2569</v>
      </c>
      <c r="E1458" s="4">
        <v>0</v>
      </c>
      <c r="F1458" t="s">
        <v>151</v>
      </c>
      <c r="H1458" s="3">
        <v>46185</v>
      </c>
      <c r="I1458" s="3">
        <v>46198</v>
      </c>
      <c r="P1458" t="s">
        <v>398</v>
      </c>
      <c r="T1458" t="s">
        <v>1429</v>
      </c>
      <c r="V1458" t="s">
        <v>151</v>
      </c>
      <c r="AB1458" t="s">
        <v>2469</v>
      </c>
      <c r="AC1458" t="s">
        <v>571</v>
      </c>
      <c r="AD1458" t="s">
        <v>128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</row>
    <row r="1459" spans="1:42" x14ac:dyDescent="0.25">
      <c r="A1459">
        <v>819</v>
      </c>
      <c r="B1459" t="s">
        <v>2226</v>
      </c>
      <c r="D1459" t="s">
        <v>2570</v>
      </c>
      <c r="E1459" s="4">
        <v>0</v>
      </c>
      <c r="F1459" t="s">
        <v>330</v>
      </c>
      <c r="H1459" s="3">
        <v>46160</v>
      </c>
      <c r="I1459" s="3">
        <v>46182</v>
      </c>
      <c r="P1459" t="s">
        <v>398</v>
      </c>
      <c r="T1459" t="s">
        <v>1429</v>
      </c>
      <c r="V1459" t="s">
        <v>330</v>
      </c>
      <c r="AB1459" t="s">
        <v>2469</v>
      </c>
      <c r="AC1459" t="s">
        <v>185</v>
      </c>
      <c r="AD1459" t="s">
        <v>204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</row>
    <row r="1460" spans="1:42" x14ac:dyDescent="0.25">
      <c r="A1460">
        <v>824</v>
      </c>
      <c r="B1460" t="s">
        <v>2229</v>
      </c>
      <c r="D1460" t="s">
        <v>2571</v>
      </c>
      <c r="E1460" s="4">
        <v>0</v>
      </c>
      <c r="F1460" t="s">
        <v>151</v>
      </c>
      <c r="H1460" s="3">
        <v>46183</v>
      </c>
      <c r="I1460" s="3">
        <v>46196</v>
      </c>
      <c r="P1460" t="s">
        <v>398</v>
      </c>
      <c r="T1460" t="s">
        <v>1429</v>
      </c>
      <c r="V1460" t="s">
        <v>151</v>
      </c>
      <c r="AB1460" t="s">
        <v>2469</v>
      </c>
      <c r="AC1460" t="s">
        <v>592</v>
      </c>
      <c r="AD1460" t="s">
        <v>212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</row>
    <row r="1461" spans="1:42" x14ac:dyDescent="0.25">
      <c r="A1461">
        <v>829</v>
      </c>
      <c r="B1461" t="s">
        <v>2230</v>
      </c>
      <c r="D1461" t="s">
        <v>2572</v>
      </c>
      <c r="E1461" s="4">
        <v>0</v>
      </c>
      <c r="F1461" t="s">
        <v>101</v>
      </c>
      <c r="H1461" s="3">
        <v>46183</v>
      </c>
      <c r="I1461" s="3">
        <v>46188</v>
      </c>
      <c r="P1461" t="s">
        <v>398</v>
      </c>
      <c r="T1461" t="s">
        <v>1429</v>
      </c>
      <c r="V1461" t="s">
        <v>101</v>
      </c>
      <c r="AB1461" t="s">
        <v>2469</v>
      </c>
      <c r="AC1461" t="s">
        <v>592</v>
      </c>
      <c r="AD1461" t="s">
        <v>595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</row>
    <row r="1462" spans="1:42" x14ac:dyDescent="0.25">
      <c r="A1462">
        <v>834</v>
      </c>
      <c r="B1462" t="s">
        <v>2231</v>
      </c>
      <c r="D1462" t="s">
        <v>2573</v>
      </c>
      <c r="E1462" s="4">
        <v>0</v>
      </c>
      <c r="F1462" t="s">
        <v>101</v>
      </c>
      <c r="H1462" s="3">
        <v>46183</v>
      </c>
      <c r="I1462" s="3">
        <v>46188</v>
      </c>
      <c r="P1462" t="s">
        <v>398</v>
      </c>
      <c r="T1462" t="s">
        <v>1429</v>
      </c>
      <c r="V1462" t="s">
        <v>101</v>
      </c>
      <c r="AB1462" t="s">
        <v>2469</v>
      </c>
      <c r="AC1462" t="s">
        <v>592</v>
      </c>
      <c r="AD1462" t="s">
        <v>595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</row>
    <row r="1463" spans="1:42" x14ac:dyDescent="0.25">
      <c r="A1463">
        <v>845</v>
      </c>
      <c r="B1463" t="s">
        <v>2236</v>
      </c>
      <c r="D1463" t="s">
        <v>2574</v>
      </c>
      <c r="E1463" s="4">
        <v>0</v>
      </c>
      <c r="F1463" t="s">
        <v>330</v>
      </c>
      <c r="H1463" s="3">
        <v>46170</v>
      </c>
      <c r="I1463" s="3">
        <v>46192</v>
      </c>
      <c r="P1463" t="s">
        <v>398</v>
      </c>
      <c r="T1463" t="s">
        <v>1429</v>
      </c>
      <c r="V1463" t="s">
        <v>330</v>
      </c>
      <c r="AB1463" t="s">
        <v>2469</v>
      </c>
      <c r="AC1463" t="s">
        <v>448</v>
      </c>
      <c r="AD1463" t="s">
        <v>211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</row>
    <row r="1464" spans="1:42" x14ac:dyDescent="0.25">
      <c r="A1464">
        <v>850</v>
      </c>
      <c r="B1464" t="s">
        <v>2237</v>
      </c>
      <c r="D1464" t="s">
        <v>2575</v>
      </c>
      <c r="E1464" s="4">
        <v>0</v>
      </c>
      <c r="F1464" t="s">
        <v>330</v>
      </c>
      <c r="H1464" s="3">
        <v>46170</v>
      </c>
      <c r="I1464" s="3">
        <v>46192</v>
      </c>
      <c r="P1464" t="s">
        <v>398</v>
      </c>
      <c r="T1464" t="s">
        <v>1429</v>
      </c>
      <c r="V1464" t="s">
        <v>330</v>
      </c>
      <c r="AB1464" t="s">
        <v>2469</v>
      </c>
      <c r="AC1464" t="s">
        <v>448</v>
      </c>
      <c r="AD1464" t="s">
        <v>211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</row>
    <row r="1465" spans="1:42" x14ac:dyDescent="0.25">
      <c r="A1465">
        <v>861</v>
      </c>
      <c r="B1465" t="s">
        <v>2576</v>
      </c>
      <c r="D1465" t="s">
        <v>2577</v>
      </c>
      <c r="E1465" s="4">
        <v>0</v>
      </c>
      <c r="F1465" t="s">
        <v>214</v>
      </c>
      <c r="H1465" s="3">
        <v>46192</v>
      </c>
      <c r="I1465" s="3">
        <v>46199</v>
      </c>
      <c r="P1465" t="s">
        <v>398</v>
      </c>
      <c r="T1465" t="s">
        <v>1429</v>
      </c>
      <c r="V1465" t="s">
        <v>214</v>
      </c>
      <c r="AB1465" t="s">
        <v>2469</v>
      </c>
      <c r="AC1465" t="s">
        <v>211</v>
      </c>
      <c r="AD1465" t="s">
        <v>134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</row>
    <row r="1466" spans="1:42" x14ac:dyDescent="0.25">
      <c r="A1466">
        <v>943</v>
      </c>
      <c r="B1466" t="s">
        <v>2578</v>
      </c>
      <c r="D1466" t="s">
        <v>2579</v>
      </c>
      <c r="E1466" s="4">
        <v>0</v>
      </c>
      <c r="F1466" t="s">
        <v>175</v>
      </c>
      <c r="H1466" s="3">
        <v>46171</v>
      </c>
      <c r="I1466" s="3">
        <v>46183</v>
      </c>
      <c r="P1466" t="s">
        <v>398</v>
      </c>
      <c r="T1466" t="s">
        <v>2246</v>
      </c>
      <c r="V1466" t="s">
        <v>175</v>
      </c>
      <c r="AB1466" t="s">
        <v>2469</v>
      </c>
      <c r="AC1466" t="s">
        <v>189</v>
      </c>
      <c r="AD1466" t="s">
        <v>592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</row>
    <row r="1467" spans="1:42" x14ac:dyDescent="0.25">
      <c r="A1467">
        <v>948</v>
      </c>
      <c r="B1467" t="s">
        <v>2443</v>
      </c>
      <c r="D1467" t="s">
        <v>2580</v>
      </c>
      <c r="E1467" s="4">
        <v>0</v>
      </c>
      <c r="F1467" t="s">
        <v>175</v>
      </c>
      <c r="H1467" s="3">
        <v>46175</v>
      </c>
      <c r="I1467" s="3">
        <v>46185</v>
      </c>
      <c r="P1467" t="s">
        <v>398</v>
      </c>
      <c r="T1467" t="s">
        <v>2246</v>
      </c>
      <c r="V1467" t="s">
        <v>175</v>
      </c>
      <c r="AB1467" t="s">
        <v>2469</v>
      </c>
      <c r="AC1467" t="s">
        <v>472</v>
      </c>
      <c r="AD1467" t="s">
        <v>571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</row>
    <row r="1468" spans="1:42" x14ac:dyDescent="0.25">
      <c r="A1468">
        <v>953</v>
      </c>
      <c r="B1468" t="s">
        <v>2451</v>
      </c>
      <c r="D1468" t="s">
        <v>2581</v>
      </c>
      <c r="E1468" s="4">
        <v>0</v>
      </c>
      <c r="F1468" t="s">
        <v>175</v>
      </c>
      <c r="H1468" s="3">
        <v>46181</v>
      </c>
      <c r="I1468" s="3">
        <v>46189</v>
      </c>
      <c r="P1468" t="s">
        <v>398</v>
      </c>
      <c r="T1468" t="s">
        <v>2246</v>
      </c>
      <c r="V1468" t="s">
        <v>175</v>
      </c>
      <c r="AB1468" t="s">
        <v>2469</v>
      </c>
      <c r="AC1468" t="s">
        <v>201</v>
      </c>
      <c r="AD1468" t="s">
        <v>576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</row>
    <row r="1469" spans="1:42" x14ac:dyDescent="0.25">
      <c r="A1469">
        <v>963</v>
      </c>
      <c r="B1469" t="s">
        <v>2582</v>
      </c>
      <c r="D1469" t="s">
        <v>2583</v>
      </c>
      <c r="E1469" s="4">
        <v>0</v>
      </c>
      <c r="F1469" t="s">
        <v>210</v>
      </c>
      <c r="H1469" s="3">
        <v>46189</v>
      </c>
      <c r="I1469" s="3">
        <v>46198</v>
      </c>
      <c r="P1469" t="s">
        <v>398</v>
      </c>
      <c r="T1469" t="s">
        <v>2246</v>
      </c>
      <c r="V1469" t="s">
        <v>210</v>
      </c>
      <c r="AB1469" t="s">
        <v>2469</v>
      </c>
      <c r="AC1469" t="s">
        <v>576</v>
      </c>
      <c r="AD1469" t="s">
        <v>128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</row>
    <row r="1470" spans="1:42" x14ac:dyDescent="0.25">
      <c r="A1470">
        <v>1008</v>
      </c>
      <c r="B1470" t="s">
        <v>2584</v>
      </c>
      <c r="D1470" t="s">
        <v>2585</v>
      </c>
      <c r="E1470" s="4">
        <v>0</v>
      </c>
      <c r="F1470" t="s">
        <v>175</v>
      </c>
      <c r="H1470" s="3">
        <v>46155</v>
      </c>
      <c r="I1470" s="3">
        <v>46163</v>
      </c>
      <c r="P1470" t="s">
        <v>398</v>
      </c>
      <c r="T1470" t="s">
        <v>2246</v>
      </c>
      <c r="U1470">
        <v>939</v>
      </c>
      <c r="V1470" t="s">
        <v>175</v>
      </c>
      <c r="AB1470" t="s">
        <v>2469</v>
      </c>
      <c r="AC1470" t="s">
        <v>68</v>
      </c>
      <c r="AD1470" t="s">
        <v>491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</row>
    <row r="1471" spans="1:42" x14ac:dyDescent="0.25">
      <c r="A1471">
        <v>1029</v>
      </c>
      <c r="B1471" t="s">
        <v>2586</v>
      </c>
      <c r="D1471" t="s">
        <v>2587</v>
      </c>
      <c r="E1471" s="4">
        <v>0</v>
      </c>
      <c r="F1471" t="s">
        <v>175</v>
      </c>
      <c r="H1471" s="3">
        <v>46157</v>
      </c>
      <c r="I1471" s="3">
        <v>46167</v>
      </c>
      <c r="P1471" t="s">
        <v>398</v>
      </c>
      <c r="T1471" t="s">
        <v>2426</v>
      </c>
      <c r="V1471" t="s">
        <v>175</v>
      </c>
      <c r="AB1471" t="s">
        <v>2469</v>
      </c>
      <c r="AC1471" t="s">
        <v>444</v>
      </c>
      <c r="AD1471" t="s">
        <v>74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</row>
    <row r="1472" spans="1:42" x14ac:dyDescent="0.25">
      <c r="A1472">
        <v>1034</v>
      </c>
      <c r="B1472" t="s">
        <v>2588</v>
      </c>
      <c r="D1472" t="s">
        <v>2589</v>
      </c>
      <c r="E1472" s="4">
        <v>0</v>
      </c>
      <c r="F1472" t="s">
        <v>175</v>
      </c>
      <c r="H1472" s="3">
        <v>46168</v>
      </c>
      <c r="I1472" s="3">
        <v>46176</v>
      </c>
      <c r="P1472" t="s">
        <v>398</v>
      </c>
      <c r="T1472" t="s">
        <v>2426</v>
      </c>
      <c r="V1472" t="s">
        <v>175</v>
      </c>
      <c r="AB1472" t="s">
        <v>2469</v>
      </c>
      <c r="AC1472" t="s">
        <v>206</v>
      </c>
      <c r="AD1472" t="s">
        <v>459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</row>
    <row r="1473" spans="1:42" x14ac:dyDescent="0.25">
      <c r="A1473">
        <v>1039</v>
      </c>
      <c r="B1473" t="s">
        <v>2590</v>
      </c>
      <c r="D1473" t="s">
        <v>2591</v>
      </c>
      <c r="E1473" s="4">
        <v>0</v>
      </c>
      <c r="F1473" t="s">
        <v>175</v>
      </c>
      <c r="H1473" s="3">
        <v>46181</v>
      </c>
      <c r="I1473" s="3">
        <v>46189</v>
      </c>
      <c r="P1473" t="s">
        <v>398</v>
      </c>
      <c r="T1473" t="s">
        <v>2426</v>
      </c>
      <c r="V1473" t="s">
        <v>175</v>
      </c>
      <c r="AB1473" t="s">
        <v>2469</v>
      </c>
      <c r="AC1473" t="s">
        <v>201</v>
      </c>
      <c r="AD1473" t="s">
        <v>576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</row>
    <row r="1474" spans="1:42" x14ac:dyDescent="0.25">
      <c r="A1474">
        <v>1044</v>
      </c>
      <c r="B1474" t="s">
        <v>2592</v>
      </c>
      <c r="D1474" t="s">
        <v>2593</v>
      </c>
      <c r="E1474" s="4">
        <v>0</v>
      </c>
      <c r="F1474" t="s">
        <v>175</v>
      </c>
      <c r="H1474" s="3">
        <v>46190</v>
      </c>
      <c r="I1474" s="3">
        <v>46198</v>
      </c>
      <c r="P1474" t="s">
        <v>398</v>
      </c>
      <c r="T1474" t="s">
        <v>2426</v>
      </c>
      <c r="V1474" t="s">
        <v>175</v>
      </c>
      <c r="AB1474" t="s">
        <v>2469</v>
      </c>
      <c r="AC1474" t="s">
        <v>75</v>
      </c>
      <c r="AD1474" t="s">
        <v>128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</row>
    <row r="1475" spans="1:42" x14ac:dyDescent="0.25">
      <c r="A1475">
        <v>1054</v>
      </c>
      <c r="B1475" t="s">
        <v>2594</v>
      </c>
      <c r="D1475" t="s">
        <v>2595</v>
      </c>
      <c r="E1475" s="4">
        <v>0</v>
      </c>
      <c r="F1475" t="s">
        <v>114</v>
      </c>
      <c r="H1475" s="3">
        <v>46155</v>
      </c>
      <c r="I1475" s="3">
        <v>46167</v>
      </c>
      <c r="P1475" t="s">
        <v>398</v>
      </c>
      <c r="T1475" t="s">
        <v>2426</v>
      </c>
      <c r="V1475" t="s">
        <v>114</v>
      </c>
      <c r="AB1475" t="s">
        <v>2469</v>
      </c>
      <c r="AC1475" t="s">
        <v>68</v>
      </c>
      <c r="AD1475" t="s">
        <v>74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2"/>
  <sheetViews>
    <sheetView workbookViewId="0">
      <selection activeCell="F23" sqref="F23"/>
    </sheetView>
  </sheetViews>
  <sheetFormatPr defaultRowHeight="15" x14ac:dyDescent="0.25"/>
  <cols>
    <col min="1" max="1" width="33.140625" bestFit="1" customWidth="1"/>
    <col min="2" max="2" width="24.140625" customWidth="1"/>
    <col min="3" max="3" width="26.5703125" customWidth="1"/>
    <col min="4" max="4" width="23.28515625" customWidth="1"/>
    <col min="5" max="5" width="29.7109375" customWidth="1"/>
    <col min="6" max="6" width="37.28515625" customWidth="1"/>
    <col min="7" max="7" width="21.28515625" customWidth="1"/>
  </cols>
  <sheetData>
    <row r="1" spans="1:8" x14ac:dyDescent="0.25">
      <c r="A1" t="s">
        <v>2596</v>
      </c>
      <c r="B1">
        <v>268</v>
      </c>
    </row>
    <row r="2" spans="1:8" x14ac:dyDescent="0.25">
      <c r="A2" t="s">
        <v>2597</v>
      </c>
      <c r="B2" s="2">
        <v>0.99626865671641796</v>
      </c>
    </row>
    <row r="3" spans="1:8" x14ac:dyDescent="0.25">
      <c r="A3" t="s">
        <v>19</v>
      </c>
      <c r="B3" t="s">
        <v>31</v>
      </c>
      <c r="C3" t="s">
        <v>32</v>
      </c>
      <c r="D3" t="s">
        <v>2598</v>
      </c>
      <c r="E3" t="s">
        <v>35</v>
      </c>
      <c r="F3" t="s">
        <v>37</v>
      </c>
      <c r="G3" t="s">
        <v>39</v>
      </c>
      <c r="H3" t="s">
        <v>2599</v>
      </c>
    </row>
    <row r="4" spans="1:8" x14ac:dyDescent="0.25">
      <c r="A4" t="s">
        <v>2514</v>
      </c>
      <c r="B4">
        <v>0</v>
      </c>
      <c r="C4">
        <v>0</v>
      </c>
      <c r="D4" s="2">
        <v>0</v>
      </c>
      <c r="E4">
        <v>0</v>
      </c>
      <c r="F4">
        <v>0</v>
      </c>
      <c r="G4">
        <v>0</v>
      </c>
      <c r="H4" s="2">
        <v>0</v>
      </c>
    </row>
    <row r="5" spans="1:8" x14ac:dyDescent="0.25">
      <c r="A5" t="s">
        <v>164</v>
      </c>
      <c r="B5">
        <v>6</v>
      </c>
      <c r="C5">
        <v>6</v>
      </c>
      <c r="D5" s="2">
        <v>1</v>
      </c>
      <c r="E5">
        <v>5</v>
      </c>
      <c r="F5">
        <v>5</v>
      </c>
      <c r="G5">
        <v>5</v>
      </c>
      <c r="H5" s="2">
        <v>0.83333333333333337</v>
      </c>
    </row>
    <row r="6" spans="1:8" x14ac:dyDescent="0.25">
      <c r="A6" t="s">
        <v>2143</v>
      </c>
      <c r="B6">
        <v>11</v>
      </c>
      <c r="C6">
        <v>11</v>
      </c>
      <c r="D6" s="2">
        <v>1</v>
      </c>
      <c r="E6">
        <v>11</v>
      </c>
      <c r="F6">
        <v>11</v>
      </c>
      <c r="G6">
        <v>11</v>
      </c>
      <c r="H6" s="2">
        <v>1</v>
      </c>
    </row>
    <row r="7" spans="1:8" x14ac:dyDescent="0.25">
      <c r="A7" t="s">
        <v>2246</v>
      </c>
      <c r="B7">
        <v>21</v>
      </c>
      <c r="C7">
        <v>21</v>
      </c>
      <c r="D7" s="2">
        <v>1</v>
      </c>
      <c r="E7">
        <v>21</v>
      </c>
      <c r="F7">
        <v>21</v>
      </c>
      <c r="G7">
        <v>21</v>
      </c>
      <c r="H7" s="2">
        <v>1</v>
      </c>
    </row>
    <row r="8" spans="1:8" x14ac:dyDescent="0.25">
      <c r="A8" t="s">
        <v>425</v>
      </c>
      <c r="B8">
        <v>63</v>
      </c>
      <c r="C8">
        <v>63</v>
      </c>
      <c r="D8" s="2">
        <v>1</v>
      </c>
      <c r="E8">
        <v>61</v>
      </c>
      <c r="F8">
        <v>61</v>
      </c>
      <c r="G8">
        <v>61</v>
      </c>
      <c r="H8" s="2">
        <v>0.96825396825396826</v>
      </c>
    </row>
    <row r="9" spans="1:8" x14ac:dyDescent="0.25">
      <c r="A9" t="s">
        <v>1109</v>
      </c>
      <c r="B9">
        <v>43</v>
      </c>
      <c r="C9">
        <v>43</v>
      </c>
      <c r="D9" s="2">
        <v>1</v>
      </c>
      <c r="E9">
        <v>43</v>
      </c>
      <c r="F9">
        <v>43</v>
      </c>
      <c r="G9">
        <v>43</v>
      </c>
      <c r="H9" s="2">
        <v>1</v>
      </c>
    </row>
    <row r="10" spans="1:8" x14ac:dyDescent="0.25">
      <c r="A10" t="s">
        <v>112</v>
      </c>
      <c r="B10">
        <v>3</v>
      </c>
      <c r="C10">
        <v>3</v>
      </c>
      <c r="D10" s="2">
        <v>1</v>
      </c>
      <c r="E10">
        <v>3</v>
      </c>
      <c r="F10">
        <v>3</v>
      </c>
      <c r="G10">
        <v>3</v>
      </c>
      <c r="H10" s="2">
        <v>1</v>
      </c>
    </row>
    <row r="11" spans="1:8" x14ac:dyDescent="0.25">
      <c r="A11" t="s">
        <v>246</v>
      </c>
      <c r="B11">
        <v>19</v>
      </c>
      <c r="C11">
        <v>18</v>
      </c>
      <c r="D11" s="2">
        <v>0.94736842105263153</v>
      </c>
      <c r="E11">
        <v>18</v>
      </c>
      <c r="F11">
        <v>18</v>
      </c>
      <c r="G11">
        <v>18</v>
      </c>
      <c r="H11" s="2">
        <v>0.94736842105263153</v>
      </c>
    </row>
    <row r="12" spans="1:8" x14ac:dyDescent="0.25">
      <c r="A12" t="s">
        <v>1429</v>
      </c>
      <c r="B12">
        <v>88</v>
      </c>
      <c r="C12">
        <v>88</v>
      </c>
      <c r="D12" s="2">
        <v>1</v>
      </c>
      <c r="E12">
        <v>88</v>
      </c>
      <c r="F12">
        <v>88</v>
      </c>
      <c r="G12">
        <v>88</v>
      </c>
      <c r="H12" s="2">
        <v>1</v>
      </c>
    </row>
    <row r="13" spans="1:8" x14ac:dyDescent="0.25">
      <c r="A13" t="s">
        <v>2426</v>
      </c>
      <c r="B13">
        <v>5</v>
      </c>
      <c r="C13">
        <v>5</v>
      </c>
      <c r="D13" s="2">
        <v>1</v>
      </c>
      <c r="E13">
        <v>5</v>
      </c>
      <c r="F13">
        <v>5</v>
      </c>
      <c r="G13">
        <v>5</v>
      </c>
      <c r="H13" s="2">
        <v>1</v>
      </c>
    </row>
    <row r="14" spans="1:8" x14ac:dyDescent="0.25">
      <c r="A14" t="s">
        <v>1036</v>
      </c>
      <c r="B14">
        <v>9</v>
      </c>
      <c r="C14">
        <v>9</v>
      </c>
      <c r="D14" s="2">
        <v>1</v>
      </c>
      <c r="E14">
        <v>9</v>
      </c>
      <c r="F14">
        <v>9</v>
      </c>
      <c r="G14">
        <v>9</v>
      </c>
      <c r="H14" s="2">
        <v>1</v>
      </c>
    </row>
    <row r="15" spans="1:8" x14ac:dyDescent="0.25">
      <c r="A15" t="s">
        <v>2615</v>
      </c>
      <c r="B15">
        <f>SUBTOTAL(109,Tabela2[Emissão inicial total])</f>
        <v>268</v>
      </c>
      <c r="C15">
        <f>SUBTOTAL(109,Tabela2[Emissão inicial concluída])</f>
        <v>267</v>
      </c>
      <c r="E15">
        <f>SUBTOTAL(109,Tabela2[Avaliação do cliente concluída])</f>
        <v>264</v>
      </c>
      <c r="F15">
        <f>SUBTOTAL(109,Tabela2[Atendimento de comentário concluído])</f>
        <v>264</v>
      </c>
      <c r="G15">
        <f>SUBTOTAL(109,Tabela2[Aprovação concluída])</f>
        <v>264</v>
      </c>
    </row>
    <row r="20" spans="1:5" x14ac:dyDescent="0.25">
      <c r="A20" t="s">
        <v>19</v>
      </c>
      <c r="B20" t="s">
        <v>33</v>
      </c>
      <c r="C20" t="s">
        <v>36</v>
      </c>
      <c r="D20" t="s">
        <v>38</v>
      </c>
      <c r="E20" t="s">
        <v>40</v>
      </c>
    </row>
    <row r="21" spans="1:5" x14ac:dyDescent="0.25">
      <c r="A21" t="s">
        <v>2514</v>
      </c>
      <c r="B21">
        <v>0</v>
      </c>
      <c r="C21">
        <v>0</v>
      </c>
      <c r="D21">
        <v>0</v>
      </c>
      <c r="E21">
        <v>0</v>
      </c>
    </row>
    <row r="22" spans="1:5" x14ac:dyDescent="0.25">
      <c r="A22" t="s">
        <v>164</v>
      </c>
      <c r="B22">
        <v>0</v>
      </c>
      <c r="C22">
        <v>1</v>
      </c>
      <c r="D22">
        <v>1</v>
      </c>
      <c r="E22">
        <v>0</v>
      </c>
    </row>
    <row r="23" spans="1:5" x14ac:dyDescent="0.25">
      <c r="A23" t="s">
        <v>2143</v>
      </c>
      <c r="B23">
        <v>0</v>
      </c>
      <c r="C23">
        <v>0</v>
      </c>
      <c r="D23">
        <v>0</v>
      </c>
      <c r="E23">
        <v>0</v>
      </c>
    </row>
    <row r="24" spans="1:5" x14ac:dyDescent="0.25">
      <c r="A24" t="s">
        <v>2246</v>
      </c>
      <c r="B24">
        <v>0</v>
      </c>
      <c r="C24">
        <v>0</v>
      </c>
      <c r="D24">
        <v>0</v>
      </c>
      <c r="E24">
        <v>0</v>
      </c>
    </row>
    <row r="25" spans="1:5" x14ac:dyDescent="0.25">
      <c r="A25" t="s">
        <v>425</v>
      </c>
      <c r="B25">
        <v>0</v>
      </c>
      <c r="C25">
        <v>1</v>
      </c>
      <c r="D25">
        <v>1</v>
      </c>
      <c r="E25">
        <v>1</v>
      </c>
    </row>
    <row r="26" spans="1:5" x14ac:dyDescent="0.25">
      <c r="A26" t="s">
        <v>1109</v>
      </c>
      <c r="B26">
        <v>0</v>
      </c>
      <c r="C26">
        <v>0</v>
      </c>
      <c r="D26">
        <v>0</v>
      </c>
      <c r="E26">
        <v>0</v>
      </c>
    </row>
    <row r="27" spans="1:5" x14ac:dyDescent="0.25">
      <c r="A27" t="s">
        <v>112</v>
      </c>
      <c r="B27">
        <v>0</v>
      </c>
      <c r="C27">
        <v>0</v>
      </c>
      <c r="D27">
        <v>0</v>
      </c>
      <c r="E27">
        <v>0</v>
      </c>
    </row>
    <row r="28" spans="1:5" x14ac:dyDescent="0.25">
      <c r="A28" t="s">
        <v>246</v>
      </c>
      <c r="B28">
        <v>0</v>
      </c>
      <c r="C28">
        <v>0</v>
      </c>
      <c r="D28">
        <v>0</v>
      </c>
      <c r="E28">
        <v>0</v>
      </c>
    </row>
    <row r="29" spans="1:5" x14ac:dyDescent="0.25">
      <c r="A29" t="s">
        <v>1429</v>
      </c>
      <c r="B29">
        <v>0</v>
      </c>
      <c r="C29">
        <v>0</v>
      </c>
      <c r="D29">
        <v>0</v>
      </c>
      <c r="E29">
        <v>0</v>
      </c>
    </row>
    <row r="30" spans="1:5" x14ac:dyDescent="0.25">
      <c r="A30" t="s">
        <v>2426</v>
      </c>
      <c r="B30">
        <v>0</v>
      </c>
      <c r="C30">
        <v>0</v>
      </c>
      <c r="D30">
        <v>0</v>
      </c>
      <c r="E30">
        <v>0</v>
      </c>
    </row>
    <row r="31" spans="1:5" x14ac:dyDescent="0.25">
      <c r="A31" t="s">
        <v>1036</v>
      </c>
      <c r="B31">
        <v>0</v>
      </c>
      <c r="C31">
        <v>0</v>
      </c>
      <c r="D31">
        <v>0</v>
      </c>
      <c r="E31">
        <v>0</v>
      </c>
    </row>
    <row r="32" spans="1:5" x14ac:dyDescent="0.25">
      <c r="A32" t="s">
        <v>2615</v>
      </c>
      <c r="B32">
        <f>SUBTOTAL(109,Tabela3[Emissão Inicial Atrasada])</f>
        <v>0</v>
      </c>
      <c r="C32">
        <f>SUBTOTAL(109,Tabela3[Avaliação Cliente Atrasada])</f>
        <v>2</v>
      </c>
      <c r="D32">
        <f>SUBTOTAL(109,Tabela3[Atendimento Atrasado])</f>
        <v>2</v>
      </c>
      <c r="E32">
        <f>SUBTOTAL(109,Tabela3[Aprovação Atrasada])</f>
        <v>1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9"/>
  <sheetViews>
    <sheetView tabSelected="1" topLeftCell="H1" workbookViewId="0">
      <selection activeCell="U95" sqref="U95"/>
    </sheetView>
  </sheetViews>
  <sheetFormatPr defaultRowHeight="15" x14ac:dyDescent="0.25"/>
  <cols>
    <col min="1" max="1" width="10.7109375" style="3" bestFit="1" customWidth="1"/>
    <col min="2" max="2" width="15" customWidth="1"/>
    <col min="3" max="3" width="15.5703125" customWidth="1"/>
    <col min="4" max="4" width="13.5703125" customWidth="1"/>
    <col min="5" max="5" width="14.140625" customWidth="1"/>
    <col min="6" max="6" width="12.42578125" customWidth="1"/>
    <col min="7" max="7" width="13.5703125" customWidth="1"/>
    <col min="8" max="8" width="16" customWidth="1"/>
    <col min="9" max="9" width="10.140625" customWidth="1"/>
    <col min="10" max="10" width="12.5703125" style="4" customWidth="1"/>
    <col min="11" max="11" width="11.42578125" style="4" customWidth="1"/>
    <col min="12" max="12" width="9.28515625" customWidth="1"/>
    <col min="13" max="14" width="12.28515625" style="4" customWidth="1"/>
    <col min="15" max="15" width="9.28515625" customWidth="1"/>
  </cols>
  <sheetData>
    <row r="1" spans="1:15" s="6" customFormat="1" ht="61.5" customHeight="1" x14ac:dyDescent="0.25">
      <c r="A1" s="5" t="s">
        <v>2600</v>
      </c>
      <c r="B1" s="6" t="s">
        <v>2601</v>
      </c>
      <c r="C1" s="6" t="s">
        <v>2602</v>
      </c>
      <c r="D1" s="6" t="s">
        <v>2603</v>
      </c>
      <c r="E1" s="6" t="s">
        <v>2604</v>
      </c>
      <c r="F1" s="6" t="s">
        <v>2605</v>
      </c>
      <c r="G1" s="6" t="s">
        <v>2606</v>
      </c>
      <c r="H1" s="6" t="s">
        <v>2607</v>
      </c>
      <c r="I1" s="6" t="s">
        <v>2608</v>
      </c>
      <c r="J1" s="7" t="s">
        <v>2609</v>
      </c>
      <c r="K1" s="7" t="s">
        <v>2610</v>
      </c>
      <c r="L1" s="6" t="s">
        <v>2611</v>
      </c>
      <c r="M1" s="7" t="s">
        <v>2612</v>
      </c>
      <c r="N1" s="7" t="s">
        <v>2613</v>
      </c>
      <c r="O1" s="6" t="s">
        <v>2614</v>
      </c>
    </row>
    <row r="2" spans="1:15" x14ac:dyDescent="0.25">
      <c r="A2" s="3">
        <v>46098</v>
      </c>
      <c r="B2">
        <v>4</v>
      </c>
      <c r="C2">
        <v>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s="4">
        <v>0</v>
      </c>
      <c r="K2" s="4">
        <v>0</v>
      </c>
      <c r="L2">
        <v>0</v>
      </c>
      <c r="M2" s="4">
        <v>0</v>
      </c>
      <c r="N2" s="4">
        <v>0</v>
      </c>
      <c r="O2">
        <v>0</v>
      </c>
    </row>
    <row r="3" spans="1:15" x14ac:dyDescent="0.25">
      <c r="A3" s="3">
        <v>46099</v>
      </c>
      <c r="B3">
        <v>0</v>
      </c>
      <c r="C3">
        <v>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s="4">
        <v>0</v>
      </c>
      <c r="K3" s="4">
        <v>0</v>
      </c>
      <c r="L3">
        <v>0</v>
      </c>
      <c r="M3" s="4">
        <v>0</v>
      </c>
      <c r="N3" s="4">
        <v>0</v>
      </c>
      <c r="O3">
        <v>0</v>
      </c>
    </row>
    <row r="4" spans="1:15" x14ac:dyDescent="0.25">
      <c r="A4" s="3">
        <v>46100</v>
      </c>
      <c r="B4">
        <v>0</v>
      </c>
      <c r="C4">
        <v>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 s="4">
        <v>0</v>
      </c>
      <c r="K4" s="4">
        <v>0</v>
      </c>
      <c r="L4">
        <v>0</v>
      </c>
      <c r="M4" s="4">
        <v>0</v>
      </c>
      <c r="N4" s="4">
        <v>0</v>
      </c>
      <c r="O4">
        <v>0</v>
      </c>
    </row>
    <row r="5" spans="1:15" x14ac:dyDescent="0.25">
      <c r="A5" s="3">
        <v>46101</v>
      </c>
      <c r="B5">
        <v>4</v>
      </c>
      <c r="C5">
        <v>8</v>
      </c>
      <c r="D5">
        <v>4</v>
      </c>
      <c r="E5">
        <v>4</v>
      </c>
      <c r="F5">
        <v>0</v>
      </c>
      <c r="G5">
        <v>0</v>
      </c>
      <c r="H5">
        <v>0</v>
      </c>
      <c r="I5">
        <v>0</v>
      </c>
      <c r="J5" s="4">
        <v>1.492537313432836E-2</v>
      </c>
      <c r="K5" s="4">
        <v>1.492537313432836E-2</v>
      </c>
      <c r="L5">
        <v>0</v>
      </c>
      <c r="M5" s="4">
        <v>0</v>
      </c>
      <c r="N5" s="4">
        <v>0</v>
      </c>
      <c r="O5">
        <v>0</v>
      </c>
    </row>
    <row r="6" spans="1:15" x14ac:dyDescent="0.25">
      <c r="A6" s="3">
        <v>46102</v>
      </c>
      <c r="B6">
        <v>4</v>
      </c>
      <c r="C6">
        <v>12</v>
      </c>
      <c r="D6">
        <v>0</v>
      </c>
      <c r="E6">
        <v>4</v>
      </c>
      <c r="F6">
        <v>0</v>
      </c>
      <c r="G6">
        <v>0</v>
      </c>
      <c r="H6">
        <v>0</v>
      </c>
      <c r="I6">
        <v>0</v>
      </c>
      <c r="J6" s="4">
        <v>1.492537313432836E-2</v>
      </c>
      <c r="K6" s="4">
        <v>1.492537313432836E-2</v>
      </c>
      <c r="L6">
        <v>0</v>
      </c>
      <c r="M6" s="4">
        <v>0</v>
      </c>
      <c r="N6" s="4">
        <v>0</v>
      </c>
      <c r="O6">
        <v>0</v>
      </c>
    </row>
    <row r="7" spans="1:15" x14ac:dyDescent="0.25">
      <c r="A7" s="3">
        <v>46103</v>
      </c>
      <c r="B7">
        <v>2</v>
      </c>
      <c r="C7">
        <v>14</v>
      </c>
      <c r="D7">
        <v>0</v>
      </c>
      <c r="E7">
        <v>4</v>
      </c>
      <c r="F7">
        <v>0</v>
      </c>
      <c r="G7">
        <v>0</v>
      </c>
      <c r="H7">
        <v>0</v>
      </c>
      <c r="I7">
        <v>0</v>
      </c>
      <c r="J7" s="4">
        <v>1.492537313432836E-2</v>
      </c>
      <c r="K7" s="4">
        <v>1.492537313432836E-2</v>
      </c>
      <c r="L7">
        <v>0</v>
      </c>
      <c r="M7" s="4">
        <v>0</v>
      </c>
      <c r="N7" s="4">
        <v>0</v>
      </c>
      <c r="O7">
        <v>0</v>
      </c>
    </row>
    <row r="8" spans="1:15" x14ac:dyDescent="0.25">
      <c r="A8" s="3">
        <v>46104</v>
      </c>
      <c r="B8">
        <v>0</v>
      </c>
      <c r="C8">
        <v>14</v>
      </c>
      <c r="D8">
        <v>4</v>
      </c>
      <c r="E8">
        <v>8</v>
      </c>
      <c r="F8">
        <v>2</v>
      </c>
      <c r="G8">
        <v>0</v>
      </c>
      <c r="H8">
        <v>2</v>
      </c>
      <c r="I8">
        <v>0</v>
      </c>
      <c r="J8" s="4">
        <v>2.9850746268656719E-2</v>
      </c>
      <c r="K8" s="4">
        <v>2.9850746268656719E-2</v>
      </c>
      <c r="L8">
        <v>0</v>
      </c>
      <c r="M8" s="4">
        <v>0</v>
      </c>
      <c r="N8" s="4">
        <v>0</v>
      </c>
      <c r="O8">
        <v>0</v>
      </c>
    </row>
    <row r="9" spans="1:15" x14ac:dyDescent="0.25">
      <c r="A9" s="3">
        <v>46105</v>
      </c>
      <c r="B9">
        <v>0</v>
      </c>
      <c r="C9">
        <v>14</v>
      </c>
      <c r="D9">
        <v>2</v>
      </c>
      <c r="E9">
        <v>10</v>
      </c>
      <c r="F9">
        <v>4</v>
      </c>
      <c r="G9">
        <v>0</v>
      </c>
      <c r="H9">
        <v>6</v>
      </c>
      <c r="I9">
        <v>0</v>
      </c>
      <c r="J9" s="4">
        <v>3.7313432835820892E-2</v>
      </c>
      <c r="K9" s="4">
        <v>3.7313432835820892E-2</v>
      </c>
      <c r="L9">
        <v>0</v>
      </c>
      <c r="M9" s="4">
        <v>0</v>
      </c>
      <c r="N9" s="4">
        <v>0</v>
      </c>
      <c r="O9">
        <v>0</v>
      </c>
    </row>
    <row r="10" spans="1:15" x14ac:dyDescent="0.25">
      <c r="A10" s="3">
        <v>46106</v>
      </c>
      <c r="B10">
        <v>0</v>
      </c>
      <c r="C10">
        <v>14</v>
      </c>
      <c r="D10">
        <v>2</v>
      </c>
      <c r="E10">
        <v>12</v>
      </c>
      <c r="F10">
        <v>0</v>
      </c>
      <c r="G10">
        <v>0</v>
      </c>
      <c r="H10">
        <v>6</v>
      </c>
      <c r="I10">
        <v>0</v>
      </c>
      <c r="J10" s="4">
        <v>4.4776119402985072E-2</v>
      </c>
      <c r="K10" s="4">
        <v>4.4776119402985072E-2</v>
      </c>
      <c r="L10">
        <v>0</v>
      </c>
      <c r="M10" s="4">
        <v>0</v>
      </c>
      <c r="N10" s="4">
        <v>0</v>
      </c>
      <c r="O10">
        <v>0</v>
      </c>
    </row>
    <row r="11" spans="1:15" x14ac:dyDescent="0.25">
      <c r="A11" s="3">
        <v>46107</v>
      </c>
      <c r="B11">
        <v>0</v>
      </c>
      <c r="C11">
        <v>14</v>
      </c>
      <c r="D11">
        <v>0</v>
      </c>
      <c r="E11">
        <v>12</v>
      </c>
      <c r="F11">
        <v>0</v>
      </c>
      <c r="G11">
        <v>2</v>
      </c>
      <c r="H11">
        <v>6</v>
      </c>
      <c r="I11">
        <v>2</v>
      </c>
      <c r="J11" s="4">
        <v>4.4776119402985072E-2</v>
      </c>
      <c r="K11" s="4">
        <v>4.4776119402985072E-2</v>
      </c>
      <c r="L11">
        <v>0</v>
      </c>
      <c r="M11" s="4">
        <v>7.462686567164179E-3</v>
      </c>
      <c r="N11" s="4">
        <v>7.462686567164179E-3</v>
      </c>
      <c r="O11">
        <v>0</v>
      </c>
    </row>
    <row r="12" spans="1:15" x14ac:dyDescent="0.25">
      <c r="A12" s="3">
        <v>46108</v>
      </c>
      <c r="B12">
        <v>2</v>
      </c>
      <c r="C12">
        <v>16</v>
      </c>
      <c r="D12">
        <v>0</v>
      </c>
      <c r="E12">
        <v>12</v>
      </c>
      <c r="F12">
        <v>3</v>
      </c>
      <c r="G12">
        <v>3</v>
      </c>
      <c r="H12">
        <v>9</v>
      </c>
      <c r="I12">
        <v>5</v>
      </c>
      <c r="J12" s="4">
        <v>4.4776119402985072E-2</v>
      </c>
      <c r="K12" s="4">
        <v>4.4776119402985072E-2</v>
      </c>
      <c r="L12">
        <v>0</v>
      </c>
      <c r="M12" s="4">
        <v>1.865671641791045E-2</v>
      </c>
      <c r="N12" s="4">
        <v>1.865671641791045E-2</v>
      </c>
      <c r="O12">
        <v>0</v>
      </c>
    </row>
    <row r="13" spans="1:15" x14ac:dyDescent="0.25">
      <c r="A13" s="3">
        <v>46109</v>
      </c>
      <c r="B13">
        <v>1</v>
      </c>
      <c r="C13">
        <v>17</v>
      </c>
      <c r="D13">
        <v>0</v>
      </c>
      <c r="E13">
        <v>12</v>
      </c>
      <c r="F13">
        <v>0</v>
      </c>
      <c r="G13">
        <v>0</v>
      </c>
      <c r="H13">
        <v>9</v>
      </c>
      <c r="I13">
        <v>5</v>
      </c>
      <c r="J13" s="4">
        <v>4.4776119402985072E-2</v>
      </c>
      <c r="K13" s="4">
        <v>4.4776119402985072E-2</v>
      </c>
      <c r="L13">
        <v>0</v>
      </c>
      <c r="M13" s="4">
        <v>1.865671641791045E-2</v>
      </c>
      <c r="N13" s="4">
        <v>1.865671641791045E-2</v>
      </c>
      <c r="O13">
        <v>0</v>
      </c>
    </row>
    <row r="14" spans="1:15" x14ac:dyDescent="0.25">
      <c r="A14" s="3">
        <v>46110</v>
      </c>
      <c r="B14">
        <v>2</v>
      </c>
      <c r="C14">
        <v>19</v>
      </c>
      <c r="D14">
        <v>0</v>
      </c>
      <c r="E14">
        <v>12</v>
      </c>
      <c r="F14">
        <v>2</v>
      </c>
      <c r="G14">
        <v>0</v>
      </c>
      <c r="H14">
        <v>11</v>
      </c>
      <c r="I14">
        <v>5</v>
      </c>
      <c r="J14" s="4">
        <v>4.4776119402985072E-2</v>
      </c>
      <c r="K14" s="4">
        <v>4.4776119402985072E-2</v>
      </c>
      <c r="L14">
        <v>0</v>
      </c>
      <c r="M14" s="4">
        <v>1.865671641791045E-2</v>
      </c>
      <c r="N14" s="4">
        <v>1.865671641791045E-2</v>
      </c>
      <c r="O14">
        <v>0</v>
      </c>
    </row>
    <row r="15" spans="1:15" x14ac:dyDescent="0.25">
      <c r="A15" s="3">
        <v>46111</v>
      </c>
      <c r="B15">
        <v>0</v>
      </c>
      <c r="C15">
        <v>19</v>
      </c>
      <c r="D15">
        <v>0</v>
      </c>
      <c r="E15">
        <v>12</v>
      </c>
      <c r="F15">
        <v>4</v>
      </c>
      <c r="G15">
        <v>3</v>
      </c>
      <c r="H15">
        <v>15</v>
      </c>
      <c r="I15">
        <v>8</v>
      </c>
      <c r="J15" s="4">
        <v>4.4776119402985072E-2</v>
      </c>
      <c r="K15" s="4">
        <v>4.4776119402985072E-2</v>
      </c>
      <c r="L15">
        <v>0</v>
      </c>
      <c r="M15" s="4">
        <v>2.9850746268656719E-2</v>
      </c>
      <c r="N15" s="4">
        <v>2.9850746268656719E-2</v>
      </c>
      <c r="O15">
        <v>0</v>
      </c>
    </row>
    <row r="16" spans="1:15" x14ac:dyDescent="0.25">
      <c r="A16" s="3">
        <v>46112</v>
      </c>
      <c r="B16">
        <v>0</v>
      </c>
      <c r="C16">
        <v>19</v>
      </c>
      <c r="D16">
        <v>1</v>
      </c>
      <c r="E16">
        <v>13</v>
      </c>
      <c r="F16">
        <v>0</v>
      </c>
      <c r="G16">
        <v>0</v>
      </c>
      <c r="H16">
        <v>15</v>
      </c>
      <c r="I16">
        <v>8</v>
      </c>
      <c r="J16" s="4">
        <v>4.8507462686567172E-2</v>
      </c>
      <c r="K16" s="4">
        <v>4.8507462686567172E-2</v>
      </c>
      <c r="L16">
        <v>0</v>
      </c>
      <c r="M16" s="4">
        <v>2.9850746268656719E-2</v>
      </c>
      <c r="N16" s="4">
        <v>2.9850746268656719E-2</v>
      </c>
      <c r="O16">
        <v>0</v>
      </c>
    </row>
    <row r="17" spans="1:15" x14ac:dyDescent="0.25">
      <c r="A17" s="3">
        <v>46113</v>
      </c>
      <c r="B17">
        <v>0</v>
      </c>
      <c r="C17">
        <v>19</v>
      </c>
      <c r="D17">
        <v>0</v>
      </c>
      <c r="E17">
        <v>13</v>
      </c>
      <c r="F17">
        <v>0</v>
      </c>
      <c r="G17">
        <v>2</v>
      </c>
      <c r="H17">
        <v>15</v>
      </c>
      <c r="I17">
        <v>10</v>
      </c>
      <c r="J17" s="4">
        <v>4.8507462686567172E-2</v>
      </c>
      <c r="K17" s="4">
        <v>4.8507462686567172E-2</v>
      </c>
      <c r="L17">
        <v>0</v>
      </c>
      <c r="M17" s="4">
        <v>3.7313432835820892E-2</v>
      </c>
      <c r="N17" s="4">
        <v>3.7313432835820892E-2</v>
      </c>
      <c r="O17">
        <v>0</v>
      </c>
    </row>
    <row r="18" spans="1:15" x14ac:dyDescent="0.25">
      <c r="A18" s="3">
        <v>46114</v>
      </c>
      <c r="B18">
        <v>0</v>
      </c>
      <c r="C18">
        <v>19</v>
      </c>
      <c r="D18">
        <v>0</v>
      </c>
      <c r="E18">
        <v>13</v>
      </c>
      <c r="F18">
        <v>0</v>
      </c>
      <c r="G18">
        <v>0</v>
      </c>
      <c r="H18">
        <v>15</v>
      </c>
      <c r="I18">
        <v>10</v>
      </c>
      <c r="J18" s="4">
        <v>4.8507462686567172E-2</v>
      </c>
      <c r="K18" s="4">
        <v>4.8507462686567172E-2</v>
      </c>
      <c r="L18">
        <v>0</v>
      </c>
      <c r="M18" s="4">
        <v>3.7313432835820892E-2</v>
      </c>
      <c r="N18" s="4">
        <v>3.7313432835820892E-2</v>
      </c>
      <c r="O18">
        <v>0</v>
      </c>
    </row>
    <row r="19" spans="1:15" x14ac:dyDescent="0.25">
      <c r="A19" s="3">
        <v>46115</v>
      </c>
      <c r="B19">
        <v>0</v>
      </c>
      <c r="C19">
        <v>19</v>
      </c>
      <c r="D19">
        <v>0</v>
      </c>
      <c r="E19">
        <v>13</v>
      </c>
      <c r="F19">
        <v>0</v>
      </c>
      <c r="G19">
        <v>0</v>
      </c>
      <c r="H19">
        <v>15</v>
      </c>
      <c r="I19">
        <v>10</v>
      </c>
      <c r="J19" s="4">
        <v>4.8507462686567172E-2</v>
      </c>
      <c r="K19" s="4">
        <v>4.8507462686567172E-2</v>
      </c>
      <c r="L19">
        <v>0</v>
      </c>
      <c r="M19" s="4">
        <v>3.7313432835820892E-2</v>
      </c>
      <c r="N19" s="4">
        <v>3.7313432835820892E-2</v>
      </c>
      <c r="O19">
        <v>0</v>
      </c>
    </row>
    <row r="20" spans="1:15" x14ac:dyDescent="0.25">
      <c r="A20" s="3">
        <v>46116</v>
      </c>
      <c r="B20">
        <v>1</v>
      </c>
      <c r="C20">
        <v>20</v>
      </c>
      <c r="D20">
        <v>0</v>
      </c>
      <c r="E20">
        <v>13</v>
      </c>
      <c r="F20">
        <v>1</v>
      </c>
      <c r="G20">
        <v>0</v>
      </c>
      <c r="H20">
        <v>16</v>
      </c>
      <c r="I20">
        <v>10</v>
      </c>
      <c r="J20" s="4">
        <v>4.8507462686567172E-2</v>
      </c>
      <c r="K20" s="4">
        <v>4.8507462686567172E-2</v>
      </c>
      <c r="L20">
        <v>0</v>
      </c>
      <c r="M20" s="4">
        <v>3.7313432835820892E-2</v>
      </c>
      <c r="N20" s="4">
        <v>3.7313432835820892E-2</v>
      </c>
      <c r="O20">
        <v>0</v>
      </c>
    </row>
    <row r="21" spans="1:15" x14ac:dyDescent="0.25">
      <c r="A21" s="3">
        <v>46117</v>
      </c>
      <c r="B21">
        <v>1</v>
      </c>
      <c r="C21">
        <v>21</v>
      </c>
      <c r="D21">
        <v>0</v>
      </c>
      <c r="E21">
        <v>13</v>
      </c>
      <c r="F21">
        <v>0</v>
      </c>
      <c r="G21">
        <v>0</v>
      </c>
      <c r="H21">
        <v>16</v>
      </c>
      <c r="I21">
        <v>10</v>
      </c>
      <c r="J21" s="4">
        <v>4.8507462686567172E-2</v>
      </c>
      <c r="K21" s="4">
        <v>4.8507462686567172E-2</v>
      </c>
      <c r="L21">
        <v>0</v>
      </c>
      <c r="M21" s="4">
        <v>3.7313432835820892E-2</v>
      </c>
      <c r="N21" s="4">
        <v>3.7313432835820892E-2</v>
      </c>
      <c r="O21">
        <v>0</v>
      </c>
    </row>
    <row r="22" spans="1:15" x14ac:dyDescent="0.25">
      <c r="A22" s="3">
        <v>46118</v>
      </c>
      <c r="B22">
        <v>2</v>
      </c>
      <c r="C22">
        <v>23</v>
      </c>
      <c r="D22">
        <v>0</v>
      </c>
      <c r="E22">
        <v>13</v>
      </c>
      <c r="F22">
        <v>0</v>
      </c>
      <c r="G22">
        <v>0</v>
      </c>
      <c r="H22">
        <v>16</v>
      </c>
      <c r="I22">
        <v>10</v>
      </c>
      <c r="J22" s="4">
        <v>4.8507462686567172E-2</v>
      </c>
      <c r="K22" s="4">
        <v>4.8507462686567172E-2</v>
      </c>
      <c r="L22">
        <v>0</v>
      </c>
      <c r="M22" s="4">
        <v>3.7313432835820892E-2</v>
      </c>
      <c r="N22" s="4">
        <v>3.7313432835820892E-2</v>
      </c>
      <c r="O22">
        <v>0</v>
      </c>
    </row>
    <row r="23" spans="1:15" x14ac:dyDescent="0.25">
      <c r="A23" s="3">
        <v>46119</v>
      </c>
      <c r="B23">
        <v>4</v>
      </c>
      <c r="C23">
        <v>27</v>
      </c>
      <c r="D23">
        <v>1</v>
      </c>
      <c r="E23">
        <v>14</v>
      </c>
      <c r="F23">
        <v>0</v>
      </c>
      <c r="G23">
        <v>1</v>
      </c>
      <c r="H23">
        <v>16</v>
      </c>
      <c r="I23">
        <v>11</v>
      </c>
      <c r="J23" s="4">
        <v>5.2238805970149252E-2</v>
      </c>
      <c r="K23" s="4">
        <v>5.2238805970149252E-2</v>
      </c>
      <c r="L23">
        <v>0</v>
      </c>
      <c r="M23" s="4">
        <v>4.1044776119402993E-2</v>
      </c>
      <c r="N23" s="4">
        <v>4.1044776119402993E-2</v>
      </c>
      <c r="O23">
        <v>0</v>
      </c>
    </row>
    <row r="24" spans="1:15" x14ac:dyDescent="0.25">
      <c r="A24" s="3">
        <v>46120</v>
      </c>
      <c r="B24">
        <v>0</v>
      </c>
      <c r="C24">
        <v>27</v>
      </c>
      <c r="D24">
        <v>1</v>
      </c>
      <c r="E24">
        <v>15</v>
      </c>
      <c r="F24">
        <v>0</v>
      </c>
      <c r="G24">
        <v>0</v>
      </c>
      <c r="H24">
        <v>16</v>
      </c>
      <c r="I24">
        <v>11</v>
      </c>
      <c r="J24" s="4">
        <v>5.5970149253731352E-2</v>
      </c>
      <c r="K24" s="4">
        <v>5.5970149253731352E-2</v>
      </c>
      <c r="L24">
        <v>0</v>
      </c>
      <c r="M24" s="4">
        <v>4.1044776119402993E-2</v>
      </c>
      <c r="N24" s="4">
        <v>4.1044776119402993E-2</v>
      </c>
      <c r="O24">
        <v>0</v>
      </c>
    </row>
    <row r="25" spans="1:15" x14ac:dyDescent="0.25">
      <c r="A25" s="3">
        <v>46121</v>
      </c>
      <c r="B25">
        <v>0</v>
      </c>
      <c r="C25">
        <v>27</v>
      </c>
      <c r="D25">
        <v>2</v>
      </c>
      <c r="E25">
        <v>17</v>
      </c>
      <c r="F25">
        <v>0</v>
      </c>
      <c r="G25">
        <v>0</v>
      </c>
      <c r="H25">
        <v>16</v>
      </c>
      <c r="I25">
        <v>11</v>
      </c>
      <c r="J25" s="4">
        <v>6.3432835820895525E-2</v>
      </c>
      <c r="K25" s="4">
        <v>6.3432835820895525E-2</v>
      </c>
      <c r="L25">
        <v>0</v>
      </c>
      <c r="M25" s="4">
        <v>4.1044776119402993E-2</v>
      </c>
      <c r="N25" s="4">
        <v>4.1044776119402993E-2</v>
      </c>
      <c r="O25">
        <v>0</v>
      </c>
    </row>
    <row r="26" spans="1:15" x14ac:dyDescent="0.25">
      <c r="A26" s="3">
        <v>46122</v>
      </c>
      <c r="B26">
        <v>4</v>
      </c>
      <c r="C26">
        <v>31</v>
      </c>
      <c r="D26">
        <v>5</v>
      </c>
      <c r="E26">
        <v>22</v>
      </c>
      <c r="F26">
        <v>0</v>
      </c>
      <c r="G26">
        <v>0</v>
      </c>
      <c r="H26">
        <v>16</v>
      </c>
      <c r="I26">
        <v>11</v>
      </c>
      <c r="J26" s="4">
        <v>8.2089552238805971E-2</v>
      </c>
      <c r="K26" s="4">
        <v>8.2089552238805971E-2</v>
      </c>
      <c r="L26">
        <v>0</v>
      </c>
      <c r="M26" s="4">
        <v>4.1044776119402993E-2</v>
      </c>
      <c r="N26" s="4">
        <v>4.1044776119402993E-2</v>
      </c>
      <c r="O26">
        <v>0</v>
      </c>
    </row>
    <row r="27" spans="1:15" x14ac:dyDescent="0.25">
      <c r="A27" s="3">
        <v>46123</v>
      </c>
      <c r="B27">
        <v>6</v>
      </c>
      <c r="C27">
        <v>37</v>
      </c>
      <c r="D27">
        <v>0</v>
      </c>
      <c r="E27">
        <v>22</v>
      </c>
      <c r="F27">
        <v>2</v>
      </c>
      <c r="G27">
        <v>0</v>
      </c>
      <c r="H27">
        <v>18</v>
      </c>
      <c r="I27">
        <v>11</v>
      </c>
      <c r="J27" s="4">
        <v>8.2089552238805971E-2</v>
      </c>
      <c r="K27" s="4">
        <v>8.2089552238805971E-2</v>
      </c>
      <c r="L27">
        <v>0</v>
      </c>
      <c r="M27" s="4">
        <v>4.1044776119402993E-2</v>
      </c>
      <c r="N27" s="4">
        <v>4.1044776119402993E-2</v>
      </c>
      <c r="O27">
        <v>0</v>
      </c>
    </row>
    <row r="28" spans="1:15" x14ac:dyDescent="0.25">
      <c r="A28" s="3">
        <v>46124</v>
      </c>
      <c r="B28">
        <v>2</v>
      </c>
      <c r="C28">
        <v>39</v>
      </c>
      <c r="D28">
        <v>0</v>
      </c>
      <c r="E28">
        <v>22</v>
      </c>
      <c r="F28">
        <v>0</v>
      </c>
      <c r="G28">
        <v>0</v>
      </c>
      <c r="H28">
        <v>18</v>
      </c>
      <c r="I28">
        <v>11</v>
      </c>
      <c r="J28" s="4">
        <v>8.2089552238805971E-2</v>
      </c>
      <c r="K28" s="4">
        <v>8.2089552238805971E-2</v>
      </c>
      <c r="L28">
        <v>0</v>
      </c>
      <c r="M28" s="4">
        <v>4.1044776119402993E-2</v>
      </c>
      <c r="N28" s="4">
        <v>4.1044776119402993E-2</v>
      </c>
      <c r="O28">
        <v>0</v>
      </c>
    </row>
    <row r="29" spans="1:15" x14ac:dyDescent="0.25">
      <c r="A29" s="3">
        <v>46125</v>
      </c>
      <c r="B29">
        <v>2</v>
      </c>
      <c r="C29">
        <v>41</v>
      </c>
      <c r="D29">
        <v>5</v>
      </c>
      <c r="E29">
        <v>27</v>
      </c>
      <c r="F29">
        <v>4</v>
      </c>
      <c r="G29">
        <v>0</v>
      </c>
      <c r="H29">
        <v>22</v>
      </c>
      <c r="I29">
        <v>11</v>
      </c>
      <c r="J29" s="4">
        <v>0.1007462686567164</v>
      </c>
      <c r="K29" s="4">
        <v>0.1007462686567164</v>
      </c>
      <c r="L29">
        <v>0</v>
      </c>
      <c r="M29" s="4">
        <v>4.1044776119402993E-2</v>
      </c>
      <c r="N29" s="4">
        <v>4.1044776119402993E-2</v>
      </c>
      <c r="O29">
        <v>0</v>
      </c>
    </row>
    <row r="30" spans="1:15" x14ac:dyDescent="0.25">
      <c r="A30" s="3">
        <v>46126</v>
      </c>
      <c r="B30">
        <v>5</v>
      </c>
      <c r="C30">
        <v>46</v>
      </c>
      <c r="D30">
        <v>6</v>
      </c>
      <c r="E30">
        <v>33</v>
      </c>
      <c r="F30">
        <v>1</v>
      </c>
      <c r="G30">
        <v>2</v>
      </c>
      <c r="H30">
        <v>23</v>
      </c>
      <c r="I30">
        <v>13</v>
      </c>
      <c r="J30" s="4">
        <v>0.12313432835820889</v>
      </c>
      <c r="K30" s="4">
        <v>0.12313432835820889</v>
      </c>
      <c r="L30">
        <v>0</v>
      </c>
      <c r="M30" s="4">
        <v>4.8507462686567172E-2</v>
      </c>
      <c r="N30" s="4">
        <v>4.8507462686567172E-2</v>
      </c>
      <c r="O30">
        <v>0</v>
      </c>
    </row>
    <row r="31" spans="1:15" x14ac:dyDescent="0.25">
      <c r="A31" s="3">
        <v>46127</v>
      </c>
      <c r="B31">
        <v>0</v>
      </c>
      <c r="C31">
        <v>46</v>
      </c>
      <c r="D31">
        <v>3</v>
      </c>
      <c r="E31">
        <v>36</v>
      </c>
      <c r="F31">
        <v>0</v>
      </c>
      <c r="G31">
        <v>0</v>
      </c>
      <c r="H31">
        <v>23</v>
      </c>
      <c r="I31">
        <v>13</v>
      </c>
      <c r="J31" s="4">
        <v>0.1343283582089552</v>
      </c>
      <c r="K31" s="4">
        <v>0.1343283582089552</v>
      </c>
      <c r="L31">
        <v>0</v>
      </c>
      <c r="M31" s="4">
        <v>4.8507462686567172E-2</v>
      </c>
      <c r="N31" s="4">
        <v>4.8507462686567172E-2</v>
      </c>
      <c r="O31">
        <v>0</v>
      </c>
    </row>
    <row r="32" spans="1:15" x14ac:dyDescent="0.25">
      <c r="A32" s="3">
        <v>46128</v>
      </c>
      <c r="B32">
        <v>0</v>
      </c>
      <c r="C32">
        <v>46</v>
      </c>
      <c r="D32">
        <v>2</v>
      </c>
      <c r="E32">
        <v>38</v>
      </c>
      <c r="F32">
        <v>0</v>
      </c>
      <c r="G32">
        <v>4</v>
      </c>
      <c r="H32">
        <v>23</v>
      </c>
      <c r="I32">
        <v>17</v>
      </c>
      <c r="J32" s="4">
        <v>0.1417910447761194</v>
      </c>
      <c r="K32" s="4">
        <v>0.1417910447761194</v>
      </c>
      <c r="L32">
        <v>0</v>
      </c>
      <c r="M32" s="4">
        <v>6.3432835820895525E-2</v>
      </c>
      <c r="N32" s="4">
        <v>6.3432835820895525E-2</v>
      </c>
      <c r="O32">
        <v>0</v>
      </c>
    </row>
    <row r="33" spans="1:15" x14ac:dyDescent="0.25">
      <c r="A33" s="3">
        <v>46129</v>
      </c>
      <c r="B33">
        <v>0</v>
      </c>
      <c r="C33">
        <v>46</v>
      </c>
      <c r="D33">
        <v>5</v>
      </c>
      <c r="E33">
        <v>43</v>
      </c>
      <c r="F33">
        <v>0</v>
      </c>
      <c r="G33">
        <v>1</v>
      </c>
      <c r="H33">
        <v>23</v>
      </c>
      <c r="I33">
        <v>18</v>
      </c>
      <c r="J33" s="4">
        <v>0.16044776119402979</v>
      </c>
      <c r="K33" s="4">
        <v>0.16044776119402979</v>
      </c>
      <c r="L33">
        <v>0</v>
      </c>
      <c r="M33" s="4">
        <v>6.7164179104477612E-2</v>
      </c>
      <c r="N33" s="4">
        <v>6.7164179104477612E-2</v>
      </c>
      <c r="O33">
        <v>0</v>
      </c>
    </row>
    <row r="34" spans="1:15" x14ac:dyDescent="0.25">
      <c r="A34" s="3">
        <v>46130</v>
      </c>
      <c r="B34">
        <v>0</v>
      </c>
      <c r="C34">
        <v>46</v>
      </c>
      <c r="D34">
        <v>0</v>
      </c>
      <c r="E34">
        <v>43</v>
      </c>
      <c r="F34">
        <v>0</v>
      </c>
      <c r="G34">
        <v>0</v>
      </c>
      <c r="H34">
        <v>23</v>
      </c>
      <c r="I34">
        <v>18</v>
      </c>
      <c r="J34" s="4">
        <v>0.16044776119402979</v>
      </c>
      <c r="K34" s="4">
        <v>0.16044776119402979</v>
      </c>
      <c r="L34">
        <v>0</v>
      </c>
      <c r="M34" s="4">
        <v>6.7164179104477612E-2</v>
      </c>
      <c r="N34" s="4">
        <v>6.7164179104477612E-2</v>
      </c>
      <c r="O34">
        <v>0</v>
      </c>
    </row>
    <row r="35" spans="1:15" x14ac:dyDescent="0.25">
      <c r="A35" s="3">
        <v>46131</v>
      </c>
      <c r="B35">
        <v>1</v>
      </c>
      <c r="C35">
        <v>47</v>
      </c>
      <c r="D35">
        <v>0</v>
      </c>
      <c r="E35">
        <v>43</v>
      </c>
      <c r="F35">
        <v>0</v>
      </c>
      <c r="G35">
        <v>0</v>
      </c>
      <c r="H35">
        <v>23</v>
      </c>
      <c r="I35">
        <v>18</v>
      </c>
      <c r="J35" s="4">
        <v>0.16044776119402979</v>
      </c>
      <c r="K35" s="4">
        <v>0.16044776119402979</v>
      </c>
      <c r="L35">
        <v>0</v>
      </c>
      <c r="M35" s="4">
        <v>6.7164179104477612E-2</v>
      </c>
      <c r="N35" s="4">
        <v>6.7164179104477612E-2</v>
      </c>
      <c r="O35">
        <v>0</v>
      </c>
    </row>
    <row r="36" spans="1:15" x14ac:dyDescent="0.25">
      <c r="A36" s="3">
        <v>46132</v>
      </c>
      <c r="B36">
        <v>3</v>
      </c>
      <c r="C36">
        <v>50</v>
      </c>
      <c r="D36">
        <v>0</v>
      </c>
      <c r="E36">
        <v>43</v>
      </c>
      <c r="F36">
        <v>1</v>
      </c>
      <c r="G36">
        <v>0</v>
      </c>
      <c r="H36">
        <v>24</v>
      </c>
      <c r="I36">
        <v>18</v>
      </c>
      <c r="J36" s="4">
        <v>0.16044776119402979</v>
      </c>
      <c r="K36" s="4">
        <v>0.16044776119402979</v>
      </c>
      <c r="L36">
        <v>0</v>
      </c>
      <c r="M36" s="4">
        <v>6.7164179104477612E-2</v>
      </c>
      <c r="N36" s="4">
        <v>6.7164179104477612E-2</v>
      </c>
      <c r="O36">
        <v>0</v>
      </c>
    </row>
    <row r="37" spans="1:15" x14ac:dyDescent="0.25">
      <c r="A37" s="3">
        <v>46133</v>
      </c>
      <c r="B37">
        <v>1</v>
      </c>
      <c r="C37">
        <v>51</v>
      </c>
      <c r="D37">
        <v>0</v>
      </c>
      <c r="E37">
        <v>43</v>
      </c>
      <c r="F37">
        <v>0</v>
      </c>
      <c r="G37">
        <v>0</v>
      </c>
      <c r="H37">
        <v>24</v>
      </c>
      <c r="I37">
        <v>18</v>
      </c>
      <c r="J37" s="4">
        <v>0.16044776119402979</v>
      </c>
      <c r="K37" s="4">
        <v>0.16044776119402979</v>
      </c>
      <c r="L37">
        <v>0</v>
      </c>
      <c r="M37" s="4">
        <v>6.7164179104477612E-2</v>
      </c>
      <c r="N37" s="4">
        <v>6.7164179104477612E-2</v>
      </c>
      <c r="O37">
        <v>0</v>
      </c>
    </row>
    <row r="38" spans="1:15" x14ac:dyDescent="0.25">
      <c r="A38" s="3">
        <v>46134</v>
      </c>
      <c r="B38">
        <v>0</v>
      </c>
      <c r="C38">
        <v>51</v>
      </c>
      <c r="D38">
        <v>1</v>
      </c>
      <c r="E38">
        <v>44</v>
      </c>
      <c r="F38">
        <v>0</v>
      </c>
      <c r="G38">
        <v>0</v>
      </c>
      <c r="H38">
        <v>24</v>
      </c>
      <c r="I38">
        <v>18</v>
      </c>
      <c r="J38" s="4">
        <v>0.16417910447761189</v>
      </c>
      <c r="K38" s="4">
        <v>0.16417910447761189</v>
      </c>
      <c r="L38">
        <v>0</v>
      </c>
      <c r="M38" s="4">
        <v>6.7164179104477612E-2</v>
      </c>
      <c r="N38" s="4">
        <v>6.7164179104477612E-2</v>
      </c>
      <c r="O38">
        <v>0</v>
      </c>
    </row>
    <row r="39" spans="1:15" x14ac:dyDescent="0.25">
      <c r="A39" s="3">
        <v>46135</v>
      </c>
      <c r="B39">
        <v>0</v>
      </c>
      <c r="C39">
        <v>51</v>
      </c>
      <c r="D39">
        <v>3</v>
      </c>
      <c r="E39">
        <v>47</v>
      </c>
      <c r="F39">
        <v>0</v>
      </c>
      <c r="G39">
        <v>1</v>
      </c>
      <c r="H39">
        <v>24</v>
      </c>
      <c r="I39">
        <v>19</v>
      </c>
      <c r="J39" s="4">
        <v>0.17537313432835819</v>
      </c>
      <c r="K39" s="4">
        <v>0.17537313432835819</v>
      </c>
      <c r="L39">
        <v>0</v>
      </c>
      <c r="M39" s="4">
        <v>7.0895522388059698E-2</v>
      </c>
      <c r="N39" s="4">
        <v>7.0895522388059698E-2</v>
      </c>
      <c r="O39">
        <v>0</v>
      </c>
    </row>
    <row r="40" spans="1:15" x14ac:dyDescent="0.25">
      <c r="A40" s="3">
        <v>46136</v>
      </c>
      <c r="B40">
        <v>3</v>
      </c>
      <c r="C40">
        <v>54</v>
      </c>
      <c r="D40">
        <v>1</v>
      </c>
      <c r="E40">
        <v>48</v>
      </c>
      <c r="F40">
        <v>1</v>
      </c>
      <c r="G40">
        <v>0</v>
      </c>
      <c r="H40">
        <v>25</v>
      </c>
      <c r="I40">
        <v>19</v>
      </c>
      <c r="J40" s="4">
        <v>0.17910447761194029</v>
      </c>
      <c r="K40" s="4">
        <v>0.17910447761194029</v>
      </c>
      <c r="L40">
        <v>0</v>
      </c>
      <c r="M40" s="4">
        <v>7.0895522388059698E-2</v>
      </c>
      <c r="N40" s="4">
        <v>7.0895522388059698E-2</v>
      </c>
      <c r="O40">
        <v>0</v>
      </c>
    </row>
    <row r="41" spans="1:15" x14ac:dyDescent="0.25">
      <c r="A41" s="3">
        <v>46137</v>
      </c>
      <c r="B41">
        <v>1</v>
      </c>
      <c r="C41">
        <v>55</v>
      </c>
      <c r="D41">
        <v>0</v>
      </c>
      <c r="E41">
        <v>48</v>
      </c>
      <c r="F41">
        <v>0</v>
      </c>
      <c r="G41">
        <v>0</v>
      </c>
      <c r="H41">
        <v>25</v>
      </c>
      <c r="I41">
        <v>19</v>
      </c>
      <c r="J41" s="4">
        <v>0.17910447761194029</v>
      </c>
      <c r="K41" s="4">
        <v>0.17910447761194029</v>
      </c>
      <c r="L41">
        <v>0</v>
      </c>
      <c r="M41" s="4">
        <v>7.0895522388059698E-2</v>
      </c>
      <c r="N41" s="4">
        <v>7.0895522388059698E-2</v>
      </c>
      <c r="O41">
        <v>0</v>
      </c>
    </row>
    <row r="42" spans="1:15" x14ac:dyDescent="0.25">
      <c r="A42" s="3">
        <v>46138</v>
      </c>
      <c r="B42">
        <v>0</v>
      </c>
      <c r="C42">
        <v>55</v>
      </c>
      <c r="D42">
        <v>0</v>
      </c>
      <c r="E42">
        <v>48</v>
      </c>
      <c r="F42">
        <v>0</v>
      </c>
      <c r="G42">
        <v>0</v>
      </c>
      <c r="H42">
        <v>25</v>
      </c>
      <c r="I42">
        <v>19</v>
      </c>
      <c r="J42" s="4">
        <v>0.17910447761194029</v>
      </c>
      <c r="K42" s="4">
        <v>0.17910447761194029</v>
      </c>
      <c r="L42">
        <v>0</v>
      </c>
      <c r="M42" s="4">
        <v>7.0895522388059698E-2</v>
      </c>
      <c r="N42" s="4">
        <v>7.0895522388059698E-2</v>
      </c>
      <c r="O42">
        <v>0</v>
      </c>
    </row>
    <row r="43" spans="1:15" x14ac:dyDescent="0.25">
      <c r="A43" s="3">
        <v>46139</v>
      </c>
      <c r="B43">
        <v>2</v>
      </c>
      <c r="C43">
        <v>57</v>
      </c>
      <c r="D43">
        <v>3</v>
      </c>
      <c r="E43">
        <v>51</v>
      </c>
      <c r="F43">
        <v>0</v>
      </c>
      <c r="G43">
        <v>1</v>
      </c>
      <c r="H43">
        <v>25</v>
      </c>
      <c r="I43">
        <v>20</v>
      </c>
      <c r="J43" s="4">
        <v>0.19029850746268659</v>
      </c>
      <c r="K43" s="4">
        <v>0.19029850746268659</v>
      </c>
      <c r="L43">
        <v>0</v>
      </c>
      <c r="M43" s="4">
        <v>7.4626865671641784E-2</v>
      </c>
      <c r="N43" s="4">
        <v>7.4626865671641784E-2</v>
      </c>
      <c r="O43">
        <v>0</v>
      </c>
    </row>
    <row r="44" spans="1:15" x14ac:dyDescent="0.25">
      <c r="A44" s="3">
        <v>46140</v>
      </c>
      <c r="B44">
        <v>0</v>
      </c>
      <c r="C44">
        <v>57</v>
      </c>
      <c r="D44">
        <v>1</v>
      </c>
      <c r="E44">
        <v>52</v>
      </c>
      <c r="F44">
        <v>0</v>
      </c>
      <c r="G44">
        <v>0</v>
      </c>
      <c r="H44">
        <v>25</v>
      </c>
      <c r="I44">
        <v>20</v>
      </c>
      <c r="J44" s="4">
        <v>0.19402985074626869</v>
      </c>
      <c r="K44" s="4">
        <v>0.19402985074626869</v>
      </c>
      <c r="L44">
        <v>0</v>
      </c>
      <c r="M44" s="4">
        <v>7.4626865671641784E-2</v>
      </c>
      <c r="N44" s="4">
        <v>7.4626865671641784E-2</v>
      </c>
      <c r="O44">
        <v>0</v>
      </c>
    </row>
    <row r="45" spans="1:15" x14ac:dyDescent="0.25">
      <c r="A45" s="3">
        <v>46141</v>
      </c>
      <c r="B45">
        <v>0</v>
      </c>
      <c r="C45">
        <v>57</v>
      </c>
      <c r="D45">
        <v>0</v>
      </c>
      <c r="E45">
        <v>52</v>
      </c>
      <c r="F45">
        <v>0</v>
      </c>
      <c r="G45">
        <v>0</v>
      </c>
      <c r="H45">
        <v>25</v>
      </c>
      <c r="I45">
        <v>20</v>
      </c>
      <c r="J45" s="4">
        <v>0.19402985074626869</v>
      </c>
      <c r="K45" s="4">
        <v>0.19402985074626869</v>
      </c>
      <c r="L45">
        <v>0</v>
      </c>
      <c r="M45" s="4">
        <v>7.4626865671641784E-2</v>
      </c>
      <c r="N45" s="4">
        <v>7.4626865671641784E-2</v>
      </c>
      <c r="O45">
        <v>0</v>
      </c>
    </row>
    <row r="46" spans="1:15" x14ac:dyDescent="0.25">
      <c r="A46" s="3">
        <v>46142</v>
      </c>
      <c r="B46">
        <v>0</v>
      </c>
      <c r="C46">
        <v>57</v>
      </c>
      <c r="D46">
        <v>2</v>
      </c>
      <c r="E46">
        <v>54</v>
      </c>
      <c r="F46">
        <v>0</v>
      </c>
      <c r="G46">
        <v>0</v>
      </c>
      <c r="H46">
        <v>25</v>
      </c>
      <c r="I46">
        <v>20</v>
      </c>
      <c r="J46" s="4">
        <v>0.20149253731343281</v>
      </c>
      <c r="K46" s="4">
        <v>0.20149253731343281</v>
      </c>
      <c r="L46">
        <v>0</v>
      </c>
      <c r="M46" s="4">
        <v>7.4626865671641784E-2</v>
      </c>
      <c r="N46" s="4">
        <v>7.4626865671641784E-2</v>
      </c>
      <c r="O46">
        <v>0</v>
      </c>
    </row>
    <row r="47" spans="1:15" x14ac:dyDescent="0.25">
      <c r="A47" s="3">
        <v>46143</v>
      </c>
      <c r="B47">
        <v>5</v>
      </c>
      <c r="C47">
        <v>62</v>
      </c>
      <c r="D47">
        <v>0</v>
      </c>
      <c r="E47">
        <v>54</v>
      </c>
      <c r="F47">
        <v>1</v>
      </c>
      <c r="G47">
        <v>0</v>
      </c>
      <c r="H47">
        <v>26</v>
      </c>
      <c r="I47">
        <v>20</v>
      </c>
      <c r="J47" s="4">
        <v>0.20149253731343281</v>
      </c>
      <c r="K47" s="4">
        <v>0.20149253731343281</v>
      </c>
      <c r="L47">
        <v>0</v>
      </c>
      <c r="M47" s="4">
        <v>7.4626865671641784E-2</v>
      </c>
      <c r="N47" s="4">
        <v>7.4626865671641784E-2</v>
      </c>
      <c r="O47">
        <v>0</v>
      </c>
    </row>
    <row r="48" spans="1:15" x14ac:dyDescent="0.25">
      <c r="A48" s="3">
        <v>46144</v>
      </c>
      <c r="B48">
        <v>1</v>
      </c>
      <c r="C48">
        <v>63</v>
      </c>
      <c r="D48">
        <v>0</v>
      </c>
      <c r="E48">
        <v>54</v>
      </c>
      <c r="F48">
        <v>3</v>
      </c>
      <c r="G48">
        <v>0</v>
      </c>
      <c r="H48">
        <v>29</v>
      </c>
      <c r="I48">
        <v>20</v>
      </c>
      <c r="J48" s="4">
        <v>0.20149253731343281</v>
      </c>
      <c r="K48" s="4">
        <v>0.20149253731343281</v>
      </c>
      <c r="L48">
        <v>0</v>
      </c>
      <c r="M48" s="4">
        <v>7.4626865671641784E-2</v>
      </c>
      <c r="N48" s="4">
        <v>7.4626865671641784E-2</v>
      </c>
      <c r="O48">
        <v>0</v>
      </c>
    </row>
    <row r="49" spans="1:15" x14ac:dyDescent="0.25">
      <c r="A49" s="3">
        <v>46145</v>
      </c>
      <c r="B49">
        <v>1</v>
      </c>
      <c r="C49">
        <v>64</v>
      </c>
      <c r="D49">
        <v>0</v>
      </c>
      <c r="E49">
        <v>54</v>
      </c>
      <c r="F49">
        <v>8</v>
      </c>
      <c r="G49">
        <v>0</v>
      </c>
      <c r="H49">
        <v>37</v>
      </c>
      <c r="I49">
        <v>20</v>
      </c>
      <c r="J49" s="4">
        <v>0.20149253731343281</v>
      </c>
      <c r="K49" s="4">
        <v>0.20149253731343281</v>
      </c>
      <c r="L49">
        <v>0</v>
      </c>
      <c r="M49" s="4">
        <v>7.4626865671641784E-2</v>
      </c>
      <c r="N49" s="4">
        <v>7.4626865671641784E-2</v>
      </c>
      <c r="O49">
        <v>0</v>
      </c>
    </row>
    <row r="50" spans="1:15" x14ac:dyDescent="0.25">
      <c r="A50" s="3">
        <v>46146</v>
      </c>
      <c r="B50">
        <v>3</v>
      </c>
      <c r="C50">
        <v>67</v>
      </c>
      <c r="D50">
        <v>6</v>
      </c>
      <c r="E50">
        <v>60</v>
      </c>
      <c r="F50">
        <v>0</v>
      </c>
      <c r="G50">
        <v>1</v>
      </c>
      <c r="H50">
        <v>37</v>
      </c>
      <c r="I50">
        <v>21</v>
      </c>
      <c r="J50" s="4">
        <v>0.22388059701492541</v>
      </c>
      <c r="K50" s="4">
        <v>0.22388059701492541</v>
      </c>
      <c r="L50">
        <v>0</v>
      </c>
      <c r="M50" s="4">
        <v>7.8358208955223885E-2</v>
      </c>
      <c r="N50" s="4">
        <v>7.8358208955223885E-2</v>
      </c>
      <c r="O50">
        <v>0</v>
      </c>
    </row>
    <row r="51" spans="1:15" x14ac:dyDescent="0.25">
      <c r="A51" s="3">
        <v>46147</v>
      </c>
      <c r="B51">
        <v>8</v>
      </c>
      <c r="C51">
        <v>75</v>
      </c>
      <c r="D51">
        <v>1</v>
      </c>
      <c r="E51">
        <v>61</v>
      </c>
      <c r="F51">
        <v>5</v>
      </c>
      <c r="G51">
        <v>4</v>
      </c>
      <c r="H51">
        <v>42</v>
      </c>
      <c r="I51">
        <v>25</v>
      </c>
      <c r="J51" s="4">
        <v>0.22761194029850751</v>
      </c>
      <c r="K51" s="4">
        <v>0.22761194029850751</v>
      </c>
      <c r="L51">
        <v>0</v>
      </c>
      <c r="M51" s="4">
        <v>9.3283582089552244E-2</v>
      </c>
      <c r="N51" s="4">
        <v>9.3283582089552244E-2</v>
      </c>
      <c r="O51">
        <v>0</v>
      </c>
    </row>
    <row r="52" spans="1:15" x14ac:dyDescent="0.25">
      <c r="A52" s="3">
        <v>46148</v>
      </c>
      <c r="B52">
        <v>0</v>
      </c>
      <c r="C52">
        <v>75</v>
      </c>
      <c r="D52">
        <v>1</v>
      </c>
      <c r="E52">
        <v>62</v>
      </c>
      <c r="F52">
        <v>0</v>
      </c>
      <c r="G52">
        <v>10</v>
      </c>
      <c r="H52">
        <v>42</v>
      </c>
      <c r="I52">
        <v>35</v>
      </c>
      <c r="J52" s="4">
        <v>0.23134328358208961</v>
      </c>
      <c r="K52" s="4">
        <v>0.23134328358208961</v>
      </c>
      <c r="L52">
        <v>0</v>
      </c>
      <c r="M52" s="4">
        <v>0.13059701492537309</v>
      </c>
      <c r="N52" s="4">
        <v>0.13059701492537309</v>
      </c>
      <c r="O52">
        <v>0</v>
      </c>
    </row>
    <row r="53" spans="1:15" x14ac:dyDescent="0.25">
      <c r="A53" s="3">
        <v>46149</v>
      </c>
      <c r="B53">
        <v>0</v>
      </c>
      <c r="C53">
        <v>75</v>
      </c>
      <c r="D53">
        <v>3</v>
      </c>
      <c r="E53">
        <v>65</v>
      </c>
      <c r="F53">
        <v>0</v>
      </c>
      <c r="G53">
        <v>0</v>
      </c>
      <c r="H53">
        <v>42</v>
      </c>
      <c r="I53">
        <v>35</v>
      </c>
      <c r="J53" s="4">
        <v>0.2425373134328358</v>
      </c>
      <c r="K53" s="4">
        <v>0.2425373134328358</v>
      </c>
      <c r="L53">
        <v>0</v>
      </c>
      <c r="M53" s="4">
        <v>0.13059701492537309</v>
      </c>
      <c r="N53" s="4">
        <v>0.13059701492537309</v>
      </c>
      <c r="O53">
        <v>0</v>
      </c>
    </row>
    <row r="54" spans="1:15" x14ac:dyDescent="0.25">
      <c r="A54" s="3">
        <v>46150</v>
      </c>
      <c r="B54">
        <v>2</v>
      </c>
      <c r="C54">
        <v>77</v>
      </c>
      <c r="D54">
        <v>11</v>
      </c>
      <c r="E54">
        <v>76</v>
      </c>
      <c r="F54">
        <v>1</v>
      </c>
      <c r="G54">
        <v>7</v>
      </c>
      <c r="H54">
        <v>43</v>
      </c>
      <c r="I54">
        <v>42</v>
      </c>
      <c r="J54" s="4">
        <v>0.28358208955223879</v>
      </c>
      <c r="K54" s="4">
        <v>0.28358208955223879</v>
      </c>
      <c r="L54">
        <v>0</v>
      </c>
      <c r="M54" s="4">
        <v>0.1567164179104478</v>
      </c>
      <c r="N54" s="4">
        <v>0.1567164179104478</v>
      </c>
      <c r="O54">
        <v>0</v>
      </c>
    </row>
    <row r="55" spans="1:15" x14ac:dyDescent="0.25">
      <c r="A55" s="3">
        <v>46151</v>
      </c>
      <c r="B55">
        <v>1</v>
      </c>
      <c r="C55">
        <v>78</v>
      </c>
      <c r="D55">
        <v>0</v>
      </c>
      <c r="E55">
        <v>76</v>
      </c>
      <c r="F55">
        <v>3</v>
      </c>
      <c r="G55">
        <v>0</v>
      </c>
      <c r="H55">
        <v>46</v>
      </c>
      <c r="I55">
        <v>42</v>
      </c>
      <c r="J55" s="4">
        <v>0.28358208955223879</v>
      </c>
      <c r="K55" s="4">
        <v>0.28358208955223879</v>
      </c>
      <c r="L55">
        <v>0</v>
      </c>
      <c r="M55" s="4">
        <v>0.1567164179104478</v>
      </c>
      <c r="N55" s="4">
        <v>0.1567164179104478</v>
      </c>
      <c r="O55">
        <v>0</v>
      </c>
    </row>
    <row r="56" spans="1:15" x14ac:dyDescent="0.25">
      <c r="A56" s="3">
        <v>46152</v>
      </c>
      <c r="B56">
        <v>3</v>
      </c>
      <c r="C56">
        <v>81</v>
      </c>
      <c r="D56">
        <v>0</v>
      </c>
      <c r="E56">
        <v>76</v>
      </c>
      <c r="F56">
        <v>1</v>
      </c>
      <c r="G56">
        <v>0</v>
      </c>
      <c r="H56">
        <v>47</v>
      </c>
      <c r="I56">
        <v>42</v>
      </c>
      <c r="J56" s="4">
        <v>0.28358208955223879</v>
      </c>
      <c r="K56" s="4">
        <v>0.28358208955223879</v>
      </c>
      <c r="L56">
        <v>0</v>
      </c>
      <c r="M56" s="4">
        <v>0.1567164179104478</v>
      </c>
      <c r="N56" s="4">
        <v>0.1567164179104478</v>
      </c>
      <c r="O56">
        <v>0</v>
      </c>
    </row>
    <row r="57" spans="1:15" x14ac:dyDescent="0.25">
      <c r="A57" s="3">
        <v>46153</v>
      </c>
      <c r="B57">
        <v>16</v>
      </c>
      <c r="C57">
        <v>97</v>
      </c>
      <c r="D57">
        <v>2</v>
      </c>
      <c r="E57">
        <v>78</v>
      </c>
      <c r="F57">
        <v>11</v>
      </c>
      <c r="G57">
        <v>1</v>
      </c>
      <c r="H57">
        <v>58</v>
      </c>
      <c r="I57">
        <v>43</v>
      </c>
      <c r="J57" s="4">
        <v>0.29104477611940299</v>
      </c>
      <c r="K57" s="4">
        <v>0.29104477611940299</v>
      </c>
      <c r="L57">
        <v>0</v>
      </c>
      <c r="M57" s="4">
        <v>0.16044776119402979</v>
      </c>
      <c r="N57" s="4">
        <v>0.16044776119402979</v>
      </c>
      <c r="O57">
        <v>0</v>
      </c>
    </row>
    <row r="58" spans="1:15" x14ac:dyDescent="0.25">
      <c r="A58" s="3">
        <v>46154</v>
      </c>
      <c r="B58">
        <v>4</v>
      </c>
      <c r="C58">
        <v>101</v>
      </c>
      <c r="D58">
        <v>1</v>
      </c>
      <c r="E58">
        <v>79</v>
      </c>
      <c r="F58">
        <v>4</v>
      </c>
      <c r="G58">
        <v>3</v>
      </c>
      <c r="H58">
        <v>62</v>
      </c>
      <c r="I58">
        <v>46</v>
      </c>
      <c r="J58" s="4">
        <v>0.29477611940298509</v>
      </c>
      <c r="K58" s="4">
        <v>0.29477611940298509</v>
      </c>
      <c r="L58">
        <v>0</v>
      </c>
      <c r="M58" s="4">
        <v>0.17164179104477609</v>
      </c>
      <c r="N58" s="4">
        <v>0.17164179104477609</v>
      </c>
      <c r="O58">
        <v>0</v>
      </c>
    </row>
    <row r="59" spans="1:15" x14ac:dyDescent="0.25">
      <c r="A59" s="3">
        <v>46155</v>
      </c>
      <c r="B59">
        <v>0</v>
      </c>
      <c r="C59">
        <v>101</v>
      </c>
      <c r="D59">
        <v>3</v>
      </c>
      <c r="E59">
        <v>82</v>
      </c>
      <c r="F59">
        <v>0</v>
      </c>
      <c r="G59">
        <v>1</v>
      </c>
      <c r="H59">
        <v>62</v>
      </c>
      <c r="I59">
        <v>47</v>
      </c>
      <c r="J59" s="4">
        <v>0.30597014925373128</v>
      </c>
      <c r="K59" s="4">
        <v>0.30597014925373128</v>
      </c>
      <c r="L59">
        <v>0</v>
      </c>
      <c r="M59" s="4">
        <v>0.17537313432835819</v>
      </c>
      <c r="N59" s="4">
        <v>0.17537313432835819</v>
      </c>
      <c r="O59">
        <v>0</v>
      </c>
    </row>
    <row r="60" spans="1:15" x14ac:dyDescent="0.25">
      <c r="A60" s="3">
        <v>46156</v>
      </c>
      <c r="B60">
        <v>0</v>
      </c>
      <c r="C60">
        <v>101</v>
      </c>
      <c r="D60">
        <v>22</v>
      </c>
      <c r="E60">
        <v>104</v>
      </c>
      <c r="F60">
        <v>0</v>
      </c>
      <c r="G60">
        <v>15</v>
      </c>
      <c r="H60">
        <v>62</v>
      </c>
      <c r="I60">
        <v>62</v>
      </c>
      <c r="J60" s="4">
        <v>0.38805970149253732</v>
      </c>
      <c r="K60" s="4">
        <v>0.38805970149253732</v>
      </c>
      <c r="L60">
        <v>0</v>
      </c>
      <c r="M60" s="4">
        <v>0.23134328358208961</v>
      </c>
      <c r="N60" s="4">
        <v>0.23134328358208961</v>
      </c>
      <c r="O60">
        <v>0</v>
      </c>
    </row>
    <row r="61" spans="1:15" x14ac:dyDescent="0.25">
      <c r="A61" s="3">
        <v>46157</v>
      </c>
      <c r="B61">
        <v>2</v>
      </c>
      <c r="C61">
        <v>103</v>
      </c>
      <c r="D61">
        <v>5</v>
      </c>
      <c r="E61">
        <v>109</v>
      </c>
      <c r="F61">
        <v>0</v>
      </c>
      <c r="G61">
        <v>4</v>
      </c>
      <c r="H61">
        <v>62</v>
      </c>
      <c r="I61">
        <v>66</v>
      </c>
      <c r="J61" s="4">
        <v>0.40671641791044782</v>
      </c>
      <c r="K61" s="4">
        <v>0.40671641791044782</v>
      </c>
      <c r="L61">
        <v>0</v>
      </c>
      <c r="M61" s="4">
        <v>0.2462686567164179</v>
      </c>
      <c r="N61" s="4">
        <v>0.2462686567164179</v>
      </c>
      <c r="O61">
        <v>0</v>
      </c>
    </row>
    <row r="62" spans="1:15" x14ac:dyDescent="0.25">
      <c r="A62" s="3">
        <v>46158</v>
      </c>
      <c r="B62">
        <v>2</v>
      </c>
      <c r="C62">
        <v>105</v>
      </c>
      <c r="D62">
        <v>0</v>
      </c>
      <c r="E62">
        <v>109</v>
      </c>
      <c r="F62">
        <v>0</v>
      </c>
      <c r="G62">
        <v>0</v>
      </c>
      <c r="H62">
        <v>62</v>
      </c>
      <c r="I62">
        <v>66</v>
      </c>
      <c r="J62" s="4">
        <v>0.40671641791044782</v>
      </c>
      <c r="K62" s="4">
        <v>0.40671641791044782</v>
      </c>
      <c r="L62">
        <v>0</v>
      </c>
      <c r="M62" s="4">
        <v>0.2462686567164179</v>
      </c>
      <c r="N62" s="4">
        <v>0.2462686567164179</v>
      </c>
      <c r="O62">
        <v>0</v>
      </c>
    </row>
    <row r="63" spans="1:15" x14ac:dyDescent="0.25">
      <c r="A63" s="3">
        <v>46159</v>
      </c>
      <c r="B63">
        <v>5</v>
      </c>
      <c r="C63">
        <v>110</v>
      </c>
      <c r="D63">
        <v>0</v>
      </c>
      <c r="E63">
        <v>109</v>
      </c>
      <c r="F63">
        <v>4</v>
      </c>
      <c r="G63">
        <v>0</v>
      </c>
      <c r="H63">
        <v>66</v>
      </c>
      <c r="I63">
        <v>66</v>
      </c>
      <c r="J63" s="4">
        <v>0.40671641791044782</v>
      </c>
      <c r="K63" s="4">
        <v>0.40671641791044782</v>
      </c>
      <c r="L63">
        <v>0</v>
      </c>
      <c r="M63" s="4">
        <v>0.2462686567164179</v>
      </c>
      <c r="N63" s="4">
        <v>0.2462686567164179</v>
      </c>
      <c r="O63">
        <v>0</v>
      </c>
    </row>
    <row r="64" spans="1:15" x14ac:dyDescent="0.25">
      <c r="A64" s="3">
        <v>46160</v>
      </c>
      <c r="B64">
        <v>4</v>
      </c>
      <c r="C64">
        <v>114</v>
      </c>
      <c r="D64">
        <v>2</v>
      </c>
      <c r="E64">
        <v>111</v>
      </c>
      <c r="F64">
        <v>1</v>
      </c>
      <c r="G64">
        <v>0</v>
      </c>
      <c r="H64">
        <v>67</v>
      </c>
      <c r="I64">
        <v>66</v>
      </c>
      <c r="J64" s="4">
        <v>0.41417910447761191</v>
      </c>
      <c r="K64" s="4">
        <v>0.41417910447761191</v>
      </c>
      <c r="L64">
        <v>0</v>
      </c>
      <c r="M64" s="4">
        <v>0.2462686567164179</v>
      </c>
      <c r="N64" s="4">
        <v>0.2462686567164179</v>
      </c>
      <c r="O64">
        <v>0</v>
      </c>
    </row>
    <row r="65" spans="1:15" x14ac:dyDescent="0.25">
      <c r="A65" s="3">
        <v>46161</v>
      </c>
      <c r="B65">
        <v>14</v>
      </c>
      <c r="C65">
        <v>128</v>
      </c>
      <c r="D65">
        <v>4</v>
      </c>
      <c r="E65">
        <v>115</v>
      </c>
      <c r="F65">
        <v>9</v>
      </c>
      <c r="G65">
        <v>0</v>
      </c>
      <c r="H65">
        <v>76</v>
      </c>
      <c r="I65">
        <v>66</v>
      </c>
      <c r="J65" s="4">
        <v>0.42910447761194032</v>
      </c>
      <c r="K65" s="4">
        <v>0.42910447761194032</v>
      </c>
      <c r="L65">
        <v>0</v>
      </c>
      <c r="M65" s="4">
        <v>0.2462686567164179</v>
      </c>
      <c r="N65" s="4">
        <v>0.2462686567164179</v>
      </c>
      <c r="O65">
        <v>0</v>
      </c>
    </row>
    <row r="66" spans="1:15" x14ac:dyDescent="0.25">
      <c r="A66" s="3">
        <v>46162</v>
      </c>
      <c r="B66">
        <v>0</v>
      </c>
      <c r="C66">
        <v>128</v>
      </c>
      <c r="D66">
        <v>4</v>
      </c>
      <c r="E66">
        <v>119</v>
      </c>
      <c r="F66">
        <v>0</v>
      </c>
      <c r="G66">
        <v>6</v>
      </c>
      <c r="H66">
        <v>76</v>
      </c>
      <c r="I66">
        <v>72</v>
      </c>
      <c r="J66" s="4">
        <v>0.44402985074626872</v>
      </c>
      <c r="K66" s="4">
        <v>0.44402985074626872</v>
      </c>
      <c r="L66">
        <v>0</v>
      </c>
      <c r="M66" s="4">
        <v>0.26865671641791039</v>
      </c>
      <c r="N66" s="4">
        <v>0.26865671641791039</v>
      </c>
      <c r="O66">
        <v>0</v>
      </c>
    </row>
    <row r="67" spans="1:15" x14ac:dyDescent="0.25">
      <c r="A67" s="3">
        <v>46163</v>
      </c>
      <c r="B67">
        <v>0</v>
      </c>
      <c r="C67">
        <v>128</v>
      </c>
      <c r="D67">
        <v>4</v>
      </c>
      <c r="E67">
        <v>123</v>
      </c>
      <c r="F67">
        <v>0</v>
      </c>
      <c r="G67">
        <v>1</v>
      </c>
      <c r="H67">
        <v>76</v>
      </c>
      <c r="I67">
        <v>73</v>
      </c>
      <c r="J67" s="4">
        <v>0.45895522388059701</v>
      </c>
      <c r="K67" s="4">
        <v>0.45895522388059701</v>
      </c>
      <c r="L67">
        <v>0</v>
      </c>
      <c r="M67" s="4">
        <v>0.27238805970149249</v>
      </c>
      <c r="N67" s="4">
        <v>0.27238805970149249</v>
      </c>
      <c r="O67">
        <v>0</v>
      </c>
    </row>
    <row r="68" spans="1:15" x14ac:dyDescent="0.25">
      <c r="A68" s="3">
        <v>46164</v>
      </c>
      <c r="B68">
        <v>4</v>
      </c>
      <c r="C68">
        <v>132</v>
      </c>
      <c r="D68">
        <v>13</v>
      </c>
      <c r="E68">
        <v>136</v>
      </c>
      <c r="F68">
        <v>9</v>
      </c>
      <c r="G68">
        <v>9</v>
      </c>
      <c r="H68">
        <v>85</v>
      </c>
      <c r="I68">
        <v>82</v>
      </c>
      <c r="J68" s="4">
        <v>0.5074626865671642</v>
      </c>
      <c r="K68" s="4">
        <v>0.5074626865671642</v>
      </c>
      <c r="L68">
        <v>0</v>
      </c>
      <c r="M68" s="4">
        <v>0.30597014925373128</v>
      </c>
      <c r="N68" s="4">
        <v>0.30597014925373128</v>
      </c>
      <c r="O68">
        <v>0</v>
      </c>
    </row>
    <row r="69" spans="1:15" x14ac:dyDescent="0.25">
      <c r="A69" s="3">
        <v>46165</v>
      </c>
      <c r="B69">
        <v>12</v>
      </c>
      <c r="C69">
        <v>144</v>
      </c>
      <c r="D69">
        <v>0</v>
      </c>
      <c r="E69">
        <v>136</v>
      </c>
      <c r="F69">
        <v>9</v>
      </c>
      <c r="G69">
        <v>0</v>
      </c>
      <c r="H69">
        <v>94</v>
      </c>
      <c r="I69">
        <v>82</v>
      </c>
      <c r="J69" s="4">
        <v>0.5074626865671642</v>
      </c>
      <c r="K69" s="4">
        <v>0.5074626865671642</v>
      </c>
      <c r="L69">
        <v>0</v>
      </c>
      <c r="M69" s="4">
        <v>0.30597014925373128</v>
      </c>
      <c r="N69" s="4">
        <v>0.30597014925373128</v>
      </c>
      <c r="O69">
        <v>0</v>
      </c>
    </row>
    <row r="70" spans="1:15" x14ac:dyDescent="0.25">
      <c r="A70" s="3">
        <v>46166</v>
      </c>
      <c r="B70">
        <v>8</v>
      </c>
      <c r="C70">
        <v>152</v>
      </c>
      <c r="D70">
        <v>0</v>
      </c>
      <c r="E70">
        <v>136</v>
      </c>
      <c r="F70">
        <v>4</v>
      </c>
      <c r="G70">
        <v>0</v>
      </c>
      <c r="H70">
        <v>98</v>
      </c>
      <c r="I70">
        <v>82</v>
      </c>
      <c r="J70" s="4">
        <v>0.5074626865671642</v>
      </c>
      <c r="K70" s="4">
        <v>0.5074626865671642</v>
      </c>
      <c r="L70">
        <v>0</v>
      </c>
      <c r="M70" s="4">
        <v>0.30597014925373128</v>
      </c>
      <c r="N70" s="4">
        <v>0.30597014925373128</v>
      </c>
      <c r="O70">
        <v>0</v>
      </c>
    </row>
    <row r="71" spans="1:15" x14ac:dyDescent="0.25">
      <c r="A71" s="3">
        <v>46167</v>
      </c>
      <c r="B71">
        <v>2</v>
      </c>
      <c r="C71">
        <v>154</v>
      </c>
      <c r="D71">
        <v>6</v>
      </c>
      <c r="E71">
        <v>142</v>
      </c>
      <c r="F71">
        <v>6</v>
      </c>
      <c r="G71">
        <v>8</v>
      </c>
      <c r="H71">
        <v>104</v>
      </c>
      <c r="I71">
        <v>90</v>
      </c>
      <c r="J71" s="4">
        <v>0.52985074626865669</v>
      </c>
      <c r="K71" s="4">
        <v>0.52985074626865669</v>
      </c>
      <c r="L71">
        <v>0</v>
      </c>
      <c r="M71" s="4">
        <v>0.33582089552238809</v>
      </c>
      <c r="N71" s="4">
        <v>0.33582089552238809</v>
      </c>
      <c r="O71">
        <v>0</v>
      </c>
    </row>
    <row r="72" spans="1:15" x14ac:dyDescent="0.25">
      <c r="A72" s="3">
        <v>46168</v>
      </c>
      <c r="B72">
        <v>2</v>
      </c>
      <c r="C72">
        <v>156</v>
      </c>
      <c r="D72">
        <v>13</v>
      </c>
      <c r="E72">
        <v>155</v>
      </c>
      <c r="F72">
        <v>15</v>
      </c>
      <c r="G72">
        <v>10</v>
      </c>
      <c r="H72">
        <v>119</v>
      </c>
      <c r="I72">
        <v>100</v>
      </c>
      <c r="J72" s="4">
        <v>0.57835820895522383</v>
      </c>
      <c r="K72" s="4">
        <v>0.57835820895522383</v>
      </c>
      <c r="L72">
        <v>0</v>
      </c>
      <c r="M72" s="4">
        <v>0.37313432835820898</v>
      </c>
      <c r="N72" s="4">
        <v>0.37313432835820898</v>
      </c>
      <c r="O72">
        <v>0</v>
      </c>
    </row>
    <row r="73" spans="1:15" x14ac:dyDescent="0.25">
      <c r="A73" s="3">
        <v>46169</v>
      </c>
      <c r="B73">
        <v>0</v>
      </c>
      <c r="C73">
        <v>156</v>
      </c>
      <c r="D73">
        <v>8</v>
      </c>
      <c r="E73">
        <v>163</v>
      </c>
      <c r="F73">
        <v>0</v>
      </c>
      <c r="G73">
        <v>2</v>
      </c>
      <c r="H73">
        <v>119</v>
      </c>
      <c r="I73">
        <v>102</v>
      </c>
      <c r="J73" s="4">
        <v>0.60820895522388063</v>
      </c>
      <c r="K73" s="4">
        <v>0.60820895522388063</v>
      </c>
      <c r="L73">
        <v>0</v>
      </c>
      <c r="M73" s="4">
        <v>0.38059701492537312</v>
      </c>
      <c r="N73" s="4">
        <v>0.38059701492537312</v>
      </c>
      <c r="O73">
        <v>0</v>
      </c>
    </row>
    <row r="74" spans="1:15" x14ac:dyDescent="0.25">
      <c r="A74" s="3">
        <v>46170</v>
      </c>
      <c r="B74">
        <v>0</v>
      </c>
      <c r="C74">
        <v>156</v>
      </c>
      <c r="D74">
        <v>1</v>
      </c>
      <c r="E74">
        <v>164</v>
      </c>
      <c r="F74">
        <v>0</v>
      </c>
      <c r="G74">
        <v>9</v>
      </c>
      <c r="H74">
        <v>119</v>
      </c>
      <c r="I74">
        <v>111</v>
      </c>
      <c r="J74" s="4">
        <v>0.61194029850746268</v>
      </c>
      <c r="K74" s="4">
        <v>0.61194029850746268</v>
      </c>
      <c r="L74">
        <v>0</v>
      </c>
      <c r="M74" s="4">
        <v>0.41417910447761191</v>
      </c>
      <c r="N74" s="4">
        <v>0.41417910447761191</v>
      </c>
      <c r="O74">
        <v>0</v>
      </c>
    </row>
    <row r="75" spans="1:15" x14ac:dyDescent="0.25">
      <c r="A75" s="3">
        <v>46171</v>
      </c>
      <c r="B75">
        <v>1</v>
      </c>
      <c r="C75">
        <v>157</v>
      </c>
      <c r="D75">
        <v>2</v>
      </c>
      <c r="E75">
        <v>166</v>
      </c>
      <c r="F75">
        <v>10</v>
      </c>
      <c r="G75">
        <v>14</v>
      </c>
      <c r="H75">
        <v>129</v>
      </c>
      <c r="I75">
        <v>125</v>
      </c>
      <c r="J75" s="4">
        <v>0.61940298507462688</v>
      </c>
      <c r="K75" s="4">
        <v>0.61940298507462688</v>
      </c>
      <c r="L75">
        <v>0</v>
      </c>
      <c r="M75" s="4">
        <v>0.46641791044776121</v>
      </c>
      <c r="N75" s="4">
        <v>0.46641791044776121</v>
      </c>
      <c r="O75">
        <v>0</v>
      </c>
    </row>
    <row r="76" spans="1:15" x14ac:dyDescent="0.25">
      <c r="A76" s="3">
        <v>46172</v>
      </c>
      <c r="B76">
        <v>15</v>
      </c>
      <c r="C76">
        <v>172</v>
      </c>
      <c r="D76">
        <v>0</v>
      </c>
      <c r="E76">
        <v>166</v>
      </c>
      <c r="F76">
        <v>3</v>
      </c>
      <c r="G76">
        <v>0</v>
      </c>
      <c r="H76">
        <v>132</v>
      </c>
      <c r="I76">
        <v>125</v>
      </c>
      <c r="J76" s="4">
        <v>0.61940298507462688</v>
      </c>
      <c r="K76" s="4">
        <v>0.61940298507462688</v>
      </c>
      <c r="L76">
        <v>0</v>
      </c>
      <c r="M76" s="4">
        <v>0.46641791044776121</v>
      </c>
      <c r="N76" s="4">
        <v>0.46641791044776121</v>
      </c>
      <c r="O76">
        <v>0</v>
      </c>
    </row>
    <row r="77" spans="1:15" x14ac:dyDescent="0.25">
      <c r="A77" s="3">
        <v>46173</v>
      </c>
      <c r="B77">
        <v>7</v>
      </c>
      <c r="C77">
        <v>179</v>
      </c>
      <c r="D77">
        <v>0</v>
      </c>
      <c r="E77">
        <v>166</v>
      </c>
      <c r="F77">
        <v>14</v>
      </c>
      <c r="G77">
        <v>0</v>
      </c>
      <c r="H77">
        <v>146</v>
      </c>
      <c r="I77">
        <v>125</v>
      </c>
      <c r="J77" s="4">
        <v>0.61940298507462688</v>
      </c>
      <c r="K77" s="4">
        <v>0.61940298507462688</v>
      </c>
      <c r="L77">
        <v>0</v>
      </c>
      <c r="M77" s="4">
        <v>0.46641791044776121</v>
      </c>
      <c r="N77" s="4">
        <v>0.46641791044776121</v>
      </c>
      <c r="O77">
        <v>0</v>
      </c>
    </row>
    <row r="78" spans="1:15" x14ac:dyDescent="0.25">
      <c r="A78" s="3">
        <v>46174</v>
      </c>
      <c r="B78">
        <v>0</v>
      </c>
      <c r="C78">
        <v>179</v>
      </c>
      <c r="D78">
        <v>1</v>
      </c>
      <c r="E78">
        <v>167</v>
      </c>
      <c r="F78">
        <v>0</v>
      </c>
      <c r="G78">
        <v>10</v>
      </c>
      <c r="H78">
        <v>146</v>
      </c>
      <c r="I78">
        <v>135</v>
      </c>
      <c r="J78" s="4">
        <v>0.62313432835820892</v>
      </c>
      <c r="K78" s="4">
        <v>0.62313432835820892</v>
      </c>
      <c r="L78">
        <v>0</v>
      </c>
      <c r="M78" s="4">
        <v>0.50373134328358204</v>
      </c>
      <c r="N78" s="4">
        <v>0.50373134328358204</v>
      </c>
      <c r="O78">
        <v>0</v>
      </c>
    </row>
    <row r="79" spans="1:15" x14ac:dyDescent="0.25">
      <c r="A79" s="3">
        <v>46175</v>
      </c>
      <c r="B79">
        <v>0</v>
      </c>
      <c r="C79">
        <v>179</v>
      </c>
      <c r="D79">
        <v>18</v>
      </c>
      <c r="E79">
        <v>185</v>
      </c>
      <c r="F79">
        <v>0</v>
      </c>
      <c r="G79">
        <v>2</v>
      </c>
      <c r="H79">
        <v>146</v>
      </c>
      <c r="I79">
        <v>137</v>
      </c>
      <c r="J79" s="4">
        <v>0.69029850746268662</v>
      </c>
      <c r="K79" s="4">
        <v>0.69029850746268662</v>
      </c>
      <c r="L79">
        <v>0</v>
      </c>
      <c r="M79" s="4">
        <v>0.51119402985074625</v>
      </c>
      <c r="N79" s="4">
        <v>0.51119402985074625</v>
      </c>
      <c r="O79">
        <v>0</v>
      </c>
    </row>
    <row r="80" spans="1:15" x14ac:dyDescent="0.25">
      <c r="A80" s="3">
        <v>46176</v>
      </c>
      <c r="B80">
        <v>0</v>
      </c>
      <c r="C80">
        <v>179</v>
      </c>
      <c r="D80">
        <v>7</v>
      </c>
      <c r="E80">
        <v>192</v>
      </c>
      <c r="F80">
        <v>0</v>
      </c>
      <c r="G80">
        <v>11</v>
      </c>
      <c r="H80">
        <v>146</v>
      </c>
      <c r="I80">
        <v>148</v>
      </c>
      <c r="J80" s="4">
        <v>0.71641791044776115</v>
      </c>
      <c r="K80" s="4">
        <v>0.71641791044776115</v>
      </c>
      <c r="L80">
        <v>0</v>
      </c>
      <c r="M80" s="4">
        <v>0.55223880597014929</v>
      </c>
      <c r="N80" s="4">
        <v>0.55223880597014929</v>
      </c>
      <c r="O80">
        <v>0</v>
      </c>
    </row>
    <row r="81" spans="1:15" x14ac:dyDescent="0.25">
      <c r="A81" s="3">
        <v>46177</v>
      </c>
      <c r="B81">
        <v>0</v>
      </c>
      <c r="C81">
        <v>179</v>
      </c>
      <c r="D81">
        <v>0</v>
      </c>
      <c r="E81">
        <v>192</v>
      </c>
      <c r="F81">
        <v>0</v>
      </c>
      <c r="G81">
        <v>0</v>
      </c>
      <c r="H81">
        <v>146</v>
      </c>
      <c r="I81">
        <v>148</v>
      </c>
      <c r="J81" s="4">
        <v>0.71641791044776115</v>
      </c>
      <c r="K81" s="4">
        <v>0.71641791044776115</v>
      </c>
      <c r="L81">
        <v>0</v>
      </c>
      <c r="M81" s="4">
        <v>0.55223880597014929</v>
      </c>
      <c r="N81" s="4">
        <v>0.55223880597014929</v>
      </c>
      <c r="O81">
        <v>0</v>
      </c>
    </row>
    <row r="82" spans="1:15" x14ac:dyDescent="0.25">
      <c r="A82" s="3">
        <v>46178</v>
      </c>
      <c r="B82">
        <v>10</v>
      </c>
      <c r="C82">
        <v>189</v>
      </c>
      <c r="D82">
        <v>0</v>
      </c>
      <c r="E82">
        <v>192</v>
      </c>
      <c r="F82">
        <v>7</v>
      </c>
      <c r="G82">
        <v>0</v>
      </c>
      <c r="H82">
        <v>153</v>
      </c>
      <c r="I82">
        <v>148</v>
      </c>
      <c r="J82" s="4">
        <v>0.71641791044776115</v>
      </c>
      <c r="K82" s="4">
        <v>0.71641791044776115</v>
      </c>
      <c r="L82">
        <v>0</v>
      </c>
      <c r="M82" s="4">
        <v>0.55223880597014929</v>
      </c>
      <c r="N82" s="4">
        <v>0.55223880597014929</v>
      </c>
      <c r="O82">
        <v>0</v>
      </c>
    </row>
    <row r="83" spans="1:15" x14ac:dyDescent="0.25">
      <c r="A83" s="3">
        <v>46179</v>
      </c>
      <c r="B83">
        <v>3</v>
      </c>
      <c r="C83">
        <v>192</v>
      </c>
      <c r="D83">
        <v>0</v>
      </c>
      <c r="E83">
        <v>192</v>
      </c>
      <c r="F83">
        <v>2</v>
      </c>
      <c r="G83">
        <v>0</v>
      </c>
      <c r="H83">
        <v>155</v>
      </c>
      <c r="I83">
        <v>148</v>
      </c>
      <c r="J83" s="4">
        <v>0.71641791044776115</v>
      </c>
      <c r="K83" s="4">
        <v>0.71641791044776115</v>
      </c>
      <c r="L83">
        <v>0</v>
      </c>
      <c r="M83" s="4">
        <v>0.55223880597014929</v>
      </c>
      <c r="N83" s="4">
        <v>0.55223880597014929</v>
      </c>
      <c r="O83">
        <v>0</v>
      </c>
    </row>
    <row r="84" spans="1:15" x14ac:dyDescent="0.25">
      <c r="A84" s="3">
        <v>46180</v>
      </c>
      <c r="B84">
        <v>3</v>
      </c>
      <c r="C84">
        <v>195</v>
      </c>
      <c r="D84">
        <v>0</v>
      </c>
      <c r="E84">
        <v>192</v>
      </c>
      <c r="F84">
        <v>17</v>
      </c>
      <c r="G84">
        <v>0</v>
      </c>
      <c r="H84">
        <v>172</v>
      </c>
      <c r="I84">
        <v>148</v>
      </c>
      <c r="J84" s="4">
        <v>0.71641791044776115</v>
      </c>
      <c r="K84" s="4">
        <v>0.71641791044776115</v>
      </c>
      <c r="L84">
        <v>0</v>
      </c>
      <c r="M84" s="4">
        <v>0.55223880597014929</v>
      </c>
      <c r="N84" s="4">
        <v>0.55223880597014929</v>
      </c>
      <c r="O84">
        <v>0</v>
      </c>
    </row>
    <row r="85" spans="1:15" x14ac:dyDescent="0.25">
      <c r="A85" s="3">
        <v>46181</v>
      </c>
      <c r="B85">
        <v>1</v>
      </c>
      <c r="C85">
        <v>196</v>
      </c>
      <c r="D85">
        <v>11</v>
      </c>
      <c r="E85">
        <v>203</v>
      </c>
      <c r="F85">
        <v>3</v>
      </c>
      <c r="G85">
        <v>6</v>
      </c>
      <c r="H85">
        <v>175</v>
      </c>
      <c r="I85">
        <v>154</v>
      </c>
      <c r="J85" s="4">
        <v>0.7574626865671642</v>
      </c>
      <c r="K85" s="4">
        <v>0.7574626865671642</v>
      </c>
      <c r="L85">
        <v>0</v>
      </c>
      <c r="M85" s="4">
        <v>0.57462686567164178</v>
      </c>
      <c r="N85" s="4">
        <v>0.57462686567164178</v>
      </c>
      <c r="O85">
        <v>0</v>
      </c>
    </row>
    <row r="86" spans="1:15" x14ac:dyDescent="0.25">
      <c r="A86" s="3">
        <v>46182</v>
      </c>
      <c r="B86">
        <v>4</v>
      </c>
      <c r="C86">
        <v>200</v>
      </c>
      <c r="D86">
        <v>3</v>
      </c>
      <c r="E86">
        <v>206</v>
      </c>
      <c r="F86">
        <v>4</v>
      </c>
      <c r="G86">
        <v>1</v>
      </c>
      <c r="H86">
        <v>179</v>
      </c>
      <c r="I86">
        <v>155</v>
      </c>
      <c r="J86" s="4">
        <v>0.76865671641791045</v>
      </c>
      <c r="K86" s="4">
        <v>0.76865671641791045</v>
      </c>
      <c r="L86">
        <v>0</v>
      </c>
      <c r="M86" s="4">
        <v>0.57835820895522383</v>
      </c>
      <c r="N86" s="4">
        <v>0.57835820895522383</v>
      </c>
      <c r="O86">
        <v>0</v>
      </c>
    </row>
    <row r="87" spans="1:15" x14ac:dyDescent="0.25">
      <c r="A87" s="3">
        <v>46183</v>
      </c>
      <c r="B87">
        <v>0</v>
      </c>
      <c r="C87">
        <v>200</v>
      </c>
      <c r="D87">
        <v>3</v>
      </c>
      <c r="E87">
        <v>209</v>
      </c>
      <c r="F87">
        <v>0</v>
      </c>
      <c r="G87">
        <v>14</v>
      </c>
      <c r="H87">
        <v>179</v>
      </c>
      <c r="I87">
        <v>169</v>
      </c>
      <c r="J87" s="4">
        <v>0.77985074626865669</v>
      </c>
      <c r="K87" s="4">
        <v>0.77985074626865669</v>
      </c>
      <c r="L87">
        <v>0</v>
      </c>
      <c r="M87" s="4">
        <v>0.63059701492537312</v>
      </c>
      <c r="N87" s="4">
        <v>0.63059701492537312</v>
      </c>
      <c r="O87">
        <v>0</v>
      </c>
    </row>
    <row r="88" spans="1:15" x14ac:dyDescent="0.25">
      <c r="A88" s="3">
        <v>46184</v>
      </c>
      <c r="B88">
        <v>0</v>
      </c>
      <c r="C88">
        <v>200</v>
      </c>
      <c r="D88">
        <v>0</v>
      </c>
      <c r="E88">
        <v>209</v>
      </c>
      <c r="F88">
        <v>0</v>
      </c>
      <c r="G88">
        <v>4</v>
      </c>
      <c r="H88">
        <v>179</v>
      </c>
      <c r="I88">
        <v>173</v>
      </c>
      <c r="J88" s="4">
        <v>0.77985074626865669</v>
      </c>
      <c r="K88" s="4">
        <v>0.77985074626865669</v>
      </c>
      <c r="L88">
        <v>0</v>
      </c>
      <c r="M88" s="4">
        <v>0.64552238805970152</v>
      </c>
      <c r="N88" s="4">
        <v>0.64552238805970152</v>
      </c>
      <c r="O88">
        <v>0</v>
      </c>
    </row>
    <row r="89" spans="1:15" x14ac:dyDescent="0.25">
      <c r="A89" s="3">
        <v>46185</v>
      </c>
      <c r="B89">
        <v>2</v>
      </c>
      <c r="C89">
        <v>202</v>
      </c>
      <c r="D89">
        <v>8</v>
      </c>
      <c r="E89">
        <v>217</v>
      </c>
      <c r="F89">
        <v>13</v>
      </c>
      <c r="G89">
        <v>1</v>
      </c>
      <c r="H89">
        <v>192</v>
      </c>
      <c r="I89">
        <v>174</v>
      </c>
      <c r="J89" s="4">
        <v>0.80970149253731338</v>
      </c>
      <c r="K89" s="4">
        <v>0.80970149253731338</v>
      </c>
      <c r="L89">
        <v>0</v>
      </c>
      <c r="M89" s="4">
        <v>0.64925373134328357</v>
      </c>
      <c r="N89" s="4">
        <v>0.64925373134328357</v>
      </c>
      <c r="O89">
        <v>0</v>
      </c>
    </row>
    <row r="90" spans="1:15" x14ac:dyDescent="0.25">
      <c r="A90" s="3">
        <v>46186</v>
      </c>
      <c r="B90">
        <v>6</v>
      </c>
      <c r="C90">
        <v>208</v>
      </c>
      <c r="D90">
        <v>0</v>
      </c>
      <c r="E90">
        <v>217</v>
      </c>
      <c r="F90">
        <v>2</v>
      </c>
      <c r="G90">
        <v>0</v>
      </c>
      <c r="H90">
        <v>194</v>
      </c>
      <c r="I90">
        <v>174</v>
      </c>
      <c r="J90" s="4">
        <v>0.80970149253731338</v>
      </c>
      <c r="K90" s="4">
        <v>0.80970149253731338</v>
      </c>
      <c r="L90">
        <v>0</v>
      </c>
      <c r="M90" s="4">
        <v>0.64925373134328357</v>
      </c>
      <c r="N90" s="4">
        <v>0.64925373134328357</v>
      </c>
      <c r="O90">
        <v>0</v>
      </c>
    </row>
    <row r="91" spans="1:15" x14ac:dyDescent="0.25">
      <c r="A91" s="3">
        <v>46187</v>
      </c>
      <c r="B91">
        <v>9</v>
      </c>
      <c r="C91">
        <v>230</v>
      </c>
      <c r="D91">
        <v>0</v>
      </c>
      <c r="E91">
        <v>217</v>
      </c>
      <c r="F91">
        <v>8</v>
      </c>
      <c r="G91">
        <v>0</v>
      </c>
      <c r="H91">
        <v>192</v>
      </c>
      <c r="I91">
        <v>174</v>
      </c>
      <c r="J91" s="4">
        <v>0.80970149253731338</v>
      </c>
      <c r="K91" s="4">
        <v>0.80970149253731338</v>
      </c>
      <c r="L91">
        <v>0</v>
      </c>
      <c r="M91" s="4">
        <v>0.64925373134328357</v>
      </c>
      <c r="N91" s="4">
        <v>0.64925373134328357</v>
      </c>
      <c r="O91">
        <v>0</v>
      </c>
    </row>
    <row r="92" spans="1:15" x14ac:dyDescent="0.25">
      <c r="A92" s="3">
        <v>46188</v>
      </c>
      <c r="B92">
        <v>3</v>
      </c>
      <c r="C92">
        <v>233</v>
      </c>
      <c r="D92">
        <v>3</v>
      </c>
      <c r="E92">
        <v>220</v>
      </c>
      <c r="F92">
        <v>1</v>
      </c>
      <c r="G92">
        <v>8</v>
      </c>
      <c r="H92">
        <v>193</v>
      </c>
      <c r="I92">
        <v>182</v>
      </c>
      <c r="J92" s="4">
        <v>0.82089552238805974</v>
      </c>
      <c r="K92" s="4">
        <v>0.82089552238805974</v>
      </c>
      <c r="L92">
        <v>0</v>
      </c>
      <c r="M92" s="4">
        <v>0.67910447761194026</v>
      </c>
      <c r="N92" s="4">
        <v>0.67910447761194026</v>
      </c>
      <c r="O92">
        <v>0</v>
      </c>
    </row>
    <row r="93" spans="1:15" x14ac:dyDescent="0.25">
      <c r="A93" s="3">
        <v>46189</v>
      </c>
      <c r="B93">
        <v>28</v>
      </c>
      <c r="C93">
        <v>261</v>
      </c>
      <c r="D93">
        <v>2</v>
      </c>
      <c r="E93">
        <v>222</v>
      </c>
      <c r="F93">
        <v>13</v>
      </c>
      <c r="G93">
        <v>6</v>
      </c>
      <c r="H93">
        <v>206</v>
      </c>
      <c r="I93">
        <v>188</v>
      </c>
      <c r="J93" s="4">
        <v>0.82835820895522383</v>
      </c>
      <c r="K93" s="4">
        <v>0.82835820895522383</v>
      </c>
      <c r="L93">
        <v>0</v>
      </c>
      <c r="M93" s="4">
        <v>0.70149253731343286</v>
      </c>
      <c r="N93" s="4">
        <v>0.70149253731343286</v>
      </c>
      <c r="O93">
        <v>0</v>
      </c>
    </row>
    <row r="94" spans="1:15" x14ac:dyDescent="0.25">
      <c r="A94" s="3">
        <v>46190</v>
      </c>
      <c r="B94">
        <v>0</v>
      </c>
      <c r="C94">
        <v>261</v>
      </c>
      <c r="D94">
        <v>9</v>
      </c>
      <c r="E94">
        <v>231</v>
      </c>
      <c r="F94">
        <v>0</v>
      </c>
      <c r="G94">
        <v>10</v>
      </c>
      <c r="H94">
        <v>206</v>
      </c>
      <c r="I94">
        <v>198</v>
      </c>
      <c r="J94" s="4">
        <v>0.86194029850746268</v>
      </c>
      <c r="K94" s="4">
        <v>0.86194029850746268</v>
      </c>
      <c r="L94">
        <v>0</v>
      </c>
      <c r="M94" s="4">
        <v>0.73880597014925375</v>
      </c>
      <c r="N94" s="4">
        <v>0.73880597014925375</v>
      </c>
      <c r="O94">
        <v>0</v>
      </c>
    </row>
    <row r="95" spans="1:15" x14ac:dyDescent="0.25">
      <c r="A95" s="3">
        <v>46191</v>
      </c>
      <c r="B95">
        <v>0</v>
      </c>
      <c r="C95">
        <v>261</v>
      </c>
      <c r="D95">
        <v>3</v>
      </c>
      <c r="E95">
        <v>234</v>
      </c>
      <c r="F95">
        <v>0</v>
      </c>
      <c r="G95">
        <v>5</v>
      </c>
      <c r="H95">
        <v>206</v>
      </c>
      <c r="I95">
        <v>203</v>
      </c>
      <c r="J95" s="4">
        <v>0.87313432835820892</v>
      </c>
      <c r="K95" s="4">
        <v>0.87313432835820892</v>
      </c>
      <c r="L95">
        <v>0</v>
      </c>
      <c r="M95" s="4">
        <v>0.7574626865671642</v>
      </c>
      <c r="N95" s="4">
        <v>0.7574626865671642</v>
      </c>
      <c r="O95">
        <v>0</v>
      </c>
    </row>
    <row r="96" spans="1:15" x14ac:dyDescent="0.25">
      <c r="A96" s="3">
        <v>46192</v>
      </c>
      <c r="B96">
        <v>3</v>
      </c>
      <c r="C96">
        <v>264</v>
      </c>
      <c r="D96">
        <v>14</v>
      </c>
      <c r="E96">
        <v>248</v>
      </c>
      <c r="F96">
        <v>6</v>
      </c>
      <c r="G96">
        <v>14</v>
      </c>
      <c r="H96">
        <v>212</v>
      </c>
      <c r="I96">
        <v>217</v>
      </c>
      <c r="J96" s="4">
        <v>0.92537313432835822</v>
      </c>
      <c r="K96" s="4">
        <v>0.92537313432835822</v>
      </c>
      <c r="L96">
        <v>0</v>
      </c>
      <c r="M96" s="4">
        <v>0.80970149253731338</v>
      </c>
      <c r="N96" s="4">
        <v>0.80970149253731338</v>
      </c>
      <c r="O96">
        <v>0</v>
      </c>
    </row>
    <row r="97" spans="1:15" x14ac:dyDescent="0.25">
      <c r="A97" s="3">
        <v>46193</v>
      </c>
      <c r="B97">
        <v>4</v>
      </c>
      <c r="C97">
        <v>268</v>
      </c>
      <c r="D97">
        <v>0</v>
      </c>
      <c r="E97">
        <v>248</v>
      </c>
      <c r="F97">
        <v>3</v>
      </c>
      <c r="G97">
        <v>0</v>
      </c>
      <c r="H97">
        <v>215</v>
      </c>
      <c r="I97">
        <v>217</v>
      </c>
      <c r="J97" s="4">
        <v>0.92537313432835822</v>
      </c>
      <c r="K97" s="4">
        <v>0.92537313432835822</v>
      </c>
      <c r="L97">
        <v>0</v>
      </c>
      <c r="M97" s="4">
        <v>0.80970149253731338</v>
      </c>
      <c r="N97" s="4">
        <v>0.80970149253731338</v>
      </c>
      <c r="O97">
        <v>0</v>
      </c>
    </row>
    <row r="98" spans="1:15" x14ac:dyDescent="0.25">
      <c r="A98" s="3">
        <v>46194</v>
      </c>
      <c r="B98">
        <v>0</v>
      </c>
      <c r="C98">
        <v>268</v>
      </c>
      <c r="D98">
        <v>0</v>
      </c>
      <c r="E98">
        <v>248</v>
      </c>
      <c r="F98">
        <v>14</v>
      </c>
      <c r="G98">
        <v>0</v>
      </c>
      <c r="H98">
        <v>229</v>
      </c>
      <c r="I98">
        <v>217</v>
      </c>
      <c r="J98" s="4">
        <v>0.92537313432835822</v>
      </c>
      <c r="K98" s="4">
        <v>0.92537313432835822</v>
      </c>
      <c r="L98">
        <v>0</v>
      </c>
      <c r="M98" s="4">
        <v>0.80970149253731338</v>
      </c>
      <c r="N98" s="4">
        <v>0.80970149253731338</v>
      </c>
      <c r="O98">
        <v>0</v>
      </c>
    </row>
    <row r="99" spans="1:15" x14ac:dyDescent="0.25">
      <c r="A99" s="3">
        <v>46195</v>
      </c>
      <c r="B99">
        <v>0</v>
      </c>
      <c r="C99">
        <v>268</v>
      </c>
      <c r="D99">
        <v>8</v>
      </c>
      <c r="E99">
        <v>256</v>
      </c>
      <c r="F99">
        <v>9</v>
      </c>
      <c r="G99">
        <v>3</v>
      </c>
      <c r="H99">
        <v>238</v>
      </c>
      <c r="I99">
        <v>220</v>
      </c>
      <c r="J99" s="4">
        <v>0.95522388059701491</v>
      </c>
      <c r="K99" s="4">
        <v>0.95522388059701491</v>
      </c>
      <c r="L99">
        <v>0</v>
      </c>
      <c r="M99" s="4">
        <v>0.82089552238805974</v>
      </c>
      <c r="N99" s="4">
        <v>0.82089552238805974</v>
      </c>
      <c r="O99">
        <v>0</v>
      </c>
    </row>
    <row r="100" spans="1:15" x14ac:dyDescent="0.25">
      <c r="A100" s="3">
        <v>46196</v>
      </c>
      <c r="B100">
        <v>0</v>
      </c>
      <c r="C100">
        <v>268</v>
      </c>
      <c r="D100">
        <v>9</v>
      </c>
      <c r="E100">
        <v>265</v>
      </c>
      <c r="F100">
        <v>29</v>
      </c>
      <c r="G100">
        <v>4</v>
      </c>
      <c r="H100">
        <v>267</v>
      </c>
      <c r="I100">
        <v>224</v>
      </c>
      <c r="J100" s="4">
        <v>0.98880597014925375</v>
      </c>
      <c r="K100" s="4">
        <v>0.98880597014925375</v>
      </c>
      <c r="L100">
        <v>0</v>
      </c>
      <c r="M100" s="4">
        <v>0.83582089552238803</v>
      </c>
      <c r="N100" s="4">
        <v>0.83582089552238803</v>
      </c>
      <c r="O100">
        <v>0</v>
      </c>
    </row>
    <row r="101" spans="1:15" x14ac:dyDescent="0.25">
      <c r="A101" s="3">
        <v>46197</v>
      </c>
      <c r="B101">
        <v>0</v>
      </c>
      <c r="C101">
        <v>268</v>
      </c>
      <c r="D101">
        <v>0</v>
      </c>
      <c r="E101">
        <v>265</v>
      </c>
      <c r="F101">
        <v>15</v>
      </c>
      <c r="G101">
        <v>15</v>
      </c>
      <c r="H101">
        <v>267</v>
      </c>
      <c r="I101">
        <v>239</v>
      </c>
      <c r="J101" s="4">
        <v>0.98880597014925375</v>
      </c>
      <c r="K101" s="4">
        <v>0.98880597014925375</v>
      </c>
      <c r="L101">
        <v>0</v>
      </c>
      <c r="M101" s="4">
        <v>0.89179104477611937</v>
      </c>
      <c r="N101" s="4">
        <v>0.89179104477611937</v>
      </c>
      <c r="O101">
        <v>0</v>
      </c>
    </row>
    <row r="102" spans="1:15" x14ac:dyDescent="0.25">
      <c r="A102" s="3">
        <v>46198</v>
      </c>
      <c r="B102">
        <v>0</v>
      </c>
      <c r="C102">
        <v>268</v>
      </c>
      <c r="D102">
        <v>0</v>
      </c>
      <c r="E102">
        <v>265</v>
      </c>
      <c r="F102">
        <v>8</v>
      </c>
      <c r="G102">
        <v>8</v>
      </c>
      <c r="H102">
        <v>267</v>
      </c>
      <c r="I102">
        <v>247</v>
      </c>
      <c r="J102" s="4">
        <v>0.98880597014925375</v>
      </c>
      <c r="K102" s="4">
        <v>0.98880597014925375</v>
      </c>
      <c r="L102">
        <v>0</v>
      </c>
      <c r="M102" s="4">
        <v>0.92164179104477617</v>
      </c>
      <c r="N102" s="4">
        <v>0.92164179104477617</v>
      </c>
      <c r="O102">
        <v>0</v>
      </c>
    </row>
    <row r="103" spans="1:15" x14ac:dyDescent="0.25">
      <c r="A103" s="3">
        <v>46199</v>
      </c>
      <c r="B103">
        <v>1</v>
      </c>
      <c r="C103">
        <v>268</v>
      </c>
      <c r="D103">
        <v>1</v>
      </c>
      <c r="E103">
        <v>266</v>
      </c>
      <c r="F103">
        <v>14</v>
      </c>
      <c r="G103">
        <v>14</v>
      </c>
      <c r="H103">
        <v>268</v>
      </c>
      <c r="I103">
        <v>261</v>
      </c>
      <c r="J103" s="4">
        <v>0.9925373134328358</v>
      </c>
      <c r="K103" s="4">
        <v>0.9925373134328358</v>
      </c>
      <c r="L103">
        <v>0</v>
      </c>
      <c r="M103" s="4">
        <v>0.97388059701492535</v>
      </c>
      <c r="N103" s="4">
        <v>0.97388059701492535</v>
      </c>
      <c r="O103">
        <v>0</v>
      </c>
    </row>
    <row r="104" spans="1:15" x14ac:dyDescent="0.25">
      <c r="A104" s="3">
        <v>46200</v>
      </c>
      <c r="B104">
        <v>0</v>
      </c>
      <c r="C104">
        <v>268</v>
      </c>
      <c r="D104">
        <v>0</v>
      </c>
      <c r="E104">
        <v>266</v>
      </c>
      <c r="F104">
        <v>0</v>
      </c>
      <c r="G104">
        <v>0</v>
      </c>
      <c r="H104">
        <v>268</v>
      </c>
      <c r="I104">
        <v>261</v>
      </c>
      <c r="J104" s="4">
        <v>0.9925373134328358</v>
      </c>
      <c r="K104" s="4">
        <v>0.9925373134328358</v>
      </c>
      <c r="L104">
        <v>0</v>
      </c>
      <c r="M104" s="4">
        <v>0.97388059701492535</v>
      </c>
      <c r="N104" s="4">
        <v>0.97388059701492535</v>
      </c>
      <c r="O104">
        <v>0</v>
      </c>
    </row>
    <row r="105" spans="1:15" x14ac:dyDescent="0.25">
      <c r="A105" s="3">
        <v>46201</v>
      </c>
      <c r="B105">
        <v>0</v>
      </c>
      <c r="C105">
        <v>268</v>
      </c>
      <c r="D105">
        <v>0</v>
      </c>
      <c r="E105">
        <v>266</v>
      </c>
      <c r="F105">
        <v>0</v>
      </c>
      <c r="G105">
        <v>0</v>
      </c>
      <c r="H105">
        <v>268</v>
      </c>
      <c r="I105">
        <v>261</v>
      </c>
      <c r="J105" s="4">
        <v>0.9925373134328358</v>
      </c>
      <c r="K105" s="4">
        <v>0.9925373134328358</v>
      </c>
      <c r="L105">
        <v>0</v>
      </c>
      <c r="M105" s="4">
        <v>0.97388059701492535</v>
      </c>
      <c r="N105" s="4">
        <v>0.97388059701492535</v>
      </c>
      <c r="O105">
        <v>0</v>
      </c>
    </row>
    <row r="106" spans="1:15" x14ac:dyDescent="0.25">
      <c r="A106" s="3">
        <v>46202</v>
      </c>
      <c r="B106">
        <v>0</v>
      </c>
      <c r="C106">
        <v>268</v>
      </c>
      <c r="D106">
        <v>0</v>
      </c>
      <c r="E106">
        <v>266</v>
      </c>
      <c r="F106">
        <v>1</v>
      </c>
      <c r="G106">
        <v>1</v>
      </c>
      <c r="H106">
        <v>268</v>
      </c>
      <c r="I106">
        <v>262</v>
      </c>
      <c r="J106" s="4">
        <v>0.9925373134328358</v>
      </c>
      <c r="K106" s="4">
        <v>0.9925373134328358</v>
      </c>
      <c r="L106">
        <v>0</v>
      </c>
      <c r="M106" s="4">
        <v>0.97761194029850751</v>
      </c>
      <c r="N106" s="4">
        <v>0.97761194029850751</v>
      </c>
      <c r="O106">
        <v>0</v>
      </c>
    </row>
    <row r="107" spans="1:15" x14ac:dyDescent="0.25">
      <c r="A107" s="3">
        <v>46203</v>
      </c>
      <c r="B107">
        <v>1</v>
      </c>
      <c r="C107">
        <v>268</v>
      </c>
      <c r="D107">
        <v>1</v>
      </c>
      <c r="E107">
        <v>267</v>
      </c>
      <c r="F107">
        <v>2</v>
      </c>
      <c r="G107">
        <v>2</v>
      </c>
      <c r="H107">
        <v>268</v>
      </c>
      <c r="I107">
        <v>264</v>
      </c>
      <c r="J107" s="4">
        <v>0.99626865671641796</v>
      </c>
      <c r="K107" s="4">
        <v>0.99626865671641796</v>
      </c>
      <c r="L107">
        <v>0</v>
      </c>
      <c r="M107" s="4">
        <v>0.9850746268656716</v>
      </c>
      <c r="N107" s="4">
        <v>0.9850746268656716</v>
      </c>
      <c r="O107">
        <v>0</v>
      </c>
    </row>
    <row r="108" spans="1:15" x14ac:dyDescent="0.25">
      <c r="A108" s="3">
        <v>46204</v>
      </c>
      <c r="B108">
        <v>0</v>
      </c>
      <c r="C108">
        <v>268</v>
      </c>
      <c r="D108">
        <v>0</v>
      </c>
      <c r="E108">
        <v>267</v>
      </c>
      <c r="F108">
        <v>0</v>
      </c>
      <c r="G108">
        <v>0</v>
      </c>
      <c r="H108">
        <v>268</v>
      </c>
      <c r="I108">
        <v>264</v>
      </c>
      <c r="J108" s="4">
        <v>0.99626865671641796</v>
      </c>
      <c r="K108" s="4">
        <v>0.99626865671641796</v>
      </c>
      <c r="L108">
        <v>0</v>
      </c>
      <c r="M108" s="4">
        <v>0.9850746268656716</v>
      </c>
      <c r="N108" s="4">
        <v>0.9850746268656716</v>
      </c>
      <c r="O108">
        <v>0</v>
      </c>
    </row>
    <row r="109" spans="1:15" x14ac:dyDescent="0.25">
      <c r="A109" s="3">
        <v>46205</v>
      </c>
      <c r="B109">
        <v>1</v>
      </c>
      <c r="C109">
        <v>268</v>
      </c>
      <c r="D109">
        <v>0</v>
      </c>
      <c r="E109">
        <v>267</v>
      </c>
      <c r="F109">
        <v>4</v>
      </c>
      <c r="G109">
        <v>0</v>
      </c>
      <c r="H109">
        <v>268</v>
      </c>
      <c r="I109">
        <v>264</v>
      </c>
      <c r="J109" s="4">
        <v>1</v>
      </c>
      <c r="K109" s="4">
        <v>0.99626865671641796</v>
      </c>
      <c r="L109">
        <v>-1</v>
      </c>
      <c r="M109" s="4">
        <v>1</v>
      </c>
      <c r="N109" s="4">
        <v>0.9850746268656716</v>
      </c>
      <c r="O109">
        <v>-1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P1363"/>
  <sheetViews>
    <sheetView workbookViewId="0">
      <selection activeCell="E1" sqref="E1:E1048576"/>
    </sheetView>
  </sheetViews>
  <sheetFormatPr defaultRowHeight="15" x14ac:dyDescent="0.25"/>
  <cols>
    <col min="1" max="1" width="5" bestFit="1" customWidth="1"/>
    <col min="2" max="2" width="9.28515625" bestFit="1" customWidth="1"/>
    <col min="3" max="3" width="37.7109375" bestFit="1" customWidth="1"/>
    <col min="4" max="4" width="44.140625" bestFit="1" customWidth="1"/>
    <col min="5" max="5" width="13.7109375" style="4" bestFit="1" customWidth="1"/>
    <col min="6" max="6" width="10.42578125" bestFit="1" customWidth="1"/>
    <col min="7" max="7" width="14.28515625" bestFit="1" customWidth="1"/>
    <col min="8" max="9" width="10.7109375" style="3" bestFit="1" customWidth="1"/>
    <col min="10" max="10" width="23.42578125" bestFit="1" customWidth="1"/>
    <col min="11" max="11" width="25.85546875" style="3" bestFit="1" customWidth="1"/>
    <col min="12" max="12" width="14.28515625" style="3" bestFit="1" customWidth="1"/>
    <col min="13" max="13" width="17" style="3" bestFit="1" customWidth="1"/>
    <col min="14" max="14" width="14.5703125" style="3" bestFit="1" customWidth="1"/>
    <col min="15" max="15" width="12.7109375" bestFit="1" customWidth="1"/>
    <col min="16" max="16" width="9.5703125" bestFit="1" customWidth="1"/>
    <col min="17" max="17" width="90.7109375" bestFit="1" customWidth="1"/>
    <col min="18" max="18" width="26.140625" bestFit="1" customWidth="1"/>
    <col min="19" max="19" width="23.140625" bestFit="1" customWidth="1"/>
    <col min="20" max="20" width="33.140625" bestFit="1" customWidth="1"/>
    <col min="21" max="21" width="110.5703125" bestFit="1" customWidth="1"/>
    <col min="22" max="22" width="16.7109375" bestFit="1" customWidth="1"/>
    <col min="23" max="23" width="24.140625" bestFit="1" customWidth="1"/>
    <col min="24" max="24" width="8.85546875" bestFit="1" customWidth="1"/>
    <col min="25" max="25" width="21" bestFit="1" customWidth="1"/>
    <col min="26" max="26" width="23.140625" bestFit="1" customWidth="1"/>
    <col min="27" max="27" width="14.5703125" bestFit="1" customWidth="1"/>
    <col min="28" max="28" width="14.140625" bestFit="1" customWidth="1"/>
    <col min="29" max="29" width="14.28515625" bestFit="1" customWidth="1"/>
    <col min="30" max="30" width="17.42578125" bestFit="1" customWidth="1"/>
    <col min="31" max="31" width="9.5703125" bestFit="1" customWidth="1"/>
    <col min="32" max="32" width="21" bestFit="1" customWidth="1"/>
    <col min="33" max="33" width="25.42578125" bestFit="1" customWidth="1"/>
    <col min="34" max="34" width="24.7109375" bestFit="1" customWidth="1"/>
    <col min="35" max="35" width="17.28515625" bestFit="1" customWidth="1"/>
    <col min="36" max="36" width="30.42578125" bestFit="1" customWidth="1"/>
    <col min="37" max="37" width="27.140625" bestFit="1" customWidth="1"/>
    <col min="38" max="38" width="38.28515625" bestFit="1" customWidth="1"/>
    <col min="39" max="39" width="23.85546875" bestFit="1" customWidth="1"/>
    <col min="40" max="40" width="21.7109375" bestFit="1" customWidth="1"/>
    <col min="41" max="41" width="21" bestFit="1" customWidth="1"/>
    <col min="42" max="42" width="12.28515625" bestFit="1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s="4" t="s">
        <v>4</v>
      </c>
      <c r="F1" t="s">
        <v>5</v>
      </c>
      <c r="G1" t="s">
        <v>6</v>
      </c>
      <c r="H1" s="3" t="s">
        <v>7</v>
      </c>
      <c r="I1" s="3" t="s">
        <v>8</v>
      </c>
      <c r="J1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>
        <v>2</v>
      </c>
      <c r="B2" t="s">
        <v>51</v>
      </c>
      <c r="C2" t="s">
        <v>52</v>
      </c>
      <c r="D2" t="s">
        <v>53</v>
      </c>
      <c r="E2" s="4">
        <v>1</v>
      </c>
      <c r="F2" t="s">
        <v>54</v>
      </c>
      <c r="G2" t="s">
        <v>54</v>
      </c>
      <c r="H2" s="3">
        <v>46098</v>
      </c>
      <c r="I2" s="3">
        <v>46190</v>
      </c>
      <c r="J2" t="s">
        <v>45</v>
      </c>
      <c r="K2" s="3">
        <v>46169</v>
      </c>
      <c r="L2" s="3">
        <v>46098</v>
      </c>
      <c r="M2" s="3">
        <v>46190</v>
      </c>
      <c r="N2" s="3">
        <v>46190</v>
      </c>
      <c r="O2" t="s">
        <v>45</v>
      </c>
      <c r="P2" t="s">
        <v>55</v>
      </c>
      <c r="S2" t="s">
        <v>47</v>
      </c>
      <c r="V2" t="s">
        <v>56</v>
      </c>
      <c r="X2" t="s">
        <v>57</v>
      </c>
      <c r="Z2" t="s">
        <v>47</v>
      </c>
      <c r="AA2" t="s">
        <v>50</v>
      </c>
      <c r="AE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>
        <v>3</v>
      </c>
      <c r="B3" t="s">
        <v>58</v>
      </c>
      <c r="C3" t="s">
        <v>59</v>
      </c>
      <c r="D3" t="s">
        <v>60</v>
      </c>
      <c r="E3" s="4">
        <v>1</v>
      </c>
      <c r="F3" t="s">
        <v>61</v>
      </c>
      <c r="G3" t="s">
        <v>61</v>
      </c>
      <c r="H3" s="3">
        <v>46098</v>
      </c>
      <c r="I3" s="3">
        <v>46098</v>
      </c>
      <c r="J3" t="s">
        <v>45</v>
      </c>
      <c r="K3" s="3">
        <v>46098</v>
      </c>
      <c r="L3" s="3">
        <v>46098</v>
      </c>
      <c r="M3" s="3">
        <v>46098</v>
      </c>
      <c r="N3" s="3">
        <v>46098</v>
      </c>
      <c r="O3" t="s">
        <v>45</v>
      </c>
      <c r="P3" t="s">
        <v>55</v>
      </c>
      <c r="U3" t="s">
        <v>62</v>
      </c>
      <c r="V3" t="s">
        <v>63</v>
      </c>
      <c r="X3" t="s">
        <v>57</v>
      </c>
      <c r="AA3" t="s">
        <v>64</v>
      </c>
      <c r="AE3">
        <v>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>
        <v>4</v>
      </c>
      <c r="B4" t="s">
        <v>65</v>
      </c>
      <c r="C4" t="s">
        <v>59</v>
      </c>
      <c r="D4" t="s">
        <v>66</v>
      </c>
      <c r="E4" s="4">
        <v>1</v>
      </c>
      <c r="F4" t="s">
        <v>61</v>
      </c>
      <c r="G4" t="s">
        <v>61</v>
      </c>
      <c r="H4" s="3">
        <v>46155</v>
      </c>
      <c r="I4" s="3">
        <v>46155</v>
      </c>
      <c r="J4" t="s">
        <v>67</v>
      </c>
      <c r="K4" s="3">
        <v>46136</v>
      </c>
      <c r="L4" s="3">
        <v>46136</v>
      </c>
      <c r="M4" s="3">
        <v>46155</v>
      </c>
      <c r="N4" s="3">
        <v>46155</v>
      </c>
      <c r="O4" t="s">
        <v>68</v>
      </c>
      <c r="P4" t="s">
        <v>55</v>
      </c>
      <c r="Q4" t="s">
        <v>69</v>
      </c>
      <c r="U4" t="s">
        <v>70</v>
      </c>
      <c r="V4" t="s">
        <v>63</v>
      </c>
      <c r="X4" t="s">
        <v>57</v>
      </c>
      <c r="AA4" t="s">
        <v>71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>
        <v>5</v>
      </c>
      <c r="B5" t="s">
        <v>72</v>
      </c>
      <c r="C5" t="s">
        <v>59</v>
      </c>
      <c r="D5" t="s">
        <v>73</v>
      </c>
      <c r="E5" s="4">
        <v>1</v>
      </c>
      <c r="F5" t="s">
        <v>63</v>
      </c>
      <c r="G5" t="s">
        <v>63</v>
      </c>
      <c r="H5" s="3">
        <v>46190</v>
      </c>
      <c r="I5" s="3">
        <v>46190</v>
      </c>
      <c r="J5" t="s">
        <v>74</v>
      </c>
      <c r="K5" s="3">
        <v>46167</v>
      </c>
      <c r="L5" s="3">
        <v>46167</v>
      </c>
      <c r="M5" s="3">
        <v>46190</v>
      </c>
      <c r="N5" s="3">
        <v>46190</v>
      </c>
      <c r="O5" t="s">
        <v>75</v>
      </c>
      <c r="P5" t="s">
        <v>55</v>
      </c>
      <c r="Q5" t="s">
        <v>76</v>
      </c>
      <c r="V5" t="s">
        <v>63</v>
      </c>
      <c r="X5" t="s">
        <v>57</v>
      </c>
      <c r="AA5" t="s">
        <v>77</v>
      </c>
      <c r="AE5">
        <v>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>
        <v>6</v>
      </c>
      <c r="B6" t="s">
        <v>78</v>
      </c>
      <c r="C6" t="s">
        <v>59</v>
      </c>
      <c r="D6" t="s">
        <v>79</v>
      </c>
      <c r="E6" s="4">
        <v>1</v>
      </c>
      <c r="F6" t="s">
        <v>61</v>
      </c>
      <c r="G6" t="s">
        <v>61</v>
      </c>
      <c r="H6" s="3">
        <v>46122</v>
      </c>
      <c r="I6" s="3">
        <v>46122</v>
      </c>
      <c r="J6" t="s">
        <v>80</v>
      </c>
      <c r="K6" s="3">
        <v>46122</v>
      </c>
      <c r="L6" s="3">
        <v>46122</v>
      </c>
      <c r="M6" s="3">
        <v>46122</v>
      </c>
      <c r="N6" s="3">
        <v>46122</v>
      </c>
      <c r="O6" t="s">
        <v>80</v>
      </c>
      <c r="P6" t="s">
        <v>55</v>
      </c>
      <c r="U6" t="s">
        <v>81</v>
      </c>
      <c r="V6" t="s">
        <v>61</v>
      </c>
      <c r="X6" t="s">
        <v>57</v>
      </c>
      <c r="AA6" t="s">
        <v>82</v>
      </c>
      <c r="AE6">
        <v>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>
        <v>7</v>
      </c>
      <c r="B7" t="s">
        <v>83</v>
      </c>
      <c r="C7" t="s">
        <v>59</v>
      </c>
      <c r="D7" t="s">
        <v>84</v>
      </c>
      <c r="E7" s="4">
        <v>1</v>
      </c>
      <c r="F7" t="s">
        <v>61</v>
      </c>
      <c r="G7" t="s">
        <v>61</v>
      </c>
      <c r="H7" s="3">
        <v>46140</v>
      </c>
      <c r="I7" s="3">
        <v>46141</v>
      </c>
      <c r="J7" t="s">
        <v>85</v>
      </c>
      <c r="K7" s="3">
        <v>46140</v>
      </c>
      <c r="L7" s="3">
        <v>46140</v>
      </c>
      <c r="M7" s="3">
        <v>46141</v>
      </c>
      <c r="N7" s="3">
        <v>46141</v>
      </c>
      <c r="O7" t="s">
        <v>85</v>
      </c>
      <c r="P7" t="s">
        <v>55</v>
      </c>
      <c r="Q7" t="s">
        <v>86</v>
      </c>
      <c r="U7" t="s">
        <v>87</v>
      </c>
      <c r="V7" t="s">
        <v>63</v>
      </c>
      <c r="X7" t="s">
        <v>57</v>
      </c>
      <c r="AA7" t="s">
        <v>71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>
        <v>8</v>
      </c>
      <c r="B8" t="s">
        <v>88</v>
      </c>
      <c r="C8" t="s">
        <v>59</v>
      </c>
      <c r="D8" t="s">
        <v>89</v>
      </c>
      <c r="E8" s="4">
        <v>1</v>
      </c>
      <c r="F8" t="s">
        <v>61</v>
      </c>
      <c r="G8" t="s">
        <v>61</v>
      </c>
      <c r="H8" s="3">
        <v>46161</v>
      </c>
      <c r="I8" s="3">
        <v>46161</v>
      </c>
      <c r="J8" t="s">
        <v>68</v>
      </c>
      <c r="K8" s="3">
        <v>46155</v>
      </c>
      <c r="L8" s="3">
        <v>46155</v>
      </c>
      <c r="M8" s="3">
        <v>46161</v>
      </c>
      <c r="N8" s="3">
        <v>46161</v>
      </c>
      <c r="O8" t="s">
        <v>90</v>
      </c>
      <c r="P8" t="s">
        <v>55</v>
      </c>
      <c r="Q8" t="s">
        <v>91</v>
      </c>
      <c r="U8" t="s">
        <v>92</v>
      </c>
      <c r="V8" t="s">
        <v>63</v>
      </c>
      <c r="X8" t="s">
        <v>57</v>
      </c>
      <c r="AA8" t="s">
        <v>93</v>
      </c>
      <c r="AB8" t="s">
        <v>94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>
        <v>10</v>
      </c>
      <c r="B9" t="s">
        <v>95</v>
      </c>
      <c r="C9" t="s">
        <v>59</v>
      </c>
      <c r="D9" t="s">
        <v>96</v>
      </c>
      <c r="E9" s="4">
        <v>1</v>
      </c>
      <c r="F9" t="s">
        <v>63</v>
      </c>
      <c r="G9" t="s">
        <v>63</v>
      </c>
      <c r="H9" s="3">
        <v>46169</v>
      </c>
      <c r="I9" s="3">
        <v>46169</v>
      </c>
      <c r="J9" t="s">
        <v>97</v>
      </c>
      <c r="K9" s="3">
        <v>46169</v>
      </c>
      <c r="L9" s="3">
        <v>46169</v>
      </c>
      <c r="M9" s="3">
        <v>46169</v>
      </c>
      <c r="N9" s="3">
        <v>46169</v>
      </c>
      <c r="O9" t="s">
        <v>97</v>
      </c>
      <c r="P9" t="s">
        <v>55</v>
      </c>
      <c r="Q9" t="s">
        <v>98</v>
      </c>
      <c r="U9">
        <v>535</v>
      </c>
      <c r="V9" t="s">
        <v>63</v>
      </c>
      <c r="X9" t="s">
        <v>57</v>
      </c>
      <c r="AA9" t="s">
        <v>77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>
        <v>11</v>
      </c>
      <c r="B10" t="s">
        <v>99</v>
      </c>
      <c r="C10" t="s">
        <v>52</v>
      </c>
      <c r="D10" t="s">
        <v>100</v>
      </c>
      <c r="E10" s="4">
        <v>1</v>
      </c>
      <c r="F10" t="s">
        <v>101</v>
      </c>
      <c r="G10" t="s">
        <v>101</v>
      </c>
      <c r="H10" s="3">
        <v>46098</v>
      </c>
      <c r="I10" s="3">
        <v>46101</v>
      </c>
      <c r="J10" t="s">
        <v>45</v>
      </c>
      <c r="K10" s="3">
        <v>46101</v>
      </c>
      <c r="L10" s="3">
        <v>46098</v>
      </c>
      <c r="M10" s="3">
        <v>46101</v>
      </c>
      <c r="N10" s="3">
        <v>46101</v>
      </c>
      <c r="O10" t="s">
        <v>45</v>
      </c>
      <c r="P10" t="s">
        <v>55</v>
      </c>
      <c r="S10" t="s">
        <v>47</v>
      </c>
      <c r="V10" t="s">
        <v>101</v>
      </c>
      <c r="X10" t="s">
        <v>57</v>
      </c>
      <c r="Z10" t="s">
        <v>47</v>
      </c>
      <c r="AA10" t="s">
        <v>50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>
        <v>12</v>
      </c>
      <c r="B11" t="s">
        <v>102</v>
      </c>
      <c r="C11" t="s">
        <v>103</v>
      </c>
      <c r="D11" t="s">
        <v>104</v>
      </c>
      <c r="E11" s="4">
        <v>1</v>
      </c>
      <c r="F11" t="s">
        <v>101</v>
      </c>
      <c r="G11" t="s">
        <v>101</v>
      </c>
      <c r="H11" s="3">
        <v>46098</v>
      </c>
      <c r="I11" s="3">
        <v>46101</v>
      </c>
      <c r="J11" t="s">
        <v>45</v>
      </c>
      <c r="K11" s="3">
        <v>46101</v>
      </c>
      <c r="L11" s="3">
        <v>46098</v>
      </c>
      <c r="M11" s="3">
        <v>46101</v>
      </c>
      <c r="N11" s="3">
        <v>46101</v>
      </c>
      <c r="O11" t="s">
        <v>45</v>
      </c>
      <c r="P11" t="s">
        <v>55</v>
      </c>
      <c r="Q11">
        <v>3</v>
      </c>
      <c r="U11" t="s">
        <v>105</v>
      </c>
      <c r="V11" t="s">
        <v>101</v>
      </c>
      <c r="X11" t="s">
        <v>57</v>
      </c>
      <c r="AA11" t="s">
        <v>64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>
        <v>13</v>
      </c>
      <c r="B12" t="s">
        <v>106</v>
      </c>
      <c r="C12" t="s">
        <v>103</v>
      </c>
      <c r="D12" t="s">
        <v>107</v>
      </c>
      <c r="E12" s="4">
        <v>1</v>
      </c>
      <c r="F12" t="s">
        <v>101</v>
      </c>
      <c r="G12" t="s">
        <v>101</v>
      </c>
      <c r="H12" s="3">
        <v>46098</v>
      </c>
      <c r="I12" s="3">
        <v>46101</v>
      </c>
      <c r="J12" t="s">
        <v>45</v>
      </c>
      <c r="K12" s="3">
        <v>46101</v>
      </c>
      <c r="L12" s="3">
        <v>46098</v>
      </c>
      <c r="M12" s="3">
        <v>46101</v>
      </c>
      <c r="N12" s="3">
        <v>46101</v>
      </c>
      <c r="O12" t="s">
        <v>45</v>
      </c>
      <c r="P12" t="s">
        <v>55</v>
      </c>
      <c r="Q12">
        <v>3</v>
      </c>
      <c r="V12" t="s">
        <v>101</v>
      </c>
      <c r="X12" t="s">
        <v>57</v>
      </c>
      <c r="AA12" t="s">
        <v>64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>
        <v>14</v>
      </c>
      <c r="B13" t="s">
        <v>108</v>
      </c>
      <c r="C13" t="s">
        <v>52</v>
      </c>
      <c r="D13" t="s">
        <v>109</v>
      </c>
      <c r="E13" s="4">
        <v>1</v>
      </c>
      <c r="F13" t="s">
        <v>110</v>
      </c>
      <c r="G13" t="s">
        <v>110</v>
      </c>
      <c r="H13" s="3">
        <v>46098</v>
      </c>
      <c r="I13" s="3">
        <v>46128</v>
      </c>
      <c r="J13" t="s">
        <v>45</v>
      </c>
      <c r="K13" s="3">
        <v>46199</v>
      </c>
      <c r="L13" s="3">
        <v>46098</v>
      </c>
      <c r="M13" s="3">
        <v>46128</v>
      </c>
      <c r="N13" s="3">
        <v>46128</v>
      </c>
      <c r="O13" t="s">
        <v>45</v>
      </c>
      <c r="P13" t="s">
        <v>55</v>
      </c>
      <c r="V13" t="s">
        <v>48</v>
      </c>
      <c r="W13">
        <v>27</v>
      </c>
      <c r="X13" t="s">
        <v>57</v>
      </c>
      <c r="AA13" t="s">
        <v>50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>
        <v>15</v>
      </c>
      <c r="B14" t="s">
        <v>111</v>
      </c>
      <c r="C14" t="s">
        <v>112</v>
      </c>
      <c r="D14" t="s">
        <v>113</v>
      </c>
      <c r="E14" s="4">
        <v>1</v>
      </c>
      <c r="F14" t="s">
        <v>114</v>
      </c>
      <c r="G14" t="s">
        <v>114</v>
      </c>
      <c r="H14" s="3">
        <v>46098</v>
      </c>
      <c r="I14" s="3">
        <v>46108</v>
      </c>
      <c r="J14" t="s">
        <v>45</v>
      </c>
      <c r="K14" s="3">
        <v>46199</v>
      </c>
      <c r="L14" s="3">
        <v>46098</v>
      </c>
      <c r="M14" s="3">
        <v>46108</v>
      </c>
      <c r="N14" s="3">
        <v>46108</v>
      </c>
      <c r="O14" t="s">
        <v>45</v>
      </c>
      <c r="P14" t="s">
        <v>55</v>
      </c>
      <c r="T14" t="s">
        <v>112</v>
      </c>
      <c r="V14" t="s">
        <v>48</v>
      </c>
      <c r="W14">
        <v>15</v>
      </c>
      <c r="X14" t="s">
        <v>57</v>
      </c>
      <c r="AA14" t="s">
        <v>50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>
        <v>16</v>
      </c>
      <c r="B15" t="s">
        <v>115</v>
      </c>
      <c r="C15" t="s">
        <v>116</v>
      </c>
      <c r="D15" t="s">
        <v>117</v>
      </c>
      <c r="E15" s="4">
        <v>1</v>
      </c>
      <c r="F15" t="s">
        <v>101</v>
      </c>
      <c r="G15" t="s">
        <v>101</v>
      </c>
      <c r="H15" s="3">
        <v>46098</v>
      </c>
      <c r="I15" s="3">
        <v>46101</v>
      </c>
      <c r="J15" t="s">
        <v>45</v>
      </c>
      <c r="K15" s="3">
        <v>46101</v>
      </c>
      <c r="L15" s="3">
        <v>46098</v>
      </c>
      <c r="M15" s="3">
        <v>46101</v>
      </c>
      <c r="N15" s="3">
        <v>46101</v>
      </c>
      <c r="O15" t="s">
        <v>45</v>
      </c>
      <c r="P15" t="s">
        <v>55</v>
      </c>
      <c r="Q15">
        <v>3</v>
      </c>
      <c r="S15" t="s">
        <v>118</v>
      </c>
      <c r="T15" t="s">
        <v>112</v>
      </c>
      <c r="U15" t="s">
        <v>119</v>
      </c>
      <c r="V15" t="s">
        <v>101</v>
      </c>
      <c r="W15">
        <v>13.4</v>
      </c>
      <c r="X15" t="s">
        <v>57</v>
      </c>
      <c r="Z15" t="s">
        <v>118</v>
      </c>
      <c r="AA15" t="s">
        <v>64</v>
      </c>
      <c r="AE15">
        <v>1</v>
      </c>
      <c r="AF15">
        <v>1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1</v>
      </c>
    </row>
    <row r="16" spans="1:42" x14ac:dyDescent="0.25">
      <c r="A16">
        <v>17</v>
      </c>
      <c r="B16" t="s">
        <v>120</v>
      </c>
      <c r="C16" t="s">
        <v>116</v>
      </c>
      <c r="D16" t="s">
        <v>121</v>
      </c>
      <c r="E16" s="4">
        <v>1</v>
      </c>
      <c r="F16" t="s">
        <v>122</v>
      </c>
      <c r="G16" t="s">
        <v>122</v>
      </c>
      <c r="H16" s="3">
        <v>46104</v>
      </c>
      <c r="I16" s="3">
        <v>46106</v>
      </c>
      <c r="J16" t="s">
        <v>123</v>
      </c>
      <c r="K16" s="3">
        <v>46106</v>
      </c>
      <c r="L16" s="3">
        <v>46104</v>
      </c>
      <c r="M16" s="3">
        <v>46106</v>
      </c>
      <c r="N16" s="3">
        <v>46106</v>
      </c>
      <c r="O16" t="s">
        <v>123</v>
      </c>
      <c r="P16" t="s">
        <v>55</v>
      </c>
      <c r="Q16">
        <v>16</v>
      </c>
      <c r="S16" t="s">
        <v>124</v>
      </c>
      <c r="T16" t="s">
        <v>112</v>
      </c>
      <c r="U16">
        <v>18</v>
      </c>
      <c r="V16" t="s">
        <v>122</v>
      </c>
      <c r="W16">
        <v>13.4</v>
      </c>
      <c r="X16" t="s">
        <v>57</v>
      </c>
      <c r="Z16" t="s">
        <v>124</v>
      </c>
      <c r="AA16" t="s">
        <v>64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1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>
        <v>18</v>
      </c>
      <c r="B17" t="s">
        <v>125</v>
      </c>
      <c r="C17" t="s">
        <v>116</v>
      </c>
      <c r="D17" t="s">
        <v>126</v>
      </c>
      <c r="E17" s="4">
        <v>1</v>
      </c>
      <c r="F17" t="s">
        <v>127</v>
      </c>
      <c r="G17" t="s">
        <v>127</v>
      </c>
      <c r="H17" s="3">
        <v>46107</v>
      </c>
      <c r="I17" s="3">
        <v>46108</v>
      </c>
      <c r="J17" t="s">
        <v>128</v>
      </c>
      <c r="K17" s="3">
        <v>46198</v>
      </c>
      <c r="L17" s="3">
        <v>46198</v>
      </c>
      <c r="M17" s="3">
        <v>46108</v>
      </c>
      <c r="N17" s="3">
        <v>46108</v>
      </c>
      <c r="O17" t="s">
        <v>129</v>
      </c>
      <c r="P17" t="s">
        <v>55</v>
      </c>
      <c r="Q17" t="s">
        <v>130</v>
      </c>
      <c r="S17" t="s">
        <v>118</v>
      </c>
      <c r="T17" t="s">
        <v>112</v>
      </c>
      <c r="U17">
        <v>19</v>
      </c>
      <c r="V17" t="s">
        <v>63</v>
      </c>
      <c r="W17">
        <v>13.4</v>
      </c>
      <c r="X17" t="s">
        <v>57</v>
      </c>
      <c r="Z17" t="s">
        <v>118</v>
      </c>
      <c r="AA17" t="s">
        <v>131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1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>
        <v>19</v>
      </c>
      <c r="B18" t="s">
        <v>132</v>
      </c>
      <c r="C18" t="s">
        <v>116</v>
      </c>
      <c r="D18" t="s">
        <v>133</v>
      </c>
      <c r="E18" s="4">
        <v>1</v>
      </c>
      <c r="F18" t="s">
        <v>61</v>
      </c>
      <c r="G18" t="s">
        <v>61</v>
      </c>
      <c r="H18" s="3">
        <v>46108</v>
      </c>
      <c r="I18" s="3">
        <v>46108</v>
      </c>
      <c r="J18" t="s">
        <v>134</v>
      </c>
      <c r="K18" s="3">
        <v>46199</v>
      </c>
      <c r="L18" s="3">
        <v>46199</v>
      </c>
      <c r="M18" s="3">
        <v>46108</v>
      </c>
      <c r="N18" s="3">
        <v>46108</v>
      </c>
      <c r="O18" t="s">
        <v>135</v>
      </c>
      <c r="P18" t="s">
        <v>55</v>
      </c>
      <c r="Q18">
        <v>18</v>
      </c>
      <c r="S18" t="s">
        <v>124</v>
      </c>
      <c r="T18" t="s">
        <v>112</v>
      </c>
      <c r="V18" t="s">
        <v>61</v>
      </c>
      <c r="W18">
        <v>13.4</v>
      </c>
      <c r="X18" t="s">
        <v>57</v>
      </c>
      <c r="Z18" t="s">
        <v>124</v>
      </c>
      <c r="AA18" t="s">
        <v>131</v>
      </c>
      <c r="AE18">
        <v>1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0</v>
      </c>
      <c r="AP18">
        <v>0</v>
      </c>
    </row>
    <row r="19" spans="1:42" x14ac:dyDescent="0.25">
      <c r="A19">
        <v>20</v>
      </c>
      <c r="B19" t="s">
        <v>136</v>
      </c>
      <c r="C19" t="s">
        <v>112</v>
      </c>
      <c r="D19" t="s">
        <v>137</v>
      </c>
      <c r="E19" s="4">
        <v>1</v>
      </c>
      <c r="F19" t="s">
        <v>138</v>
      </c>
      <c r="G19" t="s">
        <v>138</v>
      </c>
      <c r="H19" s="3">
        <v>46122</v>
      </c>
      <c r="I19" s="3">
        <v>46128</v>
      </c>
      <c r="J19" t="s">
        <v>80</v>
      </c>
      <c r="K19" s="3">
        <v>46128</v>
      </c>
      <c r="L19" s="3">
        <v>46122</v>
      </c>
      <c r="M19" s="3">
        <v>46128</v>
      </c>
      <c r="N19" s="3">
        <v>46128</v>
      </c>
      <c r="O19" t="s">
        <v>80</v>
      </c>
      <c r="P19" t="s">
        <v>55</v>
      </c>
      <c r="T19" t="s">
        <v>112</v>
      </c>
      <c r="V19" t="s">
        <v>48</v>
      </c>
      <c r="W19">
        <v>15</v>
      </c>
      <c r="X19" t="s">
        <v>57</v>
      </c>
      <c r="AA19" t="s">
        <v>50</v>
      </c>
      <c r="AB19" t="s">
        <v>94</v>
      </c>
      <c r="AE19">
        <v>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>
        <v>21</v>
      </c>
      <c r="B20" t="s">
        <v>139</v>
      </c>
      <c r="C20" t="s">
        <v>140</v>
      </c>
      <c r="D20" t="s">
        <v>117</v>
      </c>
      <c r="E20" s="4">
        <v>1</v>
      </c>
      <c r="F20" t="s">
        <v>61</v>
      </c>
      <c r="G20" t="s">
        <v>61</v>
      </c>
      <c r="H20" s="3">
        <v>46122</v>
      </c>
      <c r="I20" s="3">
        <v>46122</v>
      </c>
      <c r="J20" t="s">
        <v>80</v>
      </c>
      <c r="K20" s="3">
        <v>46122</v>
      </c>
      <c r="L20" s="3">
        <v>46122</v>
      </c>
      <c r="M20" s="3">
        <v>46122</v>
      </c>
      <c r="N20" s="3">
        <v>46122</v>
      </c>
      <c r="O20" t="s">
        <v>80</v>
      </c>
      <c r="P20" t="s">
        <v>55</v>
      </c>
      <c r="Q20" t="s">
        <v>141</v>
      </c>
      <c r="R20">
        <v>0.5</v>
      </c>
      <c r="S20" t="s">
        <v>142</v>
      </c>
      <c r="T20" t="s">
        <v>112</v>
      </c>
      <c r="U20">
        <v>22</v>
      </c>
      <c r="V20" t="s">
        <v>101</v>
      </c>
      <c r="W20">
        <v>0.5</v>
      </c>
      <c r="X20" t="s">
        <v>57</v>
      </c>
      <c r="Z20" t="s">
        <v>142</v>
      </c>
      <c r="AA20" t="s">
        <v>64</v>
      </c>
      <c r="AE20">
        <v>1</v>
      </c>
      <c r="AF20">
        <v>1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1</v>
      </c>
    </row>
    <row r="21" spans="1:42" x14ac:dyDescent="0.25">
      <c r="A21">
        <v>22</v>
      </c>
      <c r="B21" t="s">
        <v>143</v>
      </c>
      <c r="C21" t="s">
        <v>140</v>
      </c>
      <c r="D21" t="s">
        <v>121</v>
      </c>
      <c r="E21" s="4">
        <v>1</v>
      </c>
      <c r="F21" t="s">
        <v>122</v>
      </c>
      <c r="G21" t="s">
        <v>122</v>
      </c>
      <c r="H21" s="3">
        <v>46125</v>
      </c>
      <c r="I21" s="3">
        <v>46127</v>
      </c>
      <c r="J21" t="s">
        <v>144</v>
      </c>
      <c r="K21" s="3">
        <v>46127</v>
      </c>
      <c r="L21" s="3">
        <v>46125</v>
      </c>
      <c r="M21" s="3">
        <v>46127</v>
      </c>
      <c r="N21" s="3">
        <v>46127</v>
      </c>
      <c r="O21" t="s">
        <v>144</v>
      </c>
      <c r="P21" t="s">
        <v>55</v>
      </c>
      <c r="Q21">
        <v>21</v>
      </c>
      <c r="R21">
        <v>13.4</v>
      </c>
      <c r="S21" t="s">
        <v>124</v>
      </c>
      <c r="T21" t="s">
        <v>112</v>
      </c>
      <c r="U21">
        <v>23</v>
      </c>
      <c r="V21" t="s">
        <v>122</v>
      </c>
      <c r="W21">
        <v>13.4</v>
      </c>
      <c r="X21" t="s">
        <v>57</v>
      </c>
      <c r="Z21" t="s">
        <v>124</v>
      </c>
      <c r="AA21" t="s">
        <v>64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>
        <v>23</v>
      </c>
      <c r="B22" t="s">
        <v>145</v>
      </c>
      <c r="C22" t="s">
        <v>140</v>
      </c>
      <c r="D22" t="s">
        <v>126</v>
      </c>
      <c r="E22" s="4">
        <v>1</v>
      </c>
      <c r="F22" t="s">
        <v>61</v>
      </c>
      <c r="G22" t="s">
        <v>61</v>
      </c>
      <c r="H22" s="3">
        <v>46127</v>
      </c>
      <c r="I22" s="3">
        <v>46128</v>
      </c>
      <c r="J22" t="s">
        <v>146</v>
      </c>
      <c r="K22" s="3">
        <v>46128</v>
      </c>
      <c r="L22" s="3">
        <v>46127</v>
      </c>
      <c r="M22" s="3">
        <v>46128</v>
      </c>
      <c r="N22" s="3">
        <v>46128</v>
      </c>
      <c r="O22" t="s">
        <v>146</v>
      </c>
      <c r="P22" t="s">
        <v>55</v>
      </c>
      <c r="Q22">
        <v>22</v>
      </c>
      <c r="R22">
        <v>13.4</v>
      </c>
      <c r="S22" t="s">
        <v>118</v>
      </c>
      <c r="T22" t="s">
        <v>112</v>
      </c>
      <c r="U22">
        <v>24</v>
      </c>
      <c r="V22" t="s">
        <v>63</v>
      </c>
      <c r="W22">
        <v>13.4</v>
      </c>
      <c r="X22" t="s">
        <v>57</v>
      </c>
      <c r="Z22" t="s">
        <v>118</v>
      </c>
      <c r="AA22" t="s">
        <v>131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1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>
        <v>24</v>
      </c>
      <c r="B23" t="s">
        <v>147</v>
      </c>
      <c r="C23" t="s">
        <v>140</v>
      </c>
      <c r="D23" t="s">
        <v>133</v>
      </c>
      <c r="E23" s="4">
        <v>1</v>
      </c>
      <c r="F23" t="s">
        <v>61</v>
      </c>
      <c r="G23" t="s">
        <v>61</v>
      </c>
      <c r="H23" s="3">
        <v>46128</v>
      </c>
      <c r="I23" s="3">
        <v>46128</v>
      </c>
      <c r="J23" t="s">
        <v>148</v>
      </c>
      <c r="K23" s="3">
        <v>46128</v>
      </c>
      <c r="L23" s="3">
        <v>46128</v>
      </c>
      <c r="M23" s="3">
        <v>46128</v>
      </c>
      <c r="N23" s="3">
        <v>46128</v>
      </c>
      <c r="O23" t="s">
        <v>148</v>
      </c>
      <c r="P23" t="s">
        <v>55</v>
      </c>
      <c r="Q23">
        <v>23</v>
      </c>
      <c r="R23">
        <v>13.4</v>
      </c>
      <c r="S23" t="s">
        <v>124</v>
      </c>
      <c r="T23" t="s">
        <v>112</v>
      </c>
      <c r="V23" t="s">
        <v>61</v>
      </c>
      <c r="W23">
        <v>13.4</v>
      </c>
      <c r="X23" t="s">
        <v>57</v>
      </c>
      <c r="Z23" t="s">
        <v>124</v>
      </c>
      <c r="AA23" t="s">
        <v>131</v>
      </c>
      <c r="AE23">
        <v>1</v>
      </c>
      <c r="AF23">
        <v>0</v>
      </c>
      <c r="AG23">
        <v>0</v>
      </c>
      <c r="AH23">
        <v>0</v>
      </c>
      <c r="AI23">
        <v>1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0</v>
      </c>
      <c r="AP23">
        <v>0</v>
      </c>
    </row>
    <row r="24" spans="1:42" x14ac:dyDescent="0.25">
      <c r="A24">
        <v>25</v>
      </c>
      <c r="B24" t="s">
        <v>149</v>
      </c>
      <c r="C24" t="s">
        <v>112</v>
      </c>
      <c r="D24" t="s">
        <v>150</v>
      </c>
      <c r="E24" s="4">
        <v>1</v>
      </c>
      <c r="F24" t="s">
        <v>151</v>
      </c>
      <c r="G24" t="s">
        <v>151</v>
      </c>
      <c r="H24" s="3">
        <v>46098</v>
      </c>
      <c r="I24" s="3">
        <v>46111</v>
      </c>
      <c r="J24" t="s">
        <v>45</v>
      </c>
      <c r="K24" s="3">
        <v>46199</v>
      </c>
      <c r="L24" s="3">
        <v>46098</v>
      </c>
      <c r="M24" s="3">
        <v>46111</v>
      </c>
      <c r="N24" s="3">
        <v>46111</v>
      </c>
      <c r="O24" t="s">
        <v>45</v>
      </c>
      <c r="P24" t="s">
        <v>55</v>
      </c>
      <c r="T24" t="s">
        <v>112</v>
      </c>
      <c r="V24" t="s">
        <v>48</v>
      </c>
      <c r="W24">
        <v>27</v>
      </c>
      <c r="X24" t="s">
        <v>57</v>
      </c>
      <c r="AA24" t="s">
        <v>50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>
        <v>26</v>
      </c>
      <c r="B25" t="s">
        <v>152</v>
      </c>
      <c r="C25" t="s">
        <v>153</v>
      </c>
      <c r="D25" t="s">
        <v>117</v>
      </c>
      <c r="E25" s="4">
        <v>1</v>
      </c>
      <c r="F25" t="s">
        <v>101</v>
      </c>
      <c r="G25" t="s">
        <v>101</v>
      </c>
      <c r="H25" s="3">
        <v>46098</v>
      </c>
      <c r="I25" s="3">
        <v>46101</v>
      </c>
      <c r="J25" t="s">
        <v>45</v>
      </c>
      <c r="K25" s="3">
        <v>46101</v>
      </c>
      <c r="L25" s="3">
        <v>46098</v>
      </c>
      <c r="M25" s="3">
        <v>46101</v>
      </c>
      <c r="N25" s="3">
        <v>46101</v>
      </c>
      <c r="O25" t="s">
        <v>45</v>
      </c>
      <c r="P25" t="s">
        <v>55</v>
      </c>
      <c r="Q25">
        <v>3</v>
      </c>
      <c r="S25" t="s">
        <v>118</v>
      </c>
      <c r="T25" t="s">
        <v>112</v>
      </c>
      <c r="U25" t="s">
        <v>154</v>
      </c>
      <c r="V25" t="s">
        <v>101</v>
      </c>
      <c r="W25">
        <v>13.4</v>
      </c>
      <c r="X25" t="s">
        <v>57</v>
      </c>
      <c r="Z25" t="s">
        <v>118</v>
      </c>
      <c r="AA25" t="s">
        <v>64</v>
      </c>
      <c r="AE25">
        <v>1</v>
      </c>
      <c r="AF25">
        <v>1</v>
      </c>
      <c r="AG25">
        <v>1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1</v>
      </c>
    </row>
    <row r="26" spans="1:42" x14ac:dyDescent="0.25">
      <c r="A26">
        <v>27</v>
      </c>
      <c r="B26" t="s">
        <v>155</v>
      </c>
      <c r="C26" t="s">
        <v>153</v>
      </c>
      <c r="D26" t="s">
        <v>121</v>
      </c>
      <c r="E26" s="4">
        <v>1</v>
      </c>
      <c r="F26" t="s">
        <v>122</v>
      </c>
      <c r="G26" t="s">
        <v>122</v>
      </c>
      <c r="H26" s="3">
        <v>46104</v>
      </c>
      <c r="I26" s="3">
        <v>46106</v>
      </c>
      <c r="J26" t="s">
        <v>123</v>
      </c>
      <c r="K26" s="3">
        <v>46106</v>
      </c>
      <c r="L26" s="3">
        <v>46104</v>
      </c>
      <c r="M26" s="3">
        <v>46106</v>
      </c>
      <c r="N26" s="3">
        <v>46106</v>
      </c>
      <c r="O26" t="s">
        <v>123</v>
      </c>
      <c r="P26" t="s">
        <v>55</v>
      </c>
      <c r="Q26">
        <v>26</v>
      </c>
      <c r="R26" t="s">
        <v>156</v>
      </c>
      <c r="S26" t="s">
        <v>124</v>
      </c>
      <c r="T26" t="s">
        <v>112</v>
      </c>
      <c r="V26" t="s">
        <v>122</v>
      </c>
      <c r="W26">
        <v>13.4</v>
      </c>
      <c r="X26" t="s">
        <v>57</v>
      </c>
      <c r="Z26" t="s">
        <v>124</v>
      </c>
      <c r="AA26" t="s">
        <v>64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1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>
        <v>28</v>
      </c>
      <c r="B27" t="s">
        <v>157</v>
      </c>
      <c r="C27" t="s">
        <v>153</v>
      </c>
      <c r="D27" t="s">
        <v>126</v>
      </c>
      <c r="E27" s="4">
        <v>1</v>
      </c>
      <c r="F27" t="s">
        <v>127</v>
      </c>
      <c r="G27" t="s">
        <v>127</v>
      </c>
      <c r="H27" s="3">
        <v>46107</v>
      </c>
      <c r="I27" s="3">
        <v>46108</v>
      </c>
      <c r="J27" t="s">
        <v>128</v>
      </c>
      <c r="K27" s="3">
        <v>46198</v>
      </c>
      <c r="L27" s="3">
        <v>46198</v>
      </c>
      <c r="M27" s="3">
        <v>46108</v>
      </c>
      <c r="N27" s="3">
        <v>46108</v>
      </c>
      <c r="O27" t="s">
        <v>129</v>
      </c>
      <c r="P27" t="s">
        <v>55</v>
      </c>
      <c r="Q27" t="s">
        <v>158</v>
      </c>
      <c r="S27" t="s">
        <v>118</v>
      </c>
      <c r="T27" t="s">
        <v>112</v>
      </c>
      <c r="U27">
        <v>29</v>
      </c>
      <c r="V27" t="s">
        <v>63</v>
      </c>
      <c r="W27">
        <v>13.4</v>
      </c>
      <c r="X27" t="s">
        <v>57</v>
      </c>
      <c r="Z27" t="s">
        <v>118</v>
      </c>
      <c r="AA27" t="s">
        <v>131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1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>
        <v>29</v>
      </c>
      <c r="B28" t="s">
        <v>159</v>
      </c>
      <c r="C28" t="s">
        <v>153</v>
      </c>
      <c r="D28" t="s">
        <v>133</v>
      </c>
      <c r="E28" s="4">
        <v>1</v>
      </c>
      <c r="F28" t="s">
        <v>127</v>
      </c>
      <c r="G28" t="s">
        <v>127</v>
      </c>
      <c r="H28" s="3">
        <v>46108</v>
      </c>
      <c r="I28" s="3">
        <v>46111</v>
      </c>
      <c r="J28" t="s">
        <v>134</v>
      </c>
      <c r="K28" s="3">
        <v>46199</v>
      </c>
      <c r="L28" s="3">
        <v>46199</v>
      </c>
      <c r="M28" s="3">
        <v>46111</v>
      </c>
      <c r="N28" s="3">
        <v>46111</v>
      </c>
      <c r="O28" t="s">
        <v>135</v>
      </c>
      <c r="P28" t="s">
        <v>55</v>
      </c>
      <c r="Q28">
        <v>28</v>
      </c>
      <c r="S28" t="s">
        <v>124</v>
      </c>
      <c r="T28" t="s">
        <v>112</v>
      </c>
      <c r="V28" t="s">
        <v>61</v>
      </c>
      <c r="W28">
        <v>13.4</v>
      </c>
      <c r="X28" t="s">
        <v>57</v>
      </c>
      <c r="Z28" t="s">
        <v>124</v>
      </c>
      <c r="AA28" t="s">
        <v>131</v>
      </c>
      <c r="AE28">
        <v>1</v>
      </c>
      <c r="AF28">
        <v>0</v>
      </c>
      <c r="AG28">
        <v>0</v>
      </c>
      <c r="AH28">
        <v>0</v>
      </c>
      <c r="AI28">
        <v>1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0</v>
      </c>
      <c r="AP28">
        <v>0</v>
      </c>
    </row>
    <row r="29" spans="1:42" x14ac:dyDescent="0.25">
      <c r="A29">
        <v>31</v>
      </c>
      <c r="B29" t="s">
        <v>163</v>
      </c>
      <c r="C29" t="s">
        <v>164</v>
      </c>
      <c r="D29" t="s">
        <v>165</v>
      </c>
      <c r="E29" s="4">
        <v>1</v>
      </c>
      <c r="F29" t="s">
        <v>114</v>
      </c>
      <c r="G29" t="s">
        <v>114</v>
      </c>
      <c r="H29" s="3">
        <v>46098</v>
      </c>
      <c r="I29" s="3">
        <v>46108</v>
      </c>
      <c r="J29" t="s">
        <v>45</v>
      </c>
      <c r="K29" s="3">
        <v>46108</v>
      </c>
      <c r="L29" s="3">
        <v>46098</v>
      </c>
      <c r="M29" s="3">
        <v>46108</v>
      </c>
      <c r="N29" s="3">
        <v>46108</v>
      </c>
      <c r="O29" t="s">
        <v>45</v>
      </c>
      <c r="P29" t="s">
        <v>55</v>
      </c>
      <c r="T29" t="s">
        <v>164</v>
      </c>
      <c r="V29" t="s">
        <v>114</v>
      </c>
      <c r="W29">
        <v>7</v>
      </c>
      <c r="X29" t="s">
        <v>57</v>
      </c>
      <c r="AA29" t="s">
        <v>50</v>
      </c>
      <c r="AE29">
        <v>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>
        <v>32</v>
      </c>
      <c r="B30" t="s">
        <v>166</v>
      </c>
      <c r="C30" t="s">
        <v>167</v>
      </c>
      <c r="D30" t="s">
        <v>117</v>
      </c>
      <c r="E30" s="4">
        <v>1</v>
      </c>
      <c r="F30" t="s">
        <v>101</v>
      </c>
      <c r="G30" t="s">
        <v>101</v>
      </c>
      <c r="H30" s="3">
        <v>46098</v>
      </c>
      <c r="I30" s="3">
        <v>46101</v>
      </c>
      <c r="J30" t="s">
        <v>45</v>
      </c>
      <c r="K30" s="3">
        <v>46101</v>
      </c>
      <c r="L30" s="3">
        <v>46098</v>
      </c>
      <c r="M30" s="3">
        <v>46101</v>
      </c>
      <c r="N30" s="3">
        <v>46101</v>
      </c>
      <c r="O30" t="s">
        <v>45</v>
      </c>
      <c r="P30" t="s">
        <v>55</v>
      </c>
      <c r="Q30">
        <v>3</v>
      </c>
      <c r="S30" t="s">
        <v>168</v>
      </c>
      <c r="T30" t="s">
        <v>164</v>
      </c>
      <c r="U30">
        <v>33</v>
      </c>
      <c r="V30" t="s">
        <v>101</v>
      </c>
      <c r="W30">
        <v>13.4</v>
      </c>
      <c r="X30" t="s">
        <v>57</v>
      </c>
      <c r="Z30" t="s">
        <v>168</v>
      </c>
      <c r="AA30" t="s">
        <v>64</v>
      </c>
      <c r="AE30">
        <v>1</v>
      </c>
      <c r="AF30">
        <v>1</v>
      </c>
      <c r="AG30">
        <v>1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1</v>
      </c>
    </row>
    <row r="31" spans="1:42" x14ac:dyDescent="0.25">
      <c r="A31">
        <v>33</v>
      </c>
      <c r="B31" t="s">
        <v>169</v>
      </c>
      <c r="C31" t="s">
        <v>167</v>
      </c>
      <c r="D31" t="s">
        <v>121</v>
      </c>
      <c r="E31" s="4">
        <v>1</v>
      </c>
      <c r="F31" t="s">
        <v>122</v>
      </c>
      <c r="G31" t="s">
        <v>122</v>
      </c>
      <c r="H31" s="3">
        <v>46104</v>
      </c>
      <c r="I31" s="3">
        <v>46106</v>
      </c>
      <c r="J31" t="s">
        <v>123</v>
      </c>
      <c r="K31" s="3">
        <v>46106</v>
      </c>
      <c r="L31" s="3">
        <v>46104</v>
      </c>
      <c r="M31" s="3">
        <v>46106</v>
      </c>
      <c r="N31" s="3">
        <v>46106</v>
      </c>
      <c r="O31" t="s">
        <v>123</v>
      </c>
      <c r="P31" t="s">
        <v>55</v>
      </c>
      <c r="Q31">
        <v>32</v>
      </c>
      <c r="S31" t="s">
        <v>124</v>
      </c>
      <c r="T31" t="s">
        <v>164</v>
      </c>
      <c r="U31">
        <v>34</v>
      </c>
      <c r="V31" t="s">
        <v>122</v>
      </c>
      <c r="W31">
        <v>13.4</v>
      </c>
      <c r="X31" t="s">
        <v>57</v>
      </c>
      <c r="Z31" t="s">
        <v>124</v>
      </c>
      <c r="AA31" t="s">
        <v>64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1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>
        <v>34</v>
      </c>
      <c r="B32" t="s">
        <v>170</v>
      </c>
      <c r="C32" t="s">
        <v>167</v>
      </c>
      <c r="D32" t="s">
        <v>126</v>
      </c>
      <c r="E32" s="4">
        <v>1</v>
      </c>
      <c r="F32" t="s">
        <v>61</v>
      </c>
      <c r="G32" t="s">
        <v>61</v>
      </c>
      <c r="H32" s="3">
        <v>46107</v>
      </c>
      <c r="I32" s="3">
        <v>46107</v>
      </c>
      <c r="J32" t="s">
        <v>129</v>
      </c>
      <c r="K32" s="3">
        <v>46107</v>
      </c>
      <c r="L32" s="3">
        <v>46107</v>
      </c>
      <c r="M32" s="3">
        <v>46107</v>
      </c>
      <c r="N32" s="3">
        <v>46107</v>
      </c>
      <c r="O32" t="s">
        <v>129</v>
      </c>
      <c r="P32" t="s">
        <v>55</v>
      </c>
      <c r="Q32">
        <v>33</v>
      </c>
      <c r="S32" t="s">
        <v>168</v>
      </c>
      <c r="T32" t="s">
        <v>164</v>
      </c>
      <c r="U32">
        <v>35</v>
      </c>
      <c r="V32" t="s">
        <v>61</v>
      </c>
      <c r="W32">
        <v>13.4</v>
      </c>
      <c r="X32" t="s">
        <v>57</v>
      </c>
      <c r="Z32" t="s">
        <v>168</v>
      </c>
      <c r="AA32" t="s">
        <v>64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1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>
        <v>35</v>
      </c>
      <c r="B33" t="s">
        <v>171</v>
      </c>
      <c r="C33" t="s">
        <v>167</v>
      </c>
      <c r="D33" t="s">
        <v>133</v>
      </c>
      <c r="E33" s="4">
        <v>1</v>
      </c>
      <c r="F33" t="s">
        <v>61</v>
      </c>
      <c r="G33" t="s">
        <v>61</v>
      </c>
      <c r="H33" s="3">
        <v>46108</v>
      </c>
      <c r="I33" s="3">
        <v>46108</v>
      </c>
      <c r="J33" t="s">
        <v>135</v>
      </c>
      <c r="K33" s="3">
        <v>46108</v>
      </c>
      <c r="L33" s="3">
        <v>46108</v>
      </c>
      <c r="M33" s="3">
        <v>46108</v>
      </c>
      <c r="N33" s="3">
        <v>46108</v>
      </c>
      <c r="O33" t="s">
        <v>135</v>
      </c>
      <c r="P33" t="s">
        <v>55</v>
      </c>
      <c r="Q33">
        <v>34</v>
      </c>
      <c r="S33" t="s">
        <v>124</v>
      </c>
      <c r="T33" t="s">
        <v>164</v>
      </c>
      <c r="V33" t="s">
        <v>61</v>
      </c>
      <c r="W33">
        <v>13.4</v>
      </c>
      <c r="X33" t="s">
        <v>57</v>
      </c>
      <c r="Z33" t="s">
        <v>124</v>
      </c>
      <c r="AA33" t="s">
        <v>64</v>
      </c>
      <c r="AE33">
        <v>1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0</v>
      </c>
      <c r="AP33">
        <v>0</v>
      </c>
    </row>
    <row r="34" spans="1:42" x14ac:dyDescent="0.25">
      <c r="A34">
        <v>36</v>
      </c>
      <c r="B34" t="s">
        <v>172</v>
      </c>
      <c r="C34" t="s">
        <v>164</v>
      </c>
      <c r="D34" t="s">
        <v>173</v>
      </c>
      <c r="E34" s="4">
        <v>1</v>
      </c>
      <c r="F34" t="s">
        <v>174</v>
      </c>
      <c r="G34" t="s">
        <v>174</v>
      </c>
      <c r="H34" s="3">
        <v>46127</v>
      </c>
      <c r="I34" s="3">
        <v>46199</v>
      </c>
      <c r="J34" t="s">
        <v>146</v>
      </c>
      <c r="K34" s="3">
        <v>46139</v>
      </c>
      <c r="L34" s="3">
        <v>46127</v>
      </c>
      <c r="M34" s="3">
        <v>46199</v>
      </c>
      <c r="N34" s="3">
        <v>46199</v>
      </c>
      <c r="O34" t="s">
        <v>146</v>
      </c>
      <c r="P34" t="s">
        <v>55</v>
      </c>
      <c r="T34" t="s">
        <v>164</v>
      </c>
      <c r="V34" t="s">
        <v>175</v>
      </c>
      <c r="W34">
        <v>21.1</v>
      </c>
      <c r="X34" t="s">
        <v>57</v>
      </c>
      <c r="AA34" t="s">
        <v>50</v>
      </c>
      <c r="AE34">
        <v>1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>
        <v>37</v>
      </c>
      <c r="B35" t="s">
        <v>176</v>
      </c>
      <c r="C35" t="s">
        <v>177</v>
      </c>
      <c r="D35" t="s">
        <v>117</v>
      </c>
      <c r="E35" s="4">
        <v>1</v>
      </c>
      <c r="F35" t="s">
        <v>127</v>
      </c>
      <c r="G35" t="s">
        <v>127</v>
      </c>
      <c r="H35" s="3">
        <v>46127</v>
      </c>
      <c r="I35" s="3">
        <v>46128</v>
      </c>
      <c r="J35" t="s">
        <v>146</v>
      </c>
      <c r="K35" s="3">
        <v>46128</v>
      </c>
      <c r="L35" s="3">
        <v>46127</v>
      </c>
      <c r="M35" s="3">
        <v>46128</v>
      </c>
      <c r="N35" s="3">
        <v>46128</v>
      </c>
      <c r="O35" t="s">
        <v>146</v>
      </c>
      <c r="P35" t="s">
        <v>55</v>
      </c>
      <c r="Q35" t="s">
        <v>178</v>
      </c>
      <c r="S35" t="s">
        <v>168</v>
      </c>
      <c r="T35" t="s">
        <v>164</v>
      </c>
      <c r="U35" t="s">
        <v>179</v>
      </c>
      <c r="V35" t="s">
        <v>127</v>
      </c>
      <c r="W35">
        <v>13.4</v>
      </c>
      <c r="X35" t="s">
        <v>57</v>
      </c>
      <c r="Y35">
        <v>4</v>
      </c>
      <c r="Z35" t="s">
        <v>168</v>
      </c>
      <c r="AA35" t="s">
        <v>180</v>
      </c>
      <c r="AE35">
        <v>1</v>
      </c>
      <c r="AF35">
        <v>1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1</v>
      </c>
    </row>
    <row r="36" spans="1:42" x14ac:dyDescent="0.25">
      <c r="A36">
        <v>38</v>
      </c>
      <c r="B36" t="s">
        <v>181</v>
      </c>
      <c r="C36" t="s">
        <v>177</v>
      </c>
      <c r="D36" t="s">
        <v>121</v>
      </c>
      <c r="E36" s="4">
        <v>1</v>
      </c>
      <c r="F36" t="s">
        <v>61</v>
      </c>
      <c r="G36" t="s">
        <v>61</v>
      </c>
      <c r="H36" s="3">
        <v>46147</v>
      </c>
      <c r="I36" s="3">
        <v>46147</v>
      </c>
      <c r="J36" t="s">
        <v>182</v>
      </c>
      <c r="K36" s="3">
        <v>46135</v>
      </c>
      <c r="L36" s="3">
        <v>46129</v>
      </c>
      <c r="M36" s="3">
        <v>46147</v>
      </c>
      <c r="N36" s="3">
        <v>46147</v>
      </c>
      <c r="O36" t="s">
        <v>183</v>
      </c>
      <c r="P36" t="s">
        <v>55</v>
      </c>
      <c r="Q36">
        <v>37</v>
      </c>
      <c r="S36" t="s">
        <v>124</v>
      </c>
      <c r="T36" t="s">
        <v>164</v>
      </c>
      <c r="U36">
        <v>39</v>
      </c>
      <c r="V36" t="s">
        <v>122</v>
      </c>
      <c r="W36">
        <v>13.4</v>
      </c>
      <c r="X36" t="s">
        <v>57</v>
      </c>
      <c r="Z36" t="s">
        <v>124</v>
      </c>
      <c r="AA36" t="s">
        <v>180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1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>
        <v>39</v>
      </c>
      <c r="B37" t="s">
        <v>184</v>
      </c>
      <c r="C37" t="s">
        <v>177</v>
      </c>
      <c r="D37" t="s">
        <v>126</v>
      </c>
      <c r="E37" s="4">
        <v>1</v>
      </c>
      <c r="F37" t="s">
        <v>114</v>
      </c>
      <c r="G37" t="s">
        <v>114</v>
      </c>
      <c r="H37" s="3">
        <v>46160</v>
      </c>
      <c r="I37" s="3">
        <v>46170</v>
      </c>
      <c r="J37" t="s">
        <v>67</v>
      </c>
      <c r="K37" s="3">
        <v>46136</v>
      </c>
      <c r="L37" s="3">
        <v>46136</v>
      </c>
      <c r="M37" s="3">
        <v>46170</v>
      </c>
      <c r="N37" s="3">
        <v>46170</v>
      </c>
      <c r="O37" t="s">
        <v>185</v>
      </c>
      <c r="P37" t="s">
        <v>55</v>
      </c>
      <c r="Q37">
        <v>38</v>
      </c>
      <c r="S37" t="s">
        <v>168</v>
      </c>
      <c r="T37" t="s">
        <v>164</v>
      </c>
      <c r="U37">
        <v>40</v>
      </c>
      <c r="V37" t="s">
        <v>61</v>
      </c>
      <c r="W37">
        <v>13.4</v>
      </c>
      <c r="X37" t="s">
        <v>57</v>
      </c>
      <c r="Z37" t="s">
        <v>168</v>
      </c>
      <c r="AA37" t="s">
        <v>71</v>
      </c>
      <c r="AE37">
        <v>1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1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>
        <v>40</v>
      </c>
      <c r="B38" t="s">
        <v>186</v>
      </c>
      <c r="C38" t="s">
        <v>177</v>
      </c>
      <c r="D38" t="s">
        <v>133</v>
      </c>
      <c r="E38" s="4">
        <v>1</v>
      </c>
      <c r="F38" t="s">
        <v>187</v>
      </c>
      <c r="G38" t="s">
        <v>187</v>
      </c>
      <c r="H38" s="3">
        <v>46171</v>
      </c>
      <c r="I38" s="3">
        <v>46199</v>
      </c>
      <c r="J38" t="s">
        <v>188</v>
      </c>
      <c r="K38" s="3">
        <v>46139</v>
      </c>
      <c r="L38" s="3">
        <v>46139</v>
      </c>
      <c r="M38" s="3">
        <v>46199</v>
      </c>
      <c r="N38" s="3">
        <v>46199</v>
      </c>
      <c r="O38" t="s">
        <v>189</v>
      </c>
      <c r="P38" t="s">
        <v>55</v>
      </c>
      <c r="Q38">
        <v>39</v>
      </c>
      <c r="S38" t="s">
        <v>124</v>
      </c>
      <c r="T38" t="s">
        <v>164</v>
      </c>
      <c r="V38" t="s">
        <v>61</v>
      </c>
      <c r="W38">
        <v>13.4</v>
      </c>
      <c r="X38" t="s">
        <v>57</v>
      </c>
      <c r="Z38" t="s">
        <v>124</v>
      </c>
      <c r="AA38" t="s">
        <v>71</v>
      </c>
      <c r="AE38">
        <v>1</v>
      </c>
      <c r="AF38">
        <v>0</v>
      </c>
      <c r="AG38">
        <v>0</v>
      </c>
      <c r="AH38">
        <v>0</v>
      </c>
      <c r="AI38">
        <v>1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0</v>
      </c>
      <c r="AP38">
        <v>0</v>
      </c>
    </row>
    <row r="39" spans="1:42" x14ac:dyDescent="0.25">
      <c r="A39">
        <v>41</v>
      </c>
      <c r="B39" t="s">
        <v>190</v>
      </c>
      <c r="C39" t="s">
        <v>164</v>
      </c>
      <c r="D39" t="s">
        <v>191</v>
      </c>
      <c r="E39" s="4">
        <v>1</v>
      </c>
      <c r="F39" t="s">
        <v>192</v>
      </c>
      <c r="G39" t="s">
        <v>192</v>
      </c>
      <c r="H39" s="3">
        <v>46174</v>
      </c>
      <c r="I39" s="3">
        <v>46199</v>
      </c>
      <c r="J39" t="s">
        <v>185</v>
      </c>
      <c r="K39" s="3">
        <v>46168</v>
      </c>
      <c r="L39" s="3">
        <v>46160</v>
      </c>
      <c r="M39" s="3">
        <v>46199</v>
      </c>
      <c r="N39" s="3">
        <v>46199</v>
      </c>
      <c r="O39" t="s">
        <v>193</v>
      </c>
      <c r="P39" t="s">
        <v>55</v>
      </c>
      <c r="T39" t="s">
        <v>164</v>
      </c>
      <c r="V39" t="s">
        <v>175</v>
      </c>
      <c r="W39">
        <v>21.6</v>
      </c>
      <c r="X39" t="s">
        <v>57</v>
      </c>
      <c r="AA39" t="s">
        <v>50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>
        <v>42</v>
      </c>
      <c r="B40" t="s">
        <v>194</v>
      </c>
      <c r="C40" t="s">
        <v>195</v>
      </c>
      <c r="D40" t="s">
        <v>117</v>
      </c>
      <c r="E40" s="4">
        <v>1</v>
      </c>
      <c r="F40" t="s">
        <v>122</v>
      </c>
      <c r="G40" t="s">
        <v>122</v>
      </c>
      <c r="H40" s="3">
        <v>46174</v>
      </c>
      <c r="I40" s="3">
        <v>46176</v>
      </c>
      <c r="J40" t="s">
        <v>185</v>
      </c>
      <c r="K40" s="3">
        <v>46161</v>
      </c>
      <c r="L40" s="3">
        <v>46160</v>
      </c>
      <c r="M40" s="3">
        <v>46176</v>
      </c>
      <c r="N40" s="3">
        <v>46176</v>
      </c>
      <c r="O40" t="s">
        <v>193</v>
      </c>
      <c r="P40" t="s">
        <v>55</v>
      </c>
      <c r="Q40" t="s">
        <v>196</v>
      </c>
      <c r="S40" t="s">
        <v>168</v>
      </c>
      <c r="T40" t="s">
        <v>164</v>
      </c>
      <c r="U40" t="s">
        <v>197</v>
      </c>
      <c r="V40" t="s">
        <v>127</v>
      </c>
      <c r="W40">
        <v>13.4</v>
      </c>
      <c r="X40" t="s">
        <v>57</v>
      </c>
      <c r="Z40" t="s">
        <v>168</v>
      </c>
      <c r="AA40" t="s">
        <v>198</v>
      </c>
      <c r="AE40">
        <v>1</v>
      </c>
      <c r="AF40">
        <v>1</v>
      </c>
      <c r="AG40">
        <v>1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1</v>
      </c>
    </row>
    <row r="41" spans="1:42" x14ac:dyDescent="0.25">
      <c r="A41">
        <v>43</v>
      </c>
      <c r="B41" t="s">
        <v>199</v>
      </c>
      <c r="C41" t="s">
        <v>195</v>
      </c>
      <c r="D41" t="s">
        <v>121</v>
      </c>
      <c r="E41" s="4">
        <v>1</v>
      </c>
      <c r="F41" t="s">
        <v>61</v>
      </c>
      <c r="G41" t="s">
        <v>61</v>
      </c>
      <c r="H41" s="3">
        <v>46181</v>
      </c>
      <c r="I41" s="3">
        <v>46181</v>
      </c>
      <c r="J41" t="s">
        <v>200</v>
      </c>
      <c r="K41" s="3">
        <v>46164</v>
      </c>
      <c r="L41" s="3">
        <v>46162</v>
      </c>
      <c r="M41" s="3">
        <v>46181</v>
      </c>
      <c r="N41" s="3">
        <v>46181</v>
      </c>
      <c r="O41" t="s">
        <v>201</v>
      </c>
      <c r="P41" t="s">
        <v>55</v>
      </c>
      <c r="Q41">
        <v>42</v>
      </c>
      <c r="S41" t="s">
        <v>124</v>
      </c>
      <c r="T41" t="s">
        <v>164</v>
      </c>
      <c r="U41">
        <v>44</v>
      </c>
      <c r="V41" t="s">
        <v>122</v>
      </c>
      <c r="W41">
        <v>13.4</v>
      </c>
      <c r="X41" t="s">
        <v>57</v>
      </c>
      <c r="Z41" t="s">
        <v>124</v>
      </c>
      <c r="AA41" t="s">
        <v>198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1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>
        <v>44</v>
      </c>
      <c r="B42" t="s">
        <v>202</v>
      </c>
      <c r="C42" t="s">
        <v>195</v>
      </c>
      <c r="D42" t="s">
        <v>126</v>
      </c>
      <c r="E42" s="4">
        <v>1</v>
      </c>
      <c r="F42" t="s">
        <v>203</v>
      </c>
      <c r="G42" t="s">
        <v>203</v>
      </c>
      <c r="H42" s="3">
        <v>46182</v>
      </c>
      <c r="I42" s="3">
        <v>46196</v>
      </c>
      <c r="J42" t="s">
        <v>74</v>
      </c>
      <c r="K42" s="3">
        <v>46167</v>
      </c>
      <c r="L42" s="3">
        <v>46167</v>
      </c>
      <c r="M42" s="3">
        <v>46196</v>
      </c>
      <c r="N42" s="3">
        <v>46196</v>
      </c>
      <c r="O42" t="s">
        <v>204</v>
      </c>
      <c r="P42" t="s">
        <v>55</v>
      </c>
      <c r="Q42">
        <v>43</v>
      </c>
      <c r="S42" t="s">
        <v>168</v>
      </c>
      <c r="T42" t="s">
        <v>164</v>
      </c>
      <c r="U42">
        <v>45</v>
      </c>
      <c r="V42" t="s">
        <v>61</v>
      </c>
      <c r="W42">
        <v>13.4</v>
      </c>
      <c r="X42" t="s">
        <v>57</v>
      </c>
      <c r="Z42" t="s">
        <v>168</v>
      </c>
      <c r="AA42" t="s">
        <v>77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1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>
        <v>45</v>
      </c>
      <c r="B43" t="s">
        <v>205</v>
      </c>
      <c r="C43" t="s">
        <v>195</v>
      </c>
      <c r="D43" t="s">
        <v>133</v>
      </c>
      <c r="E43" s="4">
        <v>1</v>
      </c>
      <c r="F43" t="s">
        <v>122</v>
      </c>
      <c r="G43" t="s">
        <v>122</v>
      </c>
      <c r="H43" s="3">
        <v>46197</v>
      </c>
      <c r="I43" s="3">
        <v>46199</v>
      </c>
      <c r="J43" t="s">
        <v>206</v>
      </c>
      <c r="K43" s="3">
        <v>46168</v>
      </c>
      <c r="L43" s="3">
        <v>46168</v>
      </c>
      <c r="M43" s="3">
        <v>46199</v>
      </c>
      <c r="N43" s="3">
        <v>46199</v>
      </c>
      <c r="O43" t="s">
        <v>207</v>
      </c>
      <c r="P43" t="s">
        <v>55</v>
      </c>
      <c r="Q43">
        <v>44</v>
      </c>
      <c r="S43" t="s">
        <v>124</v>
      </c>
      <c r="T43" t="s">
        <v>164</v>
      </c>
      <c r="V43" t="s">
        <v>61</v>
      </c>
      <c r="W43">
        <v>13.4</v>
      </c>
      <c r="X43" t="s">
        <v>57</v>
      </c>
      <c r="Z43" t="s">
        <v>124</v>
      </c>
      <c r="AA43" t="s">
        <v>77</v>
      </c>
      <c r="AE43">
        <v>1</v>
      </c>
      <c r="AF43">
        <v>0</v>
      </c>
      <c r="AG43">
        <v>0</v>
      </c>
      <c r="AH43">
        <v>0</v>
      </c>
      <c r="AI43">
        <v>1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0</v>
      </c>
      <c r="AP43">
        <v>0</v>
      </c>
    </row>
    <row r="44" spans="1:42" x14ac:dyDescent="0.25">
      <c r="A44">
        <v>52</v>
      </c>
      <c r="B44" t="s">
        <v>215</v>
      </c>
      <c r="C44" t="s">
        <v>216</v>
      </c>
      <c r="D44" t="s">
        <v>117</v>
      </c>
      <c r="E44" s="4">
        <v>1</v>
      </c>
      <c r="F44" t="s">
        <v>61</v>
      </c>
      <c r="G44" t="s">
        <v>61</v>
      </c>
      <c r="H44" s="3">
        <v>46196</v>
      </c>
      <c r="I44" s="3">
        <v>46196</v>
      </c>
      <c r="J44" t="s">
        <v>211</v>
      </c>
      <c r="K44" s="3">
        <v>46192</v>
      </c>
      <c r="L44" s="3">
        <v>46192</v>
      </c>
      <c r="M44" s="3">
        <v>46196</v>
      </c>
      <c r="N44" s="3">
        <v>46196</v>
      </c>
      <c r="O44" t="s">
        <v>212</v>
      </c>
      <c r="P44" t="s">
        <v>55</v>
      </c>
      <c r="Q44">
        <v>49</v>
      </c>
      <c r="R44" s="1">
        <v>46134.6875</v>
      </c>
      <c r="S44" t="s">
        <v>168</v>
      </c>
      <c r="T44" t="s">
        <v>164</v>
      </c>
      <c r="U44">
        <v>53</v>
      </c>
      <c r="V44" t="s">
        <v>61</v>
      </c>
      <c r="W44">
        <v>13.4</v>
      </c>
      <c r="X44" t="s">
        <v>57</v>
      </c>
      <c r="Z44" t="s">
        <v>168</v>
      </c>
      <c r="AA44" t="s">
        <v>217</v>
      </c>
      <c r="AE44">
        <v>1</v>
      </c>
      <c r="AF44">
        <v>1</v>
      </c>
      <c r="AG44">
        <v>1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1</v>
      </c>
    </row>
    <row r="45" spans="1:42" x14ac:dyDescent="0.25">
      <c r="A45">
        <v>66</v>
      </c>
      <c r="B45" t="s">
        <v>224</v>
      </c>
      <c r="C45" t="s">
        <v>164</v>
      </c>
      <c r="D45" t="s">
        <v>225</v>
      </c>
      <c r="E45" s="4">
        <v>1</v>
      </c>
      <c r="F45" t="s">
        <v>226</v>
      </c>
      <c r="G45" t="s">
        <v>226</v>
      </c>
      <c r="H45" s="3">
        <v>46098</v>
      </c>
      <c r="I45" s="3">
        <v>46129</v>
      </c>
      <c r="J45" t="s">
        <v>45</v>
      </c>
      <c r="K45" s="3">
        <v>46199</v>
      </c>
      <c r="L45" s="3">
        <v>46098</v>
      </c>
      <c r="M45" s="3">
        <v>46129</v>
      </c>
      <c r="N45" s="3">
        <v>46129</v>
      </c>
      <c r="O45" t="s">
        <v>45</v>
      </c>
      <c r="P45" t="s">
        <v>55</v>
      </c>
      <c r="T45" t="s">
        <v>164</v>
      </c>
      <c r="V45" t="s">
        <v>48</v>
      </c>
      <c r="W45">
        <v>21.6</v>
      </c>
      <c r="X45" t="s">
        <v>57</v>
      </c>
      <c r="AA45" t="s">
        <v>50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>
        <v>67</v>
      </c>
      <c r="B46" t="s">
        <v>227</v>
      </c>
      <c r="C46" t="s">
        <v>228</v>
      </c>
      <c r="D46" t="s">
        <v>117</v>
      </c>
      <c r="E46" s="4">
        <v>1</v>
      </c>
      <c r="F46" t="s">
        <v>101</v>
      </c>
      <c r="G46" t="s">
        <v>101</v>
      </c>
      <c r="H46" s="3">
        <v>46098</v>
      </c>
      <c r="I46" s="3">
        <v>46101</v>
      </c>
      <c r="J46" t="s">
        <v>45</v>
      </c>
      <c r="K46" s="3">
        <v>46101</v>
      </c>
      <c r="L46" s="3">
        <v>46098</v>
      </c>
      <c r="M46" s="3">
        <v>46101</v>
      </c>
      <c r="N46" s="3">
        <v>46101</v>
      </c>
      <c r="O46" t="s">
        <v>45</v>
      </c>
      <c r="P46" t="s">
        <v>55</v>
      </c>
      <c r="Q46">
        <v>3</v>
      </c>
      <c r="S46" t="s">
        <v>168</v>
      </c>
      <c r="T46" t="s">
        <v>164</v>
      </c>
      <c r="U46">
        <v>68</v>
      </c>
      <c r="V46" t="s">
        <v>101</v>
      </c>
      <c r="W46">
        <v>13.4</v>
      </c>
      <c r="X46" t="s">
        <v>57</v>
      </c>
      <c r="Z46" t="s">
        <v>168</v>
      </c>
      <c r="AA46" t="s">
        <v>64</v>
      </c>
      <c r="AE46">
        <v>1</v>
      </c>
      <c r="AF46">
        <v>1</v>
      </c>
      <c r="AG46">
        <v>1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1</v>
      </c>
    </row>
    <row r="47" spans="1:42" x14ac:dyDescent="0.25">
      <c r="A47">
        <v>68</v>
      </c>
      <c r="B47" t="s">
        <v>229</v>
      </c>
      <c r="C47" t="s">
        <v>228</v>
      </c>
      <c r="D47" t="s">
        <v>121</v>
      </c>
      <c r="E47" s="4">
        <v>1</v>
      </c>
      <c r="F47" t="s">
        <v>61</v>
      </c>
      <c r="G47" t="s">
        <v>61</v>
      </c>
      <c r="H47" s="3">
        <v>46104</v>
      </c>
      <c r="I47" s="3">
        <v>46104</v>
      </c>
      <c r="J47" t="s">
        <v>123</v>
      </c>
      <c r="K47" s="3">
        <v>46104</v>
      </c>
      <c r="L47" s="3">
        <v>46104</v>
      </c>
      <c r="M47" s="3">
        <v>46104</v>
      </c>
      <c r="N47" s="3">
        <v>46104</v>
      </c>
      <c r="O47" t="s">
        <v>123</v>
      </c>
      <c r="P47" t="s">
        <v>55</v>
      </c>
      <c r="Q47">
        <v>67</v>
      </c>
      <c r="S47" t="s">
        <v>124</v>
      </c>
      <c r="T47" t="s">
        <v>164</v>
      </c>
      <c r="U47">
        <v>69</v>
      </c>
      <c r="V47" t="s">
        <v>61</v>
      </c>
      <c r="W47">
        <v>13.4</v>
      </c>
      <c r="X47" t="s">
        <v>57</v>
      </c>
      <c r="Z47" t="s">
        <v>124</v>
      </c>
      <c r="AA47" t="s">
        <v>64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1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>
        <v>69</v>
      </c>
      <c r="B48" t="s">
        <v>230</v>
      </c>
      <c r="C48" t="s">
        <v>228</v>
      </c>
      <c r="D48" t="s">
        <v>126</v>
      </c>
      <c r="E48" s="4">
        <v>1</v>
      </c>
      <c r="F48" t="s">
        <v>63</v>
      </c>
      <c r="G48" t="s">
        <v>63</v>
      </c>
      <c r="H48" s="3">
        <v>46128</v>
      </c>
      <c r="I48" s="3">
        <v>46128</v>
      </c>
      <c r="J48" t="s">
        <v>128</v>
      </c>
      <c r="K48" s="3">
        <v>46198</v>
      </c>
      <c r="L48" s="3">
        <v>46198</v>
      </c>
      <c r="M48" s="3">
        <v>46128</v>
      </c>
      <c r="N48" s="3">
        <v>46128</v>
      </c>
      <c r="O48" t="s">
        <v>148</v>
      </c>
      <c r="P48" t="s">
        <v>55</v>
      </c>
      <c r="Q48" t="s">
        <v>231</v>
      </c>
      <c r="S48" t="s">
        <v>168</v>
      </c>
      <c r="T48" t="s">
        <v>164</v>
      </c>
      <c r="U48">
        <v>70</v>
      </c>
      <c r="V48" t="s">
        <v>63</v>
      </c>
      <c r="W48">
        <v>13.4</v>
      </c>
      <c r="X48" t="s">
        <v>57</v>
      </c>
      <c r="Z48" t="s">
        <v>168</v>
      </c>
      <c r="AA48" t="s">
        <v>131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1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>
        <v>70</v>
      </c>
      <c r="B49" t="s">
        <v>232</v>
      </c>
      <c r="C49" t="s">
        <v>228</v>
      </c>
      <c r="D49" t="s">
        <v>133</v>
      </c>
      <c r="E49" s="4">
        <v>1</v>
      </c>
      <c r="F49" t="s">
        <v>61</v>
      </c>
      <c r="G49" t="s">
        <v>61</v>
      </c>
      <c r="H49" s="3">
        <v>46129</v>
      </c>
      <c r="I49" s="3">
        <v>46129</v>
      </c>
      <c r="J49" t="s">
        <v>134</v>
      </c>
      <c r="K49" s="3">
        <v>46199</v>
      </c>
      <c r="L49" s="3">
        <v>46199</v>
      </c>
      <c r="M49" s="3">
        <v>46129</v>
      </c>
      <c r="N49" s="3">
        <v>46129</v>
      </c>
      <c r="O49" t="s">
        <v>182</v>
      </c>
      <c r="P49" t="s">
        <v>55</v>
      </c>
      <c r="Q49">
        <v>69</v>
      </c>
      <c r="S49" t="s">
        <v>124</v>
      </c>
      <c r="T49" t="s">
        <v>164</v>
      </c>
      <c r="V49" t="s">
        <v>61</v>
      </c>
      <c r="W49">
        <v>13.4</v>
      </c>
      <c r="X49" t="s">
        <v>57</v>
      </c>
      <c r="Z49" t="s">
        <v>124</v>
      </c>
      <c r="AA49" t="s">
        <v>131</v>
      </c>
      <c r="AE49">
        <v>1</v>
      </c>
      <c r="AF49">
        <v>0</v>
      </c>
      <c r="AG49">
        <v>0</v>
      </c>
      <c r="AH49">
        <v>0</v>
      </c>
      <c r="AI49">
        <v>1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0</v>
      </c>
      <c r="AP49">
        <v>0</v>
      </c>
    </row>
    <row r="50" spans="1:42" x14ac:dyDescent="0.25">
      <c r="A50">
        <v>71</v>
      </c>
      <c r="B50" t="s">
        <v>233</v>
      </c>
      <c r="C50" t="s">
        <v>164</v>
      </c>
      <c r="D50" t="s">
        <v>234</v>
      </c>
      <c r="E50" s="4">
        <v>1</v>
      </c>
      <c r="F50" t="s">
        <v>101</v>
      </c>
      <c r="G50" t="s">
        <v>101</v>
      </c>
      <c r="H50" s="3">
        <v>46196</v>
      </c>
      <c r="I50" s="3">
        <v>46199</v>
      </c>
      <c r="J50" t="s">
        <v>212</v>
      </c>
      <c r="K50" s="3">
        <v>46199</v>
      </c>
      <c r="L50" s="3">
        <v>46196</v>
      </c>
      <c r="M50" s="3">
        <v>46199</v>
      </c>
      <c r="N50" s="3">
        <v>46199</v>
      </c>
      <c r="O50" t="s">
        <v>212</v>
      </c>
      <c r="P50" t="s">
        <v>55</v>
      </c>
      <c r="T50" t="s">
        <v>164</v>
      </c>
      <c r="V50" t="s">
        <v>235</v>
      </c>
      <c r="X50" t="s">
        <v>57</v>
      </c>
      <c r="AA50" t="s">
        <v>50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>
        <v>72</v>
      </c>
      <c r="B51" t="s">
        <v>236</v>
      </c>
      <c r="C51" t="s">
        <v>237</v>
      </c>
      <c r="D51" t="s">
        <v>117</v>
      </c>
      <c r="E51" s="4">
        <v>1</v>
      </c>
      <c r="F51" t="s">
        <v>61</v>
      </c>
      <c r="G51" t="s">
        <v>61</v>
      </c>
      <c r="H51" s="3">
        <v>46196</v>
      </c>
      <c r="I51" s="3">
        <v>46196</v>
      </c>
      <c r="J51" t="s">
        <v>212</v>
      </c>
      <c r="K51" s="3">
        <v>46196</v>
      </c>
      <c r="L51" s="3">
        <v>46196</v>
      </c>
      <c r="M51" s="3">
        <v>46196</v>
      </c>
      <c r="N51" s="3">
        <v>46196</v>
      </c>
      <c r="O51" t="s">
        <v>212</v>
      </c>
      <c r="P51" t="s">
        <v>55</v>
      </c>
      <c r="T51" t="s">
        <v>164</v>
      </c>
      <c r="V51" t="s">
        <v>61</v>
      </c>
      <c r="W51">
        <v>13.4</v>
      </c>
      <c r="X51" t="s">
        <v>57</v>
      </c>
      <c r="AA51" t="s">
        <v>180</v>
      </c>
      <c r="AE51">
        <v>1</v>
      </c>
      <c r="AF51">
        <v>1</v>
      </c>
      <c r="AG51">
        <v>1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1</v>
      </c>
    </row>
    <row r="52" spans="1:42" x14ac:dyDescent="0.25">
      <c r="A52">
        <v>73</v>
      </c>
      <c r="B52" t="s">
        <v>238</v>
      </c>
      <c r="C52" t="s">
        <v>237</v>
      </c>
      <c r="D52" t="s">
        <v>121</v>
      </c>
      <c r="E52" s="4">
        <v>1</v>
      </c>
      <c r="F52" t="s">
        <v>61</v>
      </c>
      <c r="G52" t="s">
        <v>61</v>
      </c>
      <c r="H52" s="3">
        <v>46197</v>
      </c>
      <c r="I52" s="3">
        <v>46197</v>
      </c>
      <c r="J52" t="s">
        <v>207</v>
      </c>
      <c r="K52" s="3">
        <v>46197</v>
      </c>
      <c r="L52" s="3">
        <v>46197</v>
      </c>
      <c r="M52" s="3">
        <v>46197</v>
      </c>
      <c r="N52" s="3">
        <v>46197</v>
      </c>
      <c r="O52" t="s">
        <v>207</v>
      </c>
      <c r="P52" t="s">
        <v>55</v>
      </c>
      <c r="T52" t="s">
        <v>164</v>
      </c>
      <c r="U52">
        <v>74</v>
      </c>
      <c r="V52" t="s">
        <v>175</v>
      </c>
      <c r="W52">
        <v>13.4</v>
      </c>
      <c r="X52" t="s">
        <v>57</v>
      </c>
      <c r="AA52" t="s">
        <v>180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1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>
        <v>74</v>
      </c>
      <c r="B53" t="s">
        <v>239</v>
      </c>
      <c r="C53" t="s">
        <v>237</v>
      </c>
      <c r="D53" t="s">
        <v>126</v>
      </c>
      <c r="E53" s="4">
        <v>1</v>
      </c>
      <c r="F53" t="s">
        <v>61</v>
      </c>
      <c r="G53" t="s">
        <v>61</v>
      </c>
      <c r="H53" s="3">
        <v>46198</v>
      </c>
      <c r="I53" s="3">
        <v>46198</v>
      </c>
      <c r="J53" t="s">
        <v>128</v>
      </c>
      <c r="K53" s="3">
        <v>46198</v>
      </c>
      <c r="L53" s="3">
        <v>46198</v>
      </c>
      <c r="M53" s="3">
        <v>46198</v>
      </c>
      <c r="N53" s="3">
        <v>46198</v>
      </c>
      <c r="O53" t="s">
        <v>128</v>
      </c>
      <c r="P53" t="s">
        <v>55</v>
      </c>
      <c r="Q53">
        <v>73</v>
      </c>
      <c r="T53" t="s">
        <v>164</v>
      </c>
      <c r="U53">
        <v>75</v>
      </c>
      <c r="V53" t="s">
        <v>138</v>
      </c>
      <c r="W53">
        <v>13.4</v>
      </c>
      <c r="X53" t="s">
        <v>57</v>
      </c>
      <c r="AA53" t="s">
        <v>217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1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>
        <v>75</v>
      </c>
      <c r="B54" t="s">
        <v>240</v>
      </c>
      <c r="C54" t="s">
        <v>237</v>
      </c>
      <c r="D54" t="s">
        <v>133</v>
      </c>
      <c r="E54" s="4">
        <v>1</v>
      </c>
      <c r="F54" t="s">
        <v>61</v>
      </c>
      <c r="G54" t="s">
        <v>61</v>
      </c>
      <c r="H54" s="3">
        <v>46199</v>
      </c>
      <c r="I54" s="3">
        <v>46199</v>
      </c>
      <c r="J54" t="s">
        <v>134</v>
      </c>
      <c r="K54" s="3">
        <v>46199</v>
      </c>
      <c r="L54" s="3">
        <v>46199</v>
      </c>
      <c r="M54" s="3">
        <v>46199</v>
      </c>
      <c r="N54" s="3">
        <v>46199</v>
      </c>
      <c r="O54" t="s">
        <v>134</v>
      </c>
      <c r="P54" t="s">
        <v>55</v>
      </c>
      <c r="Q54">
        <v>74</v>
      </c>
      <c r="T54" t="s">
        <v>164</v>
      </c>
      <c r="V54" t="s">
        <v>127</v>
      </c>
      <c r="W54">
        <v>13.4</v>
      </c>
      <c r="X54" t="s">
        <v>57</v>
      </c>
      <c r="AA54" t="s">
        <v>131</v>
      </c>
      <c r="AE54">
        <v>1</v>
      </c>
      <c r="AF54">
        <v>0</v>
      </c>
      <c r="AG54">
        <v>0</v>
      </c>
      <c r="AH54">
        <v>0</v>
      </c>
      <c r="AI54">
        <v>1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0</v>
      </c>
      <c r="AP54">
        <v>0</v>
      </c>
    </row>
    <row r="55" spans="1:42" x14ac:dyDescent="0.25">
      <c r="A55">
        <v>77</v>
      </c>
      <c r="B55" t="s">
        <v>245</v>
      </c>
      <c r="C55" t="s">
        <v>246</v>
      </c>
      <c r="D55" t="s">
        <v>247</v>
      </c>
      <c r="E55" s="4">
        <v>1</v>
      </c>
      <c r="F55" t="s">
        <v>210</v>
      </c>
      <c r="G55" t="s">
        <v>210</v>
      </c>
      <c r="H55" s="3">
        <v>46104</v>
      </c>
      <c r="I55" s="3">
        <v>46113</v>
      </c>
      <c r="J55" t="s">
        <v>123</v>
      </c>
      <c r="K55" s="3">
        <v>46113</v>
      </c>
      <c r="L55" s="3">
        <v>46104</v>
      </c>
      <c r="M55" s="3">
        <v>46113</v>
      </c>
      <c r="N55" s="3">
        <v>46113</v>
      </c>
      <c r="O55" t="s">
        <v>123</v>
      </c>
      <c r="P55" t="s">
        <v>55</v>
      </c>
      <c r="T55" t="s">
        <v>246</v>
      </c>
      <c r="V55" t="s">
        <v>210</v>
      </c>
      <c r="W55">
        <v>26.4</v>
      </c>
      <c r="X55" t="s">
        <v>57</v>
      </c>
      <c r="AA55" t="s">
        <v>50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>
        <v>78</v>
      </c>
      <c r="B56" t="s">
        <v>248</v>
      </c>
      <c r="C56" t="s">
        <v>249</v>
      </c>
      <c r="D56" t="s">
        <v>117</v>
      </c>
      <c r="E56" s="4">
        <v>1</v>
      </c>
      <c r="F56" t="s">
        <v>122</v>
      </c>
      <c r="G56" t="s">
        <v>122</v>
      </c>
      <c r="H56" s="3">
        <v>46104</v>
      </c>
      <c r="I56" s="3">
        <v>46106</v>
      </c>
      <c r="J56" t="s">
        <v>123</v>
      </c>
      <c r="K56" s="3">
        <v>46106</v>
      </c>
      <c r="L56" s="3">
        <v>46104</v>
      </c>
      <c r="M56" s="3">
        <v>46106</v>
      </c>
      <c r="N56" s="3">
        <v>46106</v>
      </c>
      <c r="O56" t="s">
        <v>123</v>
      </c>
      <c r="P56" t="s">
        <v>55</v>
      </c>
      <c r="Q56">
        <v>12</v>
      </c>
      <c r="S56" t="s">
        <v>124</v>
      </c>
      <c r="T56" t="s">
        <v>246</v>
      </c>
      <c r="U56">
        <v>79</v>
      </c>
      <c r="V56" t="s">
        <v>122</v>
      </c>
      <c r="W56">
        <v>13.4</v>
      </c>
      <c r="X56" t="s">
        <v>57</v>
      </c>
      <c r="Z56" t="s">
        <v>124</v>
      </c>
      <c r="AA56" t="s">
        <v>64</v>
      </c>
      <c r="AE56">
        <v>1</v>
      </c>
      <c r="AF56">
        <v>1</v>
      </c>
      <c r="AG56">
        <v>1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1</v>
      </c>
    </row>
    <row r="57" spans="1:42" x14ac:dyDescent="0.25">
      <c r="A57">
        <v>79</v>
      </c>
      <c r="B57" t="s">
        <v>250</v>
      </c>
      <c r="C57" t="s">
        <v>249</v>
      </c>
      <c r="D57" t="s">
        <v>121</v>
      </c>
      <c r="E57" s="4">
        <v>1</v>
      </c>
      <c r="F57" t="s">
        <v>122</v>
      </c>
      <c r="G57" t="s">
        <v>122</v>
      </c>
      <c r="H57" s="3">
        <v>46107</v>
      </c>
      <c r="I57" s="3">
        <v>46111</v>
      </c>
      <c r="J57" t="s">
        <v>129</v>
      </c>
      <c r="K57" s="3">
        <v>46111</v>
      </c>
      <c r="L57" s="3">
        <v>46107</v>
      </c>
      <c r="M57" s="3">
        <v>46111</v>
      </c>
      <c r="N57" s="3">
        <v>46111</v>
      </c>
      <c r="O57" t="s">
        <v>129</v>
      </c>
      <c r="P57" t="s">
        <v>55</v>
      </c>
      <c r="Q57">
        <v>78</v>
      </c>
      <c r="S57" t="s">
        <v>124</v>
      </c>
      <c r="T57" t="s">
        <v>246</v>
      </c>
      <c r="U57">
        <v>80</v>
      </c>
      <c r="V57" t="s">
        <v>122</v>
      </c>
      <c r="W57">
        <v>13.4</v>
      </c>
      <c r="X57" t="s">
        <v>57</v>
      </c>
      <c r="Z57" t="s">
        <v>124</v>
      </c>
      <c r="AA57" t="s">
        <v>64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1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>
        <v>80</v>
      </c>
      <c r="B58" t="s">
        <v>251</v>
      </c>
      <c r="C58" t="s">
        <v>249</v>
      </c>
      <c r="D58" t="s">
        <v>126</v>
      </c>
      <c r="E58" s="4">
        <v>1</v>
      </c>
      <c r="F58" t="s">
        <v>61</v>
      </c>
      <c r="G58" t="s">
        <v>61</v>
      </c>
      <c r="H58" s="3">
        <v>46112</v>
      </c>
      <c r="I58" s="3">
        <v>46112</v>
      </c>
      <c r="J58" t="s">
        <v>252</v>
      </c>
      <c r="K58" s="3">
        <v>46112</v>
      </c>
      <c r="L58" s="3">
        <v>46112</v>
      </c>
      <c r="M58" s="3">
        <v>46112</v>
      </c>
      <c r="N58" s="3">
        <v>46112</v>
      </c>
      <c r="O58" t="s">
        <v>252</v>
      </c>
      <c r="P58" t="s">
        <v>55</v>
      </c>
      <c r="Q58">
        <v>79</v>
      </c>
      <c r="S58" t="s">
        <v>253</v>
      </c>
      <c r="T58" t="s">
        <v>246</v>
      </c>
      <c r="U58" t="s">
        <v>254</v>
      </c>
      <c r="V58" t="s">
        <v>61</v>
      </c>
      <c r="W58">
        <v>13.4</v>
      </c>
      <c r="X58" t="s">
        <v>57</v>
      </c>
      <c r="Z58" t="s">
        <v>253</v>
      </c>
      <c r="AA58" t="s">
        <v>255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1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>
        <v>81</v>
      </c>
      <c r="B59" t="s">
        <v>256</v>
      </c>
      <c r="C59" t="s">
        <v>249</v>
      </c>
      <c r="D59" t="s">
        <v>133</v>
      </c>
      <c r="E59" s="4">
        <v>1</v>
      </c>
      <c r="F59" t="s">
        <v>61</v>
      </c>
      <c r="G59" t="s">
        <v>61</v>
      </c>
      <c r="H59" s="3">
        <v>46113</v>
      </c>
      <c r="I59" s="3">
        <v>46113</v>
      </c>
      <c r="J59" t="s">
        <v>257</v>
      </c>
      <c r="K59" s="3">
        <v>46113</v>
      </c>
      <c r="L59" s="3">
        <v>46113</v>
      </c>
      <c r="M59" s="3">
        <v>46113</v>
      </c>
      <c r="N59" s="3">
        <v>46113</v>
      </c>
      <c r="O59" t="s">
        <v>257</v>
      </c>
      <c r="P59" t="s">
        <v>55</v>
      </c>
      <c r="Q59">
        <v>80</v>
      </c>
      <c r="S59" t="s">
        <v>124</v>
      </c>
      <c r="T59" t="s">
        <v>246</v>
      </c>
      <c r="V59" t="s">
        <v>61</v>
      </c>
      <c r="W59">
        <v>13.4</v>
      </c>
      <c r="X59" t="s">
        <v>57</v>
      </c>
      <c r="Z59" t="s">
        <v>124</v>
      </c>
      <c r="AA59" t="s">
        <v>255</v>
      </c>
      <c r="AE59">
        <v>1</v>
      </c>
      <c r="AF59">
        <v>0</v>
      </c>
      <c r="AG59">
        <v>0</v>
      </c>
      <c r="AH59">
        <v>0</v>
      </c>
      <c r="AI59">
        <v>1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0</v>
      </c>
      <c r="AP59">
        <v>0</v>
      </c>
    </row>
    <row r="60" spans="1:42" x14ac:dyDescent="0.25">
      <c r="A60">
        <v>82</v>
      </c>
      <c r="B60" t="s">
        <v>258</v>
      </c>
      <c r="C60" t="s">
        <v>246</v>
      </c>
      <c r="D60" t="s">
        <v>259</v>
      </c>
      <c r="E60" s="4">
        <v>1</v>
      </c>
      <c r="F60" t="s">
        <v>210</v>
      </c>
      <c r="G60" t="s">
        <v>210</v>
      </c>
      <c r="H60" s="3">
        <v>46104</v>
      </c>
      <c r="I60" s="3">
        <v>46113</v>
      </c>
      <c r="J60" t="s">
        <v>123</v>
      </c>
      <c r="K60" s="3">
        <v>46113</v>
      </c>
      <c r="L60" s="3">
        <v>46104</v>
      </c>
      <c r="M60" s="3">
        <v>46113</v>
      </c>
      <c r="N60" s="3">
        <v>46113</v>
      </c>
      <c r="O60" t="s">
        <v>123</v>
      </c>
      <c r="P60" t="s">
        <v>55</v>
      </c>
      <c r="T60" t="s">
        <v>246</v>
      </c>
      <c r="V60" t="s">
        <v>210</v>
      </c>
      <c r="W60">
        <v>26.4</v>
      </c>
      <c r="X60" t="s">
        <v>57</v>
      </c>
      <c r="AA60" t="s">
        <v>50</v>
      </c>
      <c r="AB60" t="s">
        <v>94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>
        <v>83</v>
      </c>
      <c r="B61" t="s">
        <v>260</v>
      </c>
      <c r="C61" t="s">
        <v>261</v>
      </c>
      <c r="D61" t="s">
        <v>117</v>
      </c>
      <c r="E61" s="4">
        <v>1</v>
      </c>
      <c r="F61" t="s">
        <v>122</v>
      </c>
      <c r="G61" t="s">
        <v>122</v>
      </c>
      <c r="H61" s="3">
        <v>46104</v>
      </c>
      <c r="I61" s="3">
        <v>46106</v>
      </c>
      <c r="J61" t="s">
        <v>123</v>
      </c>
      <c r="K61" s="3">
        <v>46106</v>
      </c>
      <c r="L61" s="3">
        <v>46104</v>
      </c>
      <c r="M61" s="3">
        <v>46106</v>
      </c>
      <c r="N61" s="3">
        <v>46106</v>
      </c>
      <c r="O61" t="s">
        <v>123</v>
      </c>
      <c r="P61" t="s">
        <v>55</v>
      </c>
      <c r="Q61">
        <v>12</v>
      </c>
      <c r="S61" t="s">
        <v>124</v>
      </c>
      <c r="T61" t="s">
        <v>246</v>
      </c>
      <c r="U61">
        <v>84</v>
      </c>
      <c r="V61" t="s">
        <v>122</v>
      </c>
      <c r="W61">
        <v>13.4</v>
      </c>
      <c r="X61" t="s">
        <v>57</v>
      </c>
      <c r="Z61" t="s">
        <v>124</v>
      </c>
      <c r="AA61" t="s">
        <v>64</v>
      </c>
      <c r="AE61">
        <v>1</v>
      </c>
      <c r="AF61">
        <v>1</v>
      </c>
      <c r="AG61">
        <v>1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1</v>
      </c>
    </row>
    <row r="62" spans="1:42" x14ac:dyDescent="0.25">
      <c r="A62">
        <v>84</v>
      </c>
      <c r="B62" t="s">
        <v>262</v>
      </c>
      <c r="C62" t="s">
        <v>261</v>
      </c>
      <c r="D62" t="s">
        <v>121</v>
      </c>
      <c r="E62" s="4">
        <v>1</v>
      </c>
      <c r="F62" t="s">
        <v>122</v>
      </c>
      <c r="G62" t="s">
        <v>122</v>
      </c>
      <c r="H62" s="3">
        <v>46107</v>
      </c>
      <c r="I62" s="3">
        <v>46111</v>
      </c>
      <c r="J62" t="s">
        <v>129</v>
      </c>
      <c r="K62" s="3">
        <v>46111</v>
      </c>
      <c r="L62" s="3">
        <v>46107</v>
      </c>
      <c r="M62" s="3">
        <v>46111</v>
      </c>
      <c r="N62" s="3">
        <v>46111</v>
      </c>
      <c r="O62" t="s">
        <v>129</v>
      </c>
      <c r="P62" t="s">
        <v>55</v>
      </c>
      <c r="Q62">
        <v>83</v>
      </c>
      <c r="S62" t="s">
        <v>124</v>
      </c>
      <c r="T62" t="s">
        <v>246</v>
      </c>
      <c r="U62">
        <v>85</v>
      </c>
      <c r="V62" t="s">
        <v>122</v>
      </c>
      <c r="W62">
        <v>13.4</v>
      </c>
      <c r="X62" t="s">
        <v>57</v>
      </c>
      <c r="Z62" t="s">
        <v>124</v>
      </c>
      <c r="AA62" t="s">
        <v>64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1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</row>
    <row r="63" spans="1:42" x14ac:dyDescent="0.25">
      <c r="A63">
        <v>85</v>
      </c>
      <c r="B63" t="s">
        <v>263</v>
      </c>
      <c r="C63" t="s">
        <v>261</v>
      </c>
      <c r="D63" t="s">
        <v>126</v>
      </c>
      <c r="E63" s="4">
        <v>1</v>
      </c>
      <c r="F63" t="s">
        <v>61</v>
      </c>
      <c r="G63" t="s">
        <v>61</v>
      </c>
      <c r="H63" s="3">
        <v>46112</v>
      </c>
      <c r="I63" s="3">
        <v>46112</v>
      </c>
      <c r="J63" t="s">
        <v>252</v>
      </c>
      <c r="K63" s="3">
        <v>46112</v>
      </c>
      <c r="L63" s="3">
        <v>46112</v>
      </c>
      <c r="M63" s="3">
        <v>46112</v>
      </c>
      <c r="N63" s="3">
        <v>46112</v>
      </c>
      <c r="O63" t="s">
        <v>252</v>
      </c>
      <c r="P63" t="s">
        <v>55</v>
      </c>
      <c r="Q63">
        <v>84</v>
      </c>
      <c r="S63" t="s">
        <v>264</v>
      </c>
      <c r="T63" t="s">
        <v>246</v>
      </c>
      <c r="U63" t="s">
        <v>265</v>
      </c>
      <c r="V63" t="s">
        <v>61</v>
      </c>
      <c r="W63">
        <v>13.4</v>
      </c>
      <c r="X63" t="s">
        <v>57</v>
      </c>
      <c r="Z63" t="s">
        <v>264</v>
      </c>
      <c r="AA63" t="s">
        <v>255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1</v>
      </c>
      <c r="AM63">
        <v>0</v>
      </c>
      <c r="AN63">
        <v>0</v>
      </c>
      <c r="AO63">
        <v>0</v>
      </c>
      <c r="AP63">
        <v>0</v>
      </c>
    </row>
    <row r="64" spans="1:42" x14ac:dyDescent="0.25">
      <c r="A64">
        <v>86</v>
      </c>
      <c r="B64" t="s">
        <v>266</v>
      </c>
      <c r="C64" t="s">
        <v>261</v>
      </c>
      <c r="D64" t="s">
        <v>133</v>
      </c>
      <c r="E64" s="4">
        <v>1</v>
      </c>
      <c r="F64" t="s">
        <v>61</v>
      </c>
      <c r="G64" t="s">
        <v>61</v>
      </c>
      <c r="H64" s="3">
        <v>46113</v>
      </c>
      <c r="I64" s="3">
        <v>46113</v>
      </c>
      <c r="J64" t="s">
        <v>257</v>
      </c>
      <c r="K64" s="3">
        <v>46113</v>
      </c>
      <c r="L64" s="3">
        <v>46113</v>
      </c>
      <c r="M64" s="3">
        <v>46113</v>
      </c>
      <c r="N64" s="3">
        <v>46113</v>
      </c>
      <c r="O64" t="s">
        <v>257</v>
      </c>
      <c r="P64" t="s">
        <v>55</v>
      </c>
      <c r="Q64">
        <v>85</v>
      </c>
      <c r="S64" t="s">
        <v>124</v>
      </c>
      <c r="T64" t="s">
        <v>246</v>
      </c>
      <c r="V64" t="s">
        <v>61</v>
      </c>
      <c r="W64">
        <v>13.4</v>
      </c>
      <c r="X64" t="s">
        <v>57</v>
      </c>
      <c r="Z64" t="s">
        <v>124</v>
      </c>
      <c r="AA64" t="s">
        <v>255</v>
      </c>
      <c r="AE64">
        <v>1</v>
      </c>
      <c r="AF64">
        <v>0</v>
      </c>
      <c r="AG64">
        <v>0</v>
      </c>
      <c r="AH64">
        <v>0</v>
      </c>
      <c r="AI64">
        <v>1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0</v>
      </c>
      <c r="AP64">
        <v>0</v>
      </c>
    </row>
    <row r="65" spans="1:42" x14ac:dyDescent="0.25">
      <c r="A65">
        <v>87</v>
      </c>
      <c r="B65" t="s">
        <v>267</v>
      </c>
      <c r="C65" t="s">
        <v>246</v>
      </c>
      <c r="D65" t="s">
        <v>268</v>
      </c>
      <c r="E65" s="4">
        <v>1</v>
      </c>
      <c r="F65" t="s">
        <v>214</v>
      </c>
      <c r="G65" t="s">
        <v>214</v>
      </c>
      <c r="H65" s="3">
        <v>46104</v>
      </c>
      <c r="I65" s="3">
        <v>46111</v>
      </c>
      <c r="J65" t="s">
        <v>123</v>
      </c>
      <c r="K65" s="3">
        <v>46111</v>
      </c>
      <c r="L65" s="3">
        <v>46104</v>
      </c>
      <c r="M65" s="3">
        <v>46111</v>
      </c>
      <c r="N65" s="3">
        <v>46111</v>
      </c>
      <c r="O65" t="s">
        <v>123</v>
      </c>
      <c r="P65" t="s">
        <v>55</v>
      </c>
      <c r="T65" t="s">
        <v>246</v>
      </c>
      <c r="V65" t="s">
        <v>214</v>
      </c>
      <c r="W65">
        <v>15.6</v>
      </c>
      <c r="X65" t="s">
        <v>57</v>
      </c>
      <c r="AA65" t="s">
        <v>50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</row>
    <row r="66" spans="1:42" x14ac:dyDescent="0.25">
      <c r="A66">
        <v>88</v>
      </c>
      <c r="B66" t="s">
        <v>269</v>
      </c>
      <c r="C66" t="s">
        <v>270</v>
      </c>
      <c r="D66" t="s">
        <v>117</v>
      </c>
      <c r="E66" s="4">
        <v>1</v>
      </c>
      <c r="F66" t="s">
        <v>61</v>
      </c>
      <c r="G66" t="s">
        <v>61</v>
      </c>
      <c r="H66" s="3">
        <v>46104</v>
      </c>
      <c r="I66" s="3">
        <v>46104</v>
      </c>
      <c r="J66" t="s">
        <v>123</v>
      </c>
      <c r="K66" s="3">
        <v>46104</v>
      </c>
      <c r="L66" s="3">
        <v>46104</v>
      </c>
      <c r="M66" s="3">
        <v>46104</v>
      </c>
      <c r="N66" s="3">
        <v>46104</v>
      </c>
      <c r="O66" t="s">
        <v>123</v>
      </c>
      <c r="P66" t="s">
        <v>55</v>
      </c>
      <c r="Q66">
        <v>12</v>
      </c>
      <c r="S66" t="s">
        <v>124</v>
      </c>
      <c r="T66" t="s">
        <v>246</v>
      </c>
      <c r="U66">
        <v>89</v>
      </c>
      <c r="V66" t="s">
        <v>61</v>
      </c>
      <c r="W66">
        <v>13.4</v>
      </c>
      <c r="X66" t="s">
        <v>57</v>
      </c>
      <c r="Z66" t="s">
        <v>124</v>
      </c>
      <c r="AA66" t="s">
        <v>64</v>
      </c>
      <c r="AE66">
        <v>1</v>
      </c>
      <c r="AF66">
        <v>1</v>
      </c>
      <c r="AG66">
        <v>1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1</v>
      </c>
    </row>
    <row r="67" spans="1:42" x14ac:dyDescent="0.25">
      <c r="A67">
        <v>89</v>
      </c>
      <c r="B67" t="s">
        <v>271</v>
      </c>
      <c r="C67" t="s">
        <v>270</v>
      </c>
      <c r="D67" t="s">
        <v>121</v>
      </c>
      <c r="E67" s="4">
        <v>1</v>
      </c>
      <c r="F67" t="s">
        <v>122</v>
      </c>
      <c r="G67" t="s">
        <v>122</v>
      </c>
      <c r="H67" s="3">
        <v>46105</v>
      </c>
      <c r="I67" s="3">
        <v>46107</v>
      </c>
      <c r="J67" t="s">
        <v>272</v>
      </c>
      <c r="K67" s="3">
        <v>46107</v>
      </c>
      <c r="L67" s="3">
        <v>46105</v>
      </c>
      <c r="M67" s="3">
        <v>46107</v>
      </c>
      <c r="N67" s="3">
        <v>46107</v>
      </c>
      <c r="O67" t="s">
        <v>272</v>
      </c>
      <c r="P67" t="s">
        <v>55</v>
      </c>
      <c r="Q67">
        <v>88</v>
      </c>
      <c r="S67" t="s">
        <v>124</v>
      </c>
      <c r="T67" t="s">
        <v>246</v>
      </c>
      <c r="U67">
        <v>90</v>
      </c>
      <c r="V67" t="s">
        <v>122</v>
      </c>
      <c r="W67">
        <v>13.4</v>
      </c>
      <c r="X67" t="s">
        <v>57</v>
      </c>
      <c r="Z67" t="s">
        <v>124</v>
      </c>
      <c r="AA67" t="s">
        <v>64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1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</row>
    <row r="68" spans="1:42" x14ac:dyDescent="0.25">
      <c r="A68">
        <v>90</v>
      </c>
      <c r="B68" t="s">
        <v>273</v>
      </c>
      <c r="C68" t="s">
        <v>270</v>
      </c>
      <c r="D68" t="s">
        <v>126</v>
      </c>
      <c r="E68" s="4">
        <v>1</v>
      </c>
      <c r="F68" t="s">
        <v>61</v>
      </c>
      <c r="G68" t="s">
        <v>61</v>
      </c>
      <c r="H68" s="3">
        <v>46108</v>
      </c>
      <c r="I68" s="3">
        <v>46108</v>
      </c>
      <c r="J68" t="s">
        <v>135</v>
      </c>
      <c r="K68" s="3">
        <v>46108</v>
      </c>
      <c r="L68" s="3">
        <v>46108</v>
      </c>
      <c r="M68" s="3">
        <v>46108</v>
      </c>
      <c r="N68" s="3">
        <v>46108</v>
      </c>
      <c r="O68" t="s">
        <v>135</v>
      </c>
      <c r="P68" t="s">
        <v>55</v>
      </c>
      <c r="Q68">
        <v>89</v>
      </c>
      <c r="S68" t="s">
        <v>264</v>
      </c>
      <c r="T68" t="s">
        <v>246</v>
      </c>
      <c r="U68">
        <v>91</v>
      </c>
      <c r="V68" t="s">
        <v>61</v>
      </c>
      <c r="W68">
        <v>13.4</v>
      </c>
      <c r="X68" t="s">
        <v>57</v>
      </c>
      <c r="Z68" t="s">
        <v>264</v>
      </c>
      <c r="AA68" t="s">
        <v>64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1</v>
      </c>
      <c r="AM68">
        <v>0</v>
      </c>
      <c r="AN68">
        <v>0</v>
      </c>
      <c r="AO68">
        <v>0</v>
      </c>
      <c r="AP68">
        <v>0</v>
      </c>
    </row>
    <row r="69" spans="1:42" x14ac:dyDescent="0.25">
      <c r="A69">
        <v>91</v>
      </c>
      <c r="B69" t="s">
        <v>274</v>
      </c>
      <c r="C69" t="s">
        <v>270</v>
      </c>
      <c r="D69" t="s">
        <v>133</v>
      </c>
      <c r="E69" s="4">
        <v>1</v>
      </c>
      <c r="F69" t="s">
        <v>61</v>
      </c>
      <c r="G69" t="s">
        <v>61</v>
      </c>
      <c r="H69" s="3">
        <v>46111</v>
      </c>
      <c r="I69" s="3">
        <v>46111</v>
      </c>
      <c r="J69" t="s">
        <v>275</v>
      </c>
      <c r="K69" s="3">
        <v>46111</v>
      </c>
      <c r="L69" s="3">
        <v>46111</v>
      </c>
      <c r="M69" s="3">
        <v>46111</v>
      </c>
      <c r="N69" s="3">
        <v>46111</v>
      </c>
      <c r="O69" t="s">
        <v>275</v>
      </c>
      <c r="P69" t="s">
        <v>55</v>
      </c>
      <c r="Q69">
        <v>90</v>
      </c>
      <c r="S69" t="s">
        <v>124</v>
      </c>
      <c r="T69" t="s">
        <v>246</v>
      </c>
      <c r="U69">
        <v>98</v>
      </c>
      <c r="V69" t="s">
        <v>61</v>
      </c>
      <c r="W69">
        <v>13.4</v>
      </c>
      <c r="X69" t="s">
        <v>57</v>
      </c>
      <c r="Z69" t="s">
        <v>124</v>
      </c>
      <c r="AA69" t="s">
        <v>255</v>
      </c>
      <c r="AE69">
        <v>1</v>
      </c>
      <c r="AF69">
        <v>0</v>
      </c>
      <c r="AG69">
        <v>0</v>
      </c>
      <c r="AH69">
        <v>0</v>
      </c>
      <c r="AI69">
        <v>1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0</v>
      </c>
      <c r="AP69">
        <v>0</v>
      </c>
    </row>
    <row r="70" spans="1:42" x14ac:dyDescent="0.25">
      <c r="A70">
        <v>92</v>
      </c>
      <c r="B70" t="s">
        <v>276</v>
      </c>
      <c r="C70" t="s">
        <v>246</v>
      </c>
      <c r="D70" t="s">
        <v>277</v>
      </c>
      <c r="E70" s="4">
        <v>1</v>
      </c>
      <c r="F70" t="s">
        <v>214</v>
      </c>
      <c r="G70" t="s">
        <v>214</v>
      </c>
      <c r="H70" s="3">
        <v>46104</v>
      </c>
      <c r="I70" s="3">
        <v>46111</v>
      </c>
      <c r="J70" t="s">
        <v>123</v>
      </c>
      <c r="K70" s="3">
        <v>46111</v>
      </c>
      <c r="L70" s="3">
        <v>46104</v>
      </c>
      <c r="M70" s="3">
        <v>46111</v>
      </c>
      <c r="N70" s="3">
        <v>46111</v>
      </c>
      <c r="O70" t="s">
        <v>123</v>
      </c>
      <c r="P70" t="s">
        <v>55</v>
      </c>
      <c r="T70" t="s">
        <v>246</v>
      </c>
      <c r="V70" t="s">
        <v>214</v>
      </c>
      <c r="W70">
        <v>15.6</v>
      </c>
      <c r="X70" t="s">
        <v>57</v>
      </c>
      <c r="AA70" t="s">
        <v>50</v>
      </c>
      <c r="AB70" t="s">
        <v>94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</row>
    <row r="71" spans="1:42" x14ac:dyDescent="0.25">
      <c r="A71">
        <v>93</v>
      </c>
      <c r="B71" t="s">
        <v>278</v>
      </c>
      <c r="C71" t="s">
        <v>279</v>
      </c>
      <c r="D71" t="s">
        <v>117</v>
      </c>
      <c r="E71" s="4">
        <v>1</v>
      </c>
      <c r="F71" t="s">
        <v>61</v>
      </c>
      <c r="G71" t="s">
        <v>61</v>
      </c>
      <c r="H71" s="3">
        <v>46104</v>
      </c>
      <c r="I71" s="3">
        <v>46104</v>
      </c>
      <c r="J71" t="s">
        <v>123</v>
      </c>
      <c r="K71" s="3">
        <v>46104</v>
      </c>
      <c r="L71" s="3">
        <v>46104</v>
      </c>
      <c r="M71" s="3">
        <v>46104</v>
      </c>
      <c r="N71" s="3">
        <v>46104</v>
      </c>
      <c r="O71" t="s">
        <v>123</v>
      </c>
      <c r="P71" t="s">
        <v>55</v>
      </c>
      <c r="Q71">
        <v>12</v>
      </c>
      <c r="S71" t="s">
        <v>124</v>
      </c>
      <c r="T71" t="s">
        <v>246</v>
      </c>
      <c r="U71">
        <v>94</v>
      </c>
      <c r="V71" t="s">
        <v>61</v>
      </c>
      <c r="W71">
        <v>13.4</v>
      </c>
      <c r="X71" t="s">
        <v>57</v>
      </c>
      <c r="Z71" t="s">
        <v>124</v>
      </c>
      <c r="AA71" t="s">
        <v>64</v>
      </c>
      <c r="AE71">
        <v>1</v>
      </c>
      <c r="AF71">
        <v>1</v>
      </c>
      <c r="AG71">
        <v>1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1</v>
      </c>
    </row>
    <row r="72" spans="1:42" x14ac:dyDescent="0.25">
      <c r="A72">
        <v>94</v>
      </c>
      <c r="B72" t="s">
        <v>280</v>
      </c>
      <c r="C72" t="s">
        <v>279</v>
      </c>
      <c r="D72" t="s">
        <v>121</v>
      </c>
      <c r="E72" s="4">
        <v>1</v>
      </c>
      <c r="F72" t="s">
        <v>122</v>
      </c>
      <c r="G72" t="s">
        <v>122</v>
      </c>
      <c r="H72" s="3">
        <v>46105</v>
      </c>
      <c r="I72" s="3">
        <v>46107</v>
      </c>
      <c r="J72" t="s">
        <v>272</v>
      </c>
      <c r="K72" s="3">
        <v>46107</v>
      </c>
      <c r="L72" s="3">
        <v>46105</v>
      </c>
      <c r="M72" s="3">
        <v>46107</v>
      </c>
      <c r="N72" s="3">
        <v>46107</v>
      </c>
      <c r="O72" t="s">
        <v>272</v>
      </c>
      <c r="P72" t="s">
        <v>55</v>
      </c>
      <c r="Q72">
        <v>93</v>
      </c>
      <c r="S72" t="s">
        <v>124</v>
      </c>
      <c r="T72" t="s">
        <v>246</v>
      </c>
      <c r="U72">
        <v>95</v>
      </c>
      <c r="V72" t="s">
        <v>122</v>
      </c>
      <c r="W72">
        <v>13.4</v>
      </c>
      <c r="X72" t="s">
        <v>57</v>
      </c>
      <c r="Z72" t="s">
        <v>124</v>
      </c>
      <c r="AA72" t="s">
        <v>64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1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</row>
    <row r="73" spans="1:42" x14ac:dyDescent="0.25">
      <c r="A73">
        <v>95</v>
      </c>
      <c r="B73" t="s">
        <v>281</v>
      </c>
      <c r="C73" t="s">
        <v>279</v>
      </c>
      <c r="D73" t="s">
        <v>126</v>
      </c>
      <c r="E73" s="4">
        <v>1</v>
      </c>
      <c r="F73" t="s">
        <v>61</v>
      </c>
      <c r="G73" t="s">
        <v>61</v>
      </c>
      <c r="H73" s="3">
        <v>46108</v>
      </c>
      <c r="I73" s="3">
        <v>46108</v>
      </c>
      <c r="J73" t="s">
        <v>135</v>
      </c>
      <c r="K73" s="3">
        <v>46108</v>
      </c>
      <c r="L73" s="3">
        <v>46108</v>
      </c>
      <c r="M73" s="3">
        <v>46108</v>
      </c>
      <c r="N73" s="3">
        <v>46108</v>
      </c>
      <c r="O73" t="s">
        <v>135</v>
      </c>
      <c r="P73" t="s">
        <v>55</v>
      </c>
      <c r="Q73">
        <v>94</v>
      </c>
      <c r="S73" t="s">
        <v>264</v>
      </c>
      <c r="T73" t="s">
        <v>246</v>
      </c>
      <c r="U73">
        <v>96</v>
      </c>
      <c r="V73" t="s">
        <v>61</v>
      </c>
      <c r="W73">
        <v>13.4</v>
      </c>
      <c r="X73" t="s">
        <v>57</v>
      </c>
      <c r="Z73" t="s">
        <v>264</v>
      </c>
      <c r="AA73" t="s">
        <v>64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1</v>
      </c>
      <c r="AM73">
        <v>0</v>
      </c>
      <c r="AN73">
        <v>0</v>
      </c>
      <c r="AO73">
        <v>0</v>
      </c>
      <c r="AP73">
        <v>0</v>
      </c>
    </row>
    <row r="74" spans="1:42" x14ac:dyDescent="0.25">
      <c r="A74">
        <v>96</v>
      </c>
      <c r="B74" t="s">
        <v>282</v>
      </c>
      <c r="C74" t="s">
        <v>279</v>
      </c>
      <c r="D74" t="s">
        <v>133</v>
      </c>
      <c r="E74" s="4">
        <v>1</v>
      </c>
      <c r="F74" t="s">
        <v>61</v>
      </c>
      <c r="G74" t="s">
        <v>61</v>
      </c>
      <c r="H74" s="3">
        <v>46111</v>
      </c>
      <c r="I74" s="3">
        <v>46111</v>
      </c>
      <c r="J74" t="s">
        <v>275</v>
      </c>
      <c r="K74" s="3">
        <v>46111</v>
      </c>
      <c r="L74" s="3">
        <v>46111</v>
      </c>
      <c r="M74" s="3">
        <v>46111</v>
      </c>
      <c r="N74" s="3">
        <v>46111</v>
      </c>
      <c r="O74" t="s">
        <v>275</v>
      </c>
      <c r="P74" t="s">
        <v>55</v>
      </c>
      <c r="Q74">
        <v>95</v>
      </c>
      <c r="S74" t="s">
        <v>124</v>
      </c>
      <c r="T74" t="s">
        <v>246</v>
      </c>
      <c r="U74">
        <v>98</v>
      </c>
      <c r="V74" t="s">
        <v>61</v>
      </c>
      <c r="W74">
        <v>13.4</v>
      </c>
      <c r="X74" t="s">
        <v>57</v>
      </c>
      <c r="Z74" t="s">
        <v>124</v>
      </c>
      <c r="AA74" t="s">
        <v>255</v>
      </c>
      <c r="AE74">
        <v>1</v>
      </c>
      <c r="AF74">
        <v>0</v>
      </c>
      <c r="AG74">
        <v>0</v>
      </c>
      <c r="AH74">
        <v>0</v>
      </c>
      <c r="AI74">
        <v>1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0</v>
      </c>
      <c r="AP74">
        <v>0</v>
      </c>
    </row>
    <row r="75" spans="1:42" x14ac:dyDescent="0.25">
      <c r="A75">
        <v>97</v>
      </c>
      <c r="B75" t="s">
        <v>283</v>
      </c>
      <c r="C75" t="s">
        <v>246</v>
      </c>
      <c r="D75" t="s">
        <v>284</v>
      </c>
      <c r="E75" s="4">
        <v>1</v>
      </c>
      <c r="F75" t="s">
        <v>151</v>
      </c>
      <c r="G75" t="s">
        <v>151</v>
      </c>
      <c r="H75" s="3">
        <v>46113</v>
      </c>
      <c r="I75" s="3">
        <v>46128</v>
      </c>
      <c r="J75" t="s">
        <v>257</v>
      </c>
      <c r="K75" s="3">
        <v>46128</v>
      </c>
      <c r="L75" s="3">
        <v>46113</v>
      </c>
      <c r="M75" s="3">
        <v>46128</v>
      </c>
      <c r="N75" s="3">
        <v>46128</v>
      </c>
      <c r="O75" t="s">
        <v>257</v>
      </c>
      <c r="P75" t="s">
        <v>55</v>
      </c>
      <c r="T75" t="s">
        <v>246</v>
      </c>
      <c r="V75" t="s">
        <v>151</v>
      </c>
      <c r="W75">
        <v>19.2</v>
      </c>
      <c r="X75" t="s">
        <v>57</v>
      </c>
      <c r="AA75" t="s">
        <v>50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</row>
    <row r="76" spans="1:42" x14ac:dyDescent="0.25">
      <c r="A76">
        <v>98</v>
      </c>
      <c r="B76" t="s">
        <v>285</v>
      </c>
      <c r="C76" t="s">
        <v>286</v>
      </c>
      <c r="D76" t="s">
        <v>117</v>
      </c>
      <c r="E76" s="4">
        <v>1</v>
      </c>
      <c r="F76" t="s">
        <v>138</v>
      </c>
      <c r="G76" t="s">
        <v>138</v>
      </c>
      <c r="H76" s="3">
        <v>46113</v>
      </c>
      <c r="I76" s="3">
        <v>46121</v>
      </c>
      <c r="J76" t="s">
        <v>257</v>
      </c>
      <c r="K76" s="3">
        <v>46121</v>
      </c>
      <c r="L76" s="3">
        <v>46113</v>
      </c>
      <c r="M76" s="3">
        <v>46121</v>
      </c>
      <c r="N76" s="3">
        <v>46121</v>
      </c>
      <c r="O76" t="s">
        <v>257</v>
      </c>
      <c r="P76" t="s">
        <v>55</v>
      </c>
      <c r="Q76" t="s">
        <v>287</v>
      </c>
      <c r="R76" t="s">
        <v>288</v>
      </c>
      <c r="S76" t="s">
        <v>124</v>
      </c>
      <c r="T76" t="s">
        <v>246</v>
      </c>
      <c r="U76" t="s">
        <v>289</v>
      </c>
      <c r="V76" t="s">
        <v>138</v>
      </c>
      <c r="W76">
        <v>13.4</v>
      </c>
      <c r="X76" t="s">
        <v>57</v>
      </c>
      <c r="Z76" t="s">
        <v>124</v>
      </c>
      <c r="AA76" t="s">
        <v>255</v>
      </c>
      <c r="AE76">
        <v>1</v>
      </c>
      <c r="AF76">
        <v>1</v>
      </c>
      <c r="AG76">
        <v>1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1</v>
      </c>
    </row>
    <row r="77" spans="1:42" x14ac:dyDescent="0.25">
      <c r="A77">
        <v>99</v>
      </c>
      <c r="B77" t="s">
        <v>290</v>
      </c>
      <c r="C77" t="s">
        <v>286</v>
      </c>
      <c r="D77" t="s">
        <v>121</v>
      </c>
      <c r="E77" s="4">
        <v>1</v>
      </c>
      <c r="F77" t="s">
        <v>122</v>
      </c>
      <c r="G77" t="s">
        <v>122</v>
      </c>
      <c r="H77" s="3">
        <v>46122</v>
      </c>
      <c r="I77" s="3">
        <v>46126</v>
      </c>
      <c r="J77" t="s">
        <v>80</v>
      </c>
      <c r="K77" s="3">
        <v>46126</v>
      </c>
      <c r="L77" s="3">
        <v>46122</v>
      </c>
      <c r="M77" s="3">
        <v>46126</v>
      </c>
      <c r="N77" s="3">
        <v>46126</v>
      </c>
      <c r="O77" t="s">
        <v>80</v>
      </c>
      <c r="P77" t="s">
        <v>55</v>
      </c>
      <c r="Q77">
        <v>98</v>
      </c>
      <c r="S77" t="s">
        <v>124</v>
      </c>
      <c r="T77" t="s">
        <v>246</v>
      </c>
      <c r="U77">
        <v>100</v>
      </c>
      <c r="V77" t="s">
        <v>122</v>
      </c>
      <c r="W77">
        <v>13.4</v>
      </c>
      <c r="X77" t="s">
        <v>57</v>
      </c>
      <c r="Z77" t="s">
        <v>124</v>
      </c>
      <c r="AA77" t="s">
        <v>82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1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</row>
    <row r="78" spans="1:42" x14ac:dyDescent="0.25">
      <c r="A78">
        <v>100</v>
      </c>
      <c r="B78" t="s">
        <v>291</v>
      </c>
      <c r="C78" t="s">
        <v>286</v>
      </c>
      <c r="D78" t="s">
        <v>126</v>
      </c>
      <c r="E78" s="4">
        <v>1</v>
      </c>
      <c r="F78" t="s">
        <v>61</v>
      </c>
      <c r="G78" t="s">
        <v>61</v>
      </c>
      <c r="H78" s="3">
        <v>46127</v>
      </c>
      <c r="I78" s="3">
        <v>46127</v>
      </c>
      <c r="J78" t="s">
        <v>146</v>
      </c>
      <c r="K78" s="3">
        <v>46127</v>
      </c>
      <c r="L78" s="3">
        <v>46127</v>
      </c>
      <c r="M78" s="3">
        <v>46127</v>
      </c>
      <c r="N78" s="3">
        <v>46127</v>
      </c>
      <c r="O78" t="s">
        <v>146</v>
      </c>
      <c r="P78" t="s">
        <v>55</v>
      </c>
      <c r="Q78">
        <v>99</v>
      </c>
      <c r="S78" t="s">
        <v>264</v>
      </c>
      <c r="T78" t="s">
        <v>246</v>
      </c>
      <c r="U78">
        <v>101</v>
      </c>
      <c r="V78" t="s">
        <v>61</v>
      </c>
      <c r="W78">
        <v>13.4</v>
      </c>
      <c r="X78" t="s">
        <v>57</v>
      </c>
      <c r="Z78" t="s">
        <v>264</v>
      </c>
      <c r="AA78" t="s">
        <v>180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1</v>
      </c>
      <c r="AM78">
        <v>0</v>
      </c>
      <c r="AN78">
        <v>0</v>
      </c>
      <c r="AO78">
        <v>0</v>
      </c>
      <c r="AP78">
        <v>0</v>
      </c>
    </row>
    <row r="79" spans="1:42" x14ac:dyDescent="0.25">
      <c r="A79">
        <v>101</v>
      </c>
      <c r="B79" t="s">
        <v>292</v>
      </c>
      <c r="C79" t="s">
        <v>286</v>
      </c>
      <c r="D79" t="s">
        <v>133</v>
      </c>
      <c r="E79" s="4">
        <v>1</v>
      </c>
      <c r="F79" t="s">
        <v>61</v>
      </c>
      <c r="G79" t="s">
        <v>61</v>
      </c>
      <c r="H79" s="3">
        <v>46128</v>
      </c>
      <c r="I79" s="3">
        <v>46128</v>
      </c>
      <c r="J79" t="s">
        <v>148</v>
      </c>
      <c r="K79" s="3">
        <v>46128</v>
      </c>
      <c r="L79" s="3">
        <v>46128</v>
      </c>
      <c r="M79" s="3">
        <v>46128</v>
      </c>
      <c r="N79" s="3">
        <v>46128</v>
      </c>
      <c r="O79" t="s">
        <v>148</v>
      </c>
      <c r="P79" t="s">
        <v>55</v>
      </c>
      <c r="Q79">
        <v>100</v>
      </c>
      <c r="S79" t="s">
        <v>124</v>
      </c>
      <c r="T79" t="s">
        <v>246</v>
      </c>
      <c r="V79" t="s">
        <v>61</v>
      </c>
      <c r="W79">
        <v>13.4</v>
      </c>
      <c r="X79" t="s">
        <v>57</v>
      </c>
      <c r="Z79" t="s">
        <v>124</v>
      </c>
      <c r="AA79" t="s">
        <v>180</v>
      </c>
      <c r="AE79">
        <v>1</v>
      </c>
      <c r="AF79">
        <v>0</v>
      </c>
      <c r="AG79">
        <v>0</v>
      </c>
      <c r="AH79">
        <v>0</v>
      </c>
      <c r="AI79">
        <v>1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0</v>
      </c>
      <c r="AP79">
        <v>0</v>
      </c>
    </row>
    <row r="80" spans="1:42" x14ac:dyDescent="0.25">
      <c r="A80">
        <v>102</v>
      </c>
      <c r="B80" t="s">
        <v>293</v>
      </c>
      <c r="C80" t="s">
        <v>246</v>
      </c>
      <c r="D80" t="s">
        <v>294</v>
      </c>
      <c r="E80" s="4">
        <v>1</v>
      </c>
      <c r="F80" t="s">
        <v>295</v>
      </c>
      <c r="G80" t="s">
        <v>295</v>
      </c>
      <c r="H80" s="3">
        <v>46122</v>
      </c>
      <c r="I80" s="3">
        <v>46148</v>
      </c>
      <c r="J80" t="s">
        <v>80</v>
      </c>
      <c r="K80" s="3">
        <v>46129</v>
      </c>
      <c r="L80" s="3">
        <v>46122</v>
      </c>
      <c r="M80" s="3">
        <v>46148</v>
      </c>
      <c r="N80" s="3">
        <v>46148</v>
      </c>
      <c r="O80" t="s">
        <v>80</v>
      </c>
      <c r="P80" t="s">
        <v>55</v>
      </c>
      <c r="T80" t="s">
        <v>246</v>
      </c>
      <c r="U80" t="s">
        <v>296</v>
      </c>
      <c r="V80" t="s">
        <v>214</v>
      </c>
      <c r="W80">
        <v>15.6</v>
      </c>
      <c r="X80" t="s">
        <v>57</v>
      </c>
      <c r="AA80" t="s">
        <v>50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</row>
    <row r="81" spans="1:42" x14ac:dyDescent="0.25">
      <c r="A81">
        <v>103</v>
      </c>
      <c r="B81" t="s">
        <v>297</v>
      </c>
      <c r="C81" t="s">
        <v>298</v>
      </c>
      <c r="D81" t="s">
        <v>117</v>
      </c>
      <c r="E81" s="4">
        <v>1</v>
      </c>
      <c r="F81" t="s">
        <v>61</v>
      </c>
      <c r="G81" t="s">
        <v>61</v>
      </c>
      <c r="H81" s="3">
        <v>46122</v>
      </c>
      <c r="I81" s="3">
        <v>46122</v>
      </c>
      <c r="J81" t="s">
        <v>80</v>
      </c>
      <c r="K81" s="3">
        <v>46122</v>
      </c>
      <c r="L81" s="3">
        <v>46122</v>
      </c>
      <c r="M81" s="3">
        <v>46122</v>
      </c>
      <c r="N81" s="3">
        <v>46122</v>
      </c>
      <c r="O81" t="s">
        <v>80</v>
      </c>
      <c r="P81" t="s">
        <v>55</v>
      </c>
      <c r="Q81">
        <v>98</v>
      </c>
      <c r="R81" s="1">
        <v>46122</v>
      </c>
      <c r="S81" t="s">
        <v>124</v>
      </c>
      <c r="T81" t="s">
        <v>246</v>
      </c>
      <c r="U81" t="s">
        <v>299</v>
      </c>
      <c r="V81" t="s">
        <v>61</v>
      </c>
      <c r="W81">
        <v>13.4</v>
      </c>
      <c r="X81" t="s">
        <v>57</v>
      </c>
      <c r="Z81" t="s">
        <v>124</v>
      </c>
      <c r="AA81" t="s">
        <v>82</v>
      </c>
      <c r="AE81">
        <v>1</v>
      </c>
      <c r="AF81">
        <v>1</v>
      </c>
      <c r="AG81">
        <v>1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1</v>
      </c>
    </row>
    <row r="82" spans="1:42" x14ac:dyDescent="0.25">
      <c r="A82">
        <v>104</v>
      </c>
      <c r="B82" t="s">
        <v>300</v>
      </c>
      <c r="C82" t="s">
        <v>298</v>
      </c>
      <c r="D82" t="s">
        <v>121</v>
      </c>
      <c r="E82" s="4">
        <v>1</v>
      </c>
      <c r="F82" t="s">
        <v>122</v>
      </c>
      <c r="G82" t="s">
        <v>122</v>
      </c>
      <c r="H82" s="3">
        <v>46125</v>
      </c>
      <c r="I82" s="3">
        <v>46127</v>
      </c>
      <c r="J82" t="s">
        <v>144</v>
      </c>
      <c r="K82" s="3">
        <v>46127</v>
      </c>
      <c r="L82" s="3">
        <v>46125</v>
      </c>
      <c r="M82" s="3">
        <v>46127</v>
      </c>
      <c r="N82" s="3">
        <v>46127</v>
      </c>
      <c r="O82" t="s">
        <v>144</v>
      </c>
      <c r="P82" t="s">
        <v>55</v>
      </c>
      <c r="Q82">
        <v>103</v>
      </c>
      <c r="S82" t="s">
        <v>124</v>
      </c>
      <c r="T82" t="s">
        <v>246</v>
      </c>
      <c r="U82">
        <v>105</v>
      </c>
      <c r="V82" t="s">
        <v>122</v>
      </c>
      <c r="W82">
        <v>13.4</v>
      </c>
      <c r="X82" t="s">
        <v>57</v>
      </c>
      <c r="Z82" t="s">
        <v>124</v>
      </c>
      <c r="AA82" t="s">
        <v>180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1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</row>
    <row r="83" spans="1:42" x14ac:dyDescent="0.25">
      <c r="A83">
        <v>105</v>
      </c>
      <c r="B83" t="s">
        <v>301</v>
      </c>
      <c r="C83" t="s">
        <v>298</v>
      </c>
      <c r="D83" t="s">
        <v>126</v>
      </c>
      <c r="E83" s="4">
        <v>1</v>
      </c>
      <c r="F83" t="s">
        <v>61</v>
      </c>
      <c r="G83" t="s">
        <v>61</v>
      </c>
      <c r="H83" s="3">
        <v>46147</v>
      </c>
      <c r="I83" s="3">
        <v>46147</v>
      </c>
      <c r="J83" t="s">
        <v>148</v>
      </c>
      <c r="K83" s="3">
        <v>46128</v>
      </c>
      <c r="L83" s="3">
        <v>46128</v>
      </c>
      <c r="M83" s="3">
        <v>46147</v>
      </c>
      <c r="N83" s="3">
        <v>46147</v>
      </c>
      <c r="O83" t="s">
        <v>183</v>
      </c>
      <c r="P83" t="s">
        <v>55</v>
      </c>
      <c r="Q83">
        <v>104</v>
      </c>
      <c r="S83" t="s">
        <v>302</v>
      </c>
      <c r="T83" t="s">
        <v>246</v>
      </c>
      <c r="U83">
        <v>106</v>
      </c>
      <c r="V83" t="s">
        <v>61</v>
      </c>
      <c r="W83">
        <v>13.4</v>
      </c>
      <c r="X83" t="s">
        <v>57</v>
      </c>
      <c r="Z83" t="s">
        <v>302</v>
      </c>
      <c r="AA83" t="s">
        <v>180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1</v>
      </c>
      <c r="AM83">
        <v>0</v>
      </c>
      <c r="AN83">
        <v>0</v>
      </c>
      <c r="AO83">
        <v>0</v>
      </c>
      <c r="AP83">
        <v>0</v>
      </c>
    </row>
    <row r="84" spans="1:42" x14ac:dyDescent="0.25">
      <c r="A84">
        <v>106</v>
      </c>
      <c r="B84" t="s">
        <v>303</v>
      </c>
      <c r="C84" t="s">
        <v>298</v>
      </c>
      <c r="D84" t="s">
        <v>133</v>
      </c>
      <c r="E84" s="4">
        <v>1</v>
      </c>
      <c r="F84" t="s">
        <v>61</v>
      </c>
      <c r="G84" t="s">
        <v>61</v>
      </c>
      <c r="H84" s="3">
        <v>46148</v>
      </c>
      <c r="I84" s="3">
        <v>46148</v>
      </c>
      <c r="J84" t="s">
        <v>182</v>
      </c>
      <c r="K84" s="3">
        <v>46129</v>
      </c>
      <c r="L84" s="3">
        <v>46129</v>
      </c>
      <c r="M84" s="3">
        <v>46148</v>
      </c>
      <c r="N84" s="3">
        <v>46148</v>
      </c>
      <c r="O84" t="s">
        <v>304</v>
      </c>
      <c r="P84" t="s">
        <v>55</v>
      </c>
      <c r="Q84">
        <v>105</v>
      </c>
      <c r="S84" t="s">
        <v>124</v>
      </c>
      <c r="T84" t="s">
        <v>246</v>
      </c>
      <c r="V84" t="s">
        <v>61</v>
      </c>
      <c r="W84">
        <v>13.4</v>
      </c>
      <c r="X84" t="s">
        <v>57</v>
      </c>
      <c r="Z84" t="s">
        <v>124</v>
      </c>
      <c r="AA84" t="s">
        <v>180</v>
      </c>
      <c r="AE84">
        <v>1</v>
      </c>
      <c r="AF84">
        <v>0</v>
      </c>
      <c r="AG84">
        <v>0</v>
      </c>
      <c r="AH84">
        <v>0</v>
      </c>
      <c r="AI84">
        <v>1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0</v>
      </c>
      <c r="AP84">
        <v>0</v>
      </c>
    </row>
    <row r="85" spans="1:42" x14ac:dyDescent="0.25">
      <c r="A85">
        <v>107</v>
      </c>
      <c r="B85" t="s">
        <v>305</v>
      </c>
      <c r="C85" t="s">
        <v>246</v>
      </c>
      <c r="D85" t="s">
        <v>306</v>
      </c>
      <c r="E85" s="4">
        <v>1</v>
      </c>
      <c r="F85" t="s">
        <v>295</v>
      </c>
      <c r="G85" t="s">
        <v>295</v>
      </c>
      <c r="H85" s="3">
        <v>46122</v>
      </c>
      <c r="I85" s="3">
        <v>46148</v>
      </c>
      <c r="J85" t="s">
        <v>80</v>
      </c>
      <c r="K85" s="3">
        <v>46129</v>
      </c>
      <c r="L85" s="3">
        <v>46122</v>
      </c>
      <c r="M85" s="3">
        <v>46148</v>
      </c>
      <c r="N85" s="3">
        <v>46148</v>
      </c>
      <c r="O85" t="s">
        <v>80</v>
      </c>
      <c r="P85" t="s">
        <v>55</v>
      </c>
      <c r="T85" t="s">
        <v>246</v>
      </c>
      <c r="U85" t="s">
        <v>307</v>
      </c>
      <c r="V85" t="s">
        <v>214</v>
      </c>
      <c r="W85">
        <v>33.6</v>
      </c>
      <c r="X85" t="s">
        <v>57</v>
      </c>
      <c r="AA85" t="s">
        <v>50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</row>
    <row r="86" spans="1:42" x14ac:dyDescent="0.25">
      <c r="A86">
        <v>108</v>
      </c>
      <c r="B86" t="s">
        <v>308</v>
      </c>
      <c r="C86" t="s">
        <v>309</v>
      </c>
      <c r="D86" t="s">
        <v>117</v>
      </c>
      <c r="E86" s="4">
        <v>1</v>
      </c>
      <c r="F86" t="s">
        <v>61</v>
      </c>
      <c r="G86" t="s">
        <v>61</v>
      </c>
      <c r="H86" s="3">
        <v>46122</v>
      </c>
      <c r="I86" s="3">
        <v>46122</v>
      </c>
      <c r="J86" t="s">
        <v>80</v>
      </c>
      <c r="K86" s="3">
        <v>46122</v>
      </c>
      <c r="L86" s="3">
        <v>46122</v>
      </c>
      <c r="M86" s="3">
        <v>46122</v>
      </c>
      <c r="N86" s="3">
        <v>46122</v>
      </c>
      <c r="O86" t="s">
        <v>80</v>
      </c>
      <c r="P86" t="s">
        <v>55</v>
      </c>
      <c r="Q86">
        <v>98</v>
      </c>
      <c r="R86" s="1">
        <v>46122</v>
      </c>
      <c r="S86" t="s">
        <v>124</v>
      </c>
      <c r="T86" t="s">
        <v>246</v>
      </c>
      <c r="U86">
        <v>109</v>
      </c>
      <c r="V86" t="s">
        <v>61</v>
      </c>
      <c r="W86">
        <v>13.4</v>
      </c>
      <c r="X86" t="s">
        <v>57</v>
      </c>
      <c r="Z86" t="s">
        <v>124</v>
      </c>
      <c r="AA86" t="s">
        <v>82</v>
      </c>
      <c r="AE86">
        <v>1</v>
      </c>
      <c r="AF86">
        <v>1</v>
      </c>
      <c r="AG86">
        <v>1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1</v>
      </c>
    </row>
    <row r="87" spans="1:42" x14ac:dyDescent="0.25">
      <c r="A87">
        <v>109</v>
      </c>
      <c r="B87" t="s">
        <v>310</v>
      </c>
      <c r="C87" t="s">
        <v>309</v>
      </c>
      <c r="D87" t="s">
        <v>121</v>
      </c>
      <c r="E87" s="4">
        <v>1</v>
      </c>
      <c r="F87" t="s">
        <v>122</v>
      </c>
      <c r="G87" t="s">
        <v>122</v>
      </c>
      <c r="H87" s="3">
        <v>46125</v>
      </c>
      <c r="I87" s="3">
        <v>46127</v>
      </c>
      <c r="J87" t="s">
        <v>144</v>
      </c>
      <c r="K87" s="3">
        <v>46127</v>
      </c>
      <c r="L87" s="3">
        <v>46125</v>
      </c>
      <c r="M87" s="3">
        <v>46127</v>
      </c>
      <c r="N87" s="3">
        <v>46127</v>
      </c>
      <c r="O87" t="s">
        <v>144</v>
      </c>
      <c r="P87" t="s">
        <v>55</v>
      </c>
      <c r="Q87">
        <v>108</v>
      </c>
      <c r="S87" t="s">
        <v>124</v>
      </c>
      <c r="T87" t="s">
        <v>246</v>
      </c>
      <c r="U87">
        <v>110</v>
      </c>
      <c r="V87" t="s">
        <v>122</v>
      </c>
      <c r="W87">
        <v>13.4</v>
      </c>
      <c r="X87" t="s">
        <v>57</v>
      </c>
      <c r="Z87" t="s">
        <v>124</v>
      </c>
      <c r="AA87" t="s">
        <v>180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1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</row>
    <row r="88" spans="1:42" x14ac:dyDescent="0.25">
      <c r="A88">
        <v>110</v>
      </c>
      <c r="B88" t="s">
        <v>311</v>
      </c>
      <c r="C88" t="s">
        <v>309</v>
      </c>
      <c r="D88" t="s">
        <v>126</v>
      </c>
      <c r="E88" s="4">
        <v>1</v>
      </c>
      <c r="F88" t="s">
        <v>61</v>
      </c>
      <c r="G88" t="s">
        <v>61</v>
      </c>
      <c r="H88" s="3">
        <v>46147</v>
      </c>
      <c r="I88" s="3">
        <v>46147</v>
      </c>
      <c r="J88" t="s">
        <v>148</v>
      </c>
      <c r="K88" s="3">
        <v>46128</v>
      </c>
      <c r="L88" s="3">
        <v>46128</v>
      </c>
      <c r="M88" s="3">
        <v>46147</v>
      </c>
      <c r="N88" s="3">
        <v>46147</v>
      </c>
      <c r="O88" t="s">
        <v>183</v>
      </c>
      <c r="P88" t="s">
        <v>55</v>
      </c>
      <c r="Q88">
        <v>109</v>
      </c>
      <c r="S88" t="s">
        <v>302</v>
      </c>
      <c r="T88" t="s">
        <v>246</v>
      </c>
      <c r="U88">
        <v>111</v>
      </c>
      <c r="V88" t="s">
        <v>61</v>
      </c>
      <c r="W88">
        <v>13.4</v>
      </c>
      <c r="X88" t="s">
        <v>57</v>
      </c>
      <c r="Z88" t="s">
        <v>302</v>
      </c>
      <c r="AA88" t="s">
        <v>180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1</v>
      </c>
      <c r="AM88">
        <v>0</v>
      </c>
      <c r="AN88">
        <v>0</v>
      </c>
      <c r="AO88">
        <v>0</v>
      </c>
      <c r="AP88">
        <v>0</v>
      </c>
    </row>
    <row r="89" spans="1:42" x14ac:dyDescent="0.25">
      <c r="A89">
        <v>111</v>
      </c>
      <c r="B89" t="s">
        <v>312</v>
      </c>
      <c r="C89" t="s">
        <v>309</v>
      </c>
      <c r="D89" t="s">
        <v>133</v>
      </c>
      <c r="E89" s="4">
        <v>1</v>
      </c>
      <c r="F89" t="s">
        <v>61</v>
      </c>
      <c r="G89" t="s">
        <v>61</v>
      </c>
      <c r="H89" s="3">
        <v>46148</v>
      </c>
      <c r="I89" s="3">
        <v>46148</v>
      </c>
      <c r="J89" t="s">
        <v>182</v>
      </c>
      <c r="K89" s="3">
        <v>46129</v>
      </c>
      <c r="L89" s="3">
        <v>46129</v>
      </c>
      <c r="M89" s="3">
        <v>46148</v>
      </c>
      <c r="N89" s="3">
        <v>46148</v>
      </c>
      <c r="O89" t="s">
        <v>304</v>
      </c>
      <c r="P89" t="s">
        <v>55</v>
      </c>
      <c r="Q89">
        <v>110</v>
      </c>
      <c r="S89" t="s">
        <v>124</v>
      </c>
      <c r="T89" t="s">
        <v>246</v>
      </c>
      <c r="V89" t="s">
        <v>61</v>
      </c>
      <c r="W89">
        <v>13.4</v>
      </c>
      <c r="X89" t="s">
        <v>57</v>
      </c>
      <c r="Z89" t="s">
        <v>124</v>
      </c>
      <c r="AA89" t="s">
        <v>180</v>
      </c>
      <c r="AE89">
        <v>1</v>
      </c>
      <c r="AF89">
        <v>0</v>
      </c>
      <c r="AG89">
        <v>0</v>
      </c>
      <c r="AH89">
        <v>0</v>
      </c>
      <c r="AI89">
        <v>1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0</v>
      </c>
      <c r="AP89">
        <v>0</v>
      </c>
    </row>
    <row r="90" spans="1:42" x14ac:dyDescent="0.25">
      <c r="A90">
        <v>112</v>
      </c>
      <c r="B90" t="s">
        <v>313</v>
      </c>
      <c r="C90" t="s">
        <v>246</v>
      </c>
      <c r="D90" t="s">
        <v>314</v>
      </c>
      <c r="E90" s="4">
        <v>1</v>
      </c>
      <c r="F90" t="s">
        <v>295</v>
      </c>
      <c r="G90" t="s">
        <v>295</v>
      </c>
      <c r="H90" s="3">
        <v>46122</v>
      </c>
      <c r="I90" s="3">
        <v>46148</v>
      </c>
      <c r="J90" t="s">
        <v>80</v>
      </c>
      <c r="K90" s="3">
        <v>46129</v>
      </c>
      <c r="L90" s="3">
        <v>46122</v>
      </c>
      <c r="M90" s="3">
        <v>46148</v>
      </c>
      <c r="N90" s="3">
        <v>46148</v>
      </c>
      <c r="O90" t="s">
        <v>80</v>
      </c>
      <c r="P90" t="s">
        <v>55</v>
      </c>
      <c r="T90" t="s">
        <v>246</v>
      </c>
      <c r="U90">
        <v>1493</v>
      </c>
      <c r="V90" t="s">
        <v>214</v>
      </c>
      <c r="W90">
        <v>15.6</v>
      </c>
      <c r="X90" t="s">
        <v>57</v>
      </c>
      <c r="AA90" t="s">
        <v>50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</row>
    <row r="91" spans="1:42" x14ac:dyDescent="0.25">
      <c r="A91">
        <v>113</v>
      </c>
      <c r="B91" t="s">
        <v>315</v>
      </c>
      <c r="C91" t="s">
        <v>316</v>
      </c>
      <c r="D91" t="s">
        <v>117</v>
      </c>
      <c r="E91" s="4">
        <v>1</v>
      </c>
      <c r="F91" t="s">
        <v>61</v>
      </c>
      <c r="G91" t="s">
        <v>61</v>
      </c>
      <c r="H91" s="3">
        <v>46122</v>
      </c>
      <c r="I91" s="3">
        <v>46122</v>
      </c>
      <c r="J91" t="s">
        <v>80</v>
      </c>
      <c r="K91" s="3">
        <v>46122</v>
      </c>
      <c r="L91" s="3">
        <v>46122</v>
      </c>
      <c r="M91" s="3">
        <v>46122</v>
      </c>
      <c r="N91" s="3">
        <v>46122</v>
      </c>
      <c r="O91" t="s">
        <v>80</v>
      </c>
      <c r="P91" t="s">
        <v>55</v>
      </c>
      <c r="Q91">
        <v>98</v>
      </c>
      <c r="R91" s="1">
        <v>46122</v>
      </c>
      <c r="S91" t="s">
        <v>124</v>
      </c>
      <c r="T91" t="s">
        <v>246</v>
      </c>
      <c r="U91">
        <v>114</v>
      </c>
      <c r="V91" t="s">
        <v>61</v>
      </c>
      <c r="W91">
        <v>13.4</v>
      </c>
      <c r="X91" t="s">
        <v>57</v>
      </c>
      <c r="Z91" t="s">
        <v>124</v>
      </c>
      <c r="AA91" t="s">
        <v>82</v>
      </c>
      <c r="AE91">
        <v>1</v>
      </c>
      <c r="AF91">
        <v>1</v>
      </c>
      <c r="AG91">
        <v>1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1</v>
      </c>
    </row>
    <row r="92" spans="1:42" x14ac:dyDescent="0.25">
      <c r="A92">
        <v>114</v>
      </c>
      <c r="B92" t="s">
        <v>317</v>
      </c>
      <c r="C92" t="s">
        <v>316</v>
      </c>
      <c r="D92" t="s">
        <v>121</v>
      </c>
      <c r="E92" s="4">
        <v>1</v>
      </c>
      <c r="F92" t="s">
        <v>122</v>
      </c>
      <c r="G92" t="s">
        <v>122</v>
      </c>
      <c r="H92" s="3">
        <v>46125</v>
      </c>
      <c r="I92" s="3">
        <v>46127</v>
      </c>
      <c r="J92" t="s">
        <v>144</v>
      </c>
      <c r="K92" s="3">
        <v>46127</v>
      </c>
      <c r="L92" s="3">
        <v>46125</v>
      </c>
      <c r="M92" s="3">
        <v>46127</v>
      </c>
      <c r="N92" s="3">
        <v>46127</v>
      </c>
      <c r="O92" t="s">
        <v>144</v>
      </c>
      <c r="P92" t="s">
        <v>55</v>
      </c>
      <c r="Q92">
        <v>113</v>
      </c>
      <c r="S92" t="s">
        <v>124</v>
      </c>
      <c r="T92" t="s">
        <v>246</v>
      </c>
      <c r="U92">
        <v>115</v>
      </c>
      <c r="V92" t="s">
        <v>122</v>
      </c>
      <c r="W92">
        <v>13.4</v>
      </c>
      <c r="X92" t="s">
        <v>57</v>
      </c>
      <c r="Z92" t="s">
        <v>124</v>
      </c>
      <c r="AA92" t="s">
        <v>180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1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</row>
    <row r="93" spans="1:42" x14ac:dyDescent="0.25">
      <c r="A93">
        <v>115</v>
      </c>
      <c r="B93" t="s">
        <v>318</v>
      </c>
      <c r="C93" t="s">
        <v>316</v>
      </c>
      <c r="D93" t="s">
        <v>126</v>
      </c>
      <c r="E93" s="4">
        <v>1</v>
      </c>
      <c r="F93" t="s">
        <v>61</v>
      </c>
      <c r="G93" t="s">
        <v>61</v>
      </c>
      <c r="H93" s="3">
        <v>46147</v>
      </c>
      <c r="I93" s="3">
        <v>46147</v>
      </c>
      <c r="J93" t="s">
        <v>148</v>
      </c>
      <c r="K93" s="3">
        <v>46128</v>
      </c>
      <c r="L93" s="3">
        <v>46128</v>
      </c>
      <c r="M93" s="3">
        <v>46147</v>
      </c>
      <c r="N93" s="3">
        <v>46147</v>
      </c>
      <c r="O93" t="s">
        <v>183</v>
      </c>
      <c r="P93" t="s">
        <v>55</v>
      </c>
      <c r="Q93">
        <v>114</v>
      </c>
      <c r="S93" t="s">
        <v>302</v>
      </c>
      <c r="T93" t="s">
        <v>246</v>
      </c>
      <c r="U93">
        <v>116</v>
      </c>
      <c r="V93" t="s">
        <v>61</v>
      </c>
      <c r="W93">
        <v>13.4</v>
      </c>
      <c r="X93" t="s">
        <v>57</v>
      </c>
      <c r="Z93" t="s">
        <v>302</v>
      </c>
      <c r="AA93" t="s">
        <v>180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1</v>
      </c>
      <c r="AM93">
        <v>0</v>
      </c>
      <c r="AN93">
        <v>0</v>
      </c>
      <c r="AO93">
        <v>0</v>
      </c>
      <c r="AP93">
        <v>0</v>
      </c>
    </row>
    <row r="94" spans="1:42" x14ac:dyDescent="0.25">
      <c r="A94">
        <v>116</v>
      </c>
      <c r="B94" t="s">
        <v>319</v>
      </c>
      <c r="C94" t="s">
        <v>316</v>
      </c>
      <c r="D94" t="s">
        <v>133</v>
      </c>
      <c r="E94" s="4">
        <v>1</v>
      </c>
      <c r="F94" t="s">
        <v>61</v>
      </c>
      <c r="G94" t="s">
        <v>61</v>
      </c>
      <c r="H94" s="3">
        <v>46148</v>
      </c>
      <c r="I94" s="3">
        <v>46148</v>
      </c>
      <c r="J94" t="s">
        <v>182</v>
      </c>
      <c r="K94" s="3">
        <v>46129</v>
      </c>
      <c r="L94" s="3">
        <v>46129</v>
      </c>
      <c r="M94" s="3">
        <v>46148</v>
      </c>
      <c r="N94" s="3">
        <v>46148</v>
      </c>
      <c r="O94" t="s">
        <v>304</v>
      </c>
      <c r="P94" t="s">
        <v>55</v>
      </c>
      <c r="Q94">
        <v>115</v>
      </c>
      <c r="S94" t="s">
        <v>124</v>
      </c>
      <c r="T94" t="s">
        <v>246</v>
      </c>
      <c r="U94" t="s">
        <v>320</v>
      </c>
      <c r="V94" t="s">
        <v>61</v>
      </c>
      <c r="W94">
        <v>13.4</v>
      </c>
      <c r="X94" t="s">
        <v>57</v>
      </c>
      <c r="Z94" t="s">
        <v>124</v>
      </c>
      <c r="AA94" t="s">
        <v>180</v>
      </c>
      <c r="AE94">
        <v>1</v>
      </c>
      <c r="AF94">
        <v>0</v>
      </c>
      <c r="AG94">
        <v>0</v>
      </c>
      <c r="AH94">
        <v>0</v>
      </c>
      <c r="AI94">
        <v>1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0</v>
      </c>
      <c r="AP94">
        <v>0</v>
      </c>
    </row>
    <row r="95" spans="1:42" x14ac:dyDescent="0.25">
      <c r="A95">
        <v>117</v>
      </c>
      <c r="B95" t="s">
        <v>321</v>
      </c>
      <c r="C95" t="s">
        <v>246</v>
      </c>
      <c r="D95" t="s">
        <v>322</v>
      </c>
      <c r="E95" s="4">
        <v>1</v>
      </c>
      <c r="F95" t="s">
        <v>295</v>
      </c>
      <c r="G95" t="s">
        <v>295</v>
      </c>
      <c r="H95" s="3">
        <v>46122</v>
      </c>
      <c r="I95" s="3">
        <v>46148</v>
      </c>
      <c r="J95" t="s">
        <v>80</v>
      </c>
      <c r="K95" s="3">
        <v>46148</v>
      </c>
      <c r="L95" s="3">
        <v>46122</v>
      </c>
      <c r="M95" s="3">
        <v>46148</v>
      </c>
      <c r="N95" s="3">
        <v>46148</v>
      </c>
      <c r="O95" t="s">
        <v>80</v>
      </c>
      <c r="P95" t="s">
        <v>55</v>
      </c>
      <c r="T95" t="s">
        <v>246</v>
      </c>
      <c r="U95">
        <v>1493</v>
      </c>
      <c r="V95" t="s">
        <v>214</v>
      </c>
      <c r="W95">
        <v>15.6</v>
      </c>
      <c r="X95" t="s">
        <v>57</v>
      </c>
      <c r="AA95" t="s">
        <v>50</v>
      </c>
      <c r="AB95" t="s">
        <v>94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</row>
    <row r="96" spans="1:42" x14ac:dyDescent="0.25">
      <c r="A96">
        <v>118</v>
      </c>
      <c r="B96" t="s">
        <v>323</v>
      </c>
      <c r="C96" t="s">
        <v>324</v>
      </c>
      <c r="D96" t="s">
        <v>117</v>
      </c>
      <c r="E96" s="4">
        <v>1</v>
      </c>
      <c r="F96" t="s">
        <v>61</v>
      </c>
      <c r="G96" t="s">
        <v>61</v>
      </c>
      <c r="H96" s="3">
        <v>46122</v>
      </c>
      <c r="I96" s="3">
        <v>46122</v>
      </c>
      <c r="J96" t="s">
        <v>80</v>
      </c>
      <c r="K96" s="3">
        <v>46122</v>
      </c>
      <c r="L96" s="3">
        <v>46122</v>
      </c>
      <c r="M96" s="3">
        <v>46122</v>
      </c>
      <c r="N96" s="3">
        <v>46122</v>
      </c>
      <c r="O96" t="s">
        <v>80</v>
      </c>
      <c r="P96" t="s">
        <v>55</v>
      </c>
      <c r="Q96">
        <v>98</v>
      </c>
      <c r="R96" s="1">
        <v>46122</v>
      </c>
      <c r="S96" t="s">
        <v>124</v>
      </c>
      <c r="T96" t="s">
        <v>246</v>
      </c>
      <c r="U96">
        <v>119</v>
      </c>
      <c r="V96" t="s">
        <v>61</v>
      </c>
      <c r="W96">
        <v>13.4</v>
      </c>
      <c r="X96" t="s">
        <v>57</v>
      </c>
      <c r="Z96" t="s">
        <v>124</v>
      </c>
      <c r="AA96" t="s">
        <v>82</v>
      </c>
      <c r="AE96">
        <v>1</v>
      </c>
      <c r="AF96">
        <v>1</v>
      </c>
      <c r="AG96">
        <v>1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1</v>
      </c>
    </row>
    <row r="97" spans="1:42" x14ac:dyDescent="0.25">
      <c r="A97">
        <v>119</v>
      </c>
      <c r="B97" t="s">
        <v>325</v>
      </c>
      <c r="C97" t="s">
        <v>324</v>
      </c>
      <c r="D97" t="s">
        <v>121</v>
      </c>
      <c r="E97" s="4">
        <v>1</v>
      </c>
      <c r="F97" t="s">
        <v>122</v>
      </c>
      <c r="G97" t="s">
        <v>122</v>
      </c>
      <c r="H97" s="3">
        <v>46125</v>
      </c>
      <c r="I97" s="3">
        <v>46127</v>
      </c>
      <c r="J97" t="s">
        <v>144</v>
      </c>
      <c r="K97" s="3">
        <v>46127</v>
      </c>
      <c r="L97" s="3">
        <v>46125</v>
      </c>
      <c r="M97" s="3">
        <v>46127</v>
      </c>
      <c r="N97" s="3">
        <v>46127</v>
      </c>
      <c r="O97" t="s">
        <v>144</v>
      </c>
      <c r="P97" t="s">
        <v>55</v>
      </c>
      <c r="Q97">
        <v>118</v>
      </c>
      <c r="S97" t="s">
        <v>124</v>
      </c>
      <c r="T97" t="s">
        <v>246</v>
      </c>
      <c r="U97">
        <v>120</v>
      </c>
      <c r="V97" t="s">
        <v>122</v>
      </c>
      <c r="W97">
        <v>13.4</v>
      </c>
      <c r="X97" t="s">
        <v>57</v>
      </c>
      <c r="Z97" t="s">
        <v>124</v>
      </c>
      <c r="AA97" t="s">
        <v>180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1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</row>
    <row r="98" spans="1:42" x14ac:dyDescent="0.25">
      <c r="A98">
        <v>120</v>
      </c>
      <c r="B98" t="s">
        <v>326</v>
      </c>
      <c r="C98" t="s">
        <v>324</v>
      </c>
      <c r="D98" t="s">
        <v>126</v>
      </c>
      <c r="E98" s="4">
        <v>1</v>
      </c>
      <c r="F98" t="s">
        <v>61</v>
      </c>
      <c r="G98" t="s">
        <v>61</v>
      </c>
      <c r="H98" s="3">
        <v>46147</v>
      </c>
      <c r="I98" s="3">
        <v>46147</v>
      </c>
      <c r="J98" t="s">
        <v>183</v>
      </c>
      <c r="K98" s="3">
        <v>46147</v>
      </c>
      <c r="L98" s="3">
        <v>46147</v>
      </c>
      <c r="M98" s="3">
        <v>46147</v>
      </c>
      <c r="N98" s="3">
        <v>46147</v>
      </c>
      <c r="O98" t="s">
        <v>183</v>
      </c>
      <c r="P98" t="s">
        <v>55</v>
      </c>
      <c r="Q98">
        <v>119</v>
      </c>
      <c r="S98" t="s">
        <v>302</v>
      </c>
      <c r="T98" t="s">
        <v>246</v>
      </c>
      <c r="U98">
        <v>121</v>
      </c>
      <c r="V98" t="s">
        <v>61</v>
      </c>
      <c r="W98">
        <v>13.4</v>
      </c>
      <c r="X98" t="s">
        <v>57</v>
      </c>
      <c r="Z98" t="s">
        <v>302</v>
      </c>
      <c r="AA98" t="s">
        <v>180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1</v>
      </c>
      <c r="AM98">
        <v>0</v>
      </c>
      <c r="AN98">
        <v>0</v>
      </c>
      <c r="AO98">
        <v>0</v>
      </c>
      <c r="AP98">
        <v>0</v>
      </c>
    </row>
    <row r="99" spans="1:42" x14ac:dyDescent="0.25">
      <c r="A99">
        <v>121</v>
      </c>
      <c r="B99" t="s">
        <v>327</v>
      </c>
      <c r="C99" t="s">
        <v>324</v>
      </c>
      <c r="D99" t="s">
        <v>133</v>
      </c>
      <c r="E99" s="4">
        <v>1</v>
      </c>
      <c r="F99" t="s">
        <v>61</v>
      </c>
      <c r="G99" t="s">
        <v>61</v>
      </c>
      <c r="H99" s="3">
        <v>46148</v>
      </c>
      <c r="I99" s="3">
        <v>46148</v>
      </c>
      <c r="J99" t="s">
        <v>304</v>
      </c>
      <c r="K99" s="3">
        <v>46148</v>
      </c>
      <c r="L99" s="3">
        <v>46148</v>
      </c>
      <c r="M99" s="3">
        <v>46148</v>
      </c>
      <c r="N99" s="3">
        <v>46148</v>
      </c>
      <c r="O99" t="s">
        <v>304</v>
      </c>
      <c r="P99" t="s">
        <v>55</v>
      </c>
      <c r="Q99">
        <v>120</v>
      </c>
      <c r="S99" t="s">
        <v>124</v>
      </c>
      <c r="T99" t="s">
        <v>246</v>
      </c>
      <c r="U99" t="s">
        <v>320</v>
      </c>
      <c r="V99" t="s">
        <v>61</v>
      </c>
      <c r="W99">
        <v>13.4</v>
      </c>
      <c r="X99" t="s">
        <v>57</v>
      </c>
      <c r="Z99" t="s">
        <v>124</v>
      </c>
      <c r="AA99" t="s">
        <v>180</v>
      </c>
      <c r="AE99">
        <v>1</v>
      </c>
      <c r="AF99">
        <v>0</v>
      </c>
      <c r="AG99">
        <v>0</v>
      </c>
      <c r="AH99">
        <v>0</v>
      </c>
      <c r="AI99">
        <v>1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0</v>
      </c>
      <c r="AP99">
        <v>0</v>
      </c>
    </row>
    <row r="100" spans="1:42" x14ac:dyDescent="0.25">
      <c r="A100">
        <v>122</v>
      </c>
      <c r="B100" t="s">
        <v>328</v>
      </c>
      <c r="C100" t="s">
        <v>246</v>
      </c>
      <c r="D100" t="s">
        <v>329</v>
      </c>
      <c r="E100" s="4">
        <v>1</v>
      </c>
      <c r="F100" t="s">
        <v>330</v>
      </c>
      <c r="G100" t="s">
        <v>330</v>
      </c>
      <c r="H100" s="3">
        <v>46125</v>
      </c>
      <c r="I100" s="3">
        <v>46148</v>
      </c>
      <c r="J100" t="s">
        <v>144</v>
      </c>
      <c r="K100" s="3">
        <v>46134</v>
      </c>
      <c r="L100" s="3">
        <v>46125</v>
      </c>
      <c r="M100" s="3">
        <v>46148</v>
      </c>
      <c r="N100" s="3">
        <v>46148</v>
      </c>
      <c r="O100" t="s">
        <v>144</v>
      </c>
      <c r="P100" t="s">
        <v>55</v>
      </c>
      <c r="T100" t="s">
        <v>246</v>
      </c>
      <c r="U100">
        <v>1498</v>
      </c>
      <c r="V100" t="s">
        <v>214</v>
      </c>
      <c r="W100">
        <v>15.6</v>
      </c>
      <c r="X100" t="s">
        <v>57</v>
      </c>
      <c r="AA100" t="s">
        <v>50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</row>
    <row r="101" spans="1:42" x14ac:dyDescent="0.25">
      <c r="A101">
        <v>123</v>
      </c>
      <c r="B101" t="s">
        <v>331</v>
      </c>
      <c r="C101" t="s">
        <v>332</v>
      </c>
      <c r="D101" t="s">
        <v>117</v>
      </c>
      <c r="E101" s="4">
        <v>1</v>
      </c>
      <c r="F101" t="s">
        <v>61</v>
      </c>
      <c r="G101" t="s">
        <v>61</v>
      </c>
      <c r="H101" s="3">
        <v>46125</v>
      </c>
      <c r="I101" s="3">
        <v>46125</v>
      </c>
      <c r="J101" t="s">
        <v>144</v>
      </c>
      <c r="K101" s="3">
        <v>46125</v>
      </c>
      <c r="L101" s="3">
        <v>46125</v>
      </c>
      <c r="M101" s="3">
        <v>46125</v>
      </c>
      <c r="N101" s="3">
        <v>46125</v>
      </c>
      <c r="O101" t="s">
        <v>144</v>
      </c>
      <c r="P101" t="s">
        <v>55</v>
      </c>
      <c r="Q101">
        <v>103</v>
      </c>
      <c r="R101" s="1">
        <v>46122</v>
      </c>
      <c r="S101" t="s">
        <v>124</v>
      </c>
      <c r="T101" t="s">
        <v>246</v>
      </c>
      <c r="U101">
        <v>124</v>
      </c>
      <c r="V101" t="s">
        <v>61</v>
      </c>
      <c r="W101">
        <v>13.4</v>
      </c>
      <c r="X101" t="s">
        <v>57</v>
      </c>
      <c r="Z101" t="s">
        <v>124</v>
      </c>
      <c r="AA101" t="s">
        <v>180</v>
      </c>
      <c r="AE101">
        <v>1</v>
      </c>
      <c r="AF101">
        <v>1</v>
      </c>
      <c r="AG101">
        <v>1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1</v>
      </c>
    </row>
    <row r="102" spans="1:42" x14ac:dyDescent="0.25">
      <c r="A102">
        <v>124</v>
      </c>
      <c r="B102" t="s">
        <v>333</v>
      </c>
      <c r="C102" t="s">
        <v>332</v>
      </c>
      <c r="D102" t="s">
        <v>121</v>
      </c>
      <c r="E102" s="4">
        <v>1</v>
      </c>
      <c r="F102" t="s">
        <v>122</v>
      </c>
      <c r="G102" t="s">
        <v>122</v>
      </c>
      <c r="H102" s="3">
        <v>46126</v>
      </c>
      <c r="I102" s="3">
        <v>46128</v>
      </c>
      <c r="J102" t="s">
        <v>334</v>
      </c>
      <c r="K102" s="3">
        <v>46128</v>
      </c>
      <c r="L102" s="3">
        <v>46126</v>
      </c>
      <c r="M102" s="3">
        <v>46128</v>
      </c>
      <c r="N102" s="3">
        <v>46128</v>
      </c>
      <c r="O102" t="s">
        <v>334</v>
      </c>
      <c r="P102" t="s">
        <v>55</v>
      </c>
      <c r="Q102">
        <v>123</v>
      </c>
      <c r="S102" t="s">
        <v>124</v>
      </c>
      <c r="T102" t="s">
        <v>246</v>
      </c>
      <c r="U102">
        <v>125</v>
      </c>
      <c r="V102" t="s">
        <v>122</v>
      </c>
      <c r="W102">
        <v>13.4</v>
      </c>
      <c r="X102" t="s">
        <v>57</v>
      </c>
      <c r="Z102" t="s">
        <v>124</v>
      </c>
      <c r="AA102" t="s">
        <v>180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1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</row>
    <row r="103" spans="1:42" x14ac:dyDescent="0.25">
      <c r="A103">
        <v>125</v>
      </c>
      <c r="B103" t="s">
        <v>335</v>
      </c>
      <c r="C103" t="s">
        <v>332</v>
      </c>
      <c r="D103" t="s">
        <v>126</v>
      </c>
      <c r="E103" s="4">
        <v>1</v>
      </c>
      <c r="F103" t="s">
        <v>61</v>
      </c>
      <c r="G103" t="s">
        <v>61</v>
      </c>
      <c r="H103" s="3">
        <v>46147</v>
      </c>
      <c r="I103" s="3">
        <v>46147</v>
      </c>
      <c r="J103" t="s">
        <v>182</v>
      </c>
      <c r="K103" s="3">
        <v>46129</v>
      </c>
      <c r="L103" s="3">
        <v>46129</v>
      </c>
      <c r="M103" s="3">
        <v>46147</v>
      </c>
      <c r="N103" s="3">
        <v>46147</v>
      </c>
      <c r="O103" t="s">
        <v>183</v>
      </c>
      <c r="P103" t="s">
        <v>55</v>
      </c>
      <c r="Q103">
        <v>124</v>
      </c>
      <c r="S103" t="s">
        <v>302</v>
      </c>
      <c r="T103" t="s">
        <v>246</v>
      </c>
      <c r="U103">
        <v>126</v>
      </c>
      <c r="V103" t="s">
        <v>61</v>
      </c>
      <c r="W103">
        <v>13.4</v>
      </c>
      <c r="X103" t="s">
        <v>57</v>
      </c>
      <c r="Z103" t="s">
        <v>302</v>
      </c>
      <c r="AA103" t="s">
        <v>180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1</v>
      </c>
      <c r="AM103">
        <v>0</v>
      </c>
      <c r="AN103">
        <v>0</v>
      </c>
      <c r="AO103">
        <v>0</v>
      </c>
      <c r="AP103">
        <v>0</v>
      </c>
    </row>
    <row r="104" spans="1:42" x14ac:dyDescent="0.25">
      <c r="A104">
        <v>126</v>
      </c>
      <c r="B104" t="s">
        <v>336</v>
      </c>
      <c r="C104" t="s">
        <v>332</v>
      </c>
      <c r="D104" t="s">
        <v>133</v>
      </c>
      <c r="E104" s="4">
        <v>1</v>
      </c>
      <c r="F104" t="s">
        <v>61</v>
      </c>
      <c r="G104" t="s">
        <v>61</v>
      </c>
      <c r="H104" s="3">
        <v>46148</v>
      </c>
      <c r="I104" s="3">
        <v>46148</v>
      </c>
      <c r="J104" t="s">
        <v>337</v>
      </c>
      <c r="K104" s="3">
        <v>46134</v>
      </c>
      <c r="L104" s="3">
        <v>46134</v>
      </c>
      <c r="M104" s="3">
        <v>46148</v>
      </c>
      <c r="N104" s="3">
        <v>46148</v>
      </c>
      <c r="O104" t="s">
        <v>304</v>
      </c>
      <c r="P104" t="s">
        <v>55</v>
      </c>
      <c r="Q104">
        <v>125</v>
      </c>
      <c r="S104" t="s">
        <v>124</v>
      </c>
      <c r="T104" t="s">
        <v>246</v>
      </c>
      <c r="V104" t="s">
        <v>61</v>
      </c>
      <c r="W104">
        <v>13.4</v>
      </c>
      <c r="X104" t="s">
        <v>57</v>
      </c>
      <c r="Z104" t="s">
        <v>124</v>
      </c>
      <c r="AA104" t="s">
        <v>71</v>
      </c>
      <c r="AE104">
        <v>1</v>
      </c>
      <c r="AF104">
        <v>0</v>
      </c>
      <c r="AG104">
        <v>0</v>
      </c>
      <c r="AH104">
        <v>0</v>
      </c>
      <c r="AI104">
        <v>1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0</v>
      </c>
      <c r="AP104">
        <v>0</v>
      </c>
    </row>
    <row r="105" spans="1:42" x14ac:dyDescent="0.25">
      <c r="A105">
        <v>127</v>
      </c>
      <c r="B105" t="s">
        <v>338</v>
      </c>
      <c r="C105" t="s">
        <v>246</v>
      </c>
      <c r="D105" t="s">
        <v>339</v>
      </c>
      <c r="E105" s="4">
        <v>1</v>
      </c>
      <c r="F105" t="s">
        <v>340</v>
      </c>
      <c r="G105" t="s">
        <v>340</v>
      </c>
      <c r="H105" s="3">
        <v>46125</v>
      </c>
      <c r="I105" s="3">
        <v>46170</v>
      </c>
      <c r="J105" t="s">
        <v>144</v>
      </c>
      <c r="K105" s="3">
        <v>46134</v>
      </c>
      <c r="L105" s="3">
        <v>46125</v>
      </c>
      <c r="M105" s="3">
        <v>46170</v>
      </c>
      <c r="N105" s="3">
        <v>46170</v>
      </c>
      <c r="O105" t="s">
        <v>144</v>
      </c>
      <c r="P105" t="s">
        <v>55</v>
      </c>
      <c r="T105" t="s">
        <v>246</v>
      </c>
      <c r="U105">
        <v>1503</v>
      </c>
      <c r="V105" t="s">
        <v>214</v>
      </c>
      <c r="W105">
        <v>15.6</v>
      </c>
      <c r="X105" t="s">
        <v>57</v>
      </c>
      <c r="AA105" t="s">
        <v>50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</row>
    <row r="106" spans="1:42" x14ac:dyDescent="0.25">
      <c r="A106">
        <v>128</v>
      </c>
      <c r="B106" t="s">
        <v>341</v>
      </c>
      <c r="C106" t="s">
        <v>342</v>
      </c>
      <c r="D106" t="s">
        <v>117</v>
      </c>
      <c r="E106" s="4">
        <v>1</v>
      </c>
      <c r="F106" t="s">
        <v>61</v>
      </c>
      <c r="G106" t="s">
        <v>61</v>
      </c>
      <c r="H106" s="3">
        <v>46125</v>
      </c>
      <c r="I106" s="3">
        <v>46125</v>
      </c>
      <c r="J106" t="s">
        <v>144</v>
      </c>
      <c r="K106" s="3">
        <v>46125</v>
      </c>
      <c r="L106" s="3">
        <v>46125</v>
      </c>
      <c r="M106" s="3">
        <v>46125</v>
      </c>
      <c r="N106" s="3">
        <v>46125</v>
      </c>
      <c r="O106" t="s">
        <v>144</v>
      </c>
      <c r="P106" t="s">
        <v>55</v>
      </c>
      <c r="Q106">
        <v>103</v>
      </c>
      <c r="R106" s="1">
        <v>46134</v>
      </c>
      <c r="S106" t="s">
        <v>124</v>
      </c>
      <c r="T106" t="s">
        <v>246</v>
      </c>
      <c r="U106">
        <v>129</v>
      </c>
      <c r="V106" t="s">
        <v>61</v>
      </c>
      <c r="W106">
        <v>13.4</v>
      </c>
      <c r="X106" t="s">
        <v>57</v>
      </c>
      <c r="Z106" t="s">
        <v>124</v>
      </c>
      <c r="AA106" t="s">
        <v>180</v>
      </c>
      <c r="AE106">
        <v>1</v>
      </c>
      <c r="AF106">
        <v>1</v>
      </c>
      <c r="AG106">
        <v>1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1</v>
      </c>
    </row>
    <row r="107" spans="1:42" x14ac:dyDescent="0.25">
      <c r="A107">
        <v>129</v>
      </c>
      <c r="B107" t="s">
        <v>343</v>
      </c>
      <c r="C107" t="s">
        <v>342</v>
      </c>
      <c r="D107" t="s">
        <v>121</v>
      </c>
      <c r="E107" s="4">
        <v>1</v>
      </c>
      <c r="F107" t="s">
        <v>122</v>
      </c>
      <c r="G107" t="s">
        <v>122</v>
      </c>
      <c r="H107" s="3">
        <v>46126</v>
      </c>
      <c r="I107" s="3">
        <v>46128</v>
      </c>
      <c r="J107" t="s">
        <v>334</v>
      </c>
      <c r="K107" s="3">
        <v>46128</v>
      </c>
      <c r="L107" s="3">
        <v>46126</v>
      </c>
      <c r="M107" s="3">
        <v>46128</v>
      </c>
      <c r="N107" s="3">
        <v>46128</v>
      </c>
      <c r="O107" t="s">
        <v>334</v>
      </c>
      <c r="P107" t="s">
        <v>55</v>
      </c>
      <c r="Q107">
        <v>128</v>
      </c>
      <c r="S107" t="s">
        <v>124</v>
      </c>
      <c r="T107" t="s">
        <v>246</v>
      </c>
      <c r="U107">
        <v>130</v>
      </c>
      <c r="V107" t="s">
        <v>122</v>
      </c>
      <c r="W107">
        <v>13.4</v>
      </c>
      <c r="X107" t="s">
        <v>57</v>
      </c>
      <c r="Z107" t="s">
        <v>124</v>
      </c>
      <c r="AA107" t="s">
        <v>180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1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</row>
    <row r="108" spans="1:42" x14ac:dyDescent="0.25">
      <c r="A108">
        <v>130</v>
      </c>
      <c r="B108" t="s">
        <v>344</v>
      </c>
      <c r="C108" t="s">
        <v>342</v>
      </c>
      <c r="D108" t="s">
        <v>126</v>
      </c>
      <c r="E108" s="4">
        <v>1</v>
      </c>
      <c r="F108" t="s">
        <v>345</v>
      </c>
      <c r="G108" t="s">
        <v>345</v>
      </c>
      <c r="H108" s="3">
        <v>46129</v>
      </c>
      <c r="I108" s="3">
        <v>46169</v>
      </c>
      <c r="J108" t="s">
        <v>182</v>
      </c>
      <c r="K108" s="3">
        <v>46129</v>
      </c>
      <c r="L108" s="3">
        <v>46129</v>
      </c>
      <c r="M108" s="3">
        <v>46169</v>
      </c>
      <c r="N108" s="3">
        <v>46169</v>
      </c>
      <c r="O108" t="s">
        <v>182</v>
      </c>
      <c r="P108" t="s">
        <v>55</v>
      </c>
      <c r="Q108">
        <v>129</v>
      </c>
      <c r="S108" t="s">
        <v>302</v>
      </c>
      <c r="T108" t="s">
        <v>246</v>
      </c>
      <c r="U108">
        <v>131</v>
      </c>
      <c r="V108" t="s">
        <v>61</v>
      </c>
      <c r="W108">
        <v>13.4</v>
      </c>
      <c r="X108" t="s">
        <v>57</v>
      </c>
      <c r="Z108" t="s">
        <v>302</v>
      </c>
      <c r="AA108" t="s">
        <v>180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1</v>
      </c>
      <c r="AM108">
        <v>0</v>
      </c>
      <c r="AN108">
        <v>0</v>
      </c>
      <c r="AO108">
        <v>0</v>
      </c>
      <c r="AP108">
        <v>0</v>
      </c>
    </row>
    <row r="109" spans="1:42" x14ac:dyDescent="0.25">
      <c r="A109">
        <v>131</v>
      </c>
      <c r="B109" t="s">
        <v>346</v>
      </c>
      <c r="C109" t="s">
        <v>342</v>
      </c>
      <c r="D109" t="s">
        <v>133</v>
      </c>
      <c r="E109" s="4">
        <v>1</v>
      </c>
      <c r="F109" t="s">
        <v>347</v>
      </c>
      <c r="G109" t="s">
        <v>347</v>
      </c>
      <c r="H109" s="3">
        <v>46134</v>
      </c>
      <c r="I109" s="3">
        <v>46170</v>
      </c>
      <c r="J109" t="s">
        <v>337</v>
      </c>
      <c r="K109" s="3">
        <v>46134</v>
      </c>
      <c r="L109" s="3">
        <v>46134</v>
      </c>
      <c r="M109" s="3">
        <v>46170</v>
      </c>
      <c r="N109" s="3">
        <v>46170</v>
      </c>
      <c r="O109" t="s">
        <v>337</v>
      </c>
      <c r="P109" t="s">
        <v>55</v>
      </c>
      <c r="Q109">
        <v>130</v>
      </c>
      <c r="S109" t="s">
        <v>124</v>
      </c>
      <c r="T109" t="s">
        <v>246</v>
      </c>
      <c r="V109" t="s">
        <v>61</v>
      </c>
      <c r="W109">
        <v>13.4</v>
      </c>
      <c r="X109" t="s">
        <v>57</v>
      </c>
      <c r="Z109" t="s">
        <v>124</v>
      </c>
      <c r="AA109" t="s">
        <v>71</v>
      </c>
      <c r="AE109">
        <v>1</v>
      </c>
      <c r="AF109">
        <v>0</v>
      </c>
      <c r="AG109">
        <v>0</v>
      </c>
      <c r="AH109">
        <v>0</v>
      </c>
      <c r="AI109">
        <v>1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0</v>
      </c>
      <c r="AP109">
        <v>0</v>
      </c>
    </row>
    <row r="110" spans="1:42" x14ac:dyDescent="0.25">
      <c r="A110">
        <v>132</v>
      </c>
      <c r="B110" t="s">
        <v>348</v>
      </c>
      <c r="C110" t="s">
        <v>246</v>
      </c>
      <c r="D110" t="s">
        <v>349</v>
      </c>
      <c r="E110" s="4">
        <v>1</v>
      </c>
      <c r="F110" t="s">
        <v>340</v>
      </c>
      <c r="G110" t="s">
        <v>340</v>
      </c>
      <c r="H110" s="3">
        <v>46125</v>
      </c>
      <c r="I110" s="3">
        <v>46170</v>
      </c>
      <c r="J110" t="s">
        <v>144</v>
      </c>
      <c r="K110" s="3">
        <v>46170</v>
      </c>
      <c r="L110" s="3">
        <v>46125</v>
      </c>
      <c r="M110" s="3">
        <v>46170</v>
      </c>
      <c r="N110" s="3">
        <v>46170</v>
      </c>
      <c r="O110" t="s">
        <v>144</v>
      </c>
      <c r="P110" t="s">
        <v>55</v>
      </c>
      <c r="T110" t="s">
        <v>246</v>
      </c>
      <c r="U110">
        <v>1503</v>
      </c>
      <c r="V110" t="s">
        <v>214</v>
      </c>
      <c r="W110">
        <v>15.6</v>
      </c>
      <c r="X110" t="s">
        <v>57</v>
      </c>
      <c r="AA110" t="s">
        <v>50</v>
      </c>
      <c r="AB110" t="s">
        <v>94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</row>
    <row r="111" spans="1:42" x14ac:dyDescent="0.25">
      <c r="A111">
        <v>133</v>
      </c>
      <c r="B111" t="s">
        <v>350</v>
      </c>
      <c r="C111" t="s">
        <v>351</v>
      </c>
      <c r="D111" t="s">
        <v>117</v>
      </c>
      <c r="E111" s="4">
        <v>1</v>
      </c>
      <c r="F111" t="s">
        <v>61</v>
      </c>
      <c r="G111" t="s">
        <v>61</v>
      </c>
      <c r="H111" s="3">
        <v>46125</v>
      </c>
      <c r="I111" s="3">
        <v>46125</v>
      </c>
      <c r="J111" t="s">
        <v>144</v>
      </c>
      <c r="K111" s="3">
        <v>46125</v>
      </c>
      <c r="L111" s="3">
        <v>46125</v>
      </c>
      <c r="M111" s="3">
        <v>46125</v>
      </c>
      <c r="N111" s="3">
        <v>46125</v>
      </c>
      <c r="O111" t="s">
        <v>144</v>
      </c>
      <c r="P111" t="s">
        <v>55</v>
      </c>
      <c r="Q111">
        <v>103</v>
      </c>
      <c r="R111" s="1">
        <v>46134</v>
      </c>
      <c r="S111" t="s">
        <v>124</v>
      </c>
      <c r="T111" t="s">
        <v>246</v>
      </c>
      <c r="U111">
        <v>134</v>
      </c>
      <c r="V111" t="s">
        <v>61</v>
      </c>
      <c r="W111">
        <v>13.4</v>
      </c>
      <c r="X111" t="s">
        <v>57</v>
      </c>
      <c r="Z111" t="s">
        <v>124</v>
      </c>
      <c r="AA111" t="s">
        <v>180</v>
      </c>
      <c r="AE111">
        <v>1</v>
      </c>
      <c r="AF111">
        <v>1</v>
      </c>
      <c r="AG111">
        <v>1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1</v>
      </c>
    </row>
    <row r="112" spans="1:42" x14ac:dyDescent="0.25">
      <c r="A112">
        <v>134</v>
      </c>
      <c r="B112" t="s">
        <v>352</v>
      </c>
      <c r="C112" t="s">
        <v>351</v>
      </c>
      <c r="D112" t="s">
        <v>121</v>
      </c>
      <c r="E112" s="4">
        <v>1</v>
      </c>
      <c r="F112" t="s">
        <v>122</v>
      </c>
      <c r="G112" t="s">
        <v>122</v>
      </c>
      <c r="H112" s="3">
        <v>46126</v>
      </c>
      <c r="I112" s="3">
        <v>46128</v>
      </c>
      <c r="J112" t="s">
        <v>334</v>
      </c>
      <c r="K112" s="3">
        <v>46128</v>
      </c>
      <c r="L112" s="3">
        <v>46126</v>
      </c>
      <c r="M112" s="3">
        <v>46128</v>
      </c>
      <c r="N112" s="3">
        <v>46128</v>
      </c>
      <c r="O112" t="s">
        <v>334</v>
      </c>
      <c r="P112" t="s">
        <v>55</v>
      </c>
      <c r="Q112">
        <v>133</v>
      </c>
      <c r="S112" t="s">
        <v>124</v>
      </c>
      <c r="T112" t="s">
        <v>246</v>
      </c>
      <c r="U112">
        <v>135</v>
      </c>
      <c r="V112" t="s">
        <v>122</v>
      </c>
      <c r="W112">
        <v>13.4</v>
      </c>
      <c r="X112" t="s">
        <v>57</v>
      </c>
      <c r="Z112" t="s">
        <v>124</v>
      </c>
      <c r="AA112" t="s">
        <v>180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1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</row>
    <row r="113" spans="1:42" x14ac:dyDescent="0.25">
      <c r="A113">
        <v>135</v>
      </c>
      <c r="B113" t="s">
        <v>353</v>
      </c>
      <c r="C113" t="s">
        <v>351</v>
      </c>
      <c r="D113" t="s">
        <v>126</v>
      </c>
      <c r="E113" s="4">
        <v>1</v>
      </c>
      <c r="F113" t="s">
        <v>345</v>
      </c>
      <c r="G113" t="s">
        <v>345</v>
      </c>
      <c r="H113" s="3">
        <v>46129</v>
      </c>
      <c r="I113" s="3">
        <v>46169</v>
      </c>
      <c r="J113" t="s">
        <v>182</v>
      </c>
      <c r="K113" s="3">
        <v>46169</v>
      </c>
      <c r="L113" s="3">
        <v>46129</v>
      </c>
      <c r="M113" s="3">
        <v>46169</v>
      </c>
      <c r="N113" s="3">
        <v>46169</v>
      </c>
      <c r="O113" t="s">
        <v>182</v>
      </c>
      <c r="P113" t="s">
        <v>55</v>
      </c>
      <c r="Q113">
        <v>134</v>
      </c>
      <c r="S113" t="s">
        <v>302</v>
      </c>
      <c r="T113" t="s">
        <v>246</v>
      </c>
      <c r="U113">
        <v>136</v>
      </c>
      <c r="V113" t="s">
        <v>61</v>
      </c>
      <c r="W113">
        <v>13.4</v>
      </c>
      <c r="X113" t="s">
        <v>57</v>
      </c>
      <c r="Z113" t="s">
        <v>302</v>
      </c>
      <c r="AA113" t="s">
        <v>180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1</v>
      </c>
      <c r="AM113">
        <v>0</v>
      </c>
      <c r="AN113">
        <v>0</v>
      </c>
      <c r="AO113">
        <v>0</v>
      </c>
      <c r="AP113">
        <v>0</v>
      </c>
    </row>
    <row r="114" spans="1:42" x14ac:dyDescent="0.25">
      <c r="A114">
        <v>136</v>
      </c>
      <c r="B114" t="s">
        <v>354</v>
      </c>
      <c r="C114" t="s">
        <v>351</v>
      </c>
      <c r="D114" t="s">
        <v>133</v>
      </c>
      <c r="E114" s="4">
        <v>1</v>
      </c>
      <c r="F114" t="s">
        <v>347</v>
      </c>
      <c r="G114" t="s">
        <v>347</v>
      </c>
      <c r="H114" s="3">
        <v>46134</v>
      </c>
      <c r="I114" s="3">
        <v>46170</v>
      </c>
      <c r="J114" t="s">
        <v>337</v>
      </c>
      <c r="K114" s="3">
        <v>46170</v>
      </c>
      <c r="L114" s="3">
        <v>46134</v>
      </c>
      <c r="M114" s="3">
        <v>46170</v>
      </c>
      <c r="N114" s="3">
        <v>46170</v>
      </c>
      <c r="O114" t="s">
        <v>337</v>
      </c>
      <c r="P114" t="s">
        <v>55</v>
      </c>
      <c r="Q114">
        <v>135</v>
      </c>
      <c r="S114" t="s">
        <v>124</v>
      </c>
      <c r="T114" t="s">
        <v>246</v>
      </c>
      <c r="V114" t="s">
        <v>61</v>
      </c>
      <c r="W114">
        <v>13.4</v>
      </c>
      <c r="X114" t="s">
        <v>57</v>
      </c>
      <c r="Z114" t="s">
        <v>124</v>
      </c>
      <c r="AA114" t="s">
        <v>71</v>
      </c>
      <c r="AE114">
        <v>1</v>
      </c>
      <c r="AF114">
        <v>0</v>
      </c>
      <c r="AG114">
        <v>0</v>
      </c>
      <c r="AH114">
        <v>0</v>
      </c>
      <c r="AI114">
        <v>1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0</v>
      </c>
      <c r="AP114">
        <v>0</v>
      </c>
    </row>
    <row r="115" spans="1:42" x14ac:dyDescent="0.25">
      <c r="A115">
        <v>137</v>
      </c>
      <c r="B115" t="s">
        <v>355</v>
      </c>
      <c r="C115" t="s">
        <v>246</v>
      </c>
      <c r="D115" t="s">
        <v>356</v>
      </c>
      <c r="E115" s="4">
        <v>1</v>
      </c>
      <c r="F115" t="s">
        <v>330</v>
      </c>
      <c r="G115" t="s">
        <v>330</v>
      </c>
      <c r="H115" s="3">
        <v>46125</v>
      </c>
      <c r="I115" s="3">
        <v>46148</v>
      </c>
      <c r="J115" t="s">
        <v>144</v>
      </c>
      <c r="K115" s="3">
        <v>46134</v>
      </c>
      <c r="L115" s="3">
        <v>46125</v>
      </c>
      <c r="M115" s="3">
        <v>46148</v>
      </c>
      <c r="N115" s="3">
        <v>46148</v>
      </c>
      <c r="O115" t="s">
        <v>144</v>
      </c>
      <c r="P115" t="s">
        <v>55</v>
      </c>
      <c r="T115" t="s">
        <v>246</v>
      </c>
      <c r="U115">
        <v>1508</v>
      </c>
      <c r="V115" t="s">
        <v>214</v>
      </c>
      <c r="W115">
        <v>15.6</v>
      </c>
      <c r="X115" t="s">
        <v>57</v>
      </c>
      <c r="AA115" t="s">
        <v>50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</row>
    <row r="116" spans="1:42" x14ac:dyDescent="0.25">
      <c r="A116">
        <v>138</v>
      </c>
      <c r="B116" t="s">
        <v>357</v>
      </c>
      <c r="C116" t="s">
        <v>358</v>
      </c>
      <c r="D116" t="s">
        <v>117</v>
      </c>
      <c r="E116" s="4">
        <v>1</v>
      </c>
      <c r="F116" t="s">
        <v>61</v>
      </c>
      <c r="G116" t="s">
        <v>61</v>
      </c>
      <c r="H116" s="3">
        <v>46125</v>
      </c>
      <c r="I116" s="3">
        <v>46125</v>
      </c>
      <c r="J116" t="s">
        <v>144</v>
      </c>
      <c r="K116" s="3">
        <v>46125</v>
      </c>
      <c r="L116" s="3">
        <v>46125</v>
      </c>
      <c r="M116" s="3">
        <v>46125</v>
      </c>
      <c r="N116" s="3">
        <v>46125</v>
      </c>
      <c r="O116" t="s">
        <v>144</v>
      </c>
      <c r="P116" t="s">
        <v>55</v>
      </c>
      <c r="Q116">
        <v>103</v>
      </c>
      <c r="R116" s="1">
        <v>46122</v>
      </c>
      <c r="S116" t="s">
        <v>124</v>
      </c>
      <c r="T116" t="s">
        <v>246</v>
      </c>
      <c r="U116" t="s">
        <v>359</v>
      </c>
      <c r="V116" t="s">
        <v>61</v>
      </c>
      <c r="W116">
        <v>13.4</v>
      </c>
      <c r="X116" t="s">
        <v>57</v>
      </c>
      <c r="Z116" t="s">
        <v>124</v>
      </c>
      <c r="AA116" t="s">
        <v>180</v>
      </c>
      <c r="AE116">
        <v>1</v>
      </c>
      <c r="AF116">
        <v>1</v>
      </c>
      <c r="AG116">
        <v>1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1</v>
      </c>
    </row>
    <row r="117" spans="1:42" x14ac:dyDescent="0.25">
      <c r="A117">
        <v>139</v>
      </c>
      <c r="B117" t="s">
        <v>360</v>
      </c>
      <c r="C117" t="s">
        <v>358</v>
      </c>
      <c r="D117" t="s">
        <v>121</v>
      </c>
      <c r="E117" s="4">
        <v>1</v>
      </c>
      <c r="F117" t="s">
        <v>122</v>
      </c>
      <c r="G117" t="s">
        <v>122</v>
      </c>
      <c r="H117" s="3">
        <v>46126</v>
      </c>
      <c r="I117" s="3">
        <v>46128</v>
      </c>
      <c r="J117" t="s">
        <v>334</v>
      </c>
      <c r="K117" s="3">
        <v>46128</v>
      </c>
      <c r="L117" s="3">
        <v>46126</v>
      </c>
      <c r="M117" s="3">
        <v>46128</v>
      </c>
      <c r="N117" s="3">
        <v>46128</v>
      </c>
      <c r="O117" t="s">
        <v>334</v>
      </c>
      <c r="P117" t="s">
        <v>55</v>
      </c>
      <c r="Q117">
        <v>138</v>
      </c>
      <c r="S117" t="s">
        <v>124</v>
      </c>
      <c r="T117" t="s">
        <v>246</v>
      </c>
      <c r="U117">
        <v>140</v>
      </c>
      <c r="V117" t="s">
        <v>122</v>
      </c>
      <c r="W117">
        <v>13.4</v>
      </c>
      <c r="X117" t="s">
        <v>57</v>
      </c>
      <c r="Z117" t="s">
        <v>124</v>
      </c>
      <c r="AA117" t="s">
        <v>180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1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</row>
    <row r="118" spans="1:42" x14ac:dyDescent="0.25">
      <c r="A118">
        <v>140</v>
      </c>
      <c r="B118" t="s">
        <v>361</v>
      </c>
      <c r="C118" t="s">
        <v>358</v>
      </c>
      <c r="D118" t="s">
        <v>126</v>
      </c>
      <c r="E118" s="4">
        <v>1</v>
      </c>
      <c r="F118" t="s">
        <v>61</v>
      </c>
      <c r="G118" t="s">
        <v>61</v>
      </c>
      <c r="H118" s="3">
        <v>46147</v>
      </c>
      <c r="I118" s="3">
        <v>46147</v>
      </c>
      <c r="J118" t="s">
        <v>182</v>
      </c>
      <c r="K118" s="3">
        <v>46129</v>
      </c>
      <c r="L118" s="3">
        <v>46129</v>
      </c>
      <c r="M118" s="3">
        <v>46147</v>
      </c>
      <c r="N118" s="3">
        <v>46147</v>
      </c>
      <c r="O118" t="s">
        <v>183</v>
      </c>
      <c r="P118" t="s">
        <v>55</v>
      </c>
      <c r="Q118">
        <v>139</v>
      </c>
      <c r="S118" t="s">
        <v>302</v>
      </c>
      <c r="T118" t="s">
        <v>246</v>
      </c>
      <c r="U118">
        <v>141</v>
      </c>
      <c r="V118" t="s">
        <v>61</v>
      </c>
      <c r="W118">
        <v>13.4</v>
      </c>
      <c r="X118" t="s">
        <v>57</v>
      </c>
      <c r="Z118" t="s">
        <v>302</v>
      </c>
      <c r="AA118" t="s">
        <v>180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1</v>
      </c>
      <c r="AM118">
        <v>0</v>
      </c>
      <c r="AN118">
        <v>0</v>
      </c>
      <c r="AO118">
        <v>0</v>
      </c>
      <c r="AP118">
        <v>0</v>
      </c>
    </row>
    <row r="119" spans="1:42" x14ac:dyDescent="0.25">
      <c r="A119">
        <v>141</v>
      </c>
      <c r="B119" t="s">
        <v>362</v>
      </c>
      <c r="C119" t="s">
        <v>358</v>
      </c>
      <c r="D119" t="s">
        <v>133</v>
      </c>
      <c r="E119" s="4">
        <v>1</v>
      </c>
      <c r="F119" t="s">
        <v>61</v>
      </c>
      <c r="G119" t="s">
        <v>61</v>
      </c>
      <c r="H119" s="3">
        <v>46148</v>
      </c>
      <c r="I119" s="3">
        <v>46148</v>
      </c>
      <c r="J119" t="s">
        <v>337</v>
      </c>
      <c r="K119" s="3">
        <v>46134</v>
      </c>
      <c r="L119" s="3">
        <v>46134</v>
      </c>
      <c r="M119" s="3">
        <v>46148</v>
      </c>
      <c r="N119" s="3">
        <v>46148</v>
      </c>
      <c r="O119" t="s">
        <v>304</v>
      </c>
      <c r="P119" t="s">
        <v>55</v>
      </c>
      <c r="Q119">
        <v>140</v>
      </c>
      <c r="S119" t="s">
        <v>124</v>
      </c>
      <c r="T119" t="s">
        <v>246</v>
      </c>
      <c r="V119" t="s">
        <v>61</v>
      </c>
      <c r="W119">
        <v>13.4</v>
      </c>
      <c r="X119" t="s">
        <v>57</v>
      </c>
      <c r="Z119" t="s">
        <v>124</v>
      </c>
      <c r="AA119" t="s">
        <v>71</v>
      </c>
      <c r="AE119">
        <v>1</v>
      </c>
      <c r="AF119">
        <v>0</v>
      </c>
      <c r="AG119">
        <v>0</v>
      </c>
      <c r="AH119">
        <v>0</v>
      </c>
      <c r="AI119">
        <v>1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0</v>
      </c>
      <c r="AP119">
        <v>0</v>
      </c>
    </row>
    <row r="120" spans="1:42" x14ac:dyDescent="0.25">
      <c r="A120">
        <v>142</v>
      </c>
      <c r="B120" t="s">
        <v>363</v>
      </c>
      <c r="C120" t="s">
        <v>246</v>
      </c>
      <c r="D120" t="s">
        <v>364</v>
      </c>
      <c r="E120" s="4">
        <v>1</v>
      </c>
      <c r="F120" t="s">
        <v>365</v>
      </c>
      <c r="G120" t="s">
        <v>365</v>
      </c>
      <c r="H120" s="3">
        <v>46126</v>
      </c>
      <c r="I120" s="3">
        <v>46148</v>
      </c>
      <c r="J120" t="s">
        <v>334</v>
      </c>
      <c r="K120" s="3">
        <v>46135</v>
      </c>
      <c r="L120" s="3">
        <v>46126</v>
      </c>
      <c r="M120" s="3">
        <v>46148</v>
      </c>
      <c r="N120" s="3">
        <v>46148</v>
      </c>
      <c r="O120" t="s">
        <v>334</v>
      </c>
      <c r="P120" t="s">
        <v>55</v>
      </c>
      <c r="T120" t="s">
        <v>246</v>
      </c>
      <c r="U120">
        <v>1513</v>
      </c>
      <c r="V120" t="s">
        <v>214</v>
      </c>
      <c r="W120">
        <v>15.6</v>
      </c>
      <c r="X120" t="s">
        <v>57</v>
      </c>
      <c r="AA120" t="s">
        <v>50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</row>
    <row r="121" spans="1:42" x14ac:dyDescent="0.25">
      <c r="A121">
        <v>143</v>
      </c>
      <c r="B121" t="s">
        <v>366</v>
      </c>
      <c r="C121" t="s">
        <v>367</v>
      </c>
      <c r="D121" t="s">
        <v>117</v>
      </c>
      <c r="E121" s="4">
        <v>1</v>
      </c>
      <c r="F121" t="s">
        <v>61</v>
      </c>
      <c r="G121" t="s">
        <v>61</v>
      </c>
      <c r="H121" s="3">
        <v>46126</v>
      </c>
      <c r="I121" s="3">
        <v>46126</v>
      </c>
      <c r="J121" t="s">
        <v>334</v>
      </c>
      <c r="K121" s="3">
        <v>46126</v>
      </c>
      <c r="L121" s="3">
        <v>46126</v>
      </c>
      <c r="M121" s="3">
        <v>46126</v>
      </c>
      <c r="N121" s="3">
        <v>46126</v>
      </c>
      <c r="O121" t="s">
        <v>334</v>
      </c>
      <c r="P121" t="s">
        <v>55</v>
      </c>
      <c r="Q121">
        <v>138</v>
      </c>
      <c r="R121" s="1">
        <v>46122</v>
      </c>
      <c r="S121" t="s">
        <v>124</v>
      </c>
      <c r="T121" t="s">
        <v>246</v>
      </c>
      <c r="U121">
        <v>144</v>
      </c>
      <c r="V121" t="s">
        <v>61</v>
      </c>
      <c r="W121">
        <v>13.4</v>
      </c>
      <c r="X121" t="s">
        <v>57</v>
      </c>
      <c r="Z121" t="s">
        <v>124</v>
      </c>
      <c r="AA121" t="s">
        <v>180</v>
      </c>
      <c r="AE121">
        <v>1</v>
      </c>
      <c r="AF121">
        <v>1</v>
      </c>
      <c r="AG121">
        <v>1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1</v>
      </c>
    </row>
    <row r="122" spans="1:42" x14ac:dyDescent="0.25">
      <c r="A122">
        <v>144</v>
      </c>
      <c r="B122" t="s">
        <v>368</v>
      </c>
      <c r="C122" t="s">
        <v>367</v>
      </c>
      <c r="D122" t="s">
        <v>121</v>
      </c>
      <c r="E122" s="4">
        <v>1</v>
      </c>
      <c r="F122" t="s">
        <v>122</v>
      </c>
      <c r="G122" t="s">
        <v>122</v>
      </c>
      <c r="H122" s="3">
        <v>46127</v>
      </c>
      <c r="I122" s="3">
        <v>46129</v>
      </c>
      <c r="J122" t="s">
        <v>146</v>
      </c>
      <c r="K122" s="3">
        <v>46129</v>
      </c>
      <c r="L122" s="3">
        <v>46127</v>
      </c>
      <c r="M122" s="3">
        <v>46129</v>
      </c>
      <c r="N122" s="3">
        <v>46129</v>
      </c>
      <c r="O122" t="s">
        <v>146</v>
      </c>
      <c r="P122" t="s">
        <v>55</v>
      </c>
      <c r="Q122">
        <v>143</v>
      </c>
      <c r="S122" t="s">
        <v>124</v>
      </c>
      <c r="T122" t="s">
        <v>246</v>
      </c>
      <c r="U122">
        <v>145</v>
      </c>
      <c r="V122" t="s">
        <v>122</v>
      </c>
      <c r="W122">
        <v>13.4</v>
      </c>
      <c r="X122" t="s">
        <v>57</v>
      </c>
      <c r="Z122" t="s">
        <v>124</v>
      </c>
      <c r="AA122" t="s">
        <v>180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1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</row>
    <row r="123" spans="1:42" x14ac:dyDescent="0.25">
      <c r="A123">
        <v>145</v>
      </c>
      <c r="B123" t="s">
        <v>369</v>
      </c>
      <c r="C123" t="s">
        <v>367</v>
      </c>
      <c r="D123" t="s">
        <v>126</v>
      </c>
      <c r="E123" s="4">
        <v>1</v>
      </c>
      <c r="F123" t="s">
        <v>61</v>
      </c>
      <c r="G123" t="s">
        <v>61</v>
      </c>
      <c r="H123" s="3">
        <v>46147</v>
      </c>
      <c r="I123" s="3">
        <v>46147</v>
      </c>
      <c r="J123" t="s">
        <v>337</v>
      </c>
      <c r="K123" s="3">
        <v>46134</v>
      </c>
      <c r="L123" s="3">
        <v>46134</v>
      </c>
      <c r="M123" s="3">
        <v>46147</v>
      </c>
      <c r="N123" s="3">
        <v>46147</v>
      </c>
      <c r="O123" t="s">
        <v>183</v>
      </c>
      <c r="P123" t="s">
        <v>55</v>
      </c>
      <c r="Q123">
        <v>144</v>
      </c>
      <c r="S123" t="s">
        <v>302</v>
      </c>
      <c r="T123" t="s">
        <v>246</v>
      </c>
      <c r="U123">
        <v>146</v>
      </c>
      <c r="V123" t="s">
        <v>61</v>
      </c>
      <c r="W123">
        <v>13.4</v>
      </c>
      <c r="X123" t="s">
        <v>57</v>
      </c>
      <c r="Z123" t="s">
        <v>302</v>
      </c>
      <c r="AA123" t="s">
        <v>71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1</v>
      </c>
      <c r="AM123">
        <v>0</v>
      </c>
      <c r="AN123">
        <v>0</v>
      </c>
      <c r="AO123">
        <v>0</v>
      </c>
      <c r="AP123">
        <v>0</v>
      </c>
    </row>
    <row r="124" spans="1:42" x14ac:dyDescent="0.25">
      <c r="A124">
        <v>146</v>
      </c>
      <c r="B124" t="s">
        <v>370</v>
      </c>
      <c r="C124" t="s">
        <v>367</v>
      </c>
      <c r="D124" t="s">
        <v>133</v>
      </c>
      <c r="E124" s="4">
        <v>1</v>
      </c>
      <c r="F124" t="s">
        <v>61</v>
      </c>
      <c r="G124" t="s">
        <v>61</v>
      </c>
      <c r="H124" s="3">
        <v>46148</v>
      </c>
      <c r="I124" s="3">
        <v>46148</v>
      </c>
      <c r="J124" t="s">
        <v>371</v>
      </c>
      <c r="K124" s="3">
        <v>46135</v>
      </c>
      <c r="L124" s="3">
        <v>46135</v>
      </c>
      <c r="M124" s="3">
        <v>46148</v>
      </c>
      <c r="N124" s="3">
        <v>46148</v>
      </c>
      <c r="O124" t="s">
        <v>304</v>
      </c>
      <c r="P124" t="s">
        <v>55</v>
      </c>
      <c r="Q124">
        <v>145</v>
      </c>
      <c r="S124" t="s">
        <v>124</v>
      </c>
      <c r="T124" t="s">
        <v>246</v>
      </c>
      <c r="V124" t="s">
        <v>61</v>
      </c>
      <c r="W124">
        <v>13.4</v>
      </c>
      <c r="X124" t="s">
        <v>57</v>
      </c>
      <c r="Z124" t="s">
        <v>124</v>
      </c>
      <c r="AA124" t="s">
        <v>71</v>
      </c>
      <c r="AE124">
        <v>1</v>
      </c>
      <c r="AF124">
        <v>0</v>
      </c>
      <c r="AG124">
        <v>0</v>
      </c>
      <c r="AH124">
        <v>0</v>
      </c>
      <c r="AI124">
        <v>1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0</v>
      </c>
      <c r="AP124">
        <v>0</v>
      </c>
    </row>
    <row r="125" spans="1:42" x14ac:dyDescent="0.25">
      <c r="A125">
        <v>147</v>
      </c>
      <c r="B125" t="s">
        <v>372</v>
      </c>
      <c r="C125" t="s">
        <v>246</v>
      </c>
      <c r="D125" t="s">
        <v>373</v>
      </c>
      <c r="E125" s="4">
        <v>1</v>
      </c>
      <c r="F125" t="s">
        <v>365</v>
      </c>
      <c r="G125" t="s">
        <v>365</v>
      </c>
      <c r="H125" s="3">
        <v>46126</v>
      </c>
      <c r="I125" s="3">
        <v>46148</v>
      </c>
      <c r="J125" t="s">
        <v>334</v>
      </c>
      <c r="K125" s="3">
        <v>46136</v>
      </c>
      <c r="L125" s="3">
        <v>46126</v>
      </c>
      <c r="M125" s="3">
        <v>46148</v>
      </c>
      <c r="N125" s="3">
        <v>46148</v>
      </c>
      <c r="O125" t="s">
        <v>334</v>
      </c>
      <c r="P125" t="s">
        <v>55</v>
      </c>
      <c r="T125" t="s">
        <v>246</v>
      </c>
      <c r="U125">
        <v>1518</v>
      </c>
      <c r="V125" t="s">
        <v>175</v>
      </c>
      <c r="W125">
        <v>33.6</v>
      </c>
      <c r="X125" t="s">
        <v>57</v>
      </c>
      <c r="AA125" t="s">
        <v>50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</row>
    <row r="126" spans="1:42" x14ac:dyDescent="0.25">
      <c r="A126">
        <v>148</v>
      </c>
      <c r="B126" t="s">
        <v>374</v>
      </c>
      <c r="C126" t="s">
        <v>375</v>
      </c>
      <c r="D126" t="s">
        <v>117</v>
      </c>
      <c r="E126" s="4">
        <v>1</v>
      </c>
      <c r="F126" t="s">
        <v>127</v>
      </c>
      <c r="G126" t="s">
        <v>127</v>
      </c>
      <c r="H126" s="3">
        <v>46126</v>
      </c>
      <c r="I126" s="3">
        <v>46127</v>
      </c>
      <c r="J126" t="s">
        <v>334</v>
      </c>
      <c r="K126" s="3">
        <v>46127</v>
      </c>
      <c r="L126" s="3">
        <v>46126</v>
      </c>
      <c r="M126" s="3">
        <v>46127</v>
      </c>
      <c r="N126" s="3">
        <v>46127</v>
      </c>
      <c r="O126" t="s">
        <v>334</v>
      </c>
      <c r="P126" t="s">
        <v>55</v>
      </c>
      <c r="Q126">
        <v>138</v>
      </c>
      <c r="R126" s="1">
        <v>46122</v>
      </c>
      <c r="S126" t="s">
        <v>124</v>
      </c>
      <c r="T126" t="s">
        <v>246</v>
      </c>
      <c r="U126">
        <v>149</v>
      </c>
      <c r="V126" t="s">
        <v>127</v>
      </c>
      <c r="W126">
        <v>13.4</v>
      </c>
      <c r="X126" t="s">
        <v>57</v>
      </c>
      <c r="Z126" t="s">
        <v>124</v>
      </c>
      <c r="AA126" t="s">
        <v>180</v>
      </c>
      <c r="AE126">
        <v>1</v>
      </c>
      <c r="AF126">
        <v>1</v>
      </c>
      <c r="AG126">
        <v>1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1</v>
      </c>
    </row>
    <row r="127" spans="1:42" x14ac:dyDescent="0.25">
      <c r="A127">
        <v>149</v>
      </c>
      <c r="B127" t="s">
        <v>376</v>
      </c>
      <c r="C127" t="s">
        <v>375</v>
      </c>
      <c r="D127" t="s">
        <v>121</v>
      </c>
      <c r="E127" s="4">
        <v>1</v>
      </c>
      <c r="F127" t="s">
        <v>122</v>
      </c>
      <c r="G127" t="s">
        <v>122</v>
      </c>
      <c r="H127" s="3">
        <v>46128</v>
      </c>
      <c r="I127" s="3">
        <v>46134</v>
      </c>
      <c r="J127" t="s">
        <v>148</v>
      </c>
      <c r="K127" s="3">
        <v>46134</v>
      </c>
      <c r="L127" s="3">
        <v>46128</v>
      </c>
      <c r="M127" s="3">
        <v>46134</v>
      </c>
      <c r="N127" s="3">
        <v>46134</v>
      </c>
      <c r="O127" t="s">
        <v>148</v>
      </c>
      <c r="P127" t="s">
        <v>55</v>
      </c>
      <c r="Q127">
        <v>148</v>
      </c>
      <c r="S127" t="s">
        <v>124</v>
      </c>
      <c r="T127" t="s">
        <v>246</v>
      </c>
      <c r="U127">
        <v>150</v>
      </c>
      <c r="V127" t="s">
        <v>122</v>
      </c>
      <c r="W127">
        <v>13.4</v>
      </c>
      <c r="X127" t="s">
        <v>57</v>
      </c>
      <c r="Z127" t="s">
        <v>124</v>
      </c>
      <c r="AA127" t="s">
        <v>180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1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</row>
    <row r="128" spans="1:42" x14ac:dyDescent="0.25">
      <c r="A128">
        <v>150</v>
      </c>
      <c r="B128" t="s">
        <v>377</v>
      </c>
      <c r="C128" t="s">
        <v>375</v>
      </c>
      <c r="D128" t="s">
        <v>126</v>
      </c>
      <c r="E128" s="4">
        <v>1</v>
      </c>
      <c r="F128" t="s">
        <v>61</v>
      </c>
      <c r="G128" t="s">
        <v>61</v>
      </c>
      <c r="H128" s="3">
        <v>46147</v>
      </c>
      <c r="I128" s="3">
        <v>46147</v>
      </c>
      <c r="J128" t="s">
        <v>371</v>
      </c>
      <c r="K128" s="3">
        <v>46135</v>
      </c>
      <c r="L128" s="3">
        <v>46135</v>
      </c>
      <c r="M128" s="3">
        <v>46147</v>
      </c>
      <c r="N128" s="3">
        <v>46147</v>
      </c>
      <c r="O128" t="s">
        <v>183</v>
      </c>
      <c r="P128" t="s">
        <v>55</v>
      </c>
      <c r="Q128">
        <v>149</v>
      </c>
      <c r="S128" t="s">
        <v>302</v>
      </c>
      <c r="T128" t="s">
        <v>246</v>
      </c>
      <c r="U128">
        <v>151</v>
      </c>
      <c r="V128" t="s">
        <v>61</v>
      </c>
      <c r="W128">
        <v>13.4</v>
      </c>
      <c r="X128" t="s">
        <v>57</v>
      </c>
      <c r="Z128" t="s">
        <v>302</v>
      </c>
      <c r="AA128" t="s">
        <v>71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1</v>
      </c>
      <c r="AM128">
        <v>0</v>
      </c>
      <c r="AN128">
        <v>0</v>
      </c>
      <c r="AO128">
        <v>0</v>
      </c>
      <c r="AP128">
        <v>0</v>
      </c>
    </row>
    <row r="129" spans="1:42" x14ac:dyDescent="0.25">
      <c r="A129">
        <v>151</v>
      </c>
      <c r="B129" t="s">
        <v>378</v>
      </c>
      <c r="C129" t="s">
        <v>375</v>
      </c>
      <c r="D129" t="s">
        <v>133</v>
      </c>
      <c r="E129" s="4">
        <v>1</v>
      </c>
      <c r="F129" t="s">
        <v>61</v>
      </c>
      <c r="G129" t="s">
        <v>61</v>
      </c>
      <c r="H129" s="3">
        <v>46148</v>
      </c>
      <c r="I129" s="3">
        <v>46148</v>
      </c>
      <c r="J129" t="s">
        <v>67</v>
      </c>
      <c r="K129" s="3">
        <v>46136</v>
      </c>
      <c r="L129" s="3">
        <v>46136</v>
      </c>
      <c r="M129" s="3">
        <v>46148</v>
      </c>
      <c r="N129" s="3">
        <v>46148</v>
      </c>
      <c r="O129" t="s">
        <v>304</v>
      </c>
      <c r="P129" t="s">
        <v>55</v>
      </c>
      <c r="Q129">
        <v>150</v>
      </c>
      <c r="S129" t="s">
        <v>124</v>
      </c>
      <c r="T129" t="s">
        <v>246</v>
      </c>
      <c r="V129" t="s">
        <v>61</v>
      </c>
      <c r="W129">
        <v>13.4</v>
      </c>
      <c r="X129" t="s">
        <v>57</v>
      </c>
      <c r="Z129" t="s">
        <v>124</v>
      </c>
      <c r="AA129" t="s">
        <v>71</v>
      </c>
      <c r="AE129">
        <v>1</v>
      </c>
      <c r="AF129">
        <v>0</v>
      </c>
      <c r="AG129">
        <v>0</v>
      </c>
      <c r="AH129">
        <v>0</v>
      </c>
      <c r="AI129">
        <v>1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0</v>
      </c>
      <c r="AP129">
        <v>0</v>
      </c>
    </row>
    <row r="130" spans="1:42" x14ac:dyDescent="0.25">
      <c r="A130">
        <v>152</v>
      </c>
      <c r="B130" t="s">
        <v>379</v>
      </c>
      <c r="C130" t="s">
        <v>246</v>
      </c>
      <c r="D130" t="s">
        <v>380</v>
      </c>
      <c r="E130" s="4">
        <v>1</v>
      </c>
      <c r="F130" t="s">
        <v>365</v>
      </c>
      <c r="G130" t="s">
        <v>365</v>
      </c>
      <c r="H130" s="3">
        <v>46126</v>
      </c>
      <c r="I130" s="3">
        <v>46148</v>
      </c>
      <c r="J130" t="s">
        <v>334</v>
      </c>
      <c r="K130" s="3">
        <v>46136</v>
      </c>
      <c r="L130" s="3">
        <v>46126</v>
      </c>
      <c r="M130" s="3">
        <v>46148</v>
      </c>
      <c r="N130" s="3">
        <v>46148</v>
      </c>
      <c r="O130" t="s">
        <v>334</v>
      </c>
      <c r="P130" t="s">
        <v>55</v>
      </c>
      <c r="T130" t="s">
        <v>246</v>
      </c>
      <c r="U130" t="s">
        <v>381</v>
      </c>
      <c r="V130" t="s">
        <v>175</v>
      </c>
      <c r="W130">
        <v>15.6</v>
      </c>
      <c r="X130" t="s">
        <v>57</v>
      </c>
      <c r="AA130" t="s">
        <v>50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</row>
    <row r="131" spans="1:42" x14ac:dyDescent="0.25">
      <c r="A131">
        <v>153</v>
      </c>
      <c r="B131" t="s">
        <v>382</v>
      </c>
      <c r="C131" t="s">
        <v>383</v>
      </c>
      <c r="D131" t="s">
        <v>117</v>
      </c>
      <c r="E131" s="4">
        <v>1</v>
      </c>
      <c r="F131" t="s">
        <v>127</v>
      </c>
      <c r="G131" t="s">
        <v>127</v>
      </c>
      <c r="H131" s="3">
        <v>46126</v>
      </c>
      <c r="I131" s="3">
        <v>46127</v>
      </c>
      <c r="J131" t="s">
        <v>334</v>
      </c>
      <c r="K131" s="3">
        <v>46127</v>
      </c>
      <c r="L131" s="3">
        <v>46126</v>
      </c>
      <c r="M131" s="3">
        <v>46127</v>
      </c>
      <c r="N131" s="3">
        <v>46127</v>
      </c>
      <c r="O131" t="s">
        <v>334</v>
      </c>
      <c r="P131" t="s">
        <v>55</v>
      </c>
      <c r="Q131">
        <v>138</v>
      </c>
      <c r="R131" s="1">
        <v>46122</v>
      </c>
      <c r="S131" t="s">
        <v>124</v>
      </c>
      <c r="T131" t="s">
        <v>246</v>
      </c>
      <c r="U131" t="s">
        <v>384</v>
      </c>
      <c r="V131" t="s">
        <v>127</v>
      </c>
      <c r="W131">
        <v>13.4</v>
      </c>
      <c r="X131" t="s">
        <v>57</v>
      </c>
      <c r="Z131" t="s">
        <v>124</v>
      </c>
      <c r="AA131" t="s">
        <v>180</v>
      </c>
      <c r="AE131">
        <v>1</v>
      </c>
      <c r="AF131">
        <v>1</v>
      </c>
      <c r="AG131">
        <v>1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1</v>
      </c>
    </row>
    <row r="132" spans="1:42" x14ac:dyDescent="0.25">
      <c r="A132">
        <v>154</v>
      </c>
      <c r="B132" t="s">
        <v>385</v>
      </c>
      <c r="C132" t="s">
        <v>383</v>
      </c>
      <c r="D132" t="s">
        <v>121</v>
      </c>
      <c r="E132" s="4">
        <v>1</v>
      </c>
      <c r="F132" t="s">
        <v>122</v>
      </c>
      <c r="G132" t="s">
        <v>122</v>
      </c>
      <c r="H132" s="3">
        <v>46128</v>
      </c>
      <c r="I132" s="3">
        <v>46134</v>
      </c>
      <c r="J132" t="s">
        <v>148</v>
      </c>
      <c r="K132" s="3">
        <v>46134</v>
      </c>
      <c r="L132" s="3">
        <v>46128</v>
      </c>
      <c r="M132" s="3">
        <v>46134</v>
      </c>
      <c r="N132" s="3">
        <v>46134</v>
      </c>
      <c r="O132" t="s">
        <v>148</v>
      </c>
      <c r="P132" t="s">
        <v>55</v>
      </c>
      <c r="Q132">
        <v>153</v>
      </c>
      <c r="S132" t="s">
        <v>124</v>
      </c>
      <c r="T132" t="s">
        <v>246</v>
      </c>
      <c r="U132">
        <v>155</v>
      </c>
      <c r="V132" t="s">
        <v>122</v>
      </c>
      <c r="W132">
        <v>13.4</v>
      </c>
      <c r="X132" t="s">
        <v>57</v>
      </c>
      <c r="Z132" t="s">
        <v>124</v>
      </c>
      <c r="AA132" t="s">
        <v>180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1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</row>
    <row r="133" spans="1:42" x14ac:dyDescent="0.25">
      <c r="A133">
        <v>155</v>
      </c>
      <c r="B133" t="s">
        <v>386</v>
      </c>
      <c r="C133" t="s">
        <v>383</v>
      </c>
      <c r="D133" t="s">
        <v>126</v>
      </c>
      <c r="E133" s="4">
        <v>1</v>
      </c>
      <c r="F133" t="s">
        <v>61</v>
      </c>
      <c r="G133" t="s">
        <v>61</v>
      </c>
      <c r="H133" s="3">
        <v>46147</v>
      </c>
      <c r="I133" s="3">
        <v>46147</v>
      </c>
      <c r="J133" t="s">
        <v>371</v>
      </c>
      <c r="K133" s="3">
        <v>46135</v>
      </c>
      <c r="L133" s="3">
        <v>46135</v>
      </c>
      <c r="M133" s="3">
        <v>46147</v>
      </c>
      <c r="N133" s="3">
        <v>46147</v>
      </c>
      <c r="O133" t="s">
        <v>183</v>
      </c>
      <c r="P133" t="s">
        <v>55</v>
      </c>
      <c r="Q133">
        <v>154</v>
      </c>
      <c r="S133" t="s">
        <v>302</v>
      </c>
      <c r="T133" t="s">
        <v>246</v>
      </c>
      <c r="U133">
        <v>156</v>
      </c>
      <c r="V133" t="s">
        <v>61</v>
      </c>
      <c r="W133">
        <v>13.4</v>
      </c>
      <c r="X133" t="s">
        <v>57</v>
      </c>
      <c r="Z133" t="s">
        <v>302</v>
      </c>
      <c r="AA133" t="s">
        <v>71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1</v>
      </c>
      <c r="AM133">
        <v>0</v>
      </c>
      <c r="AN133">
        <v>0</v>
      </c>
      <c r="AO133">
        <v>0</v>
      </c>
      <c r="AP133">
        <v>0</v>
      </c>
    </row>
    <row r="134" spans="1:42" x14ac:dyDescent="0.25">
      <c r="A134">
        <v>156</v>
      </c>
      <c r="B134" t="s">
        <v>387</v>
      </c>
      <c r="C134" t="s">
        <v>383</v>
      </c>
      <c r="D134" t="s">
        <v>133</v>
      </c>
      <c r="E134" s="4">
        <v>1</v>
      </c>
      <c r="F134" t="s">
        <v>61</v>
      </c>
      <c r="G134" t="s">
        <v>61</v>
      </c>
      <c r="H134" s="3">
        <v>46148</v>
      </c>
      <c r="I134" s="3">
        <v>46148</v>
      </c>
      <c r="J134" t="s">
        <v>67</v>
      </c>
      <c r="K134" s="3">
        <v>46136</v>
      </c>
      <c r="L134" s="3">
        <v>46136</v>
      </c>
      <c r="M134" s="3">
        <v>46148</v>
      </c>
      <c r="N134" s="3">
        <v>46148</v>
      </c>
      <c r="O134" t="s">
        <v>304</v>
      </c>
      <c r="P134" t="s">
        <v>55</v>
      </c>
      <c r="Q134">
        <v>155</v>
      </c>
      <c r="S134" t="s">
        <v>124</v>
      </c>
      <c r="T134" t="s">
        <v>246</v>
      </c>
      <c r="V134" t="s">
        <v>61</v>
      </c>
      <c r="W134">
        <v>13.4</v>
      </c>
      <c r="X134" t="s">
        <v>57</v>
      </c>
      <c r="Z134" t="s">
        <v>124</v>
      </c>
      <c r="AA134" t="s">
        <v>71</v>
      </c>
      <c r="AE134">
        <v>1</v>
      </c>
      <c r="AF134">
        <v>0</v>
      </c>
      <c r="AG134">
        <v>0</v>
      </c>
      <c r="AH134">
        <v>0</v>
      </c>
      <c r="AI134">
        <v>1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0</v>
      </c>
      <c r="AP134">
        <v>0</v>
      </c>
    </row>
    <row r="135" spans="1:42" x14ac:dyDescent="0.25">
      <c r="A135">
        <v>157</v>
      </c>
      <c r="B135" t="s">
        <v>388</v>
      </c>
      <c r="C135" t="s">
        <v>246</v>
      </c>
      <c r="D135" t="s">
        <v>389</v>
      </c>
      <c r="E135" s="4">
        <v>1</v>
      </c>
      <c r="F135" t="s">
        <v>365</v>
      </c>
      <c r="G135" t="s">
        <v>365</v>
      </c>
      <c r="H135" s="3">
        <v>46126</v>
      </c>
      <c r="I135" s="3">
        <v>46148</v>
      </c>
      <c r="J135" t="s">
        <v>334</v>
      </c>
      <c r="K135" s="3">
        <v>46148</v>
      </c>
      <c r="L135" s="3">
        <v>46126</v>
      </c>
      <c r="M135" s="3">
        <v>46148</v>
      </c>
      <c r="N135" s="3">
        <v>46148</v>
      </c>
      <c r="O135" t="s">
        <v>334</v>
      </c>
      <c r="P135" t="s">
        <v>55</v>
      </c>
      <c r="T135" t="s">
        <v>246</v>
      </c>
      <c r="U135" t="s">
        <v>381</v>
      </c>
      <c r="V135" t="s">
        <v>175</v>
      </c>
      <c r="W135">
        <v>15.6</v>
      </c>
      <c r="X135" t="s">
        <v>57</v>
      </c>
      <c r="AA135" t="s">
        <v>50</v>
      </c>
      <c r="AB135" t="s">
        <v>94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</row>
    <row r="136" spans="1:42" x14ac:dyDescent="0.25">
      <c r="A136">
        <v>158</v>
      </c>
      <c r="B136" t="s">
        <v>390</v>
      </c>
      <c r="C136" t="s">
        <v>391</v>
      </c>
      <c r="D136" t="s">
        <v>117</v>
      </c>
      <c r="E136" s="4">
        <v>1</v>
      </c>
      <c r="F136" t="s">
        <v>127</v>
      </c>
      <c r="G136" t="s">
        <v>127</v>
      </c>
      <c r="H136" s="3">
        <v>46126</v>
      </c>
      <c r="I136" s="3">
        <v>46127</v>
      </c>
      <c r="J136" t="s">
        <v>334</v>
      </c>
      <c r="K136" s="3">
        <v>46127</v>
      </c>
      <c r="L136" s="3">
        <v>46126</v>
      </c>
      <c r="M136" s="3">
        <v>46127</v>
      </c>
      <c r="N136" s="3">
        <v>46127</v>
      </c>
      <c r="O136" t="s">
        <v>334</v>
      </c>
      <c r="P136" t="s">
        <v>55</v>
      </c>
      <c r="Q136">
        <v>138</v>
      </c>
      <c r="R136" s="1">
        <v>46122</v>
      </c>
      <c r="S136" t="s">
        <v>124</v>
      </c>
      <c r="T136" t="s">
        <v>246</v>
      </c>
      <c r="U136" t="s">
        <v>392</v>
      </c>
      <c r="V136" t="s">
        <v>127</v>
      </c>
      <c r="W136">
        <v>13.4</v>
      </c>
      <c r="X136" t="s">
        <v>57</v>
      </c>
      <c r="Z136" t="s">
        <v>124</v>
      </c>
      <c r="AA136" t="s">
        <v>180</v>
      </c>
      <c r="AE136">
        <v>1</v>
      </c>
      <c r="AF136">
        <v>1</v>
      </c>
      <c r="AG136">
        <v>1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1</v>
      </c>
    </row>
    <row r="137" spans="1:42" x14ac:dyDescent="0.25">
      <c r="A137">
        <v>159</v>
      </c>
      <c r="B137" t="s">
        <v>393</v>
      </c>
      <c r="C137" t="s">
        <v>391</v>
      </c>
      <c r="D137" t="s">
        <v>121</v>
      </c>
      <c r="E137" s="4">
        <v>1</v>
      </c>
      <c r="F137" t="s">
        <v>122</v>
      </c>
      <c r="G137" t="s">
        <v>122</v>
      </c>
      <c r="H137" s="3">
        <v>46128</v>
      </c>
      <c r="I137" s="3">
        <v>46134</v>
      </c>
      <c r="J137" t="s">
        <v>148</v>
      </c>
      <c r="K137" s="3">
        <v>46134</v>
      </c>
      <c r="L137" s="3">
        <v>46128</v>
      </c>
      <c r="M137" s="3">
        <v>46134</v>
      </c>
      <c r="N137" s="3">
        <v>46134</v>
      </c>
      <c r="O137" t="s">
        <v>148</v>
      </c>
      <c r="P137" t="s">
        <v>55</v>
      </c>
      <c r="Q137">
        <v>158</v>
      </c>
      <c r="S137" t="s">
        <v>124</v>
      </c>
      <c r="T137" t="s">
        <v>246</v>
      </c>
      <c r="U137">
        <v>160</v>
      </c>
      <c r="V137" t="s">
        <v>122</v>
      </c>
      <c r="W137">
        <v>13.4</v>
      </c>
      <c r="X137" t="s">
        <v>57</v>
      </c>
      <c r="Z137" t="s">
        <v>124</v>
      </c>
      <c r="AA137" t="s">
        <v>180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1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</row>
    <row r="138" spans="1:42" x14ac:dyDescent="0.25">
      <c r="A138">
        <v>160</v>
      </c>
      <c r="B138" t="s">
        <v>394</v>
      </c>
      <c r="C138" t="s">
        <v>391</v>
      </c>
      <c r="D138" t="s">
        <v>126</v>
      </c>
      <c r="E138" s="4">
        <v>1</v>
      </c>
      <c r="F138" t="s">
        <v>61</v>
      </c>
      <c r="G138" t="s">
        <v>61</v>
      </c>
      <c r="H138" s="3">
        <v>46147</v>
      </c>
      <c r="I138" s="3">
        <v>46147</v>
      </c>
      <c r="J138" t="s">
        <v>183</v>
      </c>
      <c r="K138" s="3">
        <v>46147</v>
      </c>
      <c r="L138" s="3">
        <v>46147</v>
      </c>
      <c r="M138" s="3">
        <v>46147</v>
      </c>
      <c r="N138" s="3">
        <v>46147</v>
      </c>
      <c r="O138" t="s">
        <v>183</v>
      </c>
      <c r="P138" t="s">
        <v>55</v>
      </c>
      <c r="Q138">
        <v>159</v>
      </c>
      <c r="S138" t="s">
        <v>302</v>
      </c>
      <c r="T138" t="s">
        <v>246</v>
      </c>
      <c r="U138">
        <v>161</v>
      </c>
      <c r="V138" t="s">
        <v>61</v>
      </c>
      <c r="W138">
        <v>13.4</v>
      </c>
      <c r="X138" t="s">
        <v>57</v>
      </c>
      <c r="Z138" t="s">
        <v>302</v>
      </c>
      <c r="AA138" t="s">
        <v>71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1</v>
      </c>
      <c r="AM138">
        <v>0</v>
      </c>
      <c r="AN138">
        <v>0</v>
      </c>
      <c r="AO138">
        <v>0</v>
      </c>
      <c r="AP138">
        <v>0</v>
      </c>
    </row>
    <row r="139" spans="1:42" x14ac:dyDescent="0.25">
      <c r="A139">
        <v>161</v>
      </c>
      <c r="B139" t="s">
        <v>395</v>
      </c>
      <c r="C139" t="s">
        <v>391</v>
      </c>
      <c r="D139" t="s">
        <v>133</v>
      </c>
      <c r="E139" s="4">
        <v>1</v>
      </c>
      <c r="F139" t="s">
        <v>61</v>
      </c>
      <c r="G139" t="s">
        <v>61</v>
      </c>
      <c r="H139" s="3">
        <v>46148</v>
      </c>
      <c r="I139" s="3">
        <v>46148</v>
      </c>
      <c r="J139" t="s">
        <v>304</v>
      </c>
      <c r="K139" s="3">
        <v>46148</v>
      </c>
      <c r="L139" s="3">
        <v>46148</v>
      </c>
      <c r="M139" s="3">
        <v>46148</v>
      </c>
      <c r="N139" s="3">
        <v>46148</v>
      </c>
      <c r="O139" t="s">
        <v>304</v>
      </c>
      <c r="P139" t="s">
        <v>55</v>
      </c>
      <c r="Q139">
        <v>160</v>
      </c>
      <c r="S139" t="s">
        <v>124</v>
      </c>
      <c r="T139" t="s">
        <v>246</v>
      </c>
      <c r="V139" t="s">
        <v>61</v>
      </c>
      <c r="W139">
        <v>13.4</v>
      </c>
      <c r="X139" t="s">
        <v>57</v>
      </c>
      <c r="Z139" t="s">
        <v>124</v>
      </c>
      <c r="AA139" t="s">
        <v>71</v>
      </c>
      <c r="AE139">
        <v>1</v>
      </c>
      <c r="AF139">
        <v>0</v>
      </c>
      <c r="AG139">
        <v>0</v>
      </c>
      <c r="AH139">
        <v>0</v>
      </c>
      <c r="AI139">
        <v>1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0</v>
      </c>
      <c r="AP139">
        <v>0</v>
      </c>
    </row>
    <row r="140" spans="1:42" x14ac:dyDescent="0.25">
      <c r="A140">
        <v>167</v>
      </c>
      <c r="B140" t="s">
        <v>407</v>
      </c>
      <c r="C140" t="s">
        <v>246</v>
      </c>
      <c r="D140" t="s">
        <v>408</v>
      </c>
      <c r="E140" s="4">
        <v>1</v>
      </c>
      <c r="F140" t="s">
        <v>330</v>
      </c>
      <c r="G140" t="s">
        <v>330</v>
      </c>
      <c r="H140" s="3">
        <v>46146</v>
      </c>
      <c r="I140" s="3">
        <v>46164</v>
      </c>
      <c r="J140" t="s">
        <v>337</v>
      </c>
      <c r="K140" s="3">
        <v>46148</v>
      </c>
      <c r="L140" s="3">
        <v>46134</v>
      </c>
      <c r="M140" s="3">
        <v>46164</v>
      </c>
      <c r="N140" s="3">
        <v>46164</v>
      </c>
      <c r="O140" t="s">
        <v>409</v>
      </c>
      <c r="P140" t="s">
        <v>55</v>
      </c>
      <c r="T140" t="s">
        <v>246</v>
      </c>
      <c r="V140" t="s">
        <v>151</v>
      </c>
      <c r="W140">
        <v>33.6</v>
      </c>
      <c r="X140" t="s">
        <v>57</v>
      </c>
      <c r="AA140" t="s">
        <v>50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</row>
    <row r="141" spans="1:42" x14ac:dyDescent="0.25">
      <c r="A141">
        <v>168</v>
      </c>
      <c r="B141" t="s">
        <v>410</v>
      </c>
      <c r="C141" t="s">
        <v>411</v>
      </c>
      <c r="D141" t="s">
        <v>117</v>
      </c>
      <c r="E141" s="4">
        <v>1</v>
      </c>
      <c r="F141" t="s">
        <v>101</v>
      </c>
      <c r="G141" t="s">
        <v>101</v>
      </c>
      <c r="H141" s="3">
        <v>46146</v>
      </c>
      <c r="I141" s="3">
        <v>46149</v>
      </c>
      <c r="J141" t="s">
        <v>337</v>
      </c>
      <c r="K141" s="3">
        <v>46140</v>
      </c>
      <c r="L141" s="3">
        <v>46134</v>
      </c>
      <c r="M141" s="3">
        <v>46149</v>
      </c>
      <c r="N141" s="3">
        <v>46149</v>
      </c>
      <c r="O141" t="s">
        <v>409</v>
      </c>
      <c r="P141" t="s">
        <v>55</v>
      </c>
      <c r="Q141" t="s">
        <v>412</v>
      </c>
      <c r="S141" t="s">
        <v>124</v>
      </c>
      <c r="T141" t="s">
        <v>246</v>
      </c>
      <c r="U141" t="s">
        <v>413</v>
      </c>
      <c r="V141" t="s">
        <v>138</v>
      </c>
      <c r="W141">
        <v>13.4</v>
      </c>
      <c r="X141" t="s">
        <v>57</v>
      </c>
      <c r="Z141" t="s">
        <v>124</v>
      </c>
      <c r="AA141" t="s">
        <v>71</v>
      </c>
      <c r="AE141">
        <v>1</v>
      </c>
      <c r="AF141">
        <v>1</v>
      </c>
      <c r="AG141">
        <v>1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1</v>
      </c>
    </row>
    <row r="142" spans="1:42" x14ac:dyDescent="0.25">
      <c r="A142">
        <v>169</v>
      </c>
      <c r="B142" t="s">
        <v>414</v>
      </c>
      <c r="C142" t="s">
        <v>411</v>
      </c>
      <c r="D142" t="s">
        <v>121</v>
      </c>
      <c r="E142" s="4">
        <v>1</v>
      </c>
      <c r="F142" t="s">
        <v>61</v>
      </c>
      <c r="G142" t="s">
        <v>61</v>
      </c>
      <c r="H142" s="3">
        <v>46149</v>
      </c>
      <c r="I142" s="3">
        <v>46150</v>
      </c>
      <c r="J142" t="s">
        <v>415</v>
      </c>
      <c r="K142" s="3">
        <v>46146</v>
      </c>
      <c r="L142" s="3">
        <v>46141</v>
      </c>
      <c r="M142" s="3">
        <v>46150</v>
      </c>
      <c r="N142" s="3">
        <v>46150</v>
      </c>
      <c r="O142" t="s">
        <v>416</v>
      </c>
      <c r="P142" t="s">
        <v>55</v>
      </c>
      <c r="Q142">
        <v>168</v>
      </c>
      <c r="S142" t="s">
        <v>124</v>
      </c>
      <c r="T142" t="s">
        <v>246</v>
      </c>
      <c r="U142">
        <v>170</v>
      </c>
      <c r="V142" t="s">
        <v>122</v>
      </c>
      <c r="W142">
        <v>13.4</v>
      </c>
      <c r="X142" t="s">
        <v>57</v>
      </c>
      <c r="Z142" t="s">
        <v>124</v>
      </c>
      <c r="AA142" t="s">
        <v>71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1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</row>
    <row r="143" spans="1:42" x14ac:dyDescent="0.25">
      <c r="A143">
        <v>170</v>
      </c>
      <c r="B143" t="s">
        <v>417</v>
      </c>
      <c r="C143" t="s">
        <v>411</v>
      </c>
      <c r="D143" t="s">
        <v>126</v>
      </c>
      <c r="E143" s="4">
        <v>1</v>
      </c>
      <c r="F143" t="s">
        <v>122</v>
      </c>
      <c r="G143" t="s">
        <v>122</v>
      </c>
      <c r="H143" s="3">
        <v>46153</v>
      </c>
      <c r="I143" s="3">
        <v>46155</v>
      </c>
      <c r="J143" t="s">
        <v>183</v>
      </c>
      <c r="K143" s="3">
        <v>46147</v>
      </c>
      <c r="L143" s="3">
        <v>46147</v>
      </c>
      <c r="M143" s="3">
        <v>46155</v>
      </c>
      <c r="N143" s="3">
        <v>46155</v>
      </c>
      <c r="O143" t="s">
        <v>418</v>
      </c>
      <c r="P143" t="s">
        <v>55</v>
      </c>
      <c r="Q143">
        <v>169</v>
      </c>
      <c r="S143" t="s">
        <v>264</v>
      </c>
      <c r="T143" t="s">
        <v>246</v>
      </c>
      <c r="U143">
        <v>171</v>
      </c>
      <c r="V143" t="s">
        <v>61</v>
      </c>
      <c r="W143">
        <v>13.4</v>
      </c>
      <c r="X143" t="s">
        <v>57</v>
      </c>
      <c r="Z143" t="s">
        <v>264</v>
      </c>
      <c r="AA143" t="s">
        <v>401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1</v>
      </c>
      <c r="AM143">
        <v>0</v>
      </c>
      <c r="AN143">
        <v>0</v>
      </c>
      <c r="AO143">
        <v>0</v>
      </c>
      <c r="AP143">
        <v>0</v>
      </c>
    </row>
    <row r="144" spans="1:42" x14ac:dyDescent="0.25">
      <c r="A144">
        <v>171</v>
      </c>
      <c r="B144" t="s">
        <v>419</v>
      </c>
      <c r="C144" t="s">
        <v>411</v>
      </c>
      <c r="D144" t="s">
        <v>133</v>
      </c>
      <c r="E144" s="4">
        <v>1</v>
      </c>
      <c r="F144" t="s">
        <v>175</v>
      </c>
      <c r="G144" t="s">
        <v>175</v>
      </c>
      <c r="H144" s="3">
        <v>46155</v>
      </c>
      <c r="I144" s="3">
        <v>46164</v>
      </c>
      <c r="J144" t="s">
        <v>304</v>
      </c>
      <c r="K144" s="3">
        <v>46148</v>
      </c>
      <c r="L144" s="3">
        <v>46148</v>
      </c>
      <c r="M144" s="3">
        <v>46164</v>
      </c>
      <c r="N144" s="3">
        <v>46164</v>
      </c>
      <c r="O144" t="s">
        <v>68</v>
      </c>
      <c r="P144" t="s">
        <v>55</v>
      </c>
      <c r="Q144">
        <v>170</v>
      </c>
      <c r="S144" t="s">
        <v>124</v>
      </c>
      <c r="T144" t="s">
        <v>246</v>
      </c>
      <c r="V144" t="s">
        <v>61</v>
      </c>
      <c r="W144">
        <v>13.4</v>
      </c>
      <c r="X144" t="s">
        <v>57</v>
      </c>
      <c r="Z144" t="s">
        <v>124</v>
      </c>
      <c r="AA144" t="s">
        <v>401</v>
      </c>
      <c r="AE144">
        <v>1</v>
      </c>
      <c r="AF144">
        <v>0</v>
      </c>
      <c r="AG144">
        <v>0</v>
      </c>
      <c r="AH144">
        <v>0</v>
      </c>
      <c r="AI144">
        <v>1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0</v>
      </c>
      <c r="AP144">
        <v>0</v>
      </c>
    </row>
    <row r="145" spans="1:42" x14ac:dyDescent="0.25">
      <c r="A145">
        <v>178</v>
      </c>
      <c r="B145" t="s">
        <v>424</v>
      </c>
      <c r="C145" t="s">
        <v>425</v>
      </c>
      <c r="D145" t="s">
        <v>426</v>
      </c>
      <c r="E145" s="4">
        <v>1</v>
      </c>
      <c r="F145" t="s">
        <v>427</v>
      </c>
      <c r="G145" t="s">
        <v>427</v>
      </c>
      <c r="H145" s="3">
        <v>46104</v>
      </c>
      <c r="I145" s="3">
        <v>46174</v>
      </c>
      <c r="J145" t="s">
        <v>123</v>
      </c>
      <c r="K145" s="3">
        <v>46112</v>
      </c>
      <c r="L145" s="3">
        <v>46104</v>
      </c>
      <c r="M145" s="3">
        <v>46174</v>
      </c>
      <c r="N145" s="3">
        <v>46174</v>
      </c>
      <c r="O145" t="s">
        <v>123</v>
      </c>
      <c r="P145" t="s">
        <v>55</v>
      </c>
      <c r="T145" t="s">
        <v>425</v>
      </c>
      <c r="V145" t="s">
        <v>175</v>
      </c>
      <c r="W145">
        <v>21.48</v>
      </c>
      <c r="X145" t="s">
        <v>57</v>
      </c>
      <c r="AA145" t="s">
        <v>50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</row>
    <row r="146" spans="1:42" x14ac:dyDescent="0.25">
      <c r="A146">
        <v>179</v>
      </c>
      <c r="B146" t="s">
        <v>428</v>
      </c>
      <c r="C146" t="s">
        <v>429</v>
      </c>
      <c r="D146" t="s">
        <v>117</v>
      </c>
      <c r="E146" s="4">
        <v>1</v>
      </c>
      <c r="F146" t="s">
        <v>127</v>
      </c>
      <c r="G146" t="s">
        <v>127</v>
      </c>
      <c r="H146" s="3">
        <v>46104</v>
      </c>
      <c r="I146" s="3">
        <v>46105</v>
      </c>
      <c r="J146" t="s">
        <v>123</v>
      </c>
      <c r="K146" s="3">
        <v>46105</v>
      </c>
      <c r="L146" s="3">
        <v>46104</v>
      </c>
      <c r="M146" s="3">
        <v>46105</v>
      </c>
      <c r="N146" s="3">
        <v>46105</v>
      </c>
      <c r="O146" t="s">
        <v>123</v>
      </c>
      <c r="P146" t="s">
        <v>55</v>
      </c>
      <c r="Q146">
        <v>12</v>
      </c>
      <c r="S146" t="s">
        <v>142</v>
      </c>
      <c r="T146" t="s">
        <v>425</v>
      </c>
      <c r="U146">
        <v>180</v>
      </c>
      <c r="V146" t="s">
        <v>127</v>
      </c>
      <c r="W146">
        <v>13.4</v>
      </c>
      <c r="X146" t="s">
        <v>57</v>
      </c>
      <c r="Z146" t="s">
        <v>142</v>
      </c>
      <c r="AA146" t="s">
        <v>64</v>
      </c>
      <c r="AE146">
        <v>1</v>
      </c>
      <c r="AF146">
        <v>1</v>
      </c>
      <c r="AG146">
        <v>1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1</v>
      </c>
    </row>
    <row r="147" spans="1:42" x14ac:dyDescent="0.25">
      <c r="A147">
        <v>180</v>
      </c>
      <c r="B147" t="s">
        <v>430</v>
      </c>
      <c r="C147" t="s">
        <v>429</v>
      </c>
      <c r="D147" t="s">
        <v>121</v>
      </c>
      <c r="E147" s="4">
        <v>1</v>
      </c>
      <c r="F147" t="s">
        <v>122</v>
      </c>
      <c r="G147" t="s">
        <v>122</v>
      </c>
      <c r="H147" s="3">
        <v>46106</v>
      </c>
      <c r="I147" s="3">
        <v>46108</v>
      </c>
      <c r="J147" t="s">
        <v>431</v>
      </c>
      <c r="K147" s="3">
        <v>46108</v>
      </c>
      <c r="L147" s="3">
        <v>46106</v>
      </c>
      <c r="M147" s="3">
        <v>46108</v>
      </c>
      <c r="N147" s="3">
        <v>46108</v>
      </c>
      <c r="O147" t="s">
        <v>431</v>
      </c>
      <c r="P147" t="s">
        <v>55</v>
      </c>
      <c r="Q147">
        <v>179</v>
      </c>
      <c r="R147" s="1">
        <v>46112</v>
      </c>
      <c r="S147" t="s">
        <v>124</v>
      </c>
      <c r="T147" t="s">
        <v>425</v>
      </c>
      <c r="U147">
        <v>181</v>
      </c>
      <c r="V147" t="s">
        <v>122</v>
      </c>
      <c r="W147">
        <v>13.4</v>
      </c>
      <c r="X147" t="s">
        <v>57</v>
      </c>
      <c r="Z147" t="s">
        <v>124</v>
      </c>
      <c r="AA147" t="s">
        <v>64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1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</row>
    <row r="148" spans="1:42" x14ac:dyDescent="0.25">
      <c r="A148">
        <v>181</v>
      </c>
      <c r="B148" t="s">
        <v>432</v>
      </c>
      <c r="C148" t="s">
        <v>429</v>
      </c>
      <c r="D148" t="s">
        <v>126</v>
      </c>
      <c r="E148" s="4">
        <v>1</v>
      </c>
      <c r="F148" t="s">
        <v>433</v>
      </c>
      <c r="G148" t="s">
        <v>433</v>
      </c>
      <c r="H148" s="3">
        <v>46112</v>
      </c>
      <c r="I148" s="3">
        <v>46162</v>
      </c>
      <c r="J148" t="s">
        <v>275</v>
      </c>
      <c r="K148" s="3">
        <v>46111</v>
      </c>
      <c r="L148" s="3">
        <v>46111</v>
      </c>
      <c r="M148" s="3">
        <v>46162</v>
      </c>
      <c r="N148" s="3">
        <v>46162</v>
      </c>
      <c r="O148" t="s">
        <v>252</v>
      </c>
      <c r="P148" t="s">
        <v>55</v>
      </c>
      <c r="Q148">
        <v>180</v>
      </c>
      <c r="S148" t="s">
        <v>142</v>
      </c>
      <c r="T148" t="s">
        <v>425</v>
      </c>
      <c r="U148">
        <v>182</v>
      </c>
      <c r="V148" t="s">
        <v>61</v>
      </c>
      <c r="W148">
        <v>13.4</v>
      </c>
      <c r="X148" t="s">
        <v>57</v>
      </c>
      <c r="Z148" t="s">
        <v>142</v>
      </c>
      <c r="AA148" t="s">
        <v>255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1</v>
      </c>
      <c r="AM148">
        <v>0</v>
      </c>
      <c r="AN148">
        <v>0</v>
      </c>
      <c r="AO148">
        <v>0</v>
      </c>
      <c r="AP148">
        <v>0</v>
      </c>
    </row>
    <row r="149" spans="1:42" x14ac:dyDescent="0.25">
      <c r="A149">
        <v>182</v>
      </c>
      <c r="B149" t="s">
        <v>434</v>
      </c>
      <c r="C149" t="s">
        <v>429</v>
      </c>
      <c r="D149" t="s">
        <v>133</v>
      </c>
      <c r="E149" s="4">
        <v>1</v>
      </c>
      <c r="F149" t="s">
        <v>435</v>
      </c>
      <c r="G149" t="s">
        <v>435</v>
      </c>
      <c r="H149" s="3">
        <v>46112</v>
      </c>
      <c r="I149" s="3">
        <v>46174</v>
      </c>
      <c r="J149" t="s">
        <v>252</v>
      </c>
      <c r="K149" s="3">
        <v>46112</v>
      </c>
      <c r="L149" s="3">
        <v>46112</v>
      </c>
      <c r="M149" s="3">
        <v>46174</v>
      </c>
      <c r="N149" s="3">
        <v>46174</v>
      </c>
      <c r="O149" t="s">
        <v>252</v>
      </c>
      <c r="P149" t="s">
        <v>55</v>
      </c>
      <c r="Q149">
        <v>181</v>
      </c>
      <c r="S149" t="s">
        <v>124</v>
      </c>
      <c r="T149" t="s">
        <v>425</v>
      </c>
      <c r="V149" t="s">
        <v>61</v>
      </c>
      <c r="W149">
        <v>13.4</v>
      </c>
      <c r="X149" t="s">
        <v>57</v>
      </c>
      <c r="Z149" t="s">
        <v>124</v>
      </c>
      <c r="AA149" t="s">
        <v>255</v>
      </c>
      <c r="AE149">
        <v>1</v>
      </c>
      <c r="AF149">
        <v>0</v>
      </c>
      <c r="AG149">
        <v>0</v>
      </c>
      <c r="AH149">
        <v>0</v>
      </c>
      <c r="AI149">
        <v>1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0</v>
      </c>
      <c r="AP149">
        <v>0</v>
      </c>
    </row>
    <row r="150" spans="1:42" x14ac:dyDescent="0.25">
      <c r="A150">
        <v>183</v>
      </c>
      <c r="B150" t="s">
        <v>436</v>
      </c>
      <c r="C150" t="s">
        <v>425</v>
      </c>
      <c r="D150" t="s">
        <v>437</v>
      </c>
      <c r="E150" s="4">
        <v>1</v>
      </c>
      <c r="F150" t="s">
        <v>438</v>
      </c>
      <c r="G150" t="s">
        <v>438</v>
      </c>
      <c r="H150" s="3">
        <v>46126</v>
      </c>
      <c r="I150" s="3">
        <v>46185</v>
      </c>
      <c r="J150" t="s">
        <v>334</v>
      </c>
      <c r="K150" s="3">
        <v>46185</v>
      </c>
      <c r="L150" s="3">
        <v>46126</v>
      </c>
      <c r="M150" s="3">
        <v>46185</v>
      </c>
      <c r="N150" s="3">
        <v>46185</v>
      </c>
      <c r="O150" t="s">
        <v>334</v>
      </c>
      <c r="P150" t="s">
        <v>55</v>
      </c>
      <c r="T150" t="s">
        <v>425</v>
      </c>
      <c r="U150">
        <v>1397</v>
      </c>
      <c r="V150" t="s">
        <v>214</v>
      </c>
      <c r="W150">
        <v>26.4</v>
      </c>
      <c r="X150" t="s">
        <v>57</v>
      </c>
      <c r="AA150" t="s">
        <v>50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</row>
    <row r="151" spans="1:42" x14ac:dyDescent="0.25">
      <c r="A151">
        <v>184</v>
      </c>
      <c r="B151" t="s">
        <v>439</v>
      </c>
      <c r="C151" t="s">
        <v>440</v>
      </c>
      <c r="D151" t="s">
        <v>117</v>
      </c>
      <c r="E151" s="4">
        <v>1</v>
      </c>
      <c r="F151" t="s">
        <v>441</v>
      </c>
      <c r="G151" t="s">
        <v>441</v>
      </c>
      <c r="H151" s="3">
        <v>46126</v>
      </c>
      <c r="I151" s="3">
        <v>46167</v>
      </c>
      <c r="J151" t="s">
        <v>334</v>
      </c>
      <c r="K151" s="3">
        <v>46167</v>
      </c>
      <c r="L151" s="3">
        <v>46126</v>
      </c>
      <c r="M151" s="3">
        <v>46167</v>
      </c>
      <c r="N151" s="3">
        <v>46167</v>
      </c>
      <c r="O151" t="s">
        <v>334</v>
      </c>
      <c r="P151" t="s">
        <v>55</v>
      </c>
      <c r="Q151" t="s">
        <v>442</v>
      </c>
      <c r="S151" t="s">
        <v>142</v>
      </c>
      <c r="T151" t="s">
        <v>425</v>
      </c>
      <c r="U151">
        <v>185</v>
      </c>
      <c r="V151" t="s">
        <v>61</v>
      </c>
      <c r="W151">
        <v>13.4</v>
      </c>
      <c r="X151" t="s">
        <v>57</v>
      </c>
      <c r="Z151" t="s">
        <v>142</v>
      </c>
      <c r="AA151" t="s">
        <v>93</v>
      </c>
      <c r="AE151">
        <v>1</v>
      </c>
      <c r="AF151">
        <v>1</v>
      </c>
      <c r="AG151">
        <v>1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1</v>
      </c>
    </row>
    <row r="152" spans="1:42" x14ac:dyDescent="0.25">
      <c r="A152">
        <v>185</v>
      </c>
      <c r="B152" t="s">
        <v>443</v>
      </c>
      <c r="C152" t="s">
        <v>440</v>
      </c>
      <c r="D152" t="s">
        <v>121</v>
      </c>
      <c r="E152" s="4">
        <v>1</v>
      </c>
      <c r="F152" t="s">
        <v>203</v>
      </c>
      <c r="G152" t="s">
        <v>203</v>
      </c>
      <c r="H152" s="3">
        <v>46157</v>
      </c>
      <c r="I152" s="3">
        <v>46181</v>
      </c>
      <c r="J152" t="s">
        <v>444</v>
      </c>
      <c r="K152" s="3">
        <v>46181</v>
      </c>
      <c r="L152" s="3">
        <v>46157</v>
      </c>
      <c r="M152" s="3">
        <v>46181</v>
      </c>
      <c r="N152" s="3">
        <v>46181</v>
      </c>
      <c r="O152" t="s">
        <v>444</v>
      </c>
      <c r="P152" t="s">
        <v>55</v>
      </c>
      <c r="Q152">
        <v>184</v>
      </c>
      <c r="S152" t="s">
        <v>124</v>
      </c>
      <c r="T152" t="s">
        <v>425</v>
      </c>
      <c r="U152" t="s">
        <v>445</v>
      </c>
      <c r="V152" t="s">
        <v>122</v>
      </c>
      <c r="W152">
        <v>13.4</v>
      </c>
      <c r="X152" t="s">
        <v>57</v>
      </c>
      <c r="Z152" t="s">
        <v>124</v>
      </c>
      <c r="AA152" t="s">
        <v>93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1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</row>
    <row r="153" spans="1:42" x14ac:dyDescent="0.25">
      <c r="A153">
        <v>186</v>
      </c>
      <c r="B153" t="s">
        <v>446</v>
      </c>
      <c r="C153" t="s">
        <v>440</v>
      </c>
      <c r="D153" t="s">
        <v>126</v>
      </c>
      <c r="E153" s="4">
        <v>1</v>
      </c>
      <c r="F153" t="s">
        <v>447</v>
      </c>
      <c r="G153" t="s">
        <v>447</v>
      </c>
      <c r="H153" s="3">
        <v>46170</v>
      </c>
      <c r="I153" s="3">
        <v>46185</v>
      </c>
      <c r="J153" t="s">
        <v>448</v>
      </c>
      <c r="K153" s="3">
        <v>46185</v>
      </c>
      <c r="L153" s="3">
        <v>46170</v>
      </c>
      <c r="M153" s="3">
        <v>46185</v>
      </c>
      <c r="N153" s="3">
        <v>46185</v>
      </c>
      <c r="O153" t="s">
        <v>448</v>
      </c>
      <c r="P153" t="s">
        <v>55</v>
      </c>
      <c r="Q153" t="s">
        <v>449</v>
      </c>
      <c r="R153" s="1">
        <v>46127</v>
      </c>
      <c r="S153" t="s">
        <v>142</v>
      </c>
      <c r="T153" t="s">
        <v>425</v>
      </c>
      <c r="U153">
        <v>187</v>
      </c>
      <c r="V153" t="s">
        <v>61</v>
      </c>
      <c r="W153">
        <v>13.4</v>
      </c>
      <c r="X153" t="s">
        <v>57</v>
      </c>
      <c r="Z153" t="s">
        <v>142</v>
      </c>
      <c r="AA153" t="s">
        <v>198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1</v>
      </c>
      <c r="AM153">
        <v>0</v>
      </c>
      <c r="AN153">
        <v>0</v>
      </c>
      <c r="AO153">
        <v>0</v>
      </c>
      <c r="AP153">
        <v>0</v>
      </c>
    </row>
    <row r="154" spans="1:42" x14ac:dyDescent="0.25">
      <c r="A154">
        <v>187</v>
      </c>
      <c r="B154" t="s">
        <v>450</v>
      </c>
      <c r="C154" t="s">
        <v>440</v>
      </c>
      <c r="D154" t="s">
        <v>133</v>
      </c>
      <c r="E154" s="4">
        <v>1</v>
      </c>
      <c r="F154" t="s">
        <v>451</v>
      </c>
      <c r="G154" t="s">
        <v>451</v>
      </c>
      <c r="H154" s="3">
        <v>46174</v>
      </c>
      <c r="I154" s="3">
        <v>46185</v>
      </c>
      <c r="J154" t="s">
        <v>193</v>
      </c>
      <c r="K154" s="3">
        <v>46185</v>
      </c>
      <c r="L154" s="3">
        <v>46174</v>
      </c>
      <c r="M154" s="3">
        <v>46185</v>
      </c>
      <c r="N154" s="3">
        <v>46185</v>
      </c>
      <c r="O154" t="s">
        <v>193</v>
      </c>
      <c r="P154" t="s">
        <v>55</v>
      </c>
      <c r="Q154">
        <v>186</v>
      </c>
      <c r="S154" t="s">
        <v>124</v>
      </c>
      <c r="T154" t="s">
        <v>425</v>
      </c>
      <c r="V154" t="s">
        <v>61</v>
      </c>
      <c r="W154">
        <v>13.4</v>
      </c>
      <c r="X154" t="s">
        <v>57</v>
      </c>
      <c r="Z154" t="s">
        <v>124</v>
      </c>
      <c r="AA154" t="s">
        <v>198</v>
      </c>
      <c r="AE154">
        <v>1</v>
      </c>
      <c r="AF154">
        <v>0</v>
      </c>
      <c r="AG154">
        <v>0</v>
      </c>
      <c r="AH154">
        <v>0</v>
      </c>
      <c r="AI154">
        <v>1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0</v>
      </c>
      <c r="AP154">
        <v>0</v>
      </c>
    </row>
    <row r="155" spans="1:42" x14ac:dyDescent="0.25">
      <c r="A155">
        <v>189</v>
      </c>
      <c r="B155" t="s">
        <v>454</v>
      </c>
      <c r="C155" t="s">
        <v>455</v>
      </c>
      <c r="D155" t="s">
        <v>117</v>
      </c>
      <c r="E155" s="4">
        <v>1</v>
      </c>
      <c r="F155" t="s">
        <v>61</v>
      </c>
      <c r="G155" t="s">
        <v>61</v>
      </c>
      <c r="H155" s="3">
        <v>46195</v>
      </c>
      <c r="I155" s="3">
        <v>46195</v>
      </c>
      <c r="J155" t="s">
        <v>206</v>
      </c>
      <c r="K155" s="3">
        <v>46170</v>
      </c>
      <c r="L155" s="3">
        <v>46168</v>
      </c>
      <c r="M155" s="3">
        <v>46195</v>
      </c>
      <c r="N155" s="3">
        <v>46195</v>
      </c>
      <c r="O155" t="s">
        <v>219</v>
      </c>
      <c r="P155" t="s">
        <v>55</v>
      </c>
      <c r="S155" t="s">
        <v>142</v>
      </c>
      <c r="T155" t="s">
        <v>425</v>
      </c>
      <c r="U155" t="s">
        <v>456</v>
      </c>
      <c r="V155" t="s">
        <v>122</v>
      </c>
      <c r="W155">
        <v>13.4</v>
      </c>
      <c r="X155" t="s">
        <v>57</v>
      </c>
      <c r="Z155" t="s">
        <v>142</v>
      </c>
      <c r="AA155" t="s">
        <v>77</v>
      </c>
      <c r="AE155">
        <v>1</v>
      </c>
      <c r="AF155">
        <v>1</v>
      </c>
      <c r="AG155">
        <v>1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1</v>
      </c>
    </row>
    <row r="156" spans="1:42" x14ac:dyDescent="0.25">
      <c r="A156">
        <v>193</v>
      </c>
      <c r="B156" t="s">
        <v>463</v>
      </c>
      <c r="C156" t="s">
        <v>425</v>
      </c>
      <c r="D156" t="s">
        <v>464</v>
      </c>
      <c r="E156" s="4">
        <v>1</v>
      </c>
      <c r="F156" t="s">
        <v>433</v>
      </c>
      <c r="G156" t="s">
        <v>433</v>
      </c>
      <c r="H156" s="3">
        <v>46153</v>
      </c>
      <c r="I156" s="3">
        <v>46198</v>
      </c>
      <c r="J156" t="s">
        <v>406</v>
      </c>
      <c r="K156" s="3">
        <v>46167</v>
      </c>
      <c r="L156" s="3">
        <v>46156</v>
      </c>
      <c r="M156" s="3">
        <v>46198</v>
      </c>
      <c r="N156" s="3">
        <v>46198</v>
      </c>
      <c r="O156" t="s">
        <v>418</v>
      </c>
      <c r="P156" t="s">
        <v>55</v>
      </c>
      <c r="T156" t="s">
        <v>425</v>
      </c>
      <c r="V156" t="s">
        <v>210</v>
      </c>
      <c r="W156">
        <v>56.2</v>
      </c>
      <c r="X156" t="s">
        <v>57</v>
      </c>
      <c r="AA156" t="s">
        <v>50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</row>
    <row r="157" spans="1:42" x14ac:dyDescent="0.25">
      <c r="A157">
        <v>194</v>
      </c>
      <c r="B157" t="s">
        <v>465</v>
      </c>
      <c r="C157" t="s">
        <v>466</v>
      </c>
      <c r="D157" t="s">
        <v>117</v>
      </c>
      <c r="E157" s="4">
        <v>1</v>
      </c>
      <c r="F157" t="s">
        <v>101</v>
      </c>
      <c r="G157" t="s">
        <v>101</v>
      </c>
      <c r="H157" s="3">
        <v>46153</v>
      </c>
      <c r="I157" s="3">
        <v>46156</v>
      </c>
      <c r="J157" t="s">
        <v>406</v>
      </c>
      <c r="K157" s="3">
        <v>46160</v>
      </c>
      <c r="L157" s="3">
        <v>46156</v>
      </c>
      <c r="M157" s="3">
        <v>46156</v>
      </c>
      <c r="N157" s="3">
        <v>46156</v>
      </c>
      <c r="O157" t="s">
        <v>418</v>
      </c>
      <c r="P157" t="s">
        <v>55</v>
      </c>
      <c r="Q157" t="s">
        <v>442</v>
      </c>
      <c r="S157" t="s">
        <v>142</v>
      </c>
      <c r="T157" t="s">
        <v>425</v>
      </c>
      <c r="U157" t="s">
        <v>467</v>
      </c>
      <c r="V157" t="s">
        <v>122</v>
      </c>
      <c r="W157">
        <v>13.4</v>
      </c>
      <c r="X157" t="s">
        <v>57</v>
      </c>
      <c r="Z157" t="s">
        <v>142</v>
      </c>
      <c r="AA157" t="s">
        <v>93</v>
      </c>
      <c r="AE157">
        <v>1</v>
      </c>
      <c r="AF157">
        <v>1</v>
      </c>
      <c r="AG157">
        <v>1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1</v>
      </c>
    </row>
    <row r="158" spans="1:42" x14ac:dyDescent="0.25">
      <c r="A158">
        <v>195</v>
      </c>
      <c r="B158" t="s">
        <v>468</v>
      </c>
      <c r="C158" t="s">
        <v>466</v>
      </c>
      <c r="D158" t="s">
        <v>121</v>
      </c>
      <c r="E158" s="4">
        <v>1</v>
      </c>
      <c r="F158" t="s">
        <v>122</v>
      </c>
      <c r="G158" t="s">
        <v>122</v>
      </c>
      <c r="H158" s="3">
        <v>46170</v>
      </c>
      <c r="I158" s="3">
        <v>46174</v>
      </c>
      <c r="J158" t="s">
        <v>90</v>
      </c>
      <c r="K158" s="3">
        <v>46163</v>
      </c>
      <c r="L158" s="3">
        <v>46161</v>
      </c>
      <c r="M158" s="3">
        <v>46174</v>
      </c>
      <c r="N158" s="3">
        <v>46174</v>
      </c>
      <c r="O158" t="s">
        <v>448</v>
      </c>
      <c r="P158" t="s">
        <v>55</v>
      </c>
      <c r="Q158" t="s">
        <v>469</v>
      </c>
      <c r="S158" t="s">
        <v>124</v>
      </c>
      <c r="T158" t="s">
        <v>425</v>
      </c>
      <c r="U158">
        <v>196</v>
      </c>
      <c r="V158" t="s">
        <v>122</v>
      </c>
      <c r="W158">
        <v>13.4</v>
      </c>
      <c r="X158" t="s">
        <v>57</v>
      </c>
      <c r="Z158" t="s">
        <v>124</v>
      </c>
      <c r="AA158" t="s">
        <v>198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1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</row>
    <row r="159" spans="1:42" x14ac:dyDescent="0.25">
      <c r="A159">
        <v>196</v>
      </c>
      <c r="B159" t="s">
        <v>470</v>
      </c>
      <c r="C159" t="s">
        <v>466</v>
      </c>
      <c r="D159" t="s">
        <v>126</v>
      </c>
      <c r="E159" s="4">
        <v>1</v>
      </c>
      <c r="F159" t="s">
        <v>61</v>
      </c>
      <c r="G159" t="s">
        <v>61</v>
      </c>
      <c r="H159" s="3">
        <v>46175</v>
      </c>
      <c r="I159" s="3">
        <v>46175</v>
      </c>
      <c r="J159" t="s">
        <v>471</v>
      </c>
      <c r="K159" s="3">
        <v>46164</v>
      </c>
      <c r="L159" s="3">
        <v>46164</v>
      </c>
      <c r="M159" s="3">
        <v>46175</v>
      </c>
      <c r="N159" s="3">
        <v>46175</v>
      </c>
      <c r="O159" t="s">
        <v>472</v>
      </c>
      <c r="P159" t="s">
        <v>55</v>
      </c>
      <c r="Q159">
        <v>195</v>
      </c>
      <c r="S159" t="s">
        <v>142</v>
      </c>
      <c r="T159" t="s">
        <v>425</v>
      </c>
      <c r="U159">
        <v>197</v>
      </c>
      <c r="V159" t="s">
        <v>61</v>
      </c>
      <c r="W159">
        <v>13.4</v>
      </c>
      <c r="X159" t="s">
        <v>57</v>
      </c>
      <c r="Z159" t="s">
        <v>142</v>
      </c>
      <c r="AA159" t="s">
        <v>198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1</v>
      </c>
      <c r="AM159">
        <v>0</v>
      </c>
      <c r="AN159">
        <v>0</v>
      </c>
      <c r="AO159">
        <v>0</v>
      </c>
      <c r="AP159">
        <v>0</v>
      </c>
    </row>
    <row r="160" spans="1:42" x14ac:dyDescent="0.25">
      <c r="A160">
        <v>197</v>
      </c>
      <c r="B160" t="s">
        <v>473</v>
      </c>
      <c r="C160" t="s">
        <v>466</v>
      </c>
      <c r="D160" t="s">
        <v>133</v>
      </c>
      <c r="E160" s="4">
        <v>1</v>
      </c>
      <c r="F160" t="s">
        <v>330</v>
      </c>
      <c r="G160" t="s">
        <v>330</v>
      </c>
      <c r="H160" s="3">
        <v>46176</v>
      </c>
      <c r="I160" s="3">
        <v>46198</v>
      </c>
      <c r="J160" t="s">
        <v>74</v>
      </c>
      <c r="K160" s="3">
        <v>46167</v>
      </c>
      <c r="L160" s="3">
        <v>46167</v>
      </c>
      <c r="M160" s="3">
        <v>46198</v>
      </c>
      <c r="N160" s="3">
        <v>46198</v>
      </c>
      <c r="O160" t="s">
        <v>459</v>
      </c>
      <c r="P160" t="s">
        <v>55</v>
      </c>
      <c r="Q160">
        <v>196</v>
      </c>
      <c r="S160" t="s">
        <v>124</v>
      </c>
      <c r="T160" t="s">
        <v>425</v>
      </c>
      <c r="V160" t="s">
        <v>61</v>
      </c>
      <c r="W160">
        <v>13.4</v>
      </c>
      <c r="X160" t="s">
        <v>57</v>
      </c>
      <c r="Z160" t="s">
        <v>124</v>
      </c>
      <c r="AA160" t="s">
        <v>77</v>
      </c>
      <c r="AE160">
        <v>1</v>
      </c>
      <c r="AF160">
        <v>0</v>
      </c>
      <c r="AG160">
        <v>0</v>
      </c>
      <c r="AH160">
        <v>0</v>
      </c>
      <c r="AI160">
        <v>1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0</v>
      </c>
      <c r="AP160">
        <v>0</v>
      </c>
    </row>
    <row r="161" spans="1:42" x14ac:dyDescent="0.25">
      <c r="A161">
        <v>198</v>
      </c>
      <c r="B161" t="s">
        <v>474</v>
      </c>
      <c r="C161" t="s">
        <v>425</v>
      </c>
      <c r="D161" t="s">
        <v>475</v>
      </c>
      <c r="E161" s="4">
        <v>1</v>
      </c>
      <c r="F161" t="s">
        <v>210</v>
      </c>
      <c r="G161" t="s">
        <v>210</v>
      </c>
      <c r="H161" s="3">
        <v>46184</v>
      </c>
      <c r="I161" s="3">
        <v>46195</v>
      </c>
      <c r="J161" t="s">
        <v>189</v>
      </c>
      <c r="K161" s="3">
        <v>46176</v>
      </c>
      <c r="L161" s="3">
        <v>46171</v>
      </c>
      <c r="M161" s="3">
        <v>46195</v>
      </c>
      <c r="N161" s="3">
        <v>46195</v>
      </c>
      <c r="O161" t="s">
        <v>476</v>
      </c>
      <c r="P161" t="s">
        <v>55</v>
      </c>
      <c r="T161" t="s">
        <v>425</v>
      </c>
      <c r="V161" t="s">
        <v>101</v>
      </c>
      <c r="W161">
        <v>27.72</v>
      </c>
      <c r="X161" t="s">
        <v>57</v>
      </c>
      <c r="AA161" t="s">
        <v>50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</row>
    <row r="162" spans="1:42" x14ac:dyDescent="0.25">
      <c r="A162">
        <v>199</v>
      </c>
      <c r="B162" t="s">
        <v>477</v>
      </c>
      <c r="C162" t="s">
        <v>478</v>
      </c>
      <c r="D162" t="s">
        <v>117</v>
      </c>
      <c r="E162" s="4">
        <v>1</v>
      </c>
      <c r="F162" t="s">
        <v>138</v>
      </c>
      <c r="G162" t="s">
        <v>138</v>
      </c>
      <c r="H162" s="3">
        <v>46184</v>
      </c>
      <c r="I162" s="3">
        <v>46190</v>
      </c>
      <c r="J162" t="s">
        <v>189</v>
      </c>
      <c r="K162" s="3">
        <v>46171</v>
      </c>
      <c r="L162" s="3">
        <v>46171</v>
      </c>
      <c r="M162" s="3">
        <v>46190</v>
      </c>
      <c r="N162" s="3">
        <v>46190</v>
      </c>
      <c r="O162" t="s">
        <v>476</v>
      </c>
      <c r="P162" t="s">
        <v>55</v>
      </c>
      <c r="Q162">
        <v>189</v>
      </c>
      <c r="S162" t="s">
        <v>142</v>
      </c>
      <c r="T162" t="s">
        <v>425</v>
      </c>
      <c r="U162">
        <v>200</v>
      </c>
      <c r="V162" t="s">
        <v>61</v>
      </c>
      <c r="W162">
        <v>13.4</v>
      </c>
      <c r="X162" t="s">
        <v>57</v>
      </c>
      <c r="Z162" t="s">
        <v>142</v>
      </c>
      <c r="AA162" t="s">
        <v>77</v>
      </c>
      <c r="AE162">
        <v>1</v>
      </c>
      <c r="AF162">
        <v>1</v>
      </c>
      <c r="AG162">
        <v>1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1</v>
      </c>
    </row>
    <row r="163" spans="1:42" x14ac:dyDescent="0.25">
      <c r="A163">
        <v>200</v>
      </c>
      <c r="B163" t="s">
        <v>479</v>
      </c>
      <c r="C163" t="s">
        <v>478</v>
      </c>
      <c r="D163" t="s">
        <v>121</v>
      </c>
      <c r="E163" s="4">
        <v>1</v>
      </c>
      <c r="F163" t="s">
        <v>61</v>
      </c>
      <c r="G163" t="s">
        <v>61</v>
      </c>
      <c r="H163" s="3">
        <v>46191</v>
      </c>
      <c r="I163" s="3">
        <v>46191</v>
      </c>
      <c r="J163" t="s">
        <v>193</v>
      </c>
      <c r="K163" s="3">
        <v>46174</v>
      </c>
      <c r="L163" s="3">
        <v>46174</v>
      </c>
      <c r="M163" s="3">
        <v>46191</v>
      </c>
      <c r="N163" s="3">
        <v>46191</v>
      </c>
      <c r="O163" t="s">
        <v>480</v>
      </c>
      <c r="P163" t="s">
        <v>55</v>
      </c>
      <c r="Q163">
        <v>199</v>
      </c>
      <c r="S163" t="s">
        <v>124</v>
      </c>
      <c r="T163" t="s">
        <v>425</v>
      </c>
      <c r="U163">
        <v>201</v>
      </c>
      <c r="V163" t="s">
        <v>61</v>
      </c>
      <c r="W163">
        <v>13.4</v>
      </c>
      <c r="X163" t="s">
        <v>57</v>
      </c>
      <c r="Z163" t="s">
        <v>124</v>
      </c>
      <c r="AA163" t="s">
        <v>460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1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</row>
    <row r="164" spans="1:42" x14ac:dyDescent="0.25">
      <c r="A164">
        <v>201</v>
      </c>
      <c r="B164" t="s">
        <v>481</v>
      </c>
      <c r="C164" t="s">
        <v>478</v>
      </c>
      <c r="D164" t="s">
        <v>126</v>
      </c>
      <c r="E164" s="4">
        <v>1</v>
      </c>
      <c r="F164" t="s">
        <v>61</v>
      </c>
      <c r="G164" t="s">
        <v>61</v>
      </c>
      <c r="H164" s="3">
        <v>46192</v>
      </c>
      <c r="I164" s="3">
        <v>46192</v>
      </c>
      <c r="J164" t="s">
        <v>472</v>
      </c>
      <c r="K164" s="3">
        <v>46175</v>
      </c>
      <c r="L164" s="3">
        <v>46175</v>
      </c>
      <c r="M164" s="3">
        <v>46192</v>
      </c>
      <c r="N164" s="3">
        <v>46192</v>
      </c>
      <c r="O164" t="s">
        <v>211</v>
      </c>
      <c r="P164" t="s">
        <v>55</v>
      </c>
      <c r="Q164">
        <v>200</v>
      </c>
      <c r="S164" t="s">
        <v>142</v>
      </c>
      <c r="T164" t="s">
        <v>425</v>
      </c>
      <c r="U164">
        <v>202</v>
      </c>
      <c r="V164" t="s">
        <v>61</v>
      </c>
      <c r="W164">
        <v>13.4</v>
      </c>
      <c r="X164" t="s">
        <v>57</v>
      </c>
      <c r="Z164" t="s">
        <v>142</v>
      </c>
      <c r="AA164" t="s">
        <v>460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1</v>
      </c>
      <c r="AM164">
        <v>0</v>
      </c>
      <c r="AN164">
        <v>0</v>
      </c>
      <c r="AO164">
        <v>0</v>
      </c>
      <c r="AP164">
        <v>0</v>
      </c>
    </row>
    <row r="165" spans="1:42" x14ac:dyDescent="0.25">
      <c r="A165">
        <v>202</v>
      </c>
      <c r="B165" t="s">
        <v>482</v>
      </c>
      <c r="C165" t="s">
        <v>478</v>
      </c>
      <c r="D165" t="s">
        <v>133</v>
      </c>
      <c r="E165" s="4">
        <v>1</v>
      </c>
      <c r="F165" t="s">
        <v>61</v>
      </c>
      <c r="G165" t="s">
        <v>61</v>
      </c>
      <c r="H165" s="3">
        <v>46195</v>
      </c>
      <c r="I165" s="3">
        <v>46195</v>
      </c>
      <c r="J165" t="s">
        <v>459</v>
      </c>
      <c r="K165" s="3">
        <v>46176</v>
      </c>
      <c r="L165" s="3">
        <v>46176</v>
      </c>
      <c r="M165" s="3">
        <v>46195</v>
      </c>
      <c r="N165" s="3">
        <v>46195</v>
      </c>
      <c r="O165" t="s">
        <v>219</v>
      </c>
      <c r="P165" t="s">
        <v>55</v>
      </c>
      <c r="Q165">
        <v>201</v>
      </c>
      <c r="S165" t="s">
        <v>124</v>
      </c>
      <c r="T165" t="s">
        <v>425</v>
      </c>
      <c r="V165" t="s">
        <v>61</v>
      </c>
      <c r="W165">
        <v>13.4</v>
      </c>
      <c r="X165" t="s">
        <v>57</v>
      </c>
      <c r="Z165" t="s">
        <v>124</v>
      </c>
      <c r="AA165" t="s">
        <v>460</v>
      </c>
      <c r="AE165">
        <v>1</v>
      </c>
      <c r="AF165">
        <v>0</v>
      </c>
      <c r="AG165">
        <v>0</v>
      </c>
      <c r="AH165">
        <v>0</v>
      </c>
      <c r="AI165">
        <v>1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0</v>
      </c>
      <c r="AP165">
        <v>0</v>
      </c>
    </row>
    <row r="166" spans="1:42" x14ac:dyDescent="0.25">
      <c r="A166">
        <v>203</v>
      </c>
      <c r="B166" t="s">
        <v>483</v>
      </c>
      <c r="C166" t="s">
        <v>425</v>
      </c>
      <c r="D166" t="s">
        <v>484</v>
      </c>
      <c r="E166" s="4">
        <v>1</v>
      </c>
      <c r="F166" t="s">
        <v>174</v>
      </c>
      <c r="G166" t="s">
        <v>174</v>
      </c>
      <c r="H166" s="3">
        <v>46104</v>
      </c>
      <c r="I166" s="3">
        <v>46176</v>
      </c>
      <c r="J166" t="s">
        <v>406</v>
      </c>
      <c r="K166" s="3">
        <v>46169</v>
      </c>
      <c r="L166" s="3">
        <v>46156</v>
      </c>
      <c r="M166" s="3">
        <v>46176</v>
      </c>
      <c r="N166" s="3">
        <v>46176</v>
      </c>
      <c r="O166" t="s">
        <v>123</v>
      </c>
      <c r="P166" t="s">
        <v>55</v>
      </c>
      <c r="T166" t="s">
        <v>425</v>
      </c>
      <c r="V166" t="s">
        <v>151</v>
      </c>
      <c r="W166">
        <v>27.72</v>
      </c>
      <c r="X166" t="s">
        <v>57</v>
      </c>
      <c r="AA166" t="s">
        <v>50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</row>
    <row r="167" spans="1:42" x14ac:dyDescent="0.25">
      <c r="A167">
        <v>204</v>
      </c>
      <c r="B167" t="s">
        <v>485</v>
      </c>
      <c r="C167" t="s">
        <v>486</v>
      </c>
      <c r="D167" t="s">
        <v>117</v>
      </c>
      <c r="E167" s="4">
        <v>1</v>
      </c>
      <c r="F167" t="s">
        <v>487</v>
      </c>
      <c r="G167" t="s">
        <v>487</v>
      </c>
      <c r="H167" s="3">
        <v>46104</v>
      </c>
      <c r="I167" s="3">
        <v>46168</v>
      </c>
      <c r="J167" t="s">
        <v>406</v>
      </c>
      <c r="K167" s="3">
        <v>46162</v>
      </c>
      <c r="L167" s="3">
        <v>46156</v>
      </c>
      <c r="M167" s="3">
        <v>46168</v>
      </c>
      <c r="N167" s="3">
        <v>46168</v>
      </c>
      <c r="O167" t="s">
        <v>123</v>
      </c>
      <c r="P167" t="s">
        <v>55</v>
      </c>
      <c r="Q167" t="s">
        <v>488</v>
      </c>
      <c r="S167" t="s">
        <v>302</v>
      </c>
      <c r="T167" t="s">
        <v>425</v>
      </c>
      <c r="U167" t="s">
        <v>489</v>
      </c>
      <c r="V167" t="s">
        <v>138</v>
      </c>
      <c r="W167">
        <v>13.4</v>
      </c>
      <c r="X167" t="s">
        <v>57</v>
      </c>
      <c r="Z167" t="s">
        <v>302</v>
      </c>
      <c r="AA167" t="s">
        <v>93</v>
      </c>
      <c r="AE167">
        <v>1</v>
      </c>
      <c r="AF167">
        <v>1</v>
      </c>
      <c r="AG167">
        <v>1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1</v>
      </c>
    </row>
    <row r="168" spans="1:42" x14ac:dyDescent="0.25">
      <c r="A168">
        <v>205</v>
      </c>
      <c r="B168" t="s">
        <v>490</v>
      </c>
      <c r="C168" t="s">
        <v>486</v>
      </c>
      <c r="D168" t="s">
        <v>121</v>
      </c>
      <c r="E168" s="4">
        <v>1</v>
      </c>
      <c r="F168" t="s">
        <v>122</v>
      </c>
      <c r="G168" t="s">
        <v>122</v>
      </c>
      <c r="H168" s="3">
        <v>46169</v>
      </c>
      <c r="I168" s="3">
        <v>46171</v>
      </c>
      <c r="J168" t="s">
        <v>491</v>
      </c>
      <c r="K168" s="3">
        <v>46167</v>
      </c>
      <c r="L168" s="3">
        <v>46163</v>
      </c>
      <c r="M168" s="3">
        <v>46171</v>
      </c>
      <c r="N168" s="3">
        <v>46171</v>
      </c>
      <c r="O168" t="s">
        <v>97</v>
      </c>
      <c r="P168" t="s">
        <v>55</v>
      </c>
      <c r="Q168">
        <v>204</v>
      </c>
      <c r="S168" t="s">
        <v>124</v>
      </c>
      <c r="T168" t="s">
        <v>425</v>
      </c>
      <c r="U168">
        <v>206</v>
      </c>
      <c r="V168" t="s">
        <v>122</v>
      </c>
      <c r="W168">
        <v>13.4</v>
      </c>
      <c r="X168" t="s">
        <v>57</v>
      </c>
      <c r="Z168" t="s">
        <v>124</v>
      </c>
      <c r="AA168" t="s">
        <v>198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1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</row>
    <row r="169" spans="1:42" x14ac:dyDescent="0.25">
      <c r="A169">
        <v>206</v>
      </c>
      <c r="B169" t="s">
        <v>492</v>
      </c>
      <c r="C169" t="s">
        <v>486</v>
      </c>
      <c r="D169" t="s">
        <v>126</v>
      </c>
      <c r="E169" s="4">
        <v>1</v>
      </c>
      <c r="F169" t="s">
        <v>122</v>
      </c>
      <c r="G169" t="s">
        <v>122</v>
      </c>
      <c r="H169" s="3">
        <v>46174</v>
      </c>
      <c r="I169" s="3">
        <v>46176</v>
      </c>
      <c r="J169" t="s">
        <v>206</v>
      </c>
      <c r="K169" s="3">
        <v>46168</v>
      </c>
      <c r="L169" s="3">
        <v>46168</v>
      </c>
      <c r="M169" s="3">
        <v>46176</v>
      </c>
      <c r="N169" s="3">
        <v>46176</v>
      </c>
      <c r="O169" t="s">
        <v>193</v>
      </c>
      <c r="P169" t="s">
        <v>55</v>
      </c>
      <c r="Q169">
        <v>205</v>
      </c>
      <c r="S169" t="s">
        <v>302</v>
      </c>
      <c r="T169" t="s">
        <v>425</v>
      </c>
      <c r="U169">
        <v>207</v>
      </c>
      <c r="V169" t="s">
        <v>61</v>
      </c>
      <c r="W169">
        <v>13.4</v>
      </c>
      <c r="X169" t="s">
        <v>57</v>
      </c>
      <c r="Z169" t="s">
        <v>302</v>
      </c>
      <c r="AA169" t="s">
        <v>77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1</v>
      </c>
      <c r="AM169">
        <v>0</v>
      </c>
      <c r="AN169">
        <v>0</v>
      </c>
      <c r="AO169">
        <v>0</v>
      </c>
      <c r="AP169">
        <v>0</v>
      </c>
    </row>
    <row r="170" spans="1:42" x14ac:dyDescent="0.25">
      <c r="A170">
        <v>207</v>
      </c>
      <c r="B170" t="s">
        <v>493</v>
      </c>
      <c r="C170" t="s">
        <v>486</v>
      </c>
      <c r="D170" t="s">
        <v>133</v>
      </c>
      <c r="E170" s="4">
        <v>1</v>
      </c>
      <c r="F170" t="s">
        <v>494</v>
      </c>
      <c r="G170" t="s">
        <v>494</v>
      </c>
      <c r="H170" s="3">
        <v>46175</v>
      </c>
      <c r="I170" s="3">
        <v>46175</v>
      </c>
      <c r="J170" t="s">
        <v>97</v>
      </c>
      <c r="K170" s="3">
        <v>46169</v>
      </c>
      <c r="L170" s="3">
        <v>46169</v>
      </c>
      <c r="M170" s="3">
        <v>46175</v>
      </c>
      <c r="N170" s="3">
        <v>46175</v>
      </c>
      <c r="O170" t="s">
        <v>472</v>
      </c>
      <c r="P170" t="s">
        <v>55</v>
      </c>
      <c r="Q170">
        <v>206</v>
      </c>
      <c r="S170" t="s">
        <v>124</v>
      </c>
      <c r="T170" t="s">
        <v>425</v>
      </c>
      <c r="V170" t="s">
        <v>61</v>
      </c>
      <c r="W170">
        <v>13.4</v>
      </c>
      <c r="X170" t="s">
        <v>57</v>
      </c>
      <c r="Z170" t="s">
        <v>124</v>
      </c>
      <c r="AA170" t="s">
        <v>77</v>
      </c>
      <c r="AE170">
        <v>1</v>
      </c>
      <c r="AF170">
        <v>0</v>
      </c>
      <c r="AG170">
        <v>0</v>
      </c>
      <c r="AH170">
        <v>0</v>
      </c>
      <c r="AI170">
        <v>1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0</v>
      </c>
      <c r="AP170">
        <v>0</v>
      </c>
    </row>
    <row r="171" spans="1:42" x14ac:dyDescent="0.25">
      <c r="A171">
        <v>208</v>
      </c>
      <c r="B171" t="s">
        <v>495</v>
      </c>
      <c r="C171" t="s">
        <v>425</v>
      </c>
      <c r="D171" t="s">
        <v>496</v>
      </c>
      <c r="E171" s="4">
        <v>1</v>
      </c>
      <c r="F171" t="s">
        <v>497</v>
      </c>
      <c r="G171" t="s">
        <v>497</v>
      </c>
      <c r="H171" s="3">
        <v>46104</v>
      </c>
      <c r="I171" s="3">
        <v>46181</v>
      </c>
      <c r="J171" t="s">
        <v>406</v>
      </c>
      <c r="K171" s="3">
        <v>46169</v>
      </c>
      <c r="L171" s="3">
        <v>46156</v>
      </c>
      <c r="M171" s="3">
        <v>46181</v>
      </c>
      <c r="N171" s="3">
        <v>46181</v>
      </c>
      <c r="O171" t="s">
        <v>123</v>
      </c>
      <c r="P171" t="s">
        <v>55</v>
      </c>
      <c r="T171" t="s">
        <v>425</v>
      </c>
      <c r="V171" t="s">
        <v>151</v>
      </c>
      <c r="W171">
        <v>27.72</v>
      </c>
      <c r="X171" t="s">
        <v>57</v>
      </c>
      <c r="AA171" t="s">
        <v>50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</row>
    <row r="172" spans="1:42" x14ac:dyDescent="0.25">
      <c r="A172">
        <v>209</v>
      </c>
      <c r="B172" t="s">
        <v>498</v>
      </c>
      <c r="C172" t="s">
        <v>499</v>
      </c>
      <c r="D172" t="s">
        <v>117</v>
      </c>
      <c r="E172" s="4">
        <v>1</v>
      </c>
      <c r="F172" t="s">
        <v>500</v>
      </c>
      <c r="G172" t="s">
        <v>500</v>
      </c>
      <c r="H172" s="3">
        <v>46104</v>
      </c>
      <c r="I172" s="3">
        <v>46168</v>
      </c>
      <c r="J172" t="s">
        <v>406</v>
      </c>
      <c r="K172" s="3">
        <v>46162</v>
      </c>
      <c r="L172" s="3">
        <v>46156</v>
      </c>
      <c r="M172" s="3">
        <v>46168</v>
      </c>
      <c r="N172" s="3">
        <v>46168</v>
      </c>
      <c r="O172" t="s">
        <v>123</v>
      </c>
      <c r="P172" t="s">
        <v>55</v>
      </c>
      <c r="Q172" t="s">
        <v>488</v>
      </c>
      <c r="S172" t="s">
        <v>302</v>
      </c>
      <c r="T172" t="s">
        <v>425</v>
      </c>
      <c r="U172" t="s">
        <v>501</v>
      </c>
      <c r="V172" t="s">
        <v>138</v>
      </c>
      <c r="W172">
        <v>13.4</v>
      </c>
      <c r="X172" t="s">
        <v>57</v>
      </c>
      <c r="Z172" t="s">
        <v>302</v>
      </c>
      <c r="AA172" t="s">
        <v>93</v>
      </c>
      <c r="AE172">
        <v>1</v>
      </c>
      <c r="AF172">
        <v>1</v>
      </c>
      <c r="AG172">
        <v>1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1</v>
      </c>
    </row>
    <row r="173" spans="1:42" x14ac:dyDescent="0.25">
      <c r="A173">
        <v>210</v>
      </c>
      <c r="B173" t="s">
        <v>502</v>
      </c>
      <c r="C173" t="s">
        <v>499</v>
      </c>
      <c r="D173" t="s">
        <v>121</v>
      </c>
      <c r="E173" s="4">
        <v>1</v>
      </c>
      <c r="F173" t="s">
        <v>63</v>
      </c>
      <c r="G173" t="s">
        <v>63</v>
      </c>
      <c r="H173" s="3">
        <v>46169</v>
      </c>
      <c r="I173" s="3">
        <v>46171</v>
      </c>
      <c r="J173" t="s">
        <v>491</v>
      </c>
      <c r="K173" s="3">
        <v>46167</v>
      </c>
      <c r="L173" s="3">
        <v>46163</v>
      </c>
      <c r="M173" s="3">
        <v>46171</v>
      </c>
      <c r="N173" s="3">
        <v>46171</v>
      </c>
      <c r="O173" t="s">
        <v>97</v>
      </c>
      <c r="P173" t="s">
        <v>55</v>
      </c>
      <c r="Q173" t="s">
        <v>503</v>
      </c>
      <c r="S173" t="s">
        <v>124</v>
      </c>
      <c r="T173" t="s">
        <v>425</v>
      </c>
      <c r="U173">
        <v>211</v>
      </c>
      <c r="V173" t="s">
        <v>122</v>
      </c>
      <c r="W173">
        <v>13.4</v>
      </c>
      <c r="X173" t="s">
        <v>57</v>
      </c>
      <c r="Z173" t="s">
        <v>124</v>
      </c>
      <c r="AA173" t="s">
        <v>198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1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</row>
    <row r="174" spans="1:42" x14ac:dyDescent="0.25">
      <c r="A174">
        <v>211</v>
      </c>
      <c r="B174" t="s">
        <v>504</v>
      </c>
      <c r="C174" t="s">
        <v>499</v>
      </c>
      <c r="D174" t="s">
        <v>126</v>
      </c>
      <c r="E174" s="4">
        <v>1</v>
      </c>
      <c r="F174" t="s">
        <v>122</v>
      </c>
      <c r="G174" t="s">
        <v>122</v>
      </c>
      <c r="H174" s="3">
        <v>46174</v>
      </c>
      <c r="I174" s="3">
        <v>46176</v>
      </c>
      <c r="J174" t="s">
        <v>206</v>
      </c>
      <c r="K174" s="3">
        <v>46168</v>
      </c>
      <c r="L174" s="3">
        <v>46168</v>
      </c>
      <c r="M174" s="3">
        <v>46176</v>
      </c>
      <c r="N174" s="3">
        <v>46176</v>
      </c>
      <c r="O174" t="s">
        <v>193</v>
      </c>
      <c r="P174" t="s">
        <v>55</v>
      </c>
      <c r="Q174">
        <v>210</v>
      </c>
      <c r="S174" t="s">
        <v>302</v>
      </c>
      <c r="T174" t="s">
        <v>425</v>
      </c>
      <c r="U174">
        <v>212</v>
      </c>
      <c r="V174" t="s">
        <v>61</v>
      </c>
      <c r="W174">
        <v>13.4</v>
      </c>
      <c r="X174" t="s">
        <v>57</v>
      </c>
      <c r="Z174" t="s">
        <v>302</v>
      </c>
      <c r="AA174" t="s">
        <v>77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1</v>
      </c>
      <c r="AM174">
        <v>0</v>
      </c>
      <c r="AN174">
        <v>0</v>
      </c>
      <c r="AO174">
        <v>0</v>
      </c>
      <c r="AP174">
        <v>0</v>
      </c>
    </row>
    <row r="175" spans="1:42" x14ac:dyDescent="0.25">
      <c r="A175">
        <v>212</v>
      </c>
      <c r="B175" t="s">
        <v>505</v>
      </c>
      <c r="C175" t="s">
        <v>499</v>
      </c>
      <c r="D175" t="s">
        <v>133</v>
      </c>
      <c r="E175" s="4">
        <v>1</v>
      </c>
      <c r="F175" t="s">
        <v>506</v>
      </c>
      <c r="G175" t="s">
        <v>506</v>
      </c>
      <c r="H175" s="3">
        <v>46175</v>
      </c>
      <c r="I175" s="3">
        <v>46181</v>
      </c>
      <c r="J175" t="s">
        <v>97</v>
      </c>
      <c r="K175" s="3">
        <v>46169</v>
      </c>
      <c r="L175" s="3">
        <v>46169</v>
      </c>
      <c r="M175" s="3">
        <v>46181</v>
      </c>
      <c r="N175" s="3">
        <v>46181</v>
      </c>
      <c r="O175" t="s">
        <v>472</v>
      </c>
      <c r="P175" t="s">
        <v>55</v>
      </c>
      <c r="Q175">
        <v>211</v>
      </c>
      <c r="S175" t="s">
        <v>124</v>
      </c>
      <c r="T175" t="s">
        <v>425</v>
      </c>
      <c r="V175" t="s">
        <v>61</v>
      </c>
      <c r="W175">
        <v>13.4</v>
      </c>
      <c r="X175" t="s">
        <v>57</v>
      </c>
      <c r="Z175" t="s">
        <v>124</v>
      </c>
      <c r="AA175" t="s">
        <v>77</v>
      </c>
      <c r="AE175">
        <v>1</v>
      </c>
      <c r="AF175">
        <v>0</v>
      </c>
      <c r="AG175">
        <v>0</v>
      </c>
      <c r="AH175">
        <v>0</v>
      </c>
      <c r="AI175">
        <v>1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0</v>
      </c>
      <c r="AP175">
        <v>0</v>
      </c>
    </row>
    <row r="176" spans="1:42" x14ac:dyDescent="0.25">
      <c r="A176">
        <v>213</v>
      </c>
      <c r="B176" t="s">
        <v>507</v>
      </c>
      <c r="C176" t="s">
        <v>425</v>
      </c>
      <c r="D176" t="s">
        <v>508</v>
      </c>
      <c r="E176" s="4">
        <v>1</v>
      </c>
      <c r="F176" t="s">
        <v>497</v>
      </c>
      <c r="G176" t="s">
        <v>497</v>
      </c>
      <c r="H176" s="3">
        <v>46104</v>
      </c>
      <c r="I176" s="3">
        <v>46181</v>
      </c>
      <c r="J176" t="s">
        <v>406</v>
      </c>
      <c r="K176" s="3">
        <v>46169</v>
      </c>
      <c r="L176" s="3">
        <v>46156</v>
      </c>
      <c r="M176" s="3">
        <v>46181</v>
      </c>
      <c r="N176" s="3">
        <v>46181</v>
      </c>
      <c r="O176" t="s">
        <v>123</v>
      </c>
      <c r="P176" t="s">
        <v>55</v>
      </c>
      <c r="T176" t="s">
        <v>425</v>
      </c>
      <c r="V176" t="s">
        <v>151</v>
      </c>
      <c r="W176">
        <v>27.72</v>
      </c>
      <c r="X176" t="s">
        <v>57</v>
      </c>
      <c r="AA176" t="s">
        <v>50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</row>
    <row r="177" spans="1:42" x14ac:dyDescent="0.25">
      <c r="A177">
        <v>214</v>
      </c>
      <c r="B177" t="s">
        <v>509</v>
      </c>
      <c r="C177" t="s">
        <v>510</v>
      </c>
      <c r="D177" t="s">
        <v>117</v>
      </c>
      <c r="E177" s="4">
        <v>1</v>
      </c>
      <c r="F177" t="s">
        <v>487</v>
      </c>
      <c r="G177" t="s">
        <v>487</v>
      </c>
      <c r="H177" s="3">
        <v>46104</v>
      </c>
      <c r="I177" s="3">
        <v>46168</v>
      </c>
      <c r="J177" t="s">
        <v>406</v>
      </c>
      <c r="K177" s="3">
        <v>46162</v>
      </c>
      <c r="L177" s="3">
        <v>46156</v>
      </c>
      <c r="M177" s="3">
        <v>46168</v>
      </c>
      <c r="N177" s="3">
        <v>46168</v>
      </c>
      <c r="O177" t="s">
        <v>123</v>
      </c>
      <c r="P177" t="s">
        <v>55</v>
      </c>
      <c r="Q177" t="s">
        <v>488</v>
      </c>
      <c r="S177" t="s">
        <v>302</v>
      </c>
      <c r="T177" t="s">
        <v>425</v>
      </c>
      <c r="U177" t="s">
        <v>511</v>
      </c>
      <c r="V177" t="s">
        <v>138</v>
      </c>
      <c r="W177">
        <v>13.4</v>
      </c>
      <c r="X177" t="s">
        <v>57</v>
      </c>
      <c r="Z177" t="s">
        <v>302</v>
      </c>
      <c r="AA177" t="s">
        <v>93</v>
      </c>
      <c r="AE177">
        <v>1</v>
      </c>
      <c r="AF177">
        <v>1</v>
      </c>
      <c r="AG177">
        <v>1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1</v>
      </c>
    </row>
    <row r="178" spans="1:42" x14ac:dyDescent="0.25">
      <c r="A178">
        <v>215</v>
      </c>
      <c r="B178" t="s">
        <v>512</v>
      </c>
      <c r="C178" t="s">
        <v>510</v>
      </c>
      <c r="D178" t="s">
        <v>121</v>
      </c>
      <c r="E178" s="4">
        <v>1</v>
      </c>
      <c r="F178" t="s">
        <v>122</v>
      </c>
      <c r="G178" t="s">
        <v>122</v>
      </c>
      <c r="H178" s="3">
        <v>46169</v>
      </c>
      <c r="I178" s="3">
        <v>46171</v>
      </c>
      <c r="J178" t="s">
        <v>491</v>
      </c>
      <c r="K178" s="3">
        <v>46167</v>
      </c>
      <c r="L178" s="3">
        <v>46163</v>
      </c>
      <c r="M178" s="3">
        <v>46171</v>
      </c>
      <c r="N178" s="3">
        <v>46171</v>
      </c>
      <c r="O178" t="s">
        <v>97</v>
      </c>
      <c r="P178" t="s">
        <v>55</v>
      </c>
      <c r="Q178" t="s">
        <v>513</v>
      </c>
      <c r="S178" t="s">
        <v>124</v>
      </c>
      <c r="T178" t="s">
        <v>425</v>
      </c>
      <c r="U178">
        <v>216</v>
      </c>
      <c r="V178" t="s">
        <v>122</v>
      </c>
      <c r="W178">
        <v>13.4</v>
      </c>
      <c r="X178" t="s">
        <v>57</v>
      </c>
      <c r="Z178" t="s">
        <v>124</v>
      </c>
      <c r="AA178" t="s">
        <v>198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1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</row>
    <row r="179" spans="1:42" x14ac:dyDescent="0.25">
      <c r="A179">
        <v>216</v>
      </c>
      <c r="B179" t="s">
        <v>514</v>
      </c>
      <c r="C179" t="s">
        <v>510</v>
      </c>
      <c r="D179" t="s">
        <v>126</v>
      </c>
      <c r="E179" s="4">
        <v>1</v>
      </c>
      <c r="F179" t="s">
        <v>122</v>
      </c>
      <c r="G179" t="s">
        <v>122</v>
      </c>
      <c r="H179" s="3">
        <v>46174</v>
      </c>
      <c r="I179" s="3">
        <v>46176</v>
      </c>
      <c r="J179" t="s">
        <v>206</v>
      </c>
      <c r="K179" s="3">
        <v>46168</v>
      </c>
      <c r="L179" s="3">
        <v>46168</v>
      </c>
      <c r="M179" s="3">
        <v>46176</v>
      </c>
      <c r="N179" s="3">
        <v>46176</v>
      </c>
      <c r="O179" t="s">
        <v>193</v>
      </c>
      <c r="P179" t="s">
        <v>55</v>
      </c>
      <c r="Q179">
        <v>215</v>
      </c>
      <c r="S179" t="s">
        <v>302</v>
      </c>
      <c r="T179" t="s">
        <v>425</v>
      </c>
      <c r="U179">
        <v>217</v>
      </c>
      <c r="V179" t="s">
        <v>61</v>
      </c>
      <c r="W179">
        <v>13.4</v>
      </c>
      <c r="X179" t="s">
        <v>57</v>
      </c>
      <c r="Z179" t="s">
        <v>302</v>
      </c>
      <c r="AA179" t="s">
        <v>77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1</v>
      </c>
      <c r="AM179">
        <v>0</v>
      </c>
      <c r="AN179">
        <v>0</v>
      </c>
      <c r="AO179">
        <v>0</v>
      </c>
      <c r="AP179">
        <v>0</v>
      </c>
    </row>
    <row r="180" spans="1:42" x14ac:dyDescent="0.25">
      <c r="A180">
        <v>217</v>
      </c>
      <c r="B180" t="s">
        <v>515</v>
      </c>
      <c r="C180" t="s">
        <v>510</v>
      </c>
      <c r="D180" t="s">
        <v>133</v>
      </c>
      <c r="E180" s="4">
        <v>1</v>
      </c>
      <c r="F180" t="s">
        <v>506</v>
      </c>
      <c r="G180" t="s">
        <v>506</v>
      </c>
      <c r="H180" s="3">
        <v>46175</v>
      </c>
      <c r="I180" s="3">
        <v>46181</v>
      </c>
      <c r="J180" t="s">
        <v>97</v>
      </c>
      <c r="K180" s="3">
        <v>46169</v>
      </c>
      <c r="L180" s="3">
        <v>46169</v>
      </c>
      <c r="M180" s="3">
        <v>46181</v>
      </c>
      <c r="N180" s="3">
        <v>46181</v>
      </c>
      <c r="O180" t="s">
        <v>472</v>
      </c>
      <c r="P180" t="s">
        <v>55</v>
      </c>
      <c r="Q180">
        <v>216</v>
      </c>
      <c r="S180" t="s">
        <v>124</v>
      </c>
      <c r="T180" t="s">
        <v>425</v>
      </c>
      <c r="V180" t="s">
        <v>61</v>
      </c>
      <c r="W180">
        <v>13.4</v>
      </c>
      <c r="X180" t="s">
        <v>57</v>
      </c>
      <c r="Z180" t="s">
        <v>124</v>
      </c>
      <c r="AA180" t="s">
        <v>77</v>
      </c>
      <c r="AE180">
        <v>1</v>
      </c>
      <c r="AF180">
        <v>0</v>
      </c>
      <c r="AG180">
        <v>0</v>
      </c>
      <c r="AH180">
        <v>0</v>
      </c>
      <c r="AI180">
        <v>1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0</v>
      </c>
      <c r="AP180">
        <v>0</v>
      </c>
    </row>
    <row r="181" spans="1:42" x14ac:dyDescent="0.25">
      <c r="A181">
        <v>218</v>
      </c>
      <c r="B181" t="s">
        <v>516</v>
      </c>
      <c r="C181" t="s">
        <v>425</v>
      </c>
      <c r="D181" t="s">
        <v>517</v>
      </c>
      <c r="E181" s="4">
        <v>1</v>
      </c>
      <c r="F181" t="s">
        <v>226</v>
      </c>
      <c r="G181" t="s">
        <v>226</v>
      </c>
      <c r="H181" s="3">
        <v>46125</v>
      </c>
      <c r="I181" s="3">
        <v>46157</v>
      </c>
      <c r="J181" t="s">
        <v>337</v>
      </c>
      <c r="K181" s="3">
        <v>46181</v>
      </c>
      <c r="L181" s="3">
        <v>46134</v>
      </c>
      <c r="M181" s="3">
        <v>46157</v>
      </c>
      <c r="N181" s="3">
        <v>46157</v>
      </c>
      <c r="O181" t="s">
        <v>144</v>
      </c>
      <c r="P181" t="s">
        <v>55</v>
      </c>
      <c r="T181" t="s">
        <v>425</v>
      </c>
      <c r="V181" t="s">
        <v>340</v>
      </c>
      <c r="X181" t="s">
        <v>57</v>
      </c>
      <c r="AA181" t="s">
        <v>50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</row>
    <row r="182" spans="1:42" x14ac:dyDescent="0.25">
      <c r="A182">
        <v>219</v>
      </c>
      <c r="B182" t="s">
        <v>518</v>
      </c>
      <c r="C182" t="s">
        <v>519</v>
      </c>
      <c r="D182" t="s">
        <v>520</v>
      </c>
      <c r="E182" s="4">
        <v>1</v>
      </c>
      <c r="F182" t="s">
        <v>210</v>
      </c>
      <c r="G182" t="s">
        <v>210</v>
      </c>
      <c r="H182" s="3">
        <v>46126</v>
      </c>
      <c r="I182" s="3">
        <v>46139</v>
      </c>
      <c r="J182" t="s">
        <v>337</v>
      </c>
      <c r="K182" s="3">
        <v>46146</v>
      </c>
      <c r="L182" s="3">
        <v>46134</v>
      </c>
      <c r="M182" s="3">
        <v>46139</v>
      </c>
      <c r="N182" s="3">
        <v>46139</v>
      </c>
      <c r="O182" t="s">
        <v>334</v>
      </c>
      <c r="P182" t="s">
        <v>55</v>
      </c>
      <c r="T182" t="s">
        <v>425</v>
      </c>
      <c r="U182">
        <v>879</v>
      </c>
      <c r="V182" t="s">
        <v>210</v>
      </c>
      <c r="X182" t="s">
        <v>57</v>
      </c>
      <c r="AA182" t="s">
        <v>50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</row>
    <row r="183" spans="1:42" x14ac:dyDescent="0.25">
      <c r="A183">
        <v>220</v>
      </c>
      <c r="B183" t="s">
        <v>521</v>
      </c>
      <c r="C183" t="s">
        <v>522</v>
      </c>
      <c r="D183" t="s">
        <v>117</v>
      </c>
      <c r="E183" s="4">
        <v>1</v>
      </c>
      <c r="F183" t="s">
        <v>122</v>
      </c>
      <c r="G183" t="s">
        <v>122</v>
      </c>
      <c r="H183" s="3">
        <v>46126</v>
      </c>
      <c r="I183" s="3">
        <v>46128</v>
      </c>
      <c r="J183" t="s">
        <v>337</v>
      </c>
      <c r="K183" s="3">
        <v>46136</v>
      </c>
      <c r="L183" s="3">
        <v>46134</v>
      </c>
      <c r="M183" s="3">
        <v>46128</v>
      </c>
      <c r="N183" s="3">
        <v>46128</v>
      </c>
      <c r="O183" t="s">
        <v>334</v>
      </c>
      <c r="P183" t="s">
        <v>55</v>
      </c>
      <c r="Q183">
        <v>102</v>
      </c>
      <c r="R183" s="1">
        <v>46126</v>
      </c>
      <c r="S183" t="s">
        <v>523</v>
      </c>
      <c r="T183" t="s">
        <v>425</v>
      </c>
      <c r="U183" t="s">
        <v>524</v>
      </c>
      <c r="V183" t="s">
        <v>122</v>
      </c>
      <c r="W183">
        <v>13.4</v>
      </c>
      <c r="X183" t="s">
        <v>57</v>
      </c>
      <c r="Y183">
        <v>47.2</v>
      </c>
      <c r="Z183" t="s">
        <v>523</v>
      </c>
      <c r="AA183" t="s">
        <v>71</v>
      </c>
      <c r="AE183">
        <v>1</v>
      </c>
      <c r="AF183">
        <v>1</v>
      </c>
      <c r="AG183">
        <v>1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1</v>
      </c>
    </row>
    <row r="184" spans="1:42" x14ac:dyDescent="0.25">
      <c r="A184">
        <v>221</v>
      </c>
      <c r="B184" t="s">
        <v>525</v>
      </c>
      <c r="C184" t="s">
        <v>522</v>
      </c>
      <c r="D184" t="s">
        <v>121</v>
      </c>
      <c r="E184" s="4">
        <v>1</v>
      </c>
      <c r="F184" t="s">
        <v>122</v>
      </c>
      <c r="G184" t="s">
        <v>122</v>
      </c>
      <c r="H184" s="3">
        <v>46129</v>
      </c>
      <c r="I184" s="3">
        <v>46135</v>
      </c>
      <c r="J184" t="s">
        <v>188</v>
      </c>
      <c r="K184" s="3">
        <v>46141</v>
      </c>
      <c r="L184" s="3">
        <v>46139</v>
      </c>
      <c r="M184" s="3">
        <v>46135</v>
      </c>
      <c r="N184" s="3">
        <v>46135</v>
      </c>
      <c r="O184" t="s">
        <v>182</v>
      </c>
      <c r="P184" t="s">
        <v>55</v>
      </c>
      <c r="Q184">
        <v>220</v>
      </c>
      <c r="S184" t="s">
        <v>124</v>
      </c>
      <c r="T184" t="s">
        <v>425</v>
      </c>
      <c r="U184">
        <v>222</v>
      </c>
      <c r="V184" t="s">
        <v>122</v>
      </c>
      <c r="W184">
        <v>13.4</v>
      </c>
      <c r="X184" t="s">
        <v>57</v>
      </c>
      <c r="Z184" t="s">
        <v>124</v>
      </c>
      <c r="AA184" t="s">
        <v>71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1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</row>
    <row r="185" spans="1:42" x14ac:dyDescent="0.25">
      <c r="A185">
        <v>222</v>
      </c>
      <c r="B185" t="s">
        <v>526</v>
      </c>
      <c r="C185" t="s">
        <v>522</v>
      </c>
      <c r="D185" t="s">
        <v>126</v>
      </c>
      <c r="E185" s="4">
        <v>1</v>
      </c>
      <c r="F185" t="s">
        <v>61</v>
      </c>
      <c r="G185" t="s">
        <v>61</v>
      </c>
      <c r="H185" s="3">
        <v>46136</v>
      </c>
      <c r="I185" s="3">
        <v>46136</v>
      </c>
      <c r="J185" t="s">
        <v>527</v>
      </c>
      <c r="K185" s="3">
        <v>46142</v>
      </c>
      <c r="L185" s="3">
        <v>46142</v>
      </c>
      <c r="M185" s="3">
        <v>46136</v>
      </c>
      <c r="N185" s="3">
        <v>46136</v>
      </c>
      <c r="O185" t="s">
        <v>67</v>
      </c>
      <c r="P185" t="s">
        <v>55</v>
      </c>
      <c r="Q185">
        <v>221</v>
      </c>
      <c r="S185" t="s">
        <v>523</v>
      </c>
      <c r="T185" t="s">
        <v>425</v>
      </c>
      <c r="U185">
        <v>223</v>
      </c>
      <c r="V185" t="s">
        <v>61</v>
      </c>
      <c r="W185">
        <v>13.4</v>
      </c>
      <c r="X185" t="s">
        <v>57</v>
      </c>
      <c r="Z185" t="s">
        <v>523</v>
      </c>
      <c r="AA185" t="s">
        <v>71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1</v>
      </c>
      <c r="AM185">
        <v>0</v>
      </c>
      <c r="AN185">
        <v>0</v>
      </c>
      <c r="AO185">
        <v>0</v>
      </c>
      <c r="AP185">
        <v>0</v>
      </c>
    </row>
    <row r="186" spans="1:42" x14ac:dyDescent="0.25">
      <c r="A186">
        <v>223</v>
      </c>
      <c r="B186" t="s">
        <v>528</v>
      </c>
      <c r="C186" t="s">
        <v>522</v>
      </c>
      <c r="D186" t="s">
        <v>133</v>
      </c>
      <c r="E186" s="4">
        <v>1</v>
      </c>
      <c r="F186" t="s">
        <v>61</v>
      </c>
      <c r="G186" t="s">
        <v>61</v>
      </c>
      <c r="H186" s="3">
        <v>46139</v>
      </c>
      <c r="I186" s="3">
        <v>46139</v>
      </c>
      <c r="J186" t="s">
        <v>409</v>
      </c>
      <c r="K186" s="3">
        <v>46146</v>
      </c>
      <c r="L186" s="3">
        <v>46146</v>
      </c>
      <c r="M186" s="3">
        <v>46139</v>
      </c>
      <c r="N186" s="3">
        <v>46139</v>
      </c>
      <c r="O186" t="s">
        <v>188</v>
      </c>
      <c r="P186" t="s">
        <v>55</v>
      </c>
      <c r="Q186">
        <v>222</v>
      </c>
      <c r="S186" t="s">
        <v>124</v>
      </c>
      <c r="T186" t="s">
        <v>425</v>
      </c>
      <c r="U186">
        <v>225</v>
      </c>
      <c r="V186" t="s">
        <v>61</v>
      </c>
      <c r="W186">
        <v>13.4</v>
      </c>
      <c r="X186" t="s">
        <v>57</v>
      </c>
      <c r="Z186" t="s">
        <v>124</v>
      </c>
      <c r="AA186" t="s">
        <v>401</v>
      </c>
      <c r="AE186">
        <v>1</v>
      </c>
      <c r="AF186">
        <v>0</v>
      </c>
      <c r="AG186">
        <v>0</v>
      </c>
      <c r="AH186">
        <v>0</v>
      </c>
      <c r="AI186">
        <v>1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0</v>
      </c>
      <c r="AP186">
        <v>0</v>
      </c>
    </row>
    <row r="187" spans="1:42" x14ac:dyDescent="0.25">
      <c r="A187">
        <v>224</v>
      </c>
      <c r="B187" t="s">
        <v>529</v>
      </c>
      <c r="C187" t="s">
        <v>519</v>
      </c>
      <c r="D187" t="s">
        <v>530</v>
      </c>
      <c r="E187" s="4">
        <v>1</v>
      </c>
      <c r="F187" t="s">
        <v>226</v>
      </c>
      <c r="G187" t="s">
        <v>226</v>
      </c>
      <c r="H187" s="3">
        <v>46125</v>
      </c>
      <c r="I187" s="3">
        <v>46157</v>
      </c>
      <c r="J187" t="s">
        <v>97</v>
      </c>
      <c r="K187" s="3">
        <v>46181</v>
      </c>
      <c r="L187" s="3">
        <v>46169</v>
      </c>
      <c r="M187" s="3">
        <v>46157</v>
      </c>
      <c r="N187" s="3">
        <v>46157</v>
      </c>
      <c r="O187" t="s">
        <v>144</v>
      </c>
      <c r="P187" t="s">
        <v>55</v>
      </c>
      <c r="T187" t="s">
        <v>425</v>
      </c>
      <c r="V187" t="s">
        <v>175</v>
      </c>
      <c r="X187" t="s">
        <v>57</v>
      </c>
      <c r="AA187" t="s">
        <v>50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</row>
    <row r="188" spans="1:42" x14ac:dyDescent="0.25">
      <c r="A188">
        <v>225</v>
      </c>
      <c r="B188" t="s">
        <v>531</v>
      </c>
      <c r="C188" t="s">
        <v>532</v>
      </c>
      <c r="D188" t="s">
        <v>117</v>
      </c>
      <c r="E188" s="4">
        <v>1</v>
      </c>
      <c r="F188" t="s">
        <v>127</v>
      </c>
      <c r="G188" t="s">
        <v>127</v>
      </c>
      <c r="H188" s="3">
        <v>46125</v>
      </c>
      <c r="I188" s="3">
        <v>46126</v>
      </c>
      <c r="J188" t="s">
        <v>97</v>
      </c>
      <c r="K188" s="3">
        <v>46170</v>
      </c>
      <c r="L188" s="3">
        <v>46169</v>
      </c>
      <c r="M188" s="3">
        <v>46126</v>
      </c>
      <c r="N188" s="3">
        <v>46126</v>
      </c>
      <c r="O188" t="s">
        <v>144</v>
      </c>
      <c r="P188" t="s">
        <v>55</v>
      </c>
      <c r="Q188" t="s">
        <v>533</v>
      </c>
      <c r="S188" t="s">
        <v>523</v>
      </c>
      <c r="T188" t="s">
        <v>425</v>
      </c>
      <c r="U188" t="s">
        <v>534</v>
      </c>
      <c r="V188" t="s">
        <v>127</v>
      </c>
      <c r="W188">
        <v>13.4</v>
      </c>
      <c r="X188" t="s">
        <v>57</v>
      </c>
      <c r="Z188" t="s">
        <v>523</v>
      </c>
      <c r="AA188" t="s">
        <v>77</v>
      </c>
      <c r="AE188">
        <v>1</v>
      </c>
      <c r="AF188">
        <v>1</v>
      </c>
      <c r="AG188">
        <v>1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1</v>
      </c>
    </row>
    <row r="189" spans="1:42" x14ac:dyDescent="0.25">
      <c r="A189">
        <v>226</v>
      </c>
      <c r="B189" t="s">
        <v>535</v>
      </c>
      <c r="C189" t="s">
        <v>532</v>
      </c>
      <c r="D189" t="s">
        <v>121</v>
      </c>
      <c r="E189" s="4">
        <v>1</v>
      </c>
      <c r="F189" t="s">
        <v>122</v>
      </c>
      <c r="G189" t="s">
        <v>122</v>
      </c>
      <c r="H189" s="3">
        <v>46127</v>
      </c>
      <c r="I189" s="3">
        <v>46129</v>
      </c>
      <c r="J189" t="s">
        <v>189</v>
      </c>
      <c r="K189" s="3">
        <v>46175</v>
      </c>
      <c r="L189" s="3">
        <v>46171</v>
      </c>
      <c r="M189" s="3">
        <v>46129</v>
      </c>
      <c r="N189" s="3">
        <v>46129</v>
      </c>
      <c r="O189" t="s">
        <v>146</v>
      </c>
      <c r="P189" t="s">
        <v>55</v>
      </c>
      <c r="Q189">
        <v>225</v>
      </c>
      <c r="S189" t="s">
        <v>124</v>
      </c>
      <c r="T189" t="s">
        <v>425</v>
      </c>
      <c r="U189">
        <v>227</v>
      </c>
      <c r="V189" t="s">
        <v>122</v>
      </c>
      <c r="W189">
        <v>13.4</v>
      </c>
      <c r="X189" t="s">
        <v>57</v>
      </c>
      <c r="Z189" t="s">
        <v>124</v>
      </c>
      <c r="AA189" t="s">
        <v>77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1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</row>
    <row r="190" spans="1:42" x14ac:dyDescent="0.25">
      <c r="A190">
        <v>227</v>
      </c>
      <c r="B190" t="s">
        <v>536</v>
      </c>
      <c r="C190" t="s">
        <v>532</v>
      </c>
      <c r="D190" t="s">
        <v>126</v>
      </c>
      <c r="E190" s="4">
        <v>1</v>
      </c>
      <c r="F190" t="s">
        <v>537</v>
      </c>
      <c r="G190" t="s">
        <v>537</v>
      </c>
      <c r="H190" s="3">
        <v>46129</v>
      </c>
      <c r="I190" s="3">
        <v>46156</v>
      </c>
      <c r="J190" t="s">
        <v>459</v>
      </c>
      <c r="K190" s="3">
        <v>46176</v>
      </c>
      <c r="L190" s="3">
        <v>46176</v>
      </c>
      <c r="M190" s="3">
        <v>46156</v>
      </c>
      <c r="N190" s="3">
        <v>46156</v>
      </c>
      <c r="O190" t="s">
        <v>182</v>
      </c>
      <c r="P190" t="s">
        <v>55</v>
      </c>
      <c r="Q190">
        <v>226</v>
      </c>
      <c r="S190" t="s">
        <v>523</v>
      </c>
      <c r="T190" t="s">
        <v>425</v>
      </c>
      <c r="U190">
        <v>228</v>
      </c>
      <c r="V190" t="s">
        <v>61</v>
      </c>
      <c r="W190">
        <v>13.4</v>
      </c>
      <c r="X190" t="s">
        <v>57</v>
      </c>
      <c r="Z190" t="s">
        <v>523</v>
      </c>
      <c r="AA190" t="s">
        <v>460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1</v>
      </c>
      <c r="AM190">
        <v>0</v>
      </c>
      <c r="AN190">
        <v>0</v>
      </c>
      <c r="AO190">
        <v>0</v>
      </c>
      <c r="AP190">
        <v>0</v>
      </c>
    </row>
    <row r="191" spans="1:42" x14ac:dyDescent="0.25">
      <c r="A191">
        <v>228</v>
      </c>
      <c r="B191" t="s">
        <v>538</v>
      </c>
      <c r="C191" t="s">
        <v>532</v>
      </c>
      <c r="D191" t="s">
        <v>133</v>
      </c>
      <c r="E191" s="4">
        <v>1</v>
      </c>
      <c r="F191" t="s">
        <v>539</v>
      </c>
      <c r="G191" t="s">
        <v>539</v>
      </c>
      <c r="H191" s="3">
        <v>46129</v>
      </c>
      <c r="I191" s="3">
        <v>46157</v>
      </c>
      <c r="J191" t="s">
        <v>201</v>
      </c>
      <c r="K191" s="3">
        <v>46181</v>
      </c>
      <c r="L191" s="3">
        <v>46181</v>
      </c>
      <c r="M191" s="3">
        <v>46157</v>
      </c>
      <c r="N191" s="3">
        <v>46157</v>
      </c>
      <c r="O191" t="s">
        <v>182</v>
      </c>
      <c r="P191" t="s">
        <v>55</v>
      </c>
      <c r="Q191">
        <v>227</v>
      </c>
      <c r="S191" t="s">
        <v>124</v>
      </c>
      <c r="T191" t="s">
        <v>425</v>
      </c>
      <c r="V191" t="s">
        <v>61</v>
      </c>
      <c r="W191">
        <v>13.4</v>
      </c>
      <c r="X191" t="s">
        <v>57</v>
      </c>
      <c r="Z191" t="s">
        <v>124</v>
      </c>
      <c r="AA191" t="s">
        <v>462</v>
      </c>
      <c r="AE191">
        <v>1</v>
      </c>
      <c r="AF191">
        <v>0</v>
      </c>
      <c r="AG191">
        <v>0</v>
      </c>
      <c r="AH191">
        <v>0</v>
      </c>
      <c r="AI191">
        <v>1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0</v>
      </c>
      <c r="AP191">
        <v>0</v>
      </c>
    </row>
    <row r="192" spans="1:42" x14ac:dyDescent="0.25">
      <c r="A192">
        <v>229</v>
      </c>
      <c r="B192" t="s">
        <v>540</v>
      </c>
      <c r="C192" t="s">
        <v>519</v>
      </c>
      <c r="D192" t="s">
        <v>541</v>
      </c>
      <c r="E192" s="4">
        <v>1</v>
      </c>
      <c r="F192" t="s">
        <v>226</v>
      </c>
      <c r="G192" t="s">
        <v>226</v>
      </c>
      <c r="H192" s="3">
        <v>46125</v>
      </c>
      <c r="I192" s="3">
        <v>46157</v>
      </c>
      <c r="J192" t="s">
        <v>97</v>
      </c>
      <c r="K192" s="3">
        <v>46181</v>
      </c>
      <c r="L192" s="3">
        <v>46169</v>
      </c>
      <c r="M192" s="3">
        <v>46157</v>
      </c>
      <c r="N192" s="3">
        <v>46157</v>
      </c>
      <c r="O192" t="s">
        <v>144</v>
      </c>
      <c r="P192" t="s">
        <v>55</v>
      </c>
      <c r="T192" t="s">
        <v>425</v>
      </c>
      <c r="V192" t="s">
        <v>175</v>
      </c>
      <c r="X192" t="s">
        <v>57</v>
      </c>
      <c r="AA192" t="s">
        <v>50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</row>
    <row r="193" spans="1:42" x14ac:dyDescent="0.25">
      <c r="A193">
        <v>230</v>
      </c>
      <c r="B193" t="s">
        <v>542</v>
      </c>
      <c r="C193" t="s">
        <v>543</v>
      </c>
      <c r="D193" t="s">
        <v>117</v>
      </c>
      <c r="E193" s="4">
        <v>1</v>
      </c>
      <c r="F193" t="s">
        <v>127</v>
      </c>
      <c r="G193" t="s">
        <v>127</v>
      </c>
      <c r="H193" s="3">
        <v>46125</v>
      </c>
      <c r="I193" s="3">
        <v>46126</v>
      </c>
      <c r="J193" t="s">
        <v>97</v>
      </c>
      <c r="K193" s="3">
        <v>46170</v>
      </c>
      <c r="L193" s="3">
        <v>46169</v>
      </c>
      <c r="M193" s="3">
        <v>46126</v>
      </c>
      <c r="N193" s="3">
        <v>46126</v>
      </c>
      <c r="O193" t="s">
        <v>144</v>
      </c>
      <c r="P193" t="s">
        <v>55</v>
      </c>
      <c r="Q193" t="s">
        <v>544</v>
      </c>
      <c r="S193" t="s">
        <v>523</v>
      </c>
      <c r="T193" t="s">
        <v>425</v>
      </c>
      <c r="U193">
        <v>231</v>
      </c>
      <c r="V193" t="s">
        <v>127</v>
      </c>
      <c r="W193">
        <v>13.4</v>
      </c>
      <c r="X193" t="s">
        <v>57</v>
      </c>
      <c r="Z193" t="s">
        <v>523</v>
      </c>
      <c r="AA193" t="s">
        <v>77</v>
      </c>
      <c r="AE193">
        <v>1</v>
      </c>
      <c r="AF193">
        <v>1</v>
      </c>
      <c r="AG193">
        <v>1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1</v>
      </c>
    </row>
    <row r="194" spans="1:42" x14ac:dyDescent="0.25">
      <c r="A194">
        <v>231</v>
      </c>
      <c r="B194" t="s">
        <v>545</v>
      </c>
      <c r="C194" t="s">
        <v>543</v>
      </c>
      <c r="D194" t="s">
        <v>121</v>
      </c>
      <c r="E194" s="4">
        <v>1</v>
      </c>
      <c r="F194" t="s">
        <v>122</v>
      </c>
      <c r="G194" t="s">
        <v>122</v>
      </c>
      <c r="H194" s="3">
        <v>46127</v>
      </c>
      <c r="I194" s="3">
        <v>46129</v>
      </c>
      <c r="J194" t="s">
        <v>189</v>
      </c>
      <c r="K194" s="3">
        <v>46175</v>
      </c>
      <c r="L194" s="3">
        <v>46171</v>
      </c>
      <c r="M194" s="3">
        <v>46129</v>
      </c>
      <c r="N194" s="3">
        <v>46129</v>
      </c>
      <c r="O194" t="s">
        <v>146</v>
      </c>
      <c r="P194" t="s">
        <v>55</v>
      </c>
      <c r="Q194">
        <v>230</v>
      </c>
      <c r="S194" t="s">
        <v>124</v>
      </c>
      <c r="T194" t="s">
        <v>425</v>
      </c>
      <c r="U194">
        <v>232</v>
      </c>
      <c r="V194" t="s">
        <v>122</v>
      </c>
      <c r="W194">
        <v>13.4</v>
      </c>
      <c r="X194" t="s">
        <v>57</v>
      </c>
      <c r="Z194" t="s">
        <v>124</v>
      </c>
      <c r="AA194" t="s">
        <v>77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1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</row>
    <row r="195" spans="1:42" x14ac:dyDescent="0.25">
      <c r="A195">
        <v>232</v>
      </c>
      <c r="B195" t="s">
        <v>546</v>
      </c>
      <c r="C195" t="s">
        <v>543</v>
      </c>
      <c r="D195" t="s">
        <v>126</v>
      </c>
      <c r="E195" s="4">
        <v>1</v>
      </c>
      <c r="F195" t="s">
        <v>537</v>
      </c>
      <c r="G195" t="s">
        <v>537</v>
      </c>
      <c r="H195" s="3">
        <v>46129</v>
      </c>
      <c r="I195" s="3">
        <v>46156</v>
      </c>
      <c r="J195" t="s">
        <v>459</v>
      </c>
      <c r="K195" s="3">
        <v>46176</v>
      </c>
      <c r="L195" s="3">
        <v>46176</v>
      </c>
      <c r="M195" s="3">
        <v>46156</v>
      </c>
      <c r="N195" s="3">
        <v>46156</v>
      </c>
      <c r="O195" t="s">
        <v>182</v>
      </c>
      <c r="P195" t="s">
        <v>55</v>
      </c>
      <c r="Q195">
        <v>231</v>
      </c>
      <c r="S195" t="s">
        <v>523</v>
      </c>
      <c r="T195" t="s">
        <v>425</v>
      </c>
      <c r="U195">
        <v>233</v>
      </c>
      <c r="V195" t="s">
        <v>61</v>
      </c>
      <c r="W195">
        <v>13.4</v>
      </c>
      <c r="X195" t="s">
        <v>57</v>
      </c>
      <c r="Z195" t="s">
        <v>523</v>
      </c>
      <c r="AA195" t="s">
        <v>460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1</v>
      </c>
      <c r="AM195">
        <v>0</v>
      </c>
      <c r="AN195">
        <v>0</v>
      </c>
      <c r="AO195">
        <v>0</v>
      </c>
      <c r="AP195">
        <v>0</v>
      </c>
    </row>
    <row r="196" spans="1:42" x14ac:dyDescent="0.25">
      <c r="A196">
        <v>233</v>
      </c>
      <c r="B196" t="s">
        <v>547</v>
      </c>
      <c r="C196" t="s">
        <v>543</v>
      </c>
      <c r="D196" t="s">
        <v>133</v>
      </c>
      <c r="E196" s="4">
        <v>1</v>
      </c>
      <c r="F196" t="s">
        <v>548</v>
      </c>
      <c r="G196" t="s">
        <v>548</v>
      </c>
      <c r="H196" s="3">
        <v>46129</v>
      </c>
      <c r="I196" s="3">
        <v>46157</v>
      </c>
      <c r="J196" t="s">
        <v>201</v>
      </c>
      <c r="K196" s="3">
        <v>46181</v>
      </c>
      <c r="L196" s="3">
        <v>46181</v>
      </c>
      <c r="M196" s="3">
        <v>46157</v>
      </c>
      <c r="N196" s="3">
        <v>46157</v>
      </c>
      <c r="O196" t="s">
        <v>182</v>
      </c>
      <c r="P196" t="s">
        <v>55</v>
      </c>
      <c r="Q196">
        <v>232</v>
      </c>
      <c r="S196" t="s">
        <v>124</v>
      </c>
      <c r="T196" t="s">
        <v>425</v>
      </c>
      <c r="V196" t="s">
        <v>61</v>
      </c>
      <c r="W196">
        <v>13.4</v>
      </c>
      <c r="X196" t="s">
        <v>57</v>
      </c>
      <c r="Z196" t="s">
        <v>124</v>
      </c>
      <c r="AA196" t="s">
        <v>462</v>
      </c>
      <c r="AE196">
        <v>1</v>
      </c>
      <c r="AF196">
        <v>0</v>
      </c>
      <c r="AG196">
        <v>0</v>
      </c>
      <c r="AH196">
        <v>0</v>
      </c>
      <c r="AI196">
        <v>1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0</v>
      </c>
      <c r="AP196">
        <v>0</v>
      </c>
    </row>
    <row r="197" spans="1:42" x14ac:dyDescent="0.25">
      <c r="A197">
        <v>234</v>
      </c>
      <c r="B197" t="s">
        <v>549</v>
      </c>
      <c r="C197" t="s">
        <v>519</v>
      </c>
      <c r="D197" t="s">
        <v>550</v>
      </c>
      <c r="E197" s="4">
        <v>1</v>
      </c>
      <c r="F197" t="s">
        <v>175</v>
      </c>
      <c r="G197" t="s">
        <v>175</v>
      </c>
      <c r="H197" s="3">
        <v>46125</v>
      </c>
      <c r="I197" s="3">
        <v>46135</v>
      </c>
      <c r="J197" t="s">
        <v>144</v>
      </c>
      <c r="K197" s="3">
        <v>46135</v>
      </c>
      <c r="L197" s="3">
        <v>46125</v>
      </c>
      <c r="M197" s="3">
        <v>46135</v>
      </c>
      <c r="N197" s="3">
        <v>46135</v>
      </c>
      <c r="O197" t="s">
        <v>144</v>
      </c>
      <c r="P197" t="s">
        <v>55</v>
      </c>
      <c r="T197" t="s">
        <v>425</v>
      </c>
      <c r="V197" t="s">
        <v>175</v>
      </c>
      <c r="X197" t="s">
        <v>57</v>
      </c>
      <c r="AA197" t="s">
        <v>50</v>
      </c>
      <c r="AB197" t="s">
        <v>94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</row>
    <row r="198" spans="1:42" x14ac:dyDescent="0.25">
      <c r="A198">
        <v>235</v>
      </c>
      <c r="B198" t="s">
        <v>551</v>
      </c>
      <c r="C198" t="s">
        <v>552</v>
      </c>
      <c r="D198" t="s">
        <v>117</v>
      </c>
      <c r="E198" s="4">
        <v>1</v>
      </c>
      <c r="F198" t="s">
        <v>127</v>
      </c>
      <c r="G198" t="s">
        <v>127</v>
      </c>
      <c r="H198" s="3">
        <v>46125</v>
      </c>
      <c r="I198" s="3">
        <v>46126</v>
      </c>
      <c r="J198" t="s">
        <v>144</v>
      </c>
      <c r="K198" s="3">
        <v>46126</v>
      </c>
      <c r="L198" s="3">
        <v>46125</v>
      </c>
      <c r="M198" s="3">
        <v>46126</v>
      </c>
      <c r="N198" s="3">
        <v>46126</v>
      </c>
      <c r="O198" t="s">
        <v>144</v>
      </c>
      <c r="P198" t="s">
        <v>55</v>
      </c>
      <c r="Q198" t="s">
        <v>544</v>
      </c>
      <c r="R198" s="1">
        <v>46126</v>
      </c>
      <c r="S198" t="s">
        <v>523</v>
      </c>
      <c r="T198" t="s">
        <v>425</v>
      </c>
      <c r="U198">
        <v>236</v>
      </c>
      <c r="V198" t="s">
        <v>127</v>
      </c>
      <c r="W198">
        <v>13.4</v>
      </c>
      <c r="X198" t="s">
        <v>57</v>
      </c>
      <c r="Y198">
        <v>9</v>
      </c>
      <c r="Z198" t="s">
        <v>523</v>
      </c>
      <c r="AA198" t="s">
        <v>77</v>
      </c>
      <c r="AE198">
        <v>1</v>
      </c>
      <c r="AF198">
        <v>1</v>
      </c>
      <c r="AG198">
        <v>1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1</v>
      </c>
    </row>
    <row r="199" spans="1:42" x14ac:dyDescent="0.25">
      <c r="A199">
        <v>236</v>
      </c>
      <c r="B199" t="s">
        <v>553</v>
      </c>
      <c r="C199" t="s">
        <v>552</v>
      </c>
      <c r="D199" t="s">
        <v>121</v>
      </c>
      <c r="E199" s="4">
        <v>1</v>
      </c>
      <c r="F199" t="s">
        <v>122</v>
      </c>
      <c r="G199" t="s">
        <v>122</v>
      </c>
      <c r="H199" s="3">
        <v>46127</v>
      </c>
      <c r="I199" s="3">
        <v>46129</v>
      </c>
      <c r="J199" t="s">
        <v>146</v>
      </c>
      <c r="K199" s="3">
        <v>46129</v>
      </c>
      <c r="L199" s="3">
        <v>46127</v>
      </c>
      <c r="M199" s="3">
        <v>46129</v>
      </c>
      <c r="N199" s="3">
        <v>46129</v>
      </c>
      <c r="O199" t="s">
        <v>146</v>
      </c>
      <c r="P199" t="s">
        <v>55</v>
      </c>
      <c r="Q199">
        <v>235</v>
      </c>
      <c r="S199" t="s">
        <v>124</v>
      </c>
      <c r="T199" t="s">
        <v>425</v>
      </c>
      <c r="U199">
        <v>237</v>
      </c>
      <c r="V199" t="s">
        <v>122</v>
      </c>
      <c r="W199">
        <v>13.4</v>
      </c>
      <c r="X199" t="s">
        <v>57</v>
      </c>
      <c r="Z199" t="s">
        <v>124</v>
      </c>
      <c r="AA199" t="s">
        <v>77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1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</row>
    <row r="200" spans="1:42" x14ac:dyDescent="0.25">
      <c r="A200">
        <v>237</v>
      </c>
      <c r="B200" t="s">
        <v>554</v>
      </c>
      <c r="C200" t="s">
        <v>552</v>
      </c>
      <c r="D200" t="s">
        <v>126</v>
      </c>
      <c r="E200" s="4">
        <v>1</v>
      </c>
      <c r="F200" t="s">
        <v>61</v>
      </c>
      <c r="G200" t="s">
        <v>61</v>
      </c>
      <c r="H200" s="3">
        <v>46134</v>
      </c>
      <c r="I200" s="3">
        <v>46134</v>
      </c>
      <c r="J200" t="s">
        <v>337</v>
      </c>
      <c r="K200" s="3">
        <v>46134</v>
      </c>
      <c r="L200" s="3">
        <v>46134</v>
      </c>
      <c r="M200" s="3">
        <v>46134</v>
      </c>
      <c r="N200" s="3">
        <v>46134</v>
      </c>
      <c r="O200" t="s">
        <v>337</v>
      </c>
      <c r="P200" t="s">
        <v>55</v>
      </c>
      <c r="Q200">
        <v>236</v>
      </c>
      <c r="S200" t="s">
        <v>523</v>
      </c>
      <c r="T200" t="s">
        <v>425</v>
      </c>
      <c r="U200">
        <v>238</v>
      </c>
      <c r="V200" t="s">
        <v>61</v>
      </c>
      <c r="W200">
        <v>13.4</v>
      </c>
      <c r="X200" t="s">
        <v>57</v>
      </c>
      <c r="Z200" t="s">
        <v>523</v>
      </c>
      <c r="AA200" t="s">
        <v>460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1</v>
      </c>
      <c r="AM200">
        <v>0</v>
      </c>
      <c r="AN200">
        <v>0</v>
      </c>
      <c r="AO200">
        <v>0</v>
      </c>
      <c r="AP200">
        <v>0</v>
      </c>
    </row>
    <row r="201" spans="1:42" x14ac:dyDescent="0.25">
      <c r="A201">
        <v>238</v>
      </c>
      <c r="B201" t="s">
        <v>555</v>
      </c>
      <c r="C201" t="s">
        <v>552</v>
      </c>
      <c r="D201" t="s">
        <v>133</v>
      </c>
      <c r="E201" s="4">
        <v>1</v>
      </c>
      <c r="F201" t="s">
        <v>61</v>
      </c>
      <c r="G201" t="s">
        <v>61</v>
      </c>
      <c r="H201" s="3">
        <v>46135</v>
      </c>
      <c r="I201" s="3">
        <v>46135</v>
      </c>
      <c r="J201" t="s">
        <v>371</v>
      </c>
      <c r="K201" s="3">
        <v>46135</v>
      </c>
      <c r="L201" s="3">
        <v>46135</v>
      </c>
      <c r="M201" s="3">
        <v>46135</v>
      </c>
      <c r="N201" s="3">
        <v>46135</v>
      </c>
      <c r="O201" t="s">
        <v>371</v>
      </c>
      <c r="P201" t="s">
        <v>55</v>
      </c>
      <c r="Q201">
        <v>237</v>
      </c>
      <c r="S201" t="s">
        <v>124</v>
      </c>
      <c r="T201" t="s">
        <v>425</v>
      </c>
      <c r="V201" t="s">
        <v>61</v>
      </c>
      <c r="W201">
        <v>13.4</v>
      </c>
      <c r="X201" t="s">
        <v>57</v>
      </c>
      <c r="Z201" t="s">
        <v>124</v>
      </c>
      <c r="AA201" t="s">
        <v>462</v>
      </c>
      <c r="AE201">
        <v>1</v>
      </c>
      <c r="AF201">
        <v>0</v>
      </c>
      <c r="AG201">
        <v>0</v>
      </c>
      <c r="AH201">
        <v>0</v>
      </c>
      <c r="AI201">
        <v>1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0</v>
      </c>
      <c r="AP201">
        <v>0</v>
      </c>
    </row>
    <row r="202" spans="1:42" x14ac:dyDescent="0.25">
      <c r="A202">
        <v>239</v>
      </c>
      <c r="B202" t="s">
        <v>556</v>
      </c>
      <c r="C202" t="s">
        <v>425</v>
      </c>
      <c r="D202" t="s">
        <v>557</v>
      </c>
      <c r="E202" s="4">
        <v>1</v>
      </c>
      <c r="F202" t="s">
        <v>433</v>
      </c>
      <c r="G202" t="s">
        <v>433</v>
      </c>
      <c r="H202" s="3">
        <v>46153</v>
      </c>
      <c r="I202" s="3">
        <v>46198</v>
      </c>
      <c r="J202" t="s">
        <v>337</v>
      </c>
      <c r="K202" s="3">
        <v>46197</v>
      </c>
      <c r="L202" s="3">
        <v>46134</v>
      </c>
      <c r="M202" s="3">
        <v>46198</v>
      </c>
      <c r="N202" s="3">
        <v>46198</v>
      </c>
      <c r="O202" t="s">
        <v>418</v>
      </c>
      <c r="P202" t="s">
        <v>55</v>
      </c>
      <c r="T202" t="s">
        <v>425</v>
      </c>
      <c r="V202" t="s">
        <v>558</v>
      </c>
      <c r="X202" t="s">
        <v>57</v>
      </c>
      <c r="AA202" t="s">
        <v>50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</row>
    <row r="203" spans="1:42" x14ac:dyDescent="0.25">
      <c r="A203">
        <v>240</v>
      </c>
      <c r="B203" t="s">
        <v>559</v>
      </c>
      <c r="C203" t="s">
        <v>560</v>
      </c>
      <c r="D203" t="s">
        <v>561</v>
      </c>
      <c r="E203" s="4">
        <v>1</v>
      </c>
      <c r="F203" t="s">
        <v>203</v>
      </c>
      <c r="G203" t="s">
        <v>203</v>
      </c>
      <c r="H203" s="3">
        <v>46153</v>
      </c>
      <c r="I203" s="3">
        <v>46167</v>
      </c>
      <c r="J203" t="s">
        <v>337</v>
      </c>
      <c r="K203" s="3">
        <v>46148</v>
      </c>
      <c r="L203" s="3">
        <v>46134</v>
      </c>
      <c r="M203" s="3">
        <v>46167</v>
      </c>
      <c r="N203" s="3">
        <v>46167</v>
      </c>
      <c r="O203" t="s">
        <v>418</v>
      </c>
      <c r="P203" t="s">
        <v>55</v>
      </c>
      <c r="T203" t="s">
        <v>425</v>
      </c>
      <c r="V203" t="s">
        <v>151</v>
      </c>
      <c r="X203" t="s">
        <v>57</v>
      </c>
      <c r="AA203" t="s">
        <v>50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</row>
    <row r="204" spans="1:42" x14ac:dyDescent="0.25">
      <c r="A204">
        <v>241</v>
      </c>
      <c r="B204" t="s">
        <v>562</v>
      </c>
      <c r="C204" t="s">
        <v>563</v>
      </c>
      <c r="D204" t="s">
        <v>117</v>
      </c>
      <c r="E204" s="4">
        <v>1</v>
      </c>
      <c r="F204" t="s">
        <v>101</v>
      </c>
      <c r="G204" t="s">
        <v>101</v>
      </c>
      <c r="H204" s="3">
        <v>46153</v>
      </c>
      <c r="I204" s="3">
        <v>46156</v>
      </c>
      <c r="J204" t="s">
        <v>337</v>
      </c>
      <c r="K204" s="3">
        <v>46140</v>
      </c>
      <c r="L204" s="3">
        <v>46134</v>
      </c>
      <c r="M204" s="3">
        <v>46156</v>
      </c>
      <c r="N204" s="3">
        <v>46156</v>
      </c>
      <c r="O204" t="s">
        <v>418</v>
      </c>
      <c r="P204" t="s">
        <v>55</v>
      </c>
      <c r="Q204">
        <v>107</v>
      </c>
      <c r="S204" t="s">
        <v>302</v>
      </c>
      <c r="T204" t="s">
        <v>425</v>
      </c>
      <c r="U204" t="s">
        <v>564</v>
      </c>
      <c r="V204" t="s">
        <v>138</v>
      </c>
      <c r="W204">
        <v>13.4</v>
      </c>
      <c r="X204" t="s">
        <v>57</v>
      </c>
      <c r="Z204" t="s">
        <v>302</v>
      </c>
      <c r="AA204" t="s">
        <v>71</v>
      </c>
      <c r="AE204">
        <v>1</v>
      </c>
      <c r="AF204">
        <v>1</v>
      </c>
      <c r="AG204">
        <v>1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1</v>
      </c>
    </row>
    <row r="205" spans="1:42" x14ac:dyDescent="0.25">
      <c r="A205">
        <v>242</v>
      </c>
      <c r="B205" t="s">
        <v>565</v>
      </c>
      <c r="C205" t="s">
        <v>563</v>
      </c>
      <c r="D205" t="s">
        <v>121</v>
      </c>
      <c r="E205" s="4">
        <v>1</v>
      </c>
      <c r="F205" t="s">
        <v>122</v>
      </c>
      <c r="G205" t="s">
        <v>122</v>
      </c>
      <c r="H205" s="3">
        <v>46157</v>
      </c>
      <c r="I205" s="3">
        <v>46161</v>
      </c>
      <c r="J205" t="s">
        <v>415</v>
      </c>
      <c r="K205" s="3">
        <v>46146</v>
      </c>
      <c r="L205" s="3">
        <v>46141</v>
      </c>
      <c r="M205" s="3">
        <v>46161</v>
      </c>
      <c r="N205" s="3">
        <v>46161</v>
      </c>
      <c r="O205" t="s">
        <v>444</v>
      </c>
      <c r="P205" t="s">
        <v>55</v>
      </c>
      <c r="Q205">
        <v>241</v>
      </c>
      <c r="S205" t="s">
        <v>124</v>
      </c>
      <c r="T205" t="s">
        <v>425</v>
      </c>
      <c r="U205">
        <v>243</v>
      </c>
      <c r="V205" t="s">
        <v>122</v>
      </c>
      <c r="W205">
        <v>13.4</v>
      </c>
      <c r="X205" t="s">
        <v>57</v>
      </c>
      <c r="Z205" t="s">
        <v>124</v>
      </c>
      <c r="AA205" t="s">
        <v>71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1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</row>
    <row r="206" spans="1:42" x14ac:dyDescent="0.25">
      <c r="A206">
        <v>243</v>
      </c>
      <c r="B206" t="s">
        <v>566</v>
      </c>
      <c r="C206" t="s">
        <v>563</v>
      </c>
      <c r="D206" t="s">
        <v>126</v>
      </c>
      <c r="E206" s="4">
        <v>1</v>
      </c>
      <c r="F206" t="s">
        <v>61</v>
      </c>
      <c r="G206" t="s">
        <v>61</v>
      </c>
      <c r="H206" s="3">
        <v>46162</v>
      </c>
      <c r="I206" s="3">
        <v>46162</v>
      </c>
      <c r="J206" t="s">
        <v>183</v>
      </c>
      <c r="K206" s="3">
        <v>46147</v>
      </c>
      <c r="L206" s="3">
        <v>46147</v>
      </c>
      <c r="M206" s="3">
        <v>46162</v>
      </c>
      <c r="N206" s="3">
        <v>46162</v>
      </c>
      <c r="O206" t="s">
        <v>200</v>
      </c>
      <c r="P206" t="s">
        <v>55</v>
      </c>
      <c r="Q206">
        <v>242</v>
      </c>
      <c r="S206" t="s">
        <v>302</v>
      </c>
      <c r="T206" t="s">
        <v>425</v>
      </c>
      <c r="U206">
        <v>244</v>
      </c>
      <c r="V206" t="s">
        <v>61</v>
      </c>
      <c r="W206">
        <v>13.4</v>
      </c>
      <c r="X206" t="s">
        <v>57</v>
      </c>
      <c r="Z206" t="s">
        <v>302</v>
      </c>
      <c r="AA206" t="s">
        <v>401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1</v>
      </c>
      <c r="AM206">
        <v>0</v>
      </c>
      <c r="AN206">
        <v>0</v>
      </c>
      <c r="AO206">
        <v>0</v>
      </c>
      <c r="AP206">
        <v>0</v>
      </c>
    </row>
    <row r="207" spans="1:42" x14ac:dyDescent="0.25">
      <c r="A207">
        <v>244</v>
      </c>
      <c r="B207" t="s">
        <v>567</v>
      </c>
      <c r="C207" t="s">
        <v>563</v>
      </c>
      <c r="D207" t="s">
        <v>133</v>
      </c>
      <c r="E207" s="4">
        <v>1</v>
      </c>
      <c r="F207" t="s">
        <v>122</v>
      </c>
      <c r="G207" t="s">
        <v>122</v>
      </c>
      <c r="H207" s="3">
        <v>46163</v>
      </c>
      <c r="I207" s="3">
        <v>46167</v>
      </c>
      <c r="J207" t="s">
        <v>304</v>
      </c>
      <c r="K207" s="3">
        <v>46148</v>
      </c>
      <c r="L207" s="3">
        <v>46148</v>
      </c>
      <c r="M207" s="3">
        <v>46167</v>
      </c>
      <c r="N207" s="3">
        <v>46167</v>
      </c>
      <c r="O207" t="s">
        <v>491</v>
      </c>
      <c r="P207" t="s">
        <v>55</v>
      </c>
      <c r="Q207">
        <v>243</v>
      </c>
      <c r="S207" t="s">
        <v>124</v>
      </c>
      <c r="T207" t="s">
        <v>425</v>
      </c>
      <c r="U207" t="s">
        <v>568</v>
      </c>
      <c r="V207" t="s">
        <v>61</v>
      </c>
      <c r="W207">
        <v>13.4</v>
      </c>
      <c r="X207" t="s">
        <v>57</v>
      </c>
      <c r="Z207" t="s">
        <v>124</v>
      </c>
      <c r="AA207" t="s">
        <v>401</v>
      </c>
      <c r="AE207">
        <v>1</v>
      </c>
      <c r="AF207">
        <v>0</v>
      </c>
      <c r="AG207">
        <v>0</v>
      </c>
      <c r="AH207">
        <v>0</v>
      </c>
      <c r="AI207">
        <v>1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0</v>
      </c>
      <c r="AP207">
        <v>0</v>
      </c>
    </row>
    <row r="208" spans="1:42" x14ac:dyDescent="0.25">
      <c r="A208">
        <v>245</v>
      </c>
      <c r="B208" t="s">
        <v>569</v>
      </c>
      <c r="C208" t="s">
        <v>560</v>
      </c>
      <c r="D208" t="s">
        <v>570</v>
      </c>
      <c r="E208" s="4">
        <v>1</v>
      </c>
      <c r="F208" t="s">
        <v>151</v>
      </c>
      <c r="G208" t="s">
        <v>151</v>
      </c>
      <c r="H208" s="3">
        <v>46168</v>
      </c>
      <c r="I208" s="3">
        <v>46183</v>
      </c>
      <c r="J208" t="s">
        <v>571</v>
      </c>
      <c r="K208" s="3">
        <v>46195</v>
      </c>
      <c r="L208" s="3">
        <v>46185</v>
      </c>
      <c r="M208" s="3">
        <v>46183</v>
      </c>
      <c r="N208" s="3">
        <v>46183</v>
      </c>
      <c r="O208" t="s">
        <v>206</v>
      </c>
      <c r="P208" t="s">
        <v>55</v>
      </c>
      <c r="T208" t="s">
        <v>425</v>
      </c>
      <c r="V208" t="s">
        <v>175</v>
      </c>
      <c r="X208" t="s">
        <v>57</v>
      </c>
      <c r="AA208" t="s">
        <v>50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</row>
    <row r="209" spans="1:42" x14ac:dyDescent="0.25">
      <c r="A209">
        <v>246</v>
      </c>
      <c r="B209" t="s">
        <v>572</v>
      </c>
      <c r="C209" t="s">
        <v>573</v>
      </c>
      <c r="D209" t="s">
        <v>117</v>
      </c>
      <c r="E209" s="4">
        <v>1</v>
      </c>
      <c r="F209" t="s">
        <v>101</v>
      </c>
      <c r="G209" t="s">
        <v>101</v>
      </c>
      <c r="H209" s="3">
        <v>46168</v>
      </c>
      <c r="I209" s="3">
        <v>46171</v>
      </c>
      <c r="J209" t="s">
        <v>571</v>
      </c>
      <c r="K209" s="3">
        <v>46188</v>
      </c>
      <c r="L209" s="3">
        <v>46185</v>
      </c>
      <c r="M209" s="3">
        <v>46171</v>
      </c>
      <c r="N209" s="3">
        <v>46171</v>
      </c>
      <c r="O209" t="s">
        <v>206</v>
      </c>
      <c r="P209" t="s">
        <v>55</v>
      </c>
      <c r="Q209">
        <v>244</v>
      </c>
      <c r="S209" t="s">
        <v>302</v>
      </c>
      <c r="T209" t="s">
        <v>425</v>
      </c>
      <c r="U209" t="s">
        <v>574</v>
      </c>
      <c r="V209" t="s">
        <v>127</v>
      </c>
      <c r="W209">
        <v>13.4</v>
      </c>
      <c r="X209" t="s">
        <v>57</v>
      </c>
      <c r="Z209" t="s">
        <v>302</v>
      </c>
      <c r="AA209" t="s">
        <v>462</v>
      </c>
      <c r="AE209">
        <v>1</v>
      </c>
      <c r="AF209">
        <v>1</v>
      </c>
      <c r="AG209">
        <v>1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1</v>
      </c>
    </row>
    <row r="210" spans="1:42" x14ac:dyDescent="0.25">
      <c r="A210">
        <v>247</v>
      </c>
      <c r="B210" t="s">
        <v>575</v>
      </c>
      <c r="C210" t="s">
        <v>573</v>
      </c>
      <c r="D210" t="s">
        <v>121</v>
      </c>
      <c r="E210" s="4">
        <v>1</v>
      </c>
      <c r="F210" t="s">
        <v>122</v>
      </c>
      <c r="G210" t="s">
        <v>122</v>
      </c>
      <c r="H210" s="3">
        <v>46174</v>
      </c>
      <c r="I210" s="3">
        <v>46176</v>
      </c>
      <c r="J210" t="s">
        <v>576</v>
      </c>
      <c r="K210" s="3">
        <v>46191</v>
      </c>
      <c r="L210" s="3">
        <v>46189</v>
      </c>
      <c r="M210" s="3">
        <v>46176</v>
      </c>
      <c r="N210" s="3">
        <v>46176</v>
      </c>
      <c r="O210" t="s">
        <v>193</v>
      </c>
      <c r="P210" t="s">
        <v>55</v>
      </c>
      <c r="Q210">
        <v>246</v>
      </c>
      <c r="S210" t="s">
        <v>124</v>
      </c>
      <c r="T210" t="s">
        <v>425</v>
      </c>
      <c r="U210">
        <v>248</v>
      </c>
      <c r="V210" t="s">
        <v>122</v>
      </c>
      <c r="W210">
        <v>13.4</v>
      </c>
      <c r="X210" t="s">
        <v>57</v>
      </c>
      <c r="Z210" t="s">
        <v>124</v>
      </c>
      <c r="AA210" t="s">
        <v>217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1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</row>
    <row r="211" spans="1:42" x14ac:dyDescent="0.25">
      <c r="A211">
        <v>248</v>
      </c>
      <c r="B211" t="s">
        <v>577</v>
      </c>
      <c r="C211" t="s">
        <v>573</v>
      </c>
      <c r="D211" t="s">
        <v>126</v>
      </c>
      <c r="E211" s="4">
        <v>1</v>
      </c>
      <c r="F211" t="s">
        <v>122</v>
      </c>
      <c r="G211" t="s">
        <v>122</v>
      </c>
      <c r="H211" s="3">
        <v>46176</v>
      </c>
      <c r="I211" s="3">
        <v>46183</v>
      </c>
      <c r="J211" t="s">
        <v>211</v>
      </c>
      <c r="K211" s="3">
        <v>46192</v>
      </c>
      <c r="L211" s="3">
        <v>46192</v>
      </c>
      <c r="M211" s="3">
        <v>46183</v>
      </c>
      <c r="N211" s="3">
        <v>46183</v>
      </c>
      <c r="O211" t="s">
        <v>459</v>
      </c>
      <c r="P211" t="s">
        <v>55</v>
      </c>
      <c r="Q211">
        <v>247</v>
      </c>
      <c r="S211" t="s">
        <v>302</v>
      </c>
      <c r="T211" t="s">
        <v>425</v>
      </c>
      <c r="U211">
        <v>249</v>
      </c>
      <c r="V211" t="s">
        <v>61</v>
      </c>
      <c r="W211">
        <v>13.4</v>
      </c>
      <c r="X211" t="s">
        <v>57</v>
      </c>
      <c r="Z211" t="s">
        <v>302</v>
      </c>
      <c r="AA211" t="s">
        <v>217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1</v>
      </c>
      <c r="AM211">
        <v>0</v>
      </c>
      <c r="AN211">
        <v>0</v>
      </c>
      <c r="AO211">
        <v>0</v>
      </c>
      <c r="AP211">
        <v>0</v>
      </c>
    </row>
    <row r="212" spans="1:42" x14ac:dyDescent="0.25">
      <c r="A212">
        <v>249</v>
      </c>
      <c r="B212" t="s">
        <v>578</v>
      </c>
      <c r="C212" t="s">
        <v>573</v>
      </c>
      <c r="D212" t="s">
        <v>133</v>
      </c>
      <c r="E212" s="4">
        <v>1</v>
      </c>
      <c r="F212" t="s">
        <v>127</v>
      </c>
      <c r="G212" t="s">
        <v>127</v>
      </c>
      <c r="H212" s="3">
        <v>46182</v>
      </c>
      <c r="I212" s="3">
        <v>46183</v>
      </c>
      <c r="J212" t="s">
        <v>219</v>
      </c>
      <c r="K212" s="3">
        <v>46195</v>
      </c>
      <c r="L212" s="3">
        <v>46195</v>
      </c>
      <c r="M212" s="3">
        <v>46183</v>
      </c>
      <c r="N212" s="3">
        <v>46183</v>
      </c>
      <c r="O212" t="s">
        <v>204</v>
      </c>
      <c r="P212" t="s">
        <v>55</v>
      </c>
      <c r="Q212">
        <v>248</v>
      </c>
      <c r="S212" t="s">
        <v>124</v>
      </c>
      <c r="T212" t="s">
        <v>425</v>
      </c>
      <c r="V212" t="s">
        <v>61</v>
      </c>
      <c r="W212">
        <v>13.4</v>
      </c>
      <c r="X212" t="s">
        <v>57</v>
      </c>
      <c r="Z212" t="s">
        <v>124</v>
      </c>
      <c r="AA212" t="s">
        <v>131</v>
      </c>
      <c r="AE212">
        <v>1</v>
      </c>
      <c r="AF212">
        <v>0</v>
      </c>
      <c r="AG212">
        <v>0</v>
      </c>
      <c r="AH212">
        <v>0</v>
      </c>
      <c r="AI212">
        <v>1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0</v>
      </c>
      <c r="AP212">
        <v>0</v>
      </c>
    </row>
    <row r="213" spans="1:42" x14ac:dyDescent="0.25">
      <c r="A213">
        <v>250</v>
      </c>
      <c r="B213" t="s">
        <v>579</v>
      </c>
      <c r="C213" t="s">
        <v>560</v>
      </c>
      <c r="D213" t="s">
        <v>580</v>
      </c>
      <c r="E213" s="4">
        <v>1</v>
      </c>
      <c r="F213" t="s">
        <v>151</v>
      </c>
      <c r="G213" t="s">
        <v>151</v>
      </c>
      <c r="H213" s="3">
        <v>46168</v>
      </c>
      <c r="I213" s="3">
        <v>46183</v>
      </c>
      <c r="J213" t="s">
        <v>576</v>
      </c>
      <c r="K213" s="3">
        <v>46197</v>
      </c>
      <c r="L213" s="3">
        <v>46189</v>
      </c>
      <c r="M213" s="3">
        <v>46183</v>
      </c>
      <c r="N213" s="3">
        <v>46183</v>
      </c>
      <c r="O213" t="s">
        <v>206</v>
      </c>
      <c r="P213" t="s">
        <v>55</v>
      </c>
      <c r="T213" t="s">
        <v>425</v>
      </c>
      <c r="V213" t="s">
        <v>175</v>
      </c>
      <c r="X213" t="s">
        <v>57</v>
      </c>
      <c r="AA213" t="s">
        <v>50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</row>
    <row r="214" spans="1:42" x14ac:dyDescent="0.25">
      <c r="A214">
        <v>251</v>
      </c>
      <c r="B214" t="s">
        <v>581</v>
      </c>
      <c r="C214" t="s">
        <v>582</v>
      </c>
      <c r="D214" t="s">
        <v>117</v>
      </c>
      <c r="E214" s="4">
        <v>1</v>
      </c>
      <c r="F214" t="s">
        <v>101</v>
      </c>
      <c r="G214" t="s">
        <v>101</v>
      </c>
      <c r="H214" s="3">
        <v>46168</v>
      </c>
      <c r="I214" s="3">
        <v>46171</v>
      </c>
      <c r="J214" t="s">
        <v>576</v>
      </c>
      <c r="K214" s="3">
        <v>46190</v>
      </c>
      <c r="L214" s="3">
        <v>46189</v>
      </c>
      <c r="M214" s="3">
        <v>46171</v>
      </c>
      <c r="N214" s="3">
        <v>46171</v>
      </c>
      <c r="O214" t="s">
        <v>206</v>
      </c>
      <c r="P214" t="s">
        <v>55</v>
      </c>
      <c r="Q214">
        <v>244</v>
      </c>
      <c r="S214" t="s">
        <v>302</v>
      </c>
      <c r="T214" t="s">
        <v>425</v>
      </c>
      <c r="U214">
        <v>252</v>
      </c>
      <c r="V214" t="s">
        <v>127</v>
      </c>
      <c r="W214">
        <v>13.4</v>
      </c>
      <c r="X214" t="s">
        <v>57</v>
      </c>
      <c r="Z214" t="s">
        <v>302</v>
      </c>
      <c r="AA214" t="s">
        <v>217</v>
      </c>
      <c r="AE214">
        <v>1</v>
      </c>
      <c r="AF214">
        <v>1</v>
      </c>
      <c r="AG214">
        <v>1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1</v>
      </c>
    </row>
    <row r="215" spans="1:42" x14ac:dyDescent="0.25">
      <c r="A215">
        <v>252</v>
      </c>
      <c r="B215" t="s">
        <v>583</v>
      </c>
      <c r="C215" t="s">
        <v>582</v>
      </c>
      <c r="D215" t="s">
        <v>121</v>
      </c>
      <c r="E215" s="4">
        <v>1</v>
      </c>
      <c r="F215" t="s">
        <v>122</v>
      </c>
      <c r="G215" t="s">
        <v>122</v>
      </c>
      <c r="H215" s="3">
        <v>46174</v>
      </c>
      <c r="I215" s="3">
        <v>46176</v>
      </c>
      <c r="J215" t="s">
        <v>480</v>
      </c>
      <c r="K215" s="3">
        <v>46195</v>
      </c>
      <c r="L215" s="3">
        <v>46191</v>
      </c>
      <c r="M215" s="3">
        <v>46176</v>
      </c>
      <c r="N215" s="3">
        <v>46176</v>
      </c>
      <c r="O215" t="s">
        <v>193</v>
      </c>
      <c r="P215" t="s">
        <v>55</v>
      </c>
      <c r="Q215">
        <v>251</v>
      </c>
      <c r="S215" t="s">
        <v>124</v>
      </c>
      <c r="T215" t="s">
        <v>425</v>
      </c>
      <c r="U215" t="s">
        <v>584</v>
      </c>
      <c r="V215" t="s">
        <v>122</v>
      </c>
      <c r="W215">
        <v>13.4</v>
      </c>
      <c r="X215" t="s">
        <v>57</v>
      </c>
      <c r="Z215" t="s">
        <v>124</v>
      </c>
      <c r="AA215" t="s">
        <v>217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1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</row>
    <row r="216" spans="1:42" x14ac:dyDescent="0.25">
      <c r="A216">
        <v>253</v>
      </c>
      <c r="B216" t="s">
        <v>585</v>
      </c>
      <c r="C216" t="s">
        <v>582</v>
      </c>
      <c r="D216" t="s">
        <v>126</v>
      </c>
      <c r="E216" s="4">
        <v>1</v>
      </c>
      <c r="F216" t="s">
        <v>122</v>
      </c>
      <c r="G216" t="s">
        <v>122</v>
      </c>
      <c r="H216" s="3">
        <v>46176</v>
      </c>
      <c r="I216" s="3">
        <v>46183</v>
      </c>
      <c r="J216" t="s">
        <v>212</v>
      </c>
      <c r="K216" s="3">
        <v>46196</v>
      </c>
      <c r="L216" s="3">
        <v>46196</v>
      </c>
      <c r="M216" s="3">
        <v>46183</v>
      </c>
      <c r="N216" s="3">
        <v>46183</v>
      </c>
      <c r="O216" t="s">
        <v>459</v>
      </c>
      <c r="P216" t="s">
        <v>55</v>
      </c>
      <c r="Q216">
        <v>252</v>
      </c>
      <c r="S216" t="s">
        <v>302</v>
      </c>
      <c r="T216" t="s">
        <v>425</v>
      </c>
      <c r="U216">
        <v>254</v>
      </c>
      <c r="V216" t="s">
        <v>61</v>
      </c>
      <c r="W216">
        <v>13.4</v>
      </c>
      <c r="X216" t="s">
        <v>57</v>
      </c>
      <c r="Z216" t="s">
        <v>302</v>
      </c>
      <c r="AA216" t="s">
        <v>131</v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1</v>
      </c>
      <c r="AM216">
        <v>0</v>
      </c>
      <c r="AN216">
        <v>0</v>
      </c>
      <c r="AO216">
        <v>0</v>
      </c>
      <c r="AP216">
        <v>0</v>
      </c>
    </row>
    <row r="217" spans="1:42" x14ac:dyDescent="0.25">
      <c r="A217">
        <v>254</v>
      </c>
      <c r="B217" t="s">
        <v>586</v>
      </c>
      <c r="C217" t="s">
        <v>582</v>
      </c>
      <c r="D217" t="s">
        <v>133</v>
      </c>
      <c r="E217" s="4">
        <v>1</v>
      </c>
      <c r="F217" t="s">
        <v>127</v>
      </c>
      <c r="G217" t="s">
        <v>127</v>
      </c>
      <c r="H217" s="3">
        <v>46182</v>
      </c>
      <c r="I217" s="3">
        <v>46183</v>
      </c>
      <c r="J217" t="s">
        <v>207</v>
      </c>
      <c r="K217" s="3">
        <v>46197</v>
      </c>
      <c r="L217" s="3">
        <v>46197</v>
      </c>
      <c r="M217" s="3">
        <v>46183</v>
      </c>
      <c r="N217" s="3">
        <v>46183</v>
      </c>
      <c r="O217" t="s">
        <v>204</v>
      </c>
      <c r="P217" t="s">
        <v>55</v>
      </c>
      <c r="Q217">
        <v>253</v>
      </c>
      <c r="S217" t="s">
        <v>124</v>
      </c>
      <c r="T217" t="s">
        <v>425</v>
      </c>
      <c r="V217" t="s">
        <v>61</v>
      </c>
      <c r="W217">
        <v>13.4</v>
      </c>
      <c r="X217" t="s">
        <v>57</v>
      </c>
      <c r="Z217" t="s">
        <v>124</v>
      </c>
      <c r="AA217" t="s">
        <v>131</v>
      </c>
      <c r="AE217">
        <v>1</v>
      </c>
      <c r="AF217">
        <v>0</v>
      </c>
      <c r="AG217">
        <v>0</v>
      </c>
      <c r="AH217">
        <v>0</v>
      </c>
      <c r="AI217">
        <v>1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0</v>
      </c>
      <c r="AP217">
        <v>0</v>
      </c>
    </row>
    <row r="218" spans="1:42" x14ac:dyDescent="0.25">
      <c r="A218">
        <v>255</v>
      </c>
      <c r="B218" t="s">
        <v>587</v>
      </c>
      <c r="C218" t="s">
        <v>560</v>
      </c>
      <c r="D218" t="s">
        <v>588</v>
      </c>
      <c r="E218" s="4">
        <v>1</v>
      </c>
      <c r="F218" t="s">
        <v>330</v>
      </c>
      <c r="G218" t="s">
        <v>330</v>
      </c>
      <c r="H218" s="3">
        <v>46176</v>
      </c>
      <c r="I218" s="3">
        <v>46198</v>
      </c>
      <c r="J218" t="s">
        <v>459</v>
      </c>
      <c r="K218" s="3">
        <v>46198</v>
      </c>
      <c r="L218" s="3">
        <v>46176</v>
      </c>
      <c r="M218" s="3">
        <v>46198</v>
      </c>
      <c r="N218" s="3">
        <v>46198</v>
      </c>
      <c r="O218" t="s">
        <v>459</v>
      </c>
      <c r="P218" t="s">
        <v>55</v>
      </c>
      <c r="T218" t="s">
        <v>425</v>
      </c>
      <c r="V218" t="s">
        <v>175</v>
      </c>
      <c r="X218" t="s">
        <v>57</v>
      </c>
      <c r="AA218" t="s">
        <v>50</v>
      </c>
      <c r="AB218" t="s">
        <v>94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</row>
    <row r="219" spans="1:42" x14ac:dyDescent="0.25">
      <c r="A219">
        <v>256</v>
      </c>
      <c r="B219" t="s">
        <v>589</v>
      </c>
      <c r="C219" t="s">
        <v>590</v>
      </c>
      <c r="D219" t="s">
        <v>117</v>
      </c>
      <c r="E219" s="4">
        <v>1</v>
      </c>
      <c r="F219" t="s">
        <v>122</v>
      </c>
      <c r="G219" t="s">
        <v>122</v>
      </c>
      <c r="H219" s="3">
        <v>46176</v>
      </c>
      <c r="I219" s="3">
        <v>46182</v>
      </c>
      <c r="J219" t="s">
        <v>459</v>
      </c>
      <c r="K219" s="3">
        <v>46182</v>
      </c>
      <c r="L219" s="3">
        <v>46176</v>
      </c>
      <c r="M219" s="3">
        <v>46182</v>
      </c>
      <c r="N219" s="3">
        <v>46182</v>
      </c>
      <c r="O219" t="s">
        <v>459</v>
      </c>
      <c r="P219" t="s">
        <v>55</v>
      </c>
      <c r="Q219">
        <v>252</v>
      </c>
      <c r="S219" t="s">
        <v>302</v>
      </c>
      <c r="T219" t="s">
        <v>425</v>
      </c>
      <c r="U219">
        <v>257</v>
      </c>
      <c r="V219" t="s">
        <v>127</v>
      </c>
      <c r="W219">
        <v>13.4</v>
      </c>
      <c r="X219" t="s">
        <v>57</v>
      </c>
      <c r="Z219" t="s">
        <v>302</v>
      </c>
      <c r="AA219" t="s">
        <v>217</v>
      </c>
      <c r="AE219">
        <v>1</v>
      </c>
      <c r="AF219">
        <v>1</v>
      </c>
      <c r="AG219">
        <v>1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1</v>
      </c>
    </row>
    <row r="220" spans="1:42" x14ac:dyDescent="0.25">
      <c r="A220">
        <v>257</v>
      </c>
      <c r="B220" t="s">
        <v>591</v>
      </c>
      <c r="C220" t="s">
        <v>590</v>
      </c>
      <c r="D220" t="s">
        <v>121</v>
      </c>
      <c r="E220" s="4">
        <v>1</v>
      </c>
      <c r="F220" t="s">
        <v>127</v>
      </c>
      <c r="G220" t="s">
        <v>127</v>
      </c>
      <c r="H220" s="3">
        <v>46183</v>
      </c>
      <c r="I220" s="3">
        <v>46184</v>
      </c>
      <c r="J220" t="s">
        <v>592</v>
      </c>
      <c r="K220" s="3">
        <v>46184</v>
      </c>
      <c r="L220" s="3">
        <v>46183</v>
      </c>
      <c r="M220" s="3">
        <v>46184</v>
      </c>
      <c r="N220" s="3">
        <v>46184</v>
      </c>
      <c r="O220" t="s">
        <v>592</v>
      </c>
      <c r="P220" t="s">
        <v>55</v>
      </c>
      <c r="Q220">
        <v>256</v>
      </c>
      <c r="S220" t="s">
        <v>124</v>
      </c>
      <c r="T220" t="s">
        <v>425</v>
      </c>
      <c r="U220">
        <v>258</v>
      </c>
      <c r="V220" t="s">
        <v>122</v>
      </c>
      <c r="W220">
        <v>13.4</v>
      </c>
      <c r="X220" t="s">
        <v>57</v>
      </c>
      <c r="Z220" t="s">
        <v>124</v>
      </c>
      <c r="AA220" t="s">
        <v>217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1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</row>
    <row r="221" spans="1:42" x14ac:dyDescent="0.25">
      <c r="A221">
        <v>258</v>
      </c>
      <c r="B221" t="s">
        <v>593</v>
      </c>
      <c r="C221" t="s">
        <v>590</v>
      </c>
      <c r="D221" t="s">
        <v>126</v>
      </c>
      <c r="E221" s="4">
        <v>1</v>
      </c>
      <c r="F221" t="s">
        <v>61</v>
      </c>
      <c r="G221" t="s">
        <v>61</v>
      </c>
      <c r="H221" s="3">
        <v>46185</v>
      </c>
      <c r="I221" s="3">
        <v>46185</v>
      </c>
      <c r="J221" t="s">
        <v>571</v>
      </c>
      <c r="K221" s="3">
        <v>46185</v>
      </c>
      <c r="L221" s="3">
        <v>46185</v>
      </c>
      <c r="M221" s="3">
        <v>46185</v>
      </c>
      <c r="N221" s="3">
        <v>46185</v>
      </c>
      <c r="O221" t="s">
        <v>571</v>
      </c>
      <c r="P221" t="s">
        <v>55</v>
      </c>
      <c r="Q221">
        <v>257</v>
      </c>
      <c r="S221" t="s">
        <v>302</v>
      </c>
      <c r="T221" t="s">
        <v>425</v>
      </c>
      <c r="U221">
        <v>259</v>
      </c>
      <c r="V221" t="s">
        <v>61</v>
      </c>
      <c r="W221">
        <v>13.4</v>
      </c>
      <c r="X221" t="s">
        <v>57</v>
      </c>
      <c r="Z221" t="s">
        <v>302</v>
      </c>
      <c r="AA221" t="s">
        <v>131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1</v>
      </c>
      <c r="AM221">
        <v>0</v>
      </c>
      <c r="AN221">
        <v>0</v>
      </c>
      <c r="AO221">
        <v>0</v>
      </c>
      <c r="AP221">
        <v>0</v>
      </c>
    </row>
    <row r="222" spans="1:42" x14ac:dyDescent="0.25">
      <c r="A222">
        <v>259</v>
      </c>
      <c r="B222" t="s">
        <v>594</v>
      </c>
      <c r="C222" t="s">
        <v>590</v>
      </c>
      <c r="D222" t="s">
        <v>133</v>
      </c>
      <c r="E222" s="4">
        <v>1</v>
      </c>
      <c r="F222" t="s">
        <v>114</v>
      </c>
      <c r="G222" t="s">
        <v>114</v>
      </c>
      <c r="H222" s="3">
        <v>46188</v>
      </c>
      <c r="I222" s="3">
        <v>46198</v>
      </c>
      <c r="J222" t="s">
        <v>595</v>
      </c>
      <c r="K222" s="3">
        <v>46198</v>
      </c>
      <c r="L222" s="3">
        <v>46188</v>
      </c>
      <c r="M222" s="3">
        <v>46198</v>
      </c>
      <c r="N222" s="3">
        <v>46198</v>
      </c>
      <c r="O222" t="s">
        <v>595</v>
      </c>
      <c r="P222" t="s">
        <v>55</v>
      </c>
      <c r="Q222">
        <v>258</v>
      </c>
      <c r="S222" t="s">
        <v>124</v>
      </c>
      <c r="T222" t="s">
        <v>425</v>
      </c>
      <c r="V222" t="s">
        <v>61</v>
      </c>
      <c r="W222">
        <v>13.4</v>
      </c>
      <c r="X222" t="s">
        <v>57</v>
      </c>
      <c r="Z222" t="s">
        <v>124</v>
      </c>
      <c r="AA222" t="s">
        <v>131</v>
      </c>
      <c r="AE222">
        <v>1</v>
      </c>
      <c r="AF222">
        <v>0</v>
      </c>
      <c r="AG222">
        <v>0</v>
      </c>
      <c r="AH222">
        <v>0</v>
      </c>
      <c r="AI222">
        <v>1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0</v>
      </c>
      <c r="AP222">
        <v>0</v>
      </c>
    </row>
    <row r="223" spans="1:42" x14ac:dyDescent="0.25">
      <c r="A223">
        <v>260</v>
      </c>
      <c r="B223" t="s">
        <v>596</v>
      </c>
      <c r="C223" t="s">
        <v>560</v>
      </c>
      <c r="D223" t="s">
        <v>597</v>
      </c>
      <c r="E223" s="4">
        <v>1</v>
      </c>
      <c r="F223" t="s">
        <v>330</v>
      </c>
      <c r="G223" t="s">
        <v>330</v>
      </c>
      <c r="H223" s="3">
        <v>46176</v>
      </c>
      <c r="I223" s="3">
        <v>46198</v>
      </c>
      <c r="J223" t="s">
        <v>459</v>
      </c>
      <c r="K223" s="3">
        <v>46198</v>
      </c>
      <c r="L223" s="3">
        <v>46176</v>
      </c>
      <c r="M223" s="3">
        <v>46198</v>
      </c>
      <c r="N223" s="3">
        <v>46198</v>
      </c>
      <c r="O223" t="s">
        <v>459</v>
      </c>
      <c r="P223" t="s">
        <v>55</v>
      </c>
      <c r="T223" t="s">
        <v>425</v>
      </c>
      <c r="V223" t="s">
        <v>175</v>
      </c>
      <c r="X223" t="s">
        <v>57</v>
      </c>
      <c r="AA223" t="s">
        <v>50</v>
      </c>
      <c r="AB223" t="s">
        <v>94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</row>
    <row r="224" spans="1:42" x14ac:dyDescent="0.25">
      <c r="A224">
        <v>261</v>
      </c>
      <c r="B224" t="s">
        <v>598</v>
      </c>
      <c r="C224" t="s">
        <v>599</v>
      </c>
      <c r="D224" t="s">
        <v>117</v>
      </c>
      <c r="E224" s="4">
        <v>1</v>
      </c>
      <c r="F224" t="s">
        <v>122</v>
      </c>
      <c r="G224" t="s">
        <v>122</v>
      </c>
      <c r="H224" s="3">
        <v>46176</v>
      </c>
      <c r="I224" s="3">
        <v>46182</v>
      </c>
      <c r="J224" t="s">
        <v>459</v>
      </c>
      <c r="K224" s="3">
        <v>46182</v>
      </c>
      <c r="L224" s="3">
        <v>46176</v>
      </c>
      <c r="M224" s="3">
        <v>46182</v>
      </c>
      <c r="N224" s="3">
        <v>46182</v>
      </c>
      <c r="O224" t="s">
        <v>459</v>
      </c>
      <c r="P224" t="s">
        <v>55</v>
      </c>
      <c r="Q224">
        <v>252</v>
      </c>
      <c r="S224" t="s">
        <v>302</v>
      </c>
      <c r="T224" t="s">
        <v>425</v>
      </c>
      <c r="U224">
        <v>262</v>
      </c>
      <c r="V224" t="s">
        <v>127</v>
      </c>
      <c r="W224">
        <v>13.4</v>
      </c>
      <c r="X224" t="s">
        <v>57</v>
      </c>
      <c r="Z224" t="s">
        <v>302</v>
      </c>
      <c r="AA224" t="s">
        <v>217</v>
      </c>
      <c r="AE224">
        <v>1</v>
      </c>
      <c r="AF224">
        <v>1</v>
      </c>
      <c r="AG224">
        <v>1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1</v>
      </c>
    </row>
    <row r="225" spans="1:42" x14ac:dyDescent="0.25">
      <c r="A225">
        <v>262</v>
      </c>
      <c r="B225" t="s">
        <v>600</v>
      </c>
      <c r="C225" t="s">
        <v>599</v>
      </c>
      <c r="D225" t="s">
        <v>121</v>
      </c>
      <c r="E225" s="4">
        <v>1</v>
      </c>
      <c r="F225" t="s">
        <v>127</v>
      </c>
      <c r="G225" t="s">
        <v>127</v>
      </c>
      <c r="H225" s="3">
        <v>46183</v>
      </c>
      <c r="I225" s="3">
        <v>46184</v>
      </c>
      <c r="J225" t="s">
        <v>592</v>
      </c>
      <c r="K225" s="3">
        <v>46184</v>
      </c>
      <c r="L225" s="3">
        <v>46183</v>
      </c>
      <c r="M225" s="3">
        <v>46184</v>
      </c>
      <c r="N225" s="3">
        <v>46184</v>
      </c>
      <c r="O225" t="s">
        <v>592</v>
      </c>
      <c r="P225" t="s">
        <v>55</v>
      </c>
      <c r="Q225">
        <v>261</v>
      </c>
      <c r="S225" t="s">
        <v>124</v>
      </c>
      <c r="T225" t="s">
        <v>425</v>
      </c>
      <c r="U225">
        <v>263</v>
      </c>
      <c r="V225" t="s">
        <v>122</v>
      </c>
      <c r="W225">
        <v>13.4</v>
      </c>
      <c r="X225" t="s">
        <v>57</v>
      </c>
      <c r="Z225" t="s">
        <v>124</v>
      </c>
      <c r="AA225" t="s">
        <v>217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1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</row>
    <row r="226" spans="1:42" x14ac:dyDescent="0.25">
      <c r="A226">
        <v>263</v>
      </c>
      <c r="B226" t="s">
        <v>601</v>
      </c>
      <c r="C226" t="s">
        <v>599</v>
      </c>
      <c r="D226" t="s">
        <v>126</v>
      </c>
      <c r="E226" s="4">
        <v>1</v>
      </c>
      <c r="F226" t="s">
        <v>61</v>
      </c>
      <c r="G226" t="s">
        <v>61</v>
      </c>
      <c r="H226" s="3">
        <v>46185</v>
      </c>
      <c r="I226" s="3">
        <v>46185</v>
      </c>
      <c r="J226" t="s">
        <v>571</v>
      </c>
      <c r="K226" s="3">
        <v>46185</v>
      </c>
      <c r="L226" s="3">
        <v>46185</v>
      </c>
      <c r="M226" s="3">
        <v>46185</v>
      </c>
      <c r="N226" s="3">
        <v>46185</v>
      </c>
      <c r="O226" t="s">
        <v>571</v>
      </c>
      <c r="P226" t="s">
        <v>55</v>
      </c>
      <c r="Q226">
        <v>262</v>
      </c>
      <c r="S226" t="s">
        <v>302</v>
      </c>
      <c r="T226" t="s">
        <v>425</v>
      </c>
      <c r="U226">
        <v>264</v>
      </c>
      <c r="V226" t="s">
        <v>61</v>
      </c>
      <c r="W226">
        <v>13.4</v>
      </c>
      <c r="X226" t="s">
        <v>57</v>
      </c>
      <c r="Z226" t="s">
        <v>302</v>
      </c>
      <c r="AA226" t="s">
        <v>131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1</v>
      </c>
      <c r="AM226">
        <v>0</v>
      </c>
      <c r="AN226">
        <v>0</v>
      </c>
      <c r="AO226">
        <v>0</v>
      </c>
      <c r="AP226">
        <v>0</v>
      </c>
    </row>
    <row r="227" spans="1:42" x14ac:dyDescent="0.25">
      <c r="A227">
        <v>264</v>
      </c>
      <c r="B227" t="s">
        <v>602</v>
      </c>
      <c r="C227" t="s">
        <v>599</v>
      </c>
      <c r="D227" t="s">
        <v>133</v>
      </c>
      <c r="E227" s="4">
        <v>1</v>
      </c>
      <c r="F227" t="s">
        <v>114</v>
      </c>
      <c r="G227" t="s">
        <v>114</v>
      </c>
      <c r="H227" s="3">
        <v>46188</v>
      </c>
      <c r="I227" s="3">
        <v>46198</v>
      </c>
      <c r="J227" t="s">
        <v>595</v>
      </c>
      <c r="K227" s="3">
        <v>46198</v>
      </c>
      <c r="L227" s="3">
        <v>46188</v>
      </c>
      <c r="M227" s="3">
        <v>46198</v>
      </c>
      <c r="N227" s="3">
        <v>46198</v>
      </c>
      <c r="O227" t="s">
        <v>595</v>
      </c>
      <c r="P227" t="s">
        <v>55</v>
      </c>
      <c r="Q227">
        <v>263</v>
      </c>
      <c r="S227" t="s">
        <v>124</v>
      </c>
      <c r="T227" t="s">
        <v>425</v>
      </c>
      <c r="V227" t="s">
        <v>61</v>
      </c>
      <c r="W227">
        <v>13.4</v>
      </c>
      <c r="X227" t="s">
        <v>57</v>
      </c>
      <c r="Z227" t="s">
        <v>124</v>
      </c>
      <c r="AA227" t="s">
        <v>131</v>
      </c>
      <c r="AE227">
        <v>1</v>
      </c>
      <c r="AF227">
        <v>0</v>
      </c>
      <c r="AG227">
        <v>0</v>
      </c>
      <c r="AH227">
        <v>0</v>
      </c>
      <c r="AI227">
        <v>1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0</v>
      </c>
      <c r="AP227">
        <v>0</v>
      </c>
    </row>
    <row r="228" spans="1:42" x14ac:dyDescent="0.25">
      <c r="A228">
        <v>265</v>
      </c>
      <c r="B228" t="s">
        <v>603</v>
      </c>
      <c r="C228" t="s">
        <v>560</v>
      </c>
      <c r="D228" t="s">
        <v>604</v>
      </c>
      <c r="E228" s="4">
        <v>1</v>
      </c>
      <c r="F228" t="s">
        <v>330</v>
      </c>
      <c r="G228" t="s">
        <v>330</v>
      </c>
      <c r="H228" s="3">
        <v>46176</v>
      </c>
      <c r="I228" s="3">
        <v>46198</v>
      </c>
      <c r="J228" t="s">
        <v>459</v>
      </c>
      <c r="K228" s="3">
        <v>46198</v>
      </c>
      <c r="L228" s="3">
        <v>46176</v>
      </c>
      <c r="M228" s="3">
        <v>46198</v>
      </c>
      <c r="N228" s="3">
        <v>46198</v>
      </c>
      <c r="O228" t="s">
        <v>459</v>
      </c>
      <c r="P228" t="s">
        <v>55</v>
      </c>
      <c r="T228" t="s">
        <v>425</v>
      </c>
      <c r="V228" t="s">
        <v>175</v>
      </c>
      <c r="X228" t="s">
        <v>57</v>
      </c>
      <c r="AA228" t="s">
        <v>50</v>
      </c>
      <c r="AB228" t="s">
        <v>94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</row>
    <row r="229" spans="1:42" x14ac:dyDescent="0.25">
      <c r="A229">
        <v>266</v>
      </c>
      <c r="B229" t="s">
        <v>605</v>
      </c>
      <c r="C229" t="s">
        <v>606</v>
      </c>
      <c r="D229" t="s">
        <v>117</v>
      </c>
      <c r="E229" s="4">
        <v>1</v>
      </c>
      <c r="F229" t="s">
        <v>122</v>
      </c>
      <c r="G229" t="s">
        <v>122</v>
      </c>
      <c r="H229" s="3">
        <v>46176</v>
      </c>
      <c r="I229" s="3">
        <v>46182</v>
      </c>
      <c r="J229" t="s">
        <v>459</v>
      </c>
      <c r="K229" s="3">
        <v>46182</v>
      </c>
      <c r="L229" s="3">
        <v>46176</v>
      </c>
      <c r="M229" s="3">
        <v>46182</v>
      </c>
      <c r="N229" s="3">
        <v>46182</v>
      </c>
      <c r="O229" t="s">
        <v>459</v>
      </c>
      <c r="P229" t="s">
        <v>55</v>
      </c>
      <c r="Q229">
        <v>252</v>
      </c>
      <c r="S229" t="s">
        <v>302</v>
      </c>
      <c r="T229" t="s">
        <v>425</v>
      </c>
      <c r="U229">
        <v>267</v>
      </c>
      <c r="V229" t="s">
        <v>127</v>
      </c>
      <c r="W229">
        <v>13.4</v>
      </c>
      <c r="X229" t="s">
        <v>57</v>
      </c>
      <c r="Z229" t="s">
        <v>302</v>
      </c>
      <c r="AA229" t="s">
        <v>217</v>
      </c>
      <c r="AE229">
        <v>1</v>
      </c>
      <c r="AF229">
        <v>1</v>
      </c>
      <c r="AG229">
        <v>1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1</v>
      </c>
    </row>
    <row r="230" spans="1:42" x14ac:dyDescent="0.25">
      <c r="A230">
        <v>267</v>
      </c>
      <c r="B230" t="s">
        <v>607</v>
      </c>
      <c r="C230" t="s">
        <v>606</v>
      </c>
      <c r="D230" t="s">
        <v>121</v>
      </c>
      <c r="E230" s="4">
        <v>1</v>
      </c>
      <c r="F230" t="s">
        <v>127</v>
      </c>
      <c r="G230" t="s">
        <v>127</v>
      </c>
      <c r="H230" s="3">
        <v>46183</v>
      </c>
      <c r="I230" s="3">
        <v>46184</v>
      </c>
      <c r="J230" t="s">
        <v>592</v>
      </c>
      <c r="K230" s="3">
        <v>46184</v>
      </c>
      <c r="L230" s="3">
        <v>46183</v>
      </c>
      <c r="M230" s="3">
        <v>46184</v>
      </c>
      <c r="N230" s="3">
        <v>46184</v>
      </c>
      <c r="O230" t="s">
        <v>592</v>
      </c>
      <c r="P230" t="s">
        <v>55</v>
      </c>
      <c r="Q230">
        <v>266</v>
      </c>
      <c r="S230" t="s">
        <v>124</v>
      </c>
      <c r="T230" t="s">
        <v>425</v>
      </c>
      <c r="U230">
        <v>268</v>
      </c>
      <c r="V230" t="s">
        <v>122</v>
      </c>
      <c r="W230">
        <v>13.4</v>
      </c>
      <c r="X230" t="s">
        <v>57</v>
      </c>
      <c r="Z230" t="s">
        <v>124</v>
      </c>
      <c r="AA230" t="s">
        <v>217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1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</row>
    <row r="231" spans="1:42" x14ac:dyDescent="0.25">
      <c r="A231">
        <v>268</v>
      </c>
      <c r="B231" t="s">
        <v>608</v>
      </c>
      <c r="C231" t="s">
        <v>606</v>
      </c>
      <c r="D231" t="s">
        <v>126</v>
      </c>
      <c r="E231" s="4">
        <v>1</v>
      </c>
      <c r="F231" t="s">
        <v>61</v>
      </c>
      <c r="G231" t="s">
        <v>61</v>
      </c>
      <c r="H231" s="3">
        <v>46185</v>
      </c>
      <c r="I231" s="3">
        <v>46185</v>
      </c>
      <c r="J231" t="s">
        <v>571</v>
      </c>
      <c r="K231" s="3">
        <v>46185</v>
      </c>
      <c r="L231" s="3">
        <v>46185</v>
      </c>
      <c r="M231" s="3">
        <v>46185</v>
      </c>
      <c r="N231" s="3">
        <v>46185</v>
      </c>
      <c r="O231" t="s">
        <v>571</v>
      </c>
      <c r="P231" t="s">
        <v>55</v>
      </c>
      <c r="Q231">
        <v>267</v>
      </c>
      <c r="S231" t="s">
        <v>302</v>
      </c>
      <c r="T231" t="s">
        <v>425</v>
      </c>
      <c r="U231">
        <v>269</v>
      </c>
      <c r="V231" t="s">
        <v>61</v>
      </c>
      <c r="W231">
        <v>13.4</v>
      </c>
      <c r="X231" t="s">
        <v>57</v>
      </c>
      <c r="Z231" t="s">
        <v>302</v>
      </c>
      <c r="AA231" t="s">
        <v>131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1</v>
      </c>
      <c r="AM231">
        <v>0</v>
      </c>
      <c r="AN231">
        <v>0</v>
      </c>
      <c r="AO231">
        <v>0</v>
      </c>
      <c r="AP231">
        <v>0</v>
      </c>
    </row>
    <row r="232" spans="1:42" x14ac:dyDescent="0.25">
      <c r="A232">
        <v>269</v>
      </c>
      <c r="B232" t="s">
        <v>609</v>
      </c>
      <c r="C232" t="s">
        <v>606</v>
      </c>
      <c r="D232" t="s">
        <v>133</v>
      </c>
      <c r="E232" s="4">
        <v>1</v>
      </c>
      <c r="F232" t="s">
        <v>114</v>
      </c>
      <c r="G232" t="s">
        <v>114</v>
      </c>
      <c r="H232" s="3">
        <v>46188</v>
      </c>
      <c r="I232" s="3">
        <v>46198</v>
      </c>
      <c r="J232" t="s">
        <v>595</v>
      </c>
      <c r="K232" s="3">
        <v>46198</v>
      </c>
      <c r="L232" s="3">
        <v>46188</v>
      </c>
      <c r="M232" s="3">
        <v>46198</v>
      </c>
      <c r="N232" s="3">
        <v>46198</v>
      </c>
      <c r="O232" t="s">
        <v>595</v>
      </c>
      <c r="P232" t="s">
        <v>55</v>
      </c>
      <c r="Q232">
        <v>268</v>
      </c>
      <c r="S232" t="s">
        <v>124</v>
      </c>
      <c r="T232" t="s">
        <v>425</v>
      </c>
      <c r="V232" t="s">
        <v>61</v>
      </c>
      <c r="W232">
        <v>13.4</v>
      </c>
      <c r="X232" t="s">
        <v>57</v>
      </c>
      <c r="Z232" t="s">
        <v>124</v>
      </c>
      <c r="AA232" t="s">
        <v>131</v>
      </c>
      <c r="AE232">
        <v>1</v>
      </c>
      <c r="AF232">
        <v>0</v>
      </c>
      <c r="AG232">
        <v>0</v>
      </c>
      <c r="AH232">
        <v>0</v>
      </c>
      <c r="AI232">
        <v>1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0</v>
      </c>
      <c r="AP232">
        <v>0</v>
      </c>
    </row>
    <row r="233" spans="1:42" x14ac:dyDescent="0.25">
      <c r="A233">
        <v>270</v>
      </c>
      <c r="B233" t="s">
        <v>610</v>
      </c>
      <c r="C233" t="s">
        <v>425</v>
      </c>
      <c r="D233" t="s">
        <v>611</v>
      </c>
      <c r="E233" s="4">
        <v>1</v>
      </c>
      <c r="F233" t="s">
        <v>612</v>
      </c>
      <c r="G233" t="s">
        <v>612</v>
      </c>
      <c r="H233" s="3">
        <v>46113</v>
      </c>
      <c r="I233" s="3">
        <v>46171</v>
      </c>
      <c r="J233" t="s">
        <v>337</v>
      </c>
      <c r="K233" s="3">
        <v>46167</v>
      </c>
      <c r="L233" s="3">
        <v>46134</v>
      </c>
      <c r="M233" s="3">
        <v>46171</v>
      </c>
      <c r="N233" s="3">
        <v>46171</v>
      </c>
      <c r="O233" t="s">
        <v>257</v>
      </c>
      <c r="P233" t="s">
        <v>55</v>
      </c>
      <c r="T233" t="s">
        <v>425</v>
      </c>
      <c r="V233" t="s">
        <v>613</v>
      </c>
      <c r="X233" t="s">
        <v>57</v>
      </c>
      <c r="AA233" t="s">
        <v>50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</row>
    <row r="234" spans="1:42" x14ac:dyDescent="0.25">
      <c r="A234">
        <v>271</v>
      </c>
      <c r="B234" t="s">
        <v>614</v>
      </c>
      <c r="C234" t="s">
        <v>615</v>
      </c>
      <c r="D234" t="s">
        <v>616</v>
      </c>
      <c r="E234" s="4">
        <v>1</v>
      </c>
      <c r="F234" t="s">
        <v>210</v>
      </c>
      <c r="G234" t="s">
        <v>210</v>
      </c>
      <c r="H234" s="3">
        <v>46113</v>
      </c>
      <c r="I234" s="3">
        <v>46126</v>
      </c>
      <c r="J234" t="s">
        <v>337</v>
      </c>
      <c r="K234" s="3">
        <v>46147</v>
      </c>
      <c r="L234" s="3">
        <v>46134</v>
      </c>
      <c r="M234" s="3">
        <v>46126</v>
      </c>
      <c r="N234" s="3">
        <v>46126</v>
      </c>
      <c r="O234" t="s">
        <v>257</v>
      </c>
      <c r="P234" t="s">
        <v>55</v>
      </c>
      <c r="T234" t="s">
        <v>425</v>
      </c>
      <c r="U234" t="s">
        <v>617</v>
      </c>
      <c r="V234" t="s">
        <v>114</v>
      </c>
      <c r="X234" t="s">
        <v>57</v>
      </c>
      <c r="AA234" t="s">
        <v>50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</row>
    <row r="235" spans="1:42" x14ac:dyDescent="0.25">
      <c r="A235">
        <v>272</v>
      </c>
      <c r="B235" t="s">
        <v>618</v>
      </c>
      <c r="C235" t="s">
        <v>619</v>
      </c>
      <c r="D235" t="s">
        <v>117</v>
      </c>
      <c r="E235" s="4">
        <v>1</v>
      </c>
      <c r="F235" t="s">
        <v>101</v>
      </c>
      <c r="G235" t="s">
        <v>101</v>
      </c>
      <c r="H235" s="3">
        <v>46113</v>
      </c>
      <c r="I235" s="3">
        <v>46120</v>
      </c>
      <c r="J235" t="s">
        <v>337</v>
      </c>
      <c r="K235" s="3">
        <v>46139</v>
      </c>
      <c r="L235" s="3">
        <v>46134</v>
      </c>
      <c r="M235" s="3">
        <v>46120</v>
      </c>
      <c r="N235" s="3">
        <v>46120</v>
      </c>
      <c r="O235" t="s">
        <v>257</v>
      </c>
      <c r="P235" t="s">
        <v>55</v>
      </c>
      <c r="Q235">
        <v>102</v>
      </c>
      <c r="R235" s="1">
        <v>46126</v>
      </c>
      <c r="S235" t="s">
        <v>302</v>
      </c>
      <c r="T235" t="s">
        <v>425</v>
      </c>
      <c r="U235" t="s">
        <v>620</v>
      </c>
      <c r="V235" t="s">
        <v>101</v>
      </c>
      <c r="W235">
        <v>13.4</v>
      </c>
      <c r="X235" t="s">
        <v>57</v>
      </c>
      <c r="Y235">
        <v>54.2</v>
      </c>
      <c r="Z235" t="s">
        <v>302</v>
      </c>
      <c r="AA235" t="s">
        <v>71</v>
      </c>
      <c r="AE235">
        <v>1</v>
      </c>
      <c r="AF235">
        <v>1</v>
      </c>
      <c r="AG235">
        <v>1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1</v>
      </c>
    </row>
    <row r="236" spans="1:42" x14ac:dyDescent="0.25">
      <c r="A236">
        <v>273</v>
      </c>
      <c r="B236" t="s">
        <v>621</v>
      </c>
      <c r="C236" t="s">
        <v>619</v>
      </c>
      <c r="D236" t="s">
        <v>121</v>
      </c>
      <c r="E236" s="4">
        <v>1</v>
      </c>
      <c r="F236" t="s">
        <v>61</v>
      </c>
      <c r="G236" t="s">
        <v>61</v>
      </c>
      <c r="H236" s="3">
        <v>46121</v>
      </c>
      <c r="I236" s="3">
        <v>46121</v>
      </c>
      <c r="J236" t="s">
        <v>85</v>
      </c>
      <c r="K236" s="3">
        <v>46142</v>
      </c>
      <c r="L236" s="3">
        <v>46140</v>
      </c>
      <c r="M236" s="3">
        <v>46121</v>
      </c>
      <c r="N236" s="3">
        <v>46121</v>
      </c>
      <c r="O236" t="s">
        <v>622</v>
      </c>
      <c r="P236" t="s">
        <v>55</v>
      </c>
      <c r="Q236">
        <v>272</v>
      </c>
      <c r="S236" t="s">
        <v>124</v>
      </c>
      <c r="T236" t="s">
        <v>425</v>
      </c>
      <c r="U236">
        <v>274</v>
      </c>
      <c r="V236" t="s">
        <v>122</v>
      </c>
      <c r="W236">
        <v>13.4</v>
      </c>
      <c r="X236" t="s">
        <v>57</v>
      </c>
      <c r="Z236" t="s">
        <v>124</v>
      </c>
      <c r="AA236" t="s">
        <v>71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1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</row>
    <row r="237" spans="1:42" x14ac:dyDescent="0.25">
      <c r="A237">
        <v>274</v>
      </c>
      <c r="B237" t="s">
        <v>623</v>
      </c>
      <c r="C237" t="s">
        <v>619</v>
      </c>
      <c r="D237" t="s">
        <v>126</v>
      </c>
      <c r="E237" s="4">
        <v>1</v>
      </c>
      <c r="F237" t="s">
        <v>122</v>
      </c>
      <c r="G237" t="s">
        <v>122</v>
      </c>
      <c r="H237" s="3">
        <v>46121</v>
      </c>
      <c r="I237" s="3">
        <v>46125</v>
      </c>
      <c r="J237" t="s">
        <v>409</v>
      </c>
      <c r="K237" s="3">
        <v>46146</v>
      </c>
      <c r="L237" s="3">
        <v>46146</v>
      </c>
      <c r="M237" s="3">
        <v>46125</v>
      </c>
      <c r="N237" s="3">
        <v>46125</v>
      </c>
      <c r="O237" t="s">
        <v>622</v>
      </c>
      <c r="P237" t="s">
        <v>55</v>
      </c>
      <c r="Q237">
        <v>273</v>
      </c>
      <c r="S237" t="s">
        <v>302</v>
      </c>
      <c r="T237" t="s">
        <v>425</v>
      </c>
      <c r="U237">
        <v>275</v>
      </c>
      <c r="V237" t="s">
        <v>61</v>
      </c>
      <c r="W237">
        <v>13.4</v>
      </c>
      <c r="X237" t="s">
        <v>57</v>
      </c>
      <c r="Z237" t="s">
        <v>302</v>
      </c>
      <c r="AA237" t="s">
        <v>401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1</v>
      </c>
      <c r="AM237">
        <v>0</v>
      </c>
      <c r="AN237">
        <v>0</v>
      </c>
      <c r="AO237">
        <v>0</v>
      </c>
      <c r="AP237">
        <v>0</v>
      </c>
    </row>
    <row r="238" spans="1:42" x14ac:dyDescent="0.25">
      <c r="A238">
        <v>275</v>
      </c>
      <c r="B238" t="s">
        <v>624</v>
      </c>
      <c r="C238" t="s">
        <v>619</v>
      </c>
      <c r="D238" t="s">
        <v>133</v>
      </c>
      <c r="E238" s="4">
        <v>1</v>
      </c>
      <c r="F238" t="s">
        <v>127</v>
      </c>
      <c r="G238" t="s">
        <v>127</v>
      </c>
      <c r="H238" s="3">
        <v>46125</v>
      </c>
      <c r="I238" s="3">
        <v>46126</v>
      </c>
      <c r="J238" t="s">
        <v>183</v>
      </c>
      <c r="K238" s="3">
        <v>46147</v>
      </c>
      <c r="L238" s="3">
        <v>46147</v>
      </c>
      <c r="M238" s="3">
        <v>46126</v>
      </c>
      <c r="N238" s="3">
        <v>46126</v>
      </c>
      <c r="O238" t="s">
        <v>144</v>
      </c>
      <c r="P238" t="s">
        <v>55</v>
      </c>
      <c r="Q238">
        <v>274</v>
      </c>
      <c r="S238" t="s">
        <v>124</v>
      </c>
      <c r="T238" t="s">
        <v>425</v>
      </c>
      <c r="U238" t="s">
        <v>625</v>
      </c>
      <c r="V238" t="s">
        <v>61</v>
      </c>
      <c r="W238">
        <v>13.4</v>
      </c>
      <c r="X238" t="s">
        <v>57</v>
      </c>
      <c r="Z238" t="s">
        <v>124</v>
      </c>
      <c r="AA238" t="s">
        <v>401</v>
      </c>
      <c r="AE238">
        <v>1</v>
      </c>
      <c r="AF238">
        <v>0</v>
      </c>
      <c r="AG238">
        <v>0</v>
      </c>
      <c r="AH238">
        <v>0</v>
      </c>
      <c r="AI238">
        <v>1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0</v>
      </c>
      <c r="AP238">
        <v>0</v>
      </c>
    </row>
    <row r="239" spans="1:42" x14ac:dyDescent="0.25">
      <c r="A239">
        <v>276</v>
      </c>
      <c r="B239" t="s">
        <v>626</v>
      </c>
      <c r="C239" t="s">
        <v>615</v>
      </c>
      <c r="D239" t="s">
        <v>627</v>
      </c>
      <c r="E239" s="4">
        <v>1</v>
      </c>
      <c r="F239" t="s">
        <v>340</v>
      </c>
      <c r="G239" t="s">
        <v>340</v>
      </c>
      <c r="H239" s="3">
        <v>46126</v>
      </c>
      <c r="I239" s="3">
        <v>46171</v>
      </c>
      <c r="J239" t="s">
        <v>444</v>
      </c>
      <c r="K239" s="3">
        <v>46167</v>
      </c>
      <c r="L239" s="3">
        <v>46157</v>
      </c>
      <c r="M239" s="3">
        <v>46171</v>
      </c>
      <c r="N239" s="3">
        <v>46171</v>
      </c>
      <c r="O239" t="s">
        <v>334</v>
      </c>
      <c r="P239" t="s">
        <v>55</v>
      </c>
      <c r="T239" t="s">
        <v>425</v>
      </c>
      <c r="V239" t="s">
        <v>175</v>
      </c>
      <c r="X239" t="s">
        <v>57</v>
      </c>
      <c r="AA239" t="s">
        <v>50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</row>
    <row r="240" spans="1:42" x14ac:dyDescent="0.25">
      <c r="A240">
        <v>277</v>
      </c>
      <c r="B240" t="s">
        <v>628</v>
      </c>
      <c r="C240" t="s">
        <v>629</v>
      </c>
      <c r="D240" t="s">
        <v>117</v>
      </c>
      <c r="E240" s="4">
        <v>1</v>
      </c>
      <c r="F240" t="s">
        <v>101</v>
      </c>
      <c r="G240" t="s">
        <v>101</v>
      </c>
      <c r="H240" s="3">
        <v>46126</v>
      </c>
      <c r="I240" s="3">
        <v>46129</v>
      </c>
      <c r="J240" t="s">
        <v>444</v>
      </c>
      <c r="K240" s="3">
        <v>46160</v>
      </c>
      <c r="L240" s="3">
        <v>46157</v>
      </c>
      <c r="M240" s="3">
        <v>46129</v>
      </c>
      <c r="N240" s="3">
        <v>46129</v>
      </c>
      <c r="O240" t="s">
        <v>334</v>
      </c>
      <c r="P240" t="s">
        <v>55</v>
      </c>
      <c r="Q240" t="s">
        <v>630</v>
      </c>
      <c r="S240" t="s">
        <v>302</v>
      </c>
      <c r="T240" t="s">
        <v>425</v>
      </c>
      <c r="U240" t="s">
        <v>631</v>
      </c>
      <c r="V240" t="s">
        <v>127</v>
      </c>
      <c r="W240">
        <v>13.4</v>
      </c>
      <c r="X240" t="s">
        <v>57</v>
      </c>
      <c r="Z240" t="s">
        <v>302</v>
      </c>
      <c r="AA240" t="s">
        <v>93</v>
      </c>
      <c r="AE240">
        <v>1</v>
      </c>
      <c r="AF240">
        <v>1</v>
      </c>
      <c r="AG240">
        <v>1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1</v>
      </c>
    </row>
    <row r="241" spans="1:42" x14ac:dyDescent="0.25">
      <c r="A241">
        <v>278</v>
      </c>
      <c r="B241" t="s">
        <v>632</v>
      </c>
      <c r="C241" t="s">
        <v>629</v>
      </c>
      <c r="D241" t="s">
        <v>121</v>
      </c>
      <c r="E241" s="4">
        <v>1</v>
      </c>
      <c r="F241" t="s">
        <v>214</v>
      </c>
      <c r="G241" t="s">
        <v>214</v>
      </c>
      <c r="H241" s="3">
        <v>46129</v>
      </c>
      <c r="I241" s="3">
        <v>46140</v>
      </c>
      <c r="J241" t="s">
        <v>90</v>
      </c>
      <c r="K241" s="3">
        <v>46163</v>
      </c>
      <c r="L241" s="3">
        <v>46161</v>
      </c>
      <c r="M241" s="3">
        <v>46140</v>
      </c>
      <c r="N241" s="3">
        <v>46140</v>
      </c>
      <c r="O241" t="s">
        <v>182</v>
      </c>
      <c r="P241" t="s">
        <v>55</v>
      </c>
      <c r="Q241">
        <v>277</v>
      </c>
      <c r="S241" t="s">
        <v>124</v>
      </c>
      <c r="T241" t="s">
        <v>425</v>
      </c>
      <c r="U241">
        <v>279</v>
      </c>
      <c r="V241" t="s">
        <v>122</v>
      </c>
      <c r="W241">
        <v>13.4</v>
      </c>
      <c r="X241" t="s">
        <v>57</v>
      </c>
      <c r="Z241" t="s">
        <v>124</v>
      </c>
      <c r="AA241" t="s">
        <v>198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1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</row>
    <row r="242" spans="1:42" x14ac:dyDescent="0.25">
      <c r="A242">
        <v>279</v>
      </c>
      <c r="B242" t="s">
        <v>633</v>
      </c>
      <c r="C242" t="s">
        <v>629</v>
      </c>
      <c r="D242" t="s">
        <v>126</v>
      </c>
      <c r="E242" s="4">
        <v>1</v>
      </c>
      <c r="F242" t="s">
        <v>101</v>
      </c>
      <c r="G242" t="s">
        <v>101</v>
      </c>
      <c r="H242" s="3">
        <v>46141</v>
      </c>
      <c r="I242" s="3">
        <v>46147</v>
      </c>
      <c r="J242" t="s">
        <v>471</v>
      </c>
      <c r="K242" s="3">
        <v>46164</v>
      </c>
      <c r="L242" s="3">
        <v>46164</v>
      </c>
      <c r="M242" s="3">
        <v>46147</v>
      </c>
      <c r="N242" s="3">
        <v>46147</v>
      </c>
      <c r="O242" t="s">
        <v>415</v>
      </c>
      <c r="P242" t="s">
        <v>55</v>
      </c>
      <c r="Q242">
        <v>278</v>
      </c>
      <c r="S242" t="s">
        <v>302</v>
      </c>
      <c r="T242" t="s">
        <v>425</v>
      </c>
      <c r="U242" t="s">
        <v>634</v>
      </c>
      <c r="V242" t="s">
        <v>61</v>
      </c>
      <c r="W242">
        <v>13.4</v>
      </c>
      <c r="X242" t="s">
        <v>57</v>
      </c>
      <c r="Z242" t="s">
        <v>302</v>
      </c>
      <c r="AA242" t="s">
        <v>198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1</v>
      </c>
      <c r="AM242">
        <v>0</v>
      </c>
      <c r="AN242">
        <v>0</v>
      </c>
      <c r="AO242">
        <v>0</v>
      </c>
      <c r="AP242">
        <v>0</v>
      </c>
    </row>
    <row r="243" spans="1:42" x14ac:dyDescent="0.25">
      <c r="A243">
        <v>280</v>
      </c>
      <c r="B243" t="s">
        <v>635</v>
      </c>
      <c r="C243" t="s">
        <v>629</v>
      </c>
      <c r="D243" t="s">
        <v>133</v>
      </c>
      <c r="E243" s="4">
        <v>1</v>
      </c>
      <c r="F243" t="s">
        <v>636</v>
      </c>
      <c r="G243" t="s">
        <v>636</v>
      </c>
      <c r="H243" s="3">
        <v>46147</v>
      </c>
      <c r="I243" s="3">
        <v>46171</v>
      </c>
      <c r="J243" t="s">
        <v>74</v>
      </c>
      <c r="K243" s="3">
        <v>46167</v>
      </c>
      <c r="L243" s="3">
        <v>46167</v>
      </c>
      <c r="M243" s="3">
        <v>46171</v>
      </c>
      <c r="N243" s="3">
        <v>46171</v>
      </c>
      <c r="O243" t="s">
        <v>183</v>
      </c>
      <c r="P243" t="s">
        <v>55</v>
      </c>
      <c r="Q243" t="s">
        <v>637</v>
      </c>
      <c r="S243" t="s">
        <v>124</v>
      </c>
      <c r="T243" t="s">
        <v>425</v>
      </c>
      <c r="V243" t="s">
        <v>61</v>
      </c>
      <c r="W243">
        <v>13.4</v>
      </c>
      <c r="X243" t="s">
        <v>57</v>
      </c>
      <c r="Z243" t="s">
        <v>124</v>
      </c>
      <c r="AA243" t="s">
        <v>77</v>
      </c>
      <c r="AE243">
        <v>1</v>
      </c>
      <c r="AF243">
        <v>0</v>
      </c>
      <c r="AG243">
        <v>0</v>
      </c>
      <c r="AH243">
        <v>0</v>
      </c>
      <c r="AI243">
        <v>1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0</v>
      </c>
      <c r="AP243">
        <v>0</v>
      </c>
    </row>
    <row r="244" spans="1:42" x14ac:dyDescent="0.25">
      <c r="A244">
        <v>281</v>
      </c>
      <c r="B244" t="s">
        <v>638</v>
      </c>
      <c r="C244" t="s">
        <v>615</v>
      </c>
      <c r="D244" t="s">
        <v>639</v>
      </c>
      <c r="E244" s="4">
        <v>1</v>
      </c>
      <c r="F244" t="s">
        <v>340</v>
      </c>
      <c r="G244" t="s">
        <v>340</v>
      </c>
      <c r="H244" s="3">
        <v>46126</v>
      </c>
      <c r="I244" s="3">
        <v>46171</v>
      </c>
      <c r="J244" t="s">
        <v>304</v>
      </c>
      <c r="K244" s="3">
        <v>46156</v>
      </c>
      <c r="L244" s="3">
        <v>46148</v>
      </c>
      <c r="M244" s="3">
        <v>46171</v>
      </c>
      <c r="N244" s="3">
        <v>46171</v>
      </c>
      <c r="O244" t="s">
        <v>334</v>
      </c>
      <c r="P244" t="s">
        <v>55</v>
      </c>
      <c r="T244" t="s">
        <v>425</v>
      </c>
      <c r="V244" t="s">
        <v>175</v>
      </c>
      <c r="X244" t="s">
        <v>57</v>
      </c>
      <c r="AA244" t="s">
        <v>50</v>
      </c>
      <c r="AE244">
        <v>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</row>
    <row r="245" spans="1:42" x14ac:dyDescent="0.25">
      <c r="A245">
        <v>282</v>
      </c>
      <c r="B245" t="s">
        <v>640</v>
      </c>
      <c r="C245" t="s">
        <v>641</v>
      </c>
      <c r="D245" t="s">
        <v>117</v>
      </c>
      <c r="E245" s="4">
        <v>1</v>
      </c>
      <c r="F245" t="s">
        <v>101</v>
      </c>
      <c r="G245" t="s">
        <v>101</v>
      </c>
      <c r="H245" s="3">
        <v>46126</v>
      </c>
      <c r="I245" s="3">
        <v>46129</v>
      </c>
      <c r="J245" t="s">
        <v>304</v>
      </c>
      <c r="K245" s="3">
        <v>46149</v>
      </c>
      <c r="L245" s="3">
        <v>46148</v>
      </c>
      <c r="M245" s="3">
        <v>46129</v>
      </c>
      <c r="N245" s="3">
        <v>46129</v>
      </c>
      <c r="O245" t="s">
        <v>334</v>
      </c>
      <c r="P245" t="s">
        <v>55</v>
      </c>
      <c r="Q245">
        <v>275</v>
      </c>
      <c r="S245" t="s">
        <v>302</v>
      </c>
      <c r="T245" t="s">
        <v>425</v>
      </c>
      <c r="U245">
        <v>283</v>
      </c>
      <c r="V245" t="s">
        <v>127</v>
      </c>
      <c r="W245">
        <v>13.4</v>
      </c>
      <c r="X245" t="s">
        <v>57</v>
      </c>
      <c r="Z245" t="s">
        <v>302</v>
      </c>
      <c r="AA245" t="s">
        <v>401</v>
      </c>
      <c r="AE245">
        <v>1</v>
      </c>
      <c r="AF245">
        <v>1</v>
      </c>
      <c r="AG245">
        <v>1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1</v>
      </c>
    </row>
    <row r="246" spans="1:42" x14ac:dyDescent="0.25">
      <c r="A246">
        <v>283</v>
      </c>
      <c r="B246" t="s">
        <v>642</v>
      </c>
      <c r="C246" t="s">
        <v>641</v>
      </c>
      <c r="D246" t="s">
        <v>121</v>
      </c>
      <c r="E246" s="4">
        <v>1</v>
      </c>
      <c r="F246" t="s">
        <v>214</v>
      </c>
      <c r="G246" t="s">
        <v>214</v>
      </c>
      <c r="H246" s="3">
        <v>46129</v>
      </c>
      <c r="I246" s="3">
        <v>46140</v>
      </c>
      <c r="J246" t="s">
        <v>403</v>
      </c>
      <c r="K246" s="3">
        <v>46154</v>
      </c>
      <c r="L246" s="3">
        <v>46150</v>
      </c>
      <c r="M246" s="3">
        <v>46140</v>
      </c>
      <c r="N246" s="3">
        <v>46140</v>
      </c>
      <c r="O246" t="s">
        <v>182</v>
      </c>
      <c r="P246" t="s">
        <v>55</v>
      </c>
      <c r="Q246">
        <v>282</v>
      </c>
      <c r="S246" t="s">
        <v>124</v>
      </c>
      <c r="T246" t="s">
        <v>425</v>
      </c>
      <c r="U246">
        <v>284</v>
      </c>
      <c r="V246" t="s">
        <v>122</v>
      </c>
      <c r="W246">
        <v>13.4</v>
      </c>
      <c r="X246" t="s">
        <v>57</v>
      </c>
      <c r="Z246" t="s">
        <v>124</v>
      </c>
      <c r="AA246" t="s">
        <v>401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1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</row>
    <row r="247" spans="1:42" x14ac:dyDescent="0.25">
      <c r="A247">
        <v>284</v>
      </c>
      <c r="B247" t="s">
        <v>643</v>
      </c>
      <c r="C247" t="s">
        <v>641</v>
      </c>
      <c r="D247" t="s">
        <v>126</v>
      </c>
      <c r="E247" s="4">
        <v>1</v>
      </c>
      <c r="F247" t="s">
        <v>101</v>
      </c>
      <c r="G247" t="s">
        <v>101</v>
      </c>
      <c r="H247" s="3">
        <v>46141</v>
      </c>
      <c r="I247" s="3">
        <v>46147</v>
      </c>
      <c r="J247" t="s">
        <v>68</v>
      </c>
      <c r="K247" s="3">
        <v>46155</v>
      </c>
      <c r="L247" s="3">
        <v>46155</v>
      </c>
      <c r="M247" s="3">
        <v>46147</v>
      </c>
      <c r="N247" s="3">
        <v>46147</v>
      </c>
      <c r="O247" t="s">
        <v>415</v>
      </c>
      <c r="P247" t="s">
        <v>55</v>
      </c>
      <c r="Q247">
        <v>283</v>
      </c>
      <c r="S247" t="s">
        <v>302</v>
      </c>
      <c r="T247" t="s">
        <v>425</v>
      </c>
      <c r="U247" t="s">
        <v>644</v>
      </c>
      <c r="V247" t="s">
        <v>61</v>
      </c>
      <c r="W247">
        <v>13.4</v>
      </c>
      <c r="X247" t="s">
        <v>57</v>
      </c>
      <c r="Z247" t="s">
        <v>302</v>
      </c>
      <c r="AA247" t="s">
        <v>93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1</v>
      </c>
      <c r="AM247">
        <v>0</v>
      </c>
      <c r="AN247">
        <v>0</v>
      </c>
      <c r="AO247">
        <v>0</v>
      </c>
      <c r="AP247">
        <v>0</v>
      </c>
    </row>
    <row r="248" spans="1:42" x14ac:dyDescent="0.25">
      <c r="A248">
        <v>285</v>
      </c>
      <c r="B248" t="s">
        <v>645</v>
      </c>
      <c r="C248" t="s">
        <v>641</v>
      </c>
      <c r="D248" t="s">
        <v>133</v>
      </c>
      <c r="E248" s="4">
        <v>1</v>
      </c>
      <c r="F248" t="s">
        <v>636</v>
      </c>
      <c r="G248" t="s">
        <v>636</v>
      </c>
      <c r="H248" s="3">
        <v>46147</v>
      </c>
      <c r="I248" s="3">
        <v>46171</v>
      </c>
      <c r="J248" t="s">
        <v>406</v>
      </c>
      <c r="K248" s="3">
        <v>46156</v>
      </c>
      <c r="L248" s="3">
        <v>46156</v>
      </c>
      <c r="M248" s="3">
        <v>46171</v>
      </c>
      <c r="N248" s="3">
        <v>46171</v>
      </c>
      <c r="O248" t="s">
        <v>183</v>
      </c>
      <c r="P248" t="s">
        <v>55</v>
      </c>
      <c r="Q248" t="s">
        <v>646</v>
      </c>
      <c r="S248" t="s">
        <v>124</v>
      </c>
      <c r="T248" t="s">
        <v>425</v>
      </c>
      <c r="V248" t="s">
        <v>61</v>
      </c>
      <c r="W248">
        <v>13.4</v>
      </c>
      <c r="X248" t="s">
        <v>57</v>
      </c>
      <c r="Z248" t="s">
        <v>124</v>
      </c>
      <c r="AA248" t="s">
        <v>93</v>
      </c>
      <c r="AE248">
        <v>1</v>
      </c>
      <c r="AF248">
        <v>0</v>
      </c>
      <c r="AG248">
        <v>0</v>
      </c>
      <c r="AH248">
        <v>0</v>
      </c>
      <c r="AI248">
        <v>1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0</v>
      </c>
      <c r="AP248">
        <v>0</v>
      </c>
    </row>
    <row r="249" spans="1:42" x14ac:dyDescent="0.25">
      <c r="A249">
        <v>286</v>
      </c>
      <c r="B249" t="s">
        <v>647</v>
      </c>
      <c r="C249" t="s">
        <v>615</v>
      </c>
      <c r="D249" t="s">
        <v>648</v>
      </c>
      <c r="E249" s="4">
        <v>1</v>
      </c>
      <c r="F249" t="s">
        <v>340</v>
      </c>
      <c r="G249" t="s">
        <v>340</v>
      </c>
      <c r="H249" s="3">
        <v>46126</v>
      </c>
      <c r="I249" s="3">
        <v>46171</v>
      </c>
      <c r="J249" t="s">
        <v>334</v>
      </c>
      <c r="K249" s="3">
        <v>46171</v>
      </c>
      <c r="L249" s="3">
        <v>46126</v>
      </c>
      <c r="M249" s="3">
        <v>46171</v>
      </c>
      <c r="N249" s="3">
        <v>46171</v>
      </c>
      <c r="O249" t="s">
        <v>334</v>
      </c>
      <c r="P249" t="s">
        <v>55</v>
      </c>
      <c r="T249" t="s">
        <v>425</v>
      </c>
      <c r="V249" t="s">
        <v>175</v>
      </c>
      <c r="X249" t="s">
        <v>57</v>
      </c>
      <c r="AA249" t="s">
        <v>50</v>
      </c>
      <c r="AB249" t="s">
        <v>94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</row>
    <row r="250" spans="1:42" x14ac:dyDescent="0.25">
      <c r="A250">
        <v>287</v>
      </c>
      <c r="B250" t="s">
        <v>649</v>
      </c>
      <c r="C250" t="s">
        <v>650</v>
      </c>
      <c r="D250" t="s">
        <v>117</v>
      </c>
      <c r="E250" s="4">
        <v>1</v>
      </c>
      <c r="F250" t="s">
        <v>101</v>
      </c>
      <c r="G250" t="s">
        <v>101</v>
      </c>
      <c r="H250" s="3">
        <v>46126</v>
      </c>
      <c r="I250" s="3">
        <v>46129</v>
      </c>
      <c r="J250" t="s">
        <v>334</v>
      </c>
      <c r="K250" s="3">
        <v>46129</v>
      </c>
      <c r="L250" s="3">
        <v>46126</v>
      </c>
      <c r="M250" s="3">
        <v>46129</v>
      </c>
      <c r="N250" s="3">
        <v>46129</v>
      </c>
      <c r="O250" t="s">
        <v>334</v>
      </c>
      <c r="P250" t="s">
        <v>55</v>
      </c>
      <c r="Q250">
        <v>275</v>
      </c>
      <c r="S250" t="s">
        <v>302</v>
      </c>
      <c r="T250" t="s">
        <v>425</v>
      </c>
      <c r="U250">
        <v>288</v>
      </c>
      <c r="V250" t="s">
        <v>127</v>
      </c>
      <c r="W250">
        <v>13.4</v>
      </c>
      <c r="X250" t="s">
        <v>57</v>
      </c>
      <c r="Z250" t="s">
        <v>302</v>
      </c>
      <c r="AA250" t="s">
        <v>401</v>
      </c>
      <c r="AE250">
        <v>1</v>
      </c>
      <c r="AF250">
        <v>1</v>
      </c>
      <c r="AG250">
        <v>1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1</v>
      </c>
    </row>
    <row r="251" spans="1:42" x14ac:dyDescent="0.25">
      <c r="A251">
        <v>288</v>
      </c>
      <c r="B251" t="s">
        <v>651</v>
      </c>
      <c r="C251" t="s">
        <v>650</v>
      </c>
      <c r="D251" t="s">
        <v>121</v>
      </c>
      <c r="E251" s="4">
        <v>1</v>
      </c>
      <c r="F251" t="s">
        <v>214</v>
      </c>
      <c r="G251" t="s">
        <v>214</v>
      </c>
      <c r="H251" s="3">
        <v>46129</v>
      </c>
      <c r="I251" s="3">
        <v>46140</v>
      </c>
      <c r="J251" t="s">
        <v>182</v>
      </c>
      <c r="K251" s="3">
        <v>46140</v>
      </c>
      <c r="L251" s="3">
        <v>46129</v>
      </c>
      <c r="M251" s="3">
        <v>46140</v>
      </c>
      <c r="N251" s="3">
        <v>46140</v>
      </c>
      <c r="O251" t="s">
        <v>182</v>
      </c>
      <c r="P251" t="s">
        <v>55</v>
      </c>
      <c r="Q251">
        <v>287</v>
      </c>
      <c r="S251" t="s">
        <v>124</v>
      </c>
      <c r="T251" t="s">
        <v>425</v>
      </c>
      <c r="U251">
        <v>289</v>
      </c>
      <c r="V251" t="s">
        <v>122</v>
      </c>
      <c r="W251">
        <v>13.4</v>
      </c>
      <c r="X251" t="s">
        <v>57</v>
      </c>
      <c r="Z251" t="s">
        <v>124</v>
      </c>
      <c r="AA251" t="s">
        <v>401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1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</row>
    <row r="252" spans="1:42" x14ac:dyDescent="0.25">
      <c r="A252">
        <v>289</v>
      </c>
      <c r="B252" t="s">
        <v>652</v>
      </c>
      <c r="C252" t="s">
        <v>650</v>
      </c>
      <c r="D252" t="s">
        <v>126</v>
      </c>
      <c r="E252" s="4">
        <v>1</v>
      </c>
      <c r="F252" t="s">
        <v>101</v>
      </c>
      <c r="G252" t="s">
        <v>101</v>
      </c>
      <c r="H252" s="3">
        <v>46141</v>
      </c>
      <c r="I252" s="3">
        <v>46147</v>
      </c>
      <c r="J252" t="s">
        <v>415</v>
      </c>
      <c r="K252" s="3">
        <v>46147</v>
      </c>
      <c r="L252" s="3">
        <v>46141</v>
      </c>
      <c r="M252" s="3">
        <v>46147</v>
      </c>
      <c r="N252" s="3">
        <v>46147</v>
      </c>
      <c r="O252" t="s">
        <v>415</v>
      </c>
      <c r="P252" t="s">
        <v>55</v>
      </c>
      <c r="Q252">
        <v>288</v>
      </c>
      <c r="S252" t="s">
        <v>302</v>
      </c>
      <c r="T252" t="s">
        <v>425</v>
      </c>
      <c r="U252" t="s">
        <v>653</v>
      </c>
      <c r="V252" t="s">
        <v>61</v>
      </c>
      <c r="W252">
        <v>13.4</v>
      </c>
      <c r="X252" t="s">
        <v>57</v>
      </c>
      <c r="Z252" t="s">
        <v>302</v>
      </c>
      <c r="AA252" t="s">
        <v>93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1</v>
      </c>
      <c r="AM252">
        <v>0</v>
      </c>
      <c r="AN252">
        <v>0</v>
      </c>
      <c r="AO252">
        <v>0</v>
      </c>
      <c r="AP252">
        <v>0</v>
      </c>
    </row>
    <row r="253" spans="1:42" x14ac:dyDescent="0.25">
      <c r="A253">
        <v>290</v>
      </c>
      <c r="B253" t="s">
        <v>654</v>
      </c>
      <c r="C253" t="s">
        <v>650</v>
      </c>
      <c r="D253" t="s">
        <v>133</v>
      </c>
      <c r="E253" s="4">
        <v>1</v>
      </c>
      <c r="F253" t="s">
        <v>636</v>
      </c>
      <c r="G253" t="s">
        <v>636</v>
      </c>
      <c r="H253" s="3">
        <v>46147</v>
      </c>
      <c r="I253" s="3">
        <v>46171</v>
      </c>
      <c r="J253" t="s">
        <v>183</v>
      </c>
      <c r="K253" s="3">
        <v>46171</v>
      </c>
      <c r="L253" s="3">
        <v>46147</v>
      </c>
      <c r="M253" s="3">
        <v>46171</v>
      </c>
      <c r="N253" s="3">
        <v>46171</v>
      </c>
      <c r="O253" t="s">
        <v>183</v>
      </c>
      <c r="P253" t="s">
        <v>55</v>
      </c>
      <c r="Q253" t="s">
        <v>655</v>
      </c>
      <c r="S253" t="s">
        <v>124</v>
      </c>
      <c r="T253" t="s">
        <v>425</v>
      </c>
      <c r="V253" t="s">
        <v>61</v>
      </c>
      <c r="W253">
        <v>13.4</v>
      </c>
      <c r="X253" t="s">
        <v>57</v>
      </c>
      <c r="Z253" t="s">
        <v>124</v>
      </c>
      <c r="AA253" t="s">
        <v>93</v>
      </c>
      <c r="AE253">
        <v>1</v>
      </c>
      <c r="AF253">
        <v>0</v>
      </c>
      <c r="AG253">
        <v>0</v>
      </c>
      <c r="AH253">
        <v>0</v>
      </c>
      <c r="AI253">
        <v>1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0</v>
      </c>
      <c r="AP253">
        <v>0</v>
      </c>
    </row>
    <row r="254" spans="1:42" x14ac:dyDescent="0.25">
      <c r="A254">
        <v>291</v>
      </c>
      <c r="B254" t="s">
        <v>656</v>
      </c>
      <c r="C254" t="s">
        <v>615</v>
      </c>
      <c r="D254" t="s">
        <v>657</v>
      </c>
      <c r="E254" s="4">
        <v>1</v>
      </c>
      <c r="F254" t="s">
        <v>340</v>
      </c>
      <c r="G254" t="s">
        <v>340</v>
      </c>
      <c r="H254" s="3">
        <v>46126</v>
      </c>
      <c r="I254" s="3">
        <v>46171</v>
      </c>
      <c r="J254" t="s">
        <v>334</v>
      </c>
      <c r="K254" s="3">
        <v>46171</v>
      </c>
      <c r="L254" s="3">
        <v>46126</v>
      </c>
      <c r="M254" s="3">
        <v>46171</v>
      </c>
      <c r="N254" s="3">
        <v>46171</v>
      </c>
      <c r="O254" t="s">
        <v>334</v>
      </c>
      <c r="P254" t="s">
        <v>55</v>
      </c>
      <c r="T254" t="s">
        <v>425</v>
      </c>
      <c r="V254" t="s">
        <v>175</v>
      </c>
      <c r="X254" t="s">
        <v>57</v>
      </c>
      <c r="AA254" t="s">
        <v>50</v>
      </c>
      <c r="AB254" t="s">
        <v>94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</row>
    <row r="255" spans="1:42" x14ac:dyDescent="0.25">
      <c r="A255">
        <v>292</v>
      </c>
      <c r="B255" t="s">
        <v>658</v>
      </c>
      <c r="C255" t="s">
        <v>659</v>
      </c>
      <c r="D255" t="s">
        <v>117</v>
      </c>
      <c r="E255" s="4">
        <v>1</v>
      </c>
      <c r="F255" t="s">
        <v>101</v>
      </c>
      <c r="G255" t="s">
        <v>101</v>
      </c>
      <c r="H255" s="3">
        <v>46126</v>
      </c>
      <c r="I255" s="3">
        <v>46129</v>
      </c>
      <c r="J255" t="s">
        <v>334</v>
      </c>
      <c r="K255" s="3">
        <v>46129</v>
      </c>
      <c r="L255" s="3">
        <v>46126</v>
      </c>
      <c r="M255" s="3">
        <v>46129</v>
      </c>
      <c r="N255" s="3">
        <v>46129</v>
      </c>
      <c r="O255" t="s">
        <v>334</v>
      </c>
      <c r="P255" t="s">
        <v>55</v>
      </c>
      <c r="Q255">
        <v>277</v>
      </c>
      <c r="S255" t="s">
        <v>302</v>
      </c>
      <c r="T255" t="s">
        <v>425</v>
      </c>
      <c r="U255">
        <v>293</v>
      </c>
      <c r="V255" t="s">
        <v>127</v>
      </c>
      <c r="W255">
        <v>13.4</v>
      </c>
      <c r="X255" t="s">
        <v>57</v>
      </c>
      <c r="Z255" t="s">
        <v>302</v>
      </c>
      <c r="AA255" t="s">
        <v>401</v>
      </c>
      <c r="AE255">
        <v>1</v>
      </c>
      <c r="AF255">
        <v>1</v>
      </c>
      <c r="AG255">
        <v>1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1</v>
      </c>
    </row>
    <row r="256" spans="1:42" x14ac:dyDescent="0.25">
      <c r="A256">
        <v>293</v>
      </c>
      <c r="B256" t="s">
        <v>660</v>
      </c>
      <c r="C256" t="s">
        <v>659</v>
      </c>
      <c r="D256" t="s">
        <v>121</v>
      </c>
      <c r="E256" s="4">
        <v>1</v>
      </c>
      <c r="F256" t="s">
        <v>214</v>
      </c>
      <c r="G256" t="s">
        <v>214</v>
      </c>
      <c r="H256" s="3">
        <v>46129</v>
      </c>
      <c r="I256" s="3">
        <v>46140</v>
      </c>
      <c r="J256" t="s">
        <v>182</v>
      </c>
      <c r="K256" s="3">
        <v>46140</v>
      </c>
      <c r="L256" s="3">
        <v>46129</v>
      </c>
      <c r="M256" s="3">
        <v>46140</v>
      </c>
      <c r="N256" s="3">
        <v>46140</v>
      </c>
      <c r="O256" t="s">
        <v>182</v>
      </c>
      <c r="P256" t="s">
        <v>55</v>
      </c>
      <c r="Q256">
        <v>292</v>
      </c>
      <c r="S256" t="s">
        <v>124</v>
      </c>
      <c r="T256" t="s">
        <v>425</v>
      </c>
      <c r="U256">
        <v>294</v>
      </c>
      <c r="V256" t="s">
        <v>122</v>
      </c>
      <c r="W256">
        <v>13.4</v>
      </c>
      <c r="X256" t="s">
        <v>57</v>
      </c>
      <c r="Z256" t="s">
        <v>124</v>
      </c>
      <c r="AA256" t="s">
        <v>401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1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</row>
    <row r="257" spans="1:42" x14ac:dyDescent="0.25">
      <c r="A257">
        <v>294</v>
      </c>
      <c r="B257" t="s">
        <v>661</v>
      </c>
      <c r="C257" t="s">
        <v>659</v>
      </c>
      <c r="D257" t="s">
        <v>126</v>
      </c>
      <c r="E257" s="4">
        <v>1</v>
      </c>
      <c r="F257" t="s">
        <v>101</v>
      </c>
      <c r="G257" t="s">
        <v>101</v>
      </c>
      <c r="H257" s="3">
        <v>46141</v>
      </c>
      <c r="I257" s="3">
        <v>46147</v>
      </c>
      <c r="J257" t="s">
        <v>415</v>
      </c>
      <c r="K257" s="3">
        <v>46147</v>
      </c>
      <c r="L257" s="3">
        <v>46141</v>
      </c>
      <c r="M257" s="3">
        <v>46147</v>
      </c>
      <c r="N257" s="3">
        <v>46147</v>
      </c>
      <c r="O257" t="s">
        <v>415</v>
      </c>
      <c r="P257" t="s">
        <v>55</v>
      </c>
      <c r="Q257">
        <v>293</v>
      </c>
      <c r="S257" t="s">
        <v>302</v>
      </c>
      <c r="T257" t="s">
        <v>425</v>
      </c>
      <c r="U257" t="s">
        <v>662</v>
      </c>
      <c r="V257" t="s">
        <v>61</v>
      </c>
      <c r="W257">
        <v>13.4</v>
      </c>
      <c r="X257" t="s">
        <v>57</v>
      </c>
      <c r="Z257" t="s">
        <v>302</v>
      </c>
      <c r="AA257" t="s">
        <v>93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1</v>
      </c>
      <c r="AM257">
        <v>0</v>
      </c>
      <c r="AN257">
        <v>0</v>
      </c>
      <c r="AO257">
        <v>0</v>
      </c>
      <c r="AP257">
        <v>0</v>
      </c>
    </row>
    <row r="258" spans="1:42" x14ac:dyDescent="0.25">
      <c r="A258">
        <v>295</v>
      </c>
      <c r="B258" t="s">
        <v>663</v>
      </c>
      <c r="C258" t="s">
        <v>659</v>
      </c>
      <c r="D258" t="s">
        <v>133</v>
      </c>
      <c r="E258" s="4">
        <v>1</v>
      </c>
      <c r="F258" t="s">
        <v>636</v>
      </c>
      <c r="G258" t="s">
        <v>636</v>
      </c>
      <c r="H258" s="3">
        <v>46147</v>
      </c>
      <c r="I258" s="3">
        <v>46171</v>
      </c>
      <c r="J258" t="s">
        <v>183</v>
      </c>
      <c r="K258" s="3">
        <v>46171</v>
      </c>
      <c r="L258" s="3">
        <v>46147</v>
      </c>
      <c r="M258" s="3">
        <v>46171</v>
      </c>
      <c r="N258" s="3">
        <v>46171</v>
      </c>
      <c r="O258" t="s">
        <v>183</v>
      </c>
      <c r="P258" t="s">
        <v>55</v>
      </c>
      <c r="Q258" t="s">
        <v>664</v>
      </c>
      <c r="S258" t="s">
        <v>124</v>
      </c>
      <c r="T258" t="s">
        <v>425</v>
      </c>
      <c r="V258" t="s">
        <v>61</v>
      </c>
      <c r="W258">
        <v>13.4</v>
      </c>
      <c r="X258" t="s">
        <v>57</v>
      </c>
      <c r="Z258" t="s">
        <v>124</v>
      </c>
      <c r="AA258" t="s">
        <v>93</v>
      </c>
      <c r="AE258">
        <v>1</v>
      </c>
      <c r="AF258">
        <v>0</v>
      </c>
      <c r="AG258">
        <v>0</v>
      </c>
      <c r="AH258">
        <v>0</v>
      </c>
      <c r="AI258">
        <v>1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0</v>
      </c>
      <c r="AP258">
        <v>0</v>
      </c>
    </row>
    <row r="259" spans="1:42" x14ac:dyDescent="0.25">
      <c r="A259">
        <v>296</v>
      </c>
      <c r="B259" t="s">
        <v>665</v>
      </c>
      <c r="C259" t="s">
        <v>615</v>
      </c>
      <c r="D259" t="s">
        <v>666</v>
      </c>
      <c r="E259" s="4">
        <v>1</v>
      </c>
      <c r="F259" t="s">
        <v>340</v>
      </c>
      <c r="G259" t="s">
        <v>340</v>
      </c>
      <c r="H259" s="3">
        <v>46126</v>
      </c>
      <c r="I259" s="3">
        <v>46171</v>
      </c>
      <c r="J259" t="s">
        <v>334</v>
      </c>
      <c r="K259" s="3">
        <v>46171</v>
      </c>
      <c r="L259" s="3">
        <v>46126</v>
      </c>
      <c r="M259" s="3">
        <v>46171</v>
      </c>
      <c r="N259" s="3">
        <v>46171</v>
      </c>
      <c r="O259" t="s">
        <v>334</v>
      </c>
      <c r="P259" t="s">
        <v>55</v>
      </c>
      <c r="T259" t="s">
        <v>425</v>
      </c>
      <c r="V259" t="s">
        <v>175</v>
      </c>
      <c r="X259" t="s">
        <v>57</v>
      </c>
      <c r="AA259" t="s">
        <v>50</v>
      </c>
      <c r="AB259" t="s">
        <v>94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</row>
    <row r="260" spans="1:42" x14ac:dyDescent="0.25">
      <c r="A260">
        <v>297</v>
      </c>
      <c r="B260" t="s">
        <v>667</v>
      </c>
      <c r="C260" t="s">
        <v>668</v>
      </c>
      <c r="D260" t="s">
        <v>117</v>
      </c>
      <c r="E260" s="4">
        <v>1</v>
      </c>
      <c r="F260" t="s">
        <v>101</v>
      </c>
      <c r="G260" t="s">
        <v>101</v>
      </c>
      <c r="H260" s="3">
        <v>46126</v>
      </c>
      <c r="I260" s="3">
        <v>46129</v>
      </c>
      <c r="J260" t="s">
        <v>334</v>
      </c>
      <c r="K260" s="3">
        <v>46129</v>
      </c>
      <c r="L260" s="3">
        <v>46126</v>
      </c>
      <c r="M260" s="3">
        <v>46129</v>
      </c>
      <c r="N260" s="3">
        <v>46129</v>
      </c>
      <c r="O260" t="s">
        <v>334</v>
      </c>
      <c r="P260" t="s">
        <v>55</v>
      </c>
      <c r="Q260">
        <v>277</v>
      </c>
      <c r="S260" t="s">
        <v>302</v>
      </c>
      <c r="T260" t="s">
        <v>425</v>
      </c>
      <c r="U260">
        <v>298</v>
      </c>
      <c r="V260" t="s">
        <v>127</v>
      </c>
      <c r="W260">
        <v>13.4</v>
      </c>
      <c r="X260" t="s">
        <v>57</v>
      </c>
      <c r="Z260" t="s">
        <v>302</v>
      </c>
      <c r="AA260" t="s">
        <v>401</v>
      </c>
      <c r="AE260">
        <v>1</v>
      </c>
      <c r="AF260">
        <v>1</v>
      </c>
      <c r="AG260">
        <v>1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1</v>
      </c>
    </row>
    <row r="261" spans="1:42" x14ac:dyDescent="0.25">
      <c r="A261">
        <v>298</v>
      </c>
      <c r="B261" t="s">
        <v>669</v>
      </c>
      <c r="C261" t="s">
        <v>668</v>
      </c>
      <c r="D261" t="s">
        <v>121</v>
      </c>
      <c r="E261" s="4">
        <v>1</v>
      </c>
      <c r="F261" t="s">
        <v>214</v>
      </c>
      <c r="G261" t="s">
        <v>214</v>
      </c>
      <c r="H261" s="3">
        <v>46129</v>
      </c>
      <c r="I261" s="3">
        <v>46140</v>
      </c>
      <c r="J261" t="s">
        <v>182</v>
      </c>
      <c r="K261" s="3">
        <v>46140</v>
      </c>
      <c r="L261" s="3">
        <v>46129</v>
      </c>
      <c r="M261" s="3">
        <v>46140</v>
      </c>
      <c r="N261" s="3">
        <v>46140</v>
      </c>
      <c r="O261" t="s">
        <v>182</v>
      </c>
      <c r="P261" t="s">
        <v>55</v>
      </c>
      <c r="Q261">
        <v>297</v>
      </c>
      <c r="S261" t="s">
        <v>124</v>
      </c>
      <c r="T261" t="s">
        <v>425</v>
      </c>
      <c r="U261">
        <v>299</v>
      </c>
      <c r="V261" t="s">
        <v>122</v>
      </c>
      <c r="W261">
        <v>13.4</v>
      </c>
      <c r="X261" t="s">
        <v>57</v>
      </c>
      <c r="Z261" t="s">
        <v>124</v>
      </c>
      <c r="AA261" t="s">
        <v>401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1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</row>
    <row r="262" spans="1:42" x14ac:dyDescent="0.25">
      <c r="A262">
        <v>299</v>
      </c>
      <c r="B262" t="s">
        <v>670</v>
      </c>
      <c r="C262" t="s">
        <v>668</v>
      </c>
      <c r="D262" t="s">
        <v>126</v>
      </c>
      <c r="E262" s="4">
        <v>1</v>
      </c>
      <c r="F262" t="s">
        <v>101</v>
      </c>
      <c r="G262" t="s">
        <v>101</v>
      </c>
      <c r="H262" s="3">
        <v>46141</v>
      </c>
      <c r="I262" s="3">
        <v>46147</v>
      </c>
      <c r="J262" t="s">
        <v>415</v>
      </c>
      <c r="K262" s="3">
        <v>46147</v>
      </c>
      <c r="L262" s="3">
        <v>46141</v>
      </c>
      <c r="M262" s="3">
        <v>46147</v>
      </c>
      <c r="N262" s="3">
        <v>46147</v>
      </c>
      <c r="O262" t="s">
        <v>415</v>
      </c>
      <c r="P262" t="s">
        <v>55</v>
      </c>
      <c r="Q262">
        <v>298</v>
      </c>
      <c r="S262" t="s">
        <v>302</v>
      </c>
      <c r="T262" t="s">
        <v>425</v>
      </c>
      <c r="U262" t="s">
        <v>671</v>
      </c>
      <c r="V262" t="s">
        <v>61</v>
      </c>
      <c r="W262">
        <v>13.4</v>
      </c>
      <c r="X262" t="s">
        <v>57</v>
      </c>
      <c r="Z262" t="s">
        <v>302</v>
      </c>
      <c r="AA262" t="s">
        <v>93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1</v>
      </c>
      <c r="AM262">
        <v>0</v>
      </c>
      <c r="AN262">
        <v>0</v>
      </c>
      <c r="AO262">
        <v>0</v>
      </c>
      <c r="AP262">
        <v>0</v>
      </c>
    </row>
    <row r="263" spans="1:42" x14ac:dyDescent="0.25">
      <c r="A263">
        <v>300</v>
      </c>
      <c r="B263" t="s">
        <v>672</v>
      </c>
      <c r="C263" t="s">
        <v>668</v>
      </c>
      <c r="D263" t="s">
        <v>133</v>
      </c>
      <c r="E263" s="4">
        <v>1</v>
      </c>
      <c r="F263" t="s">
        <v>636</v>
      </c>
      <c r="G263" t="s">
        <v>636</v>
      </c>
      <c r="H263" s="3">
        <v>46147</v>
      </c>
      <c r="I263" s="3">
        <v>46171</v>
      </c>
      <c r="J263" t="s">
        <v>183</v>
      </c>
      <c r="K263" s="3">
        <v>46171</v>
      </c>
      <c r="L263" s="3">
        <v>46147</v>
      </c>
      <c r="M263" s="3">
        <v>46171</v>
      </c>
      <c r="N263" s="3">
        <v>46171</v>
      </c>
      <c r="O263" t="s">
        <v>183</v>
      </c>
      <c r="P263" t="s">
        <v>55</v>
      </c>
      <c r="Q263" t="s">
        <v>673</v>
      </c>
      <c r="S263" t="s">
        <v>124</v>
      </c>
      <c r="T263" t="s">
        <v>425</v>
      </c>
      <c r="V263" t="s">
        <v>61</v>
      </c>
      <c r="W263">
        <v>13.4</v>
      </c>
      <c r="X263" t="s">
        <v>57</v>
      </c>
      <c r="Z263" t="s">
        <v>124</v>
      </c>
      <c r="AA263" t="s">
        <v>93</v>
      </c>
      <c r="AE263">
        <v>1</v>
      </c>
      <c r="AF263">
        <v>0</v>
      </c>
      <c r="AG263">
        <v>0</v>
      </c>
      <c r="AH263">
        <v>0</v>
      </c>
      <c r="AI263">
        <v>1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0</v>
      </c>
      <c r="AP263">
        <v>0</v>
      </c>
    </row>
    <row r="264" spans="1:42" x14ac:dyDescent="0.25">
      <c r="A264">
        <v>301</v>
      </c>
      <c r="B264" t="s">
        <v>674</v>
      </c>
      <c r="C264" t="s">
        <v>425</v>
      </c>
      <c r="D264" t="s">
        <v>675</v>
      </c>
      <c r="E264" s="4">
        <v>1</v>
      </c>
      <c r="F264" t="s">
        <v>433</v>
      </c>
      <c r="G264" t="s">
        <v>433</v>
      </c>
      <c r="H264" s="3">
        <v>46112</v>
      </c>
      <c r="I264" s="3">
        <v>46162</v>
      </c>
      <c r="J264" t="s">
        <v>188</v>
      </c>
      <c r="K264" s="3">
        <v>46183</v>
      </c>
      <c r="L264" s="3">
        <v>46139</v>
      </c>
      <c r="M264" s="3">
        <v>46162</v>
      </c>
      <c r="N264" s="3">
        <v>46162</v>
      </c>
      <c r="O264" t="s">
        <v>252</v>
      </c>
      <c r="P264" t="s">
        <v>55</v>
      </c>
      <c r="T264" t="s">
        <v>425</v>
      </c>
      <c r="V264" t="s">
        <v>676</v>
      </c>
      <c r="X264" t="s">
        <v>57</v>
      </c>
      <c r="AA264" t="s">
        <v>50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</row>
    <row r="265" spans="1:42" x14ac:dyDescent="0.25">
      <c r="A265">
        <v>302</v>
      </c>
      <c r="B265" t="s">
        <v>677</v>
      </c>
      <c r="C265" t="s">
        <v>678</v>
      </c>
      <c r="D265" t="s">
        <v>679</v>
      </c>
      <c r="E265" s="4">
        <v>1</v>
      </c>
      <c r="F265" t="s">
        <v>114</v>
      </c>
      <c r="G265" t="s">
        <v>114</v>
      </c>
      <c r="H265" s="3">
        <v>46112</v>
      </c>
      <c r="I265" s="3">
        <v>46126</v>
      </c>
      <c r="J265" t="s">
        <v>188</v>
      </c>
      <c r="K265" s="3">
        <v>46150</v>
      </c>
      <c r="L265" s="3">
        <v>46139</v>
      </c>
      <c r="M265" s="3">
        <v>46126</v>
      </c>
      <c r="N265" s="3">
        <v>46126</v>
      </c>
      <c r="O265" t="s">
        <v>252</v>
      </c>
      <c r="P265" t="s">
        <v>55</v>
      </c>
      <c r="T265" t="s">
        <v>425</v>
      </c>
      <c r="U265" t="s">
        <v>680</v>
      </c>
      <c r="V265" t="s">
        <v>114</v>
      </c>
      <c r="X265" t="s">
        <v>57</v>
      </c>
      <c r="AA265" t="s">
        <v>50</v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</row>
    <row r="266" spans="1:42" x14ac:dyDescent="0.25">
      <c r="A266">
        <v>303</v>
      </c>
      <c r="B266" t="s">
        <v>681</v>
      </c>
      <c r="C266" t="s">
        <v>682</v>
      </c>
      <c r="D266" t="s">
        <v>117</v>
      </c>
      <c r="E266" s="4">
        <v>1</v>
      </c>
      <c r="F266" t="s">
        <v>101</v>
      </c>
      <c r="G266" t="s">
        <v>101</v>
      </c>
      <c r="H266" s="3">
        <v>46112</v>
      </c>
      <c r="I266" s="3">
        <v>46119</v>
      </c>
      <c r="J266" t="s">
        <v>188</v>
      </c>
      <c r="K266" s="3">
        <v>46142</v>
      </c>
      <c r="L266" s="3">
        <v>46139</v>
      </c>
      <c r="M266" s="3">
        <v>46119</v>
      </c>
      <c r="N266" s="3">
        <v>46119</v>
      </c>
      <c r="O266" t="s">
        <v>252</v>
      </c>
      <c r="P266" t="s">
        <v>55</v>
      </c>
      <c r="Q266">
        <v>220</v>
      </c>
      <c r="S266" t="s">
        <v>523</v>
      </c>
      <c r="T266" t="s">
        <v>425</v>
      </c>
      <c r="U266" t="s">
        <v>683</v>
      </c>
      <c r="V266" t="s">
        <v>101</v>
      </c>
      <c r="W266">
        <v>13.4</v>
      </c>
      <c r="X266" t="s">
        <v>57</v>
      </c>
      <c r="Z266" t="s">
        <v>523</v>
      </c>
      <c r="AA266" t="s">
        <v>71</v>
      </c>
      <c r="AE266">
        <v>1</v>
      </c>
      <c r="AF266">
        <v>1</v>
      </c>
      <c r="AG266">
        <v>1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1</v>
      </c>
    </row>
    <row r="267" spans="1:42" x14ac:dyDescent="0.25">
      <c r="A267">
        <v>304</v>
      </c>
      <c r="B267" t="s">
        <v>684</v>
      </c>
      <c r="C267" t="s">
        <v>682</v>
      </c>
      <c r="D267" t="s">
        <v>121</v>
      </c>
      <c r="E267" s="4">
        <v>1</v>
      </c>
      <c r="F267" t="s">
        <v>122</v>
      </c>
      <c r="G267" t="s">
        <v>122</v>
      </c>
      <c r="H267" s="3">
        <v>46120</v>
      </c>
      <c r="I267" s="3">
        <v>46122</v>
      </c>
      <c r="J267" t="s">
        <v>409</v>
      </c>
      <c r="K267" s="3">
        <v>46148</v>
      </c>
      <c r="L267" s="3">
        <v>46146</v>
      </c>
      <c r="M267" s="3">
        <v>46122</v>
      </c>
      <c r="N267" s="3">
        <v>46122</v>
      </c>
      <c r="O267" t="s">
        <v>685</v>
      </c>
      <c r="P267" t="s">
        <v>55</v>
      </c>
      <c r="Q267">
        <v>303</v>
      </c>
      <c r="S267" t="s">
        <v>124</v>
      </c>
      <c r="T267" t="s">
        <v>425</v>
      </c>
      <c r="U267">
        <v>305</v>
      </c>
      <c r="V267" t="s">
        <v>122</v>
      </c>
      <c r="W267">
        <v>13.4</v>
      </c>
      <c r="X267" t="s">
        <v>57</v>
      </c>
      <c r="Z267" t="s">
        <v>124</v>
      </c>
      <c r="AA267" t="s">
        <v>401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1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</row>
    <row r="268" spans="1:42" x14ac:dyDescent="0.25">
      <c r="A268">
        <v>305</v>
      </c>
      <c r="B268" t="s">
        <v>686</v>
      </c>
      <c r="C268" t="s">
        <v>682</v>
      </c>
      <c r="D268" t="s">
        <v>126</v>
      </c>
      <c r="E268" s="4">
        <v>1</v>
      </c>
      <c r="F268" t="s">
        <v>61</v>
      </c>
      <c r="G268" t="s">
        <v>61</v>
      </c>
      <c r="H268" s="3">
        <v>46125</v>
      </c>
      <c r="I268" s="3">
        <v>46125</v>
      </c>
      <c r="J268" t="s">
        <v>416</v>
      </c>
      <c r="K268" s="3">
        <v>46149</v>
      </c>
      <c r="L268" s="3">
        <v>46149</v>
      </c>
      <c r="M268" s="3">
        <v>46125</v>
      </c>
      <c r="N268" s="3">
        <v>46125</v>
      </c>
      <c r="O268" t="s">
        <v>144</v>
      </c>
      <c r="P268" t="s">
        <v>55</v>
      </c>
      <c r="Q268">
        <v>304</v>
      </c>
      <c r="S268" t="s">
        <v>523</v>
      </c>
      <c r="T268" t="s">
        <v>425</v>
      </c>
      <c r="U268">
        <v>306</v>
      </c>
      <c r="V268" t="s">
        <v>61</v>
      </c>
      <c r="W268">
        <v>13.4</v>
      </c>
      <c r="X268" t="s">
        <v>57</v>
      </c>
      <c r="Z268" t="s">
        <v>523</v>
      </c>
      <c r="AA268" t="s">
        <v>401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1</v>
      </c>
      <c r="AM268">
        <v>0</v>
      </c>
      <c r="AN268">
        <v>0</v>
      </c>
      <c r="AO268">
        <v>0</v>
      </c>
      <c r="AP268">
        <v>0</v>
      </c>
    </row>
    <row r="269" spans="1:42" x14ac:dyDescent="0.25">
      <c r="A269">
        <v>306</v>
      </c>
      <c r="B269" t="s">
        <v>687</v>
      </c>
      <c r="C269" t="s">
        <v>682</v>
      </c>
      <c r="D269" t="s">
        <v>133</v>
      </c>
      <c r="E269" s="4">
        <v>1</v>
      </c>
      <c r="F269" t="s">
        <v>61</v>
      </c>
      <c r="G269" t="s">
        <v>61</v>
      </c>
      <c r="H269" s="3">
        <v>46126</v>
      </c>
      <c r="I269" s="3">
        <v>46126</v>
      </c>
      <c r="J269" t="s">
        <v>403</v>
      </c>
      <c r="K269" s="3">
        <v>46150</v>
      </c>
      <c r="L269" s="3">
        <v>46150</v>
      </c>
      <c r="M269" s="3">
        <v>46126</v>
      </c>
      <c r="N269" s="3">
        <v>46126</v>
      </c>
      <c r="O269" t="s">
        <v>334</v>
      </c>
      <c r="P269" t="s">
        <v>55</v>
      </c>
      <c r="Q269">
        <v>305</v>
      </c>
      <c r="S269" t="s">
        <v>124</v>
      </c>
      <c r="T269" t="s">
        <v>425</v>
      </c>
      <c r="U269">
        <v>308</v>
      </c>
      <c r="V269" t="s">
        <v>61</v>
      </c>
      <c r="W269">
        <v>13.4</v>
      </c>
      <c r="X269" t="s">
        <v>57</v>
      </c>
      <c r="Z269" t="s">
        <v>124</v>
      </c>
      <c r="AA269" t="s">
        <v>401</v>
      </c>
      <c r="AE269">
        <v>1</v>
      </c>
      <c r="AF269">
        <v>0</v>
      </c>
      <c r="AG269">
        <v>0</v>
      </c>
      <c r="AH269">
        <v>0</v>
      </c>
      <c r="AI269">
        <v>1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0</v>
      </c>
      <c r="AP269">
        <v>0</v>
      </c>
    </row>
    <row r="270" spans="1:42" x14ac:dyDescent="0.25">
      <c r="A270">
        <v>307</v>
      </c>
      <c r="B270" t="s">
        <v>688</v>
      </c>
      <c r="C270" t="s">
        <v>678</v>
      </c>
      <c r="D270" t="s">
        <v>689</v>
      </c>
      <c r="E270" s="4">
        <v>1</v>
      </c>
      <c r="F270" t="s">
        <v>690</v>
      </c>
      <c r="G270" t="s">
        <v>690</v>
      </c>
      <c r="H270" s="3">
        <v>46134</v>
      </c>
      <c r="I270" s="3">
        <v>46150</v>
      </c>
      <c r="J270" t="s">
        <v>189</v>
      </c>
      <c r="K270" s="3">
        <v>46183</v>
      </c>
      <c r="L270" s="3">
        <v>46171</v>
      </c>
      <c r="M270" s="3">
        <v>46150</v>
      </c>
      <c r="N270" s="3">
        <v>46150</v>
      </c>
      <c r="O270" t="s">
        <v>337</v>
      </c>
      <c r="P270" t="s">
        <v>55</v>
      </c>
      <c r="T270" t="s">
        <v>425</v>
      </c>
      <c r="V270" t="s">
        <v>175</v>
      </c>
      <c r="X270" t="s">
        <v>57</v>
      </c>
      <c r="AA270" t="s">
        <v>50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</row>
    <row r="271" spans="1:42" x14ac:dyDescent="0.25">
      <c r="A271">
        <v>308</v>
      </c>
      <c r="B271" t="s">
        <v>691</v>
      </c>
      <c r="C271" t="s">
        <v>692</v>
      </c>
      <c r="D271" t="s">
        <v>117</v>
      </c>
      <c r="E271" s="4">
        <v>1</v>
      </c>
      <c r="F271" t="s">
        <v>101</v>
      </c>
      <c r="G271" t="s">
        <v>101</v>
      </c>
      <c r="H271" s="3">
        <v>46134</v>
      </c>
      <c r="I271" s="3">
        <v>46139</v>
      </c>
      <c r="J271" t="s">
        <v>189</v>
      </c>
      <c r="K271" s="3">
        <v>46174</v>
      </c>
      <c r="L271" s="3">
        <v>46171</v>
      </c>
      <c r="M271" s="3">
        <v>46139</v>
      </c>
      <c r="N271" s="3">
        <v>46139</v>
      </c>
      <c r="O271" t="s">
        <v>337</v>
      </c>
      <c r="P271" t="s">
        <v>55</v>
      </c>
      <c r="Q271" t="s">
        <v>693</v>
      </c>
      <c r="S271" t="s">
        <v>523</v>
      </c>
      <c r="T271" t="s">
        <v>425</v>
      </c>
      <c r="U271" t="s">
        <v>694</v>
      </c>
      <c r="V271" t="s">
        <v>127</v>
      </c>
      <c r="W271">
        <v>13.4</v>
      </c>
      <c r="X271" t="s">
        <v>57</v>
      </c>
      <c r="Z271" t="s">
        <v>523</v>
      </c>
      <c r="AA271" t="s">
        <v>77</v>
      </c>
      <c r="AE271">
        <v>1</v>
      </c>
      <c r="AF271">
        <v>1</v>
      </c>
      <c r="AG271">
        <v>1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1</v>
      </c>
    </row>
    <row r="272" spans="1:42" x14ac:dyDescent="0.25">
      <c r="A272">
        <v>309</v>
      </c>
      <c r="B272" t="s">
        <v>695</v>
      </c>
      <c r="C272" t="s">
        <v>692</v>
      </c>
      <c r="D272" t="s">
        <v>121</v>
      </c>
      <c r="E272" s="4">
        <v>1</v>
      </c>
      <c r="F272" t="s">
        <v>127</v>
      </c>
      <c r="G272" t="s">
        <v>127</v>
      </c>
      <c r="H272" s="3">
        <v>46149</v>
      </c>
      <c r="I272" s="3">
        <v>46150</v>
      </c>
      <c r="J272" t="s">
        <v>472</v>
      </c>
      <c r="K272" s="3">
        <v>46181</v>
      </c>
      <c r="L272" s="3">
        <v>46175</v>
      </c>
      <c r="M272" s="3">
        <v>46150</v>
      </c>
      <c r="N272" s="3">
        <v>46150</v>
      </c>
      <c r="O272" t="s">
        <v>416</v>
      </c>
      <c r="P272" t="s">
        <v>55</v>
      </c>
      <c r="Q272">
        <v>308</v>
      </c>
      <c r="S272" t="s">
        <v>124</v>
      </c>
      <c r="T272" t="s">
        <v>425</v>
      </c>
      <c r="U272">
        <v>310</v>
      </c>
      <c r="V272" t="s">
        <v>122</v>
      </c>
      <c r="W272">
        <v>13.4</v>
      </c>
      <c r="X272" t="s">
        <v>57</v>
      </c>
      <c r="Z272" t="s">
        <v>124</v>
      </c>
      <c r="AA272" t="s">
        <v>460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1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</row>
    <row r="273" spans="1:42" x14ac:dyDescent="0.25">
      <c r="A273">
        <v>310</v>
      </c>
      <c r="B273" t="s">
        <v>696</v>
      </c>
      <c r="C273" t="s">
        <v>692</v>
      </c>
      <c r="D273" t="s">
        <v>126</v>
      </c>
      <c r="E273" s="4">
        <v>1</v>
      </c>
      <c r="F273" t="s">
        <v>697</v>
      </c>
      <c r="G273" t="s">
        <v>697</v>
      </c>
      <c r="H273" s="3">
        <v>46150</v>
      </c>
      <c r="I273" s="3">
        <v>46150</v>
      </c>
      <c r="J273" t="s">
        <v>204</v>
      </c>
      <c r="K273" s="3">
        <v>46182</v>
      </c>
      <c r="L273" s="3">
        <v>46182</v>
      </c>
      <c r="M273" s="3">
        <v>46150</v>
      </c>
      <c r="N273" s="3">
        <v>46150</v>
      </c>
      <c r="O273" t="s">
        <v>403</v>
      </c>
      <c r="P273" t="s">
        <v>55</v>
      </c>
      <c r="Q273">
        <v>309</v>
      </c>
      <c r="S273" t="s">
        <v>523</v>
      </c>
      <c r="T273" t="s">
        <v>425</v>
      </c>
      <c r="U273">
        <v>311</v>
      </c>
      <c r="V273" t="s">
        <v>61</v>
      </c>
      <c r="W273">
        <v>13.4</v>
      </c>
      <c r="X273" t="s">
        <v>57</v>
      </c>
      <c r="Z273" t="s">
        <v>523</v>
      </c>
      <c r="AA273" t="s">
        <v>462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1</v>
      </c>
      <c r="AM273">
        <v>0</v>
      </c>
      <c r="AN273">
        <v>0</v>
      </c>
      <c r="AO273">
        <v>0</v>
      </c>
      <c r="AP273">
        <v>0</v>
      </c>
    </row>
    <row r="274" spans="1:42" x14ac:dyDescent="0.25">
      <c r="A274">
        <v>311</v>
      </c>
      <c r="B274" t="s">
        <v>698</v>
      </c>
      <c r="C274" t="s">
        <v>692</v>
      </c>
      <c r="D274" t="s">
        <v>133</v>
      </c>
      <c r="E274" s="4">
        <v>1</v>
      </c>
      <c r="F274" t="s">
        <v>697</v>
      </c>
      <c r="G274" t="s">
        <v>697</v>
      </c>
      <c r="H274" s="3">
        <v>46150</v>
      </c>
      <c r="I274" s="3">
        <v>46150</v>
      </c>
      <c r="J274" t="s">
        <v>592</v>
      </c>
      <c r="K274" s="3">
        <v>46183</v>
      </c>
      <c r="L274" s="3">
        <v>46183</v>
      </c>
      <c r="M274" s="3">
        <v>46150</v>
      </c>
      <c r="N274" s="3">
        <v>46150</v>
      </c>
      <c r="O274" t="s">
        <v>403</v>
      </c>
      <c r="P274" t="s">
        <v>55</v>
      </c>
      <c r="Q274">
        <v>310</v>
      </c>
      <c r="S274" t="s">
        <v>124</v>
      </c>
      <c r="T274" t="s">
        <v>425</v>
      </c>
      <c r="V274" t="s">
        <v>61</v>
      </c>
      <c r="W274">
        <v>13.4</v>
      </c>
      <c r="X274" t="s">
        <v>57</v>
      </c>
      <c r="Z274" t="s">
        <v>124</v>
      </c>
      <c r="AA274" t="s">
        <v>462</v>
      </c>
      <c r="AE274">
        <v>1</v>
      </c>
      <c r="AF274">
        <v>0</v>
      </c>
      <c r="AG274">
        <v>0</v>
      </c>
      <c r="AH274">
        <v>0</v>
      </c>
      <c r="AI274">
        <v>1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0</v>
      </c>
      <c r="AP274">
        <v>0</v>
      </c>
    </row>
    <row r="275" spans="1:42" x14ac:dyDescent="0.25">
      <c r="A275">
        <v>312</v>
      </c>
      <c r="B275" t="s">
        <v>699</v>
      </c>
      <c r="C275" t="s">
        <v>678</v>
      </c>
      <c r="D275" t="s">
        <v>700</v>
      </c>
      <c r="E275" s="4">
        <v>1</v>
      </c>
      <c r="F275" t="s">
        <v>690</v>
      </c>
      <c r="G275" t="s">
        <v>690</v>
      </c>
      <c r="H275" s="3">
        <v>46134</v>
      </c>
      <c r="I275" s="3">
        <v>46150</v>
      </c>
      <c r="J275" t="s">
        <v>189</v>
      </c>
      <c r="K275" s="3">
        <v>46183</v>
      </c>
      <c r="L275" s="3">
        <v>46171</v>
      </c>
      <c r="M275" s="3">
        <v>46150</v>
      </c>
      <c r="N275" s="3">
        <v>46150</v>
      </c>
      <c r="O275" t="s">
        <v>337</v>
      </c>
      <c r="P275" t="s">
        <v>55</v>
      </c>
      <c r="T275" t="s">
        <v>425</v>
      </c>
      <c r="V275" t="s">
        <v>175</v>
      </c>
      <c r="X275" t="s">
        <v>57</v>
      </c>
      <c r="AA275" t="s">
        <v>50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</row>
    <row r="276" spans="1:42" x14ac:dyDescent="0.25">
      <c r="A276">
        <v>313</v>
      </c>
      <c r="B276" t="s">
        <v>701</v>
      </c>
      <c r="C276" t="s">
        <v>702</v>
      </c>
      <c r="D276" t="s">
        <v>117</v>
      </c>
      <c r="E276" s="4">
        <v>1</v>
      </c>
      <c r="F276" t="s">
        <v>101</v>
      </c>
      <c r="G276" t="s">
        <v>101</v>
      </c>
      <c r="H276" s="3">
        <v>46134</v>
      </c>
      <c r="I276" s="3">
        <v>46139</v>
      </c>
      <c r="J276" t="s">
        <v>189</v>
      </c>
      <c r="K276" s="3">
        <v>46174</v>
      </c>
      <c r="L276" s="3">
        <v>46171</v>
      </c>
      <c r="M276" s="3">
        <v>46139</v>
      </c>
      <c r="N276" s="3">
        <v>46139</v>
      </c>
      <c r="O276" t="s">
        <v>337</v>
      </c>
      <c r="P276" t="s">
        <v>55</v>
      </c>
      <c r="Q276" t="s">
        <v>703</v>
      </c>
      <c r="S276" t="s">
        <v>523</v>
      </c>
      <c r="T276" t="s">
        <v>425</v>
      </c>
      <c r="U276">
        <v>314</v>
      </c>
      <c r="V276" t="s">
        <v>127</v>
      </c>
      <c r="W276">
        <v>13.4</v>
      </c>
      <c r="X276" t="s">
        <v>57</v>
      </c>
      <c r="Z276" t="s">
        <v>523</v>
      </c>
      <c r="AA276" t="s">
        <v>77</v>
      </c>
      <c r="AE276">
        <v>1</v>
      </c>
      <c r="AF276">
        <v>1</v>
      </c>
      <c r="AG276">
        <v>1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1</v>
      </c>
    </row>
    <row r="277" spans="1:42" x14ac:dyDescent="0.25">
      <c r="A277">
        <v>314</v>
      </c>
      <c r="B277" t="s">
        <v>704</v>
      </c>
      <c r="C277" t="s">
        <v>702</v>
      </c>
      <c r="D277" t="s">
        <v>121</v>
      </c>
      <c r="E277" s="4">
        <v>1</v>
      </c>
      <c r="F277" t="s">
        <v>127</v>
      </c>
      <c r="G277" t="s">
        <v>127</v>
      </c>
      <c r="H277" s="3">
        <v>46149</v>
      </c>
      <c r="I277" s="3">
        <v>46150</v>
      </c>
      <c r="J277" t="s">
        <v>472</v>
      </c>
      <c r="K277" s="3">
        <v>46181</v>
      </c>
      <c r="L277" s="3">
        <v>46175</v>
      </c>
      <c r="M277" s="3">
        <v>46150</v>
      </c>
      <c r="N277" s="3">
        <v>46150</v>
      </c>
      <c r="O277" t="s">
        <v>416</v>
      </c>
      <c r="P277" t="s">
        <v>55</v>
      </c>
      <c r="Q277">
        <v>313</v>
      </c>
      <c r="S277" t="s">
        <v>124</v>
      </c>
      <c r="T277" t="s">
        <v>425</v>
      </c>
      <c r="U277">
        <v>315</v>
      </c>
      <c r="V277" t="s">
        <v>122</v>
      </c>
      <c r="W277">
        <v>13.4</v>
      </c>
      <c r="X277" t="s">
        <v>57</v>
      </c>
      <c r="Z277" t="s">
        <v>124</v>
      </c>
      <c r="AA277" t="s">
        <v>460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1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</row>
    <row r="278" spans="1:42" x14ac:dyDescent="0.25">
      <c r="A278">
        <v>315</v>
      </c>
      <c r="B278" t="s">
        <v>705</v>
      </c>
      <c r="C278" t="s">
        <v>702</v>
      </c>
      <c r="D278" t="s">
        <v>126</v>
      </c>
      <c r="E278" s="4">
        <v>1</v>
      </c>
      <c r="F278" t="s">
        <v>697</v>
      </c>
      <c r="G278" t="s">
        <v>697</v>
      </c>
      <c r="H278" s="3">
        <v>46150</v>
      </c>
      <c r="I278" s="3">
        <v>46150</v>
      </c>
      <c r="J278" t="s">
        <v>204</v>
      </c>
      <c r="K278" s="3">
        <v>46182</v>
      </c>
      <c r="L278" s="3">
        <v>46182</v>
      </c>
      <c r="M278" s="3">
        <v>46150</v>
      </c>
      <c r="N278" s="3">
        <v>46150</v>
      </c>
      <c r="O278" t="s">
        <v>403</v>
      </c>
      <c r="P278" t="s">
        <v>55</v>
      </c>
      <c r="Q278">
        <v>314</v>
      </c>
      <c r="S278" t="s">
        <v>523</v>
      </c>
      <c r="T278" t="s">
        <v>425</v>
      </c>
      <c r="U278">
        <v>316</v>
      </c>
      <c r="V278" t="s">
        <v>61</v>
      </c>
      <c r="W278">
        <v>13.4</v>
      </c>
      <c r="X278" t="s">
        <v>57</v>
      </c>
      <c r="Z278" t="s">
        <v>523</v>
      </c>
      <c r="AA278" t="s">
        <v>462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1</v>
      </c>
      <c r="AM278">
        <v>0</v>
      </c>
      <c r="AN278">
        <v>0</v>
      </c>
      <c r="AO278">
        <v>0</v>
      </c>
      <c r="AP278">
        <v>0</v>
      </c>
    </row>
    <row r="279" spans="1:42" x14ac:dyDescent="0.25">
      <c r="A279">
        <v>316</v>
      </c>
      <c r="B279" t="s">
        <v>706</v>
      </c>
      <c r="C279" t="s">
        <v>702</v>
      </c>
      <c r="D279" t="s">
        <v>133</v>
      </c>
      <c r="E279" s="4">
        <v>1</v>
      </c>
      <c r="F279" t="s">
        <v>61</v>
      </c>
      <c r="G279" t="s">
        <v>61</v>
      </c>
      <c r="H279" s="3">
        <v>46150</v>
      </c>
      <c r="I279" s="3">
        <v>46150</v>
      </c>
      <c r="J279" t="s">
        <v>592</v>
      </c>
      <c r="K279" s="3">
        <v>46183</v>
      </c>
      <c r="L279" s="3">
        <v>46183</v>
      </c>
      <c r="M279" s="3">
        <v>46150</v>
      </c>
      <c r="N279" s="3">
        <v>46150</v>
      </c>
      <c r="O279" t="s">
        <v>403</v>
      </c>
      <c r="P279" t="s">
        <v>55</v>
      </c>
      <c r="Q279">
        <v>315</v>
      </c>
      <c r="S279" t="s">
        <v>124</v>
      </c>
      <c r="T279" t="s">
        <v>425</v>
      </c>
      <c r="V279" t="s">
        <v>61</v>
      </c>
      <c r="W279">
        <v>13.4</v>
      </c>
      <c r="X279" t="s">
        <v>57</v>
      </c>
      <c r="Z279" t="s">
        <v>124</v>
      </c>
      <c r="AA279" t="s">
        <v>462</v>
      </c>
      <c r="AE279">
        <v>1</v>
      </c>
      <c r="AF279">
        <v>0</v>
      </c>
      <c r="AG279">
        <v>0</v>
      </c>
      <c r="AH279">
        <v>0</v>
      </c>
      <c r="AI279">
        <v>1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0</v>
      </c>
      <c r="AP279">
        <v>0</v>
      </c>
    </row>
    <row r="280" spans="1:42" x14ac:dyDescent="0.25">
      <c r="A280">
        <v>317</v>
      </c>
      <c r="B280" t="s">
        <v>707</v>
      </c>
      <c r="C280" t="s">
        <v>678</v>
      </c>
      <c r="D280" t="s">
        <v>708</v>
      </c>
      <c r="E280" s="4">
        <v>1</v>
      </c>
      <c r="F280" t="s">
        <v>690</v>
      </c>
      <c r="G280" t="s">
        <v>690</v>
      </c>
      <c r="H280" s="3">
        <v>46134</v>
      </c>
      <c r="I280" s="3">
        <v>46150</v>
      </c>
      <c r="J280" t="s">
        <v>189</v>
      </c>
      <c r="K280" s="3">
        <v>46183</v>
      </c>
      <c r="L280" s="3">
        <v>46171</v>
      </c>
      <c r="M280" s="3">
        <v>46150</v>
      </c>
      <c r="N280" s="3">
        <v>46150</v>
      </c>
      <c r="O280" t="s">
        <v>337</v>
      </c>
      <c r="P280" t="s">
        <v>55</v>
      </c>
      <c r="T280" t="s">
        <v>425</v>
      </c>
      <c r="V280" t="s">
        <v>175</v>
      </c>
      <c r="X280" t="s">
        <v>57</v>
      </c>
      <c r="AA280" t="s">
        <v>50</v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</row>
    <row r="281" spans="1:42" x14ac:dyDescent="0.25">
      <c r="A281">
        <v>318</v>
      </c>
      <c r="B281" t="s">
        <v>709</v>
      </c>
      <c r="C281" t="s">
        <v>710</v>
      </c>
      <c r="D281" t="s">
        <v>117</v>
      </c>
      <c r="E281" s="4">
        <v>1</v>
      </c>
      <c r="F281" t="s">
        <v>101</v>
      </c>
      <c r="G281" t="s">
        <v>101</v>
      </c>
      <c r="H281" s="3">
        <v>46134</v>
      </c>
      <c r="I281" s="3">
        <v>46139</v>
      </c>
      <c r="J281" t="s">
        <v>189</v>
      </c>
      <c r="K281" s="3">
        <v>46174</v>
      </c>
      <c r="L281" s="3">
        <v>46171</v>
      </c>
      <c r="M281" s="3">
        <v>46139</v>
      </c>
      <c r="N281" s="3">
        <v>46139</v>
      </c>
      <c r="O281" t="s">
        <v>337</v>
      </c>
      <c r="P281" t="s">
        <v>55</v>
      </c>
      <c r="Q281" t="s">
        <v>703</v>
      </c>
      <c r="S281" t="s">
        <v>523</v>
      </c>
      <c r="T281" t="s">
        <v>425</v>
      </c>
      <c r="U281">
        <v>319</v>
      </c>
      <c r="V281" t="s">
        <v>127</v>
      </c>
      <c r="W281">
        <v>13.4</v>
      </c>
      <c r="X281" t="s">
        <v>57</v>
      </c>
      <c r="Z281" t="s">
        <v>523</v>
      </c>
      <c r="AA281" t="s">
        <v>77</v>
      </c>
      <c r="AE281">
        <v>1</v>
      </c>
      <c r="AF281">
        <v>1</v>
      </c>
      <c r="AG281">
        <v>1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1</v>
      </c>
    </row>
    <row r="282" spans="1:42" x14ac:dyDescent="0.25">
      <c r="A282">
        <v>319</v>
      </c>
      <c r="B282" t="s">
        <v>711</v>
      </c>
      <c r="C282" t="s">
        <v>710</v>
      </c>
      <c r="D282" t="s">
        <v>121</v>
      </c>
      <c r="E282" s="4">
        <v>1</v>
      </c>
      <c r="F282" t="s">
        <v>127</v>
      </c>
      <c r="G282" t="s">
        <v>127</v>
      </c>
      <c r="H282" s="3">
        <v>46149</v>
      </c>
      <c r="I282" s="3">
        <v>46150</v>
      </c>
      <c r="J282" t="s">
        <v>472</v>
      </c>
      <c r="K282" s="3">
        <v>46181</v>
      </c>
      <c r="L282" s="3">
        <v>46175</v>
      </c>
      <c r="M282" s="3">
        <v>46150</v>
      </c>
      <c r="N282" s="3">
        <v>46150</v>
      </c>
      <c r="O282" t="s">
        <v>416</v>
      </c>
      <c r="P282" t="s">
        <v>55</v>
      </c>
      <c r="Q282">
        <v>318</v>
      </c>
      <c r="S282" t="s">
        <v>124</v>
      </c>
      <c r="T282" t="s">
        <v>425</v>
      </c>
      <c r="U282">
        <v>320</v>
      </c>
      <c r="V282" t="s">
        <v>122</v>
      </c>
      <c r="W282">
        <v>13.4</v>
      </c>
      <c r="X282" t="s">
        <v>57</v>
      </c>
      <c r="Z282" t="s">
        <v>124</v>
      </c>
      <c r="AA282" t="s">
        <v>460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1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</row>
    <row r="283" spans="1:42" x14ac:dyDescent="0.25">
      <c r="A283">
        <v>320</v>
      </c>
      <c r="B283" t="s">
        <v>712</v>
      </c>
      <c r="C283" t="s">
        <v>710</v>
      </c>
      <c r="D283" t="s">
        <v>126</v>
      </c>
      <c r="E283" s="4">
        <v>1</v>
      </c>
      <c r="F283" t="s">
        <v>697</v>
      </c>
      <c r="G283" t="s">
        <v>697</v>
      </c>
      <c r="H283" s="3">
        <v>46150</v>
      </c>
      <c r="I283" s="3">
        <v>46150</v>
      </c>
      <c r="J283" t="s">
        <v>204</v>
      </c>
      <c r="K283" s="3">
        <v>46182</v>
      </c>
      <c r="L283" s="3">
        <v>46182</v>
      </c>
      <c r="M283" s="3">
        <v>46150</v>
      </c>
      <c r="N283" s="3">
        <v>46150</v>
      </c>
      <c r="O283" t="s">
        <v>403</v>
      </c>
      <c r="P283" t="s">
        <v>55</v>
      </c>
      <c r="Q283">
        <v>319</v>
      </c>
      <c r="S283" t="s">
        <v>523</v>
      </c>
      <c r="T283" t="s">
        <v>425</v>
      </c>
      <c r="U283">
        <v>321</v>
      </c>
      <c r="V283" t="s">
        <v>61</v>
      </c>
      <c r="W283">
        <v>13.4</v>
      </c>
      <c r="X283" t="s">
        <v>57</v>
      </c>
      <c r="Z283" t="s">
        <v>523</v>
      </c>
      <c r="AA283" t="s">
        <v>462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1</v>
      </c>
      <c r="AM283">
        <v>0</v>
      </c>
      <c r="AN283">
        <v>0</v>
      </c>
      <c r="AO283">
        <v>0</v>
      </c>
      <c r="AP283">
        <v>0</v>
      </c>
    </row>
    <row r="284" spans="1:42" x14ac:dyDescent="0.25">
      <c r="A284">
        <v>321</v>
      </c>
      <c r="B284" t="s">
        <v>713</v>
      </c>
      <c r="C284" t="s">
        <v>710</v>
      </c>
      <c r="D284" t="s">
        <v>133</v>
      </c>
      <c r="E284" s="4">
        <v>1</v>
      </c>
      <c r="F284" t="s">
        <v>61</v>
      </c>
      <c r="G284" t="s">
        <v>61</v>
      </c>
      <c r="H284" s="3">
        <v>46150</v>
      </c>
      <c r="I284" s="3">
        <v>46150</v>
      </c>
      <c r="J284" t="s">
        <v>592</v>
      </c>
      <c r="K284" s="3">
        <v>46183</v>
      </c>
      <c r="L284" s="3">
        <v>46183</v>
      </c>
      <c r="M284" s="3">
        <v>46150</v>
      </c>
      <c r="N284" s="3">
        <v>46150</v>
      </c>
      <c r="O284" t="s">
        <v>403</v>
      </c>
      <c r="P284" t="s">
        <v>55</v>
      </c>
      <c r="Q284">
        <v>320</v>
      </c>
      <c r="S284" t="s">
        <v>124</v>
      </c>
      <c r="T284" t="s">
        <v>425</v>
      </c>
      <c r="V284" t="s">
        <v>61</v>
      </c>
      <c r="W284">
        <v>13.4</v>
      </c>
      <c r="X284" t="s">
        <v>57</v>
      </c>
      <c r="Z284" t="s">
        <v>124</v>
      </c>
      <c r="AA284" t="s">
        <v>462</v>
      </c>
      <c r="AE284">
        <v>1</v>
      </c>
      <c r="AF284">
        <v>0</v>
      </c>
      <c r="AG284">
        <v>0</v>
      </c>
      <c r="AH284">
        <v>0</v>
      </c>
      <c r="AI284">
        <v>1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0</v>
      </c>
      <c r="AP284">
        <v>0</v>
      </c>
    </row>
    <row r="285" spans="1:42" x14ac:dyDescent="0.25">
      <c r="A285">
        <v>322</v>
      </c>
      <c r="B285" t="s">
        <v>714</v>
      </c>
      <c r="C285" t="s">
        <v>678</v>
      </c>
      <c r="D285" t="s">
        <v>715</v>
      </c>
      <c r="E285" s="4">
        <v>1</v>
      </c>
      <c r="F285" t="s">
        <v>210</v>
      </c>
      <c r="G285" t="s">
        <v>210</v>
      </c>
      <c r="H285" s="3">
        <v>46153</v>
      </c>
      <c r="I285" s="3">
        <v>46162</v>
      </c>
      <c r="J285" t="s">
        <v>418</v>
      </c>
      <c r="K285" s="3">
        <v>46162</v>
      </c>
      <c r="L285" s="3">
        <v>46153</v>
      </c>
      <c r="M285" s="3">
        <v>46162</v>
      </c>
      <c r="N285" s="3">
        <v>46162</v>
      </c>
      <c r="O285" t="s">
        <v>418</v>
      </c>
      <c r="P285" t="s">
        <v>55</v>
      </c>
      <c r="T285" t="s">
        <v>425</v>
      </c>
      <c r="V285" t="s">
        <v>175</v>
      </c>
      <c r="X285" t="s">
        <v>57</v>
      </c>
      <c r="AA285" t="s">
        <v>50</v>
      </c>
      <c r="AB285" t="s">
        <v>94</v>
      </c>
      <c r="AE285">
        <v>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</row>
    <row r="286" spans="1:42" x14ac:dyDescent="0.25">
      <c r="A286">
        <v>323</v>
      </c>
      <c r="B286" t="s">
        <v>716</v>
      </c>
      <c r="C286" t="s">
        <v>717</v>
      </c>
      <c r="D286" t="s">
        <v>117</v>
      </c>
      <c r="E286" s="4">
        <v>1</v>
      </c>
      <c r="F286" t="s">
        <v>122</v>
      </c>
      <c r="G286" t="s">
        <v>122</v>
      </c>
      <c r="H286" s="3">
        <v>46153</v>
      </c>
      <c r="I286" s="3">
        <v>46155</v>
      </c>
      <c r="J286" t="s">
        <v>418</v>
      </c>
      <c r="K286" s="3">
        <v>46155</v>
      </c>
      <c r="L286" s="3">
        <v>46153</v>
      </c>
      <c r="M286" s="3">
        <v>46155</v>
      </c>
      <c r="N286" s="3">
        <v>46155</v>
      </c>
      <c r="O286" t="s">
        <v>418</v>
      </c>
      <c r="P286" t="s">
        <v>55</v>
      </c>
      <c r="Q286" t="s">
        <v>703</v>
      </c>
      <c r="S286" t="s">
        <v>523</v>
      </c>
      <c r="T286" t="s">
        <v>425</v>
      </c>
      <c r="U286">
        <v>324</v>
      </c>
      <c r="V286" t="s">
        <v>127</v>
      </c>
      <c r="W286">
        <v>13.4</v>
      </c>
      <c r="X286" t="s">
        <v>57</v>
      </c>
      <c r="Z286" t="s">
        <v>523</v>
      </c>
      <c r="AA286" t="s">
        <v>77</v>
      </c>
      <c r="AE286">
        <v>1</v>
      </c>
      <c r="AF286">
        <v>1</v>
      </c>
      <c r="AG286">
        <v>1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1</v>
      </c>
    </row>
    <row r="287" spans="1:42" x14ac:dyDescent="0.25">
      <c r="A287">
        <v>324</v>
      </c>
      <c r="B287" t="s">
        <v>718</v>
      </c>
      <c r="C287" t="s">
        <v>717</v>
      </c>
      <c r="D287" t="s">
        <v>121</v>
      </c>
      <c r="E287" s="4">
        <v>1</v>
      </c>
      <c r="F287" t="s">
        <v>61</v>
      </c>
      <c r="G287" t="s">
        <v>61</v>
      </c>
      <c r="H287" s="3">
        <v>46160</v>
      </c>
      <c r="I287" s="3">
        <v>46160</v>
      </c>
      <c r="J287" t="s">
        <v>185</v>
      </c>
      <c r="K287" s="3">
        <v>46160</v>
      </c>
      <c r="L287" s="3">
        <v>46160</v>
      </c>
      <c r="M287" s="3">
        <v>46160</v>
      </c>
      <c r="N287" s="3">
        <v>46160</v>
      </c>
      <c r="O287" t="s">
        <v>185</v>
      </c>
      <c r="P287" t="s">
        <v>55</v>
      </c>
      <c r="Q287">
        <v>323</v>
      </c>
      <c r="S287" t="s">
        <v>124</v>
      </c>
      <c r="T287" t="s">
        <v>425</v>
      </c>
      <c r="U287">
        <v>325</v>
      </c>
      <c r="V287" t="s">
        <v>122</v>
      </c>
      <c r="W287">
        <v>13.4</v>
      </c>
      <c r="X287" t="s">
        <v>57</v>
      </c>
      <c r="Z287" t="s">
        <v>124</v>
      </c>
      <c r="AA287" t="s">
        <v>460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1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</row>
    <row r="288" spans="1:42" x14ac:dyDescent="0.25">
      <c r="A288">
        <v>325</v>
      </c>
      <c r="B288" t="s">
        <v>719</v>
      </c>
      <c r="C288" t="s">
        <v>717</v>
      </c>
      <c r="D288" t="s">
        <v>126</v>
      </c>
      <c r="E288" s="4">
        <v>1</v>
      </c>
      <c r="F288" t="s">
        <v>63</v>
      </c>
      <c r="G288" t="s">
        <v>63</v>
      </c>
      <c r="H288" s="3">
        <v>46161</v>
      </c>
      <c r="I288" s="3">
        <v>46161</v>
      </c>
      <c r="J288" t="s">
        <v>90</v>
      </c>
      <c r="K288" s="3">
        <v>46161</v>
      </c>
      <c r="L288" s="3">
        <v>46161</v>
      </c>
      <c r="M288" s="3">
        <v>46161</v>
      </c>
      <c r="N288" s="3">
        <v>46161</v>
      </c>
      <c r="O288" t="s">
        <v>90</v>
      </c>
      <c r="P288" t="s">
        <v>55</v>
      </c>
      <c r="Q288">
        <v>324</v>
      </c>
      <c r="S288" t="s">
        <v>523</v>
      </c>
      <c r="T288" t="s">
        <v>425</v>
      </c>
      <c r="U288">
        <v>326</v>
      </c>
      <c r="V288" t="s">
        <v>61</v>
      </c>
      <c r="W288">
        <v>13.4</v>
      </c>
      <c r="X288" t="s">
        <v>57</v>
      </c>
      <c r="Z288" t="s">
        <v>523</v>
      </c>
      <c r="AA288" t="s">
        <v>462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1</v>
      </c>
      <c r="AM288">
        <v>0</v>
      </c>
      <c r="AN288">
        <v>0</v>
      </c>
      <c r="AO288">
        <v>0</v>
      </c>
      <c r="AP288">
        <v>0</v>
      </c>
    </row>
    <row r="289" spans="1:42" x14ac:dyDescent="0.25">
      <c r="A289">
        <v>326</v>
      </c>
      <c r="B289" t="s">
        <v>720</v>
      </c>
      <c r="C289" t="s">
        <v>717</v>
      </c>
      <c r="D289" t="s">
        <v>133</v>
      </c>
      <c r="E289" s="4">
        <v>1</v>
      </c>
      <c r="F289" t="s">
        <v>63</v>
      </c>
      <c r="G289" t="s">
        <v>63</v>
      </c>
      <c r="H289" s="3">
        <v>46162</v>
      </c>
      <c r="I289" s="3">
        <v>46162</v>
      </c>
      <c r="J289" t="s">
        <v>200</v>
      </c>
      <c r="K289" s="3">
        <v>46162</v>
      </c>
      <c r="L289" s="3">
        <v>46162</v>
      </c>
      <c r="M289" s="3">
        <v>46162</v>
      </c>
      <c r="N289" s="3">
        <v>46162</v>
      </c>
      <c r="O289" t="s">
        <v>200</v>
      </c>
      <c r="P289" t="s">
        <v>55</v>
      </c>
      <c r="Q289">
        <v>325</v>
      </c>
      <c r="S289" t="s">
        <v>124</v>
      </c>
      <c r="T289" t="s">
        <v>425</v>
      </c>
      <c r="V289" t="s">
        <v>61</v>
      </c>
      <c r="W289">
        <v>13.4</v>
      </c>
      <c r="X289" t="s">
        <v>57</v>
      </c>
      <c r="Z289" t="s">
        <v>124</v>
      </c>
      <c r="AA289" t="s">
        <v>462</v>
      </c>
      <c r="AE289">
        <v>1</v>
      </c>
      <c r="AF289">
        <v>0</v>
      </c>
      <c r="AG289">
        <v>0</v>
      </c>
      <c r="AH289">
        <v>0</v>
      </c>
      <c r="AI289">
        <v>1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0</v>
      </c>
      <c r="AP289">
        <v>0</v>
      </c>
    </row>
    <row r="290" spans="1:42" x14ac:dyDescent="0.25">
      <c r="A290">
        <v>327</v>
      </c>
      <c r="B290" t="s">
        <v>721</v>
      </c>
      <c r="C290" t="s">
        <v>678</v>
      </c>
      <c r="D290" t="s">
        <v>722</v>
      </c>
      <c r="E290" s="4">
        <v>1</v>
      </c>
      <c r="F290" t="s">
        <v>210</v>
      </c>
      <c r="G290" t="s">
        <v>210</v>
      </c>
      <c r="H290" s="3">
        <v>46153</v>
      </c>
      <c r="I290" s="3">
        <v>46162</v>
      </c>
      <c r="J290" t="s">
        <v>418</v>
      </c>
      <c r="K290" s="3">
        <v>46162</v>
      </c>
      <c r="L290" s="3">
        <v>46153</v>
      </c>
      <c r="M290" s="3">
        <v>46162</v>
      </c>
      <c r="N290" s="3">
        <v>46162</v>
      </c>
      <c r="O290" t="s">
        <v>418</v>
      </c>
      <c r="P290" t="s">
        <v>55</v>
      </c>
      <c r="T290" t="s">
        <v>425</v>
      </c>
      <c r="V290" t="s">
        <v>175</v>
      </c>
      <c r="X290" t="s">
        <v>57</v>
      </c>
      <c r="AA290" t="s">
        <v>50</v>
      </c>
      <c r="AB290" t="s">
        <v>94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</row>
    <row r="291" spans="1:42" x14ac:dyDescent="0.25">
      <c r="A291">
        <v>328</v>
      </c>
      <c r="B291" t="s">
        <v>723</v>
      </c>
      <c r="C291" t="s">
        <v>724</v>
      </c>
      <c r="D291" t="s">
        <v>117</v>
      </c>
      <c r="E291" s="4">
        <v>1</v>
      </c>
      <c r="F291" t="s">
        <v>122</v>
      </c>
      <c r="G291" t="s">
        <v>122</v>
      </c>
      <c r="H291" s="3">
        <v>46153</v>
      </c>
      <c r="I291" s="3">
        <v>46155</v>
      </c>
      <c r="J291" t="s">
        <v>418</v>
      </c>
      <c r="K291" s="3">
        <v>46155</v>
      </c>
      <c r="L291" s="3">
        <v>46153</v>
      </c>
      <c r="M291" s="3">
        <v>46155</v>
      </c>
      <c r="N291" s="3">
        <v>46155</v>
      </c>
      <c r="O291" t="s">
        <v>418</v>
      </c>
      <c r="P291" t="s">
        <v>55</v>
      </c>
      <c r="Q291" t="s">
        <v>703</v>
      </c>
      <c r="S291" t="s">
        <v>523</v>
      </c>
      <c r="T291" t="s">
        <v>425</v>
      </c>
      <c r="U291">
        <v>329</v>
      </c>
      <c r="V291" t="s">
        <v>127</v>
      </c>
      <c r="W291">
        <v>13.4</v>
      </c>
      <c r="X291" t="s">
        <v>57</v>
      </c>
      <c r="Z291" t="s">
        <v>523</v>
      </c>
      <c r="AA291" t="s">
        <v>77</v>
      </c>
      <c r="AE291">
        <v>1</v>
      </c>
      <c r="AF291">
        <v>1</v>
      </c>
      <c r="AG291">
        <v>1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1</v>
      </c>
    </row>
    <row r="292" spans="1:42" x14ac:dyDescent="0.25">
      <c r="A292">
        <v>329</v>
      </c>
      <c r="B292" t="s">
        <v>725</v>
      </c>
      <c r="C292" t="s">
        <v>724</v>
      </c>
      <c r="D292" t="s">
        <v>121</v>
      </c>
      <c r="E292" s="4">
        <v>1</v>
      </c>
      <c r="F292" t="s">
        <v>61</v>
      </c>
      <c r="G292" t="s">
        <v>61</v>
      </c>
      <c r="H292" s="3">
        <v>46160</v>
      </c>
      <c r="I292" s="3">
        <v>46160</v>
      </c>
      <c r="J292" t="s">
        <v>185</v>
      </c>
      <c r="K292" s="3">
        <v>46160</v>
      </c>
      <c r="L292" s="3">
        <v>46160</v>
      </c>
      <c r="M292" s="3">
        <v>46160</v>
      </c>
      <c r="N292" s="3">
        <v>46160</v>
      </c>
      <c r="O292" t="s">
        <v>185</v>
      </c>
      <c r="P292" t="s">
        <v>55</v>
      </c>
      <c r="Q292">
        <v>328</v>
      </c>
      <c r="S292" t="s">
        <v>124</v>
      </c>
      <c r="T292" t="s">
        <v>425</v>
      </c>
      <c r="U292">
        <v>330</v>
      </c>
      <c r="V292" t="s">
        <v>122</v>
      </c>
      <c r="W292">
        <v>13.4</v>
      </c>
      <c r="X292" t="s">
        <v>57</v>
      </c>
      <c r="Z292" t="s">
        <v>124</v>
      </c>
      <c r="AA292" t="s">
        <v>460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1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</row>
    <row r="293" spans="1:42" x14ac:dyDescent="0.25">
      <c r="A293">
        <v>330</v>
      </c>
      <c r="B293" t="s">
        <v>726</v>
      </c>
      <c r="C293" t="s">
        <v>724</v>
      </c>
      <c r="D293" t="s">
        <v>126</v>
      </c>
      <c r="E293" s="4">
        <v>1</v>
      </c>
      <c r="F293" t="s">
        <v>61</v>
      </c>
      <c r="G293" t="s">
        <v>61</v>
      </c>
      <c r="H293" s="3">
        <v>46161</v>
      </c>
      <c r="I293" s="3">
        <v>46161</v>
      </c>
      <c r="J293" t="s">
        <v>90</v>
      </c>
      <c r="K293" s="3">
        <v>46161</v>
      </c>
      <c r="L293" s="3">
        <v>46161</v>
      </c>
      <c r="M293" s="3">
        <v>46161</v>
      </c>
      <c r="N293" s="3">
        <v>46161</v>
      </c>
      <c r="O293" t="s">
        <v>90</v>
      </c>
      <c r="P293" t="s">
        <v>55</v>
      </c>
      <c r="Q293">
        <v>329</v>
      </c>
      <c r="S293" t="s">
        <v>523</v>
      </c>
      <c r="T293" t="s">
        <v>425</v>
      </c>
      <c r="U293">
        <v>331</v>
      </c>
      <c r="V293" t="s">
        <v>61</v>
      </c>
      <c r="W293">
        <v>13.4</v>
      </c>
      <c r="X293" t="s">
        <v>57</v>
      </c>
      <c r="Z293" t="s">
        <v>523</v>
      </c>
      <c r="AA293" t="s">
        <v>462</v>
      </c>
      <c r="AE293">
        <v>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1</v>
      </c>
      <c r="AM293">
        <v>0</v>
      </c>
      <c r="AN293">
        <v>0</v>
      </c>
      <c r="AO293">
        <v>0</v>
      </c>
      <c r="AP293">
        <v>0</v>
      </c>
    </row>
    <row r="294" spans="1:42" x14ac:dyDescent="0.25">
      <c r="A294">
        <v>331</v>
      </c>
      <c r="B294" t="s">
        <v>727</v>
      </c>
      <c r="C294" t="s">
        <v>724</v>
      </c>
      <c r="D294" t="s">
        <v>133</v>
      </c>
      <c r="E294" s="4">
        <v>1</v>
      </c>
      <c r="F294" t="s">
        <v>61</v>
      </c>
      <c r="G294" t="s">
        <v>61</v>
      </c>
      <c r="H294" s="3">
        <v>46162</v>
      </c>
      <c r="I294" s="3">
        <v>46162</v>
      </c>
      <c r="J294" t="s">
        <v>200</v>
      </c>
      <c r="K294" s="3">
        <v>46162</v>
      </c>
      <c r="L294" s="3">
        <v>46162</v>
      </c>
      <c r="M294" s="3">
        <v>46162</v>
      </c>
      <c r="N294" s="3">
        <v>46162</v>
      </c>
      <c r="O294" t="s">
        <v>200</v>
      </c>
      <c r="P294" t="s">
        <v>55</v>
      </c>
      <c r="Q294">
        <v>330</v>
      </c>
      <c r="S294" t="s">
        <v>124</v>
      </c>
      <c r="T294" t="s">
        <v>425</v>
      </c>
      <c r="V294" t="s">
        <v>61</v>
      </c>
      <c r="W294">
        <v>13.4</v>
      </c>
      <c r="X294" t="s">
        <v>57</v>
      </c>
      <c r="Z294" t="s">
        <v>124</v>
      </c>
      <c r="AA294" t="s">
        <v>462</v>
      </c>
      <c r="AE294">
        <v>1</v>
      </c>
      <c r="AF294">
        <v>0</v>
      </c>
      <c r="AG294">
        <v>0</v>
      </c>
      <c r="AH294">
        <v>0</v>
      </c>
      <c r="AI294">
        <v>1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0</v>
      </c>
      <c r="AP294">
        <v>0</v>
      </c>
    </row>
    <row r="295" spans="1:42" x14ac:dyDescent="0.25">
      <c r="A295">
        <v>332</v>
      </c>
      <c r="B295" t="s">
        <v>728</v>
      </c>
      <c r="C295" t="s">
        <v>425</v>
      </c>
      <c r="D295" t="s">
        <v>729</v>
      </c>
      <c r="E295" s="4">
        <v>1</v>
      </c>
      <c r="F295" t="s">
        <v>730</v>
      </c>
      <c r="G295" t="s">
        <v>730</v>
      </c>
      <c r="H295" s="3">
        <v>46161</v>
      </c>
      <c r="I295" s="3">
        <v>46199</v>
      </c>
      <c r="J295" t="s">
        <v>415</v>
      </c>
      <c r="K295" s="3">
        <v>46197</v>
      </c>
      <c r="L295" s="3">
        <v>46141</v>
      </c>
      <c r="M295" s="3">
        <v>46199</v>
      </c>
      <c r="N295" s="3">
        <v>46199</v>
      </c>
      <c r="O295" t="s">
        <v>90</v>
      </c>
      <c r="P295" t="s">
        <v>55</v>
      </c>
      <c r="T295" t="s">
        <v>425</v>
      </c>
      <c r="V295" t="s">
        <v>612</v>
      </c>
      <c r="X295" t="s">
        <v>57</v>
      </c>
      <c r="AA295" t="s">
        <v>50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</row>
    <row r="296" spans="1:42" x14ac:dyDescent="0.25">
      <c r="A296">
        <v>333</v>
      </c>
      <c r="B296" t="s">
        <v>731</v>
      </c>
      <c r="C296" t="s">
        <v>732</v>
      </c>
      <c r="D296" t="s">
        <v>733</v>
      </c>
      <c r="E296" s="4">
        <v>1</v>
      </c>
      <c r="F296" t="s">
        <v>114</v>
      </c>
      <c r="G296" t="s">
        <v>114</v>
      </c>
      <c r="H296" s="3">
        <v>46161</v>
      </c>
      <c r="I296" s="3">
        <v>46171</v>
      </c>
      <c r="J296" t="s">
        <v>415</v>
      </c>
      <c r="K296" s="3">
        <v>46154</v>
      </c>
      <c r="L296" s="3">
        <v>46141</v>
      </c>
      <c r="M296" s="3">
        <v>46171</v>
      </c>
      <c r="N296" s="3">
        <v>46171</v>
      </c>
      <c r="O296" t="s">
        <v>90</v>
      </c>
      <c r="P296" t="s">
        <v>55</v>
      </c>
      <c r="T296" t="s">
        <v>425</v>
      </c>
      <c r="U296" t="s">
        <v>734</v>
      </c>
      <c r="V296" t="s">
        <v>114</v>
      </c>
      <c r="X296" t="s">
        <v>57</v>
      </c>
      <c r="AA296" t="s">
        <v>50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</row>
    <row r="297" spans="1:42" x14ac:dyDescent="0.25">
      <c r="A297">
        <v>334</v>
      </c>
      <c r="B297" t="s">
        <v>735</v>
      </c>
      <c r="C297" t="s">
        <v>736</v>
      </c>
      <c r="D297" t="s">
        <v>117</v>
      </c>
      <c r="E297" s="4">
        <v>1</v>
      </c>
      <c r="F297" t="s">
        <v>101</v>
      </c>
      <c r="G297" t="s">
        <v>101</v>
      </c>
      <c r="H297" s="3">
        <v>46161</v>
      </c>
      <c r="I297" s="3">
        <v>46164</v>
      </c>
      <c r="J297" t="s">
        <v>415</v>
      </c>
      <c r="K297" s="3">
        <v>46147</v>
      </c>
      <c r="L297" s="3">
        <v>46141</v>
      </c>
      <c r="M297" s="3">
        <v>46164</v>
      </c>
      <c r="N297" s="3">
        <v>46164</v>
      </c>
      <c r="O297" t="s">
        <v>90</v>
      </c>
      <c r="P297" t="s">
        <v>55</v>
      </c>
      <c r="Q297">
        <v>241</v>
      </c>
      <c r="S297" t="s">
        <v>302</v>
      </c>
      <c r="T297" t="s">
        <v>425</v>
      </c>
      <c r="U297" t="s">
        <v>737</v>
      </c>
      <c r="V297" t="s">
        <v>101</v>
      </c>
      <c r="W297">
        <v>13.4</v>
      </c>
      <c r="X297" t="s">
        <v>57</v>
      </c>
      <c r="Z297" t="s">
        <v>302</v>
      </c>
      <c r="AA297" t="s">
        <v>71</v>
      </c>
      <c r="AE297">
        <v>1</v>
      </c>
      <c r="AF297">
        <v>1</v>
      </c>
      <c r="AG297">
        <v>1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1</v>
      </c>
    </row>
    <row r="298" spans="1:42" x14ac:dyDescent="0.25">
      <c r="A298">
        <v>335</v>
      </c>
      <c r="B298" t="s">
        <v>738</v>
      </c>
      <c r="C298" t="s">
        <v>736</v>
      </c>
      <c r="D298" t="s">
        <v>121</v>
      </c>
      <c r="E298" s="4">
        <v>1</v>
      </c>
      <c r="F298" t="s">
        <v>63</v>
      </c>
      <c r="G298" t="s">
        <v>63</v>
      </c>
      <c r="H298" s="3">
        <v>46164</v>
      </c>
      <c r="I298" s="3">
        <v>46164</v>
      </c>
      <c r="J298" t="s">
        <v>304</v>
      </c>
      <c r="K298" s="3">
        <v>46150</v>
      </c>
      <c r="L298" s="3">
        <v>46148</v>
      </c>
      <c r="M298" s="3">
        <v>46164</v>
      </c>
      <c r="N298" s="3">
        <v>46164</v>
      </c>
      <c r="O298" t="s">
        <v>471</v>
      </c>
      <c r="P298" t="s">
        <v>55</v>
      </c>
      <c r="Q298">
        <v>334</v>
      </c>
      <c r="S298" t="s">
        <v>124</v>
      </c>
      <c r="T298" t="s">
        <v>425</v>
      </c>
      <c r="U298">
        <v>336</v>
      </c>
      <c r="V298" t="s">
        <v>122</v>
      </c>
      <c r="W298">
        <v>13.4</v>
      </c>
      <c r="X298" t="s">
        <v>57</v>
      </c>
      <c r="Z298" t="s">
        <v>124</v>
      </c>
      <c r="AA298" t="s">
        <v>401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1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</row>
    <row r="299" spans="1:42" x14ac:dyDescent="0.25">
      <c r="A299">
        <v>336</v>
      </c>
      <c r="B299" t="s">
        <v>739</v>
      </c>
      <c r="C299" t="s">
        <v>736</v>
      </c>
      <c r="D299" t="s">
        <v>126</v>
      </c>
      <c r="E299" s="4">
        <v>1</v>
      </c>
      <c r="F299" t="s">
        <v>122</v>
      </c>
      <c r="G299" t="s">
        <v>122</v>
      </c>
      <c r="H299" s="3">
        <v>46167</v>
      </c>
      <c r="I299" s="3">
        <v>46169</v>
      </c>
      <c r="J299" t="s">
        <v>418</v>
      </c>
      <c r="K299" s="3">
        <v>46153</v>
      </c>
      <c r="L299" s="3">
        <v>46153</v>
      </c>
      <c r="M299" s="3">
        <v>46169</v>
      </c>
      <c r="N299" s="3">
        <v>46169</v>
      </c>
      <c r="O299" t="s">
        <v>74</v>
      </c>
      <c r="P299" t="s">
        <v>55</v>
      </c>
      <c r="Q299">
        <v>335</v>
      </c>
      <c r="S299" t="s">
        <v>302</v>
      </c>
      <c r="T299" t="s">
        <v>425</v>
      </c>
      <c r="U299">
        <v>337</v>
      </c>
      <c r="V299" t="s">
        <v>61</v>
      </c>
      <c r="W299">
        <v>13.4</v>
      </c>
      <c r="X299" t="s">
        <v>57</v>
      </c>
      <c r="Z299" t="s">
        <v>302</v>
      </c>
      <c r="AA299" t="s">
        <v>93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1</v>
      </c>
      <c r="AM299">
        <v>0</v>
      </c>
      <c r="AN299">
        <v>0</v>
      </c>
      <c r="AO299">
        <v>0</v>
      </c>
      <c r="AP299">
        <v>0</v>
      </c>
    </row>
    <row r="300" spans="1:42" x14ac:dyDescent="0.25">
      <c r="A300">
        <v>337</v>
      </c>
      <c r="B300" t="s">
        <v>740</v>
      </c>
      <c r="C300" t="s">
        <v>736</v>
      </c>
      <c r="D300" t="s">
        <v>133</v>
      </c>
      <c r="E300" s="4">
        <v>1</v>
      </c>
      <c r="F300" t="s">
        <v>127</v>
      </c>
      <c r="G300" t="s">
        <v>127</v>
      </c>
      <c r="H300" s="3">
        <v>46170</v>
      </c>
      <c r="I300" s="3">
        <v>46171</v>
      </c>
      <c r="J300" t="s">
        <v>741</v>
      </c>
      <c r="K300" s="3">
        <v>46154</v>
      </c>
      <c r="L300" s="3">
        <v>46154</v>
      </c>
      <c r="M300" s="3">
        <v>46171</v>
      </c>
      <c r="N300" s="3">
        <v>46171</v>
      </c>
      <c r="O300" t="s">
        <v>448</v>
      </c>
      <c r="P300" t="s">
        <v>55</v>
      </c>
      <c r="Q300">
        <v>336</v>
      </c>
      <c r="S300" t="s">
        <v>124</v>
      </c>
      <c r="T300" t="s">
        <v>425</v>
      </c>
      <c r="U300">
        <v>339</v>
      </c>
      <c r="V300" t="s">
        <v>61</v>
      </c>
      <c r="W300">
        <v>13.4</v>
      </c>
      <c r="X300" t="s">
        <v>57</v>
      </c>
      <c r="Z300" t="s">
        <v>124</v>
      </c>
      <c r="AA300" t="s">
        <v>93</v>
      </c>
      <c r="AE300">
        <v>1</v>
      </c>
      <c r="AF300">
        <v>0</v>
      </c>
      <c r="AG300">
        <v>0</v>
      </c>
      <c r="AH300">
        <v>0</v>
      </c>
      <c r="AI300">
        <v>1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0</v>
      </c>
      <c r="AP300">
        <v>0</v>
      </c>
    </row>
    <row r="301" spans="1:42" x14ac:dyDescent="0.25">
      <c r="A301">
        <v>338</v>
      </c>
      <c r="B301" t="s">
        <v>742</v>
      </c>
      <c r="C301" t="s">
        <v>732</v>
      </c>
      <c r="D301" t="s">
        <v>743</v>
      </c>
      <c r="E301" s="4">
        <v>1</v>
      </c>
      <c r="F301" t="s">
        <v>214</v>
      </c>
      <c r="G301" t="s">
        <v>214</v>
      </c>
      <c r="H301" s="3">
        <v>46169</v>
      </c>
      <c r="I301" s="3">
        <v>46176</v>
      </c>
      <c r="J301" t="s">
        <v>576</v>
      </c>
      <c r="K301" s="3">
        <v>46197</v>
      </c>
      <c r="L301" s="3">
        <v>46189</v>
      </c>
      <c r="M301" s="3">
        <v>46176</v>
      </c>
      <c r="N301" s="3">
        <v>46176</v>
      </c>
      <c r="O301" t="s">
        <v>97</v>
      </c>
      <c r="P301" t="s">
        <v>55</v>
      </c>
      <c r="T301" t="s">
        <v>425</v>
      </c>
      <c r="V301" t="s">
        <v>175</v>
      </c>
      <c r="X301" t="s">
        <v>57</v>
      </c>
      <c r="AA301" t="s">
        <v>50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</row>
    <row r="302" spans="1:42" x14ac:dyDescent="0.25">
      <c r="A302">
        <v>339</v>
      </c>
      <c r="B302" t="s">
        <v>744</v>
      </c>
      <c r="C302" t="s">
        <v>745</v>
      </c>
      <c r="D302" t="s">
        <v>117</v>
      </c>
      <c r="E302" s="4">
        <v>1</v>
      </c>
      <c r="F302" t="s">
        <v>61</v>
      </c>
      <c r="G302" t="s">
        <v>61</v>
      </c>
      <c r="H302" s="3">
        <v>46169</v>
      </c>
      <c r="I302" s="3">
        <v>46174</v>
      </c>
      <c r="J302" t="s">
        <v>576</v>
      </c>
      <c r="K302" s="3">
        <v>46190</v>
      </c>
      <c r="L302" s="3">
        <v>46189</v>
      </c>
      <c r="M302" s="3">
        <v>46174</v>
      </c>
      <c r="N302" s="3">
        <v>46174</v>
      </c>
      <c r="O302" t="s">
        <v>97</v>
      </c>
      <c r="P302" t="s">
        <v>55</v>
      </c>
      <c r="Q302" t="s">
        <v>746</v>
      </c>
      <c r="S302" t="s">
        <v>302</v>
      </c>
      <c r="T302" t="s">
        <v>425</v>
      </c>
      <c r="U302" t="s">
        <v>747</v>
      </c>
      <c r="V302" t="s">
        <v>127</v>
      </c>
      <c r="W302">
        <v>13.4</v>
      </c>
      <c r="X302" t="s">
        <v>57</v>
      </c>
      <c r="Z302" t="s">
        <v>302</v>
      </c>
      <c r="AA302" t="s">
        <v>217</v>
      </c>
      <c r="AE302">
        <v>1</v>
      </c>
      <c r="AF302">
        <v>1</v>
      </c>
      <c r="AG302">
        <v>1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1</v>
      </c>
    </row>
    <row r="303" spans="1:42" x14ac:dyDescent="0.25">
      <c r="A303">
        <v>340</v>
      </c>
      <c r="B303" t="s">
        <v>748</v>
      </c>
      <c r="C303" t="s">
        <v>745</v>
      </c>
      <c r="D303" t="s">
        <v>121</v>
      </c>
      <c r="E303" s="4">
        <v>1</v>
      </c>
      <c r="F303" t="s">
        <v>61</v>
      </c>
      <c r="G303" t="s">
        <v>61</v>
      </c>
      <c r="H303" s="3">
        <v>46171</v>
      </c>
      <c r="I303" s="3">
        <v>46174</v>
      </c>
      <c r="J303" t="s">
        <v>480</v>
      </c>
      <c r="K303" s="3">
        <v>46195</v>
      </c>
      <c r="L303" s="3">
        <v>46191</v>
      </c>
      <c r="M303" s="3">
        <v>46174</v>
      </c>
      <c r="N303" s="3">
        <v>46174</v>
      </c>
      <c r="O303" t="s">
        <v>189</v>
      </c>
      <c r="P303" t="s">
        <v>55</v>
      </c>
      <c r="Q303">
        <v>339</v>
      </c>
      <c r="S303" t="s">
        <v>124</v>
      </c>
      <c r="T303" t="s">
        <v>425</v>
      </c>
      <c r="U303">
        <v>341</v>
      </c>
      <c r="V303" t="s">
        <v>122</v>
      </c>
      <c r="W303">
        <v>13.4</v>
      </c>
      <c r="X303" t="s">
        <v>57</v>
      </c>
      <c r="Z303" t="s">
        <v>124</v>
      </c>
      <c r="AA303" t="s">
        <v>217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1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</row>
    <row r="304" spans="1:42" x14ac:dyDescent="0.25">
      <c r="A304">
        <v>341</v>
      </c>
      <c r="B304" t="s">
        <v>749</v>
      </c>
      <c r="C304" t="s">
        <v>745</v>
      </c>
      <c r="D304" t="s">
        <v>126</v>
      </c>
      <c r="E304" s="4">
        <v>1</v>
      </c>
      <c r="F304" t="s">
        <v>61</v>
      </c>
      <c r="G304" t="s">
        <v>61</v>
      </c>
      <c r="H304" s="3">
        <v>46171</v>
      </c>
      <c r="I304" s="3">
        <v>46174</v>
      </c>
      <c r="J304" t="s">
        <v>212</v>
      </c>
      <c r="K304" s="3">
        <v>46196</v>
      </c>
      <c r="L304" s="3">
        <v>46196</v>
      </c>
      <c r="M304" s="3">
        <v>46174</v>
      </c>
      <c r="N304" s="3">
        <v>46174</v>
      </c>
      <c r="O304" t="s">
        <v>189</v>
      </c>
      <c r="P304" t="s">
        <v>55</v>
      </c>
      <c r="Q304">
        <v>340</v>
      </c>
      <c r="S304" t="s">
        <v>302</v>
      </c>
      <c r="T304" t="s">
        <v>425</v>
      </c>
      <c r="U304">
        <v>342</v>
      </c>
      <c r="V304" t="s">
        <v>61</v>
      </c>
      <c r="W304">
        <v>13.4</v>
      </c>
      <c r="X304" t="s">
        <v>57</v>
      </c>
      <c r="Z304" t="s">
        <v>302</v>
      </c>
      <c r="AA304" t="s">
        <v>131</v>
      </c>
      <c r="AE304">
        <v>1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1</v>
      </c>
      <c r="AM304">
        <v>0</v>
      </c>
      <c r="AN304">
        <v>0</v>
      </c>
      <c r="AO304">
        <v>0</v>
      </c>
      <c r="AP304">
        <v>0</v>
      </c>
    </row>
    <row r="305" spans="1:42" x14ac:dyDescent="0.25">
      <c r="A305">
        <v>342</v>
      </c>
      <c r="B305" t="s">
        <v>750</v>
      </c>
      <c r="C305" t="s">
        <v>745</v>
      </c>
      <c r="D305" t="s">
        <v>133</v>
      </c>
      <c r="E305" s="4">
        <v>1</v>
      </c>
      <c r="F305" t="s">
        <v>127</v>
      </c>
      <c r="G305" t="s">
        <v>127</v>
      </c>
      <c r="H305" s="3">
        <v>46174</v>
      </c>
      <c r="I305" s="3">
        <v>46176</v>
      </c>
      <c r="J305" t="s">
        <v>207</v>
      </c>
      <c r="K305" s="3">
        <v>46197</v>
      </c>
      <c r="L305" s="3">
        <v>46197</v>
      </c>
      <c r="M305" s="3">
        <v>46176</v>
      </c>
      <c r="N305" s="3">
        <v>46176</v>
      </c>
      <c r="O305" t="s">
        <v>193</v>
      </c>
      <c r="P305" t="s">
        <v>55</v>
      </c>
      <c r="Q305">
        <v>341</v>
      </c>
      <c r="S305" t="s">
        <v>124</v>
      </c>
      <c r="T305" t="s">
        <v>425</v>
      </c>
      <c r="V305" t="s">
        <v>61</v>
      </c>
      <c r="W305">
        <v>13.4</v>
      </c>
      <c r="X305" t="s">
        <v>57</v>
      </c>
      <c r="Z305" t="s">
        <v>124</v>
      </c>
      <c r="AA305" t="s">
        <v>131</v>
      </c>
      <c r="AE305">
        <v>1</v>
      </c>
      <c r="AF305">
        <v>0</v>
      </c>
      <c r="AG305">
        <v>0</v>
      </c>
      <c r="AH305">
        <v>0</v>
      </c>
      <c r="AI305">
        <v>1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0</v>
      </c>
      <c r="AP305">
        <v>0</v>
      </c>
    </row>
    <row r="306" spans="1:42" x14ac:dyDescent="0.25">
      <c r="A306">
        <v>348</v>
      </c>
      <c r="B306" t="s">
        <v>751</v>
      </c>
      <c r="C306" t="s">
        <v>732</v>
      </c>
      <c r="D306" t="s">
        <v>752</v>
      </c>
      <c r="E306" s="4">
        <v>1</v>
      </c>
      <c r="F306" t="s">
        <v>175</v>
      </c>
      <c r="G306" t="s">
        <v>175</v>
      </c>
      <c r="H306" s="3">
        <v>46189</v>
      </c>
      <c r="I306" s="3">
        <v>46197</v>
      </c>
      <c r="J306" t="s">
        <v>576</v>
      </c>
      <c r="K306" s="3">
        <v>46197</v>
      </c>
      <c r="L306" s="3">
        <v>46189</v>
      </c>
      <c r="M306" s="3">
        <v>46197</v>
      </c>
      <c r="N306" s="3">
        <v>46197</v>
      </c>
      <c r="O306" t="s">
        <v>576</v>
      </c>
      <c r="P306" t="s">
        <v>55</v>
      </c>
      <c r="T306" t="s">
        <v>425</v>
      </c>
      <c r="V306" t="s">
        <v>175</v>
      </c>
      <c r="X306" t="s">
        <v>57</v>
      </c>
      <c r="AA306" t="s">
        <v>50</v>
      </c>
      <c r="AB306" t="s">
        <v>94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</row>
    <row r="307" spans="1:42" x14ac:dyDescent="0.25">
      <c r="A307">
        <v>349</v>
      </c>
      <c r="B307" t="s">
        <v>753</v>
      </c>
      <c r="C307" t="s">
        <v>754</v>
      </c>
      <c r="D307" t="s">
        <v>117</v>
      </c>
      <c r="E307" s="4">
        <v>1</v>
      </c>
      <c r="F307" t="s">
        <v>127</v>
      </c>
      <c r="G307" t="s">
        <v>127</v>
      </c>
      <c r="H307" s="3">
        <v>46189</v>
      </c>
      <c r="I307" s="3">
        <v>46190</v>
      </c>
      <c r="J307" t="s">
        <v>576</v>
      </c>
      <c r="K307" s="3">
        <v>46190</v>
      </c>
      <c r="L307" s="3">
        <v>46189</v>
      </c>
      <c r="M307" s="3">
        <v>46190</v>
      </c>
      <c r="N307" s="3">
        <v>46190</v>
      </c>
      <c r="O307" t="s">
        <v>576</v>
      </c>
      <c r="P307" t="s">
        <v>55</v>
      </c>
      <c r="S307" t="s">
        <v>302</v>
      </c>
      <c r="T307" t="s">
        <v>425</v>
      </c>
      <c r="U307">
        <v>350</v>
      </c>
      <c r="V307" t="s">
        <v>127</v>
      </c>
      <c r="W307">
        <v>13.4</v>
      </c>
      <c r="X307" t="s">
        <v>57</v>
      </c>
      <c r="Z307" t="s">
        <v>302</v>
      </c>
      <c r="AA307" t="s">
        <v>217</v>
      </c>
      <c r="AE307">
        <v>1</v>
      </c>
      <c r="AF307">
        <v>1</v>
      </c>
      <c r="AG307">
        <v>1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1</v>
      </c>
    </row>
    <row r="308" spans="1:42" x14ac:dyDescent="0.25">
      <c r="A308">
        <v>350</v>
      </c>
      <c r="B308" t="s">
        <v>755</v>
      </c>
      <c r="C308" t="s">
        <v>754</v>
      </c>
      <c r="D308" t="s">
        <v>121</v>
      </c>
      <c r="E308" s="4">
        <v>1</v>
      </c>
      <c r="F308" t="s">
        <v>61</v>
      </c>
      <c r="G308" t="s">
        <v>61</v>
      </c>
      <c r="H308" s="3">
        <v>46190</v>
      </c>
      <c r="I308" s="3">
        <v>46191</v>
      </c>
      <c r="J308" t="s">
        <v>75</v>
      </c>
      <c r="K308" s="3">
        <v>46191</v>
      </c>
      <c r="L308" s="3">
        <v>46190</v>
      </c>
      <c r="M308" s="3">
        <v>46191</v>
      </c>
      <c r="N308" s="3">
        <v>46191</v>
      </c>
      <c r="O308" t="s">
        <v>75</v>
      </c>
      <c r="P308" t="s">
        <v>55</v>
      </c>
      <c r="Q308">
        <v>349</v>
      </c>
      <c r="S308" t="s">
        <v>124</v>
      </c>
      <c r="T308" t="s">
        <v>425</v>
      </c>
      <c r="U308">
        <v>351</v>
      </c>
      <c r="V308" t="s">
        <v>122</v>
      </c>
      <c r="W308">
        <v>13.4</v>
      </c>
      <c r="X308" t="s">
        <v>57</v>
      </c>
      <c r="Z308" t="s">
        <v>124</v>
      </c>
      <c r="AA308" t="s">
        <v>217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1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</row>
    <row r="309" spans="1:42" x14ac:dyDescent="0.25">
      <c r="A309">
        <v>351</v>
      </c>
      <c r="B309" t="s">
        <v>756</v>
      </c>
      <c r="C309" t="s">
        <v>754</v>
      </c>
      <c r="D309" t="s">
        <v>126</v>
      </c>
      <c r="E309" s="4">
        <v>1</v>
      </c>
      <c r="F309" t="s">
        <v>61</v>
      </c>
      <c r="G309" t="s">
        <v>61</v>
      </c>
      <c r="H309" s="3">
        <v>46192</v>
      </c>
      <c r="I309" s="3">
        <v>46195</v>
      </c>
      <c r="J309" t="s">
        <v>211</v>
      </c>
      <c r="K309" s="3">
        <v>46195</v>
      </c>
      <c r="L309" s="3">
        <v>46192</v>
      </c>
      <c r="M309" s="3">
        <v>46195</v>
      </c>
      <c r="N309" s="3">
        <v>46195</v>
      </c>
      <c r="O309" t="s">
        <v>211</v>
      </c>
      <c r="P309" t="s">
        <v>55</v>
      </c>
      <c r="Q309">
        <v>350</v>
      </c>
      <c r="S309" t="s">
        <v>302</v>
      </c>
      <c r="T309" t="s">
        <v>425</v>
      </c>
      <c r="U309">
        <v>352</v>
      </c>
      <c r="V309" t="s">
        <v>61</v>
      </c>
      <c r="W309">
        <v>13.4</v>
      </c>
      <c r="X309" t="s">
        <v>57</v>
      </c>
      <c r="Z309" t="s">
        <v>302</v>
      </c>
      <c r="AA309" t="s">
        <v>131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1</v>
      </c>
      <c r="AM309">
        <v>0</v>
      </c>
      <c r="AN309">
        <v>0</v>
      </c>
      <c r="AO309">
        <v>0</v>
      </c>
      <c r="AP309">
        <v>0</v>
      </c>
    </row>
    <row r="310" spans="1:42" x14ac:dyDescent="0.25">
      <c r="A310">
        <v>352</v>
      </c>
      <c r="B310" t="s">
        <v>757</v>
      </c>
      <c r="C310" t="s">
        <v>754</v>
      </c>
      <c r="D310" t="s">
        <v>133</v>
      </c>
      <c r="E310" s="4">
        <v>1</v>
      </c>
      <c r="F310" t="s">
        <v>61</v>
      </c>
      <c r="G310" t="s">
        <v>61</v>
      </c>
      <c r="H310" s="3">
        <v>46195</v>
      </c>
      <c r="I310" s="3">
        <v>46197</v>
      </c>
      <c r="J310" t="s">
        <v>219</v>
      </c>
      <c r="K310" s="3">
        <v>46197</v>
      </c>
      <c r="L310" s="3">
        <v>46195</v>
      </c>
      <c r="M310" s="3">
        <v>46197</v>
      </c>
      <c r="N310" s="3">
        <v>46197</v>
      </c>
      <c r="O310" t="s">
        <v>219</v>
      </c>
      <c r="P310" t="s">
        <v>55</v>
      </c>
      <c r="Q310">
        <v>351</v>
      </c>
      <c r="S310" t="s">
        <v>124</v>
      </c>
      <c r="T310" t="s">
        <v>425</v>
      </c>
      <c r="V310" t="s">
        <v>61</v>
      </c>
      <c r="W310">
        <v>13.4</v>
      </c>
      <c r="X310" t="s">
        <v>57</v>
      </c>
      <c r="Z310" t="s">
        <v>124</v>
      </c>
      <c r="AA310" t="s">
        <v>131</v>
      </c>
      <c r="AE310">
        <v>1</v>
      </c>
      <c r="AF310">
        <v>0</v>
      </c>
      <c r="AG310">
        <v>0</v>
      </c>
      <c r="AH310">
        <v>0</v>
      </c>
      <c r="AI310">
        <v>1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0</v>
      </c>
      <c r="AP310">
        <v>0</v>
      </c>
    </row>
    <row r="311" spans="1:42" x14ac:dyDescent="0.25">
      <c r="A311">
        <v>353</v>
      </c>
      <c r="B311" t="s">
        <v>758</v>
      </c>
      <c r="C311" t="s">
        <v>732</v>
      </c>
      <c r="D311" t="s">
        <v>759</v>
      </c>
      <c r="E311" s="4">
        <v>1</v>
      </c>
      <c r="F311" t="s">
        <v>114</v>
      </c>
      <c r="G311" t="s">
        <v>114</v>
      </c>
      <c r="H311" s="3">
        <v>46189</v>
      </c>
      <c r="I311" s="3">
        <v>46199</v>
      </c>
      <c r="J311" t="s">
        <v>576</v>
      </c>
      <c r="K311" s="3">
        <v>46199</v>
      </c>
      <c r="L311" s="3">
        <v>46189</v>
      </c>
      <c r="M311" s="3">
        <v>46199</v>
      </c>
      <c r="N311" s="3">
        <v>46199</v>
      </c>
      <c r="O311" t="s">
        <v>576</v>
      </c>
      <c r="P311" t="s">
        <v>55</v>
      </c>
      <c r="T311" t="s">
        <v>425</v>
      </c>
      <c r="V311" t="s">
        <v>175</v>
      </c>
      <c r="X311" t="s">
        <v>57</v>
      </c>
      <c r="AA311" t="s">
        <v>50</v>
      </c>
      <c r="AB311" t="s">
        <v>94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</row>
    <row r="312" spans="1:42" x14ac:dyDescent="0.25">
      <c r="A312">
        <v>354</v>
      </c>
      <c r="B312" t="s">
        <v>760</v>
      </c>
      <c r="C312" t="s">
        <v>761</v>
      </c>
      <c r="D312" t="s">
        <v>117</v>
      </c>
      <c r="E312" s="4">
        <v>1</v>
      </c>
      <c r="F312" t="s">
        <v>127</v>
      </c>
      <c r="G312" t="s">
        <v>127</v>
      </c>
      <c r="H312" s="3">
        <v>46189</v>
      </c>
      <c r="I312" s="3">
        <v>46190</v>
      </c>
      <c r="J312" t="s">
        <v>576</v>
      </c>
      <c r="K312" s="3">
        <v>46190</v>
      </c>
      <c r="L312" s="3">
        <v>46189</v>
      </c>
      <c r="M312" s="3">
        <v>46190</v>
      </c>
      <c r="N312" s="3">
        <v>46190</v>
      </c>
      <c r="O312" t="s">
        <v>576</v>
      </c>
      <c r="P312" t="s">
        <v>55</v>
      </c>
      <c r="S312" t="s">
        <v>302</v>
      </c>
      <c r="T312" t="s">
        <v>425</v>
      </c>
      <c r="U312">
        <v>355</v>
      </c>
      <c r="V312" t="s">
        <v>127</v>
      </c>
      <c r="W312">
        <v>13.4</v>
      </c>
      <c r="X312" t="s">
        <v>57</v>
      </c>
      <c r="Z312" t="s">
        <v>302</v>
      </c>
      <c r="AA312" t="s">
        <v>217</v>
      </c>
      <c r="AE312">
        <v>1</v>
      </c>
      <c r="AF312">
        <v>1</v>
      </c>
      <c r="AG312">
        <v>1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1</v>
      </c>
    </row>
    <row r="313" spans="1:42" x14ac:dyDescent="0.25">
      <c r="A313">
        <v>355</v>
      </c>
      <c r="B313" t="s">
        <v>762</v>
      </c>
      <c r="C313" t="s">
        <v>761</v>
      </c>
      <c r="D313" t="s">
        <v>121</v>
      </c>
      <c r="E313" s="4">
        <v>1</v>
      </c>
      <c r="F313" t="s">
        <v>127</v>
      </c>
      <c r="G313" t="s">
        <v>127</v>
      </c>
      <c r="H313" s="3">
        <v>46190</v>
      </c>
      <c r="I313" s="3">
        <v>46192</v>
      </c>
      <c r="J313" t="s">
        <v>75</v>
      </c>
      <c r="K313" s="3">
        <v>46192</v>
      </c>
      <c r="L313" s="3">
        <v>46190</v>
      </c>
      <c r="M313" s="3">
        <v>46192</v>
      </c>
      <c r="N313" s="3">
        <v>46192</v>
      </c>
      <c r="O313" t="s">
        <v>75</v>
      </c>
      <c r="P313" t="s">
        <v>55</v>
      </c>
      <c r="Q313">
        <v>354</v>
      </c>
      <c r="S313" t="s">
        <v>124</v>
      </c>
      <c r="T313" t="s">
        <v>425</v>
      </c>
      <c r="U313">
        <v>356</v>
      </c>
      <c r="V313" t="s">
        <v>122</v>
      </c>
      <c r="W313">
        <v>13.4</v>
      </c>
      <c r="X313" t="s">
        <v>57</v>
      </c>
      <c r="Z313" t="s">
        <v>124</v>
      </c>
      <c r="AA313" t="s">
        <v>217</v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1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</row>
    <row r="314" spans="1:42" x14ac:dyDescent="0.25">
      <c r="A314">
        <v>356</v>
      </c>
      <c r="B314" t="s">
        <v>763</v>
      </c>
      <c r="C314" t="s">
        <v>761</v>
      </c>
      <c r="D314" t="s">
        <v>126</v>
      </c>
      <c r="E314" s="4">
        <v>1</v>
      </c>
      <c r="F314" t="s">
        <v>127</v>
      </c>
      <c r="G314" t="s">
        <v>127</v>
      </c>
      <c r="H314" s="3">
        <v>46192</v>
      </c>
      <c r="I314" s="3">
        <v>46196</v>
      </c>
      <c r="J314" t="s">
        <v>211</v>
      </c>
      <c r="K314" s="3">
        <v>46196</v>
      </c>
      <c r="L314" s="3">
        <v>46192</v>
      </c>
      <c r="M314" s="3">
        <v>46196</v>
      </c>
      <c r="N314" s="3">
        <v>46196</v>
      </c>
      <c r="O314" t="s">
        <v>211</v>
      </c>
      <c r="P314" t="s">
        <v>55</v>
      </c>
      <c r="Q314">
        <v>355</v>
      </c>
      <c r="S314" t="s">
        <v>302</v>
      </c>
      <c r="T314" t="s">
        <v>425</v>
      </c>
      <c r="U314">
        <v>357</v>
      </c>
      <c r="V314" t="s">
        <v>61</v>
      </c>
      <c r="W314">
        <v>13.4</v>
      </c>
      <c r="X314" t="s">
        <v>57</v>
      </c>
      <c r="Z314" t="s">
        <v>302</v>
      </c>
      <c r="AA314" t="s">
        <v>131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1</v>
      </c>
      <c r="AM314">
        <v>0</v>
      </c>
      <c r="AN314">
        <v>0</v>
      </c>
      <c r="AO314">
        <v>0</v>
      </c>
      <c r="AP314">
        <v>0</v>
      </c>
    </row>
    <row r="315" spans="1:42" x14ac:dyDescent="0.25">
      <c r="A315">
        <v>357</v>
      </c>
      <c r="B315" t="s">
        <v>764</v>
      </c>
      <c r="C315" t="s">
        <v>761</v>
      </c>
      <c r="D315" t="s">
        <v>133</v>
      </c>
      <c r="E315" s="4">
        <v>1</v>
      </c>
      <c r="F315" t="s">
        <v>122</v>
      </c>
      <c r="G315" t="s">
        <v>122</v>
      </c>
      <c r="H315" s="3">
        <v>46195</v>
      </c>
      <c r="I315" s="3">
        <v>46199</v>
      </c>
      <c r="J315" t="s">
        <v>219</v>
      </c>
      <c r="K315" s="3">
        <v>46199</v>
      </c>
      <c r="L315" s="3">
        <v>46195</v>
      </c>
      <c r="M315" s="3">
        <v>46199</v>
      </c>
      <c r="N315" s="3">
        <v>46199</v>
      </c>
      <c r="O315" t="s">
        <v>219</v>
      </c>
      <c r="P315" t="s">
        <v>55</v>
      </c>
      <c r="Q315">
        <v>356</v>
      </c>
      <c r="S315" t="s">
        <v>124</v>
      </c>
      <c r="T315" t="s">
        <v>425</v>
      </c>
      <c r="V315" t="s">
        <v>61</v>
      </c>
      <c r="W315">
        <v>13.4</v>
      </c>
      <c r="X315" t="s">
        <v>57</v>
      </c>
      <c r="Z315" t="s">
        <v>124</v>
      </c>
      <c r="AA315" t="s">
        <v>131</v>
      </c>
      <c r="AE315">
        <v>1</v>
      </c>
      <c r="AF315">
        <v>0</v>
      </c>
      <c r="AG315">
        <v>0</v>
      </c>
      <c r="AH315">
        <v>0</v>
      </c>
      <c r="AI315">
        <v>1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0</v>
      </c>
      <c r="AP315">
        <v>0</v>
      </c>
    </row>
    <row r="316" spans="1:42" x14ac:dyDescent="0.25">
      <c r="A316">
        <v>358</v>
      </c>
      <c r="B316" t="s">
        <v>765</v>
      </c>
      <c r="C316" t="s">
        <v>425</v>
      </c>
      <c r="D316" t="s">
        <v>766</v>
      </c>
      <c r="E316" s="4">
        <v>1</v>
      </c>
      <c r="F316" t="s">
        <v>730</v>
      </c>
      <c r="G316" t="s">
        <v>730</v>
      </c>
      <c r="H316" s="3">
        <v>46140</v>
      </c>
      <c r="I316" s="3">
        <v>46181</v>
      </c>
      <c r="J316" t="s">
        <v>85</v>
      </c>
      <c r="K316" s="3">
        <v>46169</v>
      </c>
      <c r="L316" s="3">
        <v>46140</v>
      </c>
      <c r="M316" s="3">
        <v>46181</v>
      </c>
      <c r="N316" s="3">
        <v>46181</v>
      </c>
      <c r="O316" t="s">
        <v>85</v>
      </c>
      <c r="P316" t="s">
        <v>55</v>
      </c>
      <c r="T316" t="s">
        <v>425</v>
      </c>
      <c r="V316" t="s">
        <v>110</v>
      </c>
      <c r="X316" t="s">
        <v>57</v>
      </c>
      <c r="AA316" t="s">
        <v>50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</row>
    <row r="317" spans="1:42" x14ac:dyDescent="0.25">
      <c r="A317">
        <v>359</v>
      </c>
      <c r="B317" t="s">
        <v>767</v>
      </c>
      <c r="C317" t="s">
        <v>768</v>
      </c>
      <c r="D317" t="s">
        <v>769</v>
      </c>
      <c r="E317" s="4">
        <v>1</v>
      </c>
      <c r="F317" t="s">
        <v>114</v>
      </c>
      <c r="G317" t="s">
        <v>114</v>
      </c>
      <c r="H317" s="3">
        <v>46140</v>
      </c>
      <c r="I317" s="3">
        <v>46153</v>
      </c>
      <c r="J317" t="s">
        <v>85</v>
      </c>
      <c r="K317" s="3">
        <v>46153</v>
      </c>
      <c r="L317" s="3">
        <v>46140</v>
      </c>
      <c r="M317" s="3">
        <v>46153</v>
      </c>
      <c r="N317" s="3">
        <v>46153</v>
      </c>
      <c r="O317" t="s">
        <v>85</v>
      </c>
      <c r="P317" t="s">
        <v>55</v>
      </c>
      <c r="T317" t="s">
        <v>425</v>
      </c>
      <c r="U317" t="s">
        <v>770</v>
      </c>
      <c r="V317" t="s">
        <v>114</v>
      </c>
      <c r="X317" t="s">
        <v>57</v>
      </c>
      <c r="AA317" t="s">
        <v>50</v>
      </c>
      <c r="AE317">
        <v>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</row>
    <row r="318" spans="1:42" x14ac:dyDescent="0.25">
      <c r="A318">
        <v>360</v>
      </c>
      <c r="B318" t="s">
        <v>771</v>
      </c>
      <c r="C318" t="s">
        <v>772</v>
      </c>
      <c r="D318" t="s">
        <v>117</v>
      </c>
      <c r="E318" s="4">
        <v>1</v>
      </c>
      <c r="F318" t="s">
        <v>101</v>
      </c>
      <c r="G318" t="s">
        <v>101</v>
      </c>
      <c r="H318" s="3">
        <v>46140</v>
      </c>
      <c r="I318" s="3">
        <v>46146</v>
      </c>
      <c r="J318" t="s">
        <v>85</v>
      </c>
      <c r="K318" s="3">
        <v>46146</v>
      </c>
      <c r="L318" s="3">
        <v>46140</v>
      </c>
      <c r="M318" s="3">
        <v>46146</v>
      </c>
      <c r="N318" s="3">
        <v>46146</v>
      </c>
      <c r="O318" t="s">
        <v>85</v>
      </c>
      <c r="P318" t="s">
        <v>55</v>
      </c>
      <c r="Q318">
        <v>272</v>
      </c>
      <c r="S318" t="s">
        <v>523</v>
      </c>
      <c r="T318" t="s">
        <v>425</v>
      </c>
      <c r="U318" t="s">
        <v>773</v>
      </c>
      <c r="V318" t="s">
        <v>101</v>
      </c>
      <c r="W318">
        <v>13.4</v>
      </c>
      <c r="X318" t="s">
        <v>57</v>
      </c>
      <c r="Z318" t="s">
        <v>523</v>
      </c>
      <c r="AA318" t="s">
        <v>71</v>
      </c>
      <c r="AE318">
        <v>1</v>
      </c>
      <c r="AF318">
        <v>1</v>
      </c>
      <c r="AG318">
        <v>1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1</v>
      </c>
    </row>
    <row r="319" spans="1:42" x14ac:dyDescent="0.25">
      <c r="A319">
        <v>361</v>
      </c>
      <c r="B319" t="s">
        <v>774</v>
      </c>
      <c r="C319" t="s">
        <v>772</v>
      </c>
      <c r="D319" t="s">
        <v>121</v>
      </c>
      <c r="E319" s="4">
        <v>1</v>
      </c>
      <c r="F319" t="s">
        <v>122</v>
      </c>
      <c r="G319" t="s">
        <v>122</v>
      </c>
      <c r="H319" s="3">
        <v>46147</v>
      </c>
      <c r="I319" s="3">
        <v>46149</v>
      </c>
      <c r="J319" t="s">
        <v>183</v>
      </c>
      <c r="K319" s="3">
        <v>46149</v>
      </c>
      <c r="L319" s="3">
        <v>46147</v>
      </c>
      <c r="M319" s="3">
        <v>46149</v>
      </c>
      <c r="N319" s="3">
        <v>46149</v>
      </c>
      <c r="O319" t="s">
        <v>183</v>
      </c>
      <c r="P319" t="s">
        <v>55</v>
      </c>
      <c r="Q319">
        <v>360</v>
      </c>
      <c r="S319" t="s">
        <v>124</v>
      </c>
      <c r="T319" t="s">
        <v>425</v>
      </c>
      <c r="U319">
        <v>362</v>
      </c>
      <c r="V319" t="s">
        <v>122</v>
      </c>
      <c r="W319">
        <v>13.4</v>
      </c>
      <c r="X319" t="s">
        <v>57</v>
      </c>
      <c r="Z319" t="s">
        <v>124</v>
      </c>
      <c r="AA319" t="s">
        <v>401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1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</row>
    <row r="320" spans="1:42" x14ac:dyDescent="0.25">
      <c r="A320">
        <v>362</v>
      </c>
      <c r="B320" t="s">
        <v>775</v>
      </c>
      <c r="C320" t="s">
        <v>772</v>
      </c>
      <c r="D320" t="s">
        <v>126</v>
      </c>
      <c r="E320" s="4">
        <v>1</v>
      </c>
      <c r="F320" t="s">
        <v>61</v>
      </c>
      <c r="G320" t="s">
        <v>61</v>
      </c>
      <c r="H320" s="3">
        <v>46150</v>
      </c>
      <c r="I320" s="3">
        <v>46150</v>
      </c>
      <c r="J320" t="s">
        <v>403</v>
      </c>
      <c r="K320" s="3">
        <v>46150</v>
      </c>
      <c r="L320" s="3">
        <v>46150</v>
      </c>
      <c r="M320" s="3">
        <v>46150</v>
      </c>
      <c r="N320" s="3">
        <v>46150</v>
      </c>
      <c r="O320" t="s">
        <v>403</v>
      </c>
      <c r="P320" t="s">
        <v>55</v>
      </c>
      <c r="Q320">
        <v>361</v>
      </c>
      <c r="S320" t="s">
        <v>523</v>
      </c>
      <c r="T320" t="s">
        <v>425</v>
      </c>
      <c r="U320" t="s">
        <v>776</v>
      </c>
      <c r="V320" t="s">
        <v>61</v>
      </c>
      <c r="W320">
        <v>13.4</v>
      </c>
      <c r="X320" t="s">
        <v>57</v>
      </c>
      <c r="Z320" t="s">
        <v>523</v>
      </c>
      <c r="AA320" t="s">
        <v>401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1</v>
      </c>
      <c r="AM320">
        <v>0</v>
      </c>
      <c r="AN320">
        <v>0</v>
      </c>
      <c r="AO320">
        <v>0</v>
      </c>
      <c r="AP320">
        <v>0</v>
      </c>
    </row>
    <row r="321" spans="1:42" x14ac:dyDescent="0.25">
      <c r="A321">
        <v>363</v>
      </c>
      <c r="B321" t="s">
        <v>777</v>
      </c>
      <c r="C321" t="s">
        <v>772</v>
      </c>
      <c r="D321" t="s">
        <v>133</v>
      </c>
      <c r="E321" s="4">
        <v>1</v>
      </c>
      <c r="F321" t="s">
        <v>61</v>
      </c>
      <c r="G321" t="s">
        <v>61</v>
      </c>
      <c r="H321" s="3">
        <v>46153</v>
      </c>
      <c r="I321" s="3">
        <v>46153</v>
      </c>
      <c r="J321" t="s">
        <v>418</v>
      </c>
      <c r="K321" s="3">
        <v>46153</v>
      </c>
      <c r="L321" s="3">
        <v>46153</v>
      </c>
      <c r="M321" s="3">
        <v>46153</v>
      </c>
      <c r="N321" s="3">
        <v>46153</v>
      </c>
      <c r="O321" t="s">
        <v>418</v>
      </c>
      <c r="P321" t="s">
        <v>55</v>
      </c>
      <c r="Q321">
        <v>362</v>
      </c>
      <c r="S321" t="s">
        <v>124</v>
      </c>
      <c r="T321" t="s">
        <v>425</v>
      </c>
      <c r="U321">
        <v>365</v>
      </c>
      <c r="V321" t="s">
        <v>61</v>
      </c>
      <c r="W321">
        <v>13.4</v>
      </c>
      <c r="X321" t="s">
        <v>57</v>
      </c>
      <c r="Z321" t="s">
        <v>124</v>
      </c>
      <c r="AA321" t="s">
        <v>93</v>
      </c>
      <c r="AE321">
        <v>1</v>
      </c>
      <c r="AF321">
        <v>0</v>
      </c>
      <c r="AG321">
        <v>0</v>
      </c>
      <c r="AH321">
        <v>0</v>
      </c>
      <c r="AI321">
        <v>1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0</v>
      </c>
      <c r="AP321">
        <v>0</v>
      </c>
    </row>
    <row r="322" spans="1:42" x14ac:dyDescent="0.25">
      <c r="A322">
        <v>364</v>
      </c>
      <c r="B322" t="s">
        <v>778</v>
      </c>
      <c r="C322" t="s">
        <v>768</v>
      </c>
      <c r="D322" t="s">
        <v>779</v>
      </c>
      <c r="E322" s="4">
        <v>1</v>
      </c>
      <c r="F322" t="s">
        <v>192</v>
      </c>
      <c r="G322" t="s">
        <v>192</v>
      </c>
      <c r="H322" s="3">
        <v>46148</v>
      </c>
      <c r="I322" s="3">
        <v>46171</v>
      </c>
      <c r="J322" t="s">
        <v>90</v>
      </c>
      <c r="K322" s="3">
        <v>46169</v>
      </c>
      <c r="L322" s="3">
        <v>46161</v>
      </c>
      <c r="M322" s="3">
        <v>46171</v>
      </c>
      <c r="N322" s="3">
        <v>46171</v>
      </c>
      <c r="O322" t="s">
        <v>304</v>
      </c>
      <c r="P322" t="s">
        <v>55</v>
      </c>
      <c r="T322" t="s">
        <v>425</v>
      </c>
      <c r="V322" t="s">
        <v>175</v>
      </c>
      <c r="X322" t="s">
        <v>57</v>
      </c>
      <c r="AA322" t="s">
        <v>50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</row>
    <row r="323" spans="1:42" x14ac:dyDescent="0.25">
      <c r="A323">
        <v>365</v>
      </c>
      <c r="B323" t="s">
        <v>780</v>
      </c>
      <c r="C323" t="s">
        <v>781</v>
      </c>
      <c r="D323" t="s">
        <v>117</v>
      </c>
      <c r="E323" s="4">
        <v>1</v>
      </c>
      <c r="F323" t="s">
        <v>63</v>
      </c>
      <c r="G323" t="s">
        <v>63</v>
      </c>
      <c r="H323" s="3">
        <v>46148</v>
      </c>
      <c r="I323" s="3">
        <v>46150</v>
      </c>
      <c r="J323" t="s">
        <v>90</v>
      </c>
      <c r="K323" s="3">
        <v>46162</v>
      </c>
      <c r="L323" s="3">
        <v>46161</v>
      </c>
      <c r="M323" s="3">
        <v>46150</v>
      </c>
      <c r="N323" s="3">
        <v>46150</v>
      </c>
      <c r="O323" t="s">
        <v>304</v>
      </c>
      <c r="P323" t="s">
        <v>55</v>
      </c>
      <c r="Q323" t="s">
        <v>776</v>
      </c>
      <c r="S323" t="s">
        <v>523</v>
      </c>
      <c r="T323" t="s">
        <v>425</v>
      </c>
      <c r="U323" t="s">
        <v>782</v>
      </c>
      <c r="V323" t="s">
        <v>127</v>
      </c>
      <c r="W323">
        <v>13.4</v>
      </c>
      <c r="X323" t="s">
        <v>57</v>
      </c>
      <c r="Z323" t="s">
        <v>523</v>
      </c>
      <c r="AA323" t="s">
        <v>198</v>
      </c>
      <c r="AE323">
        <v>1</v>
      </c>
      <c r="AF323">
        <v>1</v>
      </c>
      <c r="AG323">
        <v>1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1</v>
      </c>
    </row>
    <row r="324" spans="1:42" x14ac:dyDescent="0.25">
      <c r="A324">
        <v>366</v>
      </c>
      <c r="B324" t="s">
        <v>783</v>
      </c>
      <c r="C324" t="s">
        <v>781</v>
      </c>
      <c r="D324" t="s">
        <v>121</v>
      </c>
      <c r="E324" s="4">
        <v>1</v>
      </c>
      <c r="F324" t="s">
        <v>127</v>
      </c>
      <c r="G324" t="s">
        <v>127</v>
      </c>
      <c r="H324" s="3">
        <v>46153</v>
      </c>
      <c r="I324" s="3">
        <v>46154</v>
      </c>
      <c r="J324" t="s">
        <v>491</v>
      </c>
      <c r="K324" s="3">
        <v>46167</v>
      </c>
      <c r="L324" s="3">
        <v>46163</v>
      </c>
      <c r="M324" s="3">
        <v>46154</v>
      </c>
      <c r="N324" s="3">
        <v>46154</v>
      </c>
      <c r="O324" t="s">
        <v>418</v>
      </c>
      <c r="P324" t="s">
        <v>55</v>
      </c>
      <c r="Q324">
        <v>365</v>
      </c>
      <c r="S324" t="s">
        <v>124</v>
      </c>
      <c r="T324" t="s">
        <v>425</v>
      </c>
      <c r="U324" t="s">
        <v>784</v>
      </c>
      <c r="V324" t="s">
        <v>122</v>
      </c>
      <c r="W324">
        <v>13.4</v>
      </c>
      <c r="X324" t="s">
        <v>57</v>
      </c>
      <c r="Z324" t="s">
        <v>124</v>
      </c>
      <c r="AA324" t="s">
        <v>198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1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</row>
    <row r="325" spans="1:42" x14ac:dyDescent="0.25">
      <c r="A325">
        <v>367</v>
      </c>
      <c r="B325" t="s">
        <v>785</v>
      </c>
      <c r="C325" t="s">
        <v>781</v>
      </c>
      <c r="D325" t="s">
        <v>126</v>
      </c>
      <c r="E325" s="4">
        <v>1</v>
      </c>
      <c r="F325" t="s">
        <v>697</v>
      </c>
      <c r="G325" t="s">
        <v>697</v>
      </c>
      <c r="H325" s="3">
        <v>46154</v>
      </c>
      <c r="I325" s="3">
        <v>46171</v>
      </c>
      <c r="J325" t="s">
        <v>206</v>
      </c>
      <c r="K325" s="3">
        <v>46168</v>
      </c>
      <c r="L325" s="3">
        <v>46168</v>
      </c>
      <c r="M325" s="3">
        <v>46171</v>
      </c>
      <c r="N325" s="3">
        <v>46171</v>
      </c>
      <c r="O325" t="s">
        <v>741</v>
      </c>
      <c r="P325" t="s">
        <v>55</v>
      </c>
      <c r="Q325" t="s">
        <v>786</v>
      </c>
      <c r="S325" t="s">
        <v>523</v>
      </c>
      <c r="T325" t="s">
        <v>425</v>
      </c>
      <c r="U325">
        <v>368</v>
      </c>
      <c r="V325" t="s">
        <v>61</v>
      </c>
      <c r="W325">
        <v>13.4</v>
      </c>
      <c r="X325" t="s">
        <v>57</v>
      </c>
      <c r="Z325" t="s">
        <v>523</v>
      </c>
      <c r="AA325" t="s">
        <v>77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1</v>
      </c>
      <c r="AM325">
        <v>0</v>
      </c>
      <c r="AN325">
        <v>0</v>
      </c>
      <c r="AO325">
        <v>0</v>
      </c>
      <c r="AP325">
        <v>0</v>
      </c>
    </row>
    <row r="326" spans="1:42" x14ac:dyDescent="0.25">
      <c r="A326">
        <v>368</v>
      </c>
      <c r="B326" t="s">
        <v>787</v>
      </c>
      <c r="C326" t="s">
        <v>781</v>
      </c>
      <c r="D326" t="s">
        <v>133</v>
      </c>
      <c r="E326" s="4">
        <v>1</v>
      </c>
      <c r="F326" t="s">
        <v>788</v>
      </c>
      <c r="G326" t="s">
        <v>788</v>
      </c>
      <c r="H326" s="3">
        <v>46156</v>
      </c>
      <c r="I326" s="3">
        <v>46171</v>
      </c>
      <c r="J326" t="s">
        <v>97</v>
      </c>
      <c r="K326" s="3">
        <v>46169</v>
      </c>
      <c r="L326" s="3">
        <v>46169</v>
      </c>
      <c r="M326" s="3">
        <v>46171</v>
      </c>
      <c r="N326" s="3">
        <v>46171</v>
      </c>
      <c r="O326" t="s">
        <v>406</v>
      </c>
      <c r="P326" t="s">
        <v>55</v>
      </c>
      <c r="Q326">
        <v>367</v>
      </c>
      <c r="S326" t="s">
        <v>124</v>
      </c>
      <c r="T326" t="s">
        <v>425</v>
      </c>
      <c r="V326" t="s">
        <v>61</v>
      </c>
      <c r="W326">
        <v>13.4</v>
      </c>
      <c r="X326" t="s">
        <v>57</v>
      </c>
      <c r="Z326" t="s">
        <v>124</v>
      </c>
      <c r="AA326" t="s">
        <v>77</v>
      </c>
      <c r="AE326">
        <v>1</v>
      </c>
      <c r="AF326">
        <v>0</v>
      </c>
      <c r="AG326">
        <v>0</v>
      </c>
      <c r="AH326">
        <v>0</v>
      </c>
      <c r="AI326">
        <v>1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0</v>
      </c>
      <c r="AP326">
        <v>0</v>
      </c>
    </row>
    <row r="327" spans="1:42" x14ac:dyDescent="0.25">
      <c r="A327">
        <v>369</v>
      </c>
      <c r="B327" t="s">
        <v>789</v>
      </c>
      <c r="C327" t="s">
        <v>768</v>
      </c>
      <c r="D327" t="s">
        <v>790</v>
      </c>
      <c r="E327" s="4">
        <v>1</v>
      </c>
      <c r="F327" t="s">
        <v>192</v>
      </c>
      <c r="G327" t="s">
        <v>192</v>
      </c>
      <c r="H327" s="3">
        <v>46148</v>
      </c>
      <c r="I327" s="3">
        <v>46171</v>
      </c>
      <c r="J327" t="s">
        <v>90</v>
      </c>
      <c r="K327" s="3">
        <v>46169</v>
      </c>
      <c r="L327" s="3">
        <v>46161</v>
      </c>
      <c r="M327" s="3">
        <v>46171</v>
      </c>
      <c r="N327" s="3">
        <v>46171</v>
      </c>
      <c r="O327" t="s">
        <v>304</v>
      </c>
      <c r="P327" t="s">
        <v>55</v>
      </c>
      <c r="T327" t="s">
        <v>425</v>
      </c>
      <c r="V327" t="s">
        <v>175</v>
      </c>
      <c r="X327" t="s">
        <v>57</v>
      </c>
      <c r="AA327" t="s">
        <v>50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</row>
    <row r="328" spans="1:42" x14ac:dyDescent="0.25">
      <c r="A328">
        <v>370</v>
      </c>
      <c r="B328" t="s">
        <v>791</v>
      </c>
      <c r="C328" t="s">
        <v>792</v>
      </c>
      <c r="D328" t="s">
        <v>117</v>
      </c>
      <c r="E328" s="4">
        <v>1</v>
      </c>
      <c r="F328" t="s">
        <v>122</v>
      </c>
      <c r="G328" t="s">
        <v>122</v>
      </c>
      <c r="H328" s="3">
        <v>46148</v>
      </c>
      <c r="I328" s="3">
        <v>46150</v>
      </c>
      <c r="J328" t="s">
        <v>90</v>
      </c>
      <c r="K328" s="3">
        <v>46162</v>
      </c>
      <c r="L328" s="3">
        <v>46161</v>
      </c>
      <c r="M328" s="3">
        <v>46150</v>
      </c>
      <c r="N328" s="3">
        <v>46150</v>
      </c>
      <c r="O328" t="s">
        <v>304</v>
      </c>
      <c r="P328" t="s">
        <v>55</v>
      </c>
      <c r="Q328" t="s">
        <v>793</v>
      </c>
      <c r="S328" t="s">
        <v>523</v>
      </c>
      <c r="T328" t="s">
        <v>425</v>
      </c>
      <c r="U328">
        <v>371</v>
      </c>
      <c r="V328" t="s">
        <v>127</v>
      </c>
      <c r="W328">
        <v>13.4</v>
      </c>
      <c r="X328" t="s">
        <v>57</v>
      </c>
      <c r="Z328" t="s">
        <v>523</v>
      </c>
      <c r="AA328" t="s">
        <v>198</v>
      </c>
      <c r="AE328">
        <v>1</v>
      </c>
      <c r="AF328">
        <v>1</v>
      </c>
      <c r="AG328">
        <v>1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1</v>
      </c>
    </row>
    <row r="329" spans="1:42" x14ac:dyDescent="0.25">
      <c r="A329">
        <v>371</v>
      </c>
      <c r="B329" t="s">
        <v>794</v>
      </c>
      <c r="C329" t="s">
        <v>792</v>
      </c>
      <c r="D329" t="s">
        <v>121</v>
      </c>
      <c r="E329" s="4">
        <v>1</v>
      </c>
      <c r="F329" t="s">
        <v>127</v>
      </c>
      <c r="G329" t="s">
        <v>127</v>
      </c>
      <c r="H329" s="3">
        <v>46153</v>
      </c>
      <c r="I329" s="3">
        <v>46154</v>
      </c>
      <c r="J329" t="s">
        <v>491</v>
      </c>
      <c r="K329" s="3">
        <v>46167</v>
      </c>
      <c r="L329" s="3">
        <v>46163</v>
      </c>
      <c r="M329" s="3">
        <v>46154</v>
      </c>
      <c r="N329" s="3">
        <v>46154</v>
      </c>
      <c r="O329" t="s">
        <v>418</v>
      </c>
      <c r="P329" t="s">
        <v>55</v>
      </c>
      <c r="Q329">
        <v>370</v>
      </c>
      <c r="S329" t="s">
        <v>124</v>
      </c>
      <c r="T329" t="s">
        <v>425</v>
      </c>
      <c r="U329" t="s">
        <v>795</v>
      </c>
      <c r="V329" t="s">
        <v>122</v>
      </c>
      <c r="W329">
        <v>13.4</v>
      </c>
      <c r="X329" t="s">
        <v>57</v>
      </c>
      <c r="Z329" t="s">
        <v>124</v>
      </c>
      <c r="AA329" t="s">
        <v>198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1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</row>
    <row r="330" spans="1:42" x14ac:dyDescent="0.25">
      <c r="A330">
        <v>372</v>
      </c>
      <c r="B330" t="s">
        <v>796</v>
      </c>
      <c r="C330" t="s">
        <v>792</v>
      </c>
      <c r="D330" t="s">
        <v>126</v>
      </c>
      <c r="E330" s="4">
        <v>1</v>
      </c>
      <c r="F330" t="s">
        <v>697</v>
      </c>
      <c r="G330" t="s">
        <v>697</v>
      </c>
      <c r="H330" s="3">
        <v>46154</v>
      </c>
      <c r="I330" s="3">
        <v>46171</v>
      </c>
      <c r="J330" t="s">
        <v>206</v>
      </c>
      <c r="K330" s="3">
        <v>46168</v>
      </c>
      <c r="L330" s="3">
        <v>46168</v>
      </c>
      <c r="M330" s="3">
        <v>46171</v>
      </c>
      <c r="N330" s="3">
        <v>46171</v>
      </c>
      <c r="O330" t="s">
        <v>741</v>
      </c>
      <c r="P330" t="s">
        <v>55</v>
      </c>
      <c r="Q330" t="s">
        <v>797</v>
      </c>
      <c r="S330" t="s">
        <v>523</v>
      </c>
      <c r="T330" t="s">
        <v>425</v>
      </c>
      <c r="U330" t="s">
        <v>798</v>
      </c>
      <c r="V330" t="s">
        <v>61</v>
      </c>
      <c r="W330">
        <v>13.4</v>
      </c>
      <c r="X330" t="s">
        <v>57</v>
      </c>
      <c r="Z330" t="s">
        <v>523</v>
      </c>
      <c r="AA330" t="s">
        <v>77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1</v>
      </c>
      <c r="AM330">
        <v>0</v>
      </c>
      <c r="AN330">
        <v>0</v>
      </c>
      <c r="AO330">
        <v>0</v>
      </c>
      <c r="AP330">
        <v>0</v>
      </c>
    </row>
    <row r="331" spans="1:42" x14ac:dyDescent="0.25">
      <c r="A331">
        <v>373</v>
      </c>
      <c r="B331" t="s">
        <v>799</v>
      </c>
      <c r="C331" t="s">
        <v>792</v>
      </c>
      <c r="D331" t="s">
        <v>133</v>
      </c>
      <c r="E331" s="4">
        <v>1</v>
      </c>
      <c r="F331" t="s">
        <v>788</v>
      </c>
      <c r="G331" t="s">
        <v>788</v>
      </c>
      <c r="H331" s="3">
        <v>46156</v>
      </c>
      <c r="I331" s="3">
        <v>46171</v>
      </c>
      <c r="J331" t="s">
        <v>97</v>
      </c>
      <c r="K331" s="3">
        <v>46169</v>
      </c>
      <c r="L331" s="3">
        <v>46169</v>
      </c>
      <c r="M331" s="3">
        <v>46171</v>
      </c>
      <c r="N331" s="3">
        <v>46171</v>
      </c>
      <c r="O331" t="s">
        <v>406</v>
      </c>
      <c r="P331" t="s">
        <v>55</v>
      </c>
      <c r="Q331">
        <v>372</v>
      </c>
      <c r="S331" t="s">
        <v>124</v>
      </c>
      <c r="T331" t="s">
        <v>425</v>
      </c>
      <c r="V331" t="s">
        <v>61</v>
      </c>
      <c r="W331">
        <v>13.4</v>
      </c>
      <c r="X331" t="s">
        <v>57</v>
      </c>
      <c r="Z331" t="s">
        <v>124</v>
      </c>
      <c r="AA331" t="s">
        <v>77</v>
      </c>
      <c r="AE331">
        <v>1</v>
      </c>
      <c r="AF331">
        <v>0</v>
      </c>
      <c r="AG331">
        <v>0</v>
      </c>
      <c r="AH331">
        <v>0</v>
      </c>
      <c r="AI331">
        <v>1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0</v>
      </c>
      <c r="AP331">
        <v>0</v>
      </c>
    </row>
    <row r="332" spans="1:42" x14ac:dyDescent="0.25">
      <c r="A332">
        <v>374</v>
      </c>
      <c r="B332" t="s">
        <v>800</v>
      </c>
      <c r="C332" t="s">
        <v>768</v>
      </c>
      <c r="D332" t="s">
        <v>801</v>
      </c>
      <c r="E332" s="4">
        <v>1</v>
      </c>
      <c r="F332" t="s">
        <v>187</v>
      </c>
      <c r="G332" t="s">
        <v>187</v>
      </c>
      <c r="H332" s="3">
        <v>46153</v>
      </c>
      <c r="I332" s="3">
        <v>46181</v>
      </c>
      <c r="J332" t="s">
        <v>418</v>
      </c>
      <c r="K332" s="3">
        <v>46181</v>
      </c>
      <c r="L332" s="3">
        <v>46153</v>
      </c>
      <c r="M332" s="3">
        <v>46181</v>
      </c>
      <c r="N332" s="3">
        <v>46181</v>
      </c>
      <c r="O332" t="s">
        <v>418</v>
      </c>
      <c r="P332" t="s">
        <v>55</v>
      </c>
      <c r="T332" t="s">
        <v>425</v>
      </c>
      <c r="V332" t="s">
        <v>175</v>
      </c>
      <c r="X332" t="s">
        <v>57</v>
      </c>
      <c r="AA332" t="s">
        <v>50</v>
      </c>
      <c r="AB332" t="s">
        <v>94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</row>
    <row r="333" spans="1:42" x14ac:dyDescent="0.25">
      <c r="A333">
        <v>375</v>
      </c>
      <c r="B333" t="s">
        <v>802</v>
      </c>
      <c r="C333" t="s">
        <v>803</v>
      </c>
      <c r="D333" t="s">
        <v>117</v>
      </c>
      <c r="E333" s="4">
        <v>1</v>
      </c>
      <c r="F333" t="s">
        <v>804</v>
      </c>
      <c r="G333" t="s">
        <v>804</v>
      </c>
      <c r="H333" s="3">
        <v>46153</v>
      </c>
      <c r="I333" s="3">
        <v>46156</v>
      </c>
      <c r="J333" t="s">
        <v>418</v>
      </c>
      <c r="K333" s="3">
        <v>46156</v>
      </c>
      <c r="L333" s="3">
        <v>46153</v>
      </c>
      <c r="M333" s="3">
        <v>46156</v>
      </c>
      <c r="N333" s="3">
        <v>46156</v>
      </c>
      <c r="O333" t="s">
        <v>418</v>
      </c>
      <c r="P333" t="s">
        <v>55</v>
      </c>
      <c r="S333" t="s">
        <v>523</v>
      </c>
      <c r="T333" t="s">
        <v>425</v>
      </c>
      <c r="U333" t="s">
        <v>805</v>
      </c>
      <c r="V333" t="s">
        <v>127</v>
      </c>
      <c r="W333">
        <v>13.4</v>
      </c>
      <c r="X333" t="s">
        <v>57</v>
      </c>
      <c r="Z333" t="s">
        <v>523</v>
      </c>
      <c r="AA333" t="s">
        <v>198</v>
      </c>
      <c r="AE333">
        <v>1</v>
      </c>
      <c r="AF333">
        <v>1</v>
      </c>
      <c r="AG333">
        <v>1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1</v>
      </c>
    </row>
    <row r="334" spans="1:42" x14ac:dyDescent="0.25">
      <c r="A334">
        <v>376</v>
      </c>
      <c r="B334" t="s">
        <v>806</v>
      </c>
      <c r="C334" t="s">
        <v>803</v>
      </c>
      <c r="D334" t="s">
        <v>121</v>
      </c>
      <c r="E334" s="4">
        <v>1</v>
      </c>
      <c r="F334" t="s">
        <v>63</v>
      </c>
      <c r="G334" t="s">
        <v>63</v>
      </c>
      <c r="H334" s="3">
        <v>46160</v>
      </c>
      <c r="I334" s="3">
        <v>46162</v>
      </c>
      <c r="J334" t="s">
        <v>185</v>
      </c>
      <c r="K334" s="3">
        <v>46162</v>
      </c>
      <c r="L334" s="3">
        <v>46160</v>
      </c>
      <c r="M334" s="3">
        <v>46162</v>
      </c>
      <c r="N334" s="3">
        <v>46162</v>
      </c>
      <c r="O334" t="s">
        <v>185</v>
      </c>
      <c r="P334" t="s">
        <v>55</v>
      </c>
      <c r="Q334" t="s">
        <v>807</v>
      </c>
      <c r="S334" t="s">
        <v>124</v>
      </c>
      <c r="T334" t="s">
        <v>425</v>
      </c>
      <c r="U334">
        <v>377</v>
      </c>
      <c r="V334" t="s">
        <v>122</v>
      </c>
      <c r="W334">
        <v>13.4</v>
      </c>
      <c r="X334" t="s">
        <v>57</v>
      </c>
      <c r="Z334" t="s">
        <v>124</v>
      </c>
      <c r="AA334" t="s">
        <v>198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1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</row>
    <row r="335" spans="1:42" x14ac:dyDescent="0.25">
      <c r="A335">
        <v>377</v>
      </c>
      <c r="B335" t="s">
        <v>808</v>
      </c>
      <c r="C335" t="s">
        <v>803</v>
      </c>
      <c r="D335" t="s">
        <v>126</v>
      </c>
      <c r="E335" s="4">
        <v>1</v>
      </c>
      <c r="F335" t="s">
        <v>138</v>
      </c>
      <c r="G335" t="s">
        <v>138</v>
      </c>
      <c r="H335" s="3">
        <v>46169</v>
      </c>
      <c r="I335" s="3">
        <v>46175</v>
      </c>
      <c r="J335" t="s">
        <v>97</v>
      </c>
      <c r="K335" s="3">
        <v>46175</v>
      </c>
      <c r="L335" s="3">
        <v>46169</v>
      </c>
      <c r="M335" s="3">
        <v>46175</v>
      </c>
      <c r="N335" s="3">
        <v>46175</v>
      </c>
      <c r="O335" t="s">
        <v>97</v>
      </c>
      <c r="P335" t="s">
        <v>55</v>
      </c>
      <c r="Q335">
        <v>376</v>
      </c>
      <c r="S335" t="s">
        <v>523</v>
      </c>
      <c r="T335" t="s">
        <v>425</v>
      </c>
      <c r="U335">
        <v>378</v>
      </c>
      <c r="V335" t="s">
        <v>61</v>
      </c>
      <c r="W335">
        <v>13.4</v>
      </c>
      <c r="X335" t="s">
        <v>57</v>
      </c>
      <c r="Z335" t="s">
        <v>523</v>
      </c>
      <c r="AA335" t="s">
        <v>77</v>
      </c>
      <c r="AE335">
        <v>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1</v>
      </c>
      <c r="AM335">
        <v>0</v>
      </c>
      <c r="AN335">
        <v>0</v>
      </c>
      <c r="AO335">
        <v>0</v>
      </c>
      <c r="AP335">
        <v>0</v>
      </c>
    </row>
    <row r="336" spans="1:42" x14ac:dyDescent="0.25">
      <c r="A336">
        <v>378</v>
      </c>
      <c r="B336" t="s">
        <v>809</v>
      </c>
      <c r="C336" t="s">
        <v>803</v>
      </c>
      <c r="D336" t="s">
        <v>133</v>
      </c>
      <c r="E336" s="4">
        <v>1</v>
      </c>
      <c r="F336" t="s">
        <v>127</v>
      </c>
      <c r="G336" t="s">
        <v>127</v>
      </c>
      <c r="H336" s="3">
        <v>46176</v>
      </c>
      <c r="I336" s="3">
        <v>46181</v>
      </c>
      <c r="J336" t="s">
        <v>459</v>
      </c>
      <c r="K336" s="3">
        <v>46181</v>
      </c>
      <c r="L336" s="3">
        <v>46176</v>
      </c>
      <c r="M336" s="3">
        <v>46181</v>
      </c>
      <c r="N336" s="3">
        <v>46181</v>
      </c>
      <c r="O336" t="s">
        <v>459</v>
      </c>
      <c r="P336" t="s">
        <v>55</v>
      </c>
      <c r="Q336">
        <v>377</v>
      </c>
      <c r="S336" t="s">
        <v>124</v>
      </c>
      <c r="T336" t="s">
        <v>425</v>
      </c>
      <c r="V336" t="s">
        <v>61</v>
      </c>
      <c r="W336">
        <v>13.4</v>
      </c>
      <c r="X336" t="s">
        <v>57</v>
      </c>
      <c r="Z336" t="s">
        <v>124</v>
      </c>
      <c r="AA336" t="s">
        <v>77</v>
      </c>
      <c r="AE336">
        <v>1</v>
      </c>
      <c r="AF336">
        <v>0</v>
      </c>
      <c r="AG336">
        <v>0</v>
      </c>
      <c r="AH336">
        <v>0</v>
      </c>
      <c r="AI336">
        <v>1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0</v>
      </c>
      <c r="AP336">
        <v>0</v>
      </c>
    </row>
    <row r="337" spans="1:42" x14ac:dyDescent="0.25">
      <c r="A337">
        <v>379</v>
      </c>
      <c r="B337" t="s">
        <v>810</v>
      </c>
      <c r="C337" t="s">
        <v>768</v>
      </c>
      <c r="D337" t="s">
        <v>811</v>
      </c>
      <c r="E337" s="4">
        <v>1</v>
      </c>
      <c r="F337" t="s">
        <v>187</v>
      </c>
      <c r="G337" t="s">
        <v>187</v>
      </c>
      <c r="H337" s="3">
        <v>46153</v>
      </c>
      <c r="I337" s="3">
        <v>46181</v>
      </c>
      <c r="J337" t="s">
        <v>418</v>
      </c>
      <c r="K337" s="3">
        <v>46181</v>
      </c>
      <c r="L337" s="3">
        <v>46153</v>
      </c>
      <c r="M337" s="3">
        <v>46181</v>
      </c>
      <c r="N337" s="3">
        <v>46181</v>
      </c>
      <c r="O337" t="s">
        <v>418</v>
      </c>
      <c r="P337" t="s">
        <v>55</v>
      </c>
      <c r="T337" t="s">
        <v>425</v>
      </c>
      <c r="V337" t="s">
        <v>175</v>
      </c>
      <c r="X337" t="s">
        <v>57</v>
      </c>
      <c r="AA337" t="s">
        <v>50</v>
      </c>
      <c r="AB337" t="s">
        <v>94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</row>
    <row r="338" spans="1:42" x14ac:dyDescent="0.25">
      <c r="A338">
        <v>380</v>
      </c>
      <c r="B338" t="s">
        <v>812</v>
      </c>
      <c r="C338" t="s">
        <v>813</v>
      </c>
      <c r="D338" t="s">
        <v>117</v>
      </c>
      <c r="E338" s="4">
        <v>1</v>
      </c>
      <c r="F338" t="s">
        <v>127</v>
      </c>
      <c r="G338" t="s">
        <v>127</v>
      </c>
      <c r="H338" s="3">
        <v>46153</v>
      </c>
      <c r="I338" s="3">
        <v>46154</v>
      </c>
      <c r="J338" t="s">
        <v>418</v>
      </c>
      <c r="K338" s="3">
        <v>46154</v>
      </c>
      <c r="L338" s="3">
        <v>46153</v>
      </c>
      <c r="M338" s="3">
        <v>46154</v>
      </c>
      <c r="N338" s="3">
        <v>46154</v>
      </c>
      <c r="O338" t="s">
        <v>418</v>
      </c>
      <c r="P338" t="s">
        <v>55</v>
      </c>
      <c r="S338" t="s">
        <v>523</v>
      </c>
      <c r="T338" t="s">
        <v>425</v>
      </c>
      <c r="V338" t="s">
        <v>127</v>
      </c>
      <c r="W338">
        <v>13.4</v>
      </c>
      <c r="X338" t="s">
        <v>57</v>
      </c>
      <c r="Z338" t="s">
        <v>523</v>
      </c>
      <c r="AA338" t="s">
        <v>198</v>
      </c>
      <c r="AE338">
        <v>1</v>
      </c>
      <c r="AF338">
        <v>1</v>
      </c>
      <c r="AG338">
        <v>1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1</v>
      </c>
    </row>
    <row r="339" spans="1:42" x14ac:dyDescent="0.25">
      <c r="A339">
        <v>381</v>
      </c>
      <c r="B339" t="s">
        <v>814</v>
      </c>
      <c r="C339" t="s">
        <v>813</v>
      </c>
      <c r="D339" t="s">
        <v>121</v>
      </c>
      <c r="E339" s="4">
        <v>1</v>
      </c>
      <c r="F339" t="s">
        <v>122</v>
      </c>
      <c r="G339" t="s">
        <v>122</v>
      </c>
      <c r="H339" s="3">
        <v>46160</v>
      </c>
      <c r="I339" s="3">
        <v>46162</v>
      </c>
      <c r="J339" t="s">
        <v>185</v>
      </c>
      <c r="K339" s="3">
        <v>46162</v>
      </c>
      <c r="L339" s="3">
        <v>46160</v>
      </c>
      <c r="M339" s="3">
        <v>46162</v>
      </c>
      <c r="N339" s="3">
        <v>46162</v>
      </c>
      <c r="O339" t="s">
        <v>185</v>
      </c>
      <c r="P339" t="s">
        <v>55</v>
      </c>
      <c r="Q339" t="s">
        <v>807</v>
      </c>
      <c r="S339" t="s">
        <v>124</v>
      </c>
      <c r="T339" t="s">
        <v>425</v>
      </c>
      <c r="U339">
        <v>382</v>
      </c>
      <c r="V339" t="s">
        <v>122</v>
      </c>
      <c r="W339">
        <v>13.4</v>
      </c>
      <c r="X339" t="s">
        <v>57</v>
      </c>
      <c r="Z339" t="s">
        <v>124</v>
      </c>
      <c r="AA339" t="s">
        <v>198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1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</row>
    <row r="340" spans="1:42" x14ac:dyDescent="0.25">
      <c r="A340">
        <v>382</v>
      </c>
      <c r="B340" t="s">
        <v>815</v>
      </c>
      <c r="C340" t="s">
        <v>813</v>
      </c>
      <c r="D340" t="s">
        <v>126</v>
      </c>
      <c r="E340" s="4">
        <v>1</v>
      </c>
      <c r="F340" t="s">
        <v>138</v>
      </c>
      <c r="G340" t="s">
        <v>138</v>
      </c>
      <c r="H340" s="3">
        <v>46169</v>
      </c>
      <c r="I340" s="3">
        <v>46175</v>
      </c>
      <c r="J340" t="s">
        <v>97</v>
      </c>
      <c r="K340" s="3">
        <v>46175</v>
      </c>
      <c r="L340" s="3">
        <v>46169</v>
      </c>
      <c r="M340" s="3">
        <v>46175</v>
      </c>
      <c r="N340" s="3">
        <v>46175</v>
      </c>
      <c r="O340" t="s">
        <v>97</v>
      </c>
      <c r="P340" t="s">
        <v>55</v>
      </c>
      <c r="Q340">
        <v>381</v>
      </c>
      <c r="S340" t="s">
        <v>523</v>
      </c>
      <c r="T340" t="s">
        <v>425</v>
      </c>
      <c r="U340">
        <v>383</v>
      </c>
      <c r="V340" t="s">
        <v>61</v>
      </c>
      <c r="W340">
        <v>13.4</v>
      </c>
      <c r="X340" t="s">
        <v>57</v>
      </c>
      <c r="Z340" t="s">
        <v>523</v>
      </c>
      <c r="AA340" t="s">
        <v>77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1</v>
      </c>
      <c r="AM340">
        <v>0</v>
      </c>
      <c r="AN340">
        <v>0</v>
      </c>
      <c r="AO340">
        <v>0</v>
      </c>
      <c r="AP340">
        <v>0</v>
      </c>
    </row>
    <row r="341" spans="1:42" x14ac:dyDescent="0.25">
      <c r="A341">
        <v>383</v>
      </c>
      <c r="B341" t="s">
        <v>816</v>
      </c>
      <c r="C341" t="s">
        <v>813</v>
      </c>
      <c r="D341" t="s">
        <v>133</v>
      </c>
      <c r="E341" s="4">
        <v>1</v>
      </c>
      <c r="F341" t="s">
        <v>127</v>
      </c>
      <c r="G341" t="s">
        <v>127</v>
      </c>
      <c r="H341" s="3">
        <v>46176</v>
      </c>
      <c r="I341" s="3">
        <v>46181</v>
      </c>
      <c r="J341" t="s">
        <v>459</v>
      </c>
      <c r="K341" s="3">
        <v>46181</v>
      </c>
      <c r="L341" s="3">
        <v>46176</v>
      </c>
      <c r="M341" s="3">
        <v>46181</v>
      </c>
      <c r="N341" s="3">
        <v>46181</v>
      </c>
      <c r="O341" t="s">
        <v>459</v>
      </c>
      <c r="P341" t="s">
        <v>55</v>
      </c>
      <c r="Q341">
        <v>382</v>
      </c>
      <c r="S341" t="s">
        <v>124</v>
      </c>
      <c r="T341" t="s">
        <v>425</v>
      </c>
      <c r="V341" t="s">
        <v>61</v>
      </c>
      <c r="W341">
        <v>13.4</v>
      </c>
      <c r="X341" t="s">
        <v>57</v>
      </c>
      <c r="Z341" t="s">
        <v>124</v>
      </c>
      <c r="AA341" t="s">
        <v>77</v>
      </c>
      <c r="AE341">
        <v>1</v>
      </c>
      <c r="AF341">
        <v>0</v>
      </c>
      <c r="AG341">
        <v>0</v>
      </c>
      <c r="AH341">
        <v>0</v>
      </c>
      <c r="AI341">
        <v>1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0</v>
      </c>
      <c r="AP341">
        <v>0</v>
      </c>
    </row>
    <row r="342" spans="1:42" x14ac:dyDescent="0.25">
      <c r="A342">
        <v>384</v>
      </c>
      <c r="B342" t="s">
        <v>817</v>
      </c>
      <c r="C342" t="s">
        <v>425</v>
      </c>
      <c r="D342" t="s">
        <v>818</v>
      </c>
      <c r="E342" s="4">
        <v>1</v>
      </c>
      <c r="F342" t="s">
        <v>613</v>
      </c>
      <c r="G342" t="s">
        <v>613</v>
      </c>
      <c r="H342" s="3">
        <v>46146</v>
      </c>
      <c r="I342" s="3">
        <v>46176</v>
      </c>
      <c r="J342" t="s">
        <v>409</v>
      </c>
      <c r="K342" s="3">
        <v>46185</v>
      </c>
      <c r="L342" s="3">
        <v>46146</v>
      </c>
      <c r="M342" s="3">
        <v>46176</v>
      </c>
      <c r="N342" s="3">
        <v>46176</v>
      </c>
      <c r="O342" t="s">
        <v>409</v>
      </c>
      <c r="P342" t="s">
        <v>55</v>
      </c>
      <c r="T342" t="s">
        <v>425</v>
      </c>
      <c r="V342" t="s">
        <v>819</v>
      </c>
      <c r="X342" t="s">
        <v>57</v>
      </c>
      <c r="AA342" t="s">
        <v>50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</row>
    <row r="343" spans="1:42" x14ac:dyDescent="0.25">
      <c r="A343">
        <v>385</v>
      </c>
      <c r="B343" t="s">
        <v>820</v>
      </c>
      <c r="C343" t="s">
        <v>821</v>
      </c>
      <c r="D343" t="s">
        <v>822</v>
      </c>
      <c r="E343" s="4">
        <v>1</v>
      </c>
      <c r="F343" t="s">
        <v>138</v>
      </c>
      <c r="G343" t="s">
        <v>138</v>
      </c>
      <c r="H343" s="3">
        <v>46146</v>
      </c>
      <c r="I343" s="3">
        <v>46150</v>
      </c>
      <c r="J343" t="s">
        <v>409</v>
      </c>
      <c r="K343" s="3">
        <v>46157</v>
      </c>
      <c r="L343" s="3">
        <v>46146</v>
      </c>
      <c r="M343" s="3">
        <v>46150</v>
      </c>
      <c r="N343" s="3">
        <v>46150</v>
      </c>
      <c r="O343" t="s">
        <v>409</v>
      </c>
      <c r="P343" t="s">
        <v>55</v>
      </c>
      <c r="T343" t="s">
        <v>425</v>
      </c>
      <c r="U343" t="s">
        <v>823</v>
      </c>
      <c r="V343" t="s">
        <v>151</v>
      </c>
      <c r="X343" t="s">
        <v>57</v>
      </c>
      <c r="AA343" t="s">
        <v>50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</row>
    <row r="344" spans="1:42" x14ac:dyDescent="0.25">
      <c r="A344">
        <v>386</v>
      </c>
      <c r="B344" t="s">
        <v>824</v>
      </c>
      <c r="C344" t="s">
        <v>825</v>
      </c>
      <c r="D344" t="s">
        <v>117</v>
      </c>
      <c r="E344" s="4">
        <v>1</v>
      </c>
      <c r="F344" t="s">
        <v>101</v>
      </c>
      <c r="G344" t="s">
        <v>101</v>
      </c>
      <c r="H344" s="3">
        <v>46146</v>
      </c>
      <c r="I344" s="3">
        <v>46149</v>
      </c>
      <c r="J344" t="s">
        <v>409</v>
      </c>
      <c r="K344" s="3">
        <v>46150</v>
      </c>
      <c r="L344" s="3">
        <v>46146</v>
      </c>
      <c r="M344" s="3">
        <v>46149</v>
      </c>
      <c r="N344" s="3">
        <v>46149</v>
      </c>
      <c r="O344" t="s">
        <v>409</v>
      </c>
      <c r="P344" t="s">
        <v>55</v>
      </c>
      <c r="Q344">
        <v>303</v>
      </c>
      <c r="S344" t="s">
        <v>302</v>
      </c>
      <c r="T344" t="s">
        <v>425</v>
      </c>
      <c r="U344" t="s">
        <v>826</v>
      </c>
      <c r="V344" t="s">
        <v>138</v>
      </c>
      <c r="W344">
        <v>13.4</v>
      </c>
      <c r="X344" t="s">
        <v>57</v>
      </c>
      <c r="Z344" t="s">
        <v>302</v>
      </c>
      <c r="AA344" t="s">
        <v>401</v>
      </c>
      <c r="AE344">
        <v>1</v>
      </c>
      <c r="AF344">
        <v>1</v>
      </c>
      <c r="AG344">
        <v>1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1</v>
      </c>
    </row>
    <row r="345" spans="1:42" x14ac:dyDescent="0.25">
      <c r="A345">
        <v>387</v>
      </c>
      <c r="B345" t="s">
        <v>827</v>
      </c>
      <c r="C345" t="s">
        <v>825</v>
      </c>
      <c r="D345" t="s">
        <v>121</v>
      </c>
      <c r="E345" s="4">
        <v>1</v>
      </c>
      <c r="F345" t="s">
        <v>61</v>
      </c>
      <c r="G345" t="s">
        <v>61</v>
      </c>
      <c r="H345" s="3">
        <v>46150</v>
      </c>
      <c r="I345" s="3">
        <v>46150</v>
      </c>
      <c r="J345" t="s">
        <v>418</v>
      </c>
      <c r="K345" s="3">
        <v>46155</v>
      </c>
      <c r="L345" s="3">
        <v>46153</v>
      </c>
      <c r="M345" s="3">
        <v>46150</v>
      </c>
      <c r="N345" s="3">
        <v>46150</v>
      </c>
      <c r="O345" t="s">
        <v>403</v>
      </c>
      <c r="P345" t="s">
        <v>55</v>
      </c>
      <c r="Q345">
        <v>386</v>
      </c>
      <c r="S345" t="s">
        <v>124</v>
      </c>
      <c r="T345" t="s">
        <v>425</v>
      </c>
      <c r="U345">
        <v>388</v>
      </c>
      <c r="V345" t="s">
        <v>122</v>
      </c>
      <c r="W345">
        <v>13.4</v>
      </c>
      <c r="X345" t="s">
        <v>57</v>
      </c>
      <c r="Z345" t="s">
        <v>124</v>
      </c>
      <c r="AA345" t="s">
        <v>93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1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</row>
    <row r="346" spans="1:42" x14ac:dyDescent="0.25">
      <c r="A346">
        <v>388</v>
      </c>
      <c r="B346" t="s">
        <v>828</v>
      </c>
      <c r="C346" t="s">
        <v>825</v>
      </c>
      <c r="D346" t="s">
        <v>126</v>
      </c>
      <c r="E346" s="4">
        <v>1</v>
      </c>
      <c r="F346" t="s">
        <v>61</v>
      </c>
      <c r="G346" t="s">
        <v>61</v>
      </c>
      <c r="H346" s="3">
        <v>46150</v>
      </c>
      <c r="I346" s="3">
        <v>46150</v>
      </c>
      <c r="J346" t="s">
        <v>406</v>
      </c>
      <c r="K346" s="3">
        <v>46156</v>
      </c>
      <c r="L346" s="3">
        <v>46156</v>
      </c>
      <c r="M346" s="3">
        <v>46150</v>
      </c>
      <c r="N346" s="3">
        <v>46150</v>
      </c>
      <c r="O346" t="s">
        <v>403</v>
      </c>
      <c r="P346" t="s">
        <v>55</v>
      </c>
      <c r="Q346">
        <v>387</v>
      </c>
      <c r="S346" t="s">
        <v>302</v>
      </c>
      <c r="T346" t="s">
        <v>425</v>
      </c>
      <c r="U346">
        <v>389</v>
      </c>
      <c r="V346" t="s">
        <v>61</v>
      </c>
      <c r="W346">
        <v>13.4</v>
      </c>
      <c r="X346" t="s">
        <v>57</v>
      </c>
      <c r="Z346" t="s">
        <v>302</v>
      </c>
      <c r="AA346" t="s">
        <v>93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1</v>
      </c>
      <c r="AM346">
        <v>0</v>
      </c>
      <c r="AN346">
        <v>0</v>
      </c>
      <c r="AO346">
        <v>0</v>
      </c>
      <c r="AP346">
        <v>0</v>
      </c>
    </row>
    <row r="347" spans="1:42" x14ac:dyDescent="0.25">
      <c r="A347">
        <v>389</v>
      </c>
      <c r="B347" t="s">
        <v>829</v>
      </c>
      <c r="C347" t="s">
        <v>825</v>
      </c>
      <c r="D347" t="s">
        <v>133</v>
      </c>
      <c r="E347" s="4">
        <v>1</v>
      </c>
      <c r="F347" t="s">
        <v>61</v>
      </c>
      <c r="G347" t="s">
        <v>61</v>
      </c>
      <c r="H347" s="3">
        <v>46150</v>
      </c>
      <c r="I347" s="3">
        <v>46150</v>
      </c>
      <c r="J347" t="s">
        <v>444</v>
      </c>
      <c r="K347" s="3">
        <v>46157</v>
      </c>
      <c r="L347" s="3">
        <v>46157</v>
      </c>
      <c r="M347" s="3">
        <v>46150</v>
      </c>
      <c r="N347" s="3">
        <v>46150</v>
      </c>
      <c r="O347" t="s">
        <v>403</v>
      </c>
      <c r="P347" t="s">
        <v>55</v>
      </c>
      <c r="Q347">
        <v>388</v>
      </c>
      <c r="S347" t="s">
        <v>124</v>
      </c>
      <c r="T347" t="s">
        <v>425</v>
      </c>
      <c r="V347" t="s">
        <v>61</v>
      </c>
      <c r="W347">
        <v>13.4</v>
      </c>
      <c r="X347" t="s">
        <v>57</v>
      </c>
      <c r="Z347" t="s">
        <v>124</v>
      </c>
      <c r="AA347" t="s">
        <v>93</v>
      </c>
      <c r="AE347">
        <v>1</v>
      </c>
      <c r="AF347">
        <v>0</v>
      </c>
      <c r="AG347">
        <v>0</v>
      </c>
      <c r="AH347">
        <v>0</v>
      </c>
      <c r="AI347">
        <v>1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0</v>
      </c>
      <c r="AP347">
        <v>0</v>
      </c>
    </row>
    <row r="348" spans="1:42" x14ac:dyDescent="0.25">
      <c r="A348">
        <v>390</v>
      </c>
      <c r="B348" t="s">
        <v>830</v>
      </c>
      <c r="C348" t="s">
        <v>821</v>
      </c>
      <c r="D348" t="s">
        <v>831</v>
      </c>
      <c r="E348" s="4">
        <v>1</v>
      </c>
      <c r="F348" t="s">
        <v>110</v>
      </c>
      <c r="G348" t="s">
        <v>110</v>
      </c>
      <c r="H348" s="3">
        <v>46148</v>
      </c>
      <c r="I348" s="3">
        <v>46176</v>
      </c>
      <c r="J348" t="s">
        <v>472</v>
      </c>
      <c r="K348" s="3">
        <v>46185</v>
      </c>
      <c r="L348" s="3">
        <v>46175</v>
      </c>
      <c r="M348" s="3">
        <v>46176</v>
      </c>
      <c r="N348" s="3">
        <v>46176</v>
      </c>
      <c r="O348" t="s">
        <v>304</v>
      </c>
      <c r="P348" t="s">
        <v>55</v>
      </c>
      <c r="T348" t="s">
        <v>425</v>
      </c>
      <c r="V348" t="s">
        <v>175</v>
      </c>
      <c r="X348" t="s">
        <v>57</v>
      </c>
      <c r="AA348" t="s">
        <v>50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</row>
    <row r="349" spans="1:42" x14ac:dyDescent="0.25">
      <c r="A349">
        <v>391</v>
      </c>
      <c r="B349" t="s">
        <v>832</v>
      </c>
      <c r="C349" t="s">
        <v>833</v>
      </c>
      <c r="D349" t="s">
        <v>117</v>
      </c>
      <c r="E349" s="4">
        <v>1</v>
      </c>
      <c r="F349" t="s">
        <v>63</v>
      </c>
      <c r="G349" t="s">
        <v>63</v>
      </c>
      <c r="H349" s="3">
        <v>46148</v>
      </c>
      <c r="I349" s="3">
        <v>46150</v>
      </c>
      <c r="J349" t="s">
        <v>472</v>
      </c>
      <c r="K349" s="3">
        <v>46176</v>
      </c>
      <c r="L349" s="3">
        <v>46175</v>
      </c>
      <c r="M349" s="3">
        <v>46150</v>
      </c>
      <c r="N349" s="3">
        <v>46150</v>
      </c>
      <c r="O349" t="s">
        <v>304</v>
      </c>
      <c r="P349" t="s">
        <v>55</v>
      </c>
      <c r="Q349" t="s">
        <v>834</v>
      </c>
      <c r="S349" t="s">
        <v>302</v>
      </c>
      <c r="T349" t="s">
        <v>425</v>
      </c>
      <c r="U349" t="s">
        <v>835</v>
      </c>
      <c r="V349" t="s">
        <v>127</v>
      </c>
      <c r="W349">
        <v>13.4</v>
      </c>
      <c r="X349" t="s">
        <v>57</v>
      </c>
      <c r="Z349" t="s">
        <v>302</v>
      </c>
      <c r="AA349" t="s">
        <v>460</v>
      </c>
      <c r="AE349">
        <v>1</v>
      </c>
      <c r="AF349">
        <v>1</v>
      </c>
      <c r="AG349">
        <v>1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1</v>
      </c>
    </row>
    <row r="350" spans="1:42" x14ac:dyDescent="0.25">
      <c r="A350">
        <v>392</v>
      </c>
      <c r="B350" t="s">
        <v>836</v>
      </c>
      <c r="C350" t="s">
        <v>833</v>
      </c>
      <c r="D350" t="s">
        <v>121</v>
      </c>
      <c r="E350" s="4">
        <v>1</v>
      </c>
      <c r="F350" t="s">
        <v>127</v>
      </c>
      <c r="G350" t="s">
        <v>127</v>
      </c>
      <c r="H350" s="3">
        <v>46153</v>
      </c>
      <c r="I350" s="3">
        <v>46154</v>
      </c>
      <c r="J350" t="s">
        <v>201</v>
      </c>
      <c r="K350" s="3">
        <v>46183</v>
      </c>
      <c r="L350" s="3">
        <v>46181</v>
      </c>
      <c r="M350" s="3">
        <v>46154</v>
      </c>
      <c r="N350" s="3">
        <v>46154</v>
      </c>
      <c r="O350" t="s">
        <v>418</v>
      </c>
      <c r="P350" t="s">
        <v>55</v>
      </c>
      <c r="Q350">
        <v>391</v>
      </c>
      <c r="S350" t="s">
        <v>124</v>
      </c>
      <c r="T350" t="s">
        <v>425</v>
      </c>
      <c r="U350">
        <v>393</v>
      </c>
      <c r="V350" t="s">
        <v>122</v>
      </c>
      <c r="W350">
        <v>13.4</v>
      </c>
      <c r="X350" t="s">
        <v>57</v>
      </c>
      <c r="Z350" t="s">
        <v>124</v>
      </c>
      <c r="AA350" t="s">
        <v>462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1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</row>
    <row r="351" spans="1:42" x14ac:dyDescent="0.25">
      <c r="A351">
        <v>393</v>
      </c>
      <c r="B351" t="s">
        <v>837</v>
      </c>
      <c r="C351" t="s">
        <v>833</v>
      </c>
      <c r="D351" t="s">
        <v>126</v>
      </c>
      <c r="E351" s="4">
        <v>1</v>
      </c>
      <c r="F351" t="s">
        <v>101</v>
      </c>
      <c r="G351" t="s">
        <v>101</v>
      </c>
      <c r="H351" s="3">
        <v>46154</v>
      </c>
      <c r="I351" s="3">
        <v>46160</v>
      </c>
      <c r="J351" t="s">
        <v>476</v>
      </c>
      <c r="K351" s="3">
        <v>46184</v>
      </c>
      <c r="L351" s="3">
        <v>46184</v>
      </c>
      <c r="M351" s="3">
        <v>46160</v>
      </c>
      <c r="N351" s="3">
        <v>46160</v>
      </c>
      <c r="O351" t="s">
        <v>741</v>
      </c>
      <c r="P351" t="s">
        <v>55</v>
      </c>
      <c r="Q351">
        <v>392</v>
      </c>
      <c r="S351" t="s">
        <v>302</v>
      </c>
      <c r="T351" t="s">
        <v>425</v>
      </c>
      <c r="U351" t="s">
        <v>838</v>
      </c>
      <c r="V351" t="s">
        <v>61</v>
      </c>
      <c r="W351">
        <v>13.4</v>
      </c>
      <c r="X351" t="s">
        <v>57</v>
      </c>
      <c r="Z351" t="s">
        <v>302</v>
      </c>
      <c r="AA351" t="s">
        <v>462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1</v>
      </c>
      <c r="AM351">
        <v>0</v>
      </c>
      <c r="AN351">
        <v>0</v>
      </c>
      <c r="AO351">
        <v>0</v>
      </c>
      <c r="AP351">
        <v>0</v>
      </c>
    </row>
    <row r="352" spans="1:42" x14ac:dyDescent="0.25">
      <c r="A352">
        <v>394</v>
      </c>
      <c r="B352" t="s">
        <v>839</v>
      </c>
      <c r="C352" t="s">
        <v>833</v>
      </c>
      <c r="D352" t="s">
        <v>133</v>
      </c>
      <c r="E352" s="4">
        <v>1</v>
      </c>
      <c r="F352" t="s">
        <v>840</v>
      </c>
      <c r="G352" t="s">
        <v>840</v>
      </c>
      <c r="H352" s="3">
        <v>46160</v>
      </c>
      <c r="I352" s="3">
        <v>46176</v>
      </c>
      <c r="J352" t="s">
        <v>571</v>
      </c>
      <c r="K352" s="3">
        <v>46185</v>
      </c>
      <c r="L352" s="3">
        <v>46185</v>
      </c>
      <c r="M352" s="3">
        <v>46176</v>
      </c>
      <c r="N352" s="3">
        <v>46176</v>
      </c>
      <c r="O352" t="s">
        <v>185</v>
      </c>
      <c r="P352" t="s">
        <v>55</v>
      </c>
      <c r="Q352" t="s">
        <v>841</v>
      </c>
      <c r="S352" t="s">
        <v>124</v>
      </c>
      <c r="T352" t="s">
        <v>425</v>
      </c>
      <c r="V352" t="s">
        <v>61</v>
      </c>
      <c r="W352">
        <v>13.4</v>
      </c>
      <c r="X352" t="s">
        <v>57</v>
      </c>
      <c r="Z352" t="s">
        <v>124</v>
      </c>
      <c r="AA352" t="s">
        <v>462</v>
      </c>
      <c r="AE352">
        <v>1</v>
      </c>
      <c r="AF352">
        <v>0</v>
      </c>
      <c r="AG352">
        <v>0</v>
      </c>
      <c r="AH352">
        <v>0</v>
      </c>
      <c r="AI352">
        <v>1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0</v>
      </c>
      <c r="AP352">
        <v>0</v>
      </c>
    </row>
    <row r="353" spans="1:42" x14ac:dyDescent="0.25">
      <c r="A353">
        <v>395</v>
      </c>
      <c r="B353" t="s">
        <v>842</v>
      </c>
      <c r="C353" t="s">
        <v>821</v>
      </c>
      <c r="D353" t="s">
        <v>843</v>
      </c>
      <c r="E353" s="4">
        <v>1</v>
      </c>
      <c r="F353" t="s">
        <v>110</v>
      </c>
      <c r="G353" t="s">
        <v>110</v>
      </c>
      <c r="H353" s="3">
        <v>46148</v>
      </c>
      <c r="I353" s="3">
        <v>46176</v>
      </c>
      <c r="J353" t="s">
        <v>472</v>
      </c>
      <c r="K353" s="3">
        <v>46185</v>
      </c>
      <c r="L353" s="3">
        <v>46175</v>
      </c>
      <c r="M353" s="3">
        <v>46176</v>
      </c>
      <c r="N353" s="3">
        <v>46176</v>
      </c>
      <c r="O353" t="s">
        <v>304</v>
      </c>
      <c r="P353" t="s">
        <v>55</v>
      </c>
      <c r="T353" t="s">
        <v>425</v>
      </c>
      <c r="V353" t="s">
        <v>175</v>
      </c>
      <c r="X353" t="s">
        <v>57</v>
      </c>
      <c r="AA353" t="s">
        <v>50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</row>
    <row r="354" spans="1:42" x14ac:dyDescent="0.25">
      <c r="A354">
        <v>396</v>
      </c>
      <c r="B354" t="s">
        <v>844</v>
      </c>
      <c r="C354" t="s">
        <v>845</v>
      </c>
      <c r="D354" t="s">
        <v>117</v>
      </c>
      <c r="E354" s="4">
        <v>1</v>
      </c>
      <c r="F354" t="s">
        <v>122</v>
      </c>
      <c r="G354" t="s">
        <v>122</v>
      </c>
      <c r="H354" s="3">
        <v>46148</v>
      </c>
      <c r="I354" s="3">
        <v>46150</v>
      </c>
      <c r="J354" t="s">
        <v>472</v>
      </c>
      <c r="K354" s="3">
        <v>46176</v>
      </c>
      <c r="L354" s="3">
        <v>46175</v>
      </c>
      <c r="M354" s="3">
        <v>46150</v>
      </c>
      <c r="N354" s="3">
        <v>46150</v>
      </c>
      <c r="O354" t="s">
        <v>304</v>
      </c>
      <c r="P354" t="s">
        <v>55</v>
      </c>
      <c r="Q354" t="s">
        <v>846</v>
      </c>
      <c r="S354" t="s">
        <v>302</v>
      </c>
      <c r="T354" t="s">
        <v>425</v>
      </c>
      <c r="U354">
        <v>397</v>
      </c>
      <c r="V354" t="s">
        <v>127</v>
      </c>
      <c r="W354">
        <v>13.4</v>
      </c>
      <c r="X354" t="s">
        <v>57</v>
      </c>
      <c r="Z354" t="s">
        <v>302</v>
      </c>
      <c r="AA354" t="s">
        <v>460</v>
      </c>
      <c r="AE354">
        <v>1</v>
      </c>
      <c r="AF354">
        <v>1</v>
      </c>
      <c r="AG354">
        <v>1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1</v>
      </c>
    </row>
    <row r="355" spans="1:42" x14ac:dyDescent="0.25">
      <c r="A355">
        <v>397</v>
      </c>
      <c r="B355" t="s">
        <v>847</v>
      </c>
      <c r="C355" t="s">
        <v>845</v>
      </c>
      <c r="D355" t="s">
        <v>121</v>
      </c>
      <c r="E355" s="4">
        <v>1</v>
      </c>
      <c r="F355" t="s">
        <v>127</v>
      </c>
      <c r="G355" t="s">
        <v>127</v>
      </c>
      <c r="H355" s="3">
        <v>46153</v>
      </c>
      <c r="I355" s="3">
        <v>46154</v>
      </c>
      <c r="J355" t="s">
        <v>201</v>
      </c>
      <c r="K355" s="3">
        <v>46183</v>
      </c>
      <c r="L355" s="3">
        <v>46181</v>
      </c>
      <c r="M355" s="3">
        <v>46154</v>
      </c>
      <c r="N355" s="3">
        <v>46154</v>
      </c>
      <c r="O355" t="s">
        <v>418</v>
      </c>
      <c r="P355" t="s">
        <v>55</v>
      </c>
      <c r="Q355">
        <v>396</v>
      </c>
      <c r="S355" t="s">
        <v>124</v>
      </c>
      <c r="T355" t="s">
        <v>425</v>
      </c>
      <c r="U355">
        <v>398</v>
      </c>
      <c r="V355" t="s">
        <v>122</v>
      </c>
      <c r="W355">
        <v>13.4</v>
      </c>
      <c r="X355" t="s">
        <v>57</v>
      </c>
      <c r="Z355" t="s">
        <v>124</v>
      </c>
      <c r="AA355" t="s">
        <v>462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1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</row>
    <row r="356" spans="1:42" x14ac:dyDescent="0.25">
      <c r="A356">
        <v>398</v>
      </c>
      <c r="B356" t="s">
        <v>848</v>
      </c>
      <c r="C356" t="s">
        <v>845</v>
      </c>
      <c r="D356" t="s">
        <v>126</v>
      </c>
      <c r="E356" s="4">
        <v>1</v>
      </c>
      <c r="F356" t="s">
        <v>101</v>
      </c>
      <c r="G356" t="s">
        <v>101</v>
      </c>
      <c r="H356" s="3">
        <v>46154</v>
      </c>
      <c r="I356" s="3">
        <v>46160</v>
      </c>
      <c r="J356" t="s">
        <v>476</v>
      </c>
      <c r="K356" s="3">
        <v>46184</v>
      </c>
      <c r="L356" s="3">
        <v>46184</v>
      </c>
      <c r="M356" s="3">
        <v>46160</v>
      </c>
      <c r="N356" s="3">
        <v>46160</v>
      </c>
      <c r="O356" t="s">
        <v>741</v>
      </c>
      <c r="P356" t="s">
        <v>55</v>
      </c>
      <c r="Q356">
        <v>397</v>
      </c>
      <c r="S356" t="s">
        <v>302</v>
      </c>
      <c r="T356" t="s">
        <v>425</v>
      </c>
      <c r="U356" t="s">
        <v>849</v>
      </c>
      <c r="V356" t="s">
        <v>61</v>
      </c>
      <c r="W356">
        <v>13.4</v>
      </c>
      <c r="X356" t="s">
        <v>57</v>
      </c>
      <c r="Z356" t="s">
        <v>302</v>
      </c>
      <c r="AA356" t="s">
        <v>462</v>
      </c>
      <c r="AE356">
        <v>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1</v>
      </c>
      <c r="AM356">
        <v>0</v>
      </c>
      <c r="AN356">
        <v>0</v>
      </c>
      <c r="AO356">
        <v>0</v>
      </c>
      <c r="AP356">
        <v>0</v>
      </c>
    </row>
    <row r="357" spans="1:42" x14ac:dyDescent="0.25">
      <c r="A357">
        <v>399</v>
      </c>
      <c r="B357" t="s">
        <v>850</v>
      </c>
      <c r="C357" t="s">
        <v>845</v>
      </c>
      <c r="D357" t="s">
        <v>133</v>
      </c>
      <c r="E357" s="4">
        <v>1</v>
      </c>
      <c r="F357" t="s">
        <v>840</v>
      </c>
      <c r="G357" t="s">
        <v>840</v>
      </c>
      <c r="H357" s="3">
        <v>46160</v>
      </c>
      <c r="I357" s="3">
        <v>46176</v>
      </c>
      <c r="J357" t="s">
        <v>571</v>
      </c>
      <c r="K357" s="3">
        <v>46185</v>
      </c>
      <c r="L357" s="3">
        <v>46185</v>
      </c>
      <c r="M357" s="3">
        <v>46176</v>
      </c>
      <c r="N357" s="3">
        <v>46176</v>
      </c>
      <c r="O357" t="s">
        <v>185</v>
      </c>
      <c r="P357" t="s">
        <v>55</v>
      </c>
      <c r="Q357" t="s">
        <v>851</v>
      </c>
      <c r="S357" t="s">
        <v>124</v>
      </c>
      <c r="T357" t="s">
        <v>425</v>
      </c>
      <c r="V357" t="s">
        <v>61</v>
      </c>
      <c r="W357">
        <v>13.4</v>
      </c>
      <c r="X357" t="s">
        <v>57</v>
      </c>
      <c r="Z357" t="s">
        <v>124</v>
      </c>
      <c r="AA357" t="s">
        <v>462</v>
      </c>
      <c r="AE357">
        <v>1</v>
      </c>
      <c r="AF357">
        <v>0</v>
      </c>
      <c r="AG357">
        <v>0</v>
      </c>
      <c r="AH357">
        <v>0</v>
      </c>
      <c r="AI357">
        <v>1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0</v>
      </c>
      <c r="AP357">
        <v>0</v>
      </c>
    </row>
    <row r="358" spans="1:42" x14ac:dyDescent="0.25">
      <c r="A358">
        <v>400</v>
      </c>
      <c r="B358" t="s">
        <v>852</v>
      </c>
      <c r="C358" t="s">
        <v>821</v>
      </c>
      <c r="D358" t="s">
        <v>853</v>
      </c>
      <c r="E358" s="4">
        <v>1</v>
      </c>
      <c r="F358" t="s">
        <v>295</v>
      </c>
      <c r="G358" t="s">
        <v>295</v>
      </c>
      <c r="H358" s="3">
        <v>46148</v>
      </c>
      <c r="I358" s="3">
        <v>46169</v>
      </c>
      <c r="J358" t="s">
        <v>304</v>
      </c>
      <c r="K358" s="3">
        <v>46169</v>
      </c>
      <c r="L358" s="3">
        <v>46148</v>
      </c>
      <c r="M358" s="3">
        <v>46169</v>
      </c>
      <c r="N358" s="3">
        <v>46169</v>
      </c>
      <c r="O358" t="s">
        <v>304</v>
      </c>
      <c r="P358" t="s">
        <v>55</v>
      </c>
      <c r="T358" t="s">
        <v>425</v>
      </c>
      <c r="V358" t="s">
        <v>175</v>
      </c>
      <c r="X358" t="s">
        <v>57</v>
      </c>
      <c r="AA358" t="s">
        <v>50</v>
      </c>
      <c r="AB358" t="s">
        <v>94</v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</row>
    <row r="359" spans="1:42" x14ac:dyDescent="0.25">
      <c r="A359">
        <v>401</v>
      </c>
      <c r="B359" t="s">
        <v>854</v>
      </c>
      <c r="C359" t="s">
        <v>855</v>
      </c>
      <c r="D359" t="s">
        <v>117</v>
      </c>
      <c r="E359" s="4">
        <v>1</v>
      </c>
      <c r="F359" t="s">
        <v>122</v>
      </c>
      <c r="G359" t="s">
        <v>122</v>
      </c>
      <c r="H359" s="3">
        <v>46148</v>
      </c>
      <c r="I359" s="3">
        <v>46150</v>
      </c>
      <c r="J359" t="s">
        <v>304</v>
      </c>
      <c r="K359" s="3">
        <v>46150</v>
      </c>
      <c r="L359" s="3">
        <v>46148</v>
      </c>
      <c r="M359" s="3">
        <v>46150</v>
      </c>
      <c r="N359" s="3">
        <v>46150</v>
      </c>
      <c r="O359" t="s">
        <v>304</v>
      </c>
      <c r="P359" t="s">
        <v>55</v>
      </c>
      <c r="Q359" t="s">
        <v>846</v>
      </c>
      <c r="S359" t="s">
        <v>302</v>
      </c>
      <c r="T359" t="s">
        <v>425</v>
      </c>
      <c r="U359">
        <v>402</v>
      </c>
      <c r="V359" t="s">
        <v>127</v>
      </c>
      <c r="W359">
        <v>13.4</v>
      </c>
      <c r="X359" t="s">
        <v>57</v>
      </c>
      <c r="Z359" t="s">
        <v>302</v>
      </c>
      <c r="AA359" t="s">
        <v>460</v>
      </c>
      <c r="AE359">
        <v>1</v>
      </c>
      <c r="AF359">
        <v>1</v>
      </c>
      <c r="AG359">
        <v>1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1</v>
      </c>
    </row>
    <row r="360" spans="1:42" x14ac:dyDescent="0.25">
      <c r="A360">
        <v>402</v>
      </c>
      <c r="B360" t="s">
        <v>856</v>
      </c>
      <c r="C360" t="s">
        <v>855</v>
      </c>
      <c r="D360" t="s">
        <v>121</v>
      </c>
      <c r="E360" s="4">
        <v>1</v>
      </c>
      <c r="F360" t="s">
        <v>127</v>
      </c>
      <c r="G360" t="s">
        <v>127</v>
      </c>
      <c r="H360" s="3">
        <v>46153</v>
      </c>
      <c r="I360" s="3">
        <v>46154</v>
      </c>
      <c r="J360" t="s">
        <v>418</v>
      </c>
      <c r="K360" s="3">
        <v>46154</v>
      </c>
      <c r="L360" s="3">
        <v>46153</v>
      </c>
      <c r="M360" s="3">
        <v>46154</v>
      </c>
      <c r="N360" s="3">
        <v>46154</v>
      </c>
      <c r="O360" t="s">
        <v>418</v>
      </c>
      <c r="P360" t="s">
        <v>55</v>
      </c>
      <c r="Q360">
        <v>401</v>
      </c>
      <c r="S360" t="s">
        <v>124</v>
      </c>
      <c r="T360" t="s">
        <v>425</v>
      </c>
      <c r="U360">
        <v>403</v>
      </c>
      <c r="V360" t="s">
        <v>122</v>
      </c>
      <c r="W360">
        <v>13.4</v>
      </c>
      <c r="X360" t="s">
        <v>57</v>
      </c>
      <c r="Z360" t="s">
        <v>124</v>
      </c>
      <c r="AA360" t="s">
        <v>462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1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</row>
    <row r="361" spans="1:42" x14ac:dyDescent="0.25">
      <c r="A361">
        <v>403</v>
      </c>
      <c r="B361" t="s">
        <v>857</v>
      </c>
      <c r="C361" t="s">
        <v>855</v>
      </c>
      <c r="D361" t="s">
        <v>126</v>
      </c>
      <c r="E361" s="4">
        <v>1</v>
      </c>
      <c r="F361" t="s">
        <v>101</v>
      </c>
      <c r="G361" t="s">
        <v>101</v>
      </c>
      <c r="H361" s="3">
        <v>46154</v>
      </c>
      <c r="I361" s="3">
        <v>46160</v>
      </c>
      <c r="J361" t="s">
        <v>741</v>
      </c>
      <c r="K361" s="3">
        <v>46160</v>
      </c>
      <c r="L361" s="3">
        <v>46154</v>
      </c>
      <c r="M361" s="3">
        <v>46160</v>
      </c>
      <c r="N361" s="3">
        <v>46160</v>
      </c>
      <c r="O361" t="s">
        <v>741</v>
      </c>
      <c r="P361" t="s">
        <v>55</v>
      </c>
      <c r="Q361">
        <v>402</v>
      </c>
      <c r="S361" t="s">
        <v>302</v>
      </c>
      <c r="T361" t="s">
        <v>425</v>
      </c>
      <c r="U361" t="s">
        <v>858</v>
      </c>
      <c r="V361" t="s">
        <v>61</v>
      </c>
      <c r="W361">
        <v>13.4</v>
      </c>
      <c r="X361" t="s">
        <v>57</v>
      </c>
      <c r="Z361" t="s">
        <v>302</v>
      </c>
      <c r="AA361" t="s">
        <v>462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1</v>
      </c>
      <c r="AM361">
        <v>0</v>
      </c>
      <c r="AN361">
        <v>0</v>
      </c>
      <c r="AO361">
        <v>0</v>
      </c>
      <c r="AP361">
        <v>0</v>
      </c>
    </row>
    <row r="362" spans="1:42" x14ac:dyDescent="0.25">
      <c r="A362">
        <v>404</v>
      </c>
      <c r="B362" t="s">
        <v>859</v>
      </c>
      <c r="C362" t="s">
        <v>855</v>
      </c>
      <c r="D362" t="s">
        <v>133</v>
      </c>
      <c r="E362" s="4">
        <v>1</v>
      </c>
      <c r="F362" t="s">
        <v>860</v>
      </c>
      <c r="G362" t="s">
        <v>860</v>
      </c>
      <c r="H362" s="3">
        <v>46160</v>
      </c>
      <c r="I362" s="3">
        <v>46169</v>
      </c>
      <c r="J362" t="s">
        <v>185</v>
      </c>
      <c r="K362" s="3">
        <v>46169</v>
      </c>
      <c r="L362" s="3">
        <v>46160</v>
      </c>
      <c r="M362" s="3">
        <v>46169</v>
      </c>
      <c r="N362" s="3">
        <v>46169</v>
      </c>
      <c r="O362" t="s">
        <v>185</v>
      </c>
      <c r="P362" t="s">
        <v>55</v>
      </c>
      <c r="Q362" t="s">
        <v>861</v>
      </c>
      <c r="S362" t="s">
        <v>124</v>
      </c>
      <c r="T362" t="s">
        <v>425</v>
      </c>
      <c r="V362" t="s">
        <v>61</v>
      </c>
      <c r="W362">
        <v>13.4</v>
      </c>
      <c r="X362" t="s">
        <v>57</v>
      </c>
      <c r="Z362" t="s">
        <v>124</v>
      </c>
      <c r="AA362" t="s">
        <v>462</v>
      </c>
      <c r="AE362">
        <v>1</v>
      </c>
      <c r="AF362">
        <v>0</v>
      </c>
      <c r="AG362">
        <v>0</v>
      </c>
      <c r="AH362">
        <v>0</v>
      </c>
      <c r="AI362">
        <v>1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0</v>
      </c>
      <c r="AP362">
        <v>0</v>
      </c>
    </row>
    <row r="363" spans="1:42" x14ac:dyDescent="0.25">
      <c r="A363">
        <v>405</v>
      </c>
      <c r="B363" t="s">
        <v>862</v>
      </c>
      <c r="C363" t="s">
        <v>821</v>
      </c>
      <c r="D363" t="s">
        <v>863</v>
      </c>
      <c r="E363" s="4">
        <v>1</v>
      </c>
      <c r="F363" t="s">
        <v>295</v>
      </c>
      <c r="G363" t="s">
        <v>295</v>
      </c>
      <c r="H363" s="3">
        <v>46148</v>
      </c>
      <c r="I363" s="3">
        <v>46169</v>
      </c>
      <c r="J363" t="s">
        <v>304</v>
      </c>
      <c r="K363" s="3">
        <v>46169</v>
      </c>
      <c r="L363" s="3">
        <v>46148</v>
      </c>
      <c r="M363" s="3">
        <v>46169</v>
      </c>
      <c r="N363" s="3">
        <v>46169</v>
      </c>
      <c r="O363" t="s">
        <v>304</v>
      </c>
      <c r="P363" t="s">
        <v>55</v>
      </c>
      <c r="T363" t="s">
        <v>425</v>
      </c>
      <c r="V363" t="s">
        <v>175</v>
      </c>
      <c r="X363" t="s">
        <v>57</v>
      </c>
      <c r="AA363" t="s">
        <v>50</v>
      </c>
      <c r="AB363" t="s">
        <v>94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</row>
    <row r="364" spans="1:42" x14ac:dyDescent="0.25">
      <c r="A364">
        <v>406</v>
      </c>
      <c r="B364" t="s">
        <v>864</v>
      </c>
      <c r="C364" t="s">
        <v>865</v>
      </c>
      <c r="D364" t="s">
        <v>117</v>
      </c>
      <c r="E364" s="4">
        <v>1</v>
      </c>
      <c r="F364" t="s">
        <v>122</v>
      </c>
      <c r="G364" t="s">
        <v>122</v>
      </c>
      <c r="H364" s="3">
        <v>46148</v>
      </c>
      <c r="I364" s="3">
        <v>46150</v>
      </c>
      <c r="J364" t="s">
        <v>304</v>
      </c>
      <c r="K364" s="3">
        <v>46150</v>
      </c>
      <c r="L364" s="3">
        <v>46148</v>
      </c>
      <c r="M364" s="3">
        <v>46150</v>
      </c>
      <c r="N364" s="3">
        <v>46150</v>
      </c>
      <c r="O364" t="s">
        <v>304</v>
      </c>
      <c r="P364" t="s">
        <v>55</v>
      </c>
      <c r="Q364" t="s">
        <v>846</v>
      </c>
      <c r="S364" t="s">
        <v>302</v>
      </c>
      <c r="T364" t="s">
        <v>425</v>
      </c>
      <c r="U364">
        <v>407</v>
      </c>
      <c r="V364" t="s">
        <v>127</v>
      </c>
      <c r="W364">
        <v>13.4</v>
      </c>
      <c r="X364" t="s">
        <v>57</v>
      </c>
      <c r="Z364" t="s">
        <v>302</v>
      </c>
      <c r="AA364" t="s">
        <v>460</v>
      </c>
      <c r="AE364">
        <v>1</v>
      </c>
      <c r="AF364">
        <v>1</v>
      </c>
      <c r="AG364">
        <v>1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1</v>
      </c>
    </row>
    <row r="365" spans="1:42" x14ac:dyDescent="0.25">
      <c r="A365">
        <v>407</v>
      </c>
      <c r="B365" t="s">
        <v>866</v>
      </c>
      <c r="C365" t="s">
        <v>865</v>
      </c>
      <c r="D365" t="s">
        <v>121</v>
      </c>
      <c r="E365" s="4">
        <v>1</v>
      </c>
      <c r="F365" t="s">
        <v>127</v>
      </c>
      <c r="G365" t="s">
        <v>127</v>
      </c>
      <c r="H365" s="3">
        <v>46153</v>
      </c>
      <c r="I365" s="3">
        <v>46154</v>
      </c>
      <c r="J365" t="s">
        <v>418</v>
      </c>
      <c r="K365" s="3">
        <v>46154</v>
      </c>
      <c r="L365" s="3">
        <v>46153</v>
      </c>
      <c r="M365" s="3">
        <v>46154</v>
      </c>
      <c r="N365" s="3">
        <v>46154</v>
      </c>
      <c r="O365" t="s">
        <v>418</v>
      </c>
      <c r="P365" t="s">
        <v>55</v>
      </c>
      <c r="Q365">
        <v>406</v>
      </c>
      <c r="S365" t="s">
        <v>124</v>
      </c>
      <c r="T365" t="s">
        <v>425</v>
      </c>
      <c r="U365">
        <v>408</v>
      </c>
      <c r="V365" t="s">
        <v>122</v>
      </c>
      <c r="W365">
        <v>13.4</v>
      </c>
      <c r="X365" t="s">
        <v>57</v>
      </c>
      <c r="Z365" t="s">
        <v>124</v>
      </c>
      <c r="AA365" t="s">
        <v>462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1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</row>
    <row r="366" spans="1:42" x14ac:dyDescent="0.25">
      <c r="A366">
        <v>408</v>
      </c>
      <c r="B366" t="s">
        <v>867</v>
      </c>
      <c r="C366" t="s">
        <v>865</v>
      </c>
      <c r="D366" t="s">
        <v>126</v>
      </c>
      <c r="E366" s="4">
        <v>1</v>
      </c>
      <c r="F366" t="s">
        <v>101</v>
      </c>
      <c r="G366" t="s">
        <v>101</v>
      </c>
      <c r="H366" s="3">
        <v>46154</v>
      </c>
      <c r="I366" s="3">
        <v>46160</v>
      </c>
      <c r="J366" t="s">
        <v>741</v>
      </c>
      <c r="K366" s="3">
        <v>46160</v>
      </c>
      <c r="L366" s="3">
        <v>46154</v>
      </c>
      <c r="M366" s="3">
        <v>46160</v>
      </c>
      <c r="N366" s="3">
        <v>46160</v>
      </c>
      <c r="O366" t="s">
        <v>741</v>
      </c>
      <c r="P366" t="s">
        <v>55</v>
      </c>
      <c r="Q366">
        <v>407</v>
      </c>
      <c r="S366" t="s">
        <v>302</v>
      </c>
      <c r="T366" t="s">
        <v>425</v>
      </c>
      <c r="U366" t="s">
        <v>868</v>
      </c>
      <c r="V366" t="s">
        <v>61</v>
      </c>
      <c r="W366">
        <v>13.4</v>
      </c>
      <c r="X366" t="s">
        <v>57</v>
      </c>
      <c r="Z366" t="s">
        <v>302</v>
      </c>
      <c r="AA366" t="s">
        <v>462</v>
      </c>
      <c r="AE366">
        <v>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1</v>
      </c>
      <c r="AM366">
        <v>0</v>
      </c>
      <c r="AN366">
        <v>0</v>
      </c>
      <c r="AO366">
        <v>0</v>
      </c>
      <c r="AP366">
        <v>0</v>
      </c>
    </row>
    <row r="367" spans="1:42" x14ac:dyDescent="0.25">
      <c r="A367">
        <v>409</v>
      </c>
      <c r="B367" t="s">
        <v>869</v>
      </c>
      <c r="C367" t="s">
        <v>865</v>
      </c>
      <c r="D367" t="s">
        <v>133</v>
      </c>
      <c r="E367" s="4">
        <v>1</v>
      </c>
      <c r="F367" t="s">
        <v>860</v>
      </c>
      <c r="G367" t="s">
        <v>860</v>
      </c>
      <c r="H367" s="3">
        <v>46160</v>
      </c>
      <c r="I367" s="3">
        <v>46169</v>
      </c>
      <c r="J367" t="s">
        <v>185</v>
      </c>
      <c r="K367" s="3">
        <v>46169</v>
      </c>
      <c r="L367" s="3">
        <v>46160</v>
      </c>
      <c r="M367" s="3">
        <v>46169</v>
      </c>
      <c r="N367" s="3">
        <v>46169</v>
      </c>
      <c r="O367" t="s">
        <v>185</v>
      </c>
      <c r="P367" t="s">
        <v>55</v>
      </c>
      <c r="Q367" t="s">
        <v>870</v>
      </c>
      <c r="S367" t="s">
        <v>124</v>
      </c>
      <c r="T367" t="s">
        <v>425</v>
      </c>
      <c r="V367" t="s">
        <v>61</v>
      </c>
      <c r="W367">
        <v>13.4</v>
      </c>
      <c r="X367" t="s">
        <v>57</v>
      </c>
      <c r="Z367" t="s">
        <v>124</v>
      </c>
      <c r="AA367" t="s">
        <v>462</v>
      </c>
      <c r="AE367">
        <v>1</v>
      </c>
      <c r="AF367">
        <v>0</v>
      </c>
      <c r="AG367">
        <v>0</v>
      </c>
      <c r="AH367">
        <v>0</v>
      </c>
      <c r="AI367">
        <v>1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0</v>
      </c>
      <c r="AP367">
        <v>0</v>
      </c>
    </row>
    <row r="368" spans="1:42" x14ac:dyDescent="0.25">
      <c r="A368">
        <v>410</v>
      </c>
      <c r="B368" t="s">
        <v>871</v>
      </c>
      <c r="C368" t="s">
        <v>821</v>
      </c>
      <c r="D368" t="s">
        <v>872</v>
      </c>
      <c r="E368" s="4">
        <v>1</v>
      </c>
      <c r="F368" t="s">
        <v>330</v>
      </c>
      <c r="G368" t="s">
        <v>330</v>
      </c>
      <c r="H368" s="3">
        <v>46156</v>
      </c>
      <c r="I368" s="3">
        <v>46176</v>
      </c>
      <c r="J368" t="s">
        <v>406</v>
      </c>
      <c r="K368" s="3">
        <v>46176</v>
      </c>
      <c r="L368" s="3">
        <v>46156</v>
      </c>
      <c r="M368" s="3">
        <v>46176</v>
      </c>
      <c r="N368" s="3">
        <v>46176</v>
      </c>
      <c r="O368" t="s">
        <v>406</v>
      </c>
      <c r="P368" t="s">
        <v>55</v>
      </c>
      <c r="T368" t="s">
        <v>425</v>
      </c>
      <c r="V368" t="s">
        <v>175</v>
      </c>
      <c r="X368" t="s">
        <v>57</v>
      </c>
      <c r="AA368" t="s">
        <v>50</v>
      </c>
      <c r="AB368" t="s">
        <v>94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</row>
    <row r="369" spans="1:42" x14ac:dyDescent="0.25">
      <c r="A369">
        <v>411</v>
      </c>
      <c r="B369" t="s">
        <v>873</v>
      </c>
      <c r="C369" t="s">
        <v>874</v>
      </c>
      <c r="D369" t="s">
        <v>117</v>
      </c>
      <c r="E369" s="4">
        <v>1</v>
      </c>
      <c r="F369" t="s">
        <v>61</v>
      </c>
      <c r="G369" t="s">
        <v>61</v>
      </c>
      <c r="H369" s="3">
        <v>46156</v>
      </c>
      <c r="I369" s="3">
        <v>46164</v>
      </c>
      <c r="J369" t="s">
        <v>406</v>
      </c>
      <c r="K369" s="3">
        <v>46164</v>
      </c>
      <c r="L369" s="3">
        <v>46156</v>
      </c>
      <c r="M369" s="3">
        <v>46164</v>
      </c>
      <c r="N369" s="3">
        <v>46164</v>
      </c>
      <c r="O369" t="s">
        <v>406</v>
      </c>
      <c r="P369" t="s">
        <v>55</v>
      </c>
      <c r="S369" t="s">
        <v>302</v>
      </c>
      <c r="T369" t="s">
        <v>425</v>
      </c>
      <c r="U369">
        <v>412</v>
      </c>
      <c r="V369" t="s">
        <v>127</v>
      </c>
      <c r="W369">
        <v>13.4</v>
      </c>
      <c r="X369" t="s">
        <v>57</v>
      </c>
      <c r="Z369" t="s">
        <v>302</v>
      </c>
      <c r="AA369" t="s">
        <v>460</v>
      </c>
      <c r="AE369">
        <v>1</v>
      </c>
      <c r="AF369">
        <v>1</v>
      </c>
      <c r="AG369">
        <v>1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1</v>
      </c>
    </row>
    <row r="370" spans="1:42" x14ac:dyDescent="0.25">
      <c r="A370">
        <v>412</v>
      </c>
      <c r="B370" t="s">
        <v>875</v>
      </c>
      <c r="C370" t="s">
        <v>874</v>
      </c>
      <c r="D370" t="s">
        <v>121</v>
      </c>
      <c r="E370" s="4">
        <v>1</v>
      </c>
      <c r="F370" t="s">
        <v>127</v>
      </c>
      <c r="G370" t="s">
        <v>127</v>
      </c>
      <c r="H370" s="3">
        <v>46167</v>
      </c>
      <c r="I370" s="3">
        <v>46168</v>
      </c>
      <c r="J370" t="s">
        <v>74</v>
      </c>
      <c r="K370" s="3">
        <v>46168</v>
      </c>
      <c r="L370" s="3">
        <v>46167</v>
      </c>
      <c r="M370" s="3">
        <v>46168</v>
      </c>
      <c r="N370" s="3">
        <v>46168</v>
      </c>
      <c r="O370" t="s">
        <v>74</v>
      </c>
      <c r="P370" t="s">
        <v>55</v>
      </c>
      <c r="Q370">
        <v>411</v>
      </c>
      <c r="S370" t="s">
        <v>124</v>
      </c>
      <c r="T370" t="s">
        <v>425</v>
      </c>
      <c r="U370">
        <v>413</v>
      </c>
      <c r="V370" t="s">
        <v>122</v>
      </c>
      <c r="W370">
        <v>13.4</v>
      </c>
      <c r="X370" t="s">
        <v>57</v>
      </c>
      <c r="Z370" t="s">
        <v>124</v>
      </c>
      <c r="AA370" t="s">
        <v>462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1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</row>
    <row r="371" spans="1:42" x14ac:dyDescent="0.25">
      <c r="A371">
        <v>413</v>
      </c>
      <c r="B371" t="s">
        <v>876</v>
      </c>
      <c r="C371" t="s">
        <v>874</v>
      </c>
      <c r="D371" t="s">
        <v>126</v>
      </c>
      <c r="E371" s="4">
        <v>1</v>
      </c>
      <c r="F371" t="s">
        <v>127</v>
      </c>
      <c r="G371" t="s">
        <v>127</v>
      </c>
      <c r="H371" s="3">
        <v>46169</v>
      </c>
      <c r="I371" s="3">
        <v>46170</v>
      </c>
      <c r="J371" t="s">
        <v>97</v>
      </c>
      <c r="K371" s="3">
        <v>46170</v>
      </c>
      <c r="L371" s="3">
        <v>46169</v>
      </c>
      <c r="M371" s="3">
        <v>46170</v>
      </c>
      <c r="N371" s="3">
        <v>46170</v>
      </c>
      <c r="O371" t="s">
        <v>97</v>
      </c>
      <c r="P371" t="s">
        <v>55</v>
      </c>
      <c r="Q371">
        <v>412</v>
      </c>
      <c r="S371" t="s">
        <v>302</v>
      </c>
      <c r="T371" t="s">
        <v>425</v>
      </c>
      <c r="U371">
        <v>414</v>
      </c>
      <c r="V371" t="s">
        <v>61</v>
      </c>
      <c r="W371">
        <v>13.4</v>
      </c>
      <c r="X371" t="s">
        <v>57</v>
      </c>
      <c r="Z371" t="s">
        <v>302</v>
      </c>
      <c r="AA371" t="s">
        <v>462</v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1</v>
      </c>
      <c r="AM371">
        <v>0</v>
      </c>
      <c r="AN371">
        <v>0</v>
      </c>
      <c r="AO371">
        <v>0</v>
      </c>
      <c r="AP371">
        <v>0</v>
      </c>
    </row>
    <row r="372" spans="1:42" x14ac:dyDescent="0.25">
      <c r="A372">
        <v>414</v>
      </c>
      <c r="B372" t="s">
        <v>877</v>
      </c>
      <c r="C372" t="s">
        <v>874</v>
      </c>
      <c r="D372" t="s">
        <v>133</v>
      </c>
      <c r="E372" s="4">
        <v>1</v>
      </c>
      <c r="F372" t="s">
        <v>127</v>
      </c>
      <c r="G372" t="s">
        <v>127</v>
      </c>
      <c r="H372" s="3">
        <v>46175</v>
      </c>
      <c r="I372" s="3">
        <v>46176</v>
      </c>
      <c r="J372" t="s">
        <v>472</v>
      </c>
      <c r="K372" s="3">
        <v>46176</v>
      </c>
      <c r="L372" s="3">
        <v>46175</v>
      </c>
      <c r="M372" s="3">
        <v>46176</v>
      </c>
      <c r="N372" s="3">
        <v>46176</v>
      </c>
      <c r="O372" t="s">
        <v>472</v>
      </c>
      <c r="P372" t="s">
        <v>55</v>
      </c>
      <c r="Q372">
        <v>413</v>
      </c>
      <c r="S372" t="s">
        <v>124</v>
      </c>
      <c r="T372" t="s">
        <v>425</v>
      </c>
      <c r="V372" t="s">
        <v>61</v>
      </c>
      <c r="W372">
        <v>13.4</v>
      </c>
      <c r="X372" t="s">
        <v>57</v>
      </c>
      <c r="Z372" t="s">
        <v>124</v>
      </c>
      <c r="AA372" t="s">
        <v>462</v>
      </c>
      <c r="AE372">
        <v>1</v>
      </c>
      <c r="AF372">
        <v>0</v>
      </c>
      <c r="AG372">
        <v>0</v>
      </c>
      <c r="AH372">
        <v>0</v>
      </c>
      <c r="AI372">
        <v>1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0</v>
      </c>
      <c r="AP372">
        <v>0</v>
      </c>
    </row>
    <row r="373" spans="1:42" x14ac:dyDescent="0.25">
      <c r="A373">
        <v>415</v>
      </c>
      <c r="B373" t="s">
        <v>878</v>
      </c>
      <c r="C373" t="s">
        <v>821</v>
      </c>
      <c r="D373" t="s">
        <v>879</v>
      </c>
      <c r="E373" s="4">
        <v>1</v>
      </c>
      <c r="F373" t="s">
        <v>330</v>
      </c>
      <c r="G373" t="s">
        <v>330</v>
      </c>
      <c r="H373" s="3">
        <v>46156</v>
      </c>
      <c r="I373" s="3">
        <v>46176</v>
      </c>
      <c r="J373" t="s">
        <v>406</v>
      </c>
      <c r="K373" s="3">
        <v>46176</v>
      </c>
      <c r="L373" s="3">
        <v>46156</v>
      </c>
      <c r="M373" s="3">
        <v>46176</v>
      </c>
      <c r="N373" s="3">
        <v>46176</v>
      </c>
      <c r="O373" t="s">
        <v>406</v>
      </c>
      <c r="P373" t="s">
        <v>55</v>
      </c>
      <c r="T373" t="s">
        <v>425</v>
      </c>
      <c r="V373" t="s">
        <v>175</v>
      </c>
      <c r="X373" t="s">
        <v>57</v>
      </c>
      <c r="AA373" t="s">
        <v>50</v>
      </c>
      <c r="AB373" t="s">
        <v>94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</row>
    <row r="374" spans="1:42" x14ac:dyDescent="0.25">
      <c r="A374">
        <v>416</v>
      </c>
      <c r="B374" t="s">
        <v>880</v>
      </c>
      <c r="C374" t="s">
        <v>881</v>
      </c>
      <c r="D374" t="s">
        <v>117</v>
      </c>
      <c r="E374" s="4">
        <v>1</v>
      </c>
      <c r="F374" t="s">
        <v>63</v>
      </c>
      <c r="G374" t="s">
        <v>63</v>
      </c>
      <c r="H374" s="3">
        <v>46156</v>
      </c>
      <c r="I374" s="3">
        <v>46163</v>
      </c>
      <c r="J374" t="s">
        <v>406</v>
      </c>
      <c r="K374" s="3">
        <v>46163</v>
      </c>
      <c r="L374" s="3">
        <v>46156</v>
      </c>
      <c r="M374" s="3">
        <v>46163</v>
      </c>
      <c r="N374" s="3">
        <v>46163</v>
      </c>
      <c r="O374" t="s">
        <v>406</v>
      </c>
      <c r="P374" t="s">
        <v>55</v>
      </c>
      <c r="S374" t="s">
        <v>302</v>
      </c>
      <c r="T374" t="s">
        <v>425</v>
      </c>
      <c r="U374">
        <v>417</v>
      </c>
      <c r="V374" t="s">
        <v>127</v>
      </c>
      <c r="W374">
        <v>13.4</v>
      </c>
      <c r="X374" t="s">
        <v>57</v>
      </c>
      <c r="Z374" t="s">
        <v>302</v>
      </c>
      <c r="AA374" t="s">
        <v>460</v>
      </c>
      <c r="AE374">
        <v>1</v>
      </c>
      <c r="AF374">
        <v>1</v>
      </c>
      <c r="AG374">
        <v>1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1</v>
      </c>
    </row>
    <row r="375" spans="1:42" x14ac:dyDescent="0.25">
      <c r="A375">
        <v>417</v>
      </c>
      <c r="B375" t="s">
        <v>882</v>
      </c>
      <c r="C375" t="s">
        <v>881</v>
      </c>
      <c r="D375" t="s">
        <v>121</v>
      </c>
      <c r="E375" s="4">
        <v>1</v>
      </c>
      <c r="F375" t="s">
        <v>122</v>
      </c>
      <c r="G375" t="s">
        <v>122</v>
      </c>
      <c r="H375" s="3">
        <v>46163</v>
      </c>
      <c r="I375" s="3">
        <v>46167</v>
      </c>
      <c r="J375" t="s">
        <v>491</v>
      </c>
      <c r="K375" s="3">
        <v>46167</v>
      </c>
      <c r="L375" s="3">
        <v>46163</v>
      </c>
      <c r="M375" s="3">
        <v>46167</v>
      </c>
      <c r="N375" s="3">
        <v>46167</v>
      </c>
      <c r="O375" t="s">
        <v>491</v>
      </c>
      <c r="P375" t="s">
        <v>55</v>
      </c>
      <c r="Q375">
        <v>416</v>
      </c>
      <c r="S375" t="s">
        <v>124</v>
      </c>
      <c r="T375" t="s">
        <v>425</v>
      </c>
      <c r="U375">
        <v>418</v>
      </c>
      <c r="V375" t="s">
        <v>122</v>
      </c>
      <c r="W375">
        <v>13.4</v>
      </c>
      <c r="X375" t="s">
        <v>57</v>
      </c>
      <c r="Z375" t="s">
        <v>124</v>
      </c>
      <c r="AA375" t="s">
        <v>462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1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</row>
    <row r="376" spans="1:42" x14ac:dyDescent="0.25">
      <c r="A376">
        <v>418</v>
      </c>
      <c r="B376" t="s">
        <v>883</v>
      </c>
      <c r="C376" t="s">
        <v>881</v>
      </c>
      <c r="D376" t="s">
        <v>126</v>
      </c>
      <c r="E376" s="4">
        <v>1</v>
      </c>
      <c r="F376" t="s">
        <v>63</v>
      </c>
      <c r="G376" t="s">
        <v>63</v>
      </c>
      <c r="H376" s="3">
        <v>46169</v>
      </c>
      <c r="I376" s="3">
        <v>46171</v>
      </c>
      <c r="J376" t="s">
        <v>97</v>
      </c>
      <c r="K376" s="3">
        <v>46171</v>
      </c>
      <c r="L376" s="3">
        <v>46169</v>
      </c>
      <c r="M376" s="3">
        <v>46171</v>
      </c>
      <c r="N376" s="3">
        <v>46171</v>
      </c>
      <c r="O376" t="s">
        <v>97</v>
      </c>
      <c r="P376" t="s">
        <v>55</v>
      </c>
      <c r="Q376">
        <v>417</v>
      </c>
      <c r="S376" t="s">
        <v>302</v>
      </c>
      <c r="T376" t="s">
        <v>425</v>
      </c>
      <c r="U376">
        <v>419</v>
      </c>
      <c r="V376" t="s">
        <v>61</v>
      </c>
      <c r="W376">
        <v>13.4</v>
      </c>
      <c r="X376" t="s">
        <v>57</v>
      </c>
      <c r="Z376" t="s">
        <v>302</v>
      </c>
      <c r="AA376" t="s">
        <v>462</v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1</v>
      </c>
      <c r="AM376">
        <v>0</v>
      </c>
      <c r="AN376">
        <v>0</v>
      </c>
      <c r="AO376">
        <v>0</v>
      </c>
      <c r="AP376">
        <v>0</v>
      </c>
    </row>
    <row r="377" spans="1:42" x14ac:dyDescent="0.25">
      <c r="A377">
        <v>419</v>
      </c>
      <c r="B377" t="s">
        <v>884</v>
      </c>
      <c r="C377" t="s">
        <v>881</v>
      </c>
      <c r="D377" t="s">
        <v>133</v>
      </c>
      <c r="E377" s="4">
        <v>1</v>
      </c>
      <c r="F377" t="s">
        <v>127</v>
      </c>
      <c r="G377" t="s">
        <v>127</v>
      </c>
      <c r="H377" s="3">
        <v>46175</v>
      </c>
      <c r="I377" s="3">
        <v>46176</v>
      </c>
      <c r="J377" t="s">
        <v>472</v>
      </c>
      <c r="K377" s="3">
        <v>46176</v>
      </c>
      <c r="L377" s="3">
        <v>46175</v>
      </c>
      <c r="M377" s="3">
        <v>46176</v>
      </c>
      <c r="N377" s="3">
        <v>46176</v>
      </c>
      <c r="O377" t="s">
        <v>472</v>
      </c>
      <c r="P377" t="s">
        <v>55</v>
      </c>
      <c r="Q377">
        <v>418</v>
      </c>
      <c r="S377" t="s">
        <v>124</v>
      </c>
      <c r="T377" t="s">
        <v>425</v>
      </c>
      <c r="V377" t="s">
        <v>61</v>
      </c>
      <c r="W377">
        <v>13.4</v>
      </c>
      <c r="X377" t="s">
        <v>57</v>
      </c>
      <c r="Z377" t="s">
        <v>124</v>
      </c>
      <c r="AA377" t="s">
        <v>462</v>
      </c>
      <c r="AE377">
        <v>1</v>
      </c>
      <c r="AF377">
        <v>0</v>
      </c>
      <c r="AG377">
        <v>0</v>
      </c>
      <c r="AH377">
        <v>0</v>
      </c>
      <c r="AI377">
        <v>1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0</v>
      </c>
      <c r="AP377">
        <v>0</v>
      </c>
    </row>
    <row r="378" spans="1:42" x14ac:dyDescent="0.25">
      <c r="A378">
        <v>420</v>
      </c>
      <c r="B378" t="s">
        <v>885</v>
      </c>
      <c r="C378" t="s">
        <v>821</v>
      </c>
      <c r="D378" t="s">
        <v>886</v>
      </c>
      <c r="E378" s="4">
        <v>1</v>
      </c>
      <c r="F378" t="s">
        <v>330</v>
      </c>
      <c r="G378" t="s">
        <v>330</v>
      </c>
      <c r="H378" s="3">
        <v>46156</v>
      </c>
      <c r="I378" s="3">
        <v>46176</v>
      </c>
      <c r="J378" t="s">
        <v>406</v>
      </c>
      <c r="K378" s="3">
        <v>46176</v>
      </c>
      <c r="L378" s="3">
        <v>46156</v>
      </c>
      <c r="M378" s="3">
        <v>46176</v>
      </c>
      <c r="N378" s="3">
        <v>46176</v>
      </c>
      <c r="O378" t="s">
        <v>406</v>
      </c>
      <c r="P378" t="s">
        <v>55</v>
      </c>
      <c r="T378" t="s">
        <v>425</v>
      </c>
      <c r="V378" t="s">
        <v>175</v>
      </c>
      <c r="X378" t="s">
        <v>57</v>
      </c>
      <c r="AA378" t="s">
        <v>50</v>
      </c>
      <c r="AB378" t="s">
        <v>94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</row>
    <row r="379" spans="1:42" x14ac:dyDescent="0.25">
      <c r="A379">
        <v>421</v>
      </c>
      <c r="B379" t="s">
        <v>887</v>
      </c>
      <c r="C379" t="s">
        <v>888</v>
      </c>
      <c r="D379" t="s">
        <v>117</v>
      </c>
      <c r="E379" s="4">
        <v>1</v>
      </c>
      <c r="F379" t="s">
        <v>63</v>
      </c>
      <c r="G379" t="s">
        <v>63</v>
      </c>
      <c r="H379" s="3">
        <v>46156</v>
      </c>
      <c r="I379" s="3">
        <v>46163</v>
      </c>
      <c r="J379" t="s">
        <v>406</v>
      </c>
      <c r="K379" s="3">
        <v>46163</v>
      </c>
      <c r="L379" s="3">
        <v>46156</v>
      </c>
      <c r="M379" s="3">
        <v>46163</v>
      </c>
      <c r="N379" s="3">
        <v>46163</v>
      </c>
      <c r="O379" t="s">
        <v>406</v>
      </c>
      <c r="P379" t="s">
        <v>55</v>
      </c>
      <c r="S379" t="s">
        <v>302</v>
      </c>
      <c r="T379" t="s">
        <v>425</v>
      </c>
      <c r="U379">
        <v>422</v>
      </c>
      <c r="V379" t="s">
        <v>127</v>
      </c>
      <c r="W379">
        <v>13.4</v>
      </c>
      <c r="X379" t="s">
        <v>57</v>
      </c>
      <c r="Z379" t="s">
        <v>302</v>
      </c>
      <c r="AA379" t="s">
        <v>460</v>
      </c>
      <c r="AE379">
        <v>1</v>
      </c>
      <c r="AF379">
        <v>1</v>
      </c>
      <c r="AG379">
        <v>1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1</v>
      </c>
    </row>
    <row r="380" spans="1:42" x14ac:dyDescent="0.25">
      <c r="A380">
        <v>422</v>
      </c>
      <c r="B380" t="s">
        <v>889</v>
      </c>
      <c r="C380" t="s">
        <v>888</v>
      </c>
      <c r="D380" t="s">
        <v>121</v>
      </c>
      <c r="E380" s="4">
        <v>1</v>
      </c>
      <c r="F380" t="s">
        <v>122</v>
      </c>
      <c r="G380" t="s">
        <v>122</v>
      </c>
      <c r="H380" s="3">
        <v>46163</v>
      </c>
      <c r="I380" s="3">
        <v>46167</v>
      </c>
      <c r="J380" t="s">
        <v>491</v>
      </c>
      <c r="K380" s="3">
        <v>46167</v>
      </c>
      <c r="L380" s="3">
        <v>46163</v>
      </c>
      <c r="M380" s="3">
        <v>46167</v>
      </c>
      <c r="N380" s="3">
        <v>46167</v>
      </c>
      <c r="O380" t="s">
        <v>491</v>
      </c>
      <c r="P380" t="s">
        <v>55</v>
      </c>
      <c r="Q380">
        <v>421</v>
      </c>
      <c r="S380" t="s">
        <v>124</v>
      </c>
      <c r="T380" t="s">
        <v>425</v>
      </c>
      <c r="U380">
        <v>423</v>
      </c>
      <c r="V380" t="s">
        <v>122</v>
      </c>
      <c r="W380">
        <v>13.4</v>
      </c>
      <c r="X380" t="s">
        <v>57</v>
      </c>
      <c r="Z380" t="s">
        <v>124</v>
      </c>
      <c r="AA380" t="s">
        <v>462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1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</row>
    <row r="381" spans="1:42" x14ac:dyDescent="0.25">
      <c r="A381">
        <v>423</v>
      </c>
      <c r="B381" t="s">
        <v>890</v>
      </c>
      <c r="C381" t="s">
        <v>888</v>
      </c>
      <c r="D381" t="s">
        <v>126</v>
      </c>
      <c r="E381" s="4">
        <v>1</v>
      </c>
      <c r="F381" t="s">
        <v>63</v>
      </c>
      <c r="G381" t="s">
        <v>63</v>
      </c>
      <c r="H381" s="3">
        <v>46169</v>
      </c>
      <c r="I381" s="3">
        <v>46171</v>
      </c>
      <c r="J381" t="s">
        <v>97</v>
      </c>
      <c r="K381" s="3">
        <v>46171</v>
      </c>
      <c r="L381" s="3">
        <v>46169</v>
      </c>
      <c r="M381" s="3">
        <v>46171</v>
      </c>
      <c r="N381" s="3">
        <v>46171</v>
      </c>
      <c r="O381" t="s">
        <v>97</v>
      </c>
      <c r="P381" t="s">
        <v>55</v>
      </c>
      <c r="Q381">
        <v>422</v>
      </c>
      <c r="S381" t="s">
        <v>302</v>
      </c>
      <c r="T381" t="s">
        <v>425</v>
      </c>
      <c r="U381">
        <v>424</v>
      </c>
      <c r="V381" t="s">
        <v>61</v>
      </c>
      <c r="W381">
        <v>13.4</v>
      </c>
      <c r="X381" t="s">
        <v>57</v>
      </c>
      <c r="Z381" t="s">
        <v>302</v>
      </c>
      <c r="AA381" t="s">
        <v>462</v>
      </c>
      <c r="AE381">
        <v>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1</v>
      </c>
      <c r="AM381">
        <v>0</v>
      </c>
      <c r="AN381">
        <v>0</v>
      </c>
      <c r="AO381">
        <v>0</v>
      </c>
      <c r="AP381">
        <v>0</v>
      </c>
    </row>
    <row r="382" spans="1:42" x14ac:dyDescent="0.25">
      <c r="A382">
        <v>424</v>
      </c>
      <c r="B382" t="s">
        <v>891</v>
      </c>
      <c r="C382" t="s">
        <v>888</v>
      </c>
      <c r="D382" t="s">
        <v>133</v>
      </c>
      <c r="E382" s="4">
        <v>1</v>
      </c>
      <c r="F382" t="s">
        <v>127</v>
      </c>
      <c r="G382" t="s">
        <v>127</v>
      </c>
      <c r="H382" s="3">
        <v>46175</v>
      </c>
      <c r="I382" s="3">
        <v>46176</v>
      </c>
      <c r="J382" t="s">
        <v>472</v>
      </c>
      <c r="K382" s="3">
        <v>46176</v>
      </c>
      <c r="L382" s="3">
        <v>46175</v>
      </c>
      <c r="M382" s="3">
        <v>46176</v>
      </c>
      <c r="N382" s="3">
        <v>46176</v>
      </c>
      <c r="O382" t="s">
        <v>472</v>
      </c>
      <c r="P382" t="s">
        <v>55</v>
      </c>
      <c r="Q382">
        <v>423</v>
      </c>
      <c r="S382" t="s">
        <v>124</v>
      </c>
      <c r="T382" t="s">
        <v>425</v>
      </c>
      <c r="V382" t="s">
        <v>61</v>
      </c>
      <c r="W382">
        <v>13.4</v>
      </c>
      <c r="X382" t="s">
        <v>57</v>
      </c>
      <c r="Z382" t="s">
        <v>124</v>
      </c>
      <c r="AA382" t="s">
        <v>462</v>
      </c>
      <c r="AE382">
        <v>1</v>
      </c>
      <c r="AF382">
        <v>0</v>
      </c>
      <c r="AG382">
        <v>0</v>
      </c>
      <c r="AH382">
        <v>0</v>
      </c>
      <c r="AI382">
        <v>1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0</v>
      </c>
      <c r="AP382">
        <v>0</v>
      </c>
    </row>
    <row r="383" spans="1:42" x14ac:dyDescent="0.25">
      <c r="A383">
        <v>425</v>
      </c>
      <c r="B383" t="s">
        <v>892</v>
      </c>
      <c r="C383" t="s">
        <v>821</v>
      </c>
      <c r="D383" t="s">
        <v>893</v>
      </c>
      <c r="E383" s="4">
        <v>1</v>
      </c>
      <c r="F383" t="s">
        <v>330</v>
      </c>
      <c r="G383" t="s">
        <v>330</v>
      </c>
      <c r="H383" s="3">
        <v>46156</v>
      </c>
      <c r="I383" s="3">
        <v>46176</v>
      </c>
      <c r="J383" t="s">
        <v>406</v>
      </c>
      <c r="K383" s="3">
        <v>46176</v>
      </c>
      <c r="L383" s="3">
        <v>46156</v>
      </c>
      <c r="M383" s="3">
        <v>46176</v>
      </c>
      <c r="N383" s="3">
        <v>46176</v>
      </c>
      <c r="O383" t="s">
        <v>406</v>
      </c>
      <c r="P383" t="s">
        <v>55</v>
      </c>
      <c r="T383" t="s">
        <v>425</v>
      </c>
      <c r="V383" t="s">
        <v>175</v>
      </c>
      <c r="X383" t="s">
        <v>57</v>
      </c>
      <c r="AA383" t="s">
        <v>50</v>
      </c>
      <c r="AB383" t="s">
        <v>94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</row>
    <row r="384" spans="1:42" x14ac:dyDescent="0.25">
      <c r="A384">
        <v>426</v>
      </c>
      <c r="B384" t="s">
        <v>894</v>
      </c>
      <c r="C384" t="s">
        <v>895</v>
      </c>
      <c r="D384" t="s">
        <v>117</v>
      </c>
      <c r="E384" s="4">
        <v>1</v>
      </c>
      <c r="F384" t="s">
        <v>63</v>
      </c>
      <c r="G384" t="s">
        <v>63</v>
      </c>
      <c r="H384" s="3">
        <v>46156</v>
      </c>
      <c r="I384" s="3">
        <v>46163</v>
      </c>
      <c r="J384" t="s">
        <v>406</v>
      </c>
      <c r="K384" s="3">
        <v>46163</v>
      </c>
      <c r="L384" s="3">
        <v>46156</v>
      </c>
      <c r="M384" s="3">
        <v>46163</v>
      </c>
      <c r="N384" s="3">
        <v>46163</v>
      </c>
      <c r="O384" t="s">
        <v>406</v>
      </c>
      <c r="P384" t="s">
        <v>55</v>
      </c>
      <c r="S384" t="s">
        <v>302</v>
      </c>
      <c r="T384" t="s">
        <v>425</v>
      </c>
      <c r="U384">
        <v>427</v>
      </c>
      <c r="V384" t="s">
        <v>127</v>
      </c>
      <c r="W384">
        <v>13.4</v>
      </c>
      <c r="X384" t="s">
        <v>57</v>
      </c>
      <c r="Z384" t="s">
        <v>302</v>
      </c>
      <c r="AA384" t="s">
        <v>460</v>
      </c>
      <c r="AE384">
        <v>1</v>
      </c>
      <c r="AF384">
        <v>1</v>
      </c>
      <c r="AG384">
        <v>1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1</v>
      </c>
    </row>
    <row r="385" spans="1:42" x14ac:dyDescent="0.25">
      <c r="A385">
        <v>427</v>
      </c>
      <c r="B385" t="s">
        <v>896</v>
      </c>
      <c r="C385" t="s">
        <v>895</v>
      </c>
      <c r="D385" t="s">
        <v>121</v>
      </c>
      <c r="E385" s="4">
        <v>1</v>
      </c>
      <c r="F385" t="s">
        <v>122</v>
      </c>
      <c r="G385" t="s">
        <v>122</v>
      </c>
      <c r="H385" s="3">
        <v>46163</v>
      </c>
      <c r="I385" s="3">
        <v>46167</v>
      </c>
      <c r="J385" t="s">
        <v>491</v>
      </c>
      <c r="K385" s="3">
        <v>46167</v>
      </c>
      <c r="L385" s="3">
        <v>46163</v>
      </c>
      <c r="M385" s="3">
        <v>46167</v>
      </c>
      <c r="N385" s="3">
        <v>46167</v>
      </c>
      <c r="O385" t="s">
        <v>491</v>
      </c>
      <c r="P385" t="s">
        <v>55</v>
      </c>
      <c r="Q385">
        <v>426</v>
      </c>
      <c r="S385" t="s">
        <v>124</v>
      </c>
      <c r="T385" t="s">
        <v>425</v>
      </c>
      <c r="U385">
        <v>428</v>
      </c>
      <c r="V385" t="s">
        <v>122</v>
      </c>
      <c r="W385">
        <v>13.4</v>
      </c>
      <c r="X385" t="s">
        <v>57</v>
      </c>
      <c r="Z385" t="s">
        <v>124</v>
      </c>
      <c r="AA385" t="s">
        <v>462</v>
      </c>
      <c r="AE385">
        <v>1</v>
      </c>
      <c r="AF385">
        <v>0</v>
      </c>
      <c r="AG385">
        <v>0</v>
      </c>
      <c r="AH385">
        <v>0</v>
      </c>
      <c r="AI385">
        <v>0</v>
      </c>
      <c r="AJ385">
        <v>1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</row>
    <row r="386" spans="1:42" x14ac:dyDescent="0.25">
      <c r="A386">
        <v>428</v>
      </c>
      <c r="B386" t="s">
        <v>897</v>
      </c>
      <c r="C386" t="s">
        <v>895</v>
      </c>
      <c r="D386" t="s">
        <v>126</v>
      </c>
      <c r="E386" s="4">
        <v>1</v>
      </c>
      <c r="F386" t="s">
        <v>63</v>
      </c>
      <c r="G386" t="s">
        <v>63</v>
      </c>
      <c r="H386" s="3">
        <v>46169</v>
      </c>
      <c r="I386" s="3">
        <v>46171</v>
      </c>
      <c r="J386" t="s">
        <v>97</v>
      </c>
      <c r="K386" s="3">
        <v>46171</v>
      </c>
      <c r="L386" s="3">
        <v>46169</v>
      </c>
      <c r="M386" s="3">
        <v>46171</v>
      </c>
      <c r="N386" s="3">
        <v>46171</v>
      </c>
      <c r="O386" t="s">
        <v>97</v>
      </c>
      <c r="P386" t="s">
        <v>55</v>
      </c>
      <c r="Q386">
        <v>427</v>
      </c>
      <c r="S386" t="s">
        <v>302</v>
      </c>
      <c r="T386" t="s">
        <v>425</v>
      </c>
      <c r="U386">
        <v>429</v>
      </c>
      <c r="V386" t="s">
        <v>61</v>
      </c>
      <c r="W386">
        <v>13.4</v>
      </c>
      <c r="X386" t="s">
        <v>57</v>
      </c>
      <c r="Z386" t="s">
        <v>302</v>
      </c>
      <c r="AA386" t="s">
        <v>462</v>
      </c>
      <c r="AE386">
        <v>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1</v>
      </c>
      <c r="AM386">
        <v>0</v>
      </c>
      <c r="AN386">
        <v>0</v>
      </c>
      <c r="AO386">
        <v>0</v>
      </c>
      <c r="AP386">
        <v>0</v>
      </c>
    </row>
    <row r="387" spans="1:42" x14ac:dyDescent="0.25">
      <c r="A387">
        <v>429</v>
      </c>
      <c r="B387" t="s">
        <v>898</v>
      </c>
      <c r="C387" t="s">
        <v>895</v>
      </c>
      <c r="D387" t="s">
        <v>133</v>
      </c>
      <c r="E387" s="4">
        <v>1</v>
      </c>
      <c r="F387" t="s">
        <v>127</v>
      </c>
      <c r="G387" t="s">
        <v>127</v>
      </c>
      <c r="H387" s="3">
        <v>46175</v>
      </c>
      <c r="I387" s="3">
        <v>46176</v>
      </c>
      <c r="J387" t="s">
        <v>472</v>
      </c>
      <c r="K387" s="3">
        <v>46176</v>
      </c>
      <c r="L387" s="3">
        <v>46175</v>
      </c>
      <c r="M387" s="3">
        <v>46176</v>
      </c>
      <c r="N387" s="3">
        <v>46176</v>
      </c>
      <c r="O387" t="s">
        <v>472</v>
      </c>
      <c r="P387" t="s">
        <v>55</v>
      </c>
      <c r="Q387">
        <v>428</v>
      </c>
      <c r="S387" t="s">
        <v>124</v>
      </c>
      <c r="T387" t="s">
        <v>425</v>
      </c>
      <c r="V387" t="s">
        <v>61</v>
      </c>
      <c r="W387">
        <v>13.4</v>
      </c>
      <c r="X387" t="s">
        <v>57</v>
      </c>
      <c r="Z387" t="s">
        <v>124</v>
      </c>
      <c r="AA387" t="s">
        <v>462</v>
      </c>
      <c r="AE387">
        <v>1</v>
      </c>
      <c r="AF387">
        <v>0</v>
      </c>
      <c r="AG387">
        <v>0</v>
      </c>
      <c r="AH387">
        <v>0</v>
      </c>
      <c r="AI387">
        <v>1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0</v>
      </c>
      <c r="AP387">
        <v>0</v>
      </c>
    </row>
    <row r="388" spans="1:42" x14ac:dyDescent="0.25">
      <c r="A388">
        <v>451</v>
      </c>
      <c r="B388" t="s">
        <v>899</v>
      </c>
      <c r="C388" t="s">
        <v>425</v>
      </c>
      <c r="D388" t="s">
        <v>900</v>
      </c>
      <c r="E388" s="4">
        <v>1</v>
      </c>
      <c r="F388" t="s">
        <v>345</v>
      </c>
      <c r="G388" t="s">
        <v>345</v>
      </c>
      <c r="H388" s="3">
        <v>46153</v>
      </c>
      <c r="I388" s="3">
        <v>46190</v>
      </c>
      <c r="J388" t="s">
        <v>183</v>
      </c>
      <c r="K388" s="3">
        <v>46171</v>
      </c>
      <c r="L388" s="3">
        <v>46147</v>
      </c>
      <c r="M388" s="3">
        <v>46190</v>
      </c>
      <c r="N388" s="3">
        <v>46190</v>
      </c>
      <c r="O388" t="s">
        <v>418</v>
      </c>
      <c r="P388" t="s">
        <v>55</v>
      </c>
      <c r="T388" t="s">
        <v>425</v>
      </c>
      <c r="V388" t="s">
        <v>187</v>
      </c>
      <c r="X388" t="s">
        <v>57</v>
      </c>
      <c r="AA388" t="s">
        <v>50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</row>
    <row r="389" spans="1:42" x14ac:dyDescent="0.25">
      <c r="A389">
        <v>452</v>
      </c>
      <c r="B389" t="s">
        <v>901</v>
      </c>
      <c r="C389" t="s">
        <v>902</v>
      </c>
      <c r="D389" t="s">
        <v>903</v>
      </c>
      <c r="E389" s="4">
        <v>1</v>
      </c>
      <c r="F389" t="s">
        <v>203</v>
      </c>
      <c r="G389" t="s">
        <v>203</v>
      </c>
      <c r="H389" s="3">
        <v>46153</v>
      </c>
      <c r="I389" s="3">
        <v>46167</v>
      </c>
      <c r="J389" t="s">
        <v>183</v>
      </c>
      <c r="K389" s="3">
        <v>46157</v>
      </c>
      <c r="L389" s="3">
        <v>46147</v>
      </c>
      <c r="M389" s="3">
        <v>46167</v>
      </c>
      <c r="N389" s="3">
        <v>46167</v>
      </c>
      <c r="O389" t="s">
        <v>418</v>
      </c>
      <c r="P389" t="s">
        <v>55</v>
      </c>
      <c r="T389" t="s">
        <v>425</v>
      </c>
      <c r="U389" t="s">
        <v>904</v>
      </c>
      <c r="V389" t="s">
        <v>114</v>
      </c>
      <c r="X389" t="s">
        <v>57</v>
      </c>
      <c r="AA389" t="s">
        <v>50</v>
      </c>
      <c r="AE389">
        <v>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</row>
    <row r="390" spans="1:42" x14ac:dyDescent="0.25">
      <c r="A390">
        <v>453</v>
      </c>
      <c r="B390" t="s">
        <v>905</v>
      </c>
      <c r="C390" t="s">
        <v>906</v>
      </c>
      <c r="D390" t="s">
        <v>117</v>
      </c>
      <c r="E390" s="4">
        <v>1</v>
      </c>
      <c r="F390" t="s">
        <v>175</v>
      </c>
      <c r="G390" t="s">
        <v>175</v>
      </c>
      <c r="H390" s="3">
        <v>46153</v>
      </c>
      <c r="I390" s="3">
        <v>46161</v>
      </c>
      <c r="J390" t="s">
        <v>183</v>
      </c>
      <c r="K390" s="3">
        <v>46150</v>
      </c>
      <c r="L390" s="3">
        <v>46147</v>
      </c>
      <c r="M390" s="3">
        <v>46161</v>
      </c>
      <c r="N390" s="3">
        <v>46161</v>
      </c>
      <c r="O390" t="s">
        <v>418</v>
      </c>
      <c r="P390" t="s">
        <v>55</v>
      </c>
      <c r="Q390" t="s">
        <v>907</v>
      </c>
      <c r="S390" t="s">
        <v>302</v>
      </c>
      <c r="T390" t="s">
        <v>425</v>
      </c>
      <c r="U390" t="s">
        <v>908</v>
      </c>
      <c r="V390" t="s">
        <v>101</v>
      </c>
      <c r="W390">
        <v>13.4</v>
      </c>
      <c r="X390" t="s">
        <v>57</v>
      </c>
      <c r="Z390" t="s">
        <v>302</v>
      </c>
      <c r="AA390" t="s">
        <v>401</v>
      </c>
      <c r="AE390">
        <v>1</v>
      </c>
      <c r="AF390">
        <v>1</v>
      </c>
      <c r="AG390">
        <v>1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1</v>
      </c>
    </row>
    <row r="391" spans="1:42" x14ac:dyDescent="0.25">
      <c r="A391">
        <v>454</v>
      </c>
      <c r="B391" t="s">
        <v>909</v>
      </c>
      <c r="C391" t="s">
        <v>906</v>
      </c>
      <c r="D391" t="s">
        <v>121</v>
      </c>
      <c r="E391" s="4">
        <v>1</v>
      </c>
      <c r="F391" t="s">
        <v>63</v>
      </c>
      <c r="G391" t="s">
        <v>63</v>
      </c>
      <c r="H391" s="3">
        <v>46161</v>
      </c>
      <c r="I391" s="3">
        <v>46161</v>
      </c>
      <c r="J391" t="s">
        <v>418</v>
      </c>
      <c r="K391" s="3">
        <v>46155</v>
      </c>
      <c r="L391" s="3">
        <v>46153</v>
      </c>
      <c r="M391" s="3">
        <v>46161</v>
      </c>
      <c r="N391" s="3">
        <v>46161</v>
      </c>
      <c r="O391" t="s">
        <v>90</v>
      </c>
      <c r="P391" t="s">
        <v>55</v>
      </c>
      <c r="Q391">
        <v>453</v>
      </c>
      <c r="S391" t="s">
        <v>124</v>
      </c>
      <c r="T391" t="s">
        <v>425</v>
      </c>
      <c r="U391">
        <v>455</v>
      </c>
      <c r="V391" t="s">
        <v>122</v>
      </c>
      <c r="W391">
        <v>13.4</v>
      </c>
      <c r="X391" t="s">
        <v>57</v>
      </c>
      <c r="Z391" t="s">
        <v>124</v>
      </c>
      <c r="AA391" t="s">
        <v>93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1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</row>
    <row r="392" spans="1:42" x14ac:dyDescent="0.25">
      <c r="A392">
        <v>455</v>
      </c>
      <c r="B392" t="s">
        <v>910</v>
      </c>
      <c r="C392" t="s">
        <v>906</v>
      </c>
      <c r="D392" t="s">
        <v>126</v>
      </c>
      <c r="E392" s="4">
        <v>1</v>
      </c>
      <c r="F392" t="s">
        <v>61</v>
      </c>
      <c r="G392" t="s">
        <v>61</v>
      </c>
      <c r="H392" s="3">
        <v>46161</v>
      </c>
      <c r="I392" s="3">
        <v>46162</v>
      </c>
      <c r="J392" t="s">
        <v>406</v>
      </c>
      <c r="K392" s="3">
        <v>46156</v>
      </c>
      <c r="L392" s="3">
        <v>46156</v>
      </c>
      <c r="M392" s="3">
        <v>46162</v>
      </c>
      <c r="N392" s="3">
        <v>46162</v>
      </c>
      <c r="O392" t="s">
        <v>90</v>
      </c>
      <c r="P392" t="s">
        <v>55</v>
      </c>
      <c r="Q392">
        <v>454</v>
      </c>
      <c r="S392" t="s">
        <v>302</v>
      </c>
      <c r="T392" t="s">
        <v>425</v>
      </c>
      <c r="U392" t="s">
        <v>911</v>
      </c>
      <c r="V392" t="s">
        <v>61</v>
      </c>
      <c r="W392">
        <v>13.4</v>
      </c>
      <c r="X392" t="s">
        <v>57</v>
      </c>
      <c r="Z392" t="s">
        <v>302</v>
      </c>
      <c r="AA392" t="s">
        <v>93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1</v>
      </c>
      <c r="AM392">
        <v>0</v>
      </c>
      <c r="AN392">
        <v>0</v>
      </c>
      <c r="AO392">
        <v>0</v>
      </c>
      <c r="AP392">
        <v>0</v>
      </c>
    </row>
    <row r="393" spans="1:42" x14ac:dyDescent="0.25">
      <c r="A393">
        <v>456</v>
      </c>
      <c r="B393" t="s">
        <v>912</v>
      </c>
      <c r="C393" t="s">
        <v>906</v>
      </c>
      <c r="D393" t="s">
        <v>133</v>
      </c>
      <c r="E393" s="4">
        <v>1</v>
      </c>
      <c r="F393" t="s">
        <v>122</v>
      </c>
      <c r="G393" t="s">
        <v>122</v>
      </c>
      <c r="H393" s="3">
        <v>46163</v>
      </c>
      <c r="I393" s="3">
        <v>46167</v>
      </c>
      <c r="J393" t="s">
        <v>444</v>
      </c>
      <c r="K393" s="3">
        <v>46157</v>
      </c>
      <c r="L393" s="3">
        <v>46157</v>
      </c>
      <c r="M393" s="3">
        <v>46167</v>
      </c>
      <c r="N393" s="3">
        <v>46167</v>
      </c>
      <c r="O393" t="s">
        <v>491</v>
      </c>
      <c r="P393" t="s">
        <v>55</v>
      </c>
      <c r="Q393">
        <v>455</v>
      </c>
      <c r="S393" t="s">
        <v>124</v>
      </c>
      <c r="T393" t="s">
        <v>425</v>
      </c>
      <c r="U393">
        <v>458</v>
      </c>
      <c r="V393" t="s">
        <v>61</v>
      </c>
      <c r="W393">
        <v>13.4</v>
      </c>
      <c r="X393" t="s">
        <v>57</v>
      </c>
      <c r="Z393" t="s">
        <v>124</v>
      </c>
      <c r="AA393" t="s">
        <v>93</v>
      </c>
      <c r="AE393">
        <v>1</v>
      </c>
      <c r="AF393">
        <v>0</v>
      </c>
      <c r="AG393">
        <v>0</v>
      </c>
      <c r="AH393">
        <v>0</v>
      </c>
      <c r="AI393">
        <v>1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0</v>
      </c>
      <c r="AP393">
        <v>0</v>
      </c>
    </row>
    <row r="394" spans="1:42" x14ac:dyDescent="0.25">
      <c r="A394">
        <v>457</v>
      </c>
      <c r="B394" t="s">
        <v>913</v>
      </c>
      <c r="C394" t="s">
        <v>902</v>
      </c>
      <c r="D394" t="s">
        <v>914</v>
      </c>
      <c r="E394" s="4">
        <v>1</v>
      </c>
      <c r="F394" t="s">
        <v>915</v>
      </c>
      <c r="G394" t="s">
        <v>915</v>
      </c>
      <c r="H394" s="3">
        <v>46162</v>
      </c>
      <c r="I394" s="3">
        <v>46184</v>
      </c>
      <c r="J394" t="s">
        <v>491</v>
      </c>
      <c r="K394" s="3">
        <v>46171</v>
      </c>
      <c r="L394" s="3">
        <v>46163</v>
      </c>
      <c r="M394" s="3">
        <v>46184</v>
      </c>
      <c r="N394" s="3">
        <v>46184</v>
      </c>
      <c r="O394" t="s">
        <v>200</v>
      </c>
      <c r="P394" t="s">
        <v>55</v>
      </c>
      <c r="T394" t="s">
        <v>425</v>
      </c>
      <c r="V394" t="s">
        <v>175</v>
      </c>
      <c r="X394" t="s">
        <v>57</v>
      </c>
      <c r="AA394" t="s">
        <v>50</v>
      </c>
      <c r="AE394">
        <v>1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</row>
    <row r="395" spans="1:42" x14ac:dyDescent="0.25">
      <c r="A395">
        <v>458</v>
      </c>
      <c r="B395" t="s">
        <v>916</v>
      </c>
      <c r="C395" t="s">
        <v>917</v>
      </c>
      <c r="D395" t="s">
        <v>117</v>
      </c>
      <c r="E395" s="4">
        <v>1</v>
      </c>
      <c r="F395" t="s">
        <v>122</v>
      </c>
      <c r="G395" t="s">
        <v>122</v>
      </c>
      <c r="H395" s="3">
        <v>46162</v>
      </c>
      <c r="I395" s="3">
        <v>46164</v>
      </c>
      <c r="J395" t="s">
        <v>491</v>
      </c>
      <c r="K395" s="3">
        <v>46164</v>
      </c>
      <c r="L395" s="3">
        <v>46163</v>
      </c>
      <c r="M395" s="3">
        <v>46164</v>
      </c>
      <c r="N395" s="3">
        <v>46164</v>
      </c>
      <c r="O395" t="s">
        <v>200</v>
      </c>
      <c r="P395" t="s">
        <v>55</v>
      </c>
      <c r="Q395" t="s">
        <v>918</v>
      </c>
      <c r="S395" t="s">
        <v>302</v>
      </c>
      <c r="T395" t="s">
        <v>425</v>
      </c>
      <c r="U395" t="s">
        <v>919</v>
      </c>
      <c r="V395" t="s">
        <v>127</v>
      </c>
      <c r="W395">
        <v>13.4</v>
      </c>
      <c r="X395" t="s">
        <v>57</v>
      </c>
      <c r="Z395" t="s">
        <v>302</v>
      </c>
      <c r="AA395" t="s">
        <v>198</v>
      </c>
      <c r="AE395">
        <v>1</v>
      </c>
      <c r="AF395">
        <v>1</v>
      </c>
      <c r="AG395">
        <v>1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1</v>
      </c>
    </row>
    <row r="396" spans="1:42" x14ac:dyDescent="0.25">
      <c r="A396">
        <v>459</v>
      </c>
      <c r="B396" t="s">
        <v>920</v>
      </c>
      <c r="C396" t="s">
        <v>917</v>
      </c>
      <c r="D396" t="s">
        <v>121</v>
      </c>
      <c r="E396" s="4">
        <v>1</v>
      </c>
      <c r="F396" t="s">
        <v>127</v>
      </c>
      <c r="G396" t="s">
        <v>127</v>
      </c>
      <c r="H396" s="3">
        <v>46167</v>
      </c>
      <c r="I396" s="3">
        <v>46168</v>
      </c>
      <c r="J396" t="s">
        <v>74</v>
      </c>
      <c r="K396" s="3">
        <v>46169</v>
      </c>
      <c r="L396" s="3">
        <v>46167</v>
      </c>
      <c r="M396" s="3">
        <v>46168</v>
      </c>
      <c r="N396" s="3">
        <v>46168</v>
      </c>
      <c r="O396" t="s">
        <v>74</v>
      </c>
      <c r="P396" t="s">
        <v>55</v>
      </c>
      <c r="Q396">
        <v>458</v>
      </c>
      <c r="S396" t="s">
        <v>124</v>
      </c>
      <c r="T396" t="s">
        <v>425</v>
      </c>
      <c r="U396">
        <v>460</v>
      </c>
      <c r="V396" t="s">
        <v>122</v>
      </c>
      <c r="W396">
        <v>13.4</v>
      </c>
      <c r="X396" t="s">
        <v>57</v>
      </c>
      <c r="Z396" t="s">
        <v>124</v>
      </c>
      <c r="AA396" t="s">
        <v>77</v>
      </c>
      <c r="AE396">
        <v>1</v>
      </c>
      <c r="AF396">
        <v>0</v>
      </c>
      <c r="AG396">
        <v>0</v>
      </c>
      <c r="AH396">
        <v>0</v>
      </c>
      <c r="AI396">
        <v>0</v>
      </c>
      <c r="AJ396">
        <v>1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</row>
    <row r="397" spans="1:42" x14ac:dyDescent="0.25">
      <c r="A397">
        <v>460</v>
      </c>
      <c r="B397" t="s">
        <v>921</v>
      </c>
      <c r="C397" t="s">
        <v>917</v>
      </c>
      <c r="D397" t="s">
        <v>126</v>
      </c>
      <c r="E397" s="4">
        <v>1</v>
      </c>
      <c r="F397" t="s">
        <v>114</v>
      </c>
      <c r="G397" t="s">
        <v>114</v>
      </c>
      <c r="H397" s="3">
        <v>46168</v>
      </c>
      <c r="I397" s="3">
        <v>46183</v>
      </c>
      <c r="J397" t="s">
        <v>448</v>
      </c>
      <c r="K397" s="3">
        <v>46170</v>
      </c>
      <c r="L397" s="3">
        <v>46170</v>
      </c>
      <c r="M397" s="3">
        <v>46183</v>
      </c>
      <c r="N397" s="3">
        <v>46183</v>
      </c>
      <c r="O397" t="s">
        <v>206</v>
      </c>
      <c r="P397" t="s">
        <v>55</v>
      </c>
      <c r="Q397">
        <v>459</v>
      </c>
      <c r="S397" t="s">
        <v>302</v>
      </c>
      <c r="T397" t="s">
        <v>425</v>
      </c>
      <c r="U397">
        <v>461</v>
      </c>
      <c r="V397" t="s">
        <v>61</v>
      </c>
      <c r="W397">
        <v>13.4</v>
      </c>
      <c r="X397" t="s">
        <v>57</v>
      </c>
      <c r="Z397" t="s">
        <v>302</v>
      </c>
      <c r="AA397" t="s">
        <v>77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1</v>
      </c>
      <c r="AM397">
        <v>0</v>
      </c>
      <c r="AN397">
        <v>0</v>
      </c>
      <c r="AO397">
        <v>0</v>
      </c>
      <c r="AP397">
        <v>0</v>
      </c>
    </row>
    <row r="398" spans="1:42" x14ac:dyDescent="0.25">
      <c r="A398">
        <v>461</v>
      </c>
      <c r="B398" t="s">
        <v>922</v>
      </c>
      <c r="C398" t="s">
        <v>917</v>
      </c>
      <c r="D398" t="s">
        <v>133</v>
      </c>
      <c r="E398" s="4">
        <v>1</v>
      </c>
      <c r="F398" t="s">
        <v>923</v>
      </c>
      <c r="G398" t="s">
        <v>923</v>
      </c>
      <c r="H398" s="3">
        <v>46170</v>
      </c>
      <c r="I398" s="3">
        <v>46184</v>
      </c>
      <c r="J398" t="s">
        <v>189</v>
      </c>
      <c r="K398" s="3">
        <v>46171</v>
      </c>
      <c r="L398" s="3">
        <v>46171</v>
      </c>
      <c r="M398" s="3">
        <v>46184</v>
      </c>
      <c r="N398" s="3">
        <v>46184</v>
      </c>
      <c r="O398" t="s">
        <v>448</v>
      </c>
      <c r="P398" t="s">
        <v>55</v>
      </c>
      <c r="Q398">
        <v>460</v>
      </c>
      <c r="S398" t="s">
        <v>124</v>
      </c>
      <c r="T398" t="s">
        <v>425</v>
      </c>
      <c r="V398" t="s">
        <v>61</v>
      </c>
      <c r="W398">
        <v>13.4</v>
      </c>
      <c r="X398" t="s">
        <v>57</v>
      </c>
      <c r="Z398" t="s">
        <v>124</v>
      </c>
      <c r="AA398" t="s">
        <v>77</v>
      </c>
      <c r="AE398">
        <v>1</v>
      </c>
      <c r="AF398">
        <v>0</v>
      </c>
      <c r="AG398">
        <v>0</v>
      </c>
      <c r="AH398">
        <v>0</v>
      </c>
      <c r="AI398">
        <v>1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0</v>
      </c>
      <c r="AP398">
        <v>0</v>
      </c>
    </row>
    <row r="399" spans="1:42" x14ac:dyDescent="0.25">
      <c r="A399">
        <v>462</v>
      </c>
      <c r="B399" t="s">
        <v>924</v>
      </c>
      <c r="C399" t="s">
        <v>902</v>
      </c>
      <c r="D399" t="s">
        <v>925</v>
      </c>
      <c r="E399" s="4">
        <v>1</v>
      </c>
      <c r="F399" t="s">
        <v>210</v>
      </c>
      <c r="G399" t="s">
        <v>210</v>
      </c>
      <c r="H399" s="3">
        <v>46162</v>
      </c>
      <c r="I399" s="3">
        <v>46171</v>
      </c>
      <c r="J399" t="s">
        <v>491</v>
      </c>
      <c r="K399" s="3">
        <v>46171</v>
      </c>
      <c r="L399" s="3">
        <v>46163</v>
      </c>
      <c r="M399" s="3">
        <v>46171</v>
      </c>
      <c r="N399" s="3">
        <v>46171</v>
      </c>
      <c r="O399" t="s">
        <v>200</v>
      </c>
      <c r="P399" t="s">
        <v>55</v>
      </c>
      <c r="T399" t="s">
        <v>425</v>
      </c>
      <c r="V399" t="s">
        <v>175</v>
      </c>
      <c r="X399" t="s">
        <v>57</v>
      </c>
      <c r="AA399" t="s">
        <v>50</v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</row>
    <row r="400" spans="1:42" x14ac:dyDescent="0.25">
      <c r="A400">
        <v>463</v>
      </c>
      <c r="B400" t="s">
        <v>926</v>
      </c>
      <c r="C400" t="s">
        <v>927</v>
      </c>
      <c r="D400" t="s">
        <v>117</v>
      </c>
      <c r="E400" s="4">
        <v>1</v>
      </c>
      <c r="F400" t="s">
        <v>122</v>
      </c>
      <c r="G400" t="s">
        <v>122</v>
      </c>
      <c r="H400" s="3">
        <v>46162</v>
      </c>
      <c r="I400" s="3">
        <v>46164</v>
      </c>
      <c r="J400" t="s">
        <v>491</v>
      </c>
      <c r="K400" s="3">
        <v>46164</v>
      </c>
      <c r="L400" s="3">
        <v>46163</v>
      </c>
      <c r="M400" s="3">
        <v>46164</v>
      </c>
      <c r="N400" s="3">
        <v>46164</v>
      </c>
      <c r="O400" t="s">
        <v>200</v>
      </c>
      <c r="P400" t="s">
        <v>55</v>
      </c>
      <c r="Q400" t="s">
        <v>928</v>
      </c>
      <c r="S400" t="s">
        <v>302</v>
      </c>
      <c r="T400" t="s">
        <v>425</v>
      </c>
      <c r="U400">
        <v>464</v>
      </c>
      <c r="V400" t="s">
        <v>127</v>
      </c>
      <c r="W400">
        <v>13.4</v>
      </c>
      <c r="X400" t="s">
        <v>57</v>
      </c>
      <c r="Z400" t="s">
        <v>302</v>
      </c>
      <c r="AA400" t="s">
        <v>198</v>
      </c>
      <c r="AE400">
        <v>1</v>
      </c>
      <c r="AF400">
        <v>1</v>
      </c>
      <c r="AG400">
        <v>1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1</v>
      </c>
    </row>
    <row r="401" spans="1:42" x14ac:dyDescent="0.25">
      <c r="A401">
        <v>464</v>
      </c>
      <c r="B401" t="s">
        <v>929</v>
      </c>
      <c r="C401" t="s">
        <v>927</v>
      </c>
      <c r="D401" t="s">
        <v>121</v>
      </c>
      <c r="E401" s="4">
        <v>1</v>
      </c>
      <c r="F401" t="s">
        <v>127</v>
      </c>
      <c r="G401" t="s">
        <v>127</v>
      </c>
      <c r="H401" s="3">
        <v>46167</v>
      </c>
      <c r="I401" s="3">
        <v>46168</v>
      </c>
      <c r="J401" t="s">
        <v>74</v>
      </c>
      <c r="K401" s="3">
        <v>46169</v>
      </c>
      <c r="L401" s="3">
        <v>46167</v>
      </c>
      <c r="M401" s="3">
        <v>46168</v>
      </c>
      <c r="N401" s="3">
        <v>46168</v>
      </c>
      <c r="O401" t="s">
        <v>74</v>
      </c>
      <c r="P401" t="s">
        <v>55</v>
      </c>
      <c r="Q401">
        <v>463</v>
      </c>
      <c r="S401" t="s">
        <v>124</v>
      </c>
      <c r="T401" t="s">
        <v>425</v>
      </c>
      <c r="U401">
        <v>465</v>
      </c>
      <c r="V401" t="s">
        <v>122</v>
      </c>
      <c r="W401">
        <v>13.4</v>
      </c>
      <c r="X401" t="s">
        <v>57</v>
      </c>
      <c r="Z401" t="s">
        <v>124</v>
      </c>
      <c r="AA401" t="s">
        <v>77</v>
      </c>
      <c r="AE401">
        <v>1</v>
      </c>
      <c r="AF401">
        <v>0</v>
      </c>
      <c r="AG401">
        <v>0</v>
      </c>
      <c r="AH401">
        <v>0</v>
      </c>
      <c r="AI401">
        <v>0</v>
      </c>
      <c r="AJ401">
        <v>1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</row>
    <row r="402" spans="1:42" x14ac:dyDescent="0.25">
      <c r="A402">
        <v>465</v>
      </c>
      <c r="B402" t="s">
        <v>930</v>
      </c>
      <c r="C402" t="s">
        <v>927</v>
      </c>
      <c r="D402" t="s">
        <v>126</v>
      </c>
      <c r="E402" s="4">
        <v>1</v>
      </c>
      <c r="F402" t="s">
        <v>61</v>
      </c>
      <c r="G402" t="s">
        <v>61</v>
      </c>
      <c r="H402" s="3">
        <v>46168</v>
      </c>
      <c r="I402" s="3">
        <v>46169</v>
      </c>
      <c r="J402" t="s">
        <v>448</v>
      </c>
      <c r="K402" s="3">
        <v>46170</v>
      </c>
      <c r="L402" s="3">
        <v>46170</v>
      </c>
      <c r="M402" s="3">
        <v>46169</v>
      </c>
      <c r="N402" s="3">
        <v>46169</v>
      </c>
      <c r="O402" t="s">
        <v>206</v>
      </c>
      <c r="P402" t="s">
        <v>55</v>
      </c>
      <c r="Q402">
        <v>464</v>
      </c>
      <c r="S402" t="s">
        <v>302</v>
      </c>
      <c r="T402" t="s">
        <v>425</v>
      </c>
      <c r="U402">
        <v>466</v>
      </c>
      <c r="V402" t="s">
        <v>61</v>
      </c>
      <c r="W402">
        <v>13.4</v>
      </c>
      <c r="X402" t="s">
        <v>57</v>
      </c>
      <c r="Z402" t="s">
        <v>302</v>
      </c>
      <c r="AA402" t="s">
        <v>77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1</v>
      </c>
      <c r="AM402">
        <v>0</v>
      </c>
      <c r="AN402">
        <v>0</v>
      </c>
      <c r="AO402">
        <v>0</v>
      </c>
      <c r="AP402">
        <v>0</v>
      </c>
    </row>
    <row r="403" spans="1:42" x14ac:dyDescent="0.25">
      <c r="A403">
        <v>466</v>
      </c>
      <c r="B403" t="s">
        <v>931</v>
      </c>
      <c r="C403" t="s">
        <v>927</v>
      </c>
      <c r="D403" t="s">
        <v>133</v>
      </c>
      <c r="E403" s="4">
        <v>1</v>
      </c>
      <c r="F403" t="s">
        <v>127</v>
      </c>
      <c r="G403" t="s">
        <v>127</v>
      </c>
      <c r="H403" s="3">
        <v>46169</v>
      </c>
      <c r="I403" s="3">
        <v>46171</v>
      </c>
      <c r="J403" t="s">
        <v>189</v>
      </c>
      <c r="K403" s="3">
        <v>46171</v>
      </c>
      <c r="L403" s="3">
        <v>46171</v>
      </c>
      <c r="M403" s="3">
        <v>46171</v>
      </c>
      <c r="N403" s="3">
        <v>46171</v>
      </c>
      <c r="O403" t="s">
        <v>97</v>
      </c>
      <c r="P403" t="s">
        <v>55</v>
      </c>
      <c r="Q403">
        <v>465</v>
      </c>
      <c r="S403" t="s">
        <v>124</v>
      </c>
      <c r="T403" t="s">
        <v>425</v>
      </c>
      <c r="V403" t="s">
        <v>61</v>
      </c>
      <c r="W403">
        <v>13.4</v>
      </c>
      <c r="X403" t="s">
        <v>57</v>
      </c>
      <c r="Z403" t="s">
        <v>124</v>
      </c>
      <c r="AA403" t="s">
        <v>77</v>
      </c>
      <c r="AE403">
        <v>1</v>
      </c>
      <c r="AF403">
        <v>0</v>
      </c>
      <c r="AG403">
        <v>0</v>
      </c>
      <c r="AH403">
        <v>0</v>
      </c>
      <c r="AI403">
        <v>1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0</v>
      </c>
      <c r="AP403">
        <v>0</v>
      </c>
    </row>
    <row r="404" spans="1:42" x14ac:dyDescent="0.25">
      <c r="A404">
        <v>467</v>
      </c>
      <c r="B404" t="s">
        <v>932</v>
      </c>
      <c r="C404" t="s">
        <v>902</v>
      </c>
      <c r="D404" t="s">
        <v>933</v>
      </c>
      <c r="E404" s="4">
        <v>1</v>
      </c>
      <c r="F404" t="s">
        <v>192</v>
      </c>
      <c r="G404" t="s">
        <v>192</v>
      </c>
      <c r="H404" s="3">
        <v>46163</v>
      </c>
      <c r="I404" s="3">
        <v>46190</v>
      </c>
      <c r="J404" t="s">
        <v>491</v>
      </c>
      <c r="K404" s="3">
        <v>46190</v>
      </c>
      <c r="L404" s="3">
        <v>46163</v>
      </c>
      <c r="M404" s="3">
        <v>46190</v>
      </c>
      <c r="N404" s="3">
        <v>46190</v>
      </c>
      <c r="O404" t="s">
        <v>491</v>
      </c>
      <c r="P404" t="s">
        <v>55</v>
      </c>
      <c r="T404" t="s">
        <v>425</v>
      </c>
      <c r="V404" t="s">
        <v>175</v>
      </c>
      <c r="X404" t="s">
        <v>57</v>
      </c>
      <c r="AA404" t="s">
        <v>50</v>
      </c>
      <c r="AB404" t="s">
        <v>94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</row>
    <row r="405" spans="1:42" x14ac:dyDescent="0.25">
      <c r="A405">
        <v>468</v>
      </c>
      <c r="B405" t="s">
        <v>934</v>
      </c>
      <c r="C405" t="s">
        <v>935</v>
      </c>
      <c r="D405" t="s">
        <v>117</v>
      </c>
      <c r="E405" s="4">
        <v>1</v>
      </c>
      <c r="F405" t="s">
        <v>114</v>
      </c>
      <c r="G405" t="s">
        <v>114</v>
      </c>
      <c r="H405" s="3">
        <v>46163</v>
      </c>
      <c r="I405" s="3">
        <v>46175</v>
      </c>
      <c r="J405" t="s">
        <v>491</v>
      </c>
      <c r="K405" s="3">
        <v>46175</v>
      </c>
      <c r="L405" s="3">
        <v>46163</v>
      </c>
      <c r="M405" s="3">
        <v>46175</v>
      </c>
      <c r="N405" s="3">
        <v>46175</v>
      </c>
      <c r="O405" t="s">
        <v>491</v>
      </c>
      <c r="P405" t="s">
        <v>55</v>
      </c>
      <c r="Q405" t="s">
        <v>928</v>
      </c>
      <c r="S405" t="s">
        <v>302</v>
      </c>
      <c r="T405" t="s">
        <v>425</v>
      </c>
      <c r="U405">
        <v>469</v>
      </c>
      <c r="V405" t="s">
        <v>127</v>
      </c>
      <c r="W405">
        <v>13.4</v>
      </c>
      <c r="X405" t="s">
        <v>57</v>
      </c>
      <c r="Z405" t="s">
        <v>302</v>
      </c>
      <c r="AA405" t="s">
        <v>198</v>
      </c>
      <c r="AE405">
        <v>1</v>
      </c>
      <c r="AF405">
        <v>1</v>
      </c>
      <c r="AG405">
        <v>1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1</v>
      </c>
    </row>
    <row r="406" spans="1:42" x14ac:dyDescent="0.25">
      <c r="A406">
        <v>469</v>
      </c>
      <c r="B406" t="s">
        <v>936</v>
      </c>
      <c r="C406" t="s">
        <v>935</v>
      </c>
      <c r="D406" t="s">
        <v>121</v>
      </c>
      <c r="E406" s="4">
        <v>1</v>
      </c>
      <c r="F406" t="s">
        <v>61</v>
      </c>
      <c r="G406" t="s">
        <v>61</v>
      </c>
      <c r="H406" s="3">
        <v>46175</v>
      </c>
      <c r="I406" s="3">
        <v>46176</v>
      </c>
      <c r="J406" t="s">
        <v>472</v>
      </c>
      <c r="K406" s="3">
        <v>46176</v>
      </c>
      <c r="L406" s="3">
        <v>46175</v>
      </c>
      <c r="M406" s="3">
        <v>46176</v>
      </c>
      <c r="N406" s="3">
        <v>46176</v>
      </c>
      <c r="O406" t="s">
        <v>472</v>
      </c>
      <c r="P406" t="s">
        <v>55</v>
      </c>
      <c r="Q406">
        <v>468</v>
      </c>
      <c r="S406" t="s">
        <v>124</v>
      </c>
      <c r="T406" t="s">
        <v>425</v>
      </c>
      <c r="U406">
        <v>470</v>
      </c>
      <c r="V406" t="s">
        <v>122</v>
      </c>
      <c r="W406">
        <v>13.4</v>
      </c>
      <c r="X406" t="s">
        <v>57</v>
      </c>
      <c r="Z406" t="s">
        <v>124</v>
      </c>
      <c r="AA406" t="s">
        <v>77</v>
      </c>
      <c r="AE406">
        <v>1</v>
      </c>
      <c r="AF406">
        <v>0</v>
      </c>
      <c r="AG406">
        <v>0</v>
      </c>
      <c r="AH406">
        <v>0</v>
      </c>
      <c r="AI406">
        <v>0</v>
      </c>
      <c r="AJ406">
        <v>1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</row>
    <row r="407" spans="1:42" x14ac:dyDescent="0.25">
      <c r="A407">
        <v>470</v>
      </c>
      <c r="B407" t="s">
        <v>937</v>
      </c>
      <c r="C407" t="s">
        <v>935</v>
      </c>
      <c r="D407" t="s">
        <v>126</v>
      </c>
      <c r="E407" s="4">
        <v>1</v>
      </c>
      <c r="F407" t="s">
        <v>61</v>
      </c>
      <c r="G407" t="s">
        <v>61</v>
      </c>
      <c r="H407" s="3">
        <v>46175</v>
      </c>
      <c r="I407" s="3">
        <v>46181</v>
      </c>
      <c r="J407" t="s">
        <v>472</v>
      </c>
      <c r="K407" s="3">
        <v>46181</v>
      </c>
      <c r="L407" s="3">
        <v>46175</v>
      </c>
      <c r="M407" s="3">
        <v>46181</v>
      </c>
      <c r="N407" s="3">
        <v>46181</v>
      </c>
      <c r="O407" t="s">
        <v>472</v>
      </c>
      <c r="P407" t="s">
        <v>55</v>
      </c>
      <c r="Q407">
        <v>469</v>
      </c>
      <c r="S407" t="s">
        <v>302</v>
      </c>
      <c r="T407" t="s">
        <v>425</v>
      </c>
      <c r="U407">
        <v>471</v>
      </c>
      <c r="V407" t="s">
        <v>61</v>
      </c>
      <c r="W407">
        <v>13.4</v>
      </c>
      <c r="X407" t="s">
        <v>57</v>
      </c>
      <c r="Z407" t="s">
        <v>302</v>
      </c>
      <c r="AA407" t="s">
        <v>77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1</v>
      </c>
      <c r="AM407">
        <v>0</v>
      </c>
      <c r="AN407">
        <v>0</v>
      </c>
      <c r="AO407">
        <v>0</v>
      </c>
      <c r="AP407">
        <v>0</v>
      </c>
    </row>
    <row r="408" spans="1:42" x14ac:dyDescent="0.25">
      <c r="A408">
        <v>471</v>
      </c>
      <c r="B408" t="s">
        <v>938</v>
      </c>
      <c r="C408" t="s">
        <v>935</v>
      </c>
      <c r="D408" t="s">
        <v>133</v>
      </c>
      <c r="E408" s="4">
        <v>1</v>
      </c>
      <c r="F408" t="s">
        <v>151</v>
      </c>
      <c r="G408" t="s">
        <v>151</v>
      </c>
      <c r="H408" s="3">
        <v>46175</v>
      </c>
      <c r="I408" s="3">
        <v>46190</v>
      </c>
      <c r="J408" t="s">
        <v>472</v>
      </c>
      <c r="K408" s="3">
        <v>46190</v>
      </c>
      <c r="L408" s="3">
        <v>46175</v>
      </c>
      <c r="M408" s="3">
        <v>46190</v>
      </c>
      <c r="N408" s="3">
        <v>46190</v>
      </c>
      <c r="O408" t="s">
        <v>472</v>
      </c>
      <c r="P408" t="s">
        <v>55</v>
      </c>
      <c r="Q408">
        <v>470</v>
      </c>
      <c r="S408" t="s">
        <v>124</v>
      </c>
      <c r="T408" t="s">
        <v>425</v>
      </c>
      <c r="V408" t="s">
        <v>61</v>
      </c>
      <c r="W408">
        <v>13.4</v>
      </c>
      <c r="X408" t="s">
        <v>57</v>
      </c>
      <c r="Z408" t="s">
        <v>124</v>
      </c>
      <c r="AA408" t="s">
        <v>77</v>
      </c>
      <c r="AE408">
        <v>1</v>
      </c>
      <c r="AF408">
        <v>0</v>
      </c>
      <c r="AG408">
        <v>0</v>
      </c>
      <c r="AH408">
        <v>0</v>
      </c>
      <c r="AI408">
        <v>1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0</v>
      </c>
      <c r="AP408">
        <v>0</v>
      </c>
    </row>
    <row r="409" spans="1:42" x14ac:dyDescent="0.25">
      <c r="A409">
        <v>472</v>
      </c>
      <c r="B409" t="s">
        <v>939</v>
      </c>
      <c r="C409" t="s">
        <v>902</v>
      </c>
      <c r="D409" t="s">
        <v>940</v>
      </c>
      <c r="E409" s="4">
        <v>1</v>
      </c>
      <c r="F409" t="s">
        <v>192</v>
      </c>
      <c r="G409" t="s">
        <v>192</v>
      </c>
      <c r="H409" s="3">
        <v>46163</v>
      </c>
      <c r="I409" s="3">
        <v>46190</v>
      </c>
      <c r="J409" t="s">
        <v>491</v>
      </c>
      <c r="K409" s="3">
        <v>46190</v>
      </c>
      <c r="L409" s="3">
        <v>46163</v>
      </c>
      <c r="M409" s="3">
        <v>46190</v>
      </c>
      <c r="N409" s="3">
        <v>46190</v>
      </c>
      <c r="O409" t="s">
        <v>491</v>
      </c>
      <c r="P409" t="s">
        <v>55</v>
      </c>
      <c r="T409" t="s">
        <v>425</v>
      </c>
      <c r="V409" t="s">
        <v>175</v>
      </c>
      <c r="X409" t="s">
        <v>57</v>
      </c>
      <c r="AA409" t="s">
        <v>50</v>
      </c>
      <c r="AB409" t="s">
        <v>94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</row>
    <row r="410" spans="1:42" x14ac:dyDescent="0.25">
      <c r="A410">
        <v>473</v>
      </c>
      <c r="B410" t="s">
        <v>941</v>
      </c>
      <c r="C410" t="s">
        <v>942</v>
      </c>
      <c r="D410" t="s">
        <v>117</v>
      </c>
      <c r="E410" s="4">
        <v>1</v>
      </c>
      <c r="F410" t="s">
        <v>114</v>
      </c>
      <c r="G410" t="s">
        <v>114</v>
      </c>
      <c r="H410" s="3">
        <v>46163</v>
      </c>
      <c r="I410" s="3">
        <v>46175</v>
      </c>
      <c r="J410" t="s">
        <v>491</v>
      </c>
      <c r="K410" s="3">
        <v>46175</v>
      </c>
      <c r="L410" s="3">
        <v>46163</v>
      </c>
      <c r="M410" s="3">
        <v>46175</v>
      </c>
      <c r="N410" s="3">
        <v>46175</v>
      </c>
      <c r="O410" t="s">
        <v>491</v>
      </c>
      <c r="P410" t="s">
        <v>55</v>
      </c>
      <c r="Q410" t="s">
        <v>928</v>
      </c>
      <c r="S410" t="s">
        <v>302</v>
      </c>
      <c r="T410" t="s">
        <v>425</v>
      </c>
      <c r="U410">
        <v>474</v>
      </c>
      <c r="V410" t="s">
        <v>127</v>
      </c>
      <c r="W410">
        <v>13.4</v>
      </c>
      <c r="X410" t="s">
        <v>57</v>
      </c>
      <c r="Z410" t="s">
        <v>302</v>
      </c>
      <c r="AA410" t="s">
        <v>198</v>
      </c>
      <c r="AE410">
        <v>1</v>
      </c>
      <c r="AF410">
        <v>1</v>
      </c>
      <c r="AG410">
        <v>1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1</v>
      </c>
    </row>
    <row r="411" spans="1:42" x14ac:dyDescent="0.25">
      <c r="A411">
        <v>474</v>
      </c>
      <c r="B411" t="s">
        <v>943</v>
      </c>
      <c r="C411" t="s">
        <v>942</v>
      </c>
      <c r="D411" t="s">
        <v>121</v>
      </c>
      <c r="E411" s="4">
        <v>1</v>
      </c>
      <c r="F411" t="s">
        <v>61</v>
      </c>
      <c r="G411" t="s">
        <v>61</v>
      </c>
      <c r="H411" s="3">
        <v>46175</v>
      </c>
      <c r="I411" s="3">
        <v>46176</v>
      </c>
      <c r="J411" t="s">
        <v>472</v>
      </c>
      <c r="K411" s="3">
        <v>46176</v>
      </c>
      <c r="L411" s="3">
        <v>46175</v>
      </c>
      <c r="M411" s="3">
        <v>46176</v>
      </c>
      <c r="N411" s="3">
        <v>46176</v>
      </c>
      <c r="O411" t="s">
        <v>472</v>
      </c>
      <c r="P411" t="s">
        <v>55</v>
      </c>
      <c r="Q411">
        <v>473</v>
      </c>
      <c r="S411" t="s">
        <v>124</v>
      </c>
      <c r="T411" t="s">
        <v>425</v>
      </c>
      <c r="U411">
        <v>475</v>
      </c>
      <c r="V411" t="s">
        <v>122</v>
      </c>
      <c r="W411">
        <v>13.4</v>
      </c>
      <c r="X411" t="s">
        <v>57</v>
      </c>
      <c r="Z411" t="s">
        <v>124</v>
      </c>
      <c r="AA411" t="s">
        <v>77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1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</row>
    <row r="412" spans="1:42" x14ac:dyDescent="0.25">
      <c r="A412">
        <v>475</v>
      </c>
      <c r="B412" t="s">
        <v>944</v>
      </c>
      <c r="C412" t="s">
        <v>942</v>
      </c>
      <c r="D412" t="s">
        <v>126</v>
      </c>
      <c r="E412" s="4">
        <v>1</v>
      </c>
      <c r="F412" t="s">
        <v>61</v>
      </c>
      <c r="G412" t="s">
        <v>61</v>
      </c>
      <c r="H412" s="3">
        <v>46175</v>
      </c>
      <c r="I412" s="3">
        <v>46181</v>
      </c>
      <c r="J412" t="s">
        <v>472</v>
      </c>
      <c r="K412" s="3">
        <v>46181</v>
      </c>
      <c r="L412" s="3">
        <v>46175</v>
      </c>
      <c r="M412" s="3">
        <v>46181</v>
      </c>
      <c r="N412" s="3">
        <v>46181</v>
      </c>
      <c r="O412" t="s">
        <v>472</v>
      </c>
      <c r="P412" t="s">
        <v>55</v>
      </c>
      <c r="Q412">
        <v>474</v>
      </c>
      <c r="S412" t="s">
        <v>302</v>
      </c>
      <c r="T412" t="s">
        <v>425</v>
      </c>
      <c r="U412">
        <v>476</v>
      </c>
      <c r="V412" t="s">
        <v>61</v>
      </c>
      <c r="W412">
        <v>13.4</v>
      </c>
      <c r="X412" t="s">
        <v>57</v>
      </c>
      <c r="Z412" t="s">
        <v>302</v>
      </c>
      <c r="AA412" t="s">
        <v>77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1</v>
      </c>
      <c r="AM412">
        <v>0</v>
      </c>
      <c r="AN412">
        <v>0</v>
      </c>
      <c r="AO412">
        <v>0</v>
      </c>
      <c r="AP412">
        <v>0</v>
      </c>
    </row>
    <row r="413" spans="1:42" x14ac:dyDescent="0.25">
      <c r="A413">
        <v>476</v>
      </c>
      <c r="B413" t="s">
        <v>945</v>
      </c>
      <c r="C413" t="s">
        <v>942</v>
      </c>
      <c r="D413" t="s">
        <v>133</v>
      </c>
      <c r="E413" s="4">
        <v>1</v>
      </c>
      <c r="F413" t="s">
        <v>114</v>
      </c>
      <c r="G413" t="s">
        <v>114</v>
      </c>
      <c r="H413" s="3">
        <v>46176</v>
      </c>
      <c r="I413" s="3">
        <v>46190</v>
      </c>
      <c r="J413" t="s">
        <v>459</v>
      </c>
      <c r="K413" s="3">
        <v>46190</v>
      </c>
      <c r="L413" s="3">
        <v>46176</v>
      </c>
      <c r="M413" s="3">
        <v>46190</v>
      </c>
      <c r="N413" s="3">
        <v>46190</v>
      </c>
      <c r="O413" t="s">
        <v>459</v>
      </c>
      <c r="P413" t="s">
        <v>55</v>
      </c>
      <c r="Q413">
        <v>475</v>
      </c>
      <c r="S413" t="s">
        <v>124</v>
      </c>
      <c r="T413" t="s">
        <v>425</v>
      </c>
      <c r="V413" t="s">
        <v>61</v>
      </c>
      <c r="W413">
        <v>13.4</v>
      </c>
      <c r="X413" t="s">
        <v>57</v>
      </c>
      <c r="Z413" t="s">
        <v>124</v>
      </c>
      <c r="AA413" t="s">
        <v>77</v>
      </c>
      <c r="AE413">
        <v>1</v>
      </c>
      <c r="AF413">
        <v>0</v>
      </c>
      <c r="AG413">
        <v>0</v>
      </c>
      <c r="AH413">
        <v>0</v>
      </c>
      <c r="AI413">
        <v>1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0</v>
      </c>
      <c r="AP413">
        <v>0</v>
      </c>
    </row>
    <row r="414" spans="1:42" x14ac:dyDescent="0.25">
      <c r="A414">
        <v>477</v>
      </c>
      <c r="B414" t="s">
        <v>946</v>
      </c>
      <c r="C414" t="s">
        <v>425</v>
      </c>
      <c r="D414" t="s">
        <v>947</v>
      </c>
      <c r="E414" s="4">
        <v>1</v>
      </c>
      <c r="F414" t="s">
        <v>345</v>
      </c>
      <c r="G414" t="s">
        <v>345</v>
      </c>
      <c r="H414" s="3">
        <v>46162</v>
      </c>
      <c r="I414" s="3">
        <v>46199</v>
      </c>
      <c r="J414" t="s">
        <v>183</v>
      </c>
      <c r="K414" s="3">
        <v>46171</v>
      </c>
      <c r="L414" s="3">
        <v>46147</v>
      </c>
      <c r="M414" s="3">
        <v>46199</v>
      </c>
      <c r="N414" s="3">
        <v>46199</v>
      </c>
      <c r="O414" t="s">
        <v>200</v>
      </c>
      <c r="P414" t="s">
        <v>55</v>
      </c>
      <c r="T414" t="s">
        <v>425</v>
      </c>
      <c r="V414" t="s">
        <v>187</v>
      </c>
      <c r="X414" t="s">
        <v>57</v>
      </c>
      <c r="AA414" t="s">
        <v>50</v>
      </c>
      <c r="AB414" t="s">
        <v>94</v>
      </c>
      <c r="AE414">
        <v>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</row>
    <row r="415" spans="1:42" x14ac:dyDescent="0.25">
      <c r="A415">
        <v>478</v>
      </c>
      <c r="B415" t="s">
        <v>948</v>
      </c>
      <c r="C415" t="s">
        <v>949</v>
      </c>
      <c r="D415" t="s">
        <v>950</v>
      </c>
      <c r="E415" s="4">
        <v>1</v>
      </c>
      <c r="F415" t="s">
        <v>951</v>
      </c>
      <c r="G415" t="s">
        <v>951</v>
      </c>
      <c r="H415" s="3">
        <v>46162</v>
      </c>
      <c r="I415" s="3">
        <v>46196</v>
      </c>
      <c r="J415" t="s">
        <v>491</v>
      </c>
      <c r="K415" s="3">
        <v>46171</v>
      </c>
      <c r="L415" s="3">
        <v>46163</v>
      </c>
      <c r="M415" s="3">
        <v>46196</v>
      </c>
      <c r="N415" s="3">
        <v>46196</v>
      </c>
      <c r="O415" t="s">
        <v>200</v>
      </c>
      <c r="P415" t="s">
        <v>55</v>
      </c>
      <c r="T415" t="s">
        <v>425</v>
      </c>
      <c r="V415" t="s">
        <v>175</v>
      </c>
      <c r="X415" t="s">
        <v>57</v>
      </c>
      <c r="AA415" t="s">
        <v>50</v>
      </c>
      <c r="AB415" t="s">
        <v>94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</row>
    <row r="416" spans="1:42" x14ac:dyDescent="0.25">
      <c r="A416">
        <v>479</v>
      </c>
      <c r="B416" t="s">
        <v>952</v>
      </c>
      <c r="C416" t="s">
        <v>953</v>
      </c>
      <c r="D416" t="s">
        <v>117</v>
      </c>
      <c r="E416" s="4">
        <v>1</v>
      </c>
      <c r="F416" t="s">
        <v>122</v>
      </c>
      <c r="G416" t="s">
        <v>122</v>
      </c>
      <c r="H416" s="3">
        <v>46162</v>
      </c>
      <c r="I416" s="3">
        <v>46164</v>
      </c>
      <c r="J416" t="s">
        <v>491</v>
      </c>
      <c r="K416" s="3">
        <v>46164</v>
      </c>
      <c r="L416" s="3">
        <v>46163</v>
      </c>
      <c r="M416" s="3">
        <v>46164</v>
      </c>
      <c r="N416" s="3">
        <v>46164</v>
      </c>
      <c r="O416" t="s">
        <v>200</v>
      </c>
      <c r="P416" t="s">
        <v>55</v>
      </c>
      <c r="Q416">
        <v>365</v>
      </c>
      <c r="S416" t="s">
        <v>302</v>
      </c>
      <c r="T416" t="s">
        <v>425</v>
      </c>
      <c r="U416" t="s">
        <v>954</v>
      </c>
      <c r="V416" t="s">
        <v>127</v>
      </c>
      <c r="W416">
        <v>13.4</v>
      </c>
      <c r="X416" t="s">
        <v>57</v>
      </c>
      <c r="Z416" t="s">
        <v>302</v>
      </c>
      <c r="AA416" t="s">
        <v>198</v>
      </c>
      <c r="AE416">
        <v>1</v>
      </c>
      <c r="AF416">
        <v>1</v>
      </c>
      <c r="AG416">
        <v>1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1</v>
      </c>
    </row>
    <row r="417" spans="1:42" x14ac:dyDescent="0.25">
      <c r="A417">
        <v>480</v>
      </c>
      <c r="B417" t="s">
        <v>955</v>
      </c>
      <c r="C417" t="s">
        <v>953</v>
      </c>
      <c r="D417" t="s">
        <v>121</v>
      </c>
      <c r="E417" s="4">
        <v>1</v>
      </c>
      <c r="F417" t="s">
        <v>127</v>
      </c>
      <c r="G417" t="s">
        <v>127</v>
      </c>
      <c r="H417" s="3">
        <v>46167</v>
      </c>
      <c r="I417" s="3">
        <v>46168</v>
      </c>
      <c r="J417" t="s">
        <v>74</v>
      </c>
      <c r="K417" s="3">
        <v>46169</v>
      </c>
      <c r="L417" s="3">
        <v>46167</v>
      </c>
      <c r="M417" s="3">
        <v>46168</v>
      </c>
      <c r="N417" s="3">
        <v>46168</v>
      </c>
      <c r="O417" t="s">
        <v>74</v>
      </c>
      <c r="P417" t="s">
        <v>55</v>
      </c>
      <c r="Q417">
        <v>479</v>
      </c>
      <c r="S417" t="s">
        <v>124</v>
      </c>
      <c r="T417" t="s">
        <v>425</v>
      </c>
      <c r="U417">
        <v>481</v>
      </c>
      <c r="V417" t="s">
        <v>122</v>
      </c>
      <c r="W417">
        <v>13.4</v>
      </c>
      <c r="X417" t="s">
        <v>57</v>
      </c>
      <c r="Z417" t="s">
        <v>124</v>
      </c>
      <c r="AA417" t="s">
        <v>77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1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</row>
    <row r="418" spans="1:42" x14ac:dyDescent="0.25">
      <c r="A418">
        <v>481</v>
      </c>
      <c r="B418" t="s">
        <v>956</v>
      </c>
      <c r="C418" t="s">
        <v>953</v>
      </c>
      <c r="D418" t="s">
        <v>126</v>
      </c>
      <c r="E418" s="4">
        <v>1</v>
      </c>
      <c r="F418" t="s">
        <v>114</v>
      </c>
      <c r="G418" t="s">
        <v>114</v>
      </c>
      <c r="H418" s="3">
        <v>46168</v>
      </c>
      <c r="I418" s="3">
        <v>46183</v>
      </c>
      <c r="J418" t="s">
        <v>448</v>
      </c>
      <c r="K418" s="3">
        <v>46170</v>
      </c>
      <c r="L418" s="3">
        <v>46170</v>
      </c>
      <c r="M418" s="3">
        <v>46183</v>
      </c>
      <c r="N418" s="3">
        <v>46183</v>
      </c>
      <c r="O418" t="s">
        <v>206</v>
      </c>
      <c r="P418" t="s">
        <v>55</v>
      </c>
      <c r="Q418">
        <v>480</v>
      </c>
      <c r="S418" t="s">
        <v>302</v>
      </c>
      <c r="T418" t="s">
        <v>425</v>
      </c>
      <c r="U418">
        <v>482</v>
      </c>
      <c r="V418" t="s">
        <v>61</v>
      </c>
      <c r="W418">
        <v>13.4</v>
      </c>
      <c r="X418" t="s">
        <v>57</v>
      </c>
      <c r="Z418" t="s">
        <v>302</v>
      </c>
      <c r="AA418" t="s">
        <v>77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1</v>
      </c>
      <c r="AM418">
        <v>0</v>
      </c>
      <c r="AN418">
        <v>0</v>
      </c>
      <c r="AO418">
        <v>0</v>
      </c>
      <c r="AP418">
        <v>0</v>
      </c>
    </row>
    <row r="419" spans="1:42" x14ac:dyDescent="0.25">
      <c r="A419">
        <v>482</v>
      </c>
      <c r="B419" t="s">
        <v>957</v>
      </c>
      <c r="C419" t="s">
        <v>953</v>
      </c>
      <c r="D419" t="s">
        <v>133</v>
      </c>
      <c r="E419" s="4">
        <v>1</v>
      </c>
      <c r="F419" t="s">
        <v>923</v>
      </c>
      <c r="G419" t="s">
        <v>923</v>
      </c>
      <c r="H419" s="3">
        <v>46184</v>
      </c>
      <c r="I419" s="3">
        <v>46196</v>
      </c>
      <c r="J419" t="s">
        <v>189</v>
      </c>
      <c r="K419" s="3">
        <v>46171</v>
      </c>
      <c r="L419" s="3">
        <v>46171</v>
      </c>
      <c r="M419" s="3">
        <v>46196</v>
      </c>
      <c r="N419" s="3">
        <v>46196</v>
      </c>
      <c r="O419" t="s">
        <v>476</v>
      </c>
      <c r="P419" t="s">
        <v>55</v>
      </c>
      <c r="Q419">
        <v>481</v>
      </c>
      <c r="S419" t="s">
        <v>124</v>
      </c>
      <c r="T419" t="s">
        <v>425</v>
      </c>
      <c r="V419" t="s">
        <v>61</v>
      </c>
      <c r="W419">
        <v>13.4</v>
      </c>
      <c r="X419" t="s">
        <v>57</v>
      </c>
      <c r="Z419" t="s">
        <v>124</v>
      </c>
      <c r="AA419" t="s">
        <v>77</v>
      </c>
      <c r="AE419">
        <v>1</v>
      </c>
      <c r="AF419">
        <v>0</v>
      </c>
      <c r="AG419">
        <v>0</v>
      </c>
      <c r="AH419">
        <v>0</v>
      </c>
      <c r="AI419">
        <v>1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0</v>
      </c>
      <c r="AP419">
        <v>0</v>
      </c>
    </row>
    <row r="420" spans="1:42" x14ac:dyDescent="0.25">
      <c r="A420">
        <v>483</v>
      </c>
      <c r="B420" t="s">
        <v>958</v>
      </c>
      <c r="C420" t="s">
        <v>949</v>
      </c>
      <c r="D420" t="s">
        <v>959</v>
      </c>
      <c r="E420" s="4">
        <v>1</v>
      </c>
      <c r="F420" t="s">
        <v>613</v>
      </c>
      <c r="G420" t="s">
        <v>613</v>
      </c>
      <c r="H420" s="3">
        <v>46162</v>
      </c>
      <c r="I420" s="3">
        <v>46196</v>
      </c>
      <c r="J420" t="s">
        <v>200</v>
      </c>
      <c r="K420" s="3">
        <v>46196</v>
      </c>
      <c r="L420" s="3">
        <v>46162</v>
      </c>
      <c r="M420" s="3">
        <v>46196</v>
      </c>
      <c r="N420" s="3">
        <v>46196</v>
      </c>
      <c r="O420" t="s">
        <v>200</v>
      </c>
      <c r="P420" t="s">
        <v>55</v>
      </c>
      <c r="T420" t="s">
        <v>425</v>
      </c>
      <c r="V420" t="s">
        <v>175</v>
      </c>
      <c r="X420" t="s">
        <v>57</v>
      </c>
      <c r="AA420" t="s">
        <v>50</v>
      </c>
      <c r="AB420" t="s">
        <v>94</v>
      </c>
      <c r="AE420">
        <v>1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</row>
    <row r="421" spans="1:42" x14ac:dyDescent="0.25">
      <c r="A421">
        <v>484</v>
      </c>
      <c r="B421" t="s">
        <v>960</v>
      </c>
      <c r="C421" t="s">
        <v>961</v>
      </c>
      <c r="D421" t="s">
        <v>117</v>
      </c>
      <c r="E421" s="4">
        <v>1</v>
      </c>
      <c r="F421" t="s">
        <v>122</v>
      </c>
      <c r="G421" t="s">
        <v>122</v>
      </c>
      <c r="H421" s="3">
        <v>46162</v>
      </c>
      <c r="I421" s="3">
        <v>46164</v>
      </c>
      <c r="J421" t="s">
        <v>200</v>
      </c>
      <c r="K421" s="3">
        <v>46164</v>
      </c>
      <c r="L421" s="3">
        <v>46162</v>
      </c>
      <c r="M421" s="3">
        <v>46164</v>
      </c>
      <c r="N421" s="3">
        <v>46164</v>
      </c>
      <c r="O421" t="s">
        <v>200</v>
      </c>
      <c r="P421" t="s">
        <v>55</v>
      </c>
      <c r="Q421">
        <v>365</v>
      </c>
      <c r="S421" t="s">
        <v>302</v>
      </c>
      <c r="T421" t="s">
        <v>425</v>
      </c>
      <c r="U421" t="s">
        <v>962</v>
      </c>
      <c r="V421" t="s">
        <v>127</v>
      </c>
      <c r="W421">
        <v>13.4</v>
      </c>
      <c r="X421" t="s">
        <v>57</v>
      </c>
      <c r="Z421" t="s">
        <v>302</v>
      </c>
      <c r="AA421" t="s">
        <v>198</v>
      </c>
      <c r="AE421">
        <v>1</v>
      </c>
      <c r="AF421">
        <v>1</v>
      </c>
      <c r="AG421">
        <v>1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1</v>
      </c>
    </row>
    <row r="422" spans="1:42" x14ac:dyDescent="0.25">
      <c r="A422">
        <v>485</v>
      </c>
      <c r="B422" t="s">
        <v>963</v>
      </c>
      <c r="C422" t="s">
        <v>961</v>
      </c>
      <c r="D422" t="s">
        <v>121</v>
      </c>
      <c r="E422" s="4">
        <v>1</v>
      </c>
      <c r="F422" t="s">
        <v>127</v>
      </c>
      <c r="G422" t="s">
        <v>127</v>
      </c>
      <c r="H422" s="3">
        <v>46167</v>
      </c>
      <c r="I422" s="3">
        <v>46168</v>
      </c>
      <c r="J422" t="s">
        <v>74</v>
      </c>
      <c r="K422" s="3">
        <v>46168</v>
      </c>
      <c r="L422" s="3">
        <v>46167</v>
      </c>
      <c r="M422" s="3">
        <v>46168</v>
      </c>
      <c r="N422" s="3">
        <v>46168</v>
      </c>
      <c r="O422" t="s">
        <v>74</v>
      </c>
      <c r="P422" t="s">
        <v>55</v>
      </c>
      <c r="Q422">
        <v>484</v>
      </c>
      <c r="S422" t="s">
        <v>124</v>
      </c>
      <c r="T422" t="s">
        <v>425</v>
      </c>
      <c r="U422">
        <v>486</v>
      </c>
      <c r="V422" t="s">
        <v>122</v>
      </c>
      <c r="W422">
        <v>13.4</v>
      </c>
      <c r="X422" t="s">
        <v>57</v>
      </c>
      <c r="Z422" t="s">
        <v>124</v>
      </c>
      <c r="AA422" t="s">
        <v>77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1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</row>
    <row r="423" spans="1:42" x14ac:dyDescent="0.25">
      <c r="A423">
        <v>486</v>
      </c>
      <c r="B423" t="s">
        <v>964</v>
      </c>
      <c r="C423" t="s">
        <v>961</v>
      </c>
      <c r="D423" t="s">
        <v>126</v>
      </c>
      <c r="E423" s="4">
        <v>1</v>
      </c>
      <c r="F423" t="s">
        <v>114</v>
      </c>
      <c r="G423" t="s">
        <v>114</v>
      </c>
      <c r="H423" s="3">
        <v>46168</v>
      </c>
      <c r="I423" s="3">
        <v>46183</v>
      </c>
      <c r="J423" t="s">
        <v>206</v>
      </c>
      <c r="K423" s="3">
        <v>46183</v>
      </c>
      <c r="L423" s="3">
        <v>46168</v>
      </c>
      <c r="M423" s="3">
        <v>46183</v>
      </c>
      <c r="N423" s="3">
        <v>46183</v>
      </c>
      <c r="O423" t="s">
        <v>206</v>
      </c>
      <c r="P423" t="s">
        <v>55</v>
      </c>
      <c r="Q423">
        <v>485</v>
      </c>
      <c r="S423" t="s">
        <v>302</v>
      </c>
      <c r="T423" t="s">
        <v>425</v>
      </c>
      <c r="U423">
        <v>487</v>
      </c>
      <c r="V423" t="s">
        <v>61</v>
      </c>
      <c r="W423">
        <v>13.4</v>
      </c>
      <c r="X423" t="s">
        <v>57</v>
      </c>
      <c r="Z423" t="s">
        <v>302</v>
      </c>
      <c r="AA423" t="s">
        <v>77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1</v>
      </c>
      <c r="AM423">
        <v>0</v>
      </c>
      <c r="AN423">
        <v>0</v>
      </c>
      <c r="AO423">
        <v>0</v>
      </c>
      <c r="AP423">
        <v>0</v>
      </c>
    </row>
    <row r="424" spans="1:42" x14ac:dyDescent="0.25">
      <c r="A424">
        <v>487</v>
      </c>
      <c r="B424" t="s">
        <v>965</v>
      </c>
      <c r="C424" t="s">
        <v>961</v>
      </c>
      <c r="D424" t="s">
        <v>133</v>
      </c>
      <c r="E424" s="4">
        <v>1</v>
      </c>
      <c r="F424" t="s">
        <v>114</v>
      </c>
      <c r="G424" t="s">
        <v>114</v>
      </c>
      <c r="H424" s="3">
        <v>46184</v>
      </c>
      <c r="I424" s="3">
        <v>46196</v>
      </c>
      <c r="J424" t="s">
        <v>476</v>
      </c>
      <c r="K424" s="3">
        <v>46196</v>
      </c>
      <c r="L424" s="3">
        <v>46184</v>
      </c>
      <c r="M424" s="3">
        <v>46196</v>
      </c>
      <c r="N424" s="3">
        <v>46196</v>
      </c>
      <c r="O424" t="s">
        <v>476</v>
      </c>
      <c r="P424" t="s">
        <v>55</v>
      </c>
      <c r="Q424">
        <v>486</v>
      </c>
      <c r="S424" t="s">
        <v>124</v>
      </c>
      <c r="T424" t="s">
        <v>425</v>
      </c>
      <c r="V424" t="s">
        <v>61</v>
      </c>
      <c r="W424">
        <v>13.4</v>
      </c>
      <c r="X424" t="s">
        <v>57</v>
      </c>
      <c r="Z424" t="s">
        <v>124</v>
      </c>
      <c r="AA424" t="s">
        <v>77</v>
      </c>
      <c r="AE424">
        <v>1</v>
      </c>
      <c r="AF424">
        <v>0</v>
      </c>
      <c r="AG424">
        <v>0</v>
      </c>
      <c r="AH424">
        <v>0</v>
      </c>
      <c r="AI424">
        <v>1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0</v>
      </c>
      <c r="AP424">
        <v>0</v>
      </c>
    </row>
    <row r="425" spans="1:42" x14ac:dyDescent="0.25">
      <c r="A425">
        <v>488</v>
      </c>
      <c r="B425" t="s">
        <v>966</v>
      </c>
      <c r="C425" t="s">
        <v>949</v>
      </c>
      <c r="D425" t="s">
        <v>967</v>
      </c>
      <c r="E425" s="4">
        <v>1</v>
      </c>
      <c r="F425" t="s">
        <v>210</v>
      </c>
      <c r="G425" t="s">
        <v>210</v>
      </c>
      <c r="H425" s="3">
        <v>46162</v>
      </c>
      <c r="I425" s="3">
        <v>46171</v>
      </c>
      <c r="J425" t="s">
        <v>200</v>
      </c>
      <c r="K425" s="3">
        <v>46171</v>
      </c>
      <c r="L425" s="3">
        <v>46162</v>
      </c>
      <c r="M425" s="3">
        <v>46171</v>
      </c>
      <c r="N425" s="3">
        <v>46171</v>
      </c>
      <c r="O425" t="s">
        <v>200</v>
      </c>
      <c r="P425" t="s">
        <v>55</v>
      </c>
      <c r="T425" t="s">
        <v>425</v>
      </c>
      <c r="V425" t="s">
        <v>175</v>
      </c>
      <c r="X425" t="s">
        <v>57</v>
      </c>
      <c r="AA425" t="s">
        <v>50</v>
      </c>
      <c r="AB425" t="s">
        <v>94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</row>
    <row r="426" spans="1:42" x14ac:dyDescent="0.25">
      <c r="A426">
        <v>489</v>
      </c>
      <c r="B426" t="s">
        <v>968</v>
      </c>
      <c r="C426" t="s">
        <v>969</v>
      </c>
      <c r="D426" t="s">
        <v>117</v>
      </c>
      <c r="E426" s="4">
        <v>1</v>
      </c>
      <c r="F426" t="s">
        <v>122</v>
      </c>
      <c r="G426" t="s">
        <v>122</v>
      </c>
      <c r="H426" s="3">
        <v>46162</v>
      </c>
      <c r="I426" s="3">
        <v>46164</v>
      </c>
      <c r="J426" t="s">
        <v>200</v>
      </c>
      <c r="K426" s="3">
        <v>46164</v>
      </c>
      <c r="L426" s="3">
        <v>46162</v>
      </c>
      <c r="M426" s="3">
        <v>46164</v>
      </c>
      <c r="N426" s="3">
        <v>46164</v>
      </c>
      <c r="O426" t="s">
        <v>200</v>
      </c>
      <c r="P426" t="s">
        <v>55</v>
      </c>
      <c r="Q426" t="s">
        <v>970</v>
      </c>
      <c r="S426" t="s">
        <v>302</v>
      </c>
      <c r="T426" t="s">
        <v>425</v>
      </c>
      <c r="U426">
        <v>490</v>
      </c>
      <c r="V426" t="s">
        <v>127</v>
      </c>
      <c r="W426">
        <v>13.4</v>
      </c>
      <c r="X426" t="s">
        <v>57</v>
      </c>
      <c r="Z426" t="s">
        <v>302</v>
      </c>
      <c r="AA426" t="s">
        <v>198</v>
      </c>
      <c r="AE426">
        <v>1</v>
      </c>
      <c r="AF426">
        <v>1</v>
      </c>
      <c r="AG426">
        <v>1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1</v>
      </c>
    </row>
    <row r="427" spans="1:42" x14ac:dyDescent="0.25">
      <c r="A427">
        <v>490</v>
      </c>
      <c r="B427" t="s">
        <v>971</v>
      </c>
      <c r="C427" t="s">
        <v>969</v>
      </c>
      <c r="D427" t="s">
        <v>121</v>
      </c>
      <c r="E427" s="4">
        <v>1</v>
      </c>
      <c r="F427" t="s">
        <v>127</v>
      </c>
      <c r="G427" t="s">
        <v>127</v>
      </c>
      <c r="H427" s="3">
        <v>46167</v>
      </c>
      <c r="I427" s="3">
        <v>46168</v>
      </c>
      <c r="J427" t="s">
        <v>74</v>
      </c>
      <c r="K427" s="3">
        <v>46168</v>
      </c>
      <c r="L427" s="3">
        <v>46167</v>
      </c>
      <c r="M427" s="3">
        <v>46168</v>
      </c>
      <c r="N427" s="3">
        <v>46168</v>
      </c>
      <c r="O427" t="s">
        <v>74</v>
      </c>
      <c r="P427" t="s">
        <v>55</v>
      </c>
      <c r="Q427">
        <v>489</v>
      </c>
      <c r="S427" t="s">
        <v>124</v>
      </c>
      <c r="T427" t="s">
        <v>425</v>
      </c>
      <c r="U427">
        <v>491</v>
      </c>
      <c r="V427" t="s">
        <v>122</v>
      </c>
      <c r="W427">
        <v>13.4</v>
      </c>
      <c r="X427" t="s">
        <v>57</v>
      </c>
      <c r="Z427" t="s">
        <v>124</v>
      </c>
      <c r="AA427" t="s">
        <v>77</v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1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</row>
    <row r="428" spans="1:42" x14ac:dyDescent="0.25">
      <c r="A428">
        <v>491</v>
      </c>
      <c r="B428" t="s">
        <v>972</v>
      </c>
      <c r="C428" t="s">
        <v>969</v>
      </c>
      <c r="D428" t="s">
        <v>126</v>
      </c>
      <c r="E428" s="4">
        <v>1</v>
      </c>
      <c r="F428" t="s">
        <v>61</v>
      </c>
      <c r="G428" t="s">
        <v>61</v>
      </c>
      <c r="H428" s="3">
        <v>46168</v>
      </c>
      <c r="I428" s="3">
        <v>46169</v>
      </c>
      <c r="J428" t="s">
        <v>206</v>
      </c>
      <c r="K428" s="3">
        <v>46169</v>
      </c>
      <c r="L428" s="3">
        <v>46168</v>
      </c>
      <c r="M428" s="3">
        <v>46169</v>
      </c>
      <c r="N428" s="3">
        <v>46169</v>
      </c>
      <c r="O428" t="s">
        <v>206</v>
      </c>
      <c r="P428" t="s">
        <v>55</v>
      </c>
      <c r="Q428">
        <v>490</v>
      </c>
      <c r="S428" t="s">
        <v>302</v>
      </c>
      <c r="T428" t="s">
        <v>425</v>
      </c>
      <c r="U428">
        <v>492</v>
      </c>
      <c r="V428" t="s">
        <v>61</v>
      </c>
      <c r="W428">
        <v>13.4</v>
      </c>
      <c r="X428" t="s">
        <v>57</v>
      </c>
      <c r="Z428" t="s">
        <v>302</v>
      </c>
      <c r="AA428" t="s">
        <v>77</v>
      </c>
      <c r="AE428">
        <v>1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1</v>
      </c>
      <c r="AM428">
        <v>0</v>
      </c>
      <c r="AN428">
        <v>0</v>
      </c>
      <c r="AO428">
        <v>0</v>
      </c>
      <c r="AP428">
        <v>0</v>
      </c>
    </row>
    <row r="429" spans="1:42" x14ac:dyDescent="0.25">
      <c r="A429">
        <v>492</v>
      </c>
      <c r="B429" t="s">
        <v>973</v>
      </c>
      <c r="C429" t="s">
        <v>969</v>
      </c>
      <c r="D429" t="s">
        <v>133</v>
      </c>
      <c r="E429" s="4">
        <v>1</v>
      </c>
      <c r="F429" t="s">
        <v>127</v>
      </c>
      <c r="G429" t="s">
        <v>127</v>
      </c>
      <c r="H429" s="3">
        <v>46170</v>
      </c>
      <c r="I429" s="3">
        <v>46171</v>
      </c>
      <c r="J429" t="s">
        <v>448</v>
      </c>
      <c r="K429" s="3">
        <v>46171</v>
      </c>
      <c r="L429" s="3">
        <v>46170</v>
      </c>
      <c r="M429" s="3">
        <v>46171</v>
      </c>
      <c r="N429" s="3">
        <v>46171</v>
      </c>
      <c r="O429" t="s">
        <v>448</v>
      </c>
      <c r="P429" t="s">
        <v>55</v>
      </c>
      <c r="Q429">
        <v>491</v>
      </c>
      <c r="S429" t="s">
        <v>124</v>
      </c>
      <c r="T429" t="s">
        <v>425</v>
      </c>
      <c r="V429" t="s">
        <v>61</v>
      </c>
      <c r="W429">
        <v>13.4</v>
      </c>
      <c r="X429" t="s">
        <v>57</v>
      </c>
      <c r="Z429" t="s">
        <v>124</v>
      </c>
      <c r="AA429" t="s">
        <v>77</v>
      </c>
      <c r="AE429">
        <v>1</v>
      </c>
      <c r="AF429">
        <v>0</v>
      </c>
      <c r="AG429">
        <v>0</v>
      </c>
      <c r="AH429">
        <v>0</v>
      </c>
      <c r="AI429">
        <v>1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0</v>
      </c>
      <c r="AP429">
        <v>0</v>
      </c>
    </row>
    <row r="430" spans="1:42" x14ac:dyDescent="0.25">
      <c r="A430">
        <v>493</v>
      </c>
      <c r="B430" t="s">
        <v>974</v>
      </c>
      <c r="C430" t="s">
        <v>949</v>
      </c>
      <c r="D430" t="s">
        <v>975</v>
      </c>
      <c r="E430" s="4">
        <v>1</v>
      </c>
      <c r="F430" t="s">
        <v>976</v>
      </c>
      <c r="G430" t="s">
        <v>976</v>
      </c>
      <c r="H430" s="3">
        <v>46163</v>
      </c>
      <c r="I430" s="3">
        <v>46199</v>
      </c>
      <c r="J430" t="s">
        <v>491</v>
      </c>
      <c r="K430" s="3">
        <v>46199</v>
      </c>
      <c r="L430" s="3">
        <v>46163</v>
      </c>
      <c r="M430" s="3">
        <v>46199</v>
      </c>
      <c r="N430" s="3">
        <v>46199</v>
      </c>
      <c r="O430" t="s">
        <v>491</v>
      </c>
      <c r="P430" t="s">
        <v>55</v>
      </c>
      <c r="T430" t="s">
        <v>425</v>
      </c>
      <c r="V430" t="s">
        <v>175</v>
      </c>
      <c r="X430" t="s">
        <v>57</v>
      </c>
      <c r="AA430" t="s">
        <v>50</v>
      </c>
      <c r="AB430" t="s">
        <v>94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</row>
    <row r="431" spans="1:42" x14ac:dyDescent="0.25">
      <c r="A431">
        <v>494</v>
      </c>
      <c r="B431" t="s">
        <v>977</v>
      </c>
      <c r="C431" t="s">
        <v>978</v>
      </c>
      <c r="D431" t="s">
        <v>117</v>
      </c>
      <c r="E431" s="4">
        <v>1</v>
      </c>
      <c r="F431" t="s">
        <v>114</v>
      </c>
      <c r="G431" t="s">
        <v>114</v>
      </c>
      <c r="H431" s="3">
        <v>46163</v>
      </c>
      <c r="I431" s="3">
        <v>46175</v>
      </c>
      <c r="J431" t="s">
        <v>491</v>
      </c>
      <c r="K431" s="3">
        <v>46175</v>
      </c>
      <c r="L431" s="3">
        <v>46163</v>
      </c>
      <c r="M431" s="3">
        <v>46175</v>
      </c>
      <c r="N431" s="3">
        <v>46175</v>
      </c>
      <c r="O431" t="s">
        <v>491</v>
      </c>
      <c r="P431" t="s">
        <v>55</v>
      </c>
      <c r="Q431" t="s">
        <v>970</v>
      </c>
      <c r="S431" t="s">
        <v>302</v>
      </c>
      <c r="T431" t="s">
        <v>425</v>
      </c>
      <c r="U431">
        <v>495</v>
      </c>
      <c r="V431" t="s">
        <v>127</v>
      </c>
      <c r="W431">
        <v>13.4</v>
      </c>
      <c r="X431" t="s">
        <v>57</v>
      </c>
      <c r="Z431" t="s">
        <v>302</v>
      </c>
      <c r="AA431" t="s">
        <v>198</v>
      </c>
      <c r="AE431">
        <v>1</v>
      </c>
      <c r="AF431">
        <v>1</v>
      </c>
      <c r="AG431">
        <v>1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1</v>
      </c>
    </row>
    <row r="432" spans="1:42" x14ac:dyDescent="0.25">
      <c r="A432">
        <v>495</v>
      </c>
      <c r="B432" t="s">
        <v>979</v>
      </c>
      <c r="C432" t="s">
        <v>978</v>
      </c>
      <c r="D432" t="s">
        <v>121</v>
      </c>
      <c r="E432" s="4">
        <v>1</v>
      </c>
      <c r="F432" t="s">
        <v>61</v>
      </c>
      <c r="G432" t="s">
        <v>61</v>
      </c>
      <c r="H432" s="3">
        <v>46175</v>
      </c>
      <c r="I432" s="3">
        <v>46176</v>
      </c>
      <c r="J432" t="s">
        <v>472</v>
      </c>
      <c r="K432" s="3">
        <v>46176</v>
      </c>
      <c r="L432" s="3">
        <v>46175</v>
      </c>
      <c r="M432" s="3">
        <v>46176</v>
      </c>
      <c r="N432" s="3">
        <v>46176</v>
      </c>
      <c r="O432" t="s">
        <v>472</v>
      </c>
      <c r="P432" t="s">
        <v>55</v>
      </c>
      <c r="Q432">
        <v>494</v>
      </c>
      <c r="S432" t="s">
        <v>124</v>
      </c>
      <c r="T432" t="s">
        <v>425</v>
      </c>
      <c r="U432">
        <v>496</v>
      </c>
      <c r="V432" t="s">
        <v>122</v>
      </c>
      <c r="W432">
        <v>13.4</v>
      </c>
      <c r="X432" t="s">
        <v>57</v>
      </c>
      <c r="Z432" t="s">
        <v>124</v>
      </c>
      <c r="AA432" t="s">
        <v>77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1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</row>
    <row r="433" spans="1:42" x14ac:dyDescent="0.25">
      <c r="A433">
        <v>496</v>
      </c>
      <c r="B433" t="s">
        <v>980</v>
      </c>
      <c r="C433" t="s">
        <v>978</v>
      </c>
      <c r="D433" t="s">
        <v>126</v>
      </c>
      <c r="E433" s="4">
        <v>1</v>
      </c>
      <c r="F433" t="s">
        <v>61</v>
      </c>
      <c r="G433" t="s">
        <v>61</v>
      </c>
      <c r="H433" s="3">
        <v>46175</v>
      </c>
      <c r="I433" s="3">
        <v>46181</v>
      </c>
      <c r="J433" t="s">
        <v>472</v>
      </c>
      <c r="K433" s="3">
        <v>46181</v>
      </c>
      <c r="L433" s="3">
        <v>46175</v>
      </c>
      <c r="M433" s="3">
        <v>46181</v>
      </c>
      <c r="N433" s="3">
        <v>46181</v>
      </c>
      <c r="O433" t="s">
        <v>472</v>
      </c>
      <c r="P433" t="s">
        <v>55</v>
      </c>
      <c r="Q433">
        <v>495</v>
      </c>
      <c r="S433" t="s">
        <v>302</v>
      </c>
      <c r="T433" t="s">
        <v>425</v>
      </c>
      <c r="U433">
        <v>497</v>
      </c>
      <c r="V433" t="s">
        <v>61</v>
      </c>
      <c r="W433">
        <v>13.4</v>
      </c>
      <c r="X433" t="s">
        <v>57</v>
      </c>
      <c r="Z433" t="s">
        <v>302</v>
      </c>
      <c r="AA433" t="s">
        <v>77</v>
      </c>
      <c r="AE433">
        <v>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1</v>
      </c>
      <c r="AM433">
        <v>0</v>
      </c>
      <c r="AN433">
        <v>0</v>
      </c>
      <c r="AO433">
        <v>0</v>
      </c>
      <c r="AP433">
        <v>0</v>
      </c>
    </row>
    <row r="434" spans="1:42" x14ac:dyDescent="0.25">
      <c r="A434">
        <v>497</v>
      </c>
      <c r="B434" t="s">
        <v>981</v>
      </c>
      <c r="C434" t="s">
        <v>978</v>
      </c>
      <c r="D434" t="s">
        <v>133</v>
      </c>
      <c r="E434" s="4">
        <v>1</v>
      </c>
      <c r="F434" t="s">
        <v>982</v>
      </c>
      <c r="G434" t="s">
        <v>982</v>
      </c>
      <c r="H434" s="3">
        <v>46175</v>
      </c>
      <c r="I434" s="3">
        <v>46199</v>
      </c>
      <c r="J434" t="s">
        <v>472</v>
      </c>
      <c r="K434" s="3">
        <v>46199</v>
      </c>
      <c r="L434" s="3">
        <v>46175</v>
      </c>
      <c r="M434" s="3">
        <v>46199</v>
      </c>
      <c r="N434" s="3">
        <v>46199</v>
      </c>
      <c r="O434" t="s">
        <v>472</v>
      </c>
      <c r="P434" t="s">
        <v>55</v>
      </c>
      <c r="Q434">
        <v>496</v>
      </c>
      <c r="S434" t="s">
        <v>124</v>
      </c>
      <c r="T434" t="s">
        <v>425</v>
      </c>
      <c r="V434" t="s">
        <v>61</v>
      </c>
      <c r="W434">
        <v>13.4</v>
      </c>
      <c r="X434" t="s">
        <v>57</v>
      </c>
      <c r="Z434" t="s">
        <v>124</v>
      </c>
      <c r="AA434" t="s">
        <v>77</v>
      </c>
      <c r="AE434">
        <v>1</v>
      </c>
      <c r="AF434">
        <v>0</v>
      </c>
      <c r="AG434">
        <v>0</v>
      </c>
      <c r="AH434">
        <v>0</v>
      </c>
      <c r="AI434">
        <v>1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0</v>
      </c>
      <c r="AP434">
        <v>0</v>
      </c>
    </row>
    <row r="435" spans="1:42" x14ac:dyDescent="0.25">
      <c r="A435">
        <v>498</v>
      </c>
      <c r="B435" t="s">
        <v>983</v>
      </c>
      <c r="C435" t="s">
        <v>425</v>
      </c>
      <c r="D435" t="s">
        <v>984</v>
      </c>
      <c r="E435" s="4">
        <v>1</v>
      </c>
      <c r="F435" t="s">
        <v>114</v>
      </c>
      <c r="G435" t="s">
        <v>114</v>
      </c>
      <c r="H435" s="3">
        <v>46188</v>
      </c>
      <c r="I435" s="3">
        <v>46198</v>
      </c>
      <c r="J435" t="s">
        <v>183</v>
      </c>
      <c r="K435" s="3">
        <v>46171</v>
      </c>
      <c r="L435" s="3">
        <v>46147</v>
      </c>
      <c r="M435" s="3">
        <v>46198</v>
      </c>
      <c r="N435" s="3">
        <v>46198</v>
      </c>
      <c r="O435" t="s">
        <v>595</v>
      </c>
      <c r="P435" t="s">
        <v>55</v>
      </c>
      <c r="T435" t="s">
        <v>425</v>
      </c>
      <c r="V435" t="s">
        <v>187</v>
      </c>
      <c r="X435" t="s">
        <v>57</v>
      </c>
      <c r="AA435" t="s">
        <v>50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</row>
    <row r="436" spans="1:42" x14ac:dyDescent="0.25">
      <c r="A436">
        <v>499</v>
      </c>
      <c r="B436" t="s">
        <v>985</v>
      </c>
      <c r="C436" t="s">
        <v>986</v>
      </c>
      <c r="D436" t="s">
        <v>987</v>
      </c>
      <c r="E436" s="4">
        <v>1</v>
      </c>
      <c r="F436" t="s">
        <v>175</v>
      </c>
      <c r="G436" t="s">
        <v>175</v>
      </c>
      <c r="H436" s="3">
        <v>46188</v>
      </c>
      <c r="I436" s="3">
        <v>46196</v>
      </c>
      <c r="J436" t="s">
        <v>491</v>
      </c>
      <c r="K436" s="3">
        <v>46171</v>
      </c>
      <c r="L436" s="3">
        <v>46163</v>
      </c>
      <c r="M436" s="3">
        <v>46196</v>
      </c>
      <c r="N436" s="3">
        <v>46196</v>
      </c>
      <c r="O436" t="s">
        <v>595</v>
      </c>
      <c r="P436" t="s">
        <v>55</v>
      </c>
      <c r="T436" t="s">
        <v>425</v>
      </c>
      <c r="V436" t="s">
        <v>175</v>
      </c>
      <c r="X436" t="s">
        <v>57</v>
      </c>
      <c r="AA436" t="s">
        <v>50</v>
      </c>
      <c r="AE436">
        <v>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</row>
    <row r="437" spans="1:42" x14ac:dyDescent="0.25">
      <c r="A437">
        <v>500</v>
      </c>
      <c r="B437" t="s">
        <v>988</v>
      </c>
      <c r="C437" t="s">
        <v>989</v>
      </c>
      <c r="D437" t="s">
        <v>117</v>
      </c>
      <c r="E437" s="4">
        <v>1</v>
      </c>
      <c r="F437" t="s">
        <v>101</v>
      </c>
      <c r="G437" t="s">
        <v>101</v>
      </c>
      <c r="H437" s="3">
        <v>46188</v>
      </c>
      <c r="I437" s="3">
        <v>46191</v>
      </c>
      <c r="J437" t="s">
        <v>491</v>
      </c>
      <c r="K437" s="3">
        <v>46164</v>
      </c>
      <c r="L437" s="3">
        <v>46163</v>
      </c>
      <c r="M437" s="3">
        <v>46191</v>
      </c>
      <c r="N437" s="3">
        <v>46191</v>
      </c>
      <c r="O437" t="s">
        <v>595</v>
      </c>
      <c r="P437" t="s">
        <v>55</v>
      </c>
      <c r="S437" t="s">
        <v>302</v>
      </c>
      <c r="T437" t="s">
        <v>425</v>
      </c>
      <c r="U437">
        <v>501</v>
      </c>
      <c r="V437" t="s">
        <v>127</v>
      </c>
      <c r="W437">
        <v>13.4</v>
      </c>
      <c r="X437" t="s">
        <v>57</v>
      </c>
      <c r="Z437" t="s">
        <v>302</v>
      </c>
      <c r="AA437" t="s">
        <v>198</v>
      </c>
      <c r="AE437">
        <v>1</v>
      </c>
      <c r="AF437">
        <v>1</v>
      </c>
      <c r="AG437">
        <v>1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1</v>
      </c>
    </row>
    <row r="438" spans="1:42" x14ac:dyDescent="0.25">
      <c r="A438">
        <v>501</v>
      </c>
      <c r="B438" t="s">
        <v>990</v>
      </c>
      <c r="C438" t="s">
        <v>989</v>
      </c>
      <c r="D438" t="s">
        <v>121</v>
      </c>
      <c r="E438" s="4">
        <v>1</v>
      </c>
      <c r="F438" t="s">
        <v>61</v>
      </c>
      <c r="G438" t="s">
        <v>61</v>
      </c>
      <c r="H438" s="3">
        <v>46192</v>
      </c>
      <c r="I438" s="3">
        <v>46192</v>
      </c>
      <c r="J438" t="s">
        <v>74</v>
      </c>
      <c r="K438" s="3">
        <v>46169</v>
      </c>
      <c r="L438" s="3">
        <v>46167</v>
      </c>
      <c r="M438" s="3">
        <v>46192</v>
      </c>
      <c r="N438" s="3">
        <v>46192</v>
      </c>
      <c r="O438" t="s">
        <v>211</v>
      </c>
      <c r="P438" t="s">
        <v>55</v>
      </c>
      <c r="Q438">
        <v>500</v>
      </c>
      <c r="S438" t="s">
        <v>124</v>
      </c>
      <c r="T438" t="s">
        <v>425</v>
      </c>
      <c r="U438">
        <v>502</v>
      </c>
      <c r="V438" t="s">
        <v>122</v>
      </c>
      <c r="W438">
        <v>13.4</v>
      </c>
      <c r="X438" t="s">
        <v>57</v>
      </c>
      <c r="Z438" t="s">
        <v>124</v>
      </c>
      <c r="AA438" t="s">
        <v>77</v>
      </c>
      <c r="AE438">
        <v>1</v>
      </c>
      <c r="AF438">
        <v>0</v>
      </c>
      <c r="AG438">
        <v>0</v>
      </c>
      <c r="AH438">
        <v>0</v>
      </c>
      <c r="AI438">
        <v>0</v>
      </c>
      <c r="AJ438">
        <v>1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</row>
    <row r="439" spans="1:42" x14ac:dyDescent="0.25">
      <c r="A439">
        <v>502</v>
      </c>
      <c r="B439" t="s">
        <v>991</v>
      </c>
      <c r="C439" t="s">
        <v>989</v>
      </c>
      <c r="D439" t="s">
        <v>126</v>
      </c>
      <c r="E439" s="4">
        <v>1</v>
      </c>
      <c r="F439" t="s">
        <v>61</v>
      </c>
      <c r="G439" t="s">
        <v>61</v>
      </c>
      <c r="H439" s="3">
        <v>46195</v>
      </c>
      <c r="I439" s="3">
        <v>46195</v>
      </c>
      <c r="J439" t="s">
        <v>448</v>
      </c>
      <c r="K439" s="3">
        <v>46170</v>
      </c>
      <c r="L439" s="3">
        <v>46170</v>
      </c>
      <c r="M439" s="3">
        <v>46195</v>
      </c>
      <c r="N439" s="3">
        <v>46195</v>
      </c>
      <c r="O439" t="s">
        <v>219</v>
      </c>
      <c r="P439" t="s">
        <v>55</v>
      </c>
      <c r="Q439">
        <v>501</v>
      </c>
      <c r="S439" t="s">
        <v>302</v>
      </c>
      <c r="T439" t="s">
        <v>425</v>
      </c>
      <c r="U439">
        <v>503</v>
      </c>
      <c r="V439" t="s">
        <v>61</v>
      </c>
      <c r="W439">
        <v>13.4</v>
      </c>
      <c r="X439" t="s">
        <v>57</v>
      </c>
      <c r="Z439" t="s">
        <v>302</v>
      </c>
      <c r="AA439" t="s">
        <v>77</v>
      </c>
      <c r="AE439">
        <v>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1</v>
      </c>
      <c r="AM439">
        <v>0</v>
      </c>
      <c r="AN439">
        <v>0</v>
      </c>
      <c r="AO439">
        <v>0</v>
      </c>
      <c r="AP439">
        <v>0</v>
      </c>
    </row>
    <row r="440" spans="1:42" x14ac:dyDescent="0.25">
      <c r="A440">
        <v>503</v>
      </c>
      <c r="B440" t="s">
        <v>992</v>
      </c>
      <c r="C440" t="s">
        <v>989</v>
      </c>
      <c r="D440" t="s">
        <v>133</v>
      </c>
      <c r="E440" s="4">
        <v>1</v>
      </c>
      <c r="F440" t="s">
        <v>61</v>
      </c>
      <c r="G440" t="s">
        <v>61</v>
      </c>
      <c r="H440" s="3">
        <v>46196</v>
      </c>
      <c r="I440" s="3">
        <v>46196</v>
      </c>
      <c r="J440" t="s">
        <v>189</v>
      </c>
      <c r="K440" s="3">
        <v>46171</v>
      </c>
      <c r="L440" s="3">
        <v>46171</v>
      </c>
      <c r="M440" s="3">
        <v>46196</v>
      </c>
      <c r="N440" s="3">
        <v>46196</v>
      </c>
      <c r="O440" t="s">
        <v>212</v>
      </c>
      <c r="P440" t="s">
        <v>55</v>
      </c>
      <c r="Q440">
        <v>502</v>
      </c>
      <c r="S440" t="s">
        <v>124</v>
      </c>
      <c r="T440" t="s">
        <v>425</v>
      </c>
      <c r="V440" t="s">
        <v>61</v>
      </c>
      <c r="W440">
        <v>13.4</v>
      </c>
      <c r="X440" t="s">
        <v>57</v>
      </c>
      <c r="Z440" t="s">
        <v>124</v>
      </c>
      <c r="AA440" t="s">
        <v>77</v>
      </c>
      <c r="AE440">
        <v>1</v>
      </c>
      <c r="AF440">
        <v>0</v>
      </c>
      <c r="AG440">
        <v>0</v>
      </c>
      <c r="AH440">
        <v>0</v>
      </c>
      <c r="AI440">
        <v>1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0</v>
      </c>
      <c r="AP440">
        <v>0</v>
      </c>
    </row>
    <row r="441" spans="1:42" x14ac:dyDescent="0.25">
      <c r="A441">
        <v>504</v>
      </c>
      <c r="B441" t="s">
        <v>993</v>
      </c>
      <c r="C441" t="s">
        <v>986</v>
      </c>
      <c r="D441" t="s">
        <v>994</v>
      </c>
      <c r="E441" s="4">
        <v>1</v>
      </c>
      <c r="F441" t="s">
        <v>114</v>
      </c>
      <c r="G441" t="s">
        <v>114</v>
      </c>
      <c r="H441" s="3">
        <v>46188</v>
      </c>
      <c r="I441" s="3">
        <v>46198</v>
      </c>
      <c r="J441" t="s">
        <v>595</v>
      </c>
      <c r="K441" s="3">
        <v>46198</v>
      </c>
      <c r="L441" s="3">
        <v>46188</v>
      </c>
      <c r="M441" s="3">
        <v>46198</v>
      </c>
      <c r="N441" s="3">
        <v>46198</v>
      </c>
      <c r="O441" t="s">
        <v>595</v>
      </c>
      <c r="P441" t="s">
        <v>55</v>
      </c>
      <c r="T441" t="s">
        <v>425</v>
      </c>
      <c r="V441" t="s">
        <v>175</v>
      </c>
      <c r="X441" t="s">
        <v>57</v>
      </c>
      <c r="AA441" t="s">
        <v>50</v>
      </c>
      <c r="AB441" t="s">
        <v>94</v>
      </c>
      <c r="AE441">
        <v>1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</row>
    <row r="442" spans="1:42" x14ac:dyDescent="0.25">
      <c r="A442">
        <v>505</v>
      </c>
      <c r="B442" t="s">
        <v>995</v>
      </c>
      <c r="C442" t="s">
        <v>996</v>
      </c>
      <c r="D442" t="s">
        <v>117</v>
      </c>
      <c r="E442" s="4">
        <v>1</v>
      </c>
      <c r="F442" t="s">
        <v>138</v>
      </c>
      <c r="G442" t="s">
        <v>138</v>
      </c>
      <c r="H442" s="3">
        <v>46188</v>
      </c>
      <c r="I442" s="3">
        <v>46192</v>
      </c>
      <c r="J442" t="s">
        <v>595</v>
      </c>
      <c r="K442" s="3">
        <v>46192</v>
      </c>
      <c r="L442" s="3">
        <v>46188</v>
      </c>
      <c r="M442" s="3">
        <v>46192</v>
      </c>
      <c r="N442" s="3">
        <v>46192</v>
      </c>
      <c r="O442" t="s">
        <v>595</v>
      </c>
      <c r="P442" t="s">
        <v>55</v>
      </c>
      <c r="S442" t="s">
        <v>302</v>
      </c>
      <c r="T442" t="s">
        <v>425</v>
      </c>
      <c r="U442">
        <v>506</v>
      </c>
      <c r="V442" t="s">
        <v>127</v>
      </c>
      <c r="W442">
        <v>13.4</v>
      </c>
      <c r="X442" t="s">
        <v>57</v>
      </c>
      <c r="Z442" t="s">
        <v>302</v>
      </c>
      <c r="AA442" t="s">
        <v>198</v>
      </c>
      <c r="AE442">
        <v>1</v>
      </c>
      <c r="AF442">
        <v>1</v>
      </c>
      <c r="AG442">
        <v>1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1</v>
      </c>
    </row>
    <row r="443" spans="1:42" x14ac:dyDescent="0.25">
      <c r="A443">
        <v>506</v>
      </c>
      <c r="B443" t="s">
        <v>997</v>
      </c>
      <c r="C443" t="s">
        <v>996</v>
      </c>
      <c r="D443" t="s">
        <v>121</v>
      </c>
      <c r="E443" s="4">
        <v>1</v>
      </c>
      <c r="F443" t="s">
        <v>61</v>
      </c>
      <c r="G443" t="s">
        <v>61</v>
      </c>
      <c r="H443" s="3">
        <v>46195</v>
      </c>
      <c r="I443" s="3">
        <v>46195</v>
      </c>
      <c r="J443" t="s">
        <v>219</v>
      </c>
      <c r="K443" s="3">
        <v>46195</v>
      </c>
      <c r="L443" s="3">
        <v>46195</v>
      </c>
      <c r="M443" s="3">
        <v>46195</v>
      </c>
      <c r="N443" s="3">
        <v>46195</v>
      </c>
      <c r="O443" t="s">
        <v>219</v>
      </c>
      <c r="P443" t="s">
        <v>55</v>
      </c>
      <c r="Q443">
        <v>505</v>
      </c>
      <c r="S443" t="s">
        <v>124</v>
      </c>
      <c r="T443" t="s">
        <v>425</v>
      </c>
      <c r="U443">
        <v>507</v>
      </c>
      <c r="V443" t="s">
        <v>122</v>
      </c>
      <c r="W443">
        <v>13.4</v>
      </c>
      <c r="X443" t="s">
        <v>57</v>
      </c>
      <c r="Z443" t="s">
        <v>124</v>
      </c>
      <c r="AA443" t="s">
        <v>77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1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</row>
    <row r="444" spans="1:42" x14ac:dyDescent="0.25">
      <c r="A444">
        <v>507</v>
      </c>
      <c r="B444" t="s">
        <v>998</v>
      </c>
      <c r="C444" t="s">
        <v>996</v>
      </c>
      <c r="D444" t="s">
        <v>126</v>
      </c>
      <c r="E444" s="4">
        <v>1</v>
      </c>
      <c r="F444" t="s">
        <v>61</v>
      </c>
      <c r="G444" t="s">
        <v>61</v>
      </c>
      <c r="H444" s="3">
        <v>46196</v>
      </c>
      <c r="I444" s="3">
        <v>46196</v>
      </c>
      <c r="J444" t="s">
        <v>212</v>
      </c>
      <c r="K444" s="3">
        <v>46196</v>
      </c>
      <c r="L444" s="3">
        <v>46196</v>
      </c>
      <c r="M444" s="3">
        <v>46196</v>
      </c>
      <c r="N444" s="3">
        <v>46196</v>
      </c>
      <c r="O444" t="s">
        <v>212</v>
      </c>
      <c r="P444" t="s">
        <v>55</v>
      </c>
      <c r="Q444">
        <v>506</v>
      </c>
      <c r="S444" t="s">
        <v>302</v>
      </c>
      <c r="T444" t="s">
        <v>425</v>
      </c>
      <c r="U444">
        <v>508</v>
      </c>
      <c r="V444" t="s">
        <v>61</v>
      </c>
      <c r="W444">
        <v>13.4</v>
      </c>
      <c r="X444" t="s">
        <v>57</v>
      </c>
      <c r="Z444" t="s">
        <v>302</v>
      </c>
      <c r="AA444" t="s">
        <v>77</v>
      </c>
      <c r="AE444">
        <v>1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1</v>
      </c>
      <c r="AM444">
        <v>0</v>
      </c>
      <c r="AN444">
        <v>0</v>
      </c>
      <c r="AO444">
        <v>0</v>
      </c>
      <c r="AP444">
        <v>0</v>
      </c>
    </row>
    <row r="445" spans="1:42" x14ac:dyDescent="0.25">
      <c r="A445">
        <v>508</v>
      </c>
      <c r="B445" t="s">
        <v>999</v>
      </c>
      <c r="C445" t="s">
        <v>996</v>
      </c>
      <c r="D445" t="s">
        <v>133</v>
      </c>
      <c r="E445" s="4">
        <v>1</v>
      </c>
      <c r="F445" t="s">
        <v>127</v>
      </c>
      <c r="G445" t="s">
        <v>127</v>
      </c>
      <c r="H445" s="3">
        <v>46197</v>
      </c>
      <c r="I445" s="3">
        <v>46198</v>
      </c>
      <c r="J445" t="s">
        <v>207</v>
      </c>
      <c r="K445" s="3">
        <v>46198</v>
      </c>
      <c r="L445" s="3">
        <v>46197</v>
      </c>
      <c r="M445" s="3">
        <v>46198</v>
      </c>
      <c r="N445" s="3">
        <v>46198</v>
      </c>
      <c r="O445" t="s">
        <v>207</v>
      </c>
      <c r="P445" t="s">
        <v>55</v>
      </c>
      <c r="Q445">
        <v>507</v>
      </c>
      <c r="S445" t="s">
        <v>124</v>
      </c>
      <c r="T445" t="s">
        <v>425</v>
      </c>
      <c r="V445" t="s">
        <v>61</v>
      </c>
      <c r="W445">
        <v>13.4</v>
      </c>
      <c r="X445" t="s">
        <v>57</v>
      </c>
      <c r="Z445" t="s">
        <v>124</v>
      </c>
      <c r="AA445" t="s">
        <v>77</v>
      </c>
      <c r="AE445">
        <v>1</v>
      </c>
      <c r="AF445">
        <v>0</v>
      </c>
      <c r="AG445">
        <v>0</v>
      </c>
      <c r="AH445">
        <v>0</v>
      </c>
      <c r="AI445">
        <v>1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0</v>
      </c>
      <c r="AP445">
        <v>0</v>
      </c>
    </row>
    <row r="446" spans="1:42" x14ac:dyDescent="0.25">
      <c r="A446">
        <v>514</v>
      </c>
      <c r="B446" t="s">
        <v>1000</v>
      </c>
      <c r="C446" t="s">
        <v>425</v>
      </c>
      <c r="D446" t="s">
        <v>1001</v>
      </c>
      <c r="E446" s="4">
        <v>1</v>
      </c>
      <c r="F446" t="s">
        <v>295</v>
      </c>
      <c r="G446" t="s">
        <v>295</v>
      </c>
      <c r="H446" s="3">
        <v>46161</v>
      </c>
      <c r="I446" s="3">
        <v>46184</v>
      </c>
      <c r="J446" t="s">
        <v>90</v>
      </c>
      <c r="K446" s="3">
        <v>46184</v>
      </c>
      <c r="L446" s="3">
        <v>46161</v>
      </c>
      <c r="M446" s="3">
        <v>46184</v>
      </c>
      <c r="N446" s="3">
        <v>46184</v>
      </c>
      <c r="O446" t="s">
        <v>90</v>
      </c>
      <c r="P446" t="s">
        <v>55</v>
      </c>
      <c r="T446" t="s">
        <v>425</v>
      </c>
      <c r="V446" t="s">
        <v>175</v>
      </c>
      <c r="W446">
        <v>21.48</v>
      </c>
      <c r="X446" t="s">
        <v>57</v>
      </c>
      <c r="AA446" t="s">
        <v>50</v>
      </c>
      <c r="AB446" t="s">
        <v>94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</row>
    <row r="447" spans="1:42" x14ac:dyDescent="0.25">
      <c r="A447">
        <v>515</v>
      </c>
      <c r="B447" t="s">
        <v>1002</v>
      </c>
      <c r="C447" t="s">
        <v>1003</v>
      </c>
      <c r="D447" t="s">
        <v>117</v>
      </c>
      <c r="E447" s="4">
        <v>1</v>
      </c>
      <c r="F447" t="s">
        <v>127</v>
      </c>
      <c r="G447" t="s">
        <v>127</v>
      </c>
      <c r="H447" s="3">
        <v>46161</v>
      </c>
      <c r="I447" s="3">
        <v>46162</v>
      </c>
      <c r="J447" t="s">
        <v>90</v>
      </c>
      <c r="K447" s="3">
        <v>46162</v>
      </c>
      <c r="L447" s="3">
        <v>46161</v>
      </c>
      <c r="M447" s="3">
        <v>46162</v>
      </c>
      <c r="N447" s="3">
        <v>46162</v>
      </c>
      <c r="O447" t="s">
        <v>90</v>
      </c>
      <c r="P447" t="s">
        <v>55</v>
      </c>
      <c r="Q447" t="s">
        <v>1004</v>
      </c>
      <c r="S447" t="s">
        <v>1005</v>
      </c>
      <c r="T447" t="s">
        <v>425</v>
      </c>
      <c r="U447">
        <v>516</v>
      </c>
      <c r="V447" t="s">
        <v>127</v>
      </c>
      <c r="W447">
        <v>13.4</v>
      </c>
      <c r="X447" t="s">
        <v>57</v>
      </c>
      <c r="Z447" t="s">
        <v>1005</v>
      </c>
      <c r="AA447" t="s">
        <v>198</v>
      </c>
      <c r="AE447">
        <v>1</v>
      </c>
      <c r="AF447">
        <v>1</v>
      </c>
      <c r="AG447">
        <v>1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1</v>
      </c>
    </row>
    <row r="448" spans="1:42" x14ac:dyDescent="0.25">
      <c r="A448">
        <v>516</v>
      </c>
      <c r="B448" t="s">
        <v>1006</v>
      </c>
      <c r="C448" t="s">
        <v>1003</v>
      </c>
      <c r="D448" t="s">
        <v>121</v>
      </c>
      <c r="E448" s="4">
        <v>1</v>
      </c>
      <c r="F448" t="s">
        <v>365</v>
      </c>
      <c r="G448" t="s">
        <v>365</v>
      </c>
      <c r="H448" s="3">
        <v>46163</v>
      </c>
      <c r="I448" s="3">
        <v>46184</v>
      </c>
      <c r="J448" t="s">
        <v>491</v>
      </c>
      <c r="K448" s="3">
        <v>46184</v>
      </c>
      <c r="L448" s="3">
        <v>46163</v>
      </c>
      <c r="M448" s="3">
        <v>46184</v>
      </c>
      <c r="N448" s="3">
        <v>46184</v>
      </c>
      <c r="O448" t="s">
        <v>491</v>
      </c>
      <c r="P448" t="s">
        <v>55</v>
      </c>
      <c r="Q448">
        <v>515</v>
      </c>
      <c r="S448" t="s">
        <v>124</v>
      </c>
      <c r="T448" t="s">
        <v>425</v>
      </c>
      <c r="U448">
        <v>517</v>
      </c>
      <c r="V448" t="s">
        <v>122</v>
      </c>
      <c r="W448">
        <v>13.4</v>
      </c>
      <c r="X448" t="s">
        <v>57</v>
      </c>
      <c r="Z448" t="s">
        <v>124</v>
      </c>
      <c r="AA448" t="s">
        <v>198</v>
      </c>
      <c r="AE448">
        <v>1</v>
      </c>
      <c r="AF448">
        <v>0</v>
      </c>
      <c r="AG448">
        <v>0</v>
      </c>
      <c r="AH448">
        <v>0</v>
      </c>
      <c r="AI448">
        <v>0</v>
      </c>
      <c r="AJ448">
        <v>1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</row>
    <row r="449" spans="1:42" x14ac:dyDescent="0.25">
      <c r="A449">
        <v>517</v>
      </c>
      <c r="B449" t="s">
        <v>1007</v>
      </c>
      <c r="C449" t="s">
        <v>1003</v>
      </c>
      <c r="D449" t="s">
        <v>126</v>
      </c>
      <c r="E449" s="4">
        <v>1</v>
      </c>
      <c r="F449" t="s">
        <v>203</v>
      </c>
      <c r="G449" t="s">
        <v>203</v>
      </c>
      <c r="H449" s="3">
        <v>46168</v>
      </c>
      <c r="I449" s="3">
        <v>46184</v>
      </c>
      <c r="J449" t="s">
        <v>206</v>
      </c>
      <c r="K449" s="3">
        <v>46184</v>
      </c>
      <c r="L449" s="3">
        <v>46168</v>
      </c>
      <c r="M449" s="3">
        <v>46184</v>
      </c>
      <c r="N449" s="3">
        <v>46184</v>
      </c>
      <c r="O449" t="s">
        <v>206</v>
      </c>
      <c r="P449" t="s">
        <v>55</v>
      </c>
      <c r="Q449">
        <v>516</v>
      </c>
      <c r="S449" t="s">
        <v>1005</v>
      </c>
      <c r="T449" t="s">
        <v>425</v>
      </c>
      <c r="U449">
        <v>518</v>
      </c>
      <c r="V449" t="s">
        <v>61</v>
      </c>
      <c r="W449">
        <v>13.4</v>
      </c>
      <c r="X449" t="s">
        <v>57</v>
      </c>
      <c r="Z449" t="s">
        <v>1005</v>
      </c>
      <c r="AA449" t="s">
        <v>77</v>
      </c>
      <c r="AE449">
        <v>1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1</v>
      </c>
      <c r="AM449">
        <v>0</v>
      </c>
      <c r="AN449">
        <v>0</v>
      </c>
      <c r="AO449">
        <v>0</v>
      </c>
      <c r="AP449">
        <v>0</v>
      </c>
    </row>
    <row r="450" spans="1:42" x14ac:dyDescent="0.25">
      <c r="A450">
        <v>518</v>
      </c>
      <c r="B450" t="s">
        <v>1008</v>
      </c>
      <c r="C450" t="s">
        <v>1003</v>
      </c>
      <c r="D450" t="s">
        <v>133</v>
      </c>
      <c r="E450" s="4">
        <v>1</v>
      </c>
      <c r="F450" t="s">
        <v>151</v>
      </c>
      <c r="G450" t="s">
        <v>151</v>
      </c>
      <c r="H450" s="3">
        <v>46169</v>
      </c>
      <c r="I450" s="3">
        <v>46184</v>
      </c>
      <c r="J450" t="s">
        <v>97</v>
      </c>
      <c r="K450" s="3">
        <v>46184</v>
      </c>
      <c r="L450" s="3">
        <v>46169</v>
      </c>
      <c r="M450" s="3">
        <v>46184</v>
      </c>
      <c r="N450" s="3">
        <v>46184</v>
      </c>
      <c r="O450" t="s">
        <v>97</v>
      </c>
      <c r="P450" t="s">
        <v>55</v>
      </c>
      <c r="Q450">
        <v>517</v>
      </c>
      <c r="S450" t="s">
        <v>124</v>
      </c>
      <c r="T450" t="s">
        <v>425</v>
      </c>
      <c r="V450" t="s">
        <v>61</v>
      </c>
      <c r="W450">
        <v>13.4</v>
      </c>
      <c r="X450" t="s">
        <v>57</v>
      </c>
      <c r="Z450" t="s">
        <v>124</v>
      </c>
      <c r="AA450" t="s">
        <v>77</v>
      </c>
      <c r="AE450">
        <v>1</v>
      </c>
      <c r="AF450">
        <v>0</v>
      </c>
      <c r="AG450">
        <v>0</v>
      </c>
      <c r="AH450">
        <v>0</v>
      </c>
      <c r="AI450">
        <v>1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0</v>
      </c>
      <c r="AP450">
        <v>0</v>
      </c>
    </row>
    <row r="451" spans="1:42" x14ac:dyDescent="0.25">
      <c r="A451">
        <v>519</v>
      </c>
      <c r="B451" t="s">
        <v>1009</v>
      </c>
      <c r="C451" t="s">
        <v>425</v>
      </c>
      <c r="D451" t="s">
        <v>1010</v>
      </c>
      <c r="E451" s="4">
        <v>1</v>
      </c>
      <c r="F451" t="s">
        <v>101</v>
      </c>
      <c r="G451" t="s">
        <v>101</v>
      </c>
      <c r="H451" s="3">
        <v>46125</v>
      </c>
      <c r="I451" s="3">
        <v>46128</v>
      </c>
      <c r="J451" t="s">
        <v>144</v>
      </c>
      <c r="K451" s="3">
        <v>46128</v>
      </c>
      <c r="L451" s="3">
        <v>46125</v>
      </c>
      <c r="M451" s="3">
        <v>46128</v>
      </c>
      <c r="N451" s="3">
        <v>46128</v>
      </c>
      <c r="O451" t="s">
        <v>144</v>
      </c>
      <c r="P451" t="s">
        <v>55</v>
      </c>
      <c r="T451" t="s">
        <v>425</v>
      </c>
      <c r="V451" t="s">
        <v>101</v>
      </c>
      <c r="W451">
        <v>15.24</v>
      </c>
      <c r="X451" t="s">
        <v>57</v>
      </c>
      <c r="AA451" t="s">
        <v>50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</row>
    <row r="452" spans="1:42" x14ac:dyDescent="0.25">
      <c r="A452">
        <v>520</v>
      </c>
      <c r="B452" t="s">
        <v>1011</v>
      </c>
      <c r="C452" t="s">
        <v>1012</v>
      </c>
      <c r="D452" t="s">
        <v>117</v>
      </c>
      <c r="E452" s="4">
        <v>1</v>
      </c>
      <c r="F452" t="s">
        <v>61</v>
      </c>
      <c r="G452" t="s">
        <v>61</v>
      </c>
      <c r="H452" s="3">
        <v>46125</v>
      </c>
      <c r="I452" s="3">
        <v>46125</v>
      </c>
      <c r="J452" t="s">
        <v>144</v>
      </c>
      <c r="K452" s="3">
        <v>46125</v>
      </c>
      <c r="L452" s="3">
        <v>46125</v>
      </c>
      <c r="M452" s="3">
        <v>46125</v>
      </c>
      <c r="N452" s="3">
        <v>46125</v>
      </c>
      <c r="O452" t="s">
        <v>144</v>
      </c>
      <c r="P452" t="s">
        <v>55</v>
      </c>
      <c r="Q452">
        <v>6</v>
      </c>
      <c r="R452" s="1">
        <v>46134.722222222219</v>
      </c>
      <c r="S452" t="s">
        <v>142</v>
      </c>
      <c r="T452" t="s">
        <v>425</v>
      </c>
      <c r="U452">
        <v>521</v>
      </c>
      <c r="V452" t="s">
        <v>61</v>
      </c>
      <c r="W452">
        <v>13.4</v>
      </c>
      <c r="X452" t="s">
        <v>57</v>
      </c>
      <c r="Z452" t="s">
        <v>142</v>
      </c>
      <c r="AA452" t="s">
        <v>180</v>
      </c>
      <c r="AE452">
        <v>1</v>
      </c>
      <c r="AF452">
        <v>1</v>
      </c>
      <c r="AG452">
        <v>1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1</v>
      </c>
    </row>
    <row r="453" spans="1:42" x14ac:dyDescent="0.25">
      <c r="A453">
        <v>521</v>
      </c>
      <c r="B453" t="s">
        <v>1013</v>
      </c>
      <c r="C453" t="s">
        <v>1012</v>
      </c>
      <c r="D453" t="s">
        <v>121</v>
      </c>
      <c r="E453" s="4">
        <v>1</v>
      </c>
      <c r="F453" t="s">
        <v>61</v>
      </c>
      <c r="G453" t="s">
        <v>61</v>
      </c>
      <c r="H453" s="3">
        <v>46126</v>
      </c>
      <c r="I453" s="3">
        <v>46126</v>
      </c>
      <c r="J453" t="s">
        <v>334</v>
      </c>
      <c r="K453" s="3">
        <v>46126</v>
      </c>
      <c r="L453" s="3">
        <v>46126</v>
      </c>
      <c r="M453" s="3">
        <v>46126</v>
      </c>
      <c r="N453" s="3">
        <v>46126</v>
      </c>
      <c r="O453" t="s">
        <v>334</v>
      </c>
      <c r="P453" t="s">
        <v>55</v>
      </c>
      <c r="Q453">
        <v>520</v>
      </c>
      <c r="S453" t="s">
        <v>124</v>
      </c>
      <c r="T453" t="s">
        <v>425</v>
      </c>
      <c r="U453">
        <v>522</v>
      </c>
      <c r="V453" t="s">
        <v>61</v>
      </c>
      <c r="W453">
        <v>13.4</v>
      </c>
      <c r="X453" t="s">
        <v>57</v>
      </c>
      <c r="Z453" t="s">
        <v>124</v>
      </c>
      <c r="AA453" t="s">
        <v>180</v>
      </c>
      <c r="AE453">
        <v>1</v>
      </c>
      <c r="AF453">
        <v>0</v>
      </c>
      <c r="AG453">
        <v>0</v>
      </c>
      <c r="AH453">
        <v>0</v>
      </c>
      <c r="AI453">
        <v>0</v>
      </c>
      <c r="AJ453">
        <v>1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</row>
    <row r="454" spans="1:42" x14ac:dyDescent="0.25">
      <c r="A454">
        <v>522</v>
      </c>
      <c r="B454" t="s">
        <v>1014</v>
      </c>
      <c r="C454" t="s">
        <v>1012</v>
      </c>
      <c r="D454" t="s">
        <v>126</v>
      </c>
      <c r="E454" s="4">
        <v>1</v>
      </c>
      <c r="F454" t="s">
        <v>61</v>
      </c>
      <c r="G454" t="s">
        <v>61</v>
      </c>
      <c r="H454" s="3">
        <v>46127</v>
      </c>
      <c r="I454" s="3">
        <v>46127</v>
      </c>
      <c r="J454" t="s">
        <v>146</v>
      </c>
      <c r="K454" s="3">
        <v>46127</v>
      </c>
      <c r="L454" s="3">
        <v>46127</v>
      </c>
      <c r="M454" s="3">
        <v>46127</v>
      </c>
      <c r="N454" s="3">
        <v>46127</v>
      </c>
      <c r="O454" t="s">
        <v>146</v>
      </c>
      <c r="P454" t="s">
        <v>55</v>
      </c>
      <c r="Q454">
        <v>521</v>
      </c>
      <c r="S454" t="s">
        <v>142</v>
      </c>
      <c r="T454" t="s">
        <v>425</v>
      </c>
      <c r="U454">
        <v>523</v>
      </c>
      <c r="V454" t="s">
        <v>61</v>
      </c>
      <c r="W454">
        <v>13.4</v>
      </c>
      <c r="X454" t="s">
        <v>57</v>
      </c>
      <c r="Z454" t="s">
        <v>142</v>
      </c>
      <c r="AA454" t="s">
        <v>180</v>
      </c>
      <c r="AE454">
        <v>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1</v>
      </c>
      <c r="AM454">
        <v>0</v>
      </c>
      <c r="AN454">
        <v>0</v>
      </c>
      <c r="AO454">
        <v>0</v>
      </c>
      <c r="AP454">
        <v>0</v>
      </c>
    </row>
    <row r="455" spans="1:42" x14ac:dyDescent="0.25">
      <c r="A455">
        <v>523</v>
      </c>
      <c r="B455" t="s">
        <v>1015</v>
      </c>
      <c r="C455" t="s">
        <v>1012</v>
      </c>
      <c r="D455" t="s">
        <v>133</v>
      </c>
      <c r="E455" s="4">
        <v>1</v>
      </c>
      <c r="F455" t="s">
        <v>61</v>
      </c>
      <c r="G455" t="s">
        <v>61</v>
      </c>
      <c r="H455" s="3">
        <v>46128</v>
      </c>
      <c r="I455" s="3">
        <v>46128</v>
      </c>
      <c r="J455" t="s">
        <v>148</v>
      </c>
      <c r="K455" s="3">
        <v>46128</v>
      </c>
      <c r="L455" s="3">
        <v>46128</v>
      </c>
      <c r="M455" s="3">
        <v>46128</v>
      </c>
      <c r="N455" s="3">
        <v>46128</v>
      </c>
      <c r="O455" t="s">
        <v>148</v>
      </c>
      <c r="P455" t="s">
        <v>55</v>
      </c>
      <c r="Q455">
        <v>522</v>
      </c>
      <c r="S455" t="s">
        <v>124</v>
      </c>
      <c r="T455" t="s">
        <v>425</v>
      </c>
      <c r="V455" t="s">
        <v>61</v>
      </c>
      <c r="W455">
        <v>13.4</v>
      </c>
      <c r="X455" t="s">
        <v>57</v>
      </c>
      <c r="Z455" t="s">
        <v>124</v>
      </c>
      <c r="AA455" t="s">
        <v>180</v>
      </c>
      <c r="AE455">
        <v>1</v>
      </c>
      <c r="AF455">
        <v>0</v>
      </c>
      <c r="AG455">
        <v>0</v>
      </c>
      <c r="AH455">
        <v>0</v>
      </c>
      <c r="AI455">
        <v>1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0</v>
      </c>
      <c r="AP455">
        <v>0</v>
      </c>
    </row>
    <row r="456" spans="1:42" x14ac:dyDescent="0.25">
      <c r="A456">
        <v>524</v>
      </c>
      <c r="B456" t="s">
        <v>1016</v>
      </c>
      <c r="C456" t="s">
        <v>425</v>
      </c>
      <c r="D456" t="s">
        <v>1017</v>
      </c>
      <c r="E456" s="4">
        <v>1</v>
      </c>
      <c r="F456" t="s">
        <v>210</v>
      </c>
      <c r="G456" t="s">
        <v>210</v>
      </c>
      <c r="H456" s="3">
        <v>46155</v>
      </c>
      <c r="I456" s="3">
        <v>46164</v>
      </c>
      <c r="J456" t="s">
        <v>415</v>
      </c>
      <c r="K456" s="3">
        <v>46147</v>
      </c>
      <c r="L456" s="3">
        <v>46141</v>
      </c>
      <c r="M456" s="3">
        <v>46164</v>
      </c>
      <c r="N456" s="3">
        <v>46164</v>
      </c>
      <c r="O456" t="s">
        <v>68</v>
      </c>
      <c r="P456" t="s">
        <v>55</v>
      </c>
      <c r="T456" t="s">
        <v>425</v>
      </c>
      <c r="V456" t="s">
        <v>101</v>
      </c>
      <c r="W456">
        <v>15.24</v>
      </c>
      <c r="X456" t="s">
        <v>57</v>
      </c>
      <c r="AA456" t="s">
        <v>50</v>
      </c>
      <c r="AE456">
        <v>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</row>
    <row r="457" spans="1:42" x14ac:dyDescent="0.25">
      <c r="A457">
        <v>525</v>
      </c>
      <c r="B457" t="s">
        <v>1018</v>
      </c>
      <c r="C457" t="s">
        <v>1019</v>
      </c>
      <c r="D457" t="s">
        <v>117</v>
      </c>
      <c r="E457" s="4">
        <v>1</v>
      </c>
      <c r="F457" t="s">
        <v>122</v>
      </c>
      <c r="G457" t="s">
        <v>122</v>
      </c>
      <c r="H457" s="3">
        <v>46155</v>
      </c>
      <c r="I457" s="3">
        <v>46157</v>
      </c>
      <c r="J457" t="s">
        <v>415</v>
      </c>
      <c r="K457" s="3">
        <v>46141</v>
      </c>
      <c r="L457" s="3">
        <v>46141</v>
      </c>
      <c r="M457" s="3">
        <v>46157</v>
      </c>
      <c r="N457" s="3">
        <v>46157</v>
      </c>
      <c r="O457" t="s">
        <v>68</v>
      </c>
      <c r="P457" t="s">
        <v>55</v>
      </c>
      <c r="Q457">
        <v>7</v>
      </c>
      <c r="S457" t="s">
        <v>142</v>
      </c>
      <c r="T457" t="s">
        <v>425</v>
      </c>
      <c r="U457">
        <v>526</v>
      </c>
      <c r="V457" t="s">
        <v>61</v>
      </c>
      <c r="W457">
        <v>13.4</v>
      </c>
      <c r="X457" t="s">
        <v>57</v>
      </c>
      <c r="Z457" t="s">
        <v>142</v>
      </c>
      <c r="AA457" t="s">
        <v>71</v>
      </c>
      <c r="AE457">
        <v>1</v>
      </c>
      <c r="AF457">
        <v>1</v>
      </c>
      <c r="AG457">
        <v>1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1</v>
      </c>
    </row>
    <row r="458" spans="1:42" x14ac:dyDescent="0.25">
      <c r="A458">
        <v>526</v>
      </c>
      <c r="B458" t="s">
        <v>1020</v>
      </c>
      <c r="C458" t="s">
        <v>1019</v>
      </c>
      <c r="D458" t="s">
        <v>121</v>
      </c>
      <c r="E458" s="4">
        <v>1</v>
      </c>
      <c r="F458" t="s">
        <v>127</v>
      </c>
      <c r="G458" t="s">
        <v>127</v>
      </c>
      <c r="H458" s="3">
        <v>46160</v>
      </c>
      <c r="I458" s="3">
        <v>46161</v>
      </c>
      <c r="J458" t="s">
        <v>527</v>
      </c>
      <c r="K458" s="3">
        <v>46142</v>
      </c>
      <c r="L458" s="3">
        <v>46142</v>
      </c>
      <c r="M458" s="3">
        <v>46161</v>
      </c>
      <c r="N458" s="3">
        <v>46161</v>
      </c>
      <c r="O458" t="s">
        <v>185</v>
      </c>
      <c r="P458" t="s">
        <v>55</v>
      </c>
      <c r="Q458">
        <v>525</v>
      </c>
      <c r="S458" t="s">
        <v>124</v>
      </c>
      <c r="T458" t="s">
        <v>425</v>
      </c>
      <c r="U458">
        <v>527</v>
      </c>
      <c r="V458" t="s">
        <v>61</v>
      </c>
      <c r="W458">
        <v>13.4</v>
      </c>
      <c r="X458" t="s">
        <v>57</v>
      </c>
      <c r="Z458" t="s">
        <v>124</v>
      </c>
      <c r="AA458" t="s">
        <v>71</v>
      </c>
      <c r="AE458">
        <v>1</v>
      </c>
      <c r="AF458">
        <v>0</v>
      </c>
      <c r="AG458">
        <v>0</v>
      </c>
      <c r="AH458">
        <v>0</v>
      </c>
      <c r="AI458">
        <v>0</v>
      </c>
      <c r="AJ458">
        <v>1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</row>
    <row r="459" spans="1:42" x14ac:dyDescent="0.25">
      <c r="A459">
        <v>527</v>
      </c>
      <c r="B459" t="s">
        <v>1021</v>
      </c>
      <c r="C459" t="s">
        <v>1019</v>
      </c>
      <c r="D459" t="s">
        <v>126</v>
      </c>
      <c r="E459" s="4">
        <v>1</v>
      </c>
      <c r="F459" t="s">
        <v>61</v>
      </c>
      <c r="G459" t="s">
        <v>61</v>
      </c>
      <c r="H459" s="3">
        <v>46162</v>
      </c>
      <c r="I459" s="3">
        <v>46162</v>
      </c>
      <c r="J459" t="s">
        <v>409</v>
      </c>
      <c r="K459" s="3">
        <v>46146</v>
      </c>
      <c r="L459" s="3">
        <v>46146</v>
      </c>
      <c r="M459" s="3">
        <v>46162</v>
      </c>
      <c r="N459" s="3">
        <v>46162</v>
      </c>
      <c r="O459" t="s">
        <v>200</v>
      </c>
      <c r="P459" t="s">
        <v>55</v>
      </c>
      <c r="Q459">
        <v>526</v>
      </c>
      <c r="S459" t="s">
        <v>142</v>
      </c>
      <c r="T459" t="s">
        <v>425</v>
      </c>
      <c r="U459">
        <v>528</v>
      </c>
      <c r="V459" t="s">
        <v>61</v>
      </c>
      <c r="W459">
        <v>13.4</v>
      </c>
      <c r="X459" t="s">
        <v>57</v>
      </c>
      <c r="Z459" t="s">
        <v>142</v>
      </c>
      <c r="AA459" t="s">
        <v>401</v>
      </c>
      <c r="AE459">
        <v>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1</v>
      </c>
      <c r="AM459">
        <v>0</v>
      </c>
      <c r="AN459">
        <v>0</v>
      </c>
      <c r="AO459">
        <v>0</v>
      </c>
      <c r="AP459">
        <v>0</v>
      </c>
    </row>
    <row r="460" spans="1:42" x14ac:dyDescent="0.25">
      <c r="A460">
        <v>528</v>
      </c>
      <c r="B460" t="s">
        <v>1022</v>
      </c>
      <c r="C460" t="s">
        <v>1019</v>
      </c>
      <c r="D460" t="s">
        <v>133</v>
      </c>
      <c r="E460" s="4">
        <v>1</v>
      </c>
      <c r="F460" t="s">
        <v>61</v>
      </c>
      <c r="G460" t="s">
        <v>61</v>
      </c>
      <c r="H460" s="3">
        <v>46164</v>
      </c>
      <c r="I460" s="3">
        <v>46164</v>
      </c>
      <c r="J460" t="s">
        <v>183</v>
      </c>
      <c r="K460" s="3">
        <v>46147</v>
      </c>
      <c r="L460" s="3">
        <v>46147</v>
      </c>
      <c r="M460" s="3">
        <v>46164</v>
      </c>
      <c r="N460" s="3">
        <v>46164</v>
      </c>
      <c r="O460" t="s">
        <v>471</v>
      </c>
      <c r="P460" t="s">
        <v>55</v>
      </c>
      <c r="Q460">
        <v>527</v>
      </c>
      <c r="S460" t="s">
        <v>124</v>
      </c>
      <c r="T460" t="s">
        <v>425</v>
      </c>
      <c r="V460" t="s">
        <v>61</v>
      </c>
      <c r="W460">
        <v>13.4</v>
      </c>
      <c r="X460" t="s">
        <v>57</v>
      </c>
      <c r="Z460" t="s">
        <v>124</v>
      </c>
      <c r="AA460" t="s">
        <v>401</v>
      </c>
      <c r="AE460">
        <v>1</v>
      </c>
      <c r="AF460">
        <v>0</v>
      </c>
      <c r="AG460">
        <v>0</v>
      </c>
      <c r="AH460">
        <v>0</v>
      </c>
      <c r="AI460">
        <v>1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0</v>
      </c>
      <c r="AP460">
        <v>0</v>
      </c>
    </row>
    <row r="461" spans="1:42" x14ac:dyDescent="0.25">
      <c r="A461">
        <v>530</v>
      </c>
      <c r="B461" t="s">
        <v>1026</v>
      </c>
      <c r="C461" t="s">
        <v>1027</v>
      </c>
      <c r="D461" t="s">
        <v>117</v>
      </c>
      <c r="E461" s="4">
        <v>1</v>
      </c>
      <c r="F461" t="s">
        <v>61</v>
      </c>
      <c r="G461" t="s">
        <v>61</v>
      </c>
      <c r="H461" s="3">
        <v>46203</v>
      </c>
      <c r="I461" s="3">
        <v>46203</v>
      </c>
      <c r="J461" t="s">
        <v>406</v>
      </c>
      <c r="K461" s="3">
        <v>46156</v>
      </c>
      <c r="L461" s="3">
        <v>46156</v>
      </c>
      <c r="M461" s="3">
        <v>46203</v>
      </c>
      <c r="N461" s="3">
        <v>46203</v>
      </c>
      <c r="O461" t="s">
        <v>1025</v>
      </c>
      <c r="P461" t="s">
        <v>55</v>
      </c>
      <c r="Q461">
        <v>8</v>
      </c>
      <c r="S461" t="s">
        <v>142</v>
      </c>
      <c r="T461" t="s">
        <v>425</v>
      </c>
      <c r="U461">
        <v>531</v>
      </c>
      <c r="V461" t="s">
        <v>61</v>
      </c>
      <c r="W461">
        <v>13.4</v>
      </c>
      <c r="X461" t="s">
        <v>57</v>
      </c>
      <c r="Z461" t="s">
        <v>142</v>
      </c>
      <c r="AA461" t="s">
        <v>93</v>
      </c>
      <c r="AE461">
        <v>1</v>
      </c>
      <c r="AF461">
        <v>1</v>
      </c>
      <c r="AG461">
        <v>1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1</v>
      </c>
    </row>
    <row r="462" spans="1:42" x14ac:dyDescent="0.25">
      <c r="A462">
        <v>539</v>
      </c>
      <c r="B462" t="s">
        <v>1031</v>
      </c>
      <c r="C462" t="s">
        <v>52</v>
      </c>
      <c r="D462" t="s">
        <v>1032</v>
      </c>
      <c r="E462" s="4">
        <v>1</v>
      </c>
      <c r="F462" t="s">
        <v>1033</v>
      </c>
      <c r="G462" t="s">
        <v>1033</v>
      </c>
      <c r="H462" s="3">
        <v>46104</v>
      </c>
      <c r="I462" s="3">
        <v>46190</v>
      </c>
      <c r="J462" t="s">
        <v>123</v>
      </c>
      <c r="K462" s="3">
        <v>46195</v>
      </c>
      <c r="L462" s="3">
        <v>46104</v>
      </c>
      <c r="M462" s="3">
        <v>46190</v>
      </c>
      <c r="N462" s="3">
        <v>46190</v>
      </c>
      <c r="O462" t="s">
        <v>123</v>
      </c>
      <c r="P462" t="s">
        <v>55</v>
      </c>
      <c r="V462" t="s">
        <v>1034</v>
      </c>
      <c r="W462">
        <v>562</v>
      </c>
      <c r="X462" t="s">
        <v>57</v>
      </c>
      <c r="AA462" t="s">
        <v>50</v>
      </c>
      <c r="AE462">
        <v>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</row>
    <row r="463" spans="1:42" x14ac:dyDescent="0.25">
      <c r="A463">
        <v>540</v>
      </c>
      <c r="B463" t="s">
        <v>1035</v>
      </c>
      <c r="C463" t="s">
        <v>1036</v>
      </c>
      <c r="D463" t="s">
        <v>1037</v>
      </c>
      <c r="E463" s="4">
        <v>1</v>
      </c>
      <c r="F463" t="s">
        <v>151</v>
      </c>
      <c r="G463" t="s">
        <v>151</v>
      </c>
      <c r="H463" s="3">
        <v>46167</v>
      </c>
      <c r="I463" s="3">
        <v>46182</v>
      </c>
      <c r="J463" t="s">
        <v>406</v>
      </c>
      <c r="K463" s="3">
        <v>46174</v>
      </c>
      <c r="L463" s="3">
        <v>46156</v>
      </c>
      <c r="M463" s="3">
        <v>46182</v>
      </c>
      <c r="N463" s="3">
        <v>46182</v>
      </c>
      <c r="O463" t="s">
        <v>74</v>
      </c>
      <c r="P463" t="s">
        <v>55</v>
      </c>
      <c r="T463" t="s">
        <v>1036</v>
      </c>
      <c r="U463">
        <v>606</v>
      </c>
      <c r="V463" t="s">
        <v>1038</v>
      </c>
      <c r="W463">
        <v>43.2</v>
      </c>
      <c r="X463" t="s">
        <v>57</v>
      </c>
      <c r="AA463" t="s">
        <v>50</v>
      </c>
      <c r="AE463">
        <v>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</row>
    <row r="464" spans="1:42" x14ac:dyDescent="0.25">
      <c r="A464">
        <v>541</v>
      </c>
      <c r="B464" t="s">
        <v>1039</v>
      </c>
      <c r="C464" t="s">
        <v>1040</v>
      </c>
      <c r="D464" t="s">
        <v>117</v>
      </c>
      <c r="E464" s="4">
        <v>1</v>
      </c>
      <c r="F464" t="s">
        <v>175</v>
      </c>
      <c r="G464" t="s">
        <v>175</v>
      </c>
      <c r="H464" s="3">
        <v>46167</v>
      </c>
      <c r="I464" s="3">
        <v>46175</v>
      </c>
      <c r="J464" t="s">
        <v>406</v>
      </c>
      <c r="K464" s="3">
        <v>46169</v>
      </c>
      <c r="L464" s="3">
        <v>46156</v>
      </c>
      <c r="M464" s="3">
        <v>46175</v>
      </c>
      <c r="N464" s="3">
        <v>46175</v>
      </c>
      <c r="O464" t="s">
        <v>74</v>
      </c>
      <c r="P464" t="s">
        <v>55</v>
      </c>
      <c r="Q464" t="s">
        <v>1041</v>
      </c>
      <c r="S464" t="s">
        <v>1042</v>
      </c>
      <c r="T464" t="s">
        <v>1036</v>
      </c>
      <c r="U464" t="s">
        <v>1043</v>
      </c>
      <c r="V464" t="s">
        <v>151</v>
      </c>
      <c r="W464">
        <v>13.4</v>
      </c>
      <c r="X464" t="s">
        <v>57</v>
      </c>
      <c r="Z464" t="s">
        <v>1042</v>
      </c>
      <c r="AA464" t="s">
        <v>93</v>
      </c>
      <c r="AE464">
        <v>1</v>
      </c>
      <c r="AF464">
        <v>1</v>
      </c>
      <c r="AG464">
        <v>1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1</v>
      </c>
    </row>
    <row r="465" spans="1:42" x14ac:dyDescent="0.25">
      <c r="A465">
        <v>542</v>
      </c>
      <c r="B465" t="s">
        <v>1044</v>
      </c>
      <c r="C465" t="s">
        <v>1040</v>
      </c>
      <c r="D465" t="s">
        <v>121</v>
      </c>
      <c r="E465" s="4">
        <v>1</v>
      </c>
      <c r="F465" t="s">
        <v>61</v>
      </c>
      <c r="G465" t="s">
        <v>61</v>
      </c>
      <c r="H465" s="3">
        <v>46176</v>
      </c>
      <c r="I465" s="3">
        <v>46176</v>
      </c>
      <c r="J465" t="s">
        <v>448</v>
      </c>
      <c r="K465" s="3">
        <v>46170</v>
      </c>
      <c r="L465" s="3">
        <v>46170</v>
      </c>
      <c r="M465" s="3">
        <v>46176</v>
      </c>
      <c r="N465" s="3">
        <v>46176</v>
      </c>
      <c r="O465" t="s">
        <v>459</v>
      </c>
      <c r="P465" t="s">
        <v>55</v>
      </c>
      <c r="Q465">
        <v>541</v>
      </c>
      <c r="S465" t="s">
        <v>124</v>
      </c>
      <c r="T465" t="s">
        <v>1036</v>
      </c>
      <c r="U465">
        <v>543</v>
      </c>
      <c r="V465" t="s">
        <v>61</v>
      </c>
      <c r="W465">
        <v>13.4</v>
      </c>
      <c r="X465" t="s">
        <v>57</v>
      </c>
      <c r="Z465" t="s">
        <v>124</v>
      </c>
      <c r="AA465" t="s">
        <v>77</v>
      </c>
      <c r="AE465">
        <v>1</v>
      </c>
      <c r="AF465">
        <v>0</v>
      </c>
      <c r="AG465">
        <v>0</v>
      </c>
      <c r="AH465">
        <v>0</v>
      </c>
      <c r="AI465">
        <v>0</v>
      </c>
      <c r="AJ465">
        <v>1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</row>
    <row r="466" spans="1:42" x14ac:dyDescent="0.25">
      <c r="A466">
        <v>543</v>
      </c>
      <c r="B466" t="s">
        <v>1045</v>
      </c>
      <c r="C466" t="s">
        <v>1040</v>
      </c>
      <c r="D466" t="s">
        <v>126</v>
      </c>
      <c r="E466" s="4">
        <v>1</v>
      </c>
      <c r="F466" t="s">
        <v>61</v>
      </c>
      <c r="G466" t="s">
        <v>61</v>
      </c>
      <c r="H466" s="3">
        <v>46181</v>
      </c>
      <c r="I466" s="3">
        <v>46181</v>
      </c>
      <c r="J466" t="s">
        <v>189</v>
      </c>
      <c r="K466" s="3">
        <v>46171</v>
      </c>
      <c r="L466" s="3">
        <v>46171</v>
      </c>
      <c r="M466" s="3">
        <v>46181</v>
      </c>
      <c r="N466" s="3">
        <v>46181</v>
      </c>
      <c r="O466" t="s">
        <v>201</v>
      </c>
      <c r="P466" t="s">
        <v>55</v>
      </c>
      <c r="Q466">
        <v>542</v>
      </c>
      <c r="S466" t="s">
        <v>1042</v>
      </c>
      <c r="T466" t="s">
        <v>1036</v>
      </c>
      <c r="U466">
        <v>544</v>
      </c>
      <c r="V466" t="s">
        <v>61</v>
      </c>
      <c r="W466">
        <v>13.4</v>
      </c>
      <c r="X466" t="s">
        <v>57</v>
      </c>
      <c r="Z466" t="s">
        <v>1042</v>
      </c>
      <c r="AA466" t="s">
        <v>77</v>
      </c>
      <c r="AE466">
        <v>1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1</v>
      </c>
      <c r="AM466">
        <v>0</v>
      </c>
      <c r="AN466">
        <v>0</v>
      </c>
      <c r="AO466">
        <v>0</v>
      </c>
      <c r="AP466">
        <v>0</v>
      </c>
    </row>
    <row r="467" spans="1:42" x14ac:dyDescent="0.25">
      <c r="A467">
        <v>544</v>
      </c>
      <c r="B467" t="s">
        <v>1046</v>
      </c>
      <c r="C467" t="s">
        <v>1040</v>
      </c>
      <c r="D467" t="s">
        <v>133</v>
      </c>
      <c r="E467" s="4">
        <v>1</v>
      </c>
      <c r="F467" t="s">
        <v>61</v>
      </c>
      <c r="G467" t="s">
        <v>61</v>
      </c>
      <c r="H467" s="3">
        <v>46182</v>
      </c>
      <c r="I467" s="3">
        <v>46182</v>
      </c>
      <c r="J467" t="s">
        <v>193</v>
      </c>
      <c r="K467" s="3">
        <v>46174</v>
      </c>
      <c r="L467" s="3">
        <v>46174</v>
      </c>
      <c r="M467" s="3">
        <v>46182</v>
      </c>
      <c r="N467" s="3">
        <v>46182</v>
      </c>
      <c r="O467" t="s">
        <v>204</v>
      </c>
      <c r="P467" t="s">
        <v>55</v>
      </c>
      <c r="Q467">
        <v>543</v>
      </c>
      <c r="S467" t="s">
        <v>124</v>
      </c>
      <c r="T467" t="s">
        <v>1036</v>
      </c>
      <c r="U467">
        <v>551</v>
      </c>
      <c r="V467" t="s">
        <v>61</v>
      </c>
      <c r="W467">
        <v>13.4</v>
      </c>
      <c r="X467" t="s">
        <v>57</v>
      </c>
      <c r="Z467" t="s">
        <v>124</v>
      </c>
      <c r="AA467" t="s">
        <v>460</v>
      </c>
      <c r="AE467">
        <v>1</v>
      </c>
      <c r="AF467">
        <v>0</v>
      </c>
      <c r="AG467">
        <v>0</v>
      </c>
      <c r="AH467">
        <v>0</v>
      </c>
      <c r="AI467">
        <v>1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0</v>
      </c>
      <c r="AP467">
        <v>0</v>
      </c>
    </row>
    <row r="468" spans="1:42" x14ac:dyDescent="0.25">
      <c r="A468">
        <v>545</v>
      </c>
      <c r="B468" t="s">
        <v>1047</v>
      </c>
      <c r="C468" t="s">
        <v>1036</v>
      </c>
      <c r="D468" t="s">
        <v>1048</v>
      </c>
      <c r="E468" s="4">
        <v>1</v>
      </c>
      <c r="F468" t="s">
        <v>138</v>
      </c>
      <c r="G468" t="s">
        <v>138</v>
      </c>
      <c r="H468" s="3">
        <v>46104</v>
      </c>
      <c r="I468" s="3">
        <v>46108</v>
      </c>
      <c r="J468" t="s">
        <v>123</v>
      </c>
      <c r="K468" s="3">
        <v>46113</v>
      </c>
      <c r="L468" s="3">
        <v>46104</v>
      </c>
      <c r="M468" s="3">
        <v>46108</v>
      </c>
      <c r="N468" s="3">
        <v>46108</v>
      </c>
      <c r="O468" t="s">
        <v>123</v>
      </c>
      <c r="P468" t="s">
        <v>55</v>
      </c>
      <c r="T468" t="s">
        <v>1036</v>
      </c>
      <c r="V468" t="s">
        <v>210</v>
      </c>
      <c r="W468">
        <v>24.48</v>
      </c>
      <c r="X468" t="s">
        <v>57</v>
      </c>
      <c r="AA468" t="s">
        <v>50</v>
      </c>
      <c r="AE468">
        <v>1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</row>
    <row r="469" spans="1:42" x14ac:dyDescent="0.25">
      <c r="A469">
        <v>546</v>
      </c>
      <c r="B469" t="s">
        <v>1049</v>
      </c>
      <c r="C469" t="s">
        <v>1050</v>
      </c>
      <c r="D469" t="s">
        <v>117</v>
      </c>
      <c r="E469" s="4">
        <v>1</v>
      </c>
      <c r="F469" t="s">
        <v>127</v>
      </c>
      <c r="G469" t="s">
        <v>127</v>
      </c>
      <c r="H469" s="3">
        <v>46104</v>
      </c>
      <c r="I469" s="3">
        <v>46105</v>
      </c>
      <c r="J469" t="s">
        <v>123</v>
      </c>
      <c r="K469" s="3">
        <v>46108</v>
      </c>
      <c r="L469" s="3">
        <v>46104</v>
      </c>
      <c r="M469" s="3">
        <v>46105</v>
      </c>
      <c r="N469" s="3">
        <v>46105</v>
      </c>
      <c r="O469" t="s">
        <v>123</v>
      </c>
      <c r="P469" t="s">
        <v>55</v>
      </c>
      <c r="Q469">
        <v>12</v>
      </c>
      <c r="S469" t="s">
        <v>1042</v>
      </c>
      <c r="T469" t="s">
        <v>1036</v>
      </c>
      <c r="U469">
        <v>547</v>
      </c>
      <c r="V469" t="s">
        <v>138</v>
      </c>
      <c r="W469">
        <v>13.4</v>
      </c>
      <c r="X469" t="s">
        <v>57</v>
      </c>
      <c r="Z469" t="s">
        <v>1042</v>
      </c>
      <c r="AA469" t="s">
        <v>64</v>
      </c>
      <c r="AE469">
        <v>1</v>
      </c>
      <c r="AF469">
        <v>1</v>
      </c>
      <c r="AG469">
        <v>1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1</v>
      </c>
    </row>
    <row r="470" spans="1:42" x14ac:dyDescent="0.25">
      <c r="A470">
        <v>547</v>
      </c>
      <c r="B470" t="s">
        <v>1051</v>
      </c>
      <c r="C470" t="s">
        <v>1050</v>
      </c>
      <c r="D470" t="s">
        <v>121</v>
      </c>
      <c r="E470" s="4">
        <v>1</v>
      </c>
      <c r="F470" t="s">
        <v>61</v>
      </c>
      <c r="G470" t="s">
        <v>61</v>
      </c>
      <c r="H470" s="3">
        <v>46106</v>
      </c>
      <c r="I470" s="3">
        <v>46106</v>
      </c>
      <c r="J470" t="s">
        <v>275</v>
      </c>
      <c r="K470" s="3">
        <v>46111</v>
      </c>
      <c r="L470" s="3">
        <v>46111</v>
      </c>
      <c r="M470" s="3">
        <v>46106</v>
      </c>
      <c r="N470" s="3">
        <v>46106</v>
      </c>
      <c r="O470" t="s">
        <v>431</v>
      </c>
      <c r="P470" t="s">
        <v>55</v>
      </c>
      <c r="Q470">
        <v>546</v>
      </c>
      <c r="R470" s="1">
        <v>46122.354166666657</v>
      </c>
      <c r="S470" t="s">
        <v>124</v>
      </c>
      <c r="T470" t="s">
        <v>1036</v>
      </c>
      <c r="U470">
        <v>548</v>
      </c>
      <c r="V470" t="s">
        <v>61</v>
      </c>
      <c r="W470">
        <v>13.4</v>
      </c>
      <c r="X470" t="s">
        <v>57</v>
      </c>
      <c r="Z470" t="s">
        <v>124</v>
      </c>
      <c r="AA470" t="s">
        <v>255</v>
      </c>
      <c r="AE470">
        <v>1</v>
      </c>
      <c r="AF470">
        <v>0</v>
      </c>
      <c r="AG470">
        <v>0</v>
      </c>
      <c r="AH470">
        <v>0</v>
      </c>
      <c r="AI470">
        <v>0</v>
      </c>
      <c r="AJ470">
        <v>1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</row>
    <row r="471" spans="1:42" x14ac:dyDescent="0.25">
      <c r="A471">
        <v>548</v>
      </c>
      <c r="B471" t="s">
        <v>1052</v>
      </c>
      <c r="C471" t="s">
        <v>1050</v>
      </c>
      <c r="D471" t="s">
        <v>126</v>
      </c>
      <c r="E471" s="4">
        <v>1</v>
      </c>
      <c r="F471" t="s">
        <v>61</v>
      </c>
      <c r="G471" t="s">
        <v>61</v>
      </c>
      <c r="H471" s="3">
        <v>46107</v>
      </c>
      <c r="I471" s="3">
        <v>46107</v>
      </c>
      <c r="J471" t="s">
        <v>252</v>
      </c>
      <c r="K471" s="3">
        <v>46112</v>
      </c>
      <c r="L471" s="3">
        <v>46112</v>
      </c>
      <c r="M471" s="3">
        <v>46107</v>
      </c>
      <c r="N471" s="3">
        <v>46107</v>
      </c>
      <c r="O471" t="s">
        <v>129</v>
      </c>
      <c r="P471" t="s">
        <v>55</v>
      </c>
      <c r="Q471">
        <v>547</v>
      </c>
      <c r="R471" s="1">
        <v>46129.746527777781</v>
      </c>
      <c r="S471" t="s">
        <v>1042</v>
      </c>
      <c r="T471" t="s">
        <v>1036</v>
      </c>
      <c r="U471">
        <v>549</v>
      </c>
      <c r="V471" t="s">
        <v>61</v>
      </c>
      <c r="W471">
        <v>13.4</v>
      </c>
      <c r="X471" t="s">
        <v>57</v>
      </c>
      <c r="Z471" t="s">
        <v>1042</v>
      </c>
      <c r="AA471" t="s">
        <v>255</v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1</v>
      </c>
      <c r="AM471">
        <v>0</v>
      </c>
      <c r="AN471">
        <v>0</v>
      </c>
      <c r="AO471">
        <v>0</v>
      </c>
      <c r="AP471">
        <v>0</v>
      </c>
    </row>
    <row r="472" spans="1:42" x14ac:dyDescent="0.25">
      <c r="A472">
        <v>549</v>
      </c>
      <c r="B472" t="s">
        <v>1053</v>
      </c>
      <c r="C472" t="s">
        <v>1050</v>
      </c>
      <c r="D472" t="s">
        <v>133</v>
      </c>
      <c r="E472" s="4">
        <v>1</v>
      </c>
      <c r="F472" t="s">
        <v>61</v>
      </c>
      <c r="G472" t="s">
        <v>61</v>
      </c>
      <c r="H472" s="3">
        <v>46108</v>
      </c>
      <c r="I472" s="3">
        <v>46108</v>
      </c>
      <c r="J472" t="s">
        <v>257</v>
      </c>
      <c r="K472" s="3">
        <v>46113</v>
      </c>
      <c r="L472" s="3">
        <v>46113</v>
      </c>
      <c r="M472" s="3">
        <v>46108</v>
      </c>
      <c r="N472" s="3">
        <v>46108</v>
      </c>
      <c r="O472" t="s">
        <v>135</v>
      </c>
      <c r="P472" t="s">
        <v>55</v>
      </c>
      <c r="Q472">
        <v>548</v>
      </c>
      <c r="R472" s="1">
        <v>46129.746527777781</v>
      </c>
      <c r="S472" t="s">
        <v>124</v>
      </c>
      <c r="T472" t="s">
        <v>1036</v>
      </c>
      <c r="V472" t="s">
        <v>61</v>
      </c>
      <c r="W472">
        <v>13.4</v>
      </c>
      <c r="X472" t="s">
        <v>57</v>
      </c>
      <c r="Z472" t="s">
        <v>124</v>
      </c>
      <c r="AE472">
        <v>1</v>
      </c>
      <c r="AF472">
        <v>0</v>
      </c>
      <c r="AG472">
        <v>0</v>
      </c>
      <c r="AH472">
        <v>0</v>
      </c>
      <c r="AI472">
        <v>1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0</v>
      </c>
      <c r="AP472">
        <v>0</v>
      </c>
    </row>
    <row r="473" spans="1:42" x14ac:dyDescent="0.25">
      <c r="A473">
        <v>570</v>
      </c>
      <c r="B473" t="s">
        <v>1054</v>
      </c>
      <c r="C473" t="s">
        <v>1036</v>
      </c>
      <c r="D473" t="s">
        <v>1055</v>
      </c>
      <c r="E473" s="4">
        <v>1</v>
      </c>
      <c r="F473" t="s">
        <v>151</v>
      </c>
      <c r="G473" t="s">
        <v>151</v>
      </c>
      <c r="H473" s="3">
        <v>46113</v>
      </c>
      <c r="I473" s="3">
        <v>46128</v>
      </c>
      <c r="J473" t="s">
        <v>188</v>
      </c>
      <c r="K473" s="3">
        <v>46153</v>
      </c>
      <c r="L473" s="3">
        <v>46139</v>
      </c>
      <c r="M473" s="3">
        <v>46128</v>
      </c>
      <c r="N473" s="3">
        <v>46128</v>
      </c>
      <c r="O473" t="s">
        <v>257</v>
      </c>
      <c r="P473" t="s">
        <v>55</v>
      </c>
      <c r="T473" t="s">
        <v>1036</v>
      </c>
      <c r="V473" t="s">
        <v>151</v>
      </c>
      <c r="W473">
        <v>18.239999999999998</v>
      </c>
      <c r="X473" t="s">
        <v>57</v>
      </c>
      <c r="AA473" t="s">
        <v>50</v>
      </c>
      <c r="AE473">
        <v>1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</row>
    <row r="474" spans="1:42" x14ac:dyDescent="0.25">
      <c r="A474">
        <v>571</v>
      </c>
      <c r="B474" t="s">
        <v>1056</v>
      </c>
      <c r="C474" t="s">
        <v>1057</v>
      </c>
      <c r="D474" t="s">
        <v>117</v>
      </c>
      <c r="E474" s="4">
        <v>1</v>
      </c>
      <c r="F474" t="s">
        <v>138</v>
      </c>
      <c r="G474" t="s">
        <v>138</v>
      </c>
      <c r="H474" s="3">
        <v>46113</v>
      </c>
      <c r="I474" s="3">
        <v>46121</v>
      </c>
      <c r="J474" t="s">
        <v>188</v>
      </c>
      <c r="K474" s="3">
        <v>46146</v>
      </c>
      <c r="L474" s="3">
        <v>46139</v>
      </c>
      <c r="M474" s="3">
        <v>46121</v>
      </c>
      <c r="N474" s="3">
        <v>46121</v>
      </c>
      <c r="O474" t="s">
        <v>257</v>
      </c>
      <c r="P474" t="s">
        <v>55</v>
      </c>
      <c r="R474" s="1">
        <v>46129.708333333343</v>
      </c>
      <c r="S474" t="s">
        <v>1058</v>
      </c>
      <c r="T474" t="s">
        <v>1036</v>
      </c>
      <c r="U474">
        <v>572</v>
      </c>
      <c r="V474" t="s">
        <v>138</v>
      </c>
      <c r="W474">
        <v>13.4</v>
      </c>
      <c r="X474" t="s">
        <v>57</v>
      </c>
      <c r="Z474" t="s">
        <v>1058</v>
      </c>
      <c r="AA474" t="s">
        <v>71</v>
      </c>
      <c r="AE474">
        <v>1</v>
      </c>
      <c r="AF474">
        <v>1</v>
      </c>
      <c r="AG474">
        <v>1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1</v>
      </c>
    </row>
    <row r="475" spans="1:42" x14ac:dyDescent="0.25">
      <c r="A475">
        <v>572</v>
      </c>
      <c r="B475" t="s">
        <v>1059</v>
      </c>
      <c r="C475" t="s">
        <v>1057</v>
      </c>
      <c r="D475" t="s">
        <v>121</v>
      </c>
      <c r="E475" s="4">
        <v>1</v>
      </c>
      <c r="F475" t="s">
        <v>61</v>
      </c>
      <c r="G475" t="s">
        <v>61</v>
      </c>
      <c r="H475" s="3">
        <v>46122</v>
      </c>
      <c r="I475" s="3">
        <v>46127</v>
      </c>
      <c r="J475" t="s">
        <v>183</v>
      </c>
      <c r="K475" s="3">
        <v>46149</v>
      </c>
      <c r="L475" s="3">
        <v>46147</v>
      </c>
      <c r="M475" s="3">
        <v>46127</v>
      </c>
      <c r="N475" s="3">
        <v>46127</v>
      </c>
      <c r="O475" t="s">
        <v>80</v>
      </c>
      <c r="P475" t="s">
        <v>55</v>
      </c>
      <c r="Q475">
        <v>571</v>
      </c>
      <c r="R475" s="1">
        <v>46129.71875</v>
      </c>
      <c r="S475" t="s">
        <v>124</v>
      </c>
      <c r="T475" t="s">
        <v>1036</v>
      </c>
      <c r="U475">
        <v>573</v>
      </c>
      <c r="V475" t="s">
        <v>122</v>
      </c>
      <c r="W475">
        <v>13.4</v>
      </c>
      <c r="X475" t="s">
        <v>57</v>
      </c>
      <c r="Z475" t="s">
        <v>124</v>
      </c>
      <c r="AA475" t="s">
        <v>401</v>
      </c>
      <c r="AE475">
        <v>1</v>
      </c>
      <c r="AF475">
        <v>0</v>
      </c>
      <c r="AG475">
        <v>0</v>
      </c>
      <c r="AH475">
        <v>0</v>
      </c>
      <c r="AI475">
        <v>0</v>
      </c>
      <c r="AJ475">
        <v>1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</row>
    <row r="476" spans="1:42" x14ac:dyDescent="0.25">
      <c r="A476">
        <v>573</v>
      </c>
      <c r="B476" t="s">
        <v>1060</v>
      </c>
      <c r="C476" t="s">
        <v>1057</v>
      </c>
      <c r="D476" t="s">
        <v>126</v>
      </c>
      <c r="E476" s="4">
        <v>1</v>
      </c>
      <c r="F476" t="s">
        <v>61</v>
      </c>
      <c r="G476" t="s">
        <v>61</v>
      </c>
      <c r="H476" s="3">
        <v>46127</v>
      </c>
      <c r="I476" s="3">
        <v>46127</v>
      </c>
      <c r="J476" t="s">
        <v>403</v>
      </c>
      <c r="K476" s="3">
        <v>46150</v>
      </c>
      <c r="L476" s="3">
        <v>46150</v>
      </c>
      <c r="M476" s="3">
        <v>46127</v>
      </c>
      <c r="N476" s="3">
        <v>46127</v>
      </c>
      <c r="O476" t="s">
        <v>146</v>
      </c>
      <c r="P476" t="s">
        <v>55</v>
      </c>
      <c r="Q476">
        <v>572</v>
      </c>
      <c r="R476" s="1">
        <v>46129.729166666657</v>
      </c>
      <c r="S476" t="s">
        <v>1058</v>
      </c>
      <c r="T476" t="s">
        <v>1036</v>
      </c>
      <c r="U476">
        <v>574</v>
      </c>
      <c r="V476" t="s">
        <v>61</v>
      </c>
      <c r="W476">
        <v>13.4</v>
      </c>
      <c r="X476" t="s">
        <v>57</v>
      </c>
      <c r="Z476" t="s">
        <v>1058</v>
      </c>
      <c r="AA476" t="s">
        <v>401</v>
      </c>
      <c r="AE476">
        <v>1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1</v>
      </c>
      <c r="AM476">
        <v>0</v>
      </c>
      <c r="AN476">
        <v>0</v>
      </c>
      <c r="AO476">
        <v>0</v>
      </c>
      <c r="AP476">
        <v>0</v>
      </c>
    </row>
    <row r="477" spans="1:42" x14ac:dyDescent="0.25">
      <c r="A477">
        <v>574</v>
      </c>
      <c r="B477" t="s">
        <v>1061</v>
      </c>
      <c r="C477" t="s">
        <v>1057</v>
      </c>
      <c r="D477" t="s">
        <v>133</v>
      </c>
      <c r="E477" s="4">
        <v>1</v>
      </c>
      <c r="F477" t="s">
        <v>61</v>
      </c>
      <c r="G477" t="s">
        <v>61</v>
      </c>
      <c r="H477" s="3">
        <v>46128</v>
      </c>
      <c r="I477" s="3">
        <v>46128</v>
      </c>
      <c r="J477" t="s">
        <v>418</v>
      </c>
      <c r="K477" s="3">
        <v>46153</v>
      </c>
      <c r="L477" s="3">
        <v>46153</v>
      </c>
      <c r="M477" s="3">
        <v>46128</v>
      </c>
      <c r="N477" s="3">
        <v>46128</v>
      </c>
      <c r="O477" t="s">
        <v>148</v>
      </c>
      <c r="P477" t="s">
        <v>55</v>
      </c>
      <c r="Q477">
        <v>573</v>
      </c>
      <c r="R477" s="1">
        <v>46129.740972222222</v>
      </c>
      <c r="S477" t="s">
        <v>124</v>
      </c>
      <c r="T477" t="s">
        <v>1036</v>
      </c>
      <c r="V477" t="s">
        <v>61</v>
      </c>
      <c r="W477">
        <v>13.4</v>
      </c>
      <c r="X477" t="s">
        <v>57</v>
      </c>
      <c r="Z477" t="s">
        <v>124</v>
      </c>
      <c r="AA477" t="s">
        <v>93</v>
      </c>
      <c r="AE477">
        <v>1</v>
      </c>
      <c r="AF477">
        <v>0</v>
      </c>
      <c r="AG477">
        <v>0</v>
      </c>
      <c r="AH477">
        <v>0</v>
      </c>
      <c r="AI477">
        <v>1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0</v>
      </c>
      <c r="AP477">
        <v>0</v>
      </c>
    </row>
    <row r="478" spans="1:42" x14ac:dyDescent="0.25">
      <c r="A478">
        <v>575</v>
      </c>
      <c r="B478" t="s">
        <v>1062</v>
      </c>
      <c r="C478" t="s">
        <v>1036</v>
      </c>
      <c r="D478" t="s">
        <v>1063</v>
      </c>
      <c r="E478" s="4">
        <v>1</v>
      </c>
      <c r="F478" t="s">
        <v>730</v>
      </c>
      <c r="G478" t="s">
        <v>730</v>
      </c>
      <c r="H478" s="3">
        <v>46139</v>
      </c>
      <c r="I478" s="3">
        <v>46176</v>
      </c>
      <c r="J478" t="s">
        <v>188</v>
      </c>
      <c r="K478" s="3">
        <v>46153</v>
      </c>
      <c r="L478" s="3">
        <v>46139</v>
      </c>
      <c r="M478" s="3">
        <v>46176</v>
      </c>
      <c r="N478" s="3">
        <v>46176</v>
      </c>
      <c r="O478" t="s">
        <v>188</v>
      </c>
      <c r="P478" t="s">
        <v>55</v>
      </c>
      <c r="T478" t="s">
        <v>1036</v>
      </c>
      <c r="V478" t="s">
        <v>151</v>
      </c>
      <c r="W478">
        <v>18.239999999999998</v>
      </c>
      <c r="X478" t="s">
        <v>57</v>
      </c>
      <c r="AA478" t="s">
        <v>50</v>
      </c>
      <c r="AE478">
        <v>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</row>
    <row r="479" spans="1:42" x14ac:dyDescent="0.25">
      <c r="A479">
        <v>576</v>
      </c>
      <c r="B479" t="s">
        <v>1064</v>
      </c>
      <c r="C479" t="s">
        <v>1065</v>
      </c>
      <c r="D479" t="s">
        <v>117</v>
      </c>
      <c r="E479" s="4">
        <v>1</v>
      </c>
      <c r="F479" t="s">
        <v>1066</v>
      </c>
      <c r="G479" t="s">
        <v>1066</v>
      </c>
      <c r="H479" s="3">
        <v>46139</v>
      </c>
      <c r="I479" s="3">
        <v>46160</v>
      </c>
      <c r="J479" t="s">
        <v>188</v>
      </c>
      <c r="K479" s="3">
        <v>46146</v>
      </c>
      <c r="L479" s="3">
        <v>46139</v>
      </c>
      <c r="M479" s="3">
        <v>46160</v>
      </c>
      <c r="N479" s="3">
        <v>46160</v>
      </c>
      <c r="O479" t="s">
        <v>188</v>
      </c>
      <c r="P479" t="s">
        <v>55</v>
      </c>
      <c r="Q479">
        <v>4</v>
      </c>
      <c r="S479" t="s">
        <v>1058</v>
      </c>
      <c r="T479" t="s">
        <v>1036</v>
      </c>
      <c r="U479">
        <v>577</v>
      </c>
      <c r="V479" t="s">
        <v>138</v>
      </c>
      <c r="W479">
        <v>13.4</v>
      </c>
      <c r="X479" t="s">
        <v>57</v>
      </c>
      <c r="Z479" t="s">
        <v>1058</v>
      </c>
      <c r="AA479" t="s">
        <v>71</v>
      </c>
      <c r="AE479">
        <v>1</v>
      </c>
      <c r="AF479">
        <v>1</v>
      </c>
      <c r="AG479">
        <v>1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1</v>
      </c>
    </row>
    <row r="480" spans="1:42" x14ac:dyDescent="0.25">
      <c r="A480">
        <v>577</v>
      </c>
      <c r="B480" t="s">
        <v>1067</v>
      </c>
      <c r="C480" t="s">
        <v>1065</v>
      </c>
      <c r="D480" t="s">
        <v>121</v>
      </c>
      <c r="E480" s="4">
        <v>1</v>
      </c>
      <c r="F480" t="s">
        <v>138</v>
      </c>
      <c r="G480" t="s">
        <v>138</v>
      </c>
      <c r="H480" s="3">
        <v>46161</v>
      </c>
      <c r="I480" s="3">
        <v>46167</v>
      </c>
      <c r="J480" t="s">
        <v>183</v>
      </c>
      <c r="K480" s="3">
        <v>46149</v>
      </c>
      <c r="L480" s="3">
        <v>46147</v>
      </c>
      <c r="M480" s="3">
        <v>46167</v>
      </c>
      <c r="N480" s="3">
        <v>46167</v>
      </c>
      <c r="O480" t="s">
        <v>90</v>
      </c>
      <c r="P480" t="s">
        <v>55</v>
      </c>
      <c r="Q480">
        <v>576</v>
      </c>
      <c r="S480" t="s">
        <v>124</v>
      </c>
      <c r="T480" t="s">
        <v>1036</v>
      </c>
      <c r="U480">
        <v>578</v>
      </c>
      <c r="V480" t="s">
        <v>122</v>
      </c>
      <c r="W480">
        <v>13.4</v>
      </c>
      <c r="X480" t="s">
        <v>57</v>
      </c>
      <c r="Z480" t="s">
        <v>124</v>
      </c>
      <c r="AA480" t="s">
        <v>401</v>
      </c>
      <c r="AE480">
        <v>1</v>
      </c>
      <c r="AF480">
        <v>0</v>
      </c>
      <c r="AG480">
        <v>0</v>
      </c>
      <c r="AH480">
        <v>0</v>
      </c>
      <c r="AI480">
        <v>0</v>
      </c>
      <c r="AJ480">
        <v>1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</row>
    <row r="481" spans="1:42" x14ac:dyDescent="0.25">
      <c r="A481">
        <v>578</v>
      </c>
      <c r="B481" t="s">
        <v>1068</v>
      </c>
      <c r="C481" t="s">
        <v>1065</v>
      </c>
      <c r="D481" t="s">
        <v>126</v>
      </c>
      <c r="E481" s="4">
        <v>1</v>
      </c>
      <c r="F481" t="s">
        <v>175</v>
      </c>
      <c r="G481" t="s">
        <v>175</v>
      </c>
      <c r="H481" s="3">
        <v>46168</v>
      </c>
      <c r="I481" s="3">
        <v>46176</v>
      </c>
      <c r="J481" t="s">
        <v>403</v>
      </c>
      <c r="K481" s="3">
        <v>46150</v>
      </c>
      <c r="L481" s="3">
        <v>46150</v>
      </c>
      <c r="M481" s="3">
        <v>46176</v>
      </c>
      <c r="N481" s="3">
        <v>46176</v>
      </c>
      <c r="O481" t="s">
        <v>206</v>
      </c>
      <c r="P481" t="s">
        <v>55</v>
      </c>
      <c r="Q481">
        <v>577</v>
      </c>
      <c r="S481" t="s">
        <v>1058</v>
      </c>
      <c r="T481" t="s">
        <v>1036</v>
      </c>
      <c r="U481">
        <v>579</v>
      </c>
      <c r="V481" t="s">
        <v>61</v>
      </c>
      <c r="W481">
        <v>13.4</v>
      </c>
      <c r="X481" t="s">
        <v>57</v>
      </c>
      <c r="Z481" t="s">
        <v>1058</v>
      </c>
      <c r="AA481" t="s">
        <v>401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1</v>
      </c>
      <c r="AM481">
        <v>0</v>
      </c>
      <c r="AN481">
        <v>0</v>
      </c>
      <c r="AO481">
        <v>0</v>
      </c>
      <c r="AP481">
        <v>0</v>
      </c>
    </row>
    <row r="482" spans="1:42" x14ac:dyDescent="0.25">
      <c r="A482">
        <v>579</v>
      </c>
      <c r="B482" t="s">
        <v>1069</v>
      </c>
      <c r="C482" t="s">
        <v>1065</v>
      </c>
      <c r="D482" t="s">
        <v>133</v>
      </c>
      <c r="E482" s="4">
        <v>1</v>
      </c>
      <c r="F482" t="s">
        <v>63</v>
      </c>
      <c r="G482" t="s">
        <v>63</v>
      </c>
      <c r="H482" s="3">
        <v>46176</v>
      </c>
      <c r="I482" s="3">
        <v>46176</v>
      </c>
      <c r="J482" t="s">
        <v>418</v>
      </c>
      <c r="K482" s="3">
        <v>46153</v>
      </c>
      <c r="L482" s="3">
        <v>46153</v>
      </c>
      <c r="M482" s="3">
        <v>46176</v>
      </c>
      <c r="N482" s="3">
        <v>46176</v>
      </c>
      <c r="O482" t="s">
        <v>459</v>
      </c>
      <c r="P482" t="s">
        <v>55</v>
      </c>
      <c r="Q482">
        <v>578</v>
      </c>
      <c r="S482" t="s">
        <v>124</v>
      </c>
      <c r="T482" t="s">
        <v>1036</v>
      </c>
      <c r="V482" t="s">
        <v>61</v>
      </c>
      <c r="W482">
        <v>13.4</v>
      </c>
      <c r="X482" t="s">
        <v>57</v>
      </c>
      <c r="Z482" t="s">
        <v>124</v>
      </c>
      <c r="AA482" t="s">
        <v>93</v>
      </c>
      <c r="AE482">
        <v>1</v>
      </c>
      <c r="AF482">
        <v>0</v>
      </c>
      <c r="AG482">
        <v>0</v>
      </c>
      <c r="AH482">
        <v>0</v>
      </c>
      <c r="AI482">
        <v>1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0</v>
      </c>
      <c r="AP482">
        <v>0</v>
      </c>
    </row>
    <row r="483" spans="1:42" x14ac:dyDescent="0.25">
      <c r="A483">
        <v>580</v>
      </c>
      <c r="B483" t="s">
        <v>1070</v>
      </c>
      <c r="C483" t="s">
        <v>1036</v>
      </c>
      <c r="D483" t="s">
        <v>1071</v>
      </c>
      <c r="E483" s="4">
        <v>1</v>
      </c>
      <c r="F483" t="s">
        <v>214</v>
      </c>
      <c r="G483" t="s">
        <v>214</v>
      </c>
      <c r="H483" s="3">
        <v>46147</v>
      </c>
      <c r="I483" s="3">
        <v>46154</v>
      </c>
      <c r="J483" t="s">
        <v>188</v>
      </c>
      <c r="K483" s="3">
        <v>46153</v>
      </c>
      <c r="L483" s="3">
        <v>46139</v>
      </c>
      <c r="M483" s="3">
        <v>46154</v>
      </c>
      <c r="N483" s="3">
        <v>46154</v>
      </c>
      <c r="O483" t="s">
        <v>183</v>
      </c>
      <c r="P483" t="s">
        <v>55</v>
      </c>
      <c r="T483" t="s">
        <v>1036</v>
      </c>
      <c r="V483" t="s">
        <v>151</v>
      </c>
      <c r="W483">
        <v>18.239999999999998</v>
      </c>
      <c r="X483" t="s">
        <v>57</v>
      </c>
      <c r="AA483" t="s">
        <v>50</v>
      </c>
      <c r="AE483">
        <v>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</row>
    <row r="484" spans="1:42" x14ac:dyDescent="0.25">
      <c r="A484">
        <v>581</v>
      </c>
      <c r="B484" t="s">
        <v>1072</v>
      </c>
      <c r="C484" t="s">
        <v>1073</v>
      </c>
      <c r="D484" t="s">
        <v>117</v>
      </c>
      <c r="E484" s="4">
        <v>1</v>
      </c>
      <c r="F484" t="s">
        <v>63</v>
      </c>
      <c r="G484" t="s">
        <v>63</v>
      </c>
      <c r="H484" s="3">
        <v>46147</v>
      </c>
      <c r="I484" s="3">
        <v>46147</v>
      </c>
      <c r="J484" t="s">
        <v>188</v>
      </c>
      <c r="K484" s="3">
        <v>46146</v>
      </c>
      <c r="L484" s="3">
        <v>46139</v>
      </c>
      <c r="M484" s="3">
        <v>46147</v>
      </c>
      <c r="N484" s="3">
        <v>46147</v>
      </c>
      <c r="O484" t="s">
        <v>183</v>
      </c>
      <c r="P484" t="s">
        <v>55</v>
      </c>
      <c r="Q484">
        <v>4</v>
      </c>
      <c r="S484" t="s">
        <v>1058</v>
      </c>
      <c r="T484" t="s">
        <v>1036</v>
      </c>
      <c r="U484">
        <v>582</v>
      </c>
      <c r="V484" t="s">
        <v>138</v>
      </c>
      <c r="W484">
        <v>13.4</v>
      </c>
      <c r="X484" t="s">
        <v>57</v>
      </c>
      <c r="Z484" t="s">
        <v>1058</v>
      </c>
      <c r="AA484" t="s">
        <v>71</v>
      </c>
      <c r="AE484">
        <v>1</v>
      </c>
      <c r="AF484">
        <v>1</v>
      </c>
      <c r="AG484">
        <v>1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1</v>
      </c>
    </row>
    <row r="485" spans="1:42" x14ac:dyDescent="0.25">
      <c r="A485">
        <v>582</v>
      </c>
      <c r="B485" t="s">
        <v>1074</v>
      </c>
      <c r="C485" t="s">
        <v>1073</v>
      </c>
      <c r="D485" t="s">
        <v>121</v>
      </c>
      <c r="E485" s="4">
        <v>1</v>
      </c>
      <c r="F485" t="s">
        <v>122</v>
      </c>
      <c r="G485" t="s">
        <v>122</v>
      </c>
      <c r="H485" s="3">
        <v>46148</v>
      </c>
      <c r="I485" s="3">
        <v>46150</v>
      </c>
      <c r="J485" t="s">
        <v>183</v>
      </c>
      <c r="K485" s="3">
        <v>46149</v>
      </c>
      <c r="L485" s="3">
        <v>46147</v>
      </c>
      <c r="M485" s="3">
        <v>46150</v>
      </c>
      <c r="N485" s="3">
        <v>46150</v>
      </c>
      <c r="O485" t="s">
        <v>304</v>
      </c>
      <c r="P485" t="s">
        <v>55</v>
      </c>
      <c r="Q485">
        <v>581</v>
      </c>
      <c r="S485" t="s">
        <v>124</v>
      </c>
      <c r="T485" t="s">
        <v>1036</v>
      </c>
      <c r="U485">
        <v>583</v>
      </c>
      <c r="V485" t="s">
        <v>122</v>
      </c>
      <c r="W485">
        <v>13.4</v>
      </c>
      <c r="X485" t="s">
        <v>57</v>
      </c>
      <c r="Z485" t="s">
        <v>124</v>
      </c>
      <c r="AA485" t="s">
        <v>401</v>
      </c>
      <c r="AE485">
        <v>1</v>
      </c>
      <c r="AF485">
        <v>0</v>
      </c>
      <c r="AG485">
        <v>0</v>
      </c>
      <c r="AH485">
        <v>0</v>
      </c>
      <c r="AI485">
        <v>0</v>
      </c>
      <c r="AJ485">
        <v>1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</row>
    <row r="486" spans="1:42" x14ac:dyDescent="0.25">
      <c r="A486">
        <v>583</v>
      </c>
      <c r="B486" t="s">
        <v>1075</v>
      </c>
      <c r="C486" t="s">
        <v>1073</v>
      </c>
      <c r="D486" t="s">
        <v>126</v>
      </c>
      <c r="E486" s="4">
        <v>1</v>
      </c>
      <c r="F486" t="s">
        <v>539</v>
      </c>
      <c r="G486" t="s">
        <v>539</v>
      </c>
      <c r="H486" s="3">
        <v>46150</v>
      </c>
      <c r="I486" s="3">
        <v>46153</v>
      </c>
      <c r="J486" t="s">
        <v>403</v>
      </c>
      <c r="K486" s="3">
        <v>46150</v>
      </c>
      <c r="L486" s="3">
        <v>46150</v>
      </c>
      <c r="M486" s="3">
        <v>46153</v>
      </c>
      <c r="N486" s="3">
        <v>46153</v>
      </c>
      <c r="O486" t="s">
        <v>403</v>
      </c>
      <c r="P486" t="s">
        <v>55</v>
      </c>
      <c r="Q486">
        <v>582</v>
      </c>
      <c r="S486" t="s">
        <v>1058</v>
      </c>
      <c r="T486" t="s">
        <v>1036</v>
      </c>
      <c r="U486">
        <v>584</v>
      </c>
      <c r="V486" t="s">
        <v>61</v>
      </c>
      <c r="W486">
        <v>13.4</v>
      </c>
      <c r="X486" t="s">
        <v>57</v>
      </c>
      <c r="Z486" t="s">
        <v>1058</v>
      </c>
      <c r="AA486" t="s">
        <v>401</v>
      </c>
      <c r="AE486">
        <v>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1</v>
      </c>
      <c r="AM486">
        <v>0</v>
      </c>
      <c r="AN486">
        <v>0</v>
      </c>
      <c r="AO486">
        <v>0</v>
      </c>
      <c r="AP486">
        <v>0</v>
      </c>
    </row>
    <row r="487" spans="1:42" x14ac:dyDescent="0.25">
      <c r="A487">
        <v>584</v>
      </c>
      <c r="B487" t="s">
        <v>1076</v>
      </c>
      <c r="C487" t="s">
        <v>1073</v>
      </c>
      <c r="D487" t="s">
        <v>133</v>
      </c>
      <c r="E487" s="4">
        <v>1</v>
      </c>
      <c r="F487" t="s">
        <v>61</v>
      </c>
      <c r="G487" t="s">
        <v>61</v>
      </c>
      <c r="H487" s="3">
        <v>46153</v>
      </c>
      <c r="I487" s="3">
        <v>46154</v>
      </c>
      <c r="J487" t="s">
        <v>418</v>
      </c>
      <c r="K487" s="3">
        <v>46153</v>
      </c>
      <c r="L487" s="3">
        <v>46153</v>
      </c>
      <c r="M487" s="3">
        <v>46154</v>
      </c>
      <c r="N487" s="3">
        <v>46154</v>
      </c>
      <c r="O487" t="s">
        <v>418</v>
      </c>
      <c r="P487" t="s">
        <v>55</v>
      </c>
      <c r="Q487">
        <v>583</v>
      </c>
      <c r="S487" t="s">
        <v>124</v>
      </c>
      <c r="T487" t="s">
        <v>1036</v>
      </c>
      <c r="V487" t="s">
        <v>61</v>
      </c>
      <c r="W487">
        <v>13.4</v>
      </c>
      <c r="X487" t="s">
        <v>57</v>
      </c>
      <c r="Z487" t="s">
        <v>124</v>
      </c>
      <c r="AA487" t="s">
        <v>93</v>
      </c>
      <c r="AE487">
        <v>1</v>
      </c>
      <c r="AF487">
        <v>0</v>
      </c>
      <c r="AG487">
        <v>0</v>
      </c>
      <c r="AH487">
        <v>0</v>
      </c>
      <c r="AI487">
        <v>1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0</v>
      </c>
      <c r="AP487">
        <v>0</v>
      </c>
    </row>
    <row r="488" spans="1:42" x14ac:dyDescent="0.25">
      <c r="A488">
        <v>585</v>
      </c>
      <c r="B488" t="s">
        <v>1077</v>
      </c>
      <c r="C488" t="s">
        <v>1036</v>
      </c>
      <c r="D488" t="s">
        <v>1078</v>
      </c>
      <c r="E488" s="4">
        <v>1</v>
      </c>
      <c r="F488" t="s">
        <v>138</v>
      </c>
      <c r="G488" t="s">
        <v>138</v>
      </c>
      <c r="H488" s="3">
        <v>46148</v>
      </c>
      <c r="I488" s="3">
        <v>46154</v>
      </c>
      <c r="J488" t="s">
        <v>304</v>
      </c>
      <c r="K488" s="3">
        <v>46154</v>
      </c>
      <c r="L488" s="3">
        <v>46148</v>
      </c>
      <c r="M488" s="3">
        <v>46154</v>
      </c>
      <c r="N488" s="3">
        <v>46154</v>
      </c>
      <c r="O488" t="s">
        <v>304</v>
      </c>
      <c r="P488" t="s">
        <v>55</v>
      </c>
      <c r="T488" t="s">
        <v>1036</v>
      </c>
      <c r="V488" t="s">
        <v>151</v>
      </c>
      <c r="W488">
        <v>18.239999999999998</v>
      </c>
      <c r="X488" t="s">
        <v>57</v>
      </c>
      <c r="AA488" t="s">
        <v>50</v>
      </c>
      <c r="AB488" t="s">
        <v>94</v>
      </c>
      <c r="AE488">
        <v>1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</row>
    <row r="489" spans="1:42" x14ac:dyDescent="0.25">
      <c r="A489">
        <v>586</v>
      </c>
      <c r="B489" t="s">
        <v>1079</v>
      </c>
      <c r="C489" t="s">
        <v>1080</v>
      </c>
      <c r="D489" t="s">
        <v>117</v>
      </c>
      <c r="E489" s="4">
        <v>1</v>
      </c>
      <c r="F489" t="s">
        <v>122</v>
      </c>
      <c r="G489" t="s">
        <v>122</v>
      </c>
      <c r="H489" s="3">
        <v>46148</v>
      </c>
      <c r="I489" s="3">
        <v>46150</v>
      </c>
      <c r="J489" t="s">
        <v>304</v>
      </c>
      <c r="K489" s="3">
        <v>46150</v>
      </c>
      <c r="L489" s="3">
        <v>46148</v>
      </c>
      <c r="M489" s="3">
        <v>46150</v>
      </c>
      <c r="N489" s="3">
        <v>46150</v>
      </c>
      <c r="O489" t="s">
        <v>304</v>
      </c>
      <c r="P489" t="s">
        <v>55</v>
      </c>
      <c r="Q489">
        <v>4</v>
      </c>
      <c r="S489" t="s">
        <v>1058</v>
      </c>
      <c r="T489" t="s">
        <v>1036</v>
      </c>
      <c r="U489">
        <v>587</v>
      </c>
      <c r="V489" t="s">
        <v>138</v>
      </c>
      <c r="W489">
        <v>13.4</v>
      </c>
      <c r="X489" t="s">
        <v>57</v>
      </c>
      <c r="Z489" t="s">
        <v>1058</v>
      </c>
      <c r="AA489" t="s">
        <v>71</v>
      </c>
      <c r="AE489">
        <v>1</v>
      </c>
      <c r="AF489">
        <v>1</v>
      </c>
      <c r="AG489">
        <v>1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1</v>
      </c>
    </row>
    <row r="490" spans="1:42" x14ac:dyDescent="0.25">
      <c r="A490">
        <v>587</v>
      </c>
      <c r="B490" t="s">
        <v>1081</v>
      </c>
      <c r="C490" t="s">
        <v>1080</v>
      </c>
      <c r="D490" t="s">
        <v>121</v>
      </c>
      <c r="E490" s="4">
        <v>1</v>
      </c>
      <c r="F490" t="s">
        <v>127</v>
      </c>
      <c r="G490" t="s">
        <v>127</v>
      </c>
      <c r="H490" s="3">
        <v>46150</v>
      </c>
      <c r="I490" s="3">
        <v>46153</v>
      </c>
      <c r="J490" t="s">
        <v>403</v>
      </c>
      <c r="K490" s="3">
        <v>46153</v>
      </c>
      <c r="L490" s="3">
        <v>46150</v>
      </c>
      <c r="M490" s="3">
        <v>46153</v>
      </c>
      <c r="N490" s="3">
        <v>46153</v>
      </c>
      <c r="O490" t="s">
        <v>403</v>
      </c>
      <c r="P490" t="s">
        <v>55</v>
      </c>
      <c r="Q490">
        <v>586</v>
      </c>
      <c r="S490" t="s">
        <v>124</v>
      </c>
      <c r="T490" t="s">
        <v>1036</v>
      </c>
      <c r="U490">
        <v>588</v>
      </c>
      <c r="V490" t="s">
        <v>122</v>
      </c>
      <c r="W490">
        <v>13.4</v>
      </c>
      <c r="X490" t="s">
        <v>57</v>
      </c>
      <c r="Z490" t="s">
        <v>124</v>
      </c>
      <c r="AA490" t="s">
        <v>401</v>
      </c>
      <c r="AE490">
        <v>1</v>
      </c>
      <c r="AF490">
        <v>0</v>
      </c>
      <c r="AG490">
        <v>0</v>
      </c>
      <c r="AH490">
        <v>0</v>
      </c>
      <c r="AI490">
        <v>0</v>
      </c>
      <c r="AJ490">
        <v>1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</row>
    <row r="491" spans="1:42" x14ac:dyDescent="0.25">
      <c r="A491">
        <v>588</v>
      </c>
      <c r="B491" t="s">
        <v>1082</v>
      </c>
      <c r="C491" t="s">
        <v>1080</v>
      </c>
      <c r="D491" t="s">
        <v>126</v>
      </c>
      <c r="E491" s="4">
        <v>1</v>
      </c>
      <c r="F491" t="s">
        <v>63</v>
      </c>
      <c r="G491" t="s">
        <v>63</v>
      </c>
      <c r="H491" s="3">
        <v>46153</v>
      </c>
      <c r="I491" s="3">
        <v>46153</v>
      </c>
      <c r="J491" t="s">
        <v>418</v>
      </c>
      <c r="K491" s="3">
        <v>46153</v>
      </c>
      <c r="L491" s="3">
        <v>46153</v>
      </c>
      <c r="M491" s="3">
        <v>46153</v>
      </c>
      <c r="N491" s="3">
        <v>46153</v>
      </c>
      <c r="O491" t="s">
        <v>418</v>
      </c>
      <c r="P491" t="s">
        <v>55</v>
      </c>
      <c r="Q491">
        <v>587</v>
      </c>
      <c r="S491" t="s">
        <v>1058</v>
      </c>
      <c r="T491" t="s">
        <v>1036</v>
      </c>
      <c r="U491">
        <v>589</v>
      </c>
      <c r="V491" t="s">
        <v>61</v>
      </c>
      <c r="W491">
        <v>13.4</v>
      </c>
      <c r="X491" t="s">
        <v>57</v>
      </c>
      <c r="Z491" t="s">
        <v>1058</v>
      </c>
      <c r="AA491" t="s">
        <v>401</v>
      </c>
      <c r="AE491">
        <v>1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1</v>
      </c>
      <c r="AM491">
        <v>0</v>
      </c>
      <c r="AN491">
        <v>0</v>
      </c>
      <c r="AO491">
        <v>0</v>
      </c>
      <c r="AP491">
        <v>0</v>
      </c>
    </row>
    <row r="492" spans="1:42" x14ac:dyDescent="0.25">
      <c r="A492">
        <v>589</v>
      </c>
      <c r="B492" t="s">
        <v>1083</v>
      </c>
      <c r="C492" t="s">
        <v>1080</v>
      </c>
      <c r="D492" t="s">
        <v>133</v>
      </c>
      <c r="E492" s="4">
        <v>1</v>
      </c>
      <c r="F492" t="s">
        <v>61</v>
      </c>
      <c r="G492" t="s">
        <v>61</v>
      </c>
      <c r="H492" s="3">
        <v>46153</v>
      </c>
      <c r="I492" s="3">
        <v>46154</v>
      </c>
      <c r="J492" t="s">
        <v>418</v>
      </c>
      <c r="K492" s="3">
        <v>46154</v>
      </c>
      <c r="L492" s="3">
        <v>46153</v>
      </c>
      <c r="M492" s="3">
        <v>46154</v>
      </c>
      <c r="N492" s="3">
        <v>46154</v>
      </c>
      <c r="O492" t="s">
        <v>418</v>
      </c>
      <c r="P492" t="s">
        <v>55</v>
      </c>
      <c r="Q492">
        <v>588</v>
      </c>
      <c r="S492" t="s">
        <v>124</v>
      </c>
      <c r="T492" t="s">
        <v>1036</v>
      </c>
      <c r="V492" t="s">
        <v>61</v>
      </c>
      <c r="W492">
        <v>13.4</v>
      </c>
      <c r="X492" t="s">
        <v>57</v>
      </c>
      <c r="Z492" t="s">
        <v>124</v>
      </c>
      <c r="AA492" t="s">
        <v>93</v>
      </c>
      <c r="AE492">
        <v>1</v>
      </c>
      <c r="AF492">
        <v>0</v>
      </c>
      <c r="AG492">
        <v>0</v>
      </c>
      <c r="AH492">
        <v>0</v>
      </c>
      <c r="AI492">
        <v>1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0</v>
      </c>
      <c r="AP492">
        <v>0</v>
      </c>
    </row>
    <row r="493" spans="1:42" x14ac:dyDescent="0.25">
      <c r="A493">
        <v>590</v>
      </c>
      <c r="B493" t="s">
        <v>1084</v>
      </c>
      <c r="C493" t="s">
        <v>1036</v>
      </c>
      <c r="D493" t="s">
        <v>1085</v>
      </c>
      <c r="E493" s="4">
        <v>1</v>
      </c>
      <c r="F493" t="s">
        <v>214</v>
      </c>
      <c r="G493" t="s">
        <v>214</v>
      </c>
      <c r="H493" s="3">
        <v>46164</v>
      </c>
      <c r="I493" s="3">
        <v>46171</v>
      </c>
      <c r="J493" t="s">
        <v>471</v>
      </c>
      <c r="K493" s="3">
        <v>46171</v>
      </c>
      <c r="L493" s="3">
        <v>46164</v>
      </c>
      <c r="M493" s="3">
        <v>46171</v>
      </c>
      <c r="N493" s="3">
        <v>46171</v>
      </c>
      <c r="O493" t="s">
        <v>471</v>
      </c>
      <c r="P493" t="s">
        <v>55</v>
      </c>
      <c r="T493" t="s">
        <v>1036</v>
      </c>
      <c r="V493" t="s">
        <v>151</v>
      </c>
      <c r="W493">
        <v>18.239999999999998</v>
      </c>
      <c r="X493" t="s">
        <v>57</v>
      </c>
      <c r="AA493" t="s">
        <v>50</v>
      </c>
      <c r="AB493" t="s">
        <v>94</v>
      </c>
      <c r="AE493">
        <v>1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</row>
    <row r="494" spans="1:42" x14ac:dyDescent="0.25">
      <c r="A494">
        <v>591</v>
      </c>
      <c r="B494" t="s">
        <v>1086</v>
      </c>
      <c r="C494" t="s">
        <v>1087</v>
      </c>
      <c r="D494" t="s">
        <v>117</v>
      </c>
      <c r="E494" s="4">
        <v>1</v>
      </c>
      <c r="F494" t="s">
        <v>122</v>
      </c>
      <c r="G494" t="s">
        <v>122</v>
      </c>
      <c r="H494" s="3">
        <v>46164</v>
      </c>
      <c r="I494" s="3">
        <v>46168</v>
      </c>
      <c r="J494" t="s">
        <v>471</v>
      </c>
      <c r="K494" s="3">
        <v>46168</v>
      </c>
      <c r="L494" s="3">
        <v>46164</v>
      </c>
      <c r="M494" s="3">
        <v>46168</v>
      </c>
      <c r="N494" s="3">
        <v>46168</v>
      </c>
      <c r="O494" t="s">
        <v>471</v>
      </c>
      <c r="P494" t="s">
        <v>55</v>
      </c>
      <c r="Q494">
        <v>4</v>
      </c>
      <c r="S494" t="s">
        <v>1058</v>
      </c>
      <c r="T494" t="s">
        <v>1036</v>
      </c>
      <c r="U494">
        <v>592</v>
      </c>
      <c r="V494" t="s">
        <v>138</v>
      </c>
      <c r="W494">
        <v>13.4</v>
      </c>
      <c r="X494" t="s">
        <v>57</v>
      </c>
      <c r="Z494" t="s">
        <v>1058</v>
      </c>
      <c r="AA494" t="s">
        <v>71</v>
      </c>
      <c r="AE494">
        <v>1</v>
      </c>
      <c r="AF494">
        <v>1</v>
      </c>
      <c r="AG494">
        <v>1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1</v>
      </c>
    </row>
    <row r="495" spans="1:42" x14ac:dyDescent="0.25">
      <c r="A495">
        <v>592</v>
      </c>
      <c r="B495" t="s">
        <v>1088</v>
      </c>
      <c r="C495" t="s">
        <v>1087</v>
      </c>
      <c r="D495" t="s">
        <v>121</v>
      </c>
      <c r="E495" s="4">
        <v>1</v>
      </c>
      <c r="F495" t="s">
        <v>63</v>
      </c>
      <c r="G495" t="s">
        <v>63</v>
      </c>
      <c r="H495" s="3">
        <v>46168</v>
      </c>
      <c r="I495" s="3">
        <v>46168</v>
      </c>
      <c r="J495" t="s">
        <v>206</v>
      </c>
      <c r="K495" s="3">
        <v>46168</v>
      </c>
      <c r="L495" s="3">
        <v>46168</v>
      </c>
      <c r="M495" s="3">
        <v>46168</v>
      </c>
      <c r="N495" s="3">
        <v>46168</v>
      </c>
      <c r="O495" t="s">
        <v>206</v>
      </c>
      <c r="P495" t="s">
        <v>55</v>
      </c>
      <c r="Q495">
        <v>591</v>
      </c>
      <c r="S495" t="s">
        <v>124</v>
      </c>
      <c r="T495" t="s">
        <v>1036</v>
      </c>
      <c r="U495">
        <v>593</v>
      </c>
      <c r="V495" t="s">
        <v>122</v>
      </c>
      <c r="W495">
        <v>13.4</v>
      </c>
      <c r="X495" t="s">
        <v>57</v>
      </c>
      <c r="Z495" t="s">
        <v>124</v>
      </c>
      <c r="AA495" t="s">
        <v>401</v>
      </c>
      <c r="AE495">
        <v>1</v>
      </c>
      <c r="AF495">
        <v>0</v>
      </c>
      <c r="AG495">
        <v>0</v>
      </c>
      <c r="AH495">
        <v>0</v>
      </c>
      <c r="AI495">
        <v>0</v>
      </c>
      <c r="AJ495">
        <v>1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</row>
    <row r="496" spans="1:42" x14ac:dyDescent="0.25">
      <c r="A496">
        <v>593</v>
      </c>
      <c r="B496" t="s">
        <v>1089</v>
      </c>
      <c r="C496" t="s">
        <v>1087</v>
      </c>
      <c r="D496" t="s">
        <v>126</v>
      </c>
      <c r="E496" s="4">
        <v>1</v>
      </c>
      <c r="F496" t="s">
        <v>61</v>
      </c>
      <c r="G496" t="s">
        <v>61</v>
      </c>
      <c r="H496" s="3">
        <v>46168</v>
      </c>
      <c r="I496" s="3">
        <v>46169</v>
      </c>
      <c r="J496" t="s">
        <v>206</v>
      </c>
      <c r="K496" s="3">
        <v>46169</v>
      </c>
      <c r="L496" s="3">
        <v>46168</v>
      </c>
      <c r="M496" s="3">
        <v>46169</v>
      </c>
      <c r="N496" s="3">
        <v>46169</v>
      </c>
      <c r="O496" t="s">
        <v>206</v>
      </c>
      <c r="P496" t="s">
        <v>55</v>
      </c>
      <c r="Q496">
        <v>592</v>
      </c>
      <c r="S496" t="s">
        <v>1058</v>
      </c>
      <c r="T496" t="s">
        <v>1036</v>
      </c>
      <c r="U496">
        <v>594</v>
      </c>
      <c r="V496" t="s">
        <v>61</v>
      </c>
      <c r="W496">
        <v>13.4</v>
      </c>
      <c r="X496" t="s">
        <v>57</v>
      </c>
      <c r="Z496" t="s">
        <v>1058</v>
      </c>
      <c r="AA496" t="s">
        <v>401</v>
      </c>
      <c r="AE496">
        <v>1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1</v>
      </c>
      <c r="AM496">
        <v>0</v>
      </c>
      <c r="AN496">
        <v>0</v>
      </c>
      <c r="AO496">
        <v>0</v>
      </c>
      <c r="AP496">
        <v>0</v>
      </c>
    </row>
    <row r="497" spans="1:42" x14ac:dyDescent="0.25">
      <c r="A497">
        <v>594</v>
      </c>
      <c r="B497" t="s">
        <v>1090</v>
      </c>
      <c r="C497" t="s">
        <v>1087</v>
      </c>
      <c r="D497" t="s">
        <v>133</v>
      </c>
      <c r="E497" s="4">
        <v>1</v>
      </c>
      <c r="F497" t="s">
        <v>127</v>
      </c>
      <c r="G497" t="s">
        <v>127</v>
      </c>
      <c r="H497" s="3">
        <v>46169</v>
      </c>
      <c r="I497" s="3">
        <v>46171</v>
      </c>
      <c r="J497" t="s">
        <v>97</v>
      </c>
      <c r="K497" s="3">
        <v>46171</v>
      </c>
      <c r="L497" s="3">
        <v>46169</v>
      </c>
      <c r="M497" s="3">
        <v>46171</v>
      </c>
      <c r="N497" s="3">
        <v>46171</v>
      </c>
      <c r="O497" t="s">
        <v>97</v>
      </c>
      <c r="P497" t="s">
        <v>55</v>
      </c>
      <c r="Q497">
        <v>593</v>
      </c>
      <c r="S497" t="s">
        <v>124</v>
      </c>
      <c r="T497" t="s">
        <v>1036</v>
      </c>
      <c r="V497" t="s">
        <v>61</v>
      </c>
      <c r="W497">
        <v>13.4</v>
      </c>
      <c r="X497" t="s">
        <v>57</v>
      </c>
      <c r="Z497" t="s">
        <v>124</v>
      </c>
      <c r="AA497" t="s">
        <v>93</v>
      </c>
      <c r="AE497">
        <v>1</v>
      </c>
      <c r="AF497">
        <v>0</v>
      </c>
      <c r="AG497">
        <v>0</v>
      </c>
      <c r="AH497">
        <v>0</v>
      </c>
      <c r="AI497">
        <v>1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0</v>
      </c>
      <c r="AP497">
        <v>0</v>
      </c>
    </row>
    <row r="498" spans="1:42" x14ac:dyDescent="0.25">
      <c r="A498">
        <v>595</v>
      </c>
      <c r="B498" t="s">
        <v>1091</v>
      </c>
      <c r="C498" t="s">
        <v>1036</v>
      </c>
      <c r="D498" t="s">
        <v>1092</v>
      </c>
      <c r="E498" s="4">
        <v>1</v>
      </c>
      <c r="F498" t="s">
        <v>114</v>
      </c>
      <c r="G498" t="s">
        <v>114</v>
      </c>
      <c r="H498" s="3">
        <v>46176</v>
      </c>
      <c r="I498" s="3">
        <v>46190</v>
      </c>
      <c r="J498" t="s">
        <v>448</v>
      </c>
      <c r="K498" s="3">
        <v>46184</v>
      </c>
      <c r="L498" s="3">
        <v>46170</v>
      </c>
      <c r="M498" s="3">
        <v>46190</v>
      </c>
      <c r="N498" s="3">
        <v>46190</v>
      </c>
      <c r="O498" t="s">
        <v>459</v>
      </c>
      <c r="P498" t="s">
        <v>55</v>
      </c>
      <c r="T498" t="s">
        <v>1036</v>
      </c>
      <c r="V498" t="s">
        <v>114</v>
      </c>
      <c r="W498">
        <v>30.72</v>
      </c>
      <c r="X498" t="s">
        <v>57</v>
      </c>
      <c r="AA498" t="s">
        <v>50</v>
      </c>
      <c r="AE498">
        <v>1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</row>
    <row r="499" spans="1:42" x14ac:dyDescent="0.25">
      <c r="A499">
        <v>596</v>
      </c>
      <c r="B499" t="s">
        <v>1093</v>
      </c>
      <c r="C499" t="s">
        <v>1094</v>
      </c>
      <c r="D499" t="s">
        <v>117</v>
      </c>
      <c r="E499" s="4">
        <v>1</v>
      </c>
      <c r="F499" t="s">
        <v>101</v>
      </c>
      <c r="G499" t="s">
        <v>101</v>
      </c>
      <c r="H499" s="3">
        <v>46176</v>
      </c>
      <c r="I499" s="3">
        <v>46183</v>
      </c>
      <c r="J499" t="s">
        <v>448</v>
      </c>
      <c r="K499" s="3">
        <v>46175</v>
      </c>
      <c r="L499" s="3">
        <v>46170</v>
      </c>
      <c r="M499" s="3">
        <v>46183</v>
      </c>
      <c r="N499" s="3">
        <v>46183</v>
      </c>
      <c r="O499" t="s">
        <v>459</v>
      </c>
      <c r="P499" t="s">
        <v>55</v>
      </c>
      <c r="Q499">
        <v>541</v>
      </c>
      <c r="S499" t="s">
        <v>1042</v>
      </c>
      <c r="T499" t="s">
        <v>1036</v>
      </c>
      <c r="U499">
        <v>597</v>
      </c>
      <c r="V499" t="s">
        <v>101</v>
      </c>
      <c r="W499">
        <v>13.4</v>
      </c>
      <c r="X499" t="s">
        <v>57</v>
      </c>
      <c r="Z499" t="s">
        <v>1042</v>
      </c>
      <c r="AA499" t="s">
        <v>77</v>
      </c>
      <c r="AE499">
        <v>1</v>
      </c>
      <c r="AF499">
        <v>1</v>
      </c>
      <c r="AG499">
        <v>1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1</v>
      </c>
    </row>
    <row r="500" spans="1:42" x14ac:dyDescent="0.25">
      <c r="A500">
        <v>597</v>
      </c>
      <c r="B500" t="s">
        <v>1095</v>
      </c>
      <c r="C500" t="s">
        <v>1094</v>
      </c>
      <c r="D500" t="s">
        <v>121</v>
      </c>
      <c r="E500" s="4">
        <v>1</v>
      </c>
      <c r="F500" t="s">
        <v>122</v>
      </c>
      <c r="G500" t="s">
        <v>122</v>
      </c>
      <c r="H500" s="3">
        <v>46184</v>
      </c>
      <c r="I500" s="3">
        <v>46188</v>
      </c>
      <c r="J500" t="s">
        <v>459</v>
      </c>
      <c r="K500" s="3">
        <v>46182</v>
      </c>
      <c r="L500" s="3">
        <v>46176</v>
      </c>
      <c r="M500" s="3">
        <v>46188</v>
      </c>
      <c r="N500" s="3">
        <v>46188</v>
      </c>
      <c r="O500" t="s">
        <v>476</v>
      </c>
      <c r="P500" t="s">
        <v>55</v>
      </c>
      <c r="Q500">
        <v>596</v>
      </c>
      <c r="S500" t="s">
        <v>124</v>
      </c>
      <c r="T500" t="s">
        <v>1036</v>
      </c>
      <c r="U500">
        <v>598</v>
      </c>
      <c r="V500" t="s">
        <v>122</v>
      </c>
      <c r="W500">
        <v>13.4</v>
      </c>
      <c r="X500" t="s">
        <v>57</v>
      </c>
      <c r="Z500" t="s">
        <v>124</v>
      </c>
      <c r="AA500" t="s">
        <v>460</v>
      </c>
      <c r="AE500">
        <v>1</v>
      </c>
      <c r="AF500">
        <v>0</v>
      </c>
      <c r="AG500">
        <v>0</v>
      </c>
      <c r="AH500">
        <v>0</v>
      </c>
      <c r="AI500">
        <v>0</v>
      </c>
      <c r="AJ500">
        <v>1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</row>
    <row r="501" spans="1:42" x14ac:dyDescent="0.25">
      <c r="A501">
        <v>598</v>
      </c>
      <c r="B501" t="s">
        <v>1096</v>
      </c>
      <c r="C501" t="s">
        <v>1094</v>
      </c>
      <c r="D501" t="s">
        <v>126</v>
      </c>
      <c r="E501" s="4">
        <v>1</v>
      </c>
      <c r="F501" t="s">
        <v>61</v>
      </c>
      <c r="G501" t="s">
        <v>61</v>
      </c>
      <c r="H501" s="3">
        <v>46189</v>
      </c>
      <c r="I501" s="3">
        <v>46189</v>
      </c>
      <c r="J501" t="s">
        <v>592</v>
      </c>
      <c r="K501" s="3">
        <v>46183</v>
      </c>
      <c r="L501" s="3">
        <v>46183</v>
      </c>
      <c r="M501" s="3">
        <v>46189</v>
      </c>
      <c r="N501" s="3">
        <v>46189</v>
      </c>
      <c r="O501" t="s">
        <v>576</v>
      </c>
      <c r="P501" t="s">
        <v>55</v>
      </c>
      <c r="Q501">
        <v>597</v>
      </c>
      <c r="S501" t="s">
        <v>1042</v>
      </c>
      <c r="T501" t="s">
        <v>1036</v>
      </c>
      <c r="U501">
        <v>599</v>
      </c>
      <c r="V501" t="s">
        <v>61</v>
      </c>
      <c r="W501">
        <v>13.4</v>
      </c>
      <c r="X501" t="s">
        <v>57</v>
      </c>
      <c r="Z501" t="s">
        <v>1042</v>
      </c>
      <c r="AA501" t="s">
        <v>462</v>
      </c>
      <c r="AE501">
        <v>1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1</v>
      </c>
      <c r="AM501">
        <v>0</v>
      </c>
      <c r="AN501">
        <v>0</v>
      </c>
      <c r="AO501">
        <v>0</v>
      </c>
      <c r="AP501">
        <v>0</v>
      </c>
    </row>
    <row r="502" spans="1:42" x14ac:dyDescent="0.25">
      <c r="A502">
        <v>599</v>
      </c>
      <c r="B502" t="s">
        <v>1097</v>
      </c>
      <c r="C502" t="s">
        <v>1094</v>
      </c>
      <c r="D502" t="s">
        <v>133</v>
      </c>
      <c r="E502" s="4">
        <v>1</v>
      </c>
      <c r="F502" t="s">
        <v>61</v>
      </c>
      <c r="G502" t="s">
        <v>61</v>
      </c>
      <c r="H502" s="3">
        <v>46190</v>
      </c>
      <c r="I502" s="3">
        <v>46190</v>
      </c>
      <c r="J502" t="s">
        <v>476</v>
      </c>
      <c r="K502" s="3">
        <v>46184</v>
      </c>
      <c r="L502" s="3">
        <v>46184</v>
      </c>
      <c r="M502" s="3">
        <v>46190</v>
      </c>
      <c r="N502" s="3">
        <v>46190</v>
      </c>
      <c r="O502" t="s">
        <v>75</v>
      </c>
      <c r="P502" t="s">
        <v>55</v>
      </c>
      <c r="Q502">
        <v>598</v>
      </c>
      <c r="S502" t="s">
        <v>124</v>
      </c>
      <c r="T502" t="s">
        <v>1036</v>
      </c>
      <c r="V502" t="s">
        <v>61</v>
      </c>
      <c r="W502">
        <v>13.4</v>
      </c>
      <c r="X502" t="s">
        <v>57</v>
      </c>
      <c r="Z502" t="s">
        <v>124</v>
      </c>
      <c r="AA502" t="s">
        <v>462</v>
      </c>
      <c r="AE502">
        <v>1</v>
      </c>
      <c r="AF502">
        <v>0</v>
      </c>
      <c r="AG502">
        <v>0</v>
      </c>
      <c r="AH502">
        <v>0</v>
      </c>
      <c r="AI502">
        <v>1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0</v>
      </c>
      <c r="AP502">
        <v>0</v>
      </c>
    </row>
    <row r="503" spans="1:42" x14ac:dyDescent="0.25">
      <c r="A503">
        <v>600</v>
      </c>
      <c r="B503" t="s">
        <v>1098</v>
      </c>
      <c r="C503" t="s">
        <v>1036</v>
      </c>
      <c r="D503" t="s">
        <v>1099</v>
      </c>
      <c r="E503" s="4">
        <v>1</v>
      </c>
      <c r="F503" t="s">
        <v>114</v>
      </c>
      <c r="G503" t="s">
        <v>114</v>
      </c>
      <c r="H503" s="3">
        <v>46176</v>
      </c>
      <c r="I503" s="3">
        <v>46190</v>
      </c>
      <c r="J503" t="s">
        <v>448</v>
      </c>
      <c r="K503" s="3">
        <v>46184</v>
      </c>
      <c r="L503" s="3">
        <v>46170</v>
      </c>
      <c r="M503" s="3">
        <v>46190</v>
      </c>
      <c r="N503" s="3">
        <v>46190</v>
      </c>
      <c r="O503" t="s">
        <v>459</v>
      </c>
      <c r="P503" t="s">
        <v>55</v>
      </c>
      <c r="T503" t="s">
        <v>1036</v>
      </c>
      <c r="V503" t="s">
        <v>114</v>
      </c>
      <c r="W503">
        <v>30.72</v>
      </c>
      <c r="X503" t="s">
        <v>57</v>
      </c>
      <c r="AA503" t="s">
        <v>50</v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</row>
    <row r="504" spans="1:42" x14ac:dyDescent="0.25">
      <c r="A504">
        <v>601</v>
      </c>
      <c r="B504" t="s">
        <v>1100</v>
      </c>
      <c r="C504" t="s">
        <v>1101</v>
      </c>
      <c r="D504" t="s">
        <v>117</v>
      </c>
      <c r="E504" s="4">
        <v>1</v>
      </c>
      <c r="F504" t="s">
        <v>101</v>
      </c>
      <c r="G504" t="s">
        <v>101</v>
      </c>
      <c r="H504" s="3">
        <v>46176</v>
      </c>
      <c r="I504" s="3">
        <v>46183</v>
      </c>
      <c r="J504" t="s">
        <v>448</v>
      </c>
      <c r="K504" s="3">
        <v>46175</v>
      </c>
      <c r="L504" s="3">
        <v>46170</v>
      </c>
      <c r="M504" s="3">
        <v>46183</v>
      </c>
      <c r="N504" s="3">
        <v>46183</v>
      </c>
      <c r="O504" t="s">
        <v>459</v>
      </c>
      <c r="P504" t="s">
        <v>55</v>
      </c>
      <c r="Q504">
        <v>541</v>
      </c>
      <c r="S504" t="s">
        <v>1042</v>
      </c>
      <c r="T504" t="s">
        <v>1036</v>
      </c>
      <c r="U504">
        <v>602</v>
      </c>
      <c r="V504" t="s">
        <v>101</v>
      </c>
      <c r="W504">
        <v>13.4</v>
      </c>
      <c r="X504" t="s">
        <v>57</v>
      </c>
      <c r="Z504" t="s">
        <v>1042</v>
      </c>
      <c r="AA504" t="s">
        <v>77</v>
      </c>
      <c r="AE504">
        <v>1</v>
      </c>
      <c r="AF504">
        <v>1</v>
      </c>
      <c r="AG504">
        <v>1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1</v>
      </c>
    </row>
    <row r="505" spans="1:42" x14ac:dyDescent="0.25">
      <c r="A505">
        <v>602</v>
      </c>
      <c r="B505" t="s">
        <v>1102</v>
      </c>
      <c r="C505" t="s">
        <v>1101</v>
      </c>
      <c r="D505" t="s">
        <v>121</v>
      </c>
      <c r="E505" s="4">
        <v>1</v>
      </c>
      <c r="F505" t="s">
        <v>122</v>
      </c>
      <c r="G505" t="s">
        <v>122</v>
      </c>
      <c r="H505" s="3">
        <v>46184</v>
      </c>
      <c r="I505" s="3">
        <v>46188</v>
      </c>
      <c r="J505" t="s">
        <v>459</v>
      </c>
      <c r="K505" s="3">
        <v>46182</v>
      </c>
      <c r="L505" s="3">
        <v>46176</v>
      </c>
      <c r="M505" s="3">
        <v>46188</v>
      </c>
      <c r="N505" s="3">
        <v>46188</v>
      </c>
      <c r="O505" t="s">
        <v>476</v>
      </c>
      <c r="P505" t="s">
        <v>55</v>
      </c>
      <c r="Q505">
        <v>601</v>
      </c>
      <c r="S505" t="s">
        <v>124</v>
      </c>
      <c r="T505" t="s">
        <v>1036</v>
      </c>
      <c r="U505">
        <v>603</v>
      </c>
      <c r="V505" t="s">
        <v>122</v>
      </c>
      <c r="W505">
        <v>13.4</v>
      </c>
      <c r="X505" t="s">
        <v>57</v>
      </c>
      <c r="Z505" t="s">
        <v>124</v>
      </c>
      <c r="AA505" t="s">
        <v>460</v>
      </c>
      <c r="AE505">
        <v>1</v>
      </c>
      <c r="AF505">
        <v>0</v>
      </c>
      <c r="AG505">
        <v>0</v>
      </c>
      <c r="AH505">
        <v>0</v>
      </c>
      <c r="AI505">
        <v>0</v>
      </c>
      <c r="AJ505">
        <v>1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</row>
    <row r="506" spans="1:42" x14ac:dyDescent="0.25">
      <c r="A506">
        <v>603</v>
      </c>
      <c r="B506" t="s">
        <v>1103</v>
      </c>
      <c r="C506" t="s">
        <v>1101</v>
      </c>
      <c r="D506" t="s">
        <v>126</v>
      </c>
      <c r="E506" s="4">
        <v>1</v>
      </c>
      <c r="F506" t="s">
        <v>61</v>
      </c>
      <c r="G506" t="s">
        <v>61</v>
      </c>
      <c r="H506" s="3">
        <v>46189</v>
      </c>
      <c r="I506" s="3">
        <v>46189</v>
      </c>
      <c r="J506" t="s">
        <v>592</v>
      </c>
      <c r="K506" s="3">
        <v>46183</v>
      </c>
      <c r="L506" s="3">
        <v>46183</v>
      </c>
      <c r="M506" s="3">
        <v>46189</v>
      </c>
      <c r="N506" s="3">
        <v>46189</v>
      </c>
      <c r="O506" t="s">
        <v>576</v>
      </c>
      <c r="P506" t="s">
        <v>55</v>
      </c>
      <c r="Q506">
        <v>602</v>
      </c>
      <c r="S506" t="s">
        <v>1042</v>
      </c>
      <c r="T506" t="s">
        <v>1036</v>
      </c>
      <c r="U506">
        <v>604</v>
      </c>
      <c r="V506" t="s">
        <v>61</v>
      </c>
      <c r="W506">
        <v>13.4</v>
      </c>
      <c r="X506" t="s">
        <v>57</v>
      </c>
      <c r="Z506" t="s">
        <v>1042</v>
      </c>
      <c r="AA506" t="s">
        <v>462</v>
      </c>
      <c r="AE506">
        <v>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1</v>
      </c>
      <c r="AM506">
        <v>0</v>
      </c>
      <c r="AN506">
        <v>0</v>
      </c>
      <c r="AO506">
        <v>0</v>
      </c>
      <c r="AP506">
        <v>0</v>
      </c>
    </row>
    <row r="507" spans="1:42" x14ac:dyDescent="0.25">
      <c r="A507">
        <v>604</v>
      </c>
      <c r="B507" t="s">
        <v>1104</v>
      </c>
      <c r="C507" t="s">
        <v>1101</v>
      </c>
      <c r="D507" t="s">
        <v>133</v>
      </c>
      <c r="E507" s="4">
        <v>1</v>
      </c>
      <c r="F507" t="s">
        <v>61</v>
      </c>
      <c r="G507" t="s">
        <v>61</v>
      </c>
      <c r="H507" s="3">
        <v>46190</v>
      </c>
      <c r="I507" s="3">
        <v>46190</v>
      </c>
      <c r="J507" t="s">
        <v>476</v>
      </c>
      <c r="K507" s="3">
        <v>46184</v>
      </c>
      <c r="L507" s="3">
        <v>46184</v>
      </c>
      <c r="M507" s="3">
        <v>46190</v>
      </c>
      <c r="N507" s="3">
        <v>46190</v>
      </c>
      <c r="O507" t="s">
        <v>75</v>
      </c>
      <c r="P507" t="s">
        <v>55</v>
      </c>
      <c r="Q507">
        <v>603</v>
      </c>
      <c r="S507" t="s">
        <v>124</v>
      </c>
      <c r="T507" t="s">
        <v>1036</v>
      </c>
      <c r="V507" t="s">
        <v>61</v>
      </c>
      <c r="W507">
        <v>13.4</v>
      </c>
      <c r="X507" t="s">
        <v>57</v>
      </c>
      <c r="Z507" t="s">
        <v>124</v>
      </c>
      <c r="AA507" t="s">
        <v>462</v>
      </c>
      <c r="AE507">
        <v>1</v>
      </c>
      <c r="AF507">
        <v>0</v>
      </c>
      <c r="AG507">
        <v>0</v>
      </c>
      <c r="AH507">
        <v>0</v>
      </c>
      <c r="AI507">
        <v>1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0</v>
      </c>
      <c r="AP507">
        <v>0</v>
      </c>
    </row>
    <row r="508" spans="1:42" x14ac:dyDescent="0.25">
      <c r="A508">
        <v>610</v>
      </c>
      <c r="B508" t="s">
        <v>1105</v>
      </c>
      <c r="C508" t="s">
        <v>52</v>
      </c>
      <c r="D508" t="s">
        <v>1106</v>
      </c>
      <c r="E508" s="4">
        <v>1</v>
      </c>
      <c r="F508" t="s">
        <v>1107</v>
      </c>
      <c r="G508" t="s">
        <v>1107</v>
      </c>
      <c r="H508" s="3">
        <v>46104</v>
      </c>
      <c r="I508" s="3">
        <v>46203</v>
      </c>
      <c r="J508" t="s">
        <v>123</v>
      </c>
      <c r="K508" s="3">
        <v>46199</v>
      </c>
      <c r="L508" s="3">
        <v>46104</v>
      </c>
      <c r="M508" s="3">
        <v>46203</v>
      </c>
      <c r="N508" s="3">
        <v>46203</v>
      </c>
      <c r="O508" t="s">
        <v>123</v>
      </c>
      <c r="P508" t="s">
        <v>55</v>
      </c>
      <c r="V508" t="s">
        <v>423</v>
      </c>
      <c r="W508">
        <v>538.04</v>
      </c>
      <c r="X508" t="s">
        <v>57</v>
      </c>
      <c r="AA508" t="s">
        <v>50</v>
      </c>
      <c r="AE508">
        <v>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</row>
    <row r="509" spans="1:42" x14ac:dyDescent="0.25">
      <c r="A509">
        <v>611</v>
      </c>
      <c r="B509" t="s">
        <v>1108</v>
      </c>
      <c r="C509" t="s">
        <v>1109</v>
      </c>
      <c r="D509" t="s">
        <v>1110</v>
      </c>
      <c r="E509" s="4">
        <v>1</v>
      </c>
      <c r="F509" t="s">
        <v>101</v>
      </c>
      <c r="G509" t="s">
        <v>101</v>
      </c>
      <c r="H509" s="3">
        <v>46104</v>
      </c>
      <c r="I509" s="3">
        <v>46107</v>
      </c>
      <c r="J509" t="s">
        <v>123</v>
      </c>
      <c r="K509" s="3">
        <v>46107</v>
      </c>
      <c r="L509" s="3">
        <v>46104</v>
      </c>
      <c r="M509" s="3">
        <v>46107</v>
      </c>
      <c r="N509" s="3">
        <v>46107</v>
      </c>
      <c r="O509" t="s">
        <v>123</v>
      </c>
      <c r="P509" t="s">
        <v>55</v>
      </c>
      <c r="T509" t="s">
        <v>1109</v>
      </c>
      <c r="V509" t="s">
        <v>101</v>
      </c>
      <c r="W509">
        <v>24.48</v>
      </c>
      <c r="X509" t="s">
        <v>57</v>
      </c>
      <c r="AA509" t="s">
        <v>50</v>
      </c>
      <c r="AE509">
        <v>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</row>
    <row r="510" spans="1:42" x14ac:dyDescent="0.25">
      <c r="A510">
        <v>612</v>
      </c>
      <c r="B510" t="s">
        <v>1111</v>
      </c>
      <c r="C510" t="s">
        <v>1112</v>
      </c>
      <c r="D510" t="s">
        <v>117</v>
      </c>
      <c r="E510" s="4">
        <v>1</v>
      </c>
      <c r="F510" t="s">
        <v>61</v>
      </c>
      <c r="G510" t="s">
        <v>61</v>
      </c>
      <c r="H510" s="3">
        <v>46104</v>
      </c>
      <c r="I510" s="3">
        <v>46104</v>
      </c>
      <c r="J510" t="s">
        <v>123</v>
      </c>
      <c r="K510" s="3">
        <v>46104</v>
      </c>
      <c r="L510" s="3">
        <v>46104</v>
      </c>
      <c r="M510" s="3">
        <v>46104</v>
      </c>
      <c r="N510" s="3">
        <v>46104</v>
      </c>
      <c r="O510" t="s">
        <v>123</v>
      </c>
      <c r="P510" t="s">
        <v>55</v>
      </c>
      <c r="Q510">
        <v>12</v>
      </c>
      <c r="S510" t="s">
        <v>1042</v>
      </c>
      <c r="T510" t="s">
        <v>1109</v>
      </c>
      <c r="U510">
        <v>613</v>
      </c>
      <c r="V510" t="s">
        <v>61</v>
      </c>
      <c r="W510">
        <v>13.4</v>
      </c>
      <c r="X510" t="s">
        <v>57</v>
      </c>
      <c r="Z510" t="s">
        <v>1042</v>
      </c>
      <c r="AA510" t="s">
        <v>64</v>
      </c>
      <c r="AE510">
        <v>1</v>
      </c>
      <c r="AF510">
        <v>1</v>
      </c>
      <c r="AG510">
        <v>1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1</v>
      </c>
    </row>
    <row r="511" spans="1:42" x14ac:dyDescent="0.25">
      <c r="A511">
        <v>613</v>
      </c>
      <c r="B511" t="s">
        <v>1113</v>
      </c>
      <c r="C511" t="s">
        <v>1112</v>
      </c>
      <c r="D511" t="s">
        <v>121</v>
      </c>
      <c r="E511" s="4">
        <v>1</v>
      </c>
      <c r="F511" t="s">
        <v>61</v>
      </c>
      <c r="G511" t="s">
        <v>61</v>
      </c>
      <c r="H511" s="3">
        <v>46105</v>
      </c>
      <c r="I511" s="3">
        <v>46105</v>
      </c>
      <c r="J511" t="s">
        <v>272</v>
      </c>
      <c r="K511" s="3">
        <v>46105</v>
      </c>
      <c r="L511" s="3">
        <v>46105</v>
      </c>
      <c r="M511" s="3">
        <v>46105</v>
      </c>
      <c r="N511" s="3">
        <v>46105</v>
      </c>
      <c r="O511" t="s">
        <v>272</v>
      </c>
      <c r="P511" t="s">
        <v>55</v>
      </c>
      <c r="Q511">
        <v>612</v>
      </c>
      <c r="R511" s="1">
        <v>46122.354166666657</v>
      </c>
      <c r="S511" t="s">
        <v>124</v>
      </c>
      <c r="T511" t="s">
        <v>1109</v>
      </c>
      <c r="U511">
        <v>614</v>
      </c>
      <c r="V511" t="s">
        <v>61</v>
      </c>
      <c r="W511">
        <v>13.4</v>
      </c>
      <c r="X511" t="s">
        <v>57</v>
      </c>
      <c r="Z511" t="s">
        <v>124</v>
      </c>
      <c r="AA511" t="s">
        <v>64</v>
      </c>
      <c r="AE511">
        <v>1</v>
      </c>
      <c r="AF511">
        <v>0</v>
      </c>
      <c r="AG511">
        <v>0</v>
      </c>
      <c r="AH511">
        <v>0</v>
      </c>
      <c r="AI511">
        <v>0</v>
      </c>
      <c r="AJ511">
        <v>1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</row>
    <row r="512" spans="1:42" x14ac:dyDescent="0.25">
      <c r="A512">
        <v>614</v>
      </c>
      <c r="B512" t="s">
        <v>1114</v>
      </c>
      <c r="C512" t="s">
        <v>1112</v>
      </c>
      <c r="D512" t="s">
        <v>126</v>
      </c>
      <c r="E512" s="4">
        <v>1</v>
      </c>
      <c r="F512" t="s">
        <v>61</v>
      </c>
      <c r="G512" t="s">
        <v>61</v>
      </c>
      <c r="H512" s="3">
        <v>46106</v>
      </c>
      <c r="I512" s="3">
        <v>46106</v>
      </c>
      <c r="J512" t="s">
        <v>431</v>
      </c>
      <c r="K512" s="3">
        <v>46106</v>
      </c>
      <c r="L512" s="3">
        <v>46106</v>
      </c>
      <c r="M512" s="3">
        <v>46106</v>
      </c>
      <c r="N512" s="3">
        <v>46106</v>
      </c>
      <c r="O512" t="s">
        <v>431</v>
      </c>
      <c r="P512" t="s">
        <v>55</v>
      </c>
      <c r="Q512">
        <v>613</v>
      </c>
      <c r="R512" s="1">
        <v>46129.746527777781</v>
      </c>
      <c r="S512" t="s">
        <v>1042</v>
      </c>
      <c r="T512" t="s">
        <v>1109</v>
      </c>
      <c r="U512">
        <v>615</v>
      </c>
      <c r="V512" t="s">
        <v>61</v>
      </c>
      <c r="W512">
        <v>13.4</v>
      </c>
      <c r="X512" t="s">
        <v>57</v>
      </c>
      <c r="Z512" t="s">
        <v>1042</v>
      </c>
      <c r="AA512" t="s">
        <v>64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1</v>
      </c>
      <c r="AM512">
        <v>0</v>
      </c>
      <c r="AN512">
        <v>0</v>
      </c>
      <c r="AO512">
        <v>0</v>
      </c>
      <c r="AP512">
        <v>0</v>
      </c>
    </row>
    <row r="513" spans="1:42" x14ac:dyDescent="0.25">
      <c r="A513">
        <v>615</v>
      </c>
      <c r="B513" t="s">
        <v>1115</v>
      </c>
      <c r="C513" t="s">
        <v>1112</v>
      </c>
      <c r="D513" t="s">
        <v>133</v>
      </c>
      <c r="E513" s="4">
        <v>1</v>
      </c>
      <c r="F513" t="s">
        <v>61</v>
      </c>
      <c r="G513" t="s">
        <v>61</v>
      </c>
      <c r="H513" s="3">
        <v>46107</v>
      </c>
      <c r="I513" s="3">
        <v>46107</v>
      </c>
      <c r="J513" t="s">
        <v>129</v>
      </c>
      <c r="K513" s="3">
        <v>46107</v>
      </c>
      <c r="L513" s="3">
        <v>46107</v>
      </c>
      <c r="M513" s="3">
        <v>46107</v>
      </c>
      <c r="N513" s="3">
        <v>46107</v>
      </c>
      <c r="O513" t="s">
        <v>129</v>
      </c>
      <c r="P513" t="s">
        <v>55</v>
      </c>
      <c r="Q513">
        <v>614</v>
      </c>
      <c r="R513" s="1">
        <v>46129.746527777781</v>
      </c>
      <c r="S513" t="s">
        <v>124</v>
      </c>
      <c r="T513" t="s">
        <v>1109</v>
      </c>
      <c r="V513" t="s">
        <v>61</v>
      </c>
      <c r="W513">
        <v>13.4</v>
      </c>
      <c r="X513" t="s">
        <v>57</v>
      </c>
      <c r="Z513" t="s">
        <v>124</v>
      </c>
      <c r="AA513" t="s">
        <v>64</v>
      </c>
      <c r="AE513">
        <v>1</v>
      </c>
      <c r="AF513">
        <v>0</v>
      </c>
      <c r="AG513">
        <v>0</v>
      </c>
      <c r="AH513">
        <v>0</v>
      </c>
      <c r="AI513">
        <v>1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0</v>
      </c>
      <c r="AP513">
        <v>0</v>
      </c>
    </row>
    <row r="514" spans="1:42" x14ac:dyDescent="0.25">
      <c r="A514">
        <v>616</v>
      </c>
      <c r="B514" t="s">
        <v>1116</v>
      </c>
      <c r="C514" t="s">
        <v>1109</v>
      </c>
      <c r="D514" t="s">
        <v>1117</v>
      </c>
      <c r="E514" s="4">
        <v>1</v>
      </c>
      <c r="F514" t="s">
        <v>438</v>
      </c>
      <c r="G514" t="s">
        <v>438</v>
      </c>
      <c r="H514" s="3">
        <v>46134</v>
      </c>
      <c r="I514" s="3">
        <v>46191</v>
      </c>
      <c r="J514" t="s">
        <v>406</v>
      </c>
      <c r="K514" s="3">
        <v>46176</v>
      </c>
      <c r="L514" s="3">
        <v>46156</v>
      </c>
      <c r="M514" s="3">
        <v>46191</v>
      </c>
      <c r="N514" s="3">
        <v>46191</v>
      </c>
      <c r="O514" t="s">
        <v>337</v>
      </c>
      <c r="P514" t="s">
        <v>55</v>
      </c>
      <c r="T514" t="s">
        <v>1109</v>
      </c>
      <c r="U514" t="s">
        <v>1118</v>
      </c>
      <c r="V514" t="s">
        <v>330</v>
      </c>
      <c r="W514">
        <v>43.2</v>
      </c>
      <c r="X514" t="s">
        <v>57</v>
      </c>
      <c r="AA514" t="s">
        <v>50</v>
      </c>
      <c r="AE514">
        <v>1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</row>
    <row r="515" spans="1:42" x14ac:dyDescent="0.25">
      <c r="A515">
        <v>617</v>
      </c>
      <c r="B515" t="s">
        <v>1119</v>
      </c>
      <c r="C515" t="s">
        <v>1120</v>
      </c>
      <c r="D515" t="s">
        <v>117</v>
      </c>
      <c r="E515" s="4">
        <v>1</v>
      </c>
      <c r="F515" t="s">
        <v>840</v>
      </c>
      <c r="G515" t="s">
        <v>840</v>
      </c>
      <c r="H515" s="3">
        <v>46134</v>
      </c>
      <c r="I515" s="3">
        <v>46183</v>
      </c>
      <c r="J515" t="s">
        <v>406</v>
      </c>
      <c r="K515" s="3">
        <v>46169</v>
      </c>
      <c r="L515" s="3">
        <v>46156</v>
      </c>
      <c r="M515" s="3">
        <v>46183</v>
      </c>
      <c r="N515" s="3">
        <v>46183</v>
      </c>
      <c r="O515" t="s">
        <v>337</v>
      </c>
      <c r="P515" t="s">
        <v>55</v>
      </c>
      <c r="Q515" t="s">
        <v>1121</v>
      </c>
      <c r="S515" t="s">
        <v>1058</v>
      </c>
      <c r="T515" t="s">
        <v>1109</v>
      </c>
      <c r="U515" t="s">
        <v>1122</v>
      </c>
      <c r="V515" t="s">
        <v>151</v>
      </c>
      <c r="W515">
        <v>13.4</v>
      </c>
      <c r="X515" t="s">
        <v>57</v>
      </c>
      <c r="Z515" t="s">
        <v>1058</v>
      </c>
      <c r="AA515" t="s">
        <v>93</v>
      </c>
      <c r="AE515">
        <v>1</v>
      </c>
      <c r="AF515">
        <v>1</v>
      </c>
      <c r="AG515">
        <v>1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1</v>
      </c>
    </row>
    <row r="516" spans="1:42" x14ac:dyDescent="0.25">
      <c r="A516">
        <v>618</v>
      </c>
      <c r="B516" t="s">
        <v>1123</v>
      </c>
      <c r="C516" t="s">
        <v>1120</v>
      </c>
      <c r="D516" t="s">
        <v>121</v>
      </c>
      <c r="E516" s="4">
        <v>1</v>
      </c>
      <c r="F516" t="s">
        <v>127</v>
      </c>
      <c r="G516" t="s">
        <v>127</v>
      </c>
      <c r="H516" s="3">
        <v>46184</v>
      </c>
      <c r="I516" s="3">
        <v>46185</v>
      </c>
      <c r="J516" t="s">
        <v>448</v>
      </c>
      <c r="K516" s="3">
        <v>46174</v>
      </c>
      <c r="L516" s="3">
        <v>46170</v>
      </c>
      <c r="M516" s="3">
        <v>46185</v>
      </c>
      <c r="N516" s="3">
        <v>46185</v>
      </c>
      <c r="O516" t="s">
        <v>476</v>
      </c>
      <c r="P516" t="s">
        <v>55</v>
      </c>
      <c r="Q516">
        <v>617</v>
      </c>
      <c r="S516" t="s">
        <v>124</v>
      </c>
      <c r="T516" t="s">
        <v>1109</v>
      </c>
      <c r="U516">
        <v>619</v>
      </c>
      <c r="V516" t="s">
        <v>122</v>
      </c>
      <c r="W516">
        <v>13.4</v>
      </c>
      <c r="X516" t="s">
        <v>57</v>
      </c>
      <c r="Z516" t="s">
        <v>124</v>
      </c>
      <c r="AA516" t="s">
        <v>77</v>
      </c>
      <c r="AE516">
        <v>1</v>
      </c>
      <c r="AF516">
        <v>0</v>
      </c>
      <c r="AG516">
        <v>0</v>
      </c>
      <c r="AH516">
        <v>0</v>
      </c>
      <c r="AI516">
        <v>0</v>
      </c>
      <c r="AJ516">
        <v>1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</row>
    <row r="517" spans="1:42" x14ac:dyDescent="0.25">
      <c r="A517">
        <v>619</v>
      </c>
      <c r="B517" t="s">
        <v>1124</v>
      </c>
      <c r="C517" t="s">
        <v>1120</v>
      </c>
      <c r="D517" t="s">
        <v>126</v>
      </c>
      <c r="E517" s="4">
        <v>1</v>
      </c>
      <c r="F517" t="s">
        <v>1125</v>
      </c>
      <c r="G517" t="s">
        <v>1125</v>
      </c>
      <c r="H517" s="3">
        <v>46188</v>
      </c>
      <c r="I517" s="3">
        <v>46189</v>
      </c>
      <c r="J517" t="s">
        <v>472</v>
      </c>
      <c r="K517" s="3">
        <v>46175</v>
      </c>
      <c r="L517" s="3">
        <v>46175</v>
      </c>
      <c r="M517" s="3">
        <v>46189</v>
      </c>
      <c r="N517" s="3">
        <v>46189</v>
      </c>
      <c r="O517" t="s">
        <v>595</v>
      </c>
      <c r="P517" t="s">
        <v>55</v>
      </c>
      <c r="Q517">
        <v>618</v>
      </c>
      <c r="S517" t="s">
        <v>1058</v>
      </c>
      <c r="T517" t="s">
        <v>1109</v>
      </c>
      <c r="U517">
        <v>620</v>
      </c>
      <c r="V517" t="s">
        <v>61</v>
      </c>
      <c r="W517">
        <v>13.4</v>
      </c>
      <c r="X517" t="s">
        <v>57</v>
      </c>
      <c r="Z517" t="s">
        <v>1058</v>
      </c>
      <c r="AA517" t="s">
        <v>460</v>
      </c>
      <c r="AE517">
        <v>1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1</v>
      </c>
      <c r="AM517">
        <v>0</v>
      </c>
      <c r="AN517">
        <v>0</v>
      </c>
      <c r="AO517">
        <v>0</v>
      </c>
      <c r="AP517">
        <v>0</v>
      </c>
    </row>
    <row r="518" spans="1:42" x14ac:dyDescent="0.25">
      <c r="A518">
        <v>620</v>
      </c>
      <c r="B518" t="s">
        <v>1126</v>
      </c>
      <c r="C518" t="s">
        <v>1120</v>
      </c>
      <c r="D518" t="s">
        <v>133</v>
      </c>
      <c r="E518" s="4">
        <v>1</v>
      </c>
      <c r="F518" t="s">
        <v>1125</v>
      </c>
      <c r="G518" t="s">
        <v>1125</v>
      </c>
      <c r="H518" s="3">
        <v>46190</v>
      </c>
      <c r="I518" s="3">
        <v>46191</v>
      </c>
      <c r="J518" t="s">
        <v>459</v>
      </c>
      <c r="K518" s="3">
        <v>46176</v>
      </c>
      <c r="L518" s="3">
        <v>46176</v>
      </c>
      <c r="M518" s="3">
        <v>46191</v>
      </c>
      <c r="N518" s="3">
        <v>46191</v>
      </c>
      <c r="O518" t="s">
        <v>75</v>
      </c>
      <c r="P518" t="s">
        <v>55</v>
      </c>
      <c r="Q518">
        <v>619</v>
      </c>
      <c r="S518" t="s">
        <v>124</v>
      </c>
      <c r="T518" t="s">
        <v>1109</v>
      </c>
      <c r="U518" t="s">
        <v>1127</v>
      </c>
      <c r="V518" t="s">
        <v>61</v>
      </c>
      <c r="W518">
        <v>13.4</v>
      </c>
      <c r="X518" t="s">
        <v>57</v>
      </c>
      <c r="Z518" t="s">
        <v>124</v>
      </c>
      <c r="AA518" t="s">
        <v>460</v>
      </c>
      <c r="AE518">
        <v>1</v>
      </c>
      <c r="AF518">
        <v>0</v>
      </c>
      <c r="AG518">
        <v>0</v>
      </c>
      <c r="AH518">
        <v>0</v>
      </c>
      <c r="AI518">
        <v>1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0</v>
      </c>
      <c r="AP518">
        <v>0</v>
      </c>
    </row>
    <row r="519" spans="1:42" x14ac:dyDescent="0.25">
      <c r="A519">
        <v>621</v>
      </c>
      <c r="B519" t="s">
        <v>1128</v>
      </c>
      <c r="C519" t="s">
        <v>1109</v>
      </c>
      <c r="D519" t="s">
        <v>1129</v>
      </c>
      <c r="E519" s="4">
        <v>1</v>
      </c>
      <c r="F519" t="s">
        <v>138</v>
      </c>
      <c r="G519" t="s">
        <v>138</v>
      </c>
      <c r="H519" s="3">
        <v>46195</v>
      </c>
      <c r="I519" s="3">
        <v>46199</v>
      </c>
      <c r="J519" t="s">
        <v>592</v>
      </c>
      <c r="K519" s="3">
        <v>46188</v>
      </c>
      <c r="L519" s="3">
        <v>46183</v>
      </c>
      <c r="M519" s="3">
        <v>46199</v>
      </c>
      <c r="N519" s="3">
        <v>46199</v>
      </c>
      <c r="O519" t="s">
        <v>219</v>
      </c>
      <c r="P519" t="s">
        <v>55</v>
      </c>
      <c r="T519" t="s">
        <v>1109</v>
      </c>
      <c r="V519" t="s">
        <v>101</v>
      </c>
      <c r="W519">
        <v>24.48</v>
      </c>
      <c r="X519" t="s">
        <v>57</v>
      </c>
      <c r="AA519" t="s">
        <v>50</v>
      </c>
      <c r="AE519">
        <v>1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</row>
    <row r="520" spans="1:42" x14ac:dyDescent="0.25">
      <c r="A520">
        <v>622</v>
      </c>
      <c r="B520" t="s">
        <v>1130</v>
      </c>
      <c r="C520" t="s">
        <v>1131</v>
      </c>
      <c r="D520" t="s">
        <v>117</v>
      </c>
      <c r="E520" s="4">
        <v>1</v>
      </c>
      <c r="F520" t="s">
        <v>61</v>
      </c>
      <c r="G520" t="s">
        <v>61</v>
      </c>
      <c r="H520" s="3">
        <v>46195</v>
      </c>
      <c r="I520" s="3">
        <v>46195</v>
      </c>
      <c r="J520" t="s">
        <v>592</v>
      </c>
      <c r="K520" s="3">
        <v>46183</v>
      </c>
      <c r="L520" s="3">
        <v>46183</v>
      </c>
      <c r="M520" s="3">
        <v>46195</v>
      </c>
      <c r="N520" s="3">
        <v>46195</v>
      </c>
      <c r="O520" t="s">
        <v>219</v>
      </c>
      <c r="P520" t="s">
        <v>55</v>
      </c>
      <c r="Q520">
        <v>632</v>
      </c>
      <c r="S520" t="s">
        <v>1042</v>
      </c>
      <c r="T520" t="s">
        <v>1109</v>
      </c>
      <c r="U520">
        <v>623</v>
      </c>
      <c r="V520" t="s">
        <v>61</v>
      </c>
      <c r="W520">
        <v>13.4</v>
      </c>
      <c r="X520" t="s">
        <v>57</v>
      </c>
      <c r="Z520" t="s">
        <v>1042</v>
      </c>
      <c r="AA520" t="s">
        <v>462</v>
      </c>
      <c r="AE520">
        <v>1</v>
      </c>
      <c r="AF520">
        <v>1</v>
      </c>
      <c r="AG520">
        <v>1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1</v>
      </c>
    </row>
    <row r="521" spans="1:42" x14ac:dyDescent="0.25">
      <c r="A521">
        <v>623</v>
      </c>
      <c r="B521" t="s">
        <v>1132</v>
      </c>
      <c r="C521" t="s">
        <v>1131</v>
      </c>
      <c r="D521" t="s">
        <v>121</v>
      </c>
      <c r="E521" s="4">
        <v>1</v>
      </c>
      <c r="F521" t="s">
        <v>61</v>
      </c>
      <c r="G521" t="s">
        <v>61</v>
      </c>
      <c r="H521" s="3">
        <v>46196</v>
      </c>
      <c r="I521" s="3">
        <v>46196</v>
      </c>
      <c r="J521" t="s">
        <v>476</v>
      </c>
      <c r="K521" s="3">
        <v>46184</v>
      </c>
      <c r="L521" s="3">
        <v>46184</v>
      </c>
      <c r="M521" s="3">
        <v>46196</v>
      </c>
      <c r="N521" s="3">
        <v>46196</v>
      </c>
      <c r="O521" t="s">
        <v>212</v>
      </c>
      <c r="P521" t="s">
        <v>55</v>
      </c>
      <c r="Q521">
        <v>622</v>
      </c>
      <c r="S521" t="s">
        <v>124</v>
      </c>
      <c r="T521" t="s">
        <v>1109</v>
      </c>
      <c r="U521">
        <v>624</v>
      </c>
      <c r="V521" t="s">
        <v>61</v>
      </c>
      <c r="W521">
        <v>13.4</v>
      </c>
      <c r="X521" t="s">
        <v>57</v>
      </c>
      <c r="Z521" t="s">
        <v>124</v>
      </c>
      <c r="AA521" t="s">
        <v>462</v>
      </c>
      <c r="AE521">
        <v>1</v>
      </c>
      <c r="AF521">
        <v>0</v>
      </c>
      <c r="AG521">
        <v>0</v>
      </c>
      <c r="AH521">
        <v>0</v>
      </c>
      <c r="AI521">
        <v>0</v>
      </c>
      <c r="AJ521">
        <v>1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</row>
    <row r="522" spans="1:42" x14ac:dyDescent="0.25">
      <c r="A522">
        <v>624</v>
      </c>
      <c r="B522" t="s">
        <v>1133</v>
      </c>
      <c r="C522" t="s">
        <v>1131</v>
      </c>
      <c r="D522" t="s">
        <v>126</v>
      </c>
      <c r="E522" s="4">
        <v>1</v>
      </c>
      <c r="F522" t="s">
        <v>61</v>
      </c>
      <c r="G522" t="s">
        <v>61</v>
      </c>
      <c r="H522" s="3">
        <v>46197</v>
      </c>
      <c r="I522" s="3">
        <v>46197</v>
      </c>
      <c r="J522" t="s">
        <v>571</v>
      </c>
      <c r="K522" s="3">
        <v>46185</v>
      </c>
      <c r="L522" s="3">
        <v>46185</v>
      </c>
      <c r="M522" s="3">
        <v>46197</v>
      </c>
      <c r="N522" s="3">
        <v>46197</v>
      </c>
      <c r="O522" t="s">
        <v>207</v>
      </c>
      <c r="P522" t="s">
        <v>55</v>
      </c>
      <c r="Q522">
        <v>623</v>
      </c>
      <c r="S522" t="s">
        <v>1042</v>
      </c>
      <c r="T522" t="s">
        <v>1109</v>
      </c>
      <c r="U522">
        <v>625</v>
      </c>
      <c r="V522" t="s">
        <v>61</v>
      </c>
      <c r="W522">
        <v>13.4</v>
      </c>
      <c r="X522" t="s">
        <v>57</v>
      </c>
      <c r="Z522" t="s">
        <v>1042</v>
      </c>
      <c r="AA522" t="s">
        <v>462</v>
      </c>
      <c r="AE522">
        <v>1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1</v>
      </c>
      <c r="AM522">
        <v>0</v>
      </c>
      <c r="AN522">
        <v>0</v>
      </c>
      <c r="AO522">
        <v>0</v>
      </c>
      <c r="AP522">
        <v>0</v>
      </c>
    </row>
    <row r="523" spans="1:42" x14ac:dyDescent="0.25">
      <c r="A523">
        <v>625</v>
      </c>
      <c r="B523" t="s">
        <v>1134</v>
      </c>
      <c r="C523" t="s">
        <v>1131</v>
      </c>
      <c r="D523" t="s">
        <v>133</v>
      </c>
      <c r="E523" s="4">
        <v>1</v>
      </c>
      <c r="F523" t="s">
        <v>61</v>
      </c>
      <c r="G523" t="s">
        <v>61</v>
      </c>
      <c r="H523" s="3">
        <v>46199</v>
      </c>
      <c r="I523" s="3">
        <v>46199</v>
      </c>
      <c r="J523" t="s">
        <v>595</v>
      </c>
      <c r="K523" s="3">
        <v>46188</v>
      </c>
      <c r="L523" s="3">
        <v>46188</v>
      </c>
      <c r="M523" s="3">
        <v>46199</v>
      </c>
      <c r="N523" s="3">
        <v>46199</v>
      </c>
      <c r="O523" t="s">
        <v>134</v>
      </c>
      <c r="P523" t="s">
        <v>55</v>
      </c>
      <c r="Q523">
        <v>624</v>
      </c>
      <c r="S523" t="s">
        <v>124</v>
      </c>
      <c r="T523" t="s">
        <v>1109</v>
      </c>
      <c r="V523" t="s">
        <v>61</v>
      </c>
      <c r="W523">
        <v>13.4</v>
      </c>
      <c r="X523" t="s">
        <v>57</v>
      </c>
      <c r="Z523" t="s">
        <v>124</v>
      </c>
      <c r="AA523" t="s">
        <v>217</v>
      </c>
      <c r="AE523">
        <v>1</v>
      </c>
      <c r="AF523">
        <v>0</v>
      </c>
      <c r="AG523">
        <v>0</v>
      </c>
      <c r="AH523">
        <v>0</v>
      </c>
      <c r="AI523">
        <v>1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0</v>
      </c>
      <c r="AP523">
        <v>0</v>
      </c>
    </row>
    <row r="524" spans="1:42" x14ac:dyDescent="0.25">
      <c r="A524">
        <v>631</v>
      </c>
      <c r="B524" t="s">
        <v>1135</v>
      </c>
      <c r="C524" t="s">
        <v>1109</v>
      </c>
      <c r="D524" t="s">
        <v>1136</v>
      </c>
      <c r="E524" s="4">
        <v>1</v>
      </c>
      <c r="F524" t="s">
        <v>210</v>
      </c>
      <c r="G524" t="s">
        <v>210</v>
      </c>
      <c r="H524" s="3">
        <v>46192</v>
      </c>
      <c r="I524" s="3">
        <v>46203</v>
      </c>
      <c r="J524" t="s">
        <v>201</v>
      </c>
      <c r="K524" s="3">
        <v>46188</v>
      </c>
      <c r="L524" s="3">
        <v>46181</v>
      </c>
      <c r="M524" s="3">
        <v>46203</v>
      </c>
      <c r="N524" s="3">
        <v>46203</v>
      </c>
      <c r="O524" t="s">
        <v>211</v>
      </c>
      <c r="P524" t="s">
        <v>55</v>
      </c>
      <c r="T524" t="s">
        <v>1109</v>
      </c>
      <c r="V524" t="s">
        <v>214</v>
      </c>
      <c r="W524">
        <v>30.72</v>
      </c>
      <c r="X524" t="s">
        <v>57</v>
      </c>
      <c r="AA524" t="s">
        <v>50</v>
      </c>
      <c r="AE524">
        <v>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</row>
    <row r="525" spans="1:42" x14ac:dyDescent="0.25">
      <c r="A525">
        <v>632</v>
      </c>
      <c r="B525" t="s">
        <v>1137</v>
      </c>
      <c r="C525" t="s">
        <v>1138</v>
      </c>
      <c r="D525" t="s">
        <v>117</v>
      </c>
      <c r="E525" s="4">
        <v>1</v>
      </c>
      <c r="F525" t="s">
        <v>61</v>
      </c>
      <c r="G525" t="s">
        <v>61</v>
      </c>
      <c r="H525" s="3">
        <v>46192</v>
      </c>
      <c r="I525" s="3">
        <v>46192</v>
      </c>
      <c r="J525" t="s">
        <v>201</v>
      </c>
      <c r="K525" s="3">
        <v>46181</v>
      </c>
      <c r="L525" s="3">
        <v>46181</v>
      </c>
      <c r="M525" s="3">
        <v>46192</v>
      </c>
      <c r="N525" s="3">
        <v>46192</v>
      </c>
      <c r="O525" t="s">
        <v>211</v>
      </c>
      <c r="P525" t="s">
        <v>55</v>
      </c>
      <c r="Q525">
        <v>616</v>
      </c>
      <c r="S525" t="s">
        <v>1042</v>
      </c>
      <c r="T525" t="s">
        <v>1109</v>
      </c>
      <c r="U525" t="s">
        <v>1139</v>
      </c>
      <c r="V525" t="s">
        <v>61</v>
      </c>
      <c r="W525">
        <v>13.4</v>
      </c>
      <c r="X525" t="s">
        <v>57</v>
      </c>
      <c r="Z525" t="s">
        <v>1042</v>
      </c>
      <c r="AA525" t="s">
        <v>462</v>
      </c>
      <c r="AE525">
        <v>1</v>
      </c>
      <c r="AF525">
        <v>1</v>
      </c>
      <c r="AG525">
        <v>1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1</v>
      </c>
    </row>
    <row r="526" spans="1:42" x14ac:dyDescent="0.25">
      <c r="A526">
        <v>633</v>
      </c>
      <c r="B526" t="s">
        <v>1140</v>
      </c>
      <c r="C526" t="s">
        <v>1138</v>
      </c>
      <c r="D526" t="s">
        <v>121</v>
      </c>
      <c r="E526" s="4">
        <v>1</v>
      </c>
      <c r="F526" t="s">
        <v>61</v>
      </c>
      <c r="G526" t="s">
        <v>61</v>
      </c>
      <c r="H526" s="3">
        <v>46195</v>
      </c>
      <c r="I526" s="3">
        <v>46195</v>
      </c>
      <c r="J526" t="s">
        <v>204</v>
      </c>
      <c r="K526" s="3">
        <v>46184</v>
      </c>
      <c r="L526" s="3">
        <v>46182</v>
      </c>
      <c r="M526" s="3">
        <v>46195</v>
      </c>
      <c r="N526" s="3">
        <v>46195</v>
      </c>
      <c r="O526" t="s">
        <v>219</v>
      </c>
      <c r="P526" t="s">
        <v>55</v>
      </c>
      <c r="Q526">
        <v>632</v>
      </c>
      <c r="S526" t="s">
        <v>124</v>
      </c>
      <c r="T526" t="s">
        <v>1109</v>
      </c>
      <c r="U526">
        <v>634</v>
      </c>
      <c r="V526" t="s">
        <v>122</v>
      </c>
      <c r="W526">
        <v>13.4</v>
      </c>
      <c r="X526" t="s">
        <v>57</v>
      </c>
      <c r="Z526" t="s">
        <v>124</v>
      </c>
      <c r="AA526" t="s">
        <v>462</v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1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</row>
    <row r="527" spans="1:42" x14ac:dyDescent="0.25">
      <c r="A527">
        <v>634</v>
      </c>
      <c r="B527" t="s">
        <v>1141</v>
      </c>
      <c r="C527" t="s">
        <v>1138</v>
      </c>
      <c r="D527" t="s">
        <v>126</v>
      </c>
      <c r="E527" s="4">
        <v>1</v>
      </c>
      <c r="F527" t="s">
        <v>61</v>
      </c>
      <c r="G527" t="s">
        <v>61</v>
      </c>
      <c r="H527" s="3">
        <v>46196</v>
      </c>
      <c r="I527" s="3">
        <v>46196</v>
      </c>
      <c r="J527" t="s">
        <v>571</v>
      </c>
      <c r="K527" s="3">
        <v>46185</v>
      </c>
      <c r="L527" s="3">
        <v>46185</v>
      </c>
      <c r="M527" s="3">
        <v>46196</v>
      </c>
      <c r="N527" s="3">
        <v>46196</v>
      </c>
      <c r="O527" t="s">
        <v>212</v>
      </c>
      <c r="P527" t="s">
        <v>55</v>
      </c>
      <c r="Q527">
        <v>633</v>
      </c>
      <c r="S527" t="s">
        <v>1042</v>
      </c>
      <c r="T527" t="s">
        <v>1109</v>
      </c>
      <c r="U527">
        <v>635</v>
      </c>
      <c r="V527" t="s">
        <v>61</v>
      </c>
      <c r="W527">
        <v>13.4</v>
      </c>
      <c r="X527" t="s">
        <v>57</v>
      </c>
      <c r="Z527" t="s">
        <v>1042</v>
      </c>
      <c r="AA527" t="s">
        <v>462</v>
      </c>
      <c r="AE527">
        <v>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1</v>
      </c>
      <c r="AM527">
        <v>0</v>
      </c>
      <c r="AN527">
        <v>0</v>
      </c>
      <c r="AO527">
        <v>0</v>
      </c>
      <c r="AP527">
        <v>0</v>
      </c>
    </row>
    <row r="528" spans="1:42" x14ac:dyDescent="0.25">
      <c r="A528">
        <v>635</v>
      </c>
      <c r="B528" t="s">
        <v>1142</v>
      </c>
      <c r="C528" t="s">
        <v>1138</v>
      </c>
      <c r="D528" t="s">
        <v>133</v>
      </c>
      <c r="E528" s="4">
        <v>1</v>
      </c>
      <c r="F528" t="s">
        <v>61</v>
      </c>
      <c r="G528" t="s">
        <v>61</v>
      </c>
      <c r="H528" s="3">
        <v>46203</v>
      </c>
      <c r="I528" s="3">
        <v>46203</v>
      </c>
      <c r="J528" t="s">
        <v>595</v>
      </c>
      <c r="K528" s="3">
        <v>46188</v>
      </c>
      <c r="L528" s="3">
        <v>46188</v>
      </c>
      <c r="M528" s="3">
        <v>46203</v>
      </c>
      <c r="N528" s="3">
        <v>46203</v>
      </c>
      <c r="O528" t="s">
        <v>1025</v>
      </c>
      <c r="P528" t="s">
        <v>55</v>
      </c>
      <c r="Q528">
        <v>634</v>
      </c>
      <c r="S528" t="s">
        <v>124</v>
      </c>
      <c r="T528" t="s">
        <v>1109</v>
      </c>
      <c r="V528" t="s">
        <v>61</v>
      </c>
      <c r="W528">
        <v>13.4</v>
      </c>
      <c r="X528" t="s">
        <v>57</v>
      </c>
      <c r="Z528" t="s">
        <v>124</v>
      </c>
      <c r="AA528" t="s">
        <v>217</v>
      </c>
      <c r="AE528">
        <v>1</v>
      </c>
      <c r="AF528">
        <v>0</v>
      </c>
      <c r="AG528">
        <v>0</v>
      </c>
      <c r="AH528">
        <v>0</v>
      </c>
      <c r="AI528">
        <v>1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0</v>
      </c>
      <c r="AP528">
        <v>0</v>
      </c>
    </row>
    <row r="529" spans="1:42" x14ac:dyDescent="0.25">
      <c r="A529">
        <v>641</v>
      </c>
      <c r="B529" t="s">
        <v>1143</v>
      </c>
      <c r="C529" t="s">
        <v>1109</v>
      </c>
      <c r="D529" t="s">
        <v>1144</v>
      </c>
      <c r="E529" s="4">
        <v>1</v>
      </c>
      <c r="F529" t="s">
        <v>226</v>
      </c>
      <c r="G529" t="s">
        <v>226</v>
      </c>
      <c r="H529" s="3">
        <v>46134</v>
      </c>
      <c r="I529" s="3">
        <v>46167</v>
      </c>
      <c r="J529" t="s">
        <v>183</v>
      </c>
      <c r="K529" s="3">
        <v>46160</v>
      </c>
      <c r="L529" s="3">
        <v>46147</v>
      </c>
      <c r="M529" s="3">
        <v>46167</v>
      </c>
      <c r="N529" s="3">
        <v>46167</v>
      </c>
      <c r="O529" t="s">
        <v>337</v>
      </c>
      <c r="P529" t="s">
        <v>55</v>
      </c>
      <c r="T529" t="s">
        <v>1109</v>
      </c>
      <c r="V529" t="s">
        <v>151</v>
      </c>
      <c r="W529">
        <v>15.12</v>
      </c>
      <c r="X529" t="s">
        <v>57</v>
      </c>
      <c r="AA529" t="s">
        <v>50</v>
      </c>
      <c r="AE529">
        <v>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</row>
    <row r="530" spans="1:42" x14ac:dyDescent="0.25">
      <c r="A530">
        <v>642</v>
      </c>
      <c r="B530" t="s">
        <v>1145</v>
      </c>
      <c r="C530" t="s">
        <v>1146</v>
      </c>
      <c r="D530" t="s">
        <v>117</v>
      </c>
      <c r="E530" s="4">
        <v>1</v>
      </c>
      <c r="F530" t="s">
        <v>63</v>
      </c>
      <c r="G530" t="s">
        <v>63</v>
      </c>
      <c r="H530" s="3">
        <v>46134</v>
      </c>
      <c r="I530" s="3">
        <v>46134</v>
      </c>
      <c r="J530" t="s">
        <v>183</v>
      </c>
      <c r="K530" s="3">
        <v>46153</v>
      </c>
      <c r="L530" s="3">
        <v>46147</v>
      </c>
      <c r="M530" s="3">
        <v>46134</v>
      </c>
      <c r="N530" s="3">
        <v>46134</v>
      </c>
      <c r="O530" t="s">
        <v>337</v>
      </c>
      <c r="P530" t="s">
        <v>55</v>
      </c>
      <c r="Q530" t="s">
        <v>1147</v>
      </c>
      <c r="S530" t="s">
        <v>1058</v>
      </c>
      <c r="T530" t="s">
        <v>1109</v>
      </c>
      <c r="U530">
        <v>643</v>
      </c>
      <c r="V530" t="s">
        <v>138</v>
      </c>
      <c r="W530">
        <v>13.4</v>
      </c>
      <c r="X530" t="s">
        <v>57</v>
      </c>
      <c r="Z530" t="s">
        <v>1058</v>
      </c>
      <c r="AA530" t="s">
        <v>401</v>
      </c>
      <c r="AE530">
        <v>1</v>
      </c>
      <c r="AF530">
        <v>1</v>
      </c>
      <c r="AG530">
        <v>1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1</v>
      </c>
    </row>
    <row r="531" spans="1:42" x14ac:dyDescent="0.25">
      <c r="A531">
        <v>643</v>
      </c>
      <c r="B531" t="s">
        <v>1148</v>
      </c>
      <c r="C531" t="s">
        <v>1146</v>
      </c>
      <c r="D531" t="s">
        <v>121</v>
      </c>
      <c r="E531" s="4">
        <v>1</v>
      </c>
      <c r="F531" t="s">
        <v>122</v>
      </c>
      <c r="G531" t="s">
        <v>122</v>
      </c>
      <c r="H531" s="3">
        <v>46135</v>
      </c>
      <c r="I531" s="3">
        <v>46139</v>
      </c>
      <c r="J531" t="s">
        <v>741</v>
      </c>
      <c r="K531" s="3">
        <v>46156</v>
      </c>
      <c r="L531" s="3">
        <v>46154</v>
      </c>
      <c r="M531" s="3">
        <v>46139</v>
      </c>
      <c r="N531" s="3">
        <v>46139</v>
      </c>
      <c r="O531" t="s">
        <v>371</v>
      </c>
      <c r="P531" t="s">
        <v>55</v>
      </c>
      <c r="Q531">
        <v>642</v>
      </c>
      <c r="S531" t="s">
        <v>124</v>
      </c>
      <c r="T531" t="s">
        <v>1109</v>
      </c>
      <c r="U531">
        <v>644</v>
      </c>
      <c r="V531" t="s">
        <v>122</v>
      </c>
      <c r="W531">
        <v>13.4</v>
      </c>
      <c r="X531" t="s">
        <v>57</v>
      </c>
      <c r="Z531" t="s">
        <v>124</v>
      </c>
      <c r="AA531" t="s">
        <v>93</v>
      </c>
      <c r="AE531">
        <v>1</v>
      </c>
      <c r="AF531">
        <v>0</v>
      </c>
      <c r="AG531">
        <v>0</v>
      </c>
      <c r="AH531">
        <v>0</v>
      </c>
      <c r="AI531">
        <v>0</v>
      </c>
      <c r="AJ531">
        <v>1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</row>
    <row r="532" spans="1:42" x14ac:dyDescent="0.25">
      <c r="A532">
        <v>644</v>
      </c>
      <c r="B532" t="s">
        <v>1149</v>
      </c>
      <c r="C532" t="s">
        <v>1146</v>
      </c>
      <c r="D532" t="s">
        <v>126</v>
      </c>
      <c r="E532" s="4">
        <v>1</v>
      </c>
      <c r="F532" t="s">
        <v>114</v>
      </c>
      <c r="G532" t="s">
        <v>114</v>
      </c>
      <c r="H532" s="3">
        <v>46155</v>
      </c>
      <c r="I532" s="3">
        <v>46167</v>
      </c>
      <c r="J532" t="s">
        <v>444</v>
      </c>
      <c r="K532" s="3">
        <v>46157</v>
      </c>
      <c r="L532" s="3">
        <v>46157</v>
      </c>
      <c r="M532" s="3">
        <v>46167</v>
      </c>
      <c r="N532" s="3">
        <v>46167</v>
      </c>
      <c r="O532" t="s">
        <v>68</v>
      </c>
      <c r="P532" t="s">
        <v>55</v>
      </c>
      <c r="Q532">
        <v>643</v>
      </c>
      <c r="S532" t="s">
        <v>1058</v>
      </c>
      <c r="T532" t="s">
        <v>1109</v>
      </c>
      <c r="U532">
        <v>645</v>
      </c>
      <c r="V532" t="s">
        <v>61</v>
      </c>
      <c r="W532">
        <v>13.4</v>
      </c>
      <c r="X532" t="s">
        <v>57</v>
      </c>
      <c r="Z532" t="s">
        <v>1058</v>
      </c>
      <c r="AA532" t="s">
        <v>93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1</v>
      </c>
      <c r="AM532">
        <v>0</v>
      </c>
      <c r="AN532">
        <v>0</v>
      </c>
      <c r="AO532">
        <v>0</v>
      </c>
      <c r="AP532">
        <v>0</v>
      </c>
    </row>
    <row r="533" spans="1:42" x14ac:dyDescent="0.25">
      <c r="A533">
        <v>645</v>
      </c>
      <c r="B533" t="s">
        <v>1150</v>
      </c>
      <c r="C533" t="s">
        <v>1146</v>
      </c>
      <c r="D533" t="s">
        <v>133</v>
      </c>
      <c r="E533" s="4">
        <v>1</v>
      </c>
      <c r="F533" t="s">
        <v>494</v>
      </c>
      <c r="G533" t="s">
        <v>494</v>
      </c>
      <c r="H533" s="3">
        <v>46167</v>
      </c>
      <c r="I533" s="3">
        <v>46167</v>
      </c>
      <c r="J533" t="s">
        <v>185</v>
      </c>
      <c r="K533" s="3">
        <v>46160</v>
      </c>
      <c r="L533" s="3">
        <v>46160</v>
      </c>
      <c r="M533" s="3">
        <v>46167</v>
      </c>
      <c r="N533" s="3">
        <v>46167</v>
      </c>
      <c r="O533" t="s">
        <v>74</v>
      </c>
      <c r="P533" t="s">
        <v>55</v>
      </c>
      <c r="Q533">
        <v>644</v>
      </c>
      <c r="S533" t="s">
        <v>124</v>
      </c>
      <c r="T533" t="s">
        <v>1109</v>
      </c>
      <c r="V533" t="s">
        <v>61</v>
      </c>
      <c r="W533">
        <v>13.4</v>
      </c>
      <c r="X533" t="s">
        <v>57</v>
      </c>
      <c r="Z533" t="s">
        <v>124</v>
      </c>
      <c r="AA533" t="s">
        <v>198</v>
      </c>
      <c r="AE533">
        <v>1</v>
      </c>
      <c r="AF533">
        <v>0</v>
      </c>
      <c r="AG533">
        <v>0</v>
      </c>
      <c r="AH533">
        <v>0</v>
      </c>
      <c r="AI533">
        <v>1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0</v>
      </c>
      <c r="AP533">
        <v>0</v>
      </c>
    </row>
    <row r="534" spans="1:42" x14ac:dyDescent="0.25">
      <c r="A534">
        <v>651</v>
      </c>
      <c r="B534" t="s">
        <v>1151</v>
      </c>
      <c r="C534" t="s">
        <v>1109</v>
      </c>
      <c r="D534" t="s">
        <v>1152</v>
      </c>
      <c r="E534" s="4">
        <v>1</v>
      </c>
      <c r="F534" t="s">
        <v>690</v>
      </c>
      <c r="G534" t="s">
        <v>690</v>
      </c>
      <c r="H534" s="3">
        <v>46135</v>
      </c>
      <c r="I534" s="3">
        <v>46155</v>
      </c>
      <c r="J534" t="s">
        <v>183</v>
      </c>
      <c r="K534" s="3">
        <v>46160</v>
      </c>
      <c r="L534" s="3">
        <v>46147</v>
      </c>
      <c r="M534" s="3">
        <v>46155</v>
      </c>
      <c r="N534" s="3">
        <v>46155</v>
      </c>
      <c r="O534" t="s">
        <v>371</v>
      </c>
      <c r="P534" t="s">
        <v>55</v>
      </c>
      <c r="T534" t="s">
        <v>1109</v>
      </c>
      <c r="V534" t="s">
        <v>151</v>
      </c>
      <c r="W534">
        <v>15.12</v>
      </c>
      <c r="X534" t="s">
        <v>57</v>
      </c>
      <c r="AA534" t="s">
        <v>50</v>
      </c>
      <c r="AE534">
        <v>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</row>
    <row r="535" spans="1:42" x14ac:dyDescent="0.25">
      <c r="A535">
        <v>652</v>
      </c>
      <c r="B535" t="s">
        <v>1153</v>
      </c>
      <c r="C535" t="s">
        <v>1154</v>
      </c>
      <c r="D535" t="s">
        <v>117</v>
      </c>
      <c r="E535" s="4">
        <v>1</v>
      </c>
      <c r="F535" t="s">
        <v>122</v>
      </c>
      <c r="G535" t="s">
        <v>122</v>
      </c>
      <c r="H535" s="3">
        <v>46135</v>
      </c>
      <c r="I535" s="3">
        <v>46140</v>
      </c>
      <c r="J535" t="s">
        <v>183</v>
      </c>
      <c r="K535" s="3">
        <v>46153</v>
      </c>
      <c r="L535" s="3">
        <v>46147</v>
      </c>
      <c r="M535" s="3">
        <v>46140</v>
      </c>
      <c r="N535" s="3">
        <v>46140</v>
      </c>
      <c r="O535" t="s">
        <v>371</v>
      </c>
      <c r="P535" t="s">
        <v>55</v>
      </c>
      <c r="Q535" t="s">
        <v>1147</v>
      </c>
      <c r="R535" s="1">
        <v>46135.461805555547</v>
      </c>
      <c r="S535" t="s">
        <v>1058</v>
      </c>
      <c r="T535" t="s">
        <v>1109</v>
      </c>
      <c r="U535">
        <v>653</v>
      </c>
      <c r="V535" t="s">
        <v>138</v>
      </c>
      <c r="W535">
        <v>13.4</v>
      </c>
      <c r="X535" t="s">
        <v>57</v>
      </c>
      <c r="Z535" t="s">
        <v>1058</v>
      </c>
      <c r="AA535" t="s">
        <v>401</v>
      </c>
      <c r="AE535">
        <v>1</v>
      </c>
      <c r="AF535">
        <v>1</v>
      </c>
      <c r="AG535">
        <v>1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1</v>
      </c>
    </row>
    <row r="536" spans="1:42" x14ac:dyDescent="0.25">
      <c r="A536">
        <v>653</v>
      </c>
      <c r="B536" t="s">
        <v>1155</v>
      </c>
      <c r="C536" t="s">
        <v>1154</v>
      </c>
      <c r="D536" t="s">
        <v>121</v>
      </c>
      <c r="E536" s="4">
        <v>1</v>
      </c>
      <c r="F536" t="s">
        <v>122</v>
      </c>
      <c r="G536" t="s">
        <v>122</v>
      </c>
      <c r="H536" s="3">
        <v>46140</v>
      </c>
      <c r="I536" s="3">
        <v>46142</v>
      </c>
      <c r="J536" t="s">
        <v>741</v>
      </c>
      <c r="K536" s="3">
        <v>46156</v>
      </c>
      <c r="L536" s="3">
        <v>46154</v>
      </c>
      <c r="M536" s="3">
        <v>46142</v>
      </c>
      <c r="N536" s="3">
        <v>46142</v>
      </c>
      <c r="O536" t="s">
        <v>85</v>
      </c>
      <c r="P536" t="s">
        <v>55</v>
      </c>
      <c r="Q536">
        <v>652</v>
      </c>
      <c r="S536" t="s">
        <v>124</v>
      </c>
      <c r="T536" t="s">
        <v>1109</v>
      </c>
      <c r="U536">
        <v>654</v>
      </c>
      <c r="V536" t="s">
        <v>122</v>
      </c>
      <c r="W536">
        <v>13.4</v>
      </c>
      <c r="X536" t="s">
        <v>57</v>
      </c>
      <c r="Z536" t="s">
        <v>124</v>
      </c>
      <c r="AA536" t="s">
        <v>93</v>
      </c>
      <c r="AE536">
        <v>1</v>
      </c>
      <c r="AF536">
        <v>0</v>
      </c>
      <c r="AG536">
        <v>0</v>
      </c>
      <c r="AH536">
        <v>0</v>
      </c>
      <c r="AI536">
        <v>0</v>
      </c>
      <c r="AJ536">
        <v>1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</row>
    <row r="537" spans="1:42" x14ac:dyDescent="0.25">
      <c r="A537">
        <v>654</v>
      </c>
      <c r="B537" t="s">
        <v>1156</v>
      </c>
      <c r="C537" t="s">
        <v>1154</v>
      </c>
      <c r="D537" t="s">
        <v>126</v>
      </c>
      <c r="E537" s="4">
        <v>1</v>
      </c>
      <c r="F537" t="s">
        <v>860</v>
      </c>
      <c r="G537" t="s">
        <v>860</v>
      </c>
      <c r="H537" s="3">
        <v>46141</v>
      </c>
      <c r="I537" s="3">
        <v>46154</v>
      </c>
      <c r="J537" t="s">
        <v>444</v>
      </c>
      <c r="K537" s="3">
        <v>46157</v>
      </c>
      <c r="L537" s="3">
        <v>46157</v>
      </c>
      <c r="M537" s="3">
        <v>46154</v>
      </c>
      <c r="N537" s="3">
        <v>46154</v>
      </c>
      <c r="O537" t="s">
        <v>415</v>
      </c>
      <c r="P537" t="s">
        <v>55</v>
      </c>
      <c r="Q537">
        <v>653</v>
      </c>
      <c r="S537" t="s">
        <v>1058</v>
      </c>
      <c r="T537" t="s">
        <v>1109</v>
      </c>
      <c r="U537">
        <v>655</v>
      </c>
      <c r="V537" t="s">
        <v>61</v>
      </c>
      <c r="W537">
        <v>13.4</v>
      </c>
      <c r="X537" t="s">
        <v>57</v>
      </c>
      <c r="Z537" t="s">
        <v>1058</v>
      </c>
      <c r="AA537" t="s">
        <v>93</v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1</v>
      </c>
      <c r="AM537">
        <v>0</v>
      </c>
      <c r="AN537">
        <v>0</v>
      </c>
      <c r="AO537">
        <v>0</v>
      </c>
      <c r="AP537">
        <v>0</v>
      </c>
    </row>
    <row r="538" spans="1:42" x14ac:dyDescent="0.25">
      <c r="A538">
        <v>655</v>
      </c>
      <c r="B538" t="s">
        <v>1157</v>
      </c>
      <c r="C538" t="s">
        <v>1154</v>
      </c>
      <c r="D538" t="s">
        <v>133</v>
      </c>
      <c r="E538" s="4">
        <v>1</v>
      </c>
      <c r="F538" t="s">
        <v>63</v>
      </c>
      <c r="G538" t="s">
        <v>63</v>
      </c>
      <c r="H538" s="3">
        <v>46155</v>
      </c>
      <c r="I538" s="3">
        <v>46155</v>
      </c>
      <c r="J538" t="s">
        <v>185</v>
      </c>
      <c r="K538" s="3">
        <v>46160</v>
      </c>
      <c r="L538" s="3">
        <v>46160</v>
      </c>
      <c r="M538" s="3">
        <v>46155</v>
      </c>
      <c r="N538" s="3">
        <v>46155</v>
      </c>
      <c r="O538" t="s">
        <v>68</v>
      </c>
      <c r="P538" t="s">
        <v>55</v>
      </c>
      <c r="Q538">
        <v>654</v>
      </c>
      <c r="S538" t="s">
        <v>124</v>
      </c>
      <c r="T538" t="s">
        <v>1109</v>
      </c>
      <c r="V538" t="s">
        <v>61</v>
      </c>
      <c r="W538">
        <v>13.4</v>
      </c>
      <c r="X538" t="s">
        <v>57</v>
      </c>
      <c r="Z538" t="s">
        <v>124</v>
      </c>
      <c r="AA538" t="s">
        <v>198</v>
      </c>
      <c r="AE538">
        <v>1</v>
      </c>
      <c r="AF538">
        <v>0</v>
      </c>
      <c r="AG538">
        <v>0</v>
      </c>
      <c r="AH538">
        <v>0</v>
      </c>
      <c r="AI538">
        <v>1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0</v>
      </c>
      <c r="AP538">
        <v>0</v>
      </c>
    </row>
    <row r="539" spans="1:42" x14ac:dyDescent="0.25">
      <c r="A539">
        <v>656</v>
      </c>
      <c r="B539" t="s">
        <v>1158</v>
      </c>
      <c r="C539" t="s">
        <v>1109</v>
      </c>
      <c r="D539" t="s">
        <v>1159</v>
      </c>
      <c r="E539" s="4">
        <v>1</v>
      </c>
      <c r="F539" t="s">
        <v>690</v>
      </c>
      <c r="G539" t="s">
        <v>690</v>
      </c>
      <c r="H539" s="3">
        <v>46135</v>
      </c>
      <c r="I539" s="3">
        <v>46154</v>
      </c>
      <c r="J539" t="s">
        <v>183</v>
      </c>
      <c r="K539" s="3">
        <v>46160</v>
      </c>
      <c r="L539" s="3">
        <v>46147</v>
      </c>
      <c r="M539" s="3">
        <v>46154</v>
      </c>
      <c r="N539" s="3">
        <v>46154</v>
      </c>
      <c r="O539" t="s">
        <v>371</v>
      </c>
      <c r="P539" t="s">
        <v>55</v>
      </c>
      <c r="T539" t="s">
        <v>1109</v>
      </c>
      <c r="V539" t="s">
        <v>151</v>
      </c>
      <c r="W539">
        <v>15.12</v>
      </c>
      <c r="X539" t="s">
        <v>57</v>
      </c>
      <c r="AA539" t="s">
        <v>50</v>
      </c>
      <c r="AE539">
        <v>1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</row>
    <row r="540" spans="1:42" x14ac:dyDescent="0.25">
      <c r="A540">
        <v>657</v>
      </c>
      <c r="B540" t="s">
        <v>1160</v>
      </c>
      <c r="C540" t="s">
        <v>1161</v>
      </c>
      <c r="D540" t="s">
        <v>117</v>
      </c>
      <c r="E540" s="4">
        <v>1</v>
      </c>
      <c r="F540" t="s">
        <v>63</v>
      </c>
      <c r="G540" t="s">
        <v>63</v>
      </c>
      <c r="H540" s="3">
        <v>46135</v>
      </c>
      <c r="I540" s="3">
        <v>46135</v>
      </c>
      <c r="J540" t="s">
        <v>183</v>
      </c>
      <c r="K540" s="3">
        <v>46153</v>
      </c>
      <c r="L540" s="3">
        <v>46147</v>
      </c>
      <c r="M540" s="3">
        <v>46135</v>
      </c>
      <c r="N540" s="3">
        <v>46135</v>
      </c>
      <c r="O540" t="s">
        <v>371</v>
      </c>
      <c r="P540" t="s">
        <v>55</v>
      </c>
      <c r="Q540" t="s">
        <v>1147</v>
      </c>
      <c r="S540" t="s">
        <v>1058</v>
      </c>
      <c r="T540" t="s">
        <v>1109</v>
      </c>
      <c r="U540">
        <v>658</v>
      </c>
      <c r="V540" t="s">
        <v>138</v>
      </c>
      <c r="W540">
        <v>13.4</v>
      </c>
      <c r="X540" t="s">
        <v>57</v>
      </c>
      <c r="Z540" t="s">
        <v>1058</v>
      </c>
      <c r="AA540" t="s">
        <v>401</v>
      </c>
      <c r="AE540">
        <v>1</v>
      </c>
      <c r="AF540">
        <v>1</v>
      </c>
      <c r="AG540">
        <v>1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1</v>
      </c>
    </row>
    <row r="541" spans="1:42" x14ac:dyDescent="0.25">
      <c r="A541">
        <v>658</v>
      </c>
      <c r="B541" t="s">
        <v>1162</v>
      </c>
      <c r="C541" t="s">
        <v>1161</v>
      </c>
      <c r="D541" t="s">
        <v>121</v>
      </c>
      <c r="E541" s="4">
        <v>1</v>
      </c>
      <c r="F541" t="s">
        <v>61</v>
      </c>
      <c r="G541" t="s">
        <v>61</v>
      </c>
      <c r="H541" s="3">
        <v>46141</v>
      </c>
      <c r="I541" s="3">
        <v>46141</v>
      </c>
      <c r="J541" t="s">
        <v>741</v>
      </c>
      <c r="K541" s="3">
        <v>46156</v>
      </c>
      <c r="L541" s="3">
        <v>46154</v>
      </c>
      <c r="M541" s="3">
        <v>46141</v>
      </c>
      <c r="N541" s="3">
        <v>46141</v>
      </c>
      <c r="O541" t="s">
        <v>415</v>
      </c>
      <c r="P541" t="s">
        <v>55</v>
      </c>
      <c r="Q541">
        <v>657</v>
      </c>
      <c r="S541" t="s">
        <v>124</v>
      </c>
      <c r="T541" t="s">
        <v>1109</v>
      </c>
      <c r="U541">
        <v>659</v>
      </c>
      <c r="V541" t="s">
        <v>122</v>
      </c>
      <c r="W541">
        <v>13.4</v>
      </c>
      <c r="X541" t="s">
        <v>57</v>
      </c>
      <c r="Z541" t="s">
        <v>124</v>
      </c>
      <c r="AA541" t="s">
        <v>93</v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v>1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</row>
    <row r="542" spans="1:42" x14ac:dyDescent="0.25">
      <c r="A542">
        <v>659</v>
      </c>
      <c r="B542" t="s">
        <v>1163</v>
      </c>
      <c r="C542" t="s">
        <v>1161</v>
      </c>
      <c r="D542" t="s">
        <v>126</v>
      </c>
      <c r="E542" s="4">
        <v>1</v>
      </c>
      <c r="F542" t="s">
        <v>175</v>
      </c>
      <c r="G542" t="s">
        <v>175</v>
      </c>
      <c r="H542" s="3">
        <v>46142</v>
      </c>
      <c r="I542" s="3">
        <v>46153</v>
      </c>
      <c r="J542" t="s">
        <v>444</v>
      </c>
      <c r="K542" s="3">
        <v>46157</v>
      </c>
      <c r="L542" s="3">
        <v>46157</v>
      </c>
      <c r="M542" s="3">
        <v>46153</v>
      </c>
      <c r="N542" s="3">
        <v>46153</v>
      </c>
      <c r="O542" t="s">
        <v>527</v>
      </c>
      <c r="P542" t="s">
        <v>55</v>
      </c>
      <c r="Q542">
        <v>658</v>
      </c>
      <c r="S542" t="s">
        <v>1058</v>
      </c>
      <c r="T542" t="s">
        <v>1109</v>
      </c>
      <c r="U542">
        <v>660</v>
      </c>
      <c r="V542" t="s">
        <v>61</v>
      </c>
      <c r="W542">
        <v>13.4</v>
      </c>
      <c r="X542" t="s">
        <v>57</v>
      </c>
      <c r="Z542" t="s">
        <v>1058</v>
      </c>
      <c r="AA542" t="s">
        <v>93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1</v>
      </c>
      <c r="AM542">
        <v>0</v>
      </c>
      <c r="AN542">
        <v>0</v>
      </c>
      <c r="AO542">
        <v>0</v>
      </c>
      <c r="AP542">
        <v>0</v>
      </c>
    </row>
    <row r="543" spans="1:42" x14ac:dyDescent="0.25">
      <c r="A543">
        <v>660</v>
      </c>
      <c r="B543" t="s">
        <v>1164</v>
      </c>
      <c r="C543" t="s">
        <v>1161</v>
      </c>
      <c r="D543" t="s">
        <v>133</v>
      </c>
      <c r="E543" s="4">
        <v>1</v>
      </c>
      <c r="F543" t="s">
        <v>61</v>
      </c>
      <c r="G543" t="s">
        <v>61</v>
      </c>
      <c r="H543" s="3">
        <v>46153</v>
      </c>
      <c r="I543" s="3">
        <v>46154</v>
      </c>
      <c r="J543" t="s">
        <v>185</v>
      </c>
      <c r="K543" s="3">
        <v>46160</v>
      </c>
      <c r="L543" s="3">
        <v>46160</v>
      </c>
      <c r="M543" s="3">
        <v>46154</v>
      </c>
      <c r="N543" s="3">
        <v>46154</v>
      </c>
      <c r="O543" t="s">
        <v>418</v>
      </c>
      <c r="P543" t="s">
        <v>55</v>
      </c>
      <c r="Q543">
        <v>659</v>
      </c>
      <c r="S543" t="s">
        <v>124</v>
      </c>
      <c r="T543" t="s">
        <v>1109</v>
      </c>
      <c r="V543" t="s">
        <v>61</v>
      </c>
      <c r="W543">
        <v>13.4</v>
      </c>
      <c r="X543" t="s">
        <v>57</v>
      </c>
      <c r="Z543" t="s">
        <v>124</v>
      </c>
      <c r="AA543" t="s">
        <v>198</v>
      </c>
      <c r="AE543">
        <v>1</v>
      </c>
      <c r="AF543">
        <v>0</v>
      </c>
      <c r="AG543">
        <v>0</v>
      </c>
      <c r="AH543">
        <v>0</v>
      </c>
      <c r="AI543">
        <v>1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0</v>
      </c>
      <c r="AP543">
        <v>0</v>
      </c>
    </row>
    <row r="544" spans="1:42" x14ac:dyDescent="0.25">
      <c r="A544">
        <v>661</v>
      </c>
      <c r="B544" t="s">
        <v>1165</v>
      </c>
      <c r="C544" t="s">
        <v>1109</v>
      </c>
      <c r="D544" t="s">
        <v>1166</v>
      </c>
      <c r="E544" s="4">
        <v>1</v>
      </c>
      <c r="F544" t="s">
        <v>295</v>
      </c>
      <c r="G544" t="s">
        <v>295</v>
      </c>
      <c r="H544" s="3">
        <v>46156</v>
      </c>
      <c r="I544" s="3">
        <v>46181</v>
      </c>
      <c r="J544" t="s">
        <v>183</v>
      </c>
      <c r="K544" s="3">
        <v>46160</v>
      </c>
      <c r="L544" s="3">
        <v>46147</v>
      </c>
      <c r="M544" s="3">
        <v>46181</v>
      </c>
      <c r="N544" s="3">
        <v>46181</v>
      </c>
      <c r="O544" t="s">
        <v>406</v>
      </c>
      <c r="P544" t="s">
        <v>55</v>
      </c>
      <c r="T544" t="s">
        <v>1109</v>
      </c>
      <c r="V544" t="s">
        <v>151</v>
      </c>
      <c r="W544">
        <v>15.12</v>
      </c>
      <c r="X544" t="s">
        <v>57</v>
      </c>
      <c r="AA544" t="s">
        <v>50</v>
      </c>
      <c r="AB544" t="s">
        <v>94</v>
      </c>
      <c r="AE544">
        <v>1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</row>
    <row r="545" spans="1:42" x14ac:dyDescent="0.25">
      <c r="A545">
        <v>662</v>
      </c>
      <c r="B545" t="s">
        <v>1167</v>
      </c>
      <c r="C545" t="s">
        <v>1168</v>
      </c>
      <c r="D545" t="s">
        <v>117</v>
      </c>
      <c r="E545" s="4">
        <v>1</v>
      </c>
      <c r="F545" t="s">
        <v>804</v>
      </c>
      <c r="G545" t="s">
        <v>804</v>
      </c>
      <c r="H545" s="3">
        <v>46156</v>
      </c>
      <c r="I545" s="3">
        <v>46164</v>
      </c>
      <c r="J545" t="s">
        <v>183</v>
      </c>
      <c r="K545" s="3">
        <v>46153</v>
      </c>
      <c r="L545" s="3">
        <v>46147</v>
      </c>
      <c r="M545" s="3">
        <v>46164</v>
      </c>
      <c r="N545" s="3">
        <v>46164</v>
      </c>
      <c r="O545" t="s">
        <v>406</v>
      </c>
      <c r="P545" t="s">
        <v>55</v>
      </c>
      <c r="Q545" t="s">
        <v>1147</v>
      </c>
      <c r="S545" t="s">
        <v>1058</v>
      </c>
      <c r="T545" t="s">
        <v>1109</v>
      </c>
      <c r="U545">
        <v>663</v>
      </c>
      <c r="V545" t="s">
        <v>138</v>
      </c>
      <c r="W545">
        <v>13.4</v>
      </c>
      <c r="X545" t="s">
        <v>57</v>
      </c>
      <c r="Z545" t="s">
        <v>1058</v>
      </c>
      <c r="AA545" t="s">
        <v>401</v>
      </c>
      <c r="AE545">
        <v>1</v>
      </c>
      <c r="AF545">
        <v>1</v>
      </c>
      <c r="AG545">
        <v>1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1</v>
      </c>
    </row>
    <row r="546" spans="1:42" x14ac:dyDescent="0.25">
      <c r="A546">
        <v>663</v>
      </c>
      <c r="B546" t="s">
        <v>1169</v>
      </c>
      <c r="C546" t="s">
        <v>1168</v>
      </c>
      <c r="D546" t="s">
        <v>121</v>
      </c>
      <c r="E546" s="4">
        <v>1</v>
      </c>
      <c r="F546" t="s">
        <v>138</v>
      </c>
      <c r="G546" t="s">
        <v>138</v>
      </c>
      <c r="H546" s="3">
        <v>46164</v>
      </c>
      <c r="I546" s="3">
        <v>46171</v>
      </c>
      <c r="J546" t="s">
        <v>741</v>
      </c>
      <c r="K546" s="3">
        <v>46156</v>
      </c>
      <c r="L546" s="3">
        <v>46154</v>
      </c>
      <c r="M546" s="3">
        <v>46171</v>
      </c>
      <c r="N546" s="3">
        <v>46171</v>
      </c>
      <c r="O546" t="s">
        <v>471</v>
      </c>
      <c r="P546" t="s">
        <v>55</v>
      </c>
      <c r="Q546">
        <v>662</v>
      </c>
      <c r="S546" t="s">
        <v>124</v>
      </c>
      <c r="T546" t="s">
        <v>1109</v>
      </c>
      <c r="U546">
        <v>664</v>
      </c>
      <c r="V546" t="s">
        <v>122</v>
      </c>
      <c r="W546">
        <v>13.4</v>
      </c>
      <c r="X546" t="s">
        <v>57</v>
      </c>
      <c r="Z546" t="s">
        <v>124</v>
      </c>
      <c r="AA546" t="s">
        <v>93</v>
      </c>
      <c r="AE546">
        <v>1</v>
      </c>
      <c r="AF546">
        <v>0</v>
      </c>
      <c r="AG546">
        <v>0</v>
      </c>
      <c r="AH546">
        <v>0</v>
      </c>
      <c r="AI546">
        <v>0</v>
      </c>
      <c r="AJ546">
        <v>1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</row>
    <row r="547" spans="1:42" x14ac:dyDescent="0.25">
      <c r="A547">
        <v>664</v>
      </c>
      <c r="B547" t="s">
        <v>1170</v>
      </c>
      <c r="C547" t="s">
        <v>1168</v>
      </c>
      <c r="D547" t="s">
        <v>126</v>
      </c>
      <c r="E547" s="4">
        <v>1</v>
      </c>
      <c r="F547" t="s">
        <v>122</v>
      </c>
      <c r="G547" t="s">
        <v>122</v>
      </c>
      <c r="H547" s="3">
        <v>46174</v>
      </c>
      <c r="I547" s="3">
        <v>46176</v>
      </c>
      <c r="J547" t="s">
        <v>444</v>
      </c>
      <c r="K547" s="3">
        <v>46157</v>
      </c>
      <c r="L547" s="3">
        <v>46157</v>
      </c>
      <c r="M547" s="3">
        <v>46176</v>
      </c>
      <c r="N547" s="3">
        <v>46176</v>
      </c>
      <c r="O547" t="s">
        <v>193</v>
      </c>
      <c r="P547" t="s">
        <v>55</v>
      </c>
      <c r="Q547">
        <v>663</v>
      </c>
      <c r="S547" t="s">
        <v>1058</v>
      </c>
      <c r="T547" t="s">
        <v>1109</v>
      </c>
      <c r="U547">
        <v>665</v>
      </c>
      <c r="V547" t="s">
        <v>61</v>
      </c>
      <c r="W547">
        <v>13.4</v>
      </c>
      <c r="X547" t="s">
        <v>57</v>
      </c>
      <c r="Z547" t="s">
        <v>1058</v>
      </c>
      <c r="AA547" t="s">
        <v>93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1</v>
      </c>
      <c r="AM547">
        <v>0</v>
      </c>
      <c r="AN547">
        <v>0</v>
      </c>
      <c r="AO547">
        <v>0</v>
      </c>
      <c r="AP547">
        <v>0</v>
      </c>
    </row>
    <row r="548" spans="1:42" x14ac:dyDescent="0.25">
      <c r="A548">
        <v>665</v>
      </c>
      <c r="B548" t="s">
        <v>1171</v>
      </c>
      <c r="C548" t="s">
        <v>1168</v>
      </c>
      <c r="D548" t="s">
        <v>133</v>
      </c>
      <c r="E548" s="4">
        <v>1</v>
      </c>
      <c r="F548" t="s">
        <v>61</v>
      </c>
      <c r="G548" t="s">
        <v>61</v>
      </c>
      <c r="H548" s="3">
        <v>46177</v>
      </c>
      <c r="I548" s="3">
        <v>46181</v>
      </c>
      <c r="J548" t="s">
        <v>185</v>
      </c>
      <c r="K548" s="3">
        <v>46160</v>
      </c>
      <c r="L548" s="3">
        <v>46160</v>
      </c>
      <c r="M548" s="3">
        <v>46181</v>
      </c>
      <c r="N548" s="3">
        <v>46181</v>
      </c>
      <c r="O548" t="s">
        <v>1172</v>
      </c>
      <c r="P548" t="s">
        <v>55</v>
      </c>
      <c r="Q548">
        <v>664</v>
      </c>
      <c r="S548" t="s">
        <v>124</v>
      </c>
      <c r="T548" t="s">
        <v>1109</v>
      </c>
      <c r="V548" t="s">
        <v>61</v>
      </c>
      <c r="W548">
        <v>13.4</v>
      </c>
      <c r="X548" t="s">
        <v>57</v>
      </c>
      <c r="Z548" t="s">
        <v>124</v>
      </c>
      <c r="AA548" t="s">
        <v>198</v>
      </c>
      <c r="AE548">
        <v>1</v>
      </c>
      <c r="AF548">
        <v>0</v>
      </c>
      <c r="AG548">
        <v>0</v>
      </c>
      <c r="AH548">
        <v>0</v>
      </c>
      <c r="AI548">
        <v>1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0</v>
      </c>
      <c r="AP548">
        <v>0</v>
      </c>
    </row>
    <row r="549" spans="1:42" x14ac:dyDescent="0.25">
      <c r="A549">
        <v>666</v>
      </c>
      <c r="B549" t="s">
        <v>1173</v>
      </c>
      <c r="C549" t="s">
        <v>1109</v>
      </c>
      <c r="D549" t="s">
        <v>1174</v>
      </c>
      <c r="E549" s="4">
        <v>1</v>
      </c>
      <c r="F549" t="s">
        <v>114</v>
      </c>
      <c r="G549" t="s">
        <v>114</v>
      </c>
      <c r="H549" s="3">
        <v>46156</v>
      </c>
      <c r="I549" s="3">
        <v>46168</v>
      </c>
      <c r="J549" t="s">
        <v>406</v>
      </c>
      <c r="K549" s="3">
        <v>46168</v>
      </c>
      <c r="L549" s="3">
        <v>46156</v>
      </c>
      <c r="M549" s="3">
        <v>46168</v>
      </c>
      <c r="N549" s="3">
        <v>46168</v>
      </c>
      <c r="O549" t="s">
        <v>406</v>
      </c>
      <c r="P549" t="s">
        <v>55</v>
      </c>
      <c r="T549" t="s">
        <v>1109</v>
      </c>
      <c r="V549" t="s">
        <v>151</v>
      </c>
      <c r="W549">
        <v>15.12</v>
      </c>
      <c r="X549" t="s">
        <v>57</v>
      </c>
      <c r="AA549" t="s">
        <v>50</v>
      </c>
      <c r="AB549" t="s">
        <v>94</v>
      </c>
      <c r="AE549">
        <v>1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</row>
    <row r="550" spans="1:42" x14ac:dyDescent="0.25">
      <c r="A550">
        <v>667</v>
      </c>
      <c r="B550" t="s">
        <v>1175</v>
      </c>
      <c r="C550" t="s">
        <v>1176</v>
      </c>
      <c r="D550" t="s">
        <v>117</v>
      </c>
      <c r="E550" s="4">
        <v>1</v>
      </c>
      <c r="F550" t="s">
        <v>138</v>
      </c>
      <c r="G550" t="s">
        <v>138</v>
      </c>
      <c r="H550" s="3">
        <v>46156</v>
      </c>
      <c r="I550" s="3">
        <v>46164</v>
      </c>
      <c r="J550" t="s">
        <v>406</v>
      </c>
      <c r="K550" s="3">
        <v>46164</v>
      </c>
      <c r="L550" s="3">
        <v>46156</v>
      </c>
      <c r="M550" s="3">
        <v>46164</v>
      </c>
      <c r="N550" s="3">
        <v>46164</v>
      </c>
      <c r="O550" t="s">
        <v>406</v>
      </c>
      <c r="P550" t="s">
        <v>55</v>
      </c>
      <c r="Q550" t="s">
        <v>1147</v>
      </c>
      <c r="S550" t="s">
        <v>1058</v>
      </c>
      <c r="T550" t="s">
        <v>1109</v>
      </c>
      <c r="U550">
        <v>668</v>
      </c>
      <c r="V550" t="s">
        <v>138</v>
      </c>
      <c r="W550">
        <v>13.4</v>
      </c>
      <c r="X550" t="s">
        <v>57</v>
      </c>
      <c r="Z550" t="s">
        <v>1058</v>
      </c>
      <c r="AA550" t="s">
        <v>401</v>
      </c>
      <c r="AE550">
        <v>1</v>
      </c>
      <c r="AF550">
        <v>1</v>
      </c>
      <c r="AG550">
        <v>1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1</v>
      </c>
    </row>
    <row r="551" spans="1:42" x14ac:dyDescent="0.25">
      <c r="A551">
        <v>668</v>
      </c>
      <c r="B551" t="s">
        <v>1177</v>
      </c>
      <c r="C551" t="s">
        <v>1176</v>
      </c>
      <c r="D551" t="s">
        <v>121</v>
      </c>
      <c r="E551" s="4">
        <v>1</v>
      </c>
      <c r="F551" t="s">
        <v>61</v>
      </c>
      <c r="G551" t="s">
        <v>61</v>
      </c>
      <c r="H551" s="3">
        <v>46164</v>
      </c>
      <c r="I551" s="3">
        <v>46167</v>
      </c>
      <c r="J551" t="s">
        <v>471</v>
      </c>
      <c r="K551" s="3">
        <v>46167</v>
      </c>
      <c r="L551" s="3">
        <v>46164</v>
      </c>
      <c r="M551" s="3">
        <v>46167</v>
      </c>
      <c r="N551" s="3">
        <v>46167</v>
      </c>
      <c r="O551" t="s">
        <v>471</v>
      </c>
      <c r="P551" t="s">
        <v>55</v>
      </c>
      <c r="Q551">
        <v>667</v>
      </c>
      <c r="S551" t="s">
        <v>124</v>
      </c>
      <c r="T551" t="s">
        <v>1109</v>
      </c>
      <c r="U551">
        <v>669</v>
      </c>
      <c r="V551" t="s">
        <v>122</v>
      </c>
      <c r="W551">
        <v>13.4</v>
      </c>
      <c r="X551" t="s">
        <v>57</v>
      </c>
      <c r="Z551" t="s">
        <v>124</v>
      </c>
      <c r="AA551" t="s">
        <v>93</v>
      </c>
      <c r="AE551">
        <v>1</v>
      </c>
      <c r="AF551">
        <v>0</v>
      </c>
      <c r="AG551">
        <v>0</v>
      </c>
      <c r="AH551">
        <v>0</v>
      </c>
      <c r="AI551">
        <v>0</v>
      </c>
      <c r="AJ551">
        <v>1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</row>
    <row r="552" spans="1:42" x14ac:dyDescent="0.25">
      <c r="A552">
        <v>669</v>
      </c>
      <c r="B552" t="s">
        <v>1178</v>
      </c>
      <c r="C552" t="s">
        <v>1176</v>
      </c>
      <c r="D552" t="s">
        <v>126</v>
      </c>
      <c r="E552" s="4">
        <v>1</v>
      </c>
      <c r="F552" t="s">
        <v>63</v>
      </c>
      <c r="G552" t="s">
        <v>63</v>
      </c>
      <c r="H552" s="3">
        <v>46167</v>
      </c>
      <c r="I552" s="3">
        <v>46167</v>
      </c>
      <c r="J552" t="s">
        <v>74</v>
      </c>
      <c r="K552" s="3">
        <v>46167</v>
      </c>
      <c r="L552" s="3">
        <v>46167</v>
      </c>
      <c r="M552" s="3">
        <v>46167</v>
      </c>
      <c r="N552" s="3">
        <v>46167</v>
      </c>
      <c r="O552" t="s">
        <v>74</v>
      </c>
      <c r="P552" t="s">
        <v>55</v>
      </c>
      <c r="Q552">
        <v>668</v>
      </c>
      <c r="S552" t="s">
        <v>1058</v>
      </c>
      <c r="T552" t="s">
        <v>1109</v>
      </c>
      <c r="U552">
        <v>670</v>
      </c>
      <c r="V552" t="s">
        <v>61</v>
      </c>
      <c r="W552">
        <v>13.4</v>
      </c>
      <c r="X552" t="s">
        <v>57</v>
      </c>
      <c r="Z552" t="s">
        <v>1058</v>
      </c>
      <c r="AA552" t="s">
        <v>93</v>
      </c>
      <c r="AE552">
        <v>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1</v>
      </c>
      <c r="AM552">
        <v>0</v>
      </c>
      <c r="AN552">
        <v>0</v>
      </c>
      <c r="AO552">
        <v>0</v>
      </c>
      <c r="AP552">
        <v>0</v>
      </c>
    </row>
    <row r="553" spans="1:42" x14ac:dyDescent="0.25">
      <c r="A553">
        <v>670</v>
      </c>
      <c r="B553" t="s">
        <v>1179</v>
      </c>
      <c r="C553" t="s">
        <v>1176</v>
      </c>
      <c r="D553" t="s">
        <v>133</v>
      </c>
      <c r="E553" s="4">
        <v>1</v>
      </c>
      <c r="F553" t="s">
        <v>61</v>
      </c>
      <c r="G553" t="s">
        <v>61</v>
      </c>
      <c r="H553" s="3">
        <v>46168</v>
      </c>
      <c r="I553" s="3">
        <v>46168</v>
      </c>
      <c r="J553" t="s">
        <v>206</v>
      </c>
      <c r="K553" s="3">
        <v>46168</v>
      </c>
      <c r="L553" s="3">
        <v>46168</v>
      </c>
      <c r="M553" s="3">
        <v>46168</v>
      </c>
      <c r="N553" s="3">
        <v>46168</v>
      </c>
      <c r="O553" t="s">
        <v>206</v>
      </c>
      <c r="P553" t="s">
        <v>55</v>
      </c>
      <c r="Q553">
        <v>669</v>
      </c>
      <c r="S553" t="s">
        <v>124</v>
      </c>
      <c r="T553" t="s">
        <v>1109</v>
      </c>
      <c r="V553" t="s">
        <v>61</v>
      </c>
      <c r="W553">
        <v>13.4</v>
      </c>
      <c r="X553" t="s">
        <v>57</v>
      </c>
      <c r="Z553" t="s">
        <v>124</v>
      </c>
      <c r="AA553" t="s">
        <v>198</v>
      </c>
      <c r="AE553">
        <v>1</v>
      </c>
      <c r="AF553">
        <v>0</v>
      </c>
      <c r="AG553">
        <v>0</v>
      </c>
      <c r="AH553">
        <v>0</v>
      </c>
      <c r="AI553">
        <v>1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0</v>
      </c>
      <c r="AP553">
        <v>0</v>
      </c>
    </row>
    <row r="554" spans="1:42" x14ac:dyDescent="0.25">
      <c r="A554">
        <v>671</v>
      </c>
      <c r="B554" t="s">
        <v>1180</v>
      </c>
      <c r="C554" t="s">
        <v>1109</v>
      </c>
      <c r="D554" t="s">
        <v>1181</v>
      </c>
      <c r="E554" s="4">
        <v>1</v>
      </c>
      <c r="F554" t="s">
        <v>330</v>
      </c>
      <c r="G554" t="s">
        <v>330</v>
      </c>
      <c r="H554" s="3">
        <v>46156</v>
      </c>
      <c r="I554" s="3">
        <v>46176</v>
      </c>
      <c r="J554" t="s">
        <v>406</v>
      </c>
      <c r="K554" s="3">
        <v>46176</v>
      </c>
      <c r="L554" s="3">
        <v>46156</v>
      </c>
      <c r="M554" s="3">
        <v>46176</v>
      </c>
      <c r="N554" s="3">
        <v>46176</v>
      </c>
      <c r="O554" t="s">
        <v>406</v>
      </c>
      <c r="P554" t="s">
        <v>55</v>
      </c>
      <c r="T554" t="s">
        <v>1109</v>
      </c>
      <c r="V554" t="s">
        <v>151</v>
      </c>
      <c r="W554">
        <v>15.12</v>
      </c>
      <c r="X554" t="s">
        <v>57</v>
      </c>
      <c r="AA554" t="s">
        <v>50</v>
      </c>
      <c r="AB554" t="s">
        <v>94</v>
      </c>
      <c r="AE554">
        <v>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</row>
    <row r="555" spans="1:42" x14ac:dyDescent="0.25">
      <c r="A555">
        <v>672</v>
      </c>
      <c r="B555" t="s">
        <v>1182</v>
      </c>
      <c r="C555" t="s">
        <v>1183</v>
      </c>
      <c r="D555" t="s">
        <v>117</v>
      </c>
      <c r="E555" s="4">
        <v>1</v>
      </c>
      <c r="F555" t="s">
        <v>138</v>
      </c>
      <c r="G555" t="s">
        <v>138</v>
      </c>
      <c r="H555" s="3">
        <v>46156</v>
      </c>
      <c r="I555" s="3">
        <v>46164</v>
      </c>
      <c r="J555" t="s">
        <v>406</v>
      </c>
      <c r="K555" s="3">
        <v>46164</v>
      </c>
      <c r="L555" s="3">
        <v>46156</v>
      </c>
      <c r="M555" s="3">
        <v>46164</v>
      </c>
      <c r="N555" s="3">
        <v>46164</v>
      </c>
      <c r="O555" t="s">
        <v>406</v>
      </c>
      <c r="P555" t="s">
        <v>55</v>
      </c>
      <c r="Q555" t="s">
        <v>1147</v>
      </c>
      <c r="S555" t="s">
        <v>1058</v>
      </c>
      <c r="T555" t="s">
        <v>1109</v>
      </c>
      <c r="U555">
        <v>673</v>
      </c>
      <c r="V555" t="s">
        <v>138</v>
      </c>
      <c r="W555">
        <v>13.4</v>
      </c>
      <c r="X555" t="s">
        <v>57</v>
      </c>
      <c r="Z555" t="s">
        <v>1058</v>
      </c>
      <c r="AA555" t="s">
        <v>401</v>
      </c>
      <c r="AE555">
        <v>1</v>
      </c>
      <c r="AF555">
        <v>1</v>
      </c>
      <c r="AG555">
        <v>1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1</v>
      </c>
    </row>
    <row r="556" spans="1:42" x14ac:dyDescent="0.25">
      <c r="A556">
        <v>673</v>
      </c>
      <c r="B556" t="s">
        <v>1184</v>
      </c>
      <c r="C556" t="s">
        <v>1183</v>
      </c>
      <c r="D556" t="s">
        <v>121</v>
      </c>
      <c r="E556" s="4">
        <v>1</v>
      </c>
      <c r="F556" t="s">
        <v>61</v>
      </c>
      <c r="G556" t="s">
        <v>61</v>
      </c>
      <c r="H556" s="3">
        <v>46164</v>
      </c>
      <c r="I556" s="3">
        <v>46167</v>
      </c>
      <c r="J556" t="s">
        <v>471</v>
      </c>
      <c r="K556" s="3">
        <v>46167</v>
      </c>
      <c r="L556" s="3">
        <v>46164</v>
      </c>
      <c r="M556" s="3">
        <v>46167</v>
      </c>
      <c r="N556" s="3">
        <v>46167</v>
      </c>
      <c r="O556" t="s">
        <v>471</v>
      </c>
      <c r="P556" t="s">
        <v>55</v>
      </c>
      <c r="Q556">
        <v>672</v>
      </c>
      <c r="S556" t="s">
        <v>124</v>
      </c>
      <c r="T556" t="s">
        <v>1109</v>
      </c>
      <c r="U556">
        <v>674</v>
      </c>
      <c r="V556" t="s">
        <v>122</v>
      </c>
      <c r="W556">
        <v>13.4</v>
      </c>
      <c r="X556" t="s">
        <v>57</v>
      </c>
      <c r="Z556" t="s">
        <v>124</v>
      </c>
      <c r="AA556" t="s">
        <v>93</v>
      </c>
      <c r="AE556">
        <v>1</v>
      </c>
      <c r="AF556">
        <v>0</v>
      </c>
      <c r="AG556">
        <v>0</v>
      </c>
      <c r="AH556">
        <v>0</v>
      </c>
      <c r="AI556">
        <v>0</v>
      </c>
      <c r="AJ556">
        <v>1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</row>
    <row r="557" spans="1:42" x14ac:dyDescent="0.25">
      <c r="A557">
        <v>674</v>
      </c>
      <c r="B557" t="s">
        <v>1185</v>
      </c>
      <c r="C557" t="s">
        <v>1183</v>
      </c>
      <c r="D557" t="s">
        <v>126</v>
      </c>
      <c r="E557" s="4">
        <v>1</v>
      </c>
      <c r="F557" t="s">
        <v>127</v>
      </c>
      <c r="G557" t="s">
        <v>127</v>
      </c>
      <c r="H557" s="3">
        <v>46167</v>
      </c>
      <c r="I557" s="3">
        <v>46169</v>
      </c>
      <c r="J557" t="s">
        <v>74</v>
      </c>
      <c r="K557" s="3">
        <v>46169</v>
      </c>
      <c r="L557" s="3">
        <v>46167</v>
      </c>
      <c r="M557" s="3">
        <v>46169</v>
      </c>
      <c r="N557" s="3">
        <v>46169</v>
      </c>
      <c r="O557" t="s">
        <v>74</v>
      </c>
      <c r="P557" t="s">
        <v>55</v>
      </c>
      <c r="Q557">
        <v>673</v>
      </c>
      <c r="S557" t="s">
        <v>1058</v>
      </c>
      <c r="T557" t="s">
        <v>1109</v>
      </c>
      <c r="U557">
        <v>675</v>
      </c>
      <c r="V557" t="s">
        <v>61</v>
      </c>
      <c r="W557">
        <v>13.4</v>
      </c>
      <c r="X557" t="s">
        <v>57</v>
      </c>
      <c r="Z557" t="s">
        <v>1058</v>
      </c>
      <c r="AA557" t="s">
        <v>93</v>
      </c>
      <c r="AE557">
        <v>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1</v>
      </c>
      <c r="AM557">
        <v>0</v>
      </c>
      <c r="AN557">
        <v>0</v>
      </c>
      <c r="AO557">
        <v>0</v>
      </c>
      <c r="AP557">
        <v>0</v>
      </c>
    </row>
    <row r="558" spans="1:42" x14ac:dyDescent="0.25">
      <c r="A558">
        <v>675</v>
      </c>
      <c r="B558" t="s">
        <v>1186</v>
      </c>
      <c r="C558" t="s">
        <v>1183</v>
      </c>
      <c r="D558" t="s">
        <v>133</v>
      </c>
      <c r="E558" s="4">
        <v>1</v>
      </c>
      <c r="F558" t="s">
        <v>138</v>
      </c>
      <c r="G558" t="s">
        <v>138</v>
      </c>
      <c r="H558" s="3">
        <v>46169</v>
      </c>
      <c r="I558" s="3">
        <v>46176</v>
      </c>
      <c r="J558" t="s">
        <v>97</v>
      </c>
      <c r="K558" s="3">
        <v>46176</v>
      </c>
      <c r="L558" s="3">
        <v>46169</v>
      </c>
      <c r="M558" s="3">
        <v>46176</v>
      </c>
      <c r="N558" s="3">
        <v>46176</v>
      </c>
      <c r="O558" t="s">
        <v>97</v>
      </c>
      <c r="P558" t="s">
        <v>55</v>
      </c>
      <c r="Q558">
        <v>674</v>
      </c>
      <c r="S558" t="s">
        <v>124</v>
      </c>
      <c r="T558" t="s">
        <v>1109</v>
      </c>
      <c r="V558" t="s">
        <v>61</v>
      </c>
      <c r="W558">
        <v>13.4</v>
      </c>
      <c r="X558" t="s">
        <v>57</v>
      </c>
      <c r="Z558" t="s">
        <v>124</v>
      </c>
      <c r="AA558" t="s">
        <v>198</v>
      </c>
      <c r="AE558">
        <v>1</v>
      </c>
      <c r="AF558">
        <v>0</v>
      </c>
      <c r="AG558">
        <v>0</v>
      </c>
      <c r="AH558">
        <v>0</v>
      </c>
      <c r="AI558">
        <v>1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0</v>
      </c>
      <c r="AP558">
        <v>0</v>
      </c>
    </row>
    <row r="559" spans="1:42" x14ac:dyDescent="0.25">
      <c r="A559">
        <v>676</v>
      </c>
      <c r="B559" t="s">
        <v>1187</v>
      </c>
      <c r="C559" t="s">
        <v>1109</v>
      </c>
      <c r="D559" t="s">
        <v>1188</v>
      </c>
      <c r="E559" s="4">
        <v>1</v>
      </c>
      <c r="F559" t="s">
        <v>330</v>
      </c>
      <c r="G559" t="s">
        <v>330</v>
      </c>
      <c r="H559" s="3">
        <v>46156</v>
      </c>
      <c r="I559" s="3">
        <v>46176</v>
      </c>
      <c r="J559" t="s">
        <v>406</v>
      </c>
      <c r="K559" s="3">
        <v>46176</v>
      </c>
      <c r="L559" s="3">
        <v>46156</v>
      </c>
      <c r="M559" s="3">
        <v>46176</v>
      </c>
      <c r="N559" s="3">
        <v>46176</v>
      </c>
      <c r="O559" t="s">
        <v>406</v>
      </c>
      <c r="P559" t="s">
        <v>55</v>
      </c>
      <c r="T559" t="s">
        <v>1109</v>
      </c>
      <c r="V559" t="s">
        <v>151</v>
      </c>
      <c r="W559">
        <v>15.12</v>
      </c>
      <c r="X559" t="s">
        <v>57</v>
      </c>
      <c r="AA559" t="s">
        <v>50</v>
      </c>
      <c r="AB559" t="s">
        <v>94</v>
      </c>
      <c r="AE559">
        <v>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</row>
    <row r="560" spans="1:42" x14ac:dyDescent="0.25">
      <c r="A560">
        <v>677</v>
      </c>
      <c r="B560" t="s">
        <v>1189</v>
      </c>
      <c r="C560" t="s">
        <v>1190</v>
      </c>
      <c r="D560" t="s">
        <v>117</v>
      </c>
      <c r="E560" s="4">
        <v>1</v>
      </c>
      <c r="F560" t="s">
        <v>101</v>
      </c>
      <c r="G560" t="s">
        <v>101</v>
      </c>
      <c r="H560" s="3">
        <v>46156</v>
      </c>
      <c r="I560" s="3">
        <v>46164</v>
      </c>
      <c r="J560" t="s">
        <v>406</v>
      </c>
      <c r="K560" s="3">
        <v>46164</v>
      </c>
      <c r="L560" s="3">
        <v>46156</v>
      </c>
      <c r="M560" s="3">
        <v>46164</v>
      </c>
      <c r="N560" s="3">
        <v>46164</v>
      </c>
      <c r="O560" t="s">
        <v>406</v>
      </c>
      <c r="P560" t="s">
        <v>55</v>
      </c>
      <c r="Q560" t="s">
        <v>1147</v>
      </c>
      <c r="S560" t="s">
        <v>1058</v>
      </c>
      <c r="T560" t="s">
        <v>1109</v>
      </c>
      <c r="U560">
        <v>678</v>
      </c>
      <c r="V560" t="s">
        <v>138</v>
      </c>
      <c r="W560">
        <v>13.4</v>
      </c>
      <c r="X560" t="s">
        <v>57</v>
      </c>
      <c r="Z560" t="s">
        <v>1058</v>
      </c>
      <c r="AA560" t="s">
        <v>401</v>
      </c>
      <c r="AE560">
        <v>1</v>
      </c>
      <c r="AF560">
        <v>1</v>
      </c>
      <c r="AG560">
        <v>1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1</v>
      </c>
    </row>
    <row r="561" spans="1:42" x14ac:dyDescent="0.25">
      <c r="A561">
        <v>678</v>
      </c>
      <c r="B561" t="s">
        <v>1191</v>
      </c>
      <c r="C561" t="s">
        <v>1190</v>
      </c>
      <c r="D561" t="s">
        <v>121</v>
      </c>
      <c r="E561" s="4">
        <v>1</v>
      </c>
      <c r="F561" t="s">
        <v>61</v>
      </c>
      <c r="G561" t="s">
        <v>61</v>
      </c>
      <c r="H561" s="3">
        <v>46164</v>
      </c>
      <c r="I561" s="3">
        <v>46167</v>
      </c>
      <c r="J561" t="s">
        <v>471</v>
      </c>
      <c r="K561" s="3">
        <v>46167</v>
      </c>
      <c r="L561" s="3">
        <v>46164</v>
      </c>
      <c r="M561" s="3">
        <v>46167</v>
      </c>
      <c r="N561" s="3">
        <v>46167</v>
      </c>
      <c r="O561" t="s">
        <v>471</v>
      </c>
      <c r="P561" t="s">
        <v>55</v>
      </c>
      <c r="Q561">
        <v>677</v>
      </c>
      <c r="S561" t="s">
        <v>124</v>
      </c>
      <c r="T561" t="s">
        <v>1109</v>
      </c>
      <c r="U561">
        <v>679</v>
      </c>
      <c r="V561" t="s">
        <v>122</v>
      </c>
      <c r="W561">
        <v>13.4</v>
      </c>
      <c r="X561" t="s">
        <v>57</v>
      </c>
      <c r="Z561" t="s">
        <v>124</v>
      </c>
      <c r="AA561" t="s">
        <v>93</v>
      </c>
      <c r="AE561">
        <v>1</v>
      </c>
      <c r="AF561">
        <v>0</v>
      </c>
      <c r="AG561">
        <v>0</v>
      </c>
      <c r="AH561">
        <v>0</v>
      </c>
      <c r="AI561">
        <v>0</v>
      </c>
      <c r="AJ561">
        <v>1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</row>
    <row r="562" spans="1:42" x14ac:dyDescent="0.25">
      <c r="A562">
        <v>679</v>
      </c>
      <c r="B562" t="s">
        <v>1192</v>
      </c>
      <c r="C562" t="s">
        <v>1190</v>
      </c>
      <c r="D562" t="s">
        <v>126</v>
      </c>
      <c r="E562" s="4">
        <v>1</v>
      </c>
      <c r="F562" t="s">
        <v>122</v>
      </c>
      <c r="G562" t="s">
        <v>122</v>
      </c>
      <c r="H562" s="3">
        <v>46167</v>
      </c>
      <c r="I562" s="3">
        <v>46170</v>
      </c>
      <c r="J562" t="s">
        <v>74</v>
      </c>
      <c r="K562" s="3">
        <v>46170</v>
      </c>
      <c r="L562" s="3">
        <v>46167</v>
      </c>
      <c r="M562" s="3">
        <v>46170</v>
      </c>
      <c r="N562" s="3">
        <v>46170</v>
      </c>
      <c r="O562" t="s">
        <v>74</v>
      </c>
      <c r="P562" t="s">
        <v>55</v>
      </c>
      <c r="Q562">
        <v>678</v>
      </c>
      <c r="S562" t="s">
        <v>1058</v>
      </c>
      <c r="T562" t="s">
        <v>1109</v>
      </c>
      <c r="U562">
        <v>680</v>
      </c>
      <c r="V562" t="s">
        <v>61</v>
      </c>
      <c r="W562">
        <v>13.4</v>
      </c>
      <c r="X562" t="s">
        <v>57</v>
      </c>
      <c r="Z562" t="s">
        <v>1058</v>
      </c>
      <c r="AA562" t="s">
        <v>93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1</v>
      </c>
      <c r="AM562">
        <v>0</v>
      </c>
      <c r="AN562">
        <v>0</v>
      </c>
      <c r="AO562">
        <v>0</v>
      </c>
      <c r="AP562">
        <v>0</v>
      </c>
    </row>
    <row r="563" spans="1:42" x14ac:dyDescent="0.25">
      <c r="A563">
        <v>680</v>
      </c>
      <c r="B563" t="s">
        <v>1193</v>
      </c>
      <c r="C563" t="s">
        <v>1190</v>
      </c>
      <c r="D563" t="s">
        <v>133</v>
      </c>
      <c r="E563" s="4">
        <v>1</v>
      </c>
      <c r="F563" t="s">
        <v>1194</v>
      </c>
      <c r="G563" t="s">
        <v>1194</v>
      </c>
      <c r="H563" s="3">
        <v>46170</v>
      </c>
      <c r="I563" s="3">
        <v>46176</v>
      </c>
      <c r="J563" t="s">
        <v>448</v>
      </c>
      <c r="K563" s="3">
        <v>46176</v>
      </c>
      <c r="L563" s="3">
        <v>46170</v>
      </c>
      <c r="M563" s="3">
        <v>46176</v>
      </c>
      <c r="N563" s="3">
        <v>46176</v>
      </c>
      <c r="O563" t="s">
        <v>448</v>
      </c>
      <c r="P563" t="s">
        <v>55</v>
      </c>
      <c r="Q563">
        <v>679</v>
      </c>
      <c r="S563" t="s">
        <v>124</v>
      </c>
      <c r="T563" t="s">
        <v>1109</v>
      </c>
      <c r="V563" t="s">
        <v>61</v>
      </c>
      <c r="W563">
        <v>13.4</v>
      </c>
      <c r="X563" t="s">
        <v>57</v>
      </c>
      <c r="Z563" t="s">
        <v>124</v>
      </c>
      <c r="AA563" t="s">
        <v>198</v>
      </c>
      <c r="AE563">
        <v>1</v>
      </c>
      <c r="AF563">
        <v>0</v>
      </c>
      <c r="AG563">
        <v>0</v>
      </c>
      <c r="AH563">
        <v>0</v>
      </c>
      <c r="AI563">
        <v>1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0</v>
      </c>
      <c r="AP563">
        <v>0</v>
      </c>
    </row>
    <row r="564" spans="1:42" x14ac:dyDescent="0.25">
      <c r="A564">
        <v>681</v>
      </c>
      <c r="B564" t="s">
        <v>1195</v>
      </c>
      <c r="C564" t="s">
        <v>1109</v>
      </c>
      <c r="D564" t="s">
        <v>1196</v>
      </c>
      <c r="E564" s="4">
        <v>1</v>
      </c>
      <c r="F564" t="s">
        <v>295</v>
      </c>
      <c r="G564" t="s">
        <v>295</v>
      </c>
      <c r="H564" s="3">
        <v>46149</v>
      </c>
      <c r="I564" s="3">
        <v>46170</v>
      </c>
      <c r="J564" t="s">
        <v>183</v>
      </c>
      <c r="K564" s="3">
        <v>46160</v>
      </c>
      <c r="L564" s="3">
        <v>46147</v>
      </c>
      <c r="M564" s="3">
        <v>46170</v>
      </c>
      <c r="N564" s="3">
        <v>46170</v>
      </c>
      <c r="O564" t="s">
        <v>416</v>
      </c>
      <c r="P564" t="s">
        <v>55</v>
      </c>
      <c r="T564" t="s">
        <v>1109</v>
      </c>
      <c r="V564" t="s">
        <v>151</v>
      </c>
      <c r="W564">
        <v>15.12</v>
      </c>
      <c r="X564" t="s">
        <v>57</v>
      </c>
      <c r="AA564" t="s">
        <v>50</v>
      </c>
      <c r="AE564">
        <v>1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</row>
    <row r="565" spans="1:42" x14ac:dyDescent="0.25">
      <c r="A565">
        <v>682</v>
      </c>
      <c r="B565" t="s">
        <v>1197</v>
      </c>
      <c r="C565" t="s">
        <v>1198</v>
      </c>
      <c r="D565" t="s">
        <v>117</v>
      </c>
      <c r="E565" s="4">
        <v>1</v>
      </c>
      <c r="F565" t="s">
        <v>101</v>
      </c>
      <c r="G565" t="s">
        <v>101</v>
      </c>
      <c r="H565" s="3">
        <v>46149</v>
      </c>
      <c r="I565" s="3">
        <v>46155</v>
      </c>
      <c r="J565" t="s">
        <v>183</v>
      </c>
      <c r="K565" s="3">
        <v>46153</v>
      </c>
      <c r="L565" s="3">
        <v>46147</v>
      </c>
      <c r="M565" s="3">
        <v>46155</v>
      </c>
      <c r="N565" s="3">
        <v>46155</v>
      </c>
      <c r="O565" t="s">
        <v>416</v>
      </c>
      <c r="P565" t="s">
        <v>55</v>
      </c>
      <c r="Q565" t="s">
        <v>1147</v>
      </c>
      <c r="S565" t="s">
        <v>1058</v>
      </c>
      <c r="T565" t="s">
        <v>1109</v>
      </c>
      <c r="U565">
        <v>683</v>
      </c>
      <c r="V565" t="s">
        <v>138</v>
      </c>
      <c r="W565">
        <v>13.4</v>
      </c>
      <c r="X565" t="s">
        <v>57</v>
      </c>
      <c r="Z565" t="s">
        <v>1058</v>
      </c>
      <c r="AA565" t="s">
        <v>401</v>
      </c>
      <c r="AE565">
        <v>1</v>
      </c>
      <c r="AF565">
        <v>1</v>
      </c>
      <c r="AG565">
        <v>1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1</v>
      </c>
    </row>
    <row r="566" spans="1:42" x14ac:dyDescent="0.25">
      <c r="A566">
        <v>683</v>
      </c>
      <c r="B566" t="s">
        <v>1199</v>
      </c>
      <c r="C566" t="s">
        <v>1198</v>
      </c>
      <c r="D566" t="s">
        <v>121</v>
      </c>
      <c r="E566" s="4">
        <v>1</v>
      </c>
      <c r="F566" t="s">
        <v>127</v>
      </c>
      <c r="G566" t="s">
        <v>127</v>
      </c>
      <c r="H566" s="3">
        <v>46156</v>
      </c>
      <c r="I566" s="3">
        <v>46157</v>
      </c>
      <c r="J566" t="s">
        <v>741</v>
      </c>
      <c r="K566" s="3">
        <v>46156</v>
      </c>
      <c r="L566" s="3">
        <v>46154</v>
      </c>
      <c r="M566" s="3">
        <v>46157</v>
      </c>
      <c r="N566" s="3">
        <v>46157</v>
      </c>
      <c r="O566" t="s">
        <v>406</v>
      </c>
      <c r="P566" t="s">
        <v>55</v>
      </c>
      <c r="Q566">
        <v>682</v>
      </c>
      <c r="S566" t="s">
        <v>124</v>
      </c>
      <c r="T566" t="s">
        <v>1109</v>
      </c>
      <c r="U566">
        <v>684</v>
      </c>
      <c r="V566" t="s">
        <v>122</v>
      </c>
      <c r="W566">
        <v>13.4</v>
      </c>
      <c r="X566" t="s">
        <v>57</v>
      </c>
      <c r="Z566" t="s">
        <v>124</v>
      </c>
      <c r="AA566" t="s">
        <v>93</v>
      </c>
      <c r="AE566">
        <v>1</v>
      </c>
      <c r="AF566">
        <v>0</v>
      </c>
      <c r="AG566">
        <v>0</v>
      </c>
      <c r="AH566">
        <v>0</v>
      </c>
      <c r="AI566">
        <v>0</v>
      </c>
      <c r="AJ566">
        <v>1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</row>
    <row r="567" spans="1:42" x14ac:dyDescent="0.25">
      <c r="A567">
        <v>684</v>
      </c>
      <c r="B567" t="s">
        <v>1200</v>
      </c>
      <c r="C567" t="s">
        <v>1198</v>
      </c>
      <c r="D567" t="s">
        <v>126</v>
      </c>
      <c r="E567" s="4">
        <v>1</v>
      </c>
      <c r="F567" t="s">
        <v>138</v>
      </c>
      <c r="G567" t="s">
        <v>138</v>
      </c>
      <c r="H567" s="3">
        <v>46157</v>
      </c>
      <c r="I567" s="3">
        <v>46164</v>
      </c>
      <c r="J567" t="s">
        <v>444</v>
      </c>
      <c r="K567" s="3">
        <v>46157</v>
      </c>
      <c r="L567" s="3">
        <v>46157</v>
      </c>
      <c r="M567" s="3">
        <v>46164</v>
      </c>
      <c r="N567" s="3">
        <v>46164</v>
      </c>
      <c r="O567" t="s">
        <v>444</v>
      </c>
      <c r="P567" t="s">
        <v>55</v>
      </c>
      <c r="Q567">
        <v>683</v>
      </c>
      <c r="S567" t="s">
        <v>1058</v>
      </c>
      <c r="T567" t="s">
        <v>1109</v>
      </c>
      <c r="U567">
        <v>685</v>
      </c>
      <c r="V567" t="s">
        <v>61</v>
      </c>
      <c r="W567">
        <v>13.4</v>
      </c>
      <c r="X567" t="s">
        <v>57</v>
      </c>
      <c r="Z567" t="s">
        <v>1058</v>
      </c>
      <c r="AA567" t="s">
        <v>93</v>
      </c>
      <c r="AE567">
        <v>1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1</v>
      </c>
      <c r="AM567">
        <v>0</v>
      </c>
      <c r="AN567">
        <v>0</v>
      </c>
      <c r="AO567">
        <v>0</v>
      </c>
      <c r="AP567">
        <v>0</v>
      </c>
    </row>
    <row r="568" spans="1:42" x14ac:dyDescent="0.25">
      <c r="A568">
        <v>685</v>
      </c>
      <c r="B568" t="s">
        <v>1201</v>
      </c>
      <c r="C568" t="s">
        <v>1198</v>
      </c>
      <c r="D568" t="s">
        <v>133</v>
      </c>
      <c r="E568" s="4">
        <v>1</v>
      </c>
      <c r="F568" t="s">
        <v>1194</v>
      </c>
      <c r="G568" t="s">
        <v>1194</v>
      </c>
      <c r="H568" s="3">
        <v>46161</v>
      </c>
      <c r="I568" s="3">
        <v>46170</v>
      </c>
      <c r="J568" t="s">
        <v>185</v>
      </c>
      <c r="K568" s="3">
        <v>46160</v>
      </c>
      <c r="L568" s="3">
        <v>46160</v>
      </c>
      <c r="M568" s="3">
        <v>46170</v>
      </c>
      <c r="N568" s="3">
        <v>46170</v>
      </c>
      <c r="O568" t="s">
        <v>90</v>
      </c>
      <c r="P568" t="s">
        <v>55</v>
      </c>
      <c r="Q568">
        <v>684</v>
      </c>
      <c r="S568" t="s">
        <v>124</v>
      </c>
      <c r="T568" t="s">
        <v>1109</v>
      </c>
      <c r="V568" t="s">
        <v>61</v>
      </c>
      <c r="W568">
        <v>13.4</v>
      </c>
      <c r="X568" t="s">
        <v>57</v>
      </c>
      <c r="Z568" t="s">
        <v>124</v>
      </c>
      <c r="AA568" t="s">
        <v>198</v>
      </c>
      <c r="AE568">
        <v>1</v>
      </c>
      <c r="AF568">
        <v>0</v>
      </c>
      <c r="AG568">
        <v>0</v>
      </c>
      <c r="AH568">
        <v>0</v>
      </c>
      <c r="AI568">
        <v>1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0</v>
      </c>
      <c r="AP568">
        <v>0</v>
      </c>
    </row>
    <row r="569" spans="1:42" x14ac:dyDescent="0.25">
      <c r="A569">
        <v>686</v>
      </c>
      <c r="B569" t="s">
        <v>1202</v>
      </c>
      <c r="C569" t="s">
        <v>1109</v>
      </c>
      <c r="D569" t="s">
        <v>1203</v>
      </c>
      <c r="E569" s="4">
        <v>1</v>
      </c>
      <c r="F569" t="s">
        <v>613</v>
      </c>
      <c r="G569" t="s">
        <v>613</v>
      </c>
      <c r="H569" s="3">
        <v>46161</v>
      </c>
      <c r="I569" s="3">
        <v>46195</v>
      </c>
      <c r="J569" t="s">
        <v>183</v>
      </c>
      <c r="K569" s="3">
        <v>46160</v>
      </c>
      <c r="L569" s="3">
        <v>46147</v>
      </c>
      <c r="M569" s="3">
        <v>46195</v>
      </c>
      <c r="N569" s="3">
        <v>46195</v>
      </c>
      <c r="O569" t="s">
        <v>90</v>
      </c>
      <c r="P569" t="s">
        <v>55</v>
      </c>
      <c r="T569" t="s">
        <v>1109</v>
      </c>
      <c r="V569" t="s">
        <v>151</v>
      </c>
      <c r="W569">
        <v>15.12</v>
      </c>
      <c r="X569" t="s">
        <v>57</v>
      </c>
      <c r="AA569" t="s">
        <v>50</v>
      </c>
      <c r="AE569">
        <v>1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</row>
    <row r="570" spans="1:42" x14ac:dyDescent="0.25">
      <c r="A570">
        <v>687</v>
      </c>
      <c r="B570" t="s">
        <v>1204</v>
      </c>
      <c r="C570" t="s">
        <v>1205</v>
      </c>
      <c r="D570" t="s">
        <v>117</v>
      </c>
      <c r="E570" s="4">
        <v>1</v>
      </c>
      <c r="F570" t="s">
        <v>539</v>
      </c>
      <c r="G570" t="s">
        <v>539</v>
      </c>
      <c r="H570" s="3">
        <v>46161</v>
      </c>
      <c r="I570" s="3">
        <v>46162</v>
      </c>
      <c r="J570" t="s">
        <v>183</v>
      </c>
      <c r="K570" s="3">
        <v>46153</v>
      </c>
      <c r="L570" s="3">
        <v>46147</v>
      </c>
      <c r="M570" s="3">
        <v>46162</v>
      </c>
      <c r="N570" s="3">
        <v>46162</v>
      </c>
      <c r="O570" t="s">
        <v>90</v>
      </c>
      <c r="P570" t="s">
        <v>55</v>
      </c>
      <c r="Q570" t="s">
        <v>1147</v>
      </c>
      <c r="S570" t="s">
        <v>1058</v>
      </c>
      <c r="T570" t="s">
        <v>1109</v>
      </c>
      <c r="U570">
        <v>688</v>
      </c>
      <c r="V570" t="s">
        <v>138</v>
      </c>
      <c r="W570">
        <v>13.4</v>
      </c>
      <c r="X570" t="s">
        <v>57</v>
      </c>
      <c r="Z570" t="s">
        <v>1058</v>
      </c>
      <c r="AA570" t="s">
        <v>401</v>
      </c>
      <c r="AE570">
        <v>1</v>
      </c>
      <c r="AF570">
        <v>1</v>
      </c>
      <c r="AG570">
        <v>1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1</v>
      </c>
    </row>
    <row r="571" spans="1:42" x14ac:dyDescent="0.25">
      <c r="A571">
        <v>688</v>
      </c>
      <c r="B571" t="s">
        <v>1206</v>
      </c>
      <c r="C571" t="s">
        <v>1205</v>
      </c>
      <c r="D571" t="s">
        <v>121</v>
      </c>
      <c r="E571" s="4">
        <v>1</v>
      </c>
      <c r="F571" t="s">
        <v>122</v>
      </c>
      <c r="G571" t="s">
        <v>122</v>
      </c>
      <c r="H571" s="3">
        <v>46162</v>
      </c>
      <c r="I571" s="3">
        <v>46167</v>
      </c>
      <c r="J571" t="s">
        <v>741</v>
      </c>
      <c r="K571" s="3">
        <v>46156</v>
      </c>
      <c r="L571" s="3">
        <v>46154</v>
      </c>
      <c r="M571" s="3">
        <v>46167</v>
      </c>
      <c r="N571" s="3">
        <v>46167</v>
      </c>
      <c r="O571" t="s">
        <v>200</v>
      </c>
      <c r="P571" t="s">
        <v>55</v>
      </c>
      <c r="Q571">
        <v>687</v>
      </c>
      <c r="S571" t="s">
        <v>124</v>
      </c>
      <c r="T571" t="s">
        <v>1109</v>
      </c>
      <c r="U571">
        <v>689</v>
      </c>
      <c r="V571" t="s">
        <v>122</v>
      </c>
      <c r="W571">
        <v>13.4</v>
      </c>
      <c r="X571" t="s">
        <v>57</v>
      </c>
      <c r="Z571" t="s">
        <v>124</v>
      </c>
      <c r="AA571" t="s">
        <v>93</v>
      </c>
      <c r="AE571">
        <v>1</v>
      </c>
      <c r="AF571">
        <v>0</v>
      </c>
      <c r="AG571">
        <v>0</v>
      </c>
      <c r="AH571">
        <v>0</v>
      </c>
      <c r="AI571">
        <v>0</v>
      </c>
      <c r="AJ571">
        <v>1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</row>
    <row r="572" spans="1:42" x14ac:dyDescent="0.25">
      <c r="A572">
        <v>689</v>
      </c>
      <c r="B572" t="s">
        <v>1207</v>
      </c>
      <c r="C572" t="s">
        <v>1205</v>
      </c>
      <c r="D572" t="s">
        <v>126</v>
      </c>
      <c r="E572" s="4">
        <v>1</v>
      </c>
      <c r="F572" t="s">
        <v>61</v>
      </c>
      <c r="G572" t="s">
        <v>61</v>
      </c>
      <c r="H572" s="3">
        <v>46167</v>
      </c>
      <c r="I572" s="3">
        <v>46168</v>
      </c>
      <c r="J572" t="s">
        <v>444</v>
      </c>
      <c r="K572" s="3">
        <v>46157</v>
      </c>
      <c r="L572" s="3">
        <v>46157</v>
      </c>
      <c r="M572" s="3">
        <v>46168</v>
      </c>
      <c r="N572" s="3">
        <v>46168</v>
      </c>
      <c r="O572" t="s">
        <v>74</v>
      </c>
      <c r="P572" t="s">
        <v>55</v>
      </c>
      <c r="Q572">
        <v>688</v>
      </c>
      <c r="S572" t="s">
        <v>1058</v>
      </c>
      <c r="T572" t="s">
        <v>1109</v>
      </c>
      <c r="U572">
        <v>690</v>
      </c>
      <c r="V572" t="s">
        <v>61</v>
      </c>
      <c r="W572">
        <v>13.4</v>
      </c>
      <c r="X572" t="s">
        <v>57</v>
      </c>
      <c r="Z572" t="s">
        <v>1058</v>
      </c>
      <c r="AA572" t="s">
        <v>93</v>
      </c>
      <c r="AE572">
        <v>1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1</v>
      </c>
      <c r="AM572">
        <v>0</v>
      </c>
      <c r="AN572">
        <v>0</v>
      </c>
      <c r="AO572">
        <v>0</v>
      </c>
      <c r="AP572">
        <v>0</v>
      </c>
    </row>
    <row r="573" spans="1:42" x14ac:dyDescent="0.25">
      <c r="A573">
        <v>690</v>
      </c>
      <c r="B573" t="s">
        <v>1208</v>
      </c>
      <c r="C573" t="s">
        <v>1205</v>
      </c>
      <c r="D573" t="s">
        <v>133</v>
      </c>
      <c r="E573" s="4">
        <v>1</v>
      </c>
      <c r="F573" t="s">
        <v>1209</v>
      </c>
      <c r="G573" t="s">
        <v>1209</v>
      </c>
      <c r="H573" s="3">
        <v>46168</v>
      </c>
      <c r="I573" s="3">
        <v>46195</v>
      </c>
      <c r="J573" t="s">
        <v>185</v>
      </c>
      <c r="K573" s="3">
        <v>46160</v>
      </c>
      <c r="L573" s="3">
        <v>46160</v>
      </c>
      <c r="M573" s="3">
        <v>46195</v>
      </c>
      <c r="N573" s="3">
        <v>46195</v>
      </c>
      <c r="O573" t="s">
        <v>206</v>
      </c>
      <c r="P573" t="s">
        <v>55</v>
      </c>
      <c r="Q573">
        <v>689</v>
      </c>
      <c r="S573" t="s">
        <v>124</v>
      </c>
      <c r="T573" t="s">
        <v>1109</v>
      </c>
      <c r="V573" t="s">
        <v>61</v>
      </c>
      <c r="W573">
        <v>13.4</v>
      </c>
      <c r="X573" t="s">
        <v>57</v>
      </c>
      <c r="Z573" t="s">
        <v>124</v>
      </c>
      <c r="AA573" t="s">
        <v>198</v>
      </c>
      <c r="AE573">
        <v>1</v>
      </c>
      <c r="AF573">
        <v>0</v>
      </c>
      <c r="AG573">
        <v>0</v>
      </c>
      <c r="AH573">
        <v>0</v>
      </c>
      <c r="AI573">
        <v>1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0</v>
      </c>
      <c r="AP573">
        <v>0</v>
      </c>
    </row>
    <row r="574" spans="1:42" x14ac:dyDescent="0.25">
      <c r="A574">
        <v>701</v>
      </c>
      <c r="B574" t="s">
        <v>1210</v>
      </c>
      <c r="C574" t="s">
        <v>1109</v>
      </c>
      <c r="D574" t="s">
        <v>1211</v>
      </c>
      <c r="E574" s="4">
        <v>1</v>
      </c>
      <c r="F574" t="s">
        <v>295</v>
      </c>
      <c r="G574" t="s">
        <v>295</v>
      </c>
      <c r="H574" s="3">
        <v>46156</v>
      </c>
      <c r="I574" s="3">
        <v>46181</v>
      </c>
      <c r="J574" t="s">
        <v>183</v>
      </c>
      <c r="K574" s="3">
        <v>46160</v>
      </c>
      <c r="L574" s="3">
        <v>46147</v>
      </c>
      <c r="M574" s="3">
        <v>46181</v>
      </c>
      <c r="N574" s="3">
        <v>46181</v>
      </c>
      <c r="O574" t="s">
        <v>406</v>
      </c>
      <c r="P574" t="s">
        <v>55</v>
      </c>
      <c r="T574" t="s">
        <v>1109</v>
      </c>
      <c r="V574" t="s">
        <v>151</v>
      </c>
      <c r="W574">
        <v>15.12</v>
      </c>
      <c r="X574" t="s">
        <v>57</v>
      </c>
      <c r="AA574" t="s">
        <v>50</v>
      </c>
      <c r="AE574">
        <v>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</row>
    <row r="575" spans="1:42" x14ac:dyDescent="0.25">
      <c r="A575">
        <v>702</v>
      </c>
      <c r="B575" t="s">
        <v>1212</v>
      </c>
      <c r="C575" t="s">
        <v>1213</v>
      </c>
      <c r="D575" t="s">
        <v>117</v>
      </c>
      <c r="E575" s="4">
        <v>1</v>
      </c>
      <c r="F575" t="s">
        <v>175</v>
      </c>
      <c r="G575" t="s">
        <v>175</v>
      </c>
      <c r="H575" s="3">
        <v>46156</v>
      </c>
      <c r="I575" s="3">
        <v>46164</v>
      </c>
      <c r="J575" t="s">
        <v>183</v>
      </c>
      <c r="K575" s="3">
        <v>46153</v>
      </c>
      <c r="L575" s="3">
        <v>46147</v>
      </c>
      <c r="M575" s="3">
        <v>46164</v>
      </c>
      <c r="N575" s="3">
        <v>46164</v>
      </c>
      <c r="O575" t="s">
        <v>406</v>
      </c>
      <c r="P575" t="s">
        <v>55</v>
      </c>
      <c r="Q575" t="s">
        <v>1147</v>
      </c>
      <c r="S575" t="s">
        <v>1058</v>
      </c>
      <c r="T575" t="s">
        <v>1109</v>
      </c>
      <c r="U575">
        <v>703</v>
      </c>
      <c r="V575" t="s">
        <v>138</v>
      </c>
      <c r="W575">
        <v>13.4</v>
      </c>
      <c r="X575" t="s">
        <v>57</v>
      </c>
      <c r="Z575" t="s">
        <v>1058</v>
      </c>
      <c r="AA575" t="s">
        <v>401</v>
      </c>
      <c r="AE575">
        <v>1</v>
      </c>
      <c r="AF575">
        <v>1</v>
      </c>
      <c r="AG575">
        <v>1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1</v>
      </c>
    </row>
    <row r="576" spans="1:42" x14ac:dyDescent="0.25">
      <c r="A576">
        <v>703</v>
      </c>
      <c r="B576" t="s">
        <v>1214</v>
      </c>
      <c r="C576" t="s">
        <v>1213</v>
      </c>
      <c r="D576" t="s">
        <v>121</v>
      </c>
      <c r="E576" s="4">
        <v>1</v>
      </c>
      <c r="F576" t="s">
        <v>63</v>
      </c>
      <c r="G576" t="s">
        <v>63</v>
      </c>
      <c r="H576" s="3">
        <v>46163</v>
      </c>
      <c r="I576" s="3">
        <v>46164</v>
      </c>
      <c r="J576" t="s">
        <v>741</v>
      </c>
      <c r="K576" s="3">
        <v>46156</v>
      </c>
      <c r="L576" s="3">
        <v>46154</v>
      </c>
      <c r="M576" s="3">
        <v>46164</v>
      </c>
      <c r="N576" s="3">
        <v>46164</v>
      </c>
      <c r="O576" t="s">
        <v>491</v>
      </c>
      <c r="P576" t="s">
        <v>55</v>
      </c>
      <c r="Q576">
        <v>702</v>
      </c>
      <c r="S576" t="s">
        <v>124</v>
      </c>
      <c r="T576" t="s">
        <v>1109</v>
      </c>
      <c r="U576">
        <v>704</v>
      </c>
      <c r="V576" t="s">
        <v>122</v>
      </c>
      <c r="W576">
        <v>13.4</v>
      </c>
      <c r="X576" t="s">
        <v>57</v>
      </c>
      <c r="Z576" t="s">
        <v>124</v>
      </c>
      <c r="AA576" t="s">
        <v>93</v>
      </c>
      <c r="AE576">
        <v>1</v>
      </c>
      <c r="AF576">
        <v>0</v>
      </c>
      <c r="AG576">
        <v>0</v>
      </c>
      <c r="AH576">
        <v>0</v>
      </c>
      <c r="AI576">
        <v>0</v>
      </c>
      <c r="AJ576">
        <v>1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</row>
    <row r="577" spans="1:42" x14ac:dyDescent="0.25">
      <c r="A577">
        <v>704</v>
      </c>
      <c r="B577" t="s">
        <v>1215</v>
      </c>
      <c r="C577" t="s">
        <v>1213</v>
      </c>
      <c r="D577" t="s">
        <v>126</v>
      </c>
      <c r="E577" s="4">
        <v>1</v>
      </c>
      <c r="F577" t="s">
        <v>214</v>
      </c>
      <c r="G577" t="s">
        <v>214</v>
      </c>
      <c r="H577" s="3">
        <v>46167</v>
      </c>
      <c r="I577" s="3">
        <v>46174</v>
      </c>
      <c r="J577" t="s">
        <v>444</v>
      </c>
      <c r="K577" s="3">
        <v>46157</v>
      </c>
      <c r="L577" s="3">
        <v>46157</v>
      </c>
      <c r="M577" s="3">
        <v>46174</v>
      </c>
      <c r="N577" s="3">
        <v>46174</v>
      </c>
      <c r="O577" t="s">
        <v>74</v>
      </c>
      <c r="P577" t="s">
        <v>55</v>
      </c>
      <c r="Q577">
        <v>703</v>
      </c>
      <c r="S577" t="s">
        <v>1058</v>
      </c>
      <c r="T577" t="s">
        <v>1109</v>
      </c>
      <c r="U577">
        <v>705</v>
      </c>
      <c r="V577" t="s">
        <v>61</v>
      </c>
      <c r="W577">
        <v>13.4</v>
      </c>
      <c r="X577" t="s">
        <v>57</v>
      </c>
      <c r="Z577" t="s">
        <v>1058</v>
      </c>
      <c r="AA577" t="s">
        <v>93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1</v>
      </c>
      <c r="AM577">
        <v>0</v>
      </c>
      <c r="AN577">
        <v>0</v>
      </c>
      <c r="AO577">
        <v>0</v>
      </c>
      <c r="AP577">
        <v>0</v>
      </c>
    </row>
    <row r="578" spans="1:42" x14ac:dyDescent="0.25">
      <c r="A578">
        <v>705</v>
      </c>
      <c r="B578" t="s">
        <v>1216</v>
      </c>
      <c r="C578" t="s">
        <v>1213</v>
      </c>
      <c r="D578" t="s">
        <v>133</v>
      </c>
      <c r="E578" s="4">
        <v>1</v>
      </c>
      <c r="F578" t="s">
        <v>840</v>
      </c>
      <c r="G578" t="s">
        <v>840</v>
      </c>
      <c r="H578" s="3">
        <v>46174</v>
      </c>
      <c r="I578" s="3">
        <v>46181</v>
      </c>
      <c r="J578" t="s">
        <v>185</v>
      </c>
      <c r="K578" s="3">
        <v>46160</v>
      </c>
      <c r="L578" s="3">
        <v>46160</v>
      </c>
      <c r="M578" s="3">
        <v>46181</v>
      </c>
      <c r="N578" s="3">
        <v>46181</v>
      </c>
      <c r="O578" t="s">
        <v>193</v>
      </c>
      <c r="P578" t="s">
        <v>55</v>
      </c>
      <c r="Q578">
        <v>704</v>
      </c>
      <c r="S578" t="s">
        <v>124</v>
      </c>
      <c r="T578" t="s">
        <v>1109</v>
      </c>
      <c r="V578" t="s">
        <v>61</v>
      </c>
      <c r="W578">
        <v>13.4</v>
      </c>
      <c r="X578" t="s">
        <v>57</v>
      </c>
      <c r="Z578" t="s">
        <v>124</v>
      </c>
      <c r="AA578" t="s">
        <v>198</v>
      </c>
      <c r="AE578">
        <v>1</v>
      </c>
      <c r="AF578">
        <v>0</v>
      </c>
      <c r="AG578">
        <v>0</v>
      </c>
      <c r="AH578">
        <v>0</v>
      </c>
      <c r="AI578">
        <v>1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0</v>
      </c>
      <c r="AP578">
        <v>0</v>
      </c>
    </row>
    <row r="579" spans="1:42" x14ac:dyDescent="0.25">
      <c r="A579">
        <v>706</v>
      </c>
      <c r="B579" t="s">
        <v>1217</v>
      </c>
      <c r="C579" t="s">
        <v>1109</v>
      </c>
      <c r="D579" t="s">
        <v>1218</v>
      </c>
      <c r="E579" s="4">
        <v>1</v>
      </c>
      <c r="F579" t="s">
        <v>690</v>
      </c>
      <c r="G579" t="s">
        <v>690</v>
      </c>
      <c r="H579" s="3">
        <v>46155</v>
      </c>
      <c r="I579" s="3">
        <v>46170</v>
      </c>
      <c r="J579" t="s">
        <v>68</v>
      </c>
      <c r="K579" s="3">
        <v>46170</v>
      </c>
      <c r="L579" s="3">
        <v>46155</v>
      </c>
      <c r="M579" s="3">
        <v>46170</v>
      </c>
      <c r="N579" s="3">
        <v>46170</v>
      </c>
      <c r="O579" t="s">
        <v>68</v>
      </c>
      <c r="P579" t="s">
        <v>55</v>
      </c>
      <c r="T579" t="s">
        <v>1109</v>
      </c>
      <c r="V579" t="s">
        <v>330</v>
      </c>
      <c r="W579">
        <v>30.72</v>
      </c>
      <c r="X579" t="s">
        <v>57</v>
      </c>
      <c r="AA579" t="s">
        <v>50</v>
      </c>
      <c r="AB579" t="s">
        <v>94</v>
      </c>
      <c r="AE579">
        <v>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</row>
    <row r="580" spans="1:42" x14ac:dyDescent="0.25">
      <c r="A580">
        <v>707</v>
      </c>
      <c r="B580" t="s">
        <v>1219</v>
      </c>
      <c r="C580" t="s">
        <v>1220</v>
      </c>
      <c r="D580" t="s">
        <v>117</v>
      </c>
      <c r="E580" s="4">
        <v>1</v>
      </c>
      <c r="F580" t="s">
        <v>127</v>
      </c>
      <c r="G580" t="s">
        <v>127</v>
      </c>
      <c r="H580" s="3">
        <v>46155</v>
      </c>
      <c r="I580" s="3">
        <v>46156</v>
      </c>
      <c r="J580" t="s">
        <v>68</v>
      </c>
      <c r="K580" s="3">
        <v>46156</v>
      </c>
      <c r="L580" s="3">
        <v>46155</v>
      </c>
      <c r="M580" s="3">
        <v>46156</v>
      </c>
      <c r="N580" s="3">
        <v>46156</v>
      </c>
      <c r="O580" t="s">
        <v>68</v>
      </c>
      <c r="P580" t="s">
        <v>55</v>
      </c>
      <c r="Q580">
        <v>620</v>
      </c>
      <c r="S580" t="s">
        <v>1058</v>
      </c>
      <c r="T580" t="s">
        <v>1109</v>
      </c>
      <c r="U580">
        <v>708</v>
      </c>
      <c r="V580" t="s">
        <v>151</v>
      </c>
      <c r="W580">
        <v>13.4</v>
      </c>
      <c r="X580" t="s">
        <v>57</v>
      </c>
      <c r="Z580" t="s">
        <v>1058</v>
      </c>
      <c r="AA580" t="s">
        <v>462</v>
      </c>
      <c r="AE580">
        <v>1</v>
      </c>
      <c r="AF580">
        <v>1</v>
      </c>
      <c r="AG580">
        <v>1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1</v>
      </c>
    </row>
    <row r="581" spans="1:42" x14ac:dyDescent="0.25">
      <c r="A581">
        <v>708</v>
      </c>
      <c r="B581" t="s">
        <v>1221</v>
      </c>
      <c r="C581" t="s">
        <v>1220</v>
      </c>
      <c r="D581" t="s">
        <v>121</v>
      </c>
      <c r="E581" s="4">
        <v>1</v>
      </c>
      <c r="F581" t="s">
        <v>122</v>
      </c>
      <c r="G581" t="s">
        <v>122</v>
      </c>
      <c r="H581" s="3">
        <v>46156</v>
      </c>
      <c r="I581" s="3">
        <v>46160</v>
      </c>
      <c r="J581" t="s">
        <v>406</v>
      </c>
      <c r="K581" s="3">
        <v>46160</v>
      </c>
      <c r="L581" s="3">
        <v>46156</v>
      </c>
      <c r="M581" s="3">
        <v>46160</v>
      </c>
      <c r="N581" s="3">
        <v>46160</v>
      </c>
      <c r="O581" t="s">
        <v>406</v>
      </c>
      <c r="P581" t="s">
        <v>55</v>
      </c>
      <c r="Q581">
        <v>707</v>
      </c>
      <c r="S581" t="s">
        <v>124</v>
      </c>
      <c r="T581" t="s">
        <v>1109</v>
      </c>
      <c r="U581">
        <v>709</v>
      </c>
      <c r="V581" t="s">
        <v>122</v>
      </c>
      <c r="W581">
        <v>13.4</v>
      </c>
      <c r="X581" t="s">
        <v>57</v>
      </c>
      <c r="Z581" t="s">
        <v>124</v>
      </c>
      <c r="AA581" t="s">
        <v>131</v>
      </c>
      <c r="AE581">
        <v>1</v>
      </c>
      <c r="AF581">
        <v>0</v>
      </c>
      <c r="AG581">
        <v>0</v>
      </c>
      <c r="AH581">
        <v>0</v>
      </c>
      <c r="AI581">
        <v>0</v>
      </c>
      <c r="AJ581">
        <v>1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</row>
    <row r="582" spans="1:42" x14ac:dyDescent="0.25">
      <c r="A582">
        <v>709</v>
      </c>
      <c r="B582" t="s">
        <v>1222</v>
      </c>
      <c r="C582" t="s">
        <v>1220</v>
      </c>
      <c r="D582" t="s">
        <v>126</v>
      </c>
      <c r="E582" s="4">
        <v>1</v>
      </c>
      <c r="F582" t="s">
        <v>61</v>
      </c>
      <c r="G582" t="s">
        <v>61</v>
      </c>
      <c r="H582" s="3">
        <v>46160</v>
      </c>
      <c r="I582" s="3">
        <v>46160</v>
      </c>
      <c r="J582" t="s">
        <v>185</v>
      </c>
      <c r="K582" s="3">
        <v>46160</v>
      </c>
      <c r="L582" s="3">
        <v>46160</v>
      </c>
      <c r="M582" s="3">
        <v>46160</v>
      </c>
      <c r="N582" s="3">
        <v>46160</v>
      </c>
      <c r="O582" t="s">
        <v>185</v>
      </c>
      <c r="P582" t="s">
        <v>55</v>
      </c>
      <c r="Q582">
        <v>708</v>
      </c>
      <c r="S582" t="s">
        <v>1058</v>
      </c>
      <c r="T582" t="s">
        <v>1109</v>
      </c>
      <c r="U582">
        <v>710</v>
      </c>
      <c r="V582" t="s">
        <v>61</v>
      </c>
      <c r="W582">
        <v>13.4</v>
      </c>
      <c r="X582" t="s">
        <v>57</v>
      </c>
      <c r="Z582" t="s">
        <v>1058</v>
      </c>
      <c r="AA582" t="s">
        <v>131</v>
      </c>
      <c r="AE582">
        <v>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1</v>
      </c>
      <c r="AM582">
        <v>0</v>
      </c>
      <c r="AN582">
        <v>0</v>
      </c>
      <c r="AO582">
        <v>0</v>
      </c>
      <c r="AP582">
        <v>0</v>
      </c>
    </row>
    <row r="583" spans="1:42" x14ac:dyDescent="0.25">
      <c r="A583">
        <v>710</v>
      </c>
      <c r="B583" t="s">
        <v>1223</v>
      </c>
      <c r="C583" t="s">
        <v>1220</v>
      </c>
      <c r="D583" t="s">
        <v>133</v>
      </c>
      <c r="E583" s="4">
        <v>1</v>
      </c>
      <c r="F583" t="s">
        <v>210</v>
      </c>
      <c r="G583" t="s">
        <v>210</v>
      </c>
      <c r="H583" s="3">
        <v>46160</v>
      </c>
      <c r="I583" s="3">
        <v>46170</v>
      </c>
      <c r="J583" t="s">
        <v>185</v>
      </c>
      <c r="K583" s="3">
        <v>46170</v>
      </c>
      <c r="L583" s="3">
        <v>46160</v>
      </c>
      <c r="M583" s="3">
        <v>46170</v>
      </c>
      <c r="N583" s="3">
        <v>46170</v>
      </c>
      <c r="O583" t="s">
        <v>185</v>
      </c>
      <c r="P583" t="s">
        <v>55</v>
      </c>
      <c r="Q583">
        <v>709</v>
      </c>
      <c r="S583" t="s">
        <v>124</v>
      </c>
      <c r="T583" t="s">
        <v>1109</v>
      </c>
      <c r="V583" t="s">
        <v>61</v>
      </c>
      <c r="W583">
        <v>13.4</v>
      </c>
      <c r="X583" t="s">
        <v>57</v>
      </c>
      <c r="Z583" t="s">
        <v>124</v>
      </c>
      <c r="AA583" t="s">
        <v>131</v>
      </c>
      <c r="AE583">
        <v>1</v>
      </c>
      <c r="AF583">
        <v>0</v>
      </c>
      <c r="AG583">
        <v>0</v>
      </c>
      <c r="AH583">
        <v>0</v>
      </c>
      <c r="AI583">
        <v>1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0</v>
      </c>
      <c r="AP583">
        <v>0</v>
      </c>
    </row>
    <row r="584" spans="1:42" x14ac:dyDescent="0.25">
      <c r="A584">
        <v>711</v>
      </c>
      <c r="B584" t="s">
        <v>1224</v>
      </c>
      <c r="C584" t="s">
        <v>1109</v>
      </c>
      <c r="D584" t="s">
        <v>1225</v>
      </c>
      <c r="E584" s="4">
        <v>1</v>
      </c>
      <c r="F584" t="s">
        <v>690</v>
      </c>
      <c r="G584" t="s">
        <v>690</v>
      </c>
      <c r="H584" s="3">
        <v>46155</v>
      </c>
      <c r="I584" s="3">
        <v>46170</v>
      </c>
      <c r="J584" t="s">
        <v>68</v>
      </c>
      <c r="K584" s="3">
        <v>46170</v>
      </c>
      <c r="L584" s="3">
        <v>46155</v>
      </c>
      <c r="M584" s="3">
        <v>46170</v>
      </c>
      <c r="N584" s="3">
        <v>46170</v>
      </c>
      <c r="O584" t="s">
        <v>68</v>
      </c>
      <c r="P584" t="s">
        <v>55</v>
      </c>
      <c r="T584" t="s">
        <v>1109</v>
      </c>
      <c r="V584" t="s">
        <v>330</v>
      </c>
      <c r="W584">
        <v>30.72</v>
      </c>
      <c r="X584" t="s">
        <v>57</v>
      </c>
      <c r="AA584" t="s">
        <v>50</v>
      </c>
      <c r="AB584" t="s">
        <v>94</v>
      </c>
      <c r="AE584">
        <v>1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</row>
    <row r="585" spans="1:42" x14ac:dyDescent="0.25">
      <c r="A585">
        <v>712</v>
      </c>
      <c r="B585" t="s">
        <v>1226</v>
      </c>
      <c r="C585" t="s">
        <v>1227</v>
      </c>
      <c r="D585" t="s">
        <v>117</v>
      </c>
      <c r="E585" s="4">
        <v>1</v>
      </c>
      <c r="F585" t="s">
        <v>127</v>
      </c>
      <c r="G585" t="s">
        <v>127</v>
      </c>
      <c r="H585" s="3">
        <v>46155</v>
      </c>
      <c r="I585" s="3">
        <v>46156</v>
      </c>
      <c r="J585" t="s">
        <v>68</v>
      </c>
      <c r="K585" s="3">
        <v>46156</v>
      </c>
      <c r="L585" s="3">
        <v>46155</v>
      </c>
      <c r="M585" s="3">
        <v>46156</v>
      </c>
      <c r="N585" s="3">
        <v>46156</v>
      </c>
      <c r="O585" t="s">
        <v>68</v>
      </c>
      <c r="P585" t="s">
        <v>55</v>
      </c>
      <c r="Q585">
        <v>620</v>
      </c>
      <c r="S585" t="s">
        <v>1058</v>
      </c>
      <c r="T585" t="s">
        <v>1109</v>
      </c>
      <c r="U585">
        <v>713</v>
      </c>
      <c r="V585" t="s">
        <v>151</v>
      </c>
      <c r="W585">
        <v>13.4</v>
      </c>
      <c r="X585" t="s">
        <v>57</v>
      </c>
      <c r="Z585" t="s">
        <v>1058</v>
      </c>
      <c r="AA585" t="s">
        <v>462</v>
      </c>
      <c r="AE585">
        <v>1</v>
      </c>
      <c r="AF585">
        <v>1</v>
      </c>
      <c r="AG585">
        <v>1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1</v>
      </c>
    </row>
    <row r="586" spans="1:42" x14ac:dyDescent="0.25">
      <c r="A586">
        <v>713</v>
      </c>
      <c r="B586" t="s">
        <v>1228</v>
      </c>
      <c r="C586" t="s">
        <v>1227</v>
      </c>
      <c r="D586" t="s">
        <v>121</v>
      </c>
      <c r="E586" s="4">
        <v>1</v>
      </c>
      <c r="F586" t="s">
        <v>122</v>
      </c>
      <c r="G586" t="s">
        <v>122</v>
      </c>
      <c r="H586" s="3">
        <v>46156</v>
      </c>
      <c r="I586" s="3">
        <v>46160</v>
      </c>
      <c r="J586" t="s">
        <v>406</v>
      </c>
      <c r="K586" s="3">
        <v>46160</v>
      </c>
      <c r="L586" s="3">
        <v>46156</v>
      </c>
      <c r="M586" s="3">
        <v>46160</v>
      </c>
      <c r="N586" s="3">
        <v>46160</v>
      </c>
      <c r="O586" t="s">
        <v>406</v>
      </c>
      <c r="P586" t="s">
        <v>55</v>
      </c>
      <c r="Q586">
        <v>712</v>
      </c>
      <c r="S586" t="s">
        <v>124</v>
      </c>
      <c r="T586" t="s">
        <v>1109</v>
      </c>
      <c r="U586">
        <v>714</v>
      </c>
      <c r="V586" t="s">
        <v>122</v>
      </c>
      <c r="W586">
        <v>13.4</v>
      </c>
      <c r="X586" t="s">
        <v>57</v>
      </c>
      <c r="Z586" t="s">
        <v>124</v>
      </c>
      <c r="AA586" t="s">
        <v>131</v>
      </c>
      <c r="AE586">
        <v>1</v>
      </c>
      <c r="AF586">
        <v>0</v>
      </c>
      <c r="AG586">
        <v>0</v>
      </c>
      <c r="AH586">
        <v>0</v>
      </c>
      <c r="AI586">
        <v>0</v>
      </c>
      <c r="AJ586">
        <v>1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</row>
    <row r="587" spans="1:42" x14ac:dyDescent="0.25">
      <c r="A587">
        <v>714</v>
      </c>
      <c r="B587" t="s">
        <v>1229</v>
      </c>
      <c r="C587" t="s">
        <v>1227</v>
      </c>
      <c r="D587" t="s">
        <v>126</v>
      </c>
      <c r="E587" s="4">
        <v>1</v>
      </c>
      <c r="F587" t="s">
        <v>61</v>
      </c>
      <c r="G587" t="s">
        <v>61</v>
      </c>
      <c r="H587" s="3">
        <v>46160</v>
      </c>
      <c r="I587" s="3">
        <v>46160</v>
      </c>
      <c r="J587" t="s">
        <v>185</v>
      </c>
      <c r="K587" s="3">
        <v>46160</v>
      </c>
      <c r="L587" s="3">
        <v>46160</v>
      </c>
      <c r="M587" s="3">
        <v>46160</v>
      </c>
      <c r="N587" s="3">
        <v>46160</v>
      </c>
      <c r="O587" t="s">
        <v>185</v>
      </c>
      <c r="P587" t="s">
        <v>55</v>
      </c>
      <c r="Q587">
        <v>713</v>
      </c>
      <c r="S587" t="s">
        <v>1058</v>
      </c>
      <c r="T587" t="s">
        <v>1109</v>
      </c>
      <c r="U587">
        <v>715</v>
      </c>
      <c r="V587" t="s">
        <v>61</v>
      </c>
      <c r="W587">
        <v>13.4</v>
      </c>
      <c r="X587" t="s">
        <v>57</v>
      </c>
      <c r="Z587" t="s">
        <v>1058</v>
      </c>
      <c r="AA587" t="s">
        <v>131</v>
      </c>
      <c r="AE587">
        <v>1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1</v>
      </c>
      <c r="AM587">
        <v>0</v>
      </c>
      <c r="AN587">
        <v>0</v>
      </c>
      <c r="AO587">
        <v>0</v>
      </c>
      <c r="AP587">
        <v>0</v>
      </c>
    </row>
    <row r="588" spans="1:42" x14ac:dyDescent="0.25">
      <c r="A588">
        <v>715</v>
      </c>
      <c r="B588" t="s">
        <v>1230</v>
      </c>
      <c r="C588" t="s">
        <v>1227</v>
      </c>
      <c r="D588" t="s">
        <v>133</v>
      </c>
      <c r="E588" s="4">
        <v>1</v>
      </c>
      <c r="F588" t="s">
        <v>210</v>
      </c>
      <c r="G588" t="s">
        <v>210</v>
      </c>
      <c r="H588" s="3">
        <v>46160</v>
      </c>
      <c r="I588" s="3">
        <v>46170</v>
      </c>
      <c r="J588" t="s">
        <v>185</v>
      </c>
      <c r="K588" s="3">
        <v>46170</v>
      </c>
      <c r="L588" s="3">
        <v>46160</v>
      </c>
      <c r="M588" s="3">
        <v>46170</v>
      </c>
      <c r="N588" s="3">
        <v>46170</v>
      </c>
      <c r="O588" t="s">
        <v>185</v>
      </c>
      <c r="P588" t="s">
        <v>55</v>
      </c>
      <c r="Q588">
        <v>714</v>
      </c>
      <c r="S588" t="s">
        <v>124</v>
      </c>
      <c r="T588" t="s">
        <v>1109</v>
      </c>
      <c r="V588" t="s">
        <v>61</v>
      </c>
      <c r="W588">
        <v>13.4</v>
      </c>
      <c r="X588" t="s">
        <v>57</v>
      </c>
      <c r="Z588" t="s">
        <v>124</v>
      </c>
      <c r="AA588" t="s">
        <v>131</v>
      </c>
      <c r="AE588">
        <v>1</v>
      </c>
      <c r="AF588">
        <v>0</v>
      </c>
      <c r="AG588">
        <v>0</v>
      </c>
      <c r="AH588">
        <v>0</v>
      </c>
      <c r="AI588">
        <v>1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0</v>
      </c>
      <c r="AP588">
        <v>0</v>
      </c>
    </row>
    <row r="589" spans="1:42" x14ac:dyDescent="0.25">
      <c r="A589">
        <v>716</v>
      </c>
      <c r="B589" t="s">
        <v>1231</v>
      </c>
      <c r="C589" t="s">
        <v>1109</v>
      </c>
      <c r="D589" t="s">
        <v>1232</v>
      </c>
      <c r="E589" s="4">
        <v>1</v>
      </c>
      <c r="F589" t="s">
        <v>690</v>
      </c>
      <c r="G589" t="s">
        <v>690</v>
      </c>
      <c r="H589" s="3">
        <v>46155</v>
      </c>
      <c r="I589" s="3">
        <v>46170</v>
      </c>
      <c r="J589" t="s">
        <v>201</v>
      </c>
      <c r="K589" s="3">
        <v>46199</v>
      </c>
      <c r="L589" s="3">
        <v>46181</v>
      </c>
      <c r="M589" s="3">
        <v>46170</v>
      </c>
      <c r="N589" s="3">
        <v>46170</v>
      </c>
      <c r="O589" t="s">
        <v>68</v>
      </c>
      <c r="P589" t="s">
        <v>55</v>
      </c>
      <c r="T589" t="s">
        <v>1109</v>
      </c>
      <c r="V589" t="s">
        <v>330</v>
      </c>
      <c r="W589">
        <v>30.72</v>
      </c>
      <c r="X589" t="s">
        <v>57</v>
      </c>
      <c r="AA589" t="s">
        <v>50</v>
      </c>
      <c r="AE589">
        <v>1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</row>
    <row r="590" spans="1:42" x14ac:dyDescent="0.25">
      <c r="A590">
        <v>717</v>
      </c>
      <c r="B590" t="s">
        <v>1233</v>
      </c>
      <c r="C590" t="s">
        <v>1234</v>
      </c>
      <c r="D590" t="s">
        <v>117</v>
      </c>
      <c r="E590" s="4">
        <v>1</v>
      </c>
      <c r="F590" t="s">
        <v>127</v>
      </c>
      <c r="G590" t="s">
        <v>127</v>
      </c>
      <c r="H590" s="3">
        <v>46155</v>
      </c>
      <c r="I590" s="3">
        <v>46156</v>
      </c>
      <c r="J590" t="s">
        <v>201</v>
      </c>
      <c r="K590" s="3">
        <v>46192</v>
      </c>
      <c r="L590" s="3">
        <v>46181</v>
      </c>
      <c r="M590" s="3">
        <v>46156</v>
      </c>
      <c r="N590" s="3">
        <v>46156</v>
      </c>
      <c r="O590" t="s">
        <v>68</v>
      </c>
      <c r="P590" t="s">
        <v>55</v>
      </c>
      <c r="Q590">
        <v>620</v>
      </c>
      <c r="S590" t="s">
        <v>1058</v>
      </c>
      <c r="T590" t="s">
        <v>1109</v>
      </c>
      <c r="U590">
        <v>718</v>
      </c>
      <c r="V590" t="s">
        <v>151</v>
      </c>
      <c r="W590">
        <v>13.4</v>
      </c>
      <c r="X590" t="s">
        <v>57</v>
      </c>
      <c r="Z590" t="s">
        <v>1058</v>
      </c>
      <c r="AA590" t="s">
        <v>462</v>
      </c>
      <c r="AE590">
        <v>1</v>
      </c>
      <c r="AF590">
        <v>1</v>
      </c>
      <c r="AG590">
        <v>1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1</v>
      </c>
    </row>
    <row r="591" spans="1:42" x14ac:dyDescent="0.25">
      <c r="A591">
        <v>718</v>
      </c>
      <c r="B591" t="s">
        <v>1235</v>
      </c>
      <c r="C591" t="s">
        <v>1234</v>
      </c>
      <c r="D591" t="s">
        <v>121</v>
      </c>
      <c r="E591" s="4">
        <v>1</v>
      </c>
      <c r="F591" t="s">
        <v>122</v>
      </c>
      <c r="G591" t="s">
        <v>122</v>
      </c>
      <c r="H591" s="3">
        <v>46156</v>
      </c>
      <c r="I591" s="3">
        <v>46160</v>
      </c>
      <c r="J591" t="s">
        <v>219</v>
      </c>
      <c r="K591" s="3">
        <v>46197</v>
      </c>
      <c r="L591" s="3">
        <v>46195</v>
      </c>
      <c r="M591" s="3">
        <v>46160</v>
      </c>
      <c r="N591" s="3">
        <v>46160</v>
      </c>
      <c r="O591" t="s">
        <v>406</v>
      </c>
      <c r="P591" t="s">
        <v>55</v>
      </c>
      <c r="Q591">
        <v>717</v>
      </c>
      <c r="S591" t="s">
        <v>124</v>
      </c>
      <c r="T591" t="s">
        <v>1109</v>
      </c>
      <c r="U591">
        <v>719</v>
      </c>
      <c r="V591" t="s">
        <v>122</v>
      </c>
      <c r="W591">
        <v>13.4</v>
      </c>
      <c r="X591" t="s">
        <v>57</v>
      </c>
      <c r="Z591" t="s">
        <v>124</v>
      </c>
      <c r="AA591" t="s">
        <v>131</v>
      </c>
      <c r="AE591">
        <v>1</v>
      </c>
      <c r="AF591">
        <v>0</v>
      </c>
      <c r="AG591">
        <v>0</v>
      </c>
      <c r="AH591">
        <v>0</v>
      </c>
      <c r="AI591">
        <v>0</v>
      </c>
      <c r="AJ591">
        <v>1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</row>
    <row r="592" spans="1:42" x14ac:dyDescent="0.25">
      <c r="A592">
        <v>719</v>
      </c>
      <c r="B592" t="s">
        <v>1236</v>
      </c>
      <c r="C592" t="s">
        <v>1234</v>
      </c>
      <c r="D592" t="s">
        <v>126</v>
      </c>
      <c r="E592" s="4">
        <v>1</v>
      </c>
      <c r="F592" t="s">
        <v>61</v>
      </c>
      <c r="G592" t="s">
        <v>61</v>
      </c>
      <c r="H592" s="3">
        <v>46160</v>
      </c>
      <c r="I592" s="3">
        <v>46160</v>
      </c>
      <c r="J592" t="s">
        <v>128</v>
      </c>
      <c r="K592" s="3">
        <v>46198</v>
      </c>
      <c r="L592" s="3">
        <v>46198</v>
      </c>
      <c r="M592" s="3">
        <v>46160</v>
      </c>
      <c r="N592" s="3">
        <v>46160</v>
      </c>
      <c r="O592" t="s">
        <v>185</v>
      </c>
      <c r="P592" t="s">
        <v>55</v>
      </c>
      <c r="Q592">
        <v>718</v>
      </c>
      <c r="S592" t="s">
        <v>1058</v>
      </c>
      <c r="T592" t="s">
        <v>1109</v>
      </c>
      <c r="U592">
        <v>720</v>
      </c>
      <c r="V592" t="s">
        <v>61</v>
      </c>
      <c r="W592">
        <v>13.4</v>
      </c>
      <c r="X592" t="s">
        <v>57</v>
      </c>
      <c r="Z592" t="s">
        <v>1058</v>
      </c>
      <c r="AA592" t="s">
        <v>131</v>
      </c>
      <c r="AE592">
        <v>1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1</v>
      </c>
      <c r="AM592">
        <v>0</v>
      </c>
      <c r="AN592">
        <v>0</v>
      </c>
      <c r="AO592">
        <v>0</v>
      </c>
      <c r="AP592">
        <v>0</v>
      </c>
    </row>
    <row r="593" spans="1:42" x14ac:dyDescent="0.25">
      <c r="A593">
        <v>720</v>
      </c>
      <c r="B593" t="s">
        <v>1237</v>
      </c>
      <c r="C593" t="s">
        <v>1234</v>
      </c>
      <c r="D593" t="s">
        <v>133</v>
      </c>
      <c r="E593" s="4">
        <v>1</v>
      </c>
      <c r="F593" t="s">
        <v>210</v>
      </c>
      <c r="G593" t="s">
        <v>210</v>
      </c>
      <c r="H593" s="3">
        <v>46160</v>
      </c>
      <c r="I593" s="3">
        <v>46170</v>
      </c>
      <c r="J593" t="s">
        <v>134</v>
      </c>
      <c r="K593" s="3">
        <v>46199</v>
      </c>
      <c r="L593" s="3">
        <v>46199</v>
      </c>
      <c r="M593" s="3">
        <v>46170</v>
      </c>
      <c r="N593" s="3">
        <v>46170</v>
      </c>
      <c r="O593" t="s">
        <v>185</v>
      </c>
      <c r="P593" t="s">
        <v>55</v>
      </c>
      <c r="Q593">
        <v>719</v>
      </c>
      <c r="S593" t="s">
        <v>124</v>
      </c>
      <c r="T593" t="s">
        <v>1109</v>
      </c>
      <c r="V593" t="s">
        <v>61</v>
      </c>
      <c r="W593">
        <v>13.4</v>
      </c>
      <c r="X593" t="s">
        <v>57</v>
      </c>
      <c r="Z593" t="s">
        <v>124</v>
      </c>
      <c r="AA593" t="s">
        <v>131</v>
      </c>
      <c r="AE593">
        <v>1</v>
      </c>
      <c r="AF593">
        <v>0</v>
      </c>
      <c r="AG593">
        <v>0</v>
      </c>
      <c r="AH593">
        <v>0</v>
      </c>
      <c r="AI593">
        <v>1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0</v>
      </c>
      <c r="AP593">
        <v>0</v>
      </c>
    </row>
    <row r="594" spans="1:42" x14ac:dyDescent="0.25">
      <c r="A594">
        <v>721</v>
      </c>
      <c r="B594" t="s">
        <v>1238</v>
      </c>
      <c r="C594" t="s">
        <v>1109</v>
      </c>
      <c r="D594" t="s">
        <v>1239</v>
      </c>
      <c r="E594" s="4">
        <v>1</v>
      </c>
      <c r="F594" t="s">
        <v>690</v>
      </c>
      <c r="G594" t="s">
        <v>690</v>
      </c>
      <c r="H594" s="3">
        <v>46155</v>
      </c>
      <c r="I594" s="3">
        <v>46170</v>
      </c>
      <c r="J594" t="s">
        <v>68</v>
      </c>
      <c r="K594" s="3">
        <v>46170</v>
      </c>
      <c r="L594" s="3">
        <v>46155</v>
      </c>
      <c r="M594" s="3">
        <v>46170</v>
      </c>
      <c r="N594" s="3">
        <v>46170</v>
      </c>
      <c r="O594" t="s">
        <v>68</v>
      </c>
      <c r="P594" t="s">
        <v>55</v>
      </c>
      <c r="T594" t="s">
        <v>1109</v>
      </c>
      <c r="V594" t="s">
        <v>330</v>
      </c>
      <c r="W594">
        <v>30.72</v>
      </c>
      <c r="X594" t="s">
        <v>57</v>
      </c>
      <c r="AA594" t="s">
        <v>50</v>
      </c>
      <c r="AB594" t="s">
        <v>94</v>
      </c>
      <c r="AE594">
        <v>1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</row>
    <row r="595" spans="1:42" x14ac:dyDescent="0.25">
      <c r="A595">
        <v>722</v>
      </c>
      <c r="B595" t="s">
        <v>1240</v>
      </c>
      <c r="C595" t="s">
        <v>1241</v>
      </c>
      <c r="D595" t="s">
        <v>117</v>
      </c>
      <c r="E595" s="4">
        <v>1</v>
      </c>
      <c r="F595" t="s">
        <v>127</v>
      </c>
      <c r="G595" t="s">
        <v>127</v>
      </c>
      <c r="H595" s="3">
        <v>46155</v>
      </c>
      <c r="I595" s="3">
        <v>46156</v>
      </c>
      <c r="J595" t="s">
        <v>68</v>
      </c>
      <c r="K595" s="3">
        <v>46156</v>
      </c>
      <c r="L595" s="3">
        <v>46155</v>
      </c>
      <c r="M595" s="3">
        <v>46156</v>
      </c>
      <c r="N595" s="3">
        <v>46156</v>
      </c>
      <c r="O595" t="s">
        <v>68</v>
      </c>
      <c r="P595" t="s">
        <v>55</v>
      </c>
      <c r="Q595">
        <v>620</v>
      </c>
      <c r="S595" t="s">
        <v>1058</v>
      </c>
      <c r="T595" t="s">
        <v>1109</v>
      </c>
      <c r="U595">
        <v>723</v>
      </c>
      <c r="V595" t="s">
        <v>151</v>
      </c>
      <c r="W595">
        <v>13.4</v>
      </c>
      <c r="X595" t="s">
        <v>57</v>
      </c>
      <c r="Z595" t="s">
        <v>1058</v>
      </c>
      <c r="AA595" t="s">
        <v>462</v>
      </c>
      <c r="AE595">
        <v>1</v>
      </c>
      <c r="AF595">
        <v>1</v>
      </c>
      <c r="AG595">
        <v>1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1</v>
      </c>
    </row>
    <row r="596" spans="1:42" x14ac:dyDescent="0.25">
      <c r="A596">
        <v>723</v>
      </c>
      <c r="B596" t="s">
        <v>1242</v>
      </c>
      <c r="C596" t="s">
        <v>1241</v>
      </c>
      <c r="D596" t="s">
        <v>121</v>
      </c>
      <c r="E596" s="4">
        <v>1</v>
      </c>
      <c r="F596" t="s">
        <v>127</v>
      </c>
      <c r="G596" t="s">
        <v>127</v>
      </c>
      <c r="H596" s="3">
        <v>46156</v>
      </c>
      <c r="I596" s="3">
        <v>46160</v>
      </c>
      <c r="J596" t="s">
        <v>406</v>
      </c>
      <c r="K596" s="3">
        <v>46160</v>
      </c>
      <c r="L596" s="3">
        <v>46156</v>
      </c>
      <c r="M596" s="3">
        <v>46160</v>
      </c>
      <c r="N596" s="3">
        <v>46160</v>
      </c>
      <c r="O596" t="s">
        <v>406</v>
      </c>
      <c r="P596" t="s">
        <v>55</v>
      </c>
      <c r="Q596">
        <v>722</v>
      </c>
      <c r="S596" t="s">
        <v>124</v>
      </c>
      <c r="T596" t="s">
        <v>1109</v>
      </c>
      <c r="U596">
        <v>724</v>
      </c>
      <c r="V596" t="s">
        <v>122</v>
      </c>
      <c r="W596">
        <v>13.4</v>
      </c>
      <c r="X596" t="s">
        <v>57</v>
      </c>
      <c r="Z596" t="s">
        <v>124</v>
      </c>
      <c r="AA596" t="s">
        <v>131</v>
      </c>
      <c r="AE596">
        <v>1</v>
      </c>
      <c r="AF596">
        <v>0</v>
      </c>
      <c r="AG596">
        <v>0</v>
      </c>
      <c r="AH596">
        <v>0</v>
      </c>
      <c r="AI596">
        <v>0</v>
      </c>
      <c r="AJ596">
        <v>1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</row>
    <row r="597" spans="1:42" x14ac:dyDescent="0.25">
      <c r="A597">
        <v>724</v>
      </c>
      <c r="B597" t="s">
        <v>1243</v>
      </c>
      <c r="C597" t="s">
        <v>1241</v>
      </c>
      <c r="D597" t="s">
        <v>126</v>
      </c>
      <c r="E597" s="4">
        <v>1</v>
      </c>
      <c r="F597" t="s">
        <v>63</v>
      </c>
      <c r="G597" t="s">
        <v>63</v>
      </c>
      <c r="H597" s="3">
        <v>46160</v>
      </c>
      <c r="I597" s="3">
        <v>46160</v>
      </c>
      <c r="J597" t="s">
        <v>185</v>
      </c>
      <c r="K597" s="3">
        <v>46160</v>
      </c>
      <c r="L597" s="3">
        <v>46160</v>
      </c>
      <c r="M597" s="3">
        <v>46160</v>
      </c>
      <c r="N597" s="3">
        <v>46160</v>
      </c>
      <c r="O597" t="s">
        <v>185</v>
      </c>
      <c r="P597" t="s">
        <v>55</v>
      </c>
      <c r="Q597">
        <v>723</v>
      </c>
      <c r="S597" t="s">
        <v>1058</v>
      </c>
      <c r="T597" t="s">
        <v>1109</v>
      </c>
      <c r="U597">
        <v>725</v>
      </c>
      <c r="V597" t="s">
        <v>61</v>
      </c>
      <c r="W597">
        <v>13.4</v>
      </c>
      <c r="X597" t="s">
        <v>57</v>
      </c>
      <c r="Z597" t="s">
        <v>1058</v>
      </c>
      <c r="AA597" t="s">
        <v>131</v>
      </c>
      <c r="AE597">
        <v>1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1</v>
      </c>
      <c r="AM597">
        <v>0</v>
      </c>
      <c r="AN597">
        <v>0</v>
      </c>
      <c r="AO597">
        <v>0</v>
      </c>
      <c r="AP597">
        <v>0</v>
      </c>
    </row>
    <row r="598" spans="1:42" x14ac:dyDescent="0.25">
      <c r="A598">
        <v>725</v>
      </c>
      <c r="B598" t="s">
        <v>1244</v>
      </c>
      <c r="C598" t="s">
        <v>1241</v>
      </c>
      <c r="D598" t="s">
        <v>133</v>
      </c>
      <c r="E598" s="4">
        <v>1</v>
      </c>
      <c r="F598" t="s">
        <v>114</v>
      </c>
      <c r="G598" t="s">
        <v>114</v>
      </c>
      <c r="H598" s="3">
        <v>46160</v>
      </c>
      <c r="I598" s="3">
        <v>46170</v>
      </c>
      <c r="J598" t="s">
        <v>185</v>
      </c>
      <c r="K598" s="3">
        <v>46170</v>
      </c>
      <c r="L598" s="3">
        <v>46160</v>
      </c>
      <c r="M598" s="3">
        <v>46170</v>
      </c>
      <c r="N598" s="3">
        <v>46170</v>
      </c>
      <c r="O598" t="s">
        <v>185</v>
      </c>
      <c r="P598" t="s">
        <v>55</v>
      </c>
      <c r="Q598">
        <v>724</v>
      </c>
      <c r="S598" t="s">
        <v>124</v>
      </c>
      <c r="T598" t="s">
        <v>1109</v>
      </c>
      <c r="V598" t="s">
        <v>61</v>
      </c>
      <c r="W598">
        <v>13.4</v>
      </c>
      <c r="X598" t="s">
        <v>57</v>
      </c>
      <c r="Z598" t="s">
        <v>124</v>
      </c>
      <c r="AA598" t="s">
        <v>131</v>
      </c>
      <c r="AE598">
        <v>1</v>
      </c>
      <c r="AF598">
        <v>0</v>
      </c>
      <c r="AG598">
        <v>0</v>
      </c>
      <c r="AH598">
        <v>0</v>
      </c>
      <c r="AI598">
        <v>1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0</v>
      </c>
      <c r="AP598">
        <v>0</v>
      </c>
    </row>
    <row r="599" spans="1:42" x14ac:dyDescent="0.25">
      <c r="A599">
        <v>726</v>
      </c>
      <c r="B599" t="s">
        <v>1245</v>
      </c>
      <c r="C599" t="s">
        <v>1109</v>
      </c>
      <c r="D599" t="s">
        <v>1246</v>
      </c>
      <c r="E599" s="4">
        <v>1</v>
      </c>
      <c r="F599" t="s">
        <v>122</v>
      </c>
      <c r="G599" t="s">
        <v>122</v>
      </c>
      <c r="H599" s="3">
        <v>46188</v>
      </c>
      <c r="I599" s="3">
        <v>46191</v>
      </c>
      <c r="J599" t="s">
        <v>201</v>
      </c>
      <c r="K599" s="3">
        <v>46199</v>
      </c>
      <c r="L599" s="3">
        <v>46181</v>
      </c>
      <c r="M599" s="3">
        <v>46191</v>
      </c>
      <c r="N599" s="3">
        <v>46191</v>
      </c>
      <c r="O599" t="s">
        <v>595</v>
      </c>
      <c r="P599" t="s">
        <v>55</v>
      </c>
      <c r="T599" t="s">
        <v>1109</v>
      </c>
      <c r="V599" t="s">
        <v>330</v>
      </c>
      <c r="W599">
        <v>30.72</v>
      </c>
      <c r="X599" t="s">
        <v>57</v>
      </c>
      <c r="AA599" t="s">
        <v>50</v>
      </c>
      <c r="AE599">
        <v>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</row>
    <row r="600" spans="1:42" x14ac:dyDescent="0.25">
      <c r="A600">
        <v>727</v>
      </c>
      <c r="B600" t="s">
        <v>1247</v>
      </c>
      <c r="C600" t="s">
        <v>1248</v>
      </c>
      <c r="D600" t="s">
        <v>117</v>
      </c>
      <c r="E600" s="4">
        <v>1</v>
      </c>
      <c r="F600" t="s">
        <v>61</v>
      </c>
      <c r="G600" t="s">
        <v>61</v>
      </c>
      <c r="H600" s="3">
        <v>46188</v>
      </c>
      <c r="I600" s="3">
        <v>46188</v>
      </c>
      <c r="J600" t="s">
        <v>201</v>
      </c>
      <c r="K600" s="3">
        <v>46192</v>
      </c>
      <c r="L600" s="3">
        <v>46181</v>
      </c>
      <c r="M600" s="3">
        <v>46188</v>
      </c>
      <c r="N600" s="3">
        <v>46188</v>
      </c>
      <c r="O600" t="s">
        <v>595</v>
      </c>
      <c r="P600" t="s">
        <v>55</v>
      </c>
      <c r="Q600">
        <v>620</v>
      </c>
      <c r="S600" t="s">
        <v>1058</v>
      </c>
      <c r="T600" t="s">
        <v>1109</v>
      </c>
      <c r="U600">
        <v>728</v>
      </c>
      <c r="V600" t="s">
        <v>151</v>
      </c>
      <c r="W600">
        <v>13.4</v>
      </c>
      <c r="X600" t="s">
        <v>57</v>
      </c>
      <c r="Z600" t="s">
        <v>1058</v>
      </c>
      <c r="AA600" t="s">
        <v>462</v>
      </c>
      <c r="AE600">
        <v>1</v>
      </c>
      <c r="AF600">
        <v>1</v>
      </c>
      <c r="AG600">
        <v>1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1</v>
      </c>
    </row>
    <row r="601" spans="1:42" x14ac:dyDescent="0.25">
      <c r="A601">
        <v>728</v>
      </c>
      <c r="B601" t="s">
        <v>1249</v>
      </c>
      <c r="C601" t="s">
        <v>1248</v>
      </c>
      <c r="D601" t="s">
        <v>121</v>
      </c>
      <c r="E601" s="4">
        <v>1</v>
      </c>
      <c r="F601" t="s">
        <v>61</v>
      </c>
      <c r="G601" t="s">
        <v>61</v>
      </c>
      <c r="H601" s="3">
        <v>46189</v>
      </c>
      <c r="I601" s="3">
        <v>46189</v>
      </c>
      <c r="J601" t="s">
        <v>219</v>
      </c>
      <c r="K601" s="3">
        <v>46197</v>
      </c>
      <c r="L601" s="3">
        <v>46195</v>
      </c>
      <c r="M601" s="3">
        <v>46189</v>
      </c>
      <c r="N601" s="3">
        <v>46189</v>
      </c>
      <c r="O601" t="s">
        <v>576</v>
      </c>
      <c r="P601" t="s">
        <v>55</v>
      </c>
      <c r="Q601">
        <v>727</v>
      </c>
      <c r="S601" t="s">
        <v>124</v>
      </c>
      <c r="T601" t="s">
        <v>1109</v>
      </c>
      <c r="U601">
        <v>729</v>
      </c>
      <c r="V601" t="s">
        <v>122</v>
      </c>
      <c r="W601">
        <v>13.4</v>
      </c>
      <c r="X601" t="s">
        <v>57</v>
      </c>
      <c r="Z601" t="s">
        <v>124</v>
      </c>
      <c r="AA601" t="s">
        <v>131</v>
      </c>
      <c r="AE601">
        <v>1</v>
      </c>
      <c r="AF601">
        <v>0</v>
      </c>
      <c r="AG601">
        <v>0</v>
      </c>
      <c r="AH601">
        <v>0</v>
      </c>
      <c r="AI601">
        <v>0</v>
      </c>
      <c r="AJ601">
        <v>1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</row>
    <row r="602" spans="1:42" x14ac:dyDescent="0.25">
      <c r="A602">
        <v>729</v>
      </c>
      <c r="B602" t="s">
        <v>1250</v>
      </c>
      <c r="C602" t="s">
        <v>1248</v>
      </c>
      <c r="D602" t="s">
        <v>126</v>
      </c>
      <c r="E602" s="4">
        <v>1</v>
      </c>
      <c r="F602" t="s">
        <v>61</v>
      </c>
      <c r="G602" t="s">
        <v>61</v>
      </c>
      <c r="H602" s="3">
        <v>46190</v>
      </c>
      <c r="I602" s="3">
        <v>46190</v>
      </c>
      <c r="J602" t="s">
        <v>128</v>
      </c>
      <c r="K602" s="3">
        <v>46198</v>
      </c>
      <c r="L602" s="3">
        <v>46198</v>
      </c>
      <c r="M602" s="3">
        <v>46190</v>
      </c>
      <c r="N602" s="3">
        <v>46190</v>
      </c>
      <c r="O602" t="s">
        <v>75</v>
      </c>
      <c r="P602" t="s">
        <v>55</v>
      </c>
      <c r="Q602">
        <v>728</v>
      </c>
      <c r="S602" t="s">
        <v>1058</v>
      </c>
      <c r="T602" t="s">
        <v>1109</v>
      </c>
      <c r="U602">
        <v>730</v>
      </c>
      <c r="V602" t="s">
        <v>61</v>
      </c>
      <c r="W602">
        <v>13.4</v>
      </c>
      <c r="X602" t="s">
        <v>57</v>
      </c>
      <c r="Z602" t="s">
        <v>1058</v>
      </c>
      <c r="AA602" t="s">
        <v>131</v>
      </c>
      <c r="AE602">
        <v>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1</v>
      </c>
      <c r="AM602">
        <v>0</v>
      </c>
      <c r="AN602">
        <v>0</v>
      </c>
      <c r="AO602">
        <v>0</v>
      </c>
      <c r="AP602">
        <v>0</v>
      </c>
    </row>
    <row r="603" spans="1:42" x14ac:dyDescent="0.25">
      <c r="A603">
        <v>730</v>
      </c>
      <c r="B603" t="s">
        <v>1251</v>
      </c>
      <c r="C603" t="s">
        <v>1248</v>
      </c>
      <c r="D603" t="s">
        <v>133</v>
      </c>
      <c r="E603" s="4">
        <v>1</v>
      </c>
      <c r="F603" t="s">
        <v>63</v>
      </c>
      <c r="G603" t="s">
        <v>63</v>
      </c>
      <c r="H603" s="3">
        <v>46191</v>
      </c>
      <c r="I603" s="3">
        <v>46191</v>
      </c>
      <c r="J603" t="s">
        <v>134</v>
      </c>
      <c r="K603" s="3">
        <v>46199</v>
      </c>
      <c r="L603" s="3">
        <v>46199</v>
      </c>
      <c r="M603" s="3">
        <v>46191</v>
      </c>
      <c r="N603" s="3">
        <v>46191</v>
      </c>
      <c r="O603" t="s">
        <v>480</v>
      </c>
      <c r="P603" t="s">
        <v>55</v>
      </c>
      <c r="Q603">
        <v>729</v>
      </c>
      <c r="S603" t="s">
        <v>124</v>
      </c>
      <c r="T603" t="s">
        <v>1109</v>
      </c>
      <c r="V603" t="s">
        <v>61</v>
      </c>
      <c r="W603">
        <v>13.4</v>
      </c>
      <c r="X603" t="s">
        <v>57</v>
      </c>
      <c r="Z603" t="s">
        <v>124</v>
      </c>
      <c r="AA603" t="s">
        <v>131</v>
      </c>
      <c r="AE603">
        <v>1</v>
      </c>
      <c r="AF603">
        <v>0</v>
      </c>
      <c r="AG603">
        <v>0</v>
      </c>
      <c r="AH603">
        <v>0</v>
      </c>
      <c r="AI603">
        <v>1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0</v>
      </c>
      <c r="AP603">
        <v>0</v>
      </c>
    </row>
    <row r="604" spans="1:42" x14ac:dyDescent="0.25">
      <c r="A604">
        <v>731</v>
      </c>
      <c r="B604" t="s">
        <v>1252</v>
      </c>
      <c r="C604" t="s">
        <v>1109</v>
      </c>
      <c r="D604" t="s">
        <v>1253</v>
      </c>
      <c r="E604" s="4">
        <v>1</v>
      </c>
      <c r="F604" t="s">
        <v>101</v>
      </c>
      <c r="G604" t="s">
        <v>101</v>
      </c>
      <c r="H604" s="3">
        <v>46188</v>
      </c>
      <c r="I604" s="3">
        <v>46191</v>
      </c>
      <c r="J604" t="s">
        <v>595</v>
      </c>
      <c r="K604" s="3">
        <v>46191</v>
      </c>
      <c r="L604" s="3">
        <v>46188</v>
      </c>
      <c r="M604" s="3">
        <v>46191</v>
      </c>
      <c r="N604" s="3">
        <v>46191</v>
      </c>
      <c r="O604" t="s">
        <v>595</v>
      </c>
      <c r="P604" t="s">
        <v>55</v>
      </c>
      <c r="T604" t="s">
        <v>1109</v>
      </c>
      <c r="V604" t="s">
        <v>330</v>
      </c>
      <c r="W604">
        <v>30.72</v>
      </c>
      <c r="X604" t="s">
        <v>57</v>
      </c>
      <c r="AA604" t="s">
        <v>50</v>
      </c>
      <c r="AB604" t="s">
        <v>94</v>
      </c>
      <c r="AE604">
        <v>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</row>
    <row r="605" spans="1:42" x14ac:dyDescent="0.25">
      <c r="A605">
        <v>732</v>
      </c>
      <c r="B605" t="s">
        <v>1254</v>
      </c>
      <c r="C605" t="s">
        <v>1255</v>
      </c>
      <c r="D605" t="s">
        <v>117</v>
      </c>
      <c r="E605" s="4">
        <v>1</v>
      </c>
      <c r="F605" t="s">
        <v>61</v>
      </c>
      <c r="G605" t="s">
        <v>61</v>
      </c>
      <c r="H605" s="3">
        <v>46188</v>
      </c>
      <c r="I605" s="3">
        <v>46188</v>
      </c>
      <c r="J605" t="s">
        <v>595</v>
      </c>
      <c r="K605" s="3">
        <v>46188</v>
      </c>
      <c r="L605" s="3">
        <v>46188</v>
      </c>
      <c r="M605" s="3">
        <v>46188</v>
      </c>
      <c r="N605" s="3">
        <v>46188</v>
      </c>
      <c r="O605" t="s">
        <v>595</v>
      </c>
      <c r="P605" t="s">
        <v>55</v>
      </c>
      <c r="Q605">
        <v>620</v>
      </c>
      <c r="S605" t="s">
        <v>1058</v>
      </c>
      <c r="T605" t="s">
        <v>1109</v>
      </c>
      <c r="U605">
        <v>733</v>
      </c>
      <c r="V605" t="s">
        <v>151</v>
      </c>
      <c r="W605">
        <v>13.4</v>
      </c>
      <c r="X605" t="s">
        <v>57</v>
      </c>
      <c r="Z605" t="s">
        <v>1058</v>
      </c>
      <c r="AA605" t="s">
        <v>462</v>
      </c>
      <c r="AE605">
        <v>1</v>
      </c>
      <c r="AF605">
        <v>1</v>
      </c>
      <c r="AG605">
        <v>1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1</v>
      </c>
    </row>
    <row r="606" spans="1:42" x14ac:dyDescent="0.25">
      <c r="A606">
        <v>733</v>
      </c>
      <c r="B606" t="s">
        <v>1256</v>
      </c>
      <c r="C606" t="s">
        <v>1255</v>
      </c>
      <c r="D606" t="s">
        <v>121</v>
      </c>
      <c r="E606" s="4">
        <v>1</v>
      </c>
      <c r="F606" t="s">
        <v>61</v>
      </c>
      <c r="G606" t="s">
        <v>61</v>
      </c>
      <c r="H606" s="3">
        <v>46189</v>
      </c>
      <c r="I606" s="3">
        <v>46189</v>
      </c>
      <c r="J606" t="s">
        <v>576</v>
      </c>
      <c r="K606" s="3">
        <v>46189</v>
      </c>
      <c r="L606" s="3">
        <v>46189</v>
      </c>
      <c r="M606" s="3">
        <v>46189</v>
      </c>
      <c r="N606" s="3">
        <v>46189</v>
      </c>
      <c r="O606" t="s">
        <v>576</v>
      </c>
      <c r="P606" t="s">
        <v>55</v>
      </c>
      <c r="Q606">
        <v>732</v>
      </c>
      <c r="S606" t="s">
        <v>124</v>
      </c>
      <c r="T606" t="s">
        <v>1109</v>
      </c>
      <c r="U606">
        <v>734</v>
      </c>
      <c r="V606" t="s">
        <v>122</v>
      </c>
      <c r="W606">
        <v>13.4</v>
      </c>
      <c r="X606" t="s">
        <v>57</v>
      </c>
      <c r="Z606" t="s">
        <v>124</v>
      </c>
      <c r="AA606" t="s">
        <v>131</v>
      </c>
      <c r="AE606">
        <v>1</v>
      </c>
      <c r="AF606">
        <v>0</v>
      </c>
      <c r="AG606">
        <v>0</v>
      </c>
      <c r="AH606">
        <v>0</v>
      </c>
      <c r="AI606">
        <v>0</v>
      </c>
      <c r="AJ606">
        <v>1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</row>
    <row r="607" spans="1:42" x14ac:dyDescent="0.25">
      <c r="A607">
        <v>734</v>
      </c>
      <c r="B607" t="s">
        <v>1257</v>
      </c>
      <c r="C607" t="s">
        <v>1255</v>
      </c>
      <c r="D607" t="s">
        <v>126</v>
      </c>
      <c r="E607" s="4">
        <v>1</v>
      </c>
      <c r="F607" t="s">
        <v>61</v>
      </c>
      <c r="G607" t="s">
        <v>61</v>
      </c>
      <c r="H607" s="3">
        <v>46190</v>
      </c>
      <c r="I607" s="3">
        <v>46190</v>
      </c>
      <c r="J607" t="s">
        <v>75</v>
      </c>
      <c r="K607" s="3">
        <v>46190</v>
      </c>
      <c r="L607" s="3">
        <v>46190</v>
      </c>
      <c r="M607" s="3">
        <v>46190</v>
      </c>
      <c r="N607" s="3">
        <v>46190</v>
      </c>
      <c r="O607" t="s">
        <v>75</v>
      </c>
      <c r="P607" t="s">
        <v>55</v>
      </c>
      <c r="Q607">
        <v>733</v>
      </c>
      <c r="S607" t="s">
        <v>1058</v>
      </c>
      <c r="T607" t="s">
        <v>1109</v>
      </c>
      <c r="U607">
        <v>735</v>
      </c>
      <c r="V607" t="s">
        <v>61</v>
      </c>
      <c r="W607">
        <v>13.4</v>
      </c>
      <c r="X607" t="s">
        <v>57</v>
      </c>
      <c r="Z607" t="s">
        <v>1058</v>
      </c>
      <c r="AA607" t="s">
        <v>131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1</v>
      </c>
      <c r="AM607">
        <v>0</v>
      </c>
      <c r="AN607">
        <v>0</v>
      </c>
      <c r="AO607">
        <v>0</v>
      </c>
      <c r="AP607">
        <v>0</v>
      </c>
    </row>
    <row r="608" spans="1:42" x14ac:dyDescent="0.25">
      <c r="A608">
        <v>735</v>
      </c>
      <c r="B608" t="s">
        <v>1258</v>
      </c>
      <c r="C608" t="s">
        <v>1255</v>
      </c>
      <c r="D608" t="s">
        <v>133</v>
      </c>
      <c r="E608" s="4">
        <v>1</v>
      </c>
      <c r="F608" t="s">
        <v>61</v>
      </c>
      <c r="G608" t="s">
        <v>61</v>
      </c>
      <c r="H608" s="3">
        <v>46191</v>
      </c>
      <c r="I608" s="3">
        <v>46191</v>
      </c>
      <c r="J608" t="s">
        <v>480</v>
      </c>
      <c r="K608" s="3">
        <v>46191</v>
      </c>
      <c r="L608" s="3">
        <v>46191</v>
      </c>
      <c r="M608" s="3">
        <v>46191</v>
      </c>
      <c r="N608" s="3">
        <v>46191</v>
      </c>
      <c r="O608" t="s">
        <v>480</v>
      </c>
      <c r="P608" t="s">
        <v>55</v>
      </c>
      <c r="Q608">
        <v>734</v>
      </c>
      <c r="S608" t="s">
        <v>124</v>
      </c>
      <c r="T608" t="s">
        <v>1109</v>
      </c>
      <c r="V608" t="s">
        <v>61</v>
      </c>
      <c r="W608">
        <v>13.4</v>
      </c>
      <c r="X608" t="s">
        <v>57</v>
      </c>
      <c r="Z608" t="s">
        <v>124</v>
      </c>
      <c r="AA608" t="s">
        <v>131</v>
      </c>
      <c r="AE608">
        <v>1</v>
      </c>
      <c r="AF608">
        <v>0</v>
      </c>
      <c r="AG608">
        <v>0</v>
      </c>
      <c r="AH608">
        <v>0</v>
      </c>
      <c r="AI608">
        <v>1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0</v>
      </c>
      <c r="AP608">
        <v>0</v>
      </c>
    </row>
    <row r="609" spans="1:42" x14ac:dyDescent="0.25">
      <c r="A609">
        <v>736</v>
      </c>
      <c r="B609" t="s">
        <v>1259</v>
      </c>
      <c r="C609" t="s">
        <v>1109</v>
      </c>
      <c r="D609" t="s">
        <v>1260</v>
      </c>
      <c r="E609" s="4">
        <v>1</v>
      </c>
      <c r="F609" t="s">
        <v>114</v>
      </c>
      <c r="G609" t="s">
        <v>114</v>
      </c>
      <c r="H609" s="3">
        <v>46155</v>
      </c>
      <c r="I609" s="3">
        <v>46167</v>
      </c>
      <c r="J609" t="s">
        <v>201</v>
      </c>
      <c r="K609" s="3">
        <v>46199</v>
      </c>
      <c r="L609" s="3">
        <v>46181</v>
      </c>
      <c r="M609" s="3">
        <v>46167</v>
      </c>
      <c r="N609" s="3">
        <v>46167</v>
      </c>
      <c r="O609" t="s">
        <v>68</v>
      </c>
      <c r="P609" t="s">
        <v>55</v>
      </c>
      <c r="T609" t="s">
        <v>1109</v>
      </c>
      <c r="V609" t="s">
        <v>330</v>
      </c>
      <c r="W609">
        <v>30.72</v>
      </c>
      <c r="X609" t="s">
        <v>57</v>
      </c>
      <c r="AA609" t="s">
        <v>50</v>
      </c>
      <c r="AE609">
        <v>1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</row>
    <row r="610" spans="1:42" x14ac:dyDescent="0.25">
      <c r="A610">
        <v>737</v>
      </c>
      <c r="B610" t="s">
        <v>1261</v>
      </c>
      <c r="C610" t="s">
        <v>1262</v>
      </c>
      <c r="D610" t="s">
        <v>117</v>
      </c>
      <c r="E610" s="4">
        <v>1</v>
      </c>
      <c r="F610" t="s">
        <v>127</v>
      </c>
      <c r="G610" t="s">
        <v>127</v>
      </c>
      <c r="H610" s="3">
        <v>46155</v>
      </c>
      <c r="I610" s="3">
        <v>46156</v>
      </c>
      <c r="J610" t="s">
        <v>201</v>
      </c>
      <c r="K610" s="3">
        <v>46192</v>
      </c>
      <c r="L610" s="3">
        <v>46181</v>
      </c>
      <c r="M610" s="3">
        <v>46156</v>
      </c>
      <c r="N610" s="3">
        <v>46156</v>
      </c>
      <c r="O610" t="s">
        <v>68</v>
      </c>
      <c r="P610" t="s">
        <v>55</v>
      </c>
      <c r="Q610">
        <v>620</v>
      </c>
      <c r="S610" t="s">
        <v>1058</v>
      </c>
      <c r="T610" t="s">
        <v>1109</v>
      </c>
      <c r="U610">
        <v>738</v>
      </c>
      <c r="V610" t="s">
        <v>151</v>
      </c>
      <c r="W610">
        <v>13.4</v>
      </c>
      <c r="X610" t="s">
        <v>57</v>
      </c>
      <c r="Z610" t="s">
        <v>1058</v>
      </c>
      <c r="AA610" t="s">
        <v>462</v>
      </c>
      <c r="AE610">
        <v>1</v>
      </c>
      <c r="AF610">
        <v>1</v>
      </c>
      <c r="AG610">
        <v>1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1</v>
      </c>
    </row>
    <row r="611" spans="1:42" x14ac:dyDescent="0.25">
      <c r="A611">
        <v>738</v>
      </c>
      <c r="B611" t="s">
        <v>1263</v>
      </c>
      <c r="C611" t="s">
        <v>1262</v>
      </c>
      <c r="D611" t="s">
        <v>121</v>
      </c>
      <c r="E611" s="4">
        <v>1</v>
      </c>
      <c r="F611" t="s">
        <v>122</v>
      </c>
      <c r="G611" t="s">
        <v>122</v>
      </c>
      <c r="H611" s="3">
        <v>46156</v>
      </c>
      <c r="I611" s="3">
        <v>46160</v>
      </c>
      <c r="J611" t="s">
        <v>219</v>
      </c>
      <c r="K611" s="3">
        <v>46197</v>
      </c>
      <c r="L611" s="3">
        <v>46195</v>
      </c>
      <c r="M611" s="3">
        <v>46160</v>
      </c>
      <c r="N611" s="3">
        <v>46160</v>
      </c>
      <c r="O611" t="s">
        <v>406</v>
      </c>
      <c r="P611" t="s">
        <v>55</v>
      </c>
      <c r="Q611">
        <v>737</v>
      </c>
      <c r="S611" t="s">
        <v>124</v>
      </c>
      <c r="T611" t="s">
        <v>1109</v>
      </c>
      <c r="U611">
        <v>739</v>
      </c>
      <c r="V611" t="s">
        <v>122</v>
      </c>
      <c r="W611">
        <v>13.4</v>
      </c>
      <c r="X611" t="s">
        <v>57</v>
      </c>
      <c r="Z611" t="s">
        <v>124</v>
      </c>
      <c r="AA611" t="s">
        <v>131</v>
      </c>
      <c r="AE611">
        <v>1</v>
      </c>
      <c r="AF611">
        <v>0</v>
      </c>
      <c r="AG611">
        <v>0</v>
      </c>
      <c r="AH611">
        <v>0</v>
      </c>
      <c r="AI611">
        <v>0</v>
      </c>
      <c r="AJ611">
        <v>1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</row>
    <row r="612" spans="1:42" x14ac:dyDescent="0.25">
      <c r="A612">
        <v>739</v>
      </c>
      <c r="B612" t="s">
        <v>1264</v>
      </c>
      <c r="C612" t="s">
        <v>1262</v>
      </c>
      <c r="D612" t="s">
        <v>126</v>
      </c>
      <c r="E612" s="4">
        <v>1</v>
      </c>
      <c r="F612" t="s">
        <v>122</v>
      </c>
      <c r="G612" t="s">
        <v>122</v>
      </c>
      <c r="H612" s="3">
        <v>46161</v>
      </c>
      <c r="I612" s="3">
        <v>46163</v>
      </c>
      <c r="J612" t="s">
        <v>128</v>
      </c>
      <c r="K612" s="3">
        <v>46198</v>
      </c>
      <c r="L612" s="3">
        <v>46198</v>
      </c>
      <c r="M612" s="3">
        <v>46163</v>
      </c>
      <c r="N612" s="3">
        <v>46163</v>
      </c>
      <c r="O612" t="s">
        <v>90</v>
      </c>
      <c r="P612" t="s">
        <v>55</v>
      </c>
      <c r="Q612">
        <v>738</v>
      </c>
      <c r="S612" t="s">
        <v>1058</v>
      </c>
      <c r="T612" t="s">
        <v>1109</v>
      </c>
      <c r="U612">
        <v>740</v>
      </c>
      <c r="V612" t="s">
        <v>61</v>
      </c>
      <c r="W612">
        <v>13.4</v>
      </c>
      <c r="X612" t="s">
        <v>57</v>
      </c>
      <c r="Z612" t="s">
        <v>1058</v>
      </c>
      <c r="AA612" t="s">
        <v>131</v>
      </c>
      <c r="AE612">
        <v>1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1</v>
      </c>
      <c r="AM612">
        <v>0</v>
      </c>
      <c r="AN612">
        <v>0</v>
      </c>
      <c r="AO612">
        <v>0</v>
      </c>
      <c r="AP612">
        <v>0</v>
      </c>
    </row>
    <row r="613" spans="1:42" x14ac:dyDescent="0.25">
      <c r="A613">
        <v>740</v>
      </c>
      <c r="B613" t="s">
        <v>1265</v>
      </c>
      <c r="C613" t="s">
        <v>1262</v>
      </c>
      <c r="D613" t="s">
        <v>133</v>
      </c>
      <c r="E613" s="4">
        <v>1</v>
      </c>
      <c r="F613" t="s">
        <v>127</v>
      </c>
      <c r="G613" t="s">
        <v>127</v>
      </c>
      <c r="H613" s="3">
        <v>46164</v>
      </c>
      <c r="I613" s="3">
        <v>46167</v>
      </c>
      <c r="J613" t="s">
        <v>134</v>
      </c>
      <c r="K613" s="3">
        <v>46199</v>
      </c>
      <c r="L613" s="3">
        <v>46199</v>
      </c>
      <c r="M613" s="3">
        <v>46167</v>
      </c>
      <c r="N613" s="3">
        <v>46167</v>
      </c>
      <c r="O613" t="s">
        <v>471</v>
      </c>
      <c r="P613" t="s">
        <v>55</v>
      </c>
      <c r="Q613">
        <v>739</v>
      </c>
      <c r="S613" t="s">
        <v>124</v>
      </c>
      <c r="T613" t="s">
        <v>1109</v>
      </c>
      <c r="V613" t="s">
        <v>61</v>
      </c>
      <c r="W613">
        <v>13.4</v>
      </c>
      <c r="X613" t="s">
        <v>57</v>
      </c>
      <c r="Z613" t="s">
        <v>124</v>
      </c>
      <c r="AA613" t="s">
        <v>131</v>
      </c>
      <c r="AE613">
        <v>1</v>
      </c>
      <c r="AF613">
        <v>0</v>
      </c>
      <c r="AG613">
        <v>0</v>
      </c>
      <c r="AH613">
        <v>0</v>
      </c>
      <c r="AI613">
        <v>1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0</v>
      </c>
      <c r="AP613">
        <v>0</v>
      </c>
    </row>
    <row r="614" spans="1:42" x14ac:dyDescent="0.25">
      <c r="A614">
        <v>741</v>
      </c>
      <c r="B614" t="s">
        <v>1266</v>
      </c>
      <c r="C614" t="s">
        <v>1109</v>
      </c>
      <c r="D614" t="s">
        <v>1267</v>
      </c>
      <c r="E614" s="4">
        <v>1</v>
      </c>
      <c r="F614" t="s">
        <v>365</v>
      </c>
      <c r="G614" t="s">
        <v>365</v>
      </c>
      <c r="H614" s="3">
        <v>46155</v>
      </c>
      <c r="I614" s="3">
        <v>46174</v>
      </c>
      <c r="J614" t="s">
        <v>201</v>
      </c>
      <c r="K614" s="3">
        <v>46199</v>
      </c>
      <c r="L614" s="3">
        <v>46181</v>
      </c>
      <c r="M614" s="3">
        <v>46174</v>
      </c>
      <c r="N614" s="3">
        <v>46174</v>
      </c>
      <c r="O614" t="s">
        <v>68</v>
      </c>
      <c r="P614" t="s">
        <v>55</v>
      </c>
      <c r="T614" t="s">
        <v>1109</v>
      </c>
      <c r="V614" t="s">
        <v>330</v>
      </c>
      <c r="W614">
        <v>30.72</v>
      </c>
      <c r="X614" t="s">
        <v>57</v>
      </c>
      <c r="AA614" t="s">
        <v>50</v>
      </c>
      <c r="AE614">
        <v>1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</row>
    <row r="615" spans="1:42" x14ac:dyDescent="0.25">
      <c r="A615">
        <v>742</v>
      </c>
      <c r="B615" t="s">
        <v>1268</v>
      </c>
      <c r="C615" t="s">
        <v>1269</v>
      </c>
      <c r="D615" t="s">
        <v>117</v>
      </c>
      <c r="E615" s="4">
        <v>1</v>
      </c>
      <c r="F615" t="s">
        <v>122</v>
      </c>
      <c r="G615" t="s">
        <v>122</v>
      </c>
      <c r="H615" s="3">
        <v>46155</v>
      </c>
      <c r="I615" s="3">
        <v>46157</v>
      </c>
      <c r="J615" t="s">
        <v>201</v>
      </c>
      <c r="K615" s="3">
        <v>46192</v>
      </c>
      <c r="L615" s="3">
        <v>46181</v>
      </c>
      <c r="M615" s="3">
        <v>46157</v>
      </c>
      <c r="N615" s="3">
        <v>46157</v>
      </c>
      <c r="O615" t="s">
        <v>68</v>
      </c>
      <c r="P615" t="s">
        <v>55</v>
      </c>
      <c r="Q615">
        <v>620</v>
      </c>
      <c r="S615" t="s">
        <v>1058</v>
      </c>
      <c r="T615" t="s">
        <v>1109</v>
      </c>
      <c r="U615">
        <v>743</v>
      </c>
      <c r="V615" t="s">
        <v>151</v>
      </c>
      <c r="W615">
        <v>13.4</v>
      </c>
      <c r="X615" t="s">
        <v>57</v>
      </c>
      <c r="Z615" t="s">
        <v>1058</v>
      </c>
      <c r="AA615" t="s">
        <v>462</v>
      </c>
      <c r="AE615">
        <v>1</v>
      </c>
      <c r="AF615">
        <v>1</v>
      </c>
      <c r="AG615">
        <v>1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1</v>
      </c>
    </row>
    <row r="616" spans="1:42" x14ac:dyDescent="0.25">
      <c r="A616">
        <v>743</v>
      </c>
      <c r="B616" t="s">
        <v>1270</v>
      </c>
      <c r="C616" t="s">
        <v>1269</v>
      </c>
      <c r="D616" t="s">
        <v>121</v>
      </c>
      <c r="E616" s="4">
        <v>1</v>
      </c>
      <c r="F616" t="s">
        <v>61</v>
      </c>
      <c r="G616" t="s">
        <v>61</v>
      </c>
      <c r="H616" s="3">
        <v>46160</v>
      </c>
      <c r="I616" s="3">
        <v>46160</v>
      </c>
      <c r="J616" t="s">
        <v>219</v>
      </c>
      <c r="K616" s="3">
        <v>46197</v>
      </c>
      <c r="L616" s="3">
        <v>46195</v>
      </c>
      <c r="M616" s="3">
        <v>46160</v>
      </c>
      <c r="N616" s="3">
        <v>46160</v>
      </c>
      <c r="O616" t="s">
        <v>185</v>
      </c>
      <c r="P616" t="s">
        <v>55</v>
      </c>
      <c r="Q616">
        <v>742</v>
      </c>
      <c r="S616" t="s">
        <v>124</v>
      </c>
      <c r="T616" t="s">
        <v>1109</v>
      </c>
      <c r="U616">
        <v>744</v>
      </c>
      <c r="V616" t="s">
        <v>122</v>
      </c>
      <c r="W616">
        <v>13.4</v>
      </c>
      <c r="X616" t="s">
        <v>57</v>
      </c>
      <c r="Z616" t="s">
        <v>124</v>
      </c>
      <c r="AA616" t="s">
        <v>131</v>
      </c>
      <c r="AE616">
        <v>1</v>
      </c>
      <c r="AF616">
        <v>0</v>
      </c>
      <c r="AG616">
        <v>0</v>
      </c>
      <c r="AH616">
        <v>0</v>
      </c>
      <c r="AI616">
        <v>0</v>
      </c>
      <c r="AJ616">
        <v>1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</row>
    <row r="617" spans="1:42" x14ac:dyDescent="0.25">
      <c r="A617">
        <v>744</v>
      </c>
      <c r="B617" t="s">
        <v>1271</v>
      </c>
      <c r="C617" t="s">
        <v>1269</v>
      </c>
      <c r="D617" t="s">
        <v>126</v>
      </c>
      <c r="E617" s="4">
        <v>1</v>
      </c>
      <c r="F617" t="s">
        <v>61</v>
      </c>
      <c r="G617" t="s">
        <v>61</v>
      </c>
      <c r="H617" s="3">
        <v>46164</v>
      </c>
      <c r="I617" s="3">
        <v>46164</v>
      </c>
      <c r="J617" t="s">
        <v>128</v>
      </c>
      <c r="K617" s="3">
        <v>46198</v>
      </c>
      <c r="L617" s="3">
        <v>46198</v>
      </c>
      <c r="M617" s="3">
        <v>46164</v>
      </c>
      <c r="N617" s="3">
        <v>46164</v>
      </c>
      <c r="O617" t="s">
        <v>471</v>
      </c>
      <c r="P617" t="s">
        <v>55</v>
      </c>
      <c r="Q617">
        <v>743</v>
      </c>
      <c r="S617" t="s">
        <v>1058</v>
      </c>
      <c r="T617" t="s">
        <v>1109</v>
      </c>
      <c r="U617">
        <v>745</v>
      </c>
      <c r="V617" t="s">
        <v>61</v>
      </c>
      <c r="W617">
        <v>13.4</v>
      </c>
      <c r="X617" t="s">
        <v>57</v>
      </c>
      <c r="Z617" t="s">
        <v>1058</v>
      </c>
      <c r="AA617" t="s">
        <v>131</v>
      </c>
      <c r="AE617">
        <v>1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1</v>
      </c>
      <c r="AM617">
        <v>0</v>
      </c>
      <c r="AN617">
        <v>0</v>
      </c>
      <c r="AO617">
        <v>0</v>
      </c>
      <c r="AP617">
        <v>0</v>
      </c>
    </row>
    <row r="618" spans="1:42" x14ac:dyDescent="0.25">
      <c r="A618">
        <v>745</v>
      </c>
      <c r="B618" t="s">
        <v>1272</v>
      </c>
      <c r="C618" t="s">
        <v>1269</v>
      </c>
      <c r="D618" t="s">
        <v>133</v>
      </c>
      <c r="E618" s="4">
        <v>1</v>
      </c>
      <c r="F618" t="s">
        <v>63</v>
      </c>
      <c r="G618" t="s">
        <v>63</v>
      </c>
      <c r="H618" s="3">
        <v>46174</v>
      </c>
      <c r="I618" s="3">
        <v>46174</v>
      </c>
      <c r="J618" t="s">
        <v>134</v>
      </c>
      <c r="K618" s="3">
        <v>46199</v>
      </c>
      <c r="L618" s="3">
        <v>46199</v>
      </c>
      <c r="M618" s="3">
        <v>46174</v>
      </c>
      <c r="N618" s="3">
        <v>46174</v>
      </c>
      <c r="O618" t="s">
        <v>193</v>
      </c>
      <c r="P618" t="s">
        <v>55</v>
      </c>
      <c r="Q618">
        <v>744</v>
      </c>
      <c r="S618" t="s">
        <v>124</v>
      </c>
      <c r="T618" t="s">
        <v>1109</v>
      </c>
      <c r="V618" t="s">
        <v>61</v>
      </c>
      <c r="W618">
        <v>13.4</v>
      </c>
      <c r="X618" t="s">
        <v>57</v>
      </c>
      <c r="Z618" t="s">
        <v>124</v>
      </c>
      <c r="AA618" t="s">
        <v>131</v>
      </c>
      <c r="AE618">
        <v>1</v>
      </c>
      <c r="AF618">
        <v>0</v>
      </c>
      <c r="AG618">
        <v>0</v>
      </c>
      <c r="AH618">
        <v>0</v>
      </c>
      <c r="AI618">
        <v>1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0</v>
      </c>
      <c r="AP618">
        <v>0</v>
      </c>
    </row>
    <row r="619" spans="1:42" x14ac:dyDescent="0.25">
      <c r="A619">
        <v>746</v>
      </c>
      <c r="B619" t="s">
        <v>1273</v>
      </c>
      <c r="C619" t="s">
        <v>1109</v>
      </c>
      <c r="D619" t="s">
        <v>1274</v>
      </c>
      <c r="E619" s="4">
        <v>1</v>
      </c>
      <c r="F619" t="s">
        <v>365</v>
      </c>
      <c r="G619" t="s">
        <v>365</v>
      </c>
      <c r="H619" s="3">
        <v>46155</v>
      </c>
      <c r="I619" s="3">
        <v>46174</v>
      </c>
      <c r="J619" t="s">
        <v>68</v>
      </c>
      <c r="K619" s="3">
        <v>46174</v>
      </c>
      <c r="L619" s="3">
        <v>46155</v>
      </c>
      <c r="M619" s="3">
        <v>46174</v>
      </c>
      <c r="N619" s="3">
        <v>46174</v>
      </c>
      <c r="O619" t="s">
        <v>68</v>
      </c>
      <c r="P619" t="s">
        <v>55</v>
      </c>
      <c r="T619" t="s">
        <v>1109</v>
      </c>
      <c r="V619" t="s">
        <v>330</v>
      </c>
      <c r="W619">
        <v>30.72</v>
      </c>
      <c r="X619" t="s">
        <v>57</v>
      </c>
      <c r="AA619" t="s">
        <v>50</v>
      </c>
      <c r="AB619" t="s">
        <v>94</v>
      </c>
      <c r="AE619">
        <v>1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</row>
    <row r="620" spans="1:42" x14ac:dyDescent="0.25">
      <c r="A620">
        <v>747</v>
      </c>
      <c r="B620" t="s">
        <v>1275</v>
      </c>
      <c r="C620" t="s">
        <v>1276</v>
      </c>
      <c r="D620" t="s">
        <v>117</v>
      </c>
      <c r="E620" s="4">
        <v>1</v>
      </c>
      <c r="F620" t="s">
        <v>122</v>
      </c>
      <c r="G620" t="s">
        <v>122</v>
      </c>
      <c r="H620" s="3">
        <v>46155</v>
      </c>
      <c r="I620" s="3">
        <v>46157</v>
      </c>
      <c r="J620" t="s">
        <v>68</v>
      </c>
      <c r="K620" s="3">
        <v>46157</v>
      </c>
      <c r="L620" s="3">
        <v>46155</v>
      </c>
      <c r="M620" s="3">
        <v>46157</v>
      </c>
      <c r="N620" s="3">
        <v>46157</v>
      </c>
      <c r="O620" t="s">
        <v>68</v>
      </c>
      <c r="P620" t="s">
        <v>55</v>
      </c>
      <c r="Q620">
        <v>620</v>
      </c>
      <c r="S620" t="s">
        <v>1058</v>
      </c>
      <c r="T620" t="s">
        <v>1109</v>
      </c>
      <c r="U620">
        <v>748</v>
      </c>
      <c r="V620" t="s">
        <v>151</v>
      </c>
      <c r="W620">
        <v>13.4</v>
      </c>
      <c r="X620" t="s">
        <v>57</v>
      </c>
      <c r="Z620" t="s">
        <v>1058</v>
      </c>
      <c r="AA620" t="s">
        <v>462</v>
      </c>
      <c r="AE620">
        <v>1</v>
      </c>
      <c r="AF620">
        <v>1</v>
      </c>
      <c r="AG620">
        <v>1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1</v>
      </c>
    </row>
    <row r="621" spans="1:42" x14ac:dyDescent="0.25">
      <c r="A621">
        <v>748</v>
      </c>
      <c r="B621" t="s">
        <v>1277</v>
      </c>
      <c r="C621" t="s">
        <v>1276</v>
      </c>
      <c r="D621" t="s">
        <v>121</v>
      </c>
      <c r="E621" s="4">
        <v>1</v>
      </c>
      <c r="F621" t="s">
        <v>61</v>
      </c>
      <c r="G621" t="s">
        <v>61</v>
      </c>
      <c r="H621" s="3">
        <v>46160</v>
      </c>
      <c r="I621" s="3">
        <v>46160</v>
      </c>
      <c r="J621" t="s">
        <v>185</v>
      </c>
      <c r="K621" s="3">
        <v>46160</v>
      </c>
      <c r="L621" s="3">
        <v>46160</v>
      </c>
      <c r="M621" s="3">
        <v>46160</v>
      </c>
      <c r="N621" s="3">
        <v>46160</v>
      </c>
      <c r="O621" t="s">
        <v>185</v>
      </c>
      <c r="P621" t="s">
        <v>55</v>
      </c>
      <c r="Q621">
        <v>747</v>
      </c>
      <c r="S621" t="s">
        <v>124</v>
      </c>
      <c r="T621" t="s">
        <v>1109</v>
      </c>
      <c r="U621">
        <v>749</v>
      </c>
      <c r="V621" t="s">
        <v>122</v>
      </c>
      <c r="W621">
        <v>13.4</v>
      </c>
      <c r="X621" t="s">
        <v>57</v>
      </c>
      <c r="Z621" t="s">
        <v>124</v>
      </c>
      <c r="AA621" t="s">
        <v>131</v>
      </c>
      <c r="AE621">
        <v>1</v>
      </c>
      <c r="AF621">
        <v>0</v>
      </c>
      <c r="AG621">
        <v>0</v>
      </c>
      <c r="AH621">
        <v>0</v>
      </c>
      <c r="AI621">
        <v>0</v>
      </c>
      <c r="AJ621">
        <v>1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</row>
    <row r="622" spans="1:42" x14ac:dyDescent="0.25">
      <c r="A622">
        <v>749</v>
      </c>
      <c r="B622" t="s">
        <v>1278</v>
      </c>
      <c r="C622" t="s">
        <v>1276</v>
      </c>
      <c r="D622" t="s">
        <v>126</v>
      </c>
      <c r="E622" s="4">
        <v>1</v>
      </c>
      <c r="F622" t="s">
        <v>61</v>
      </c>
      <c r="G622" t="s">
        <v>61</v>
      </c>
      <c r="H622" s="3">
        <v>46164</v>
      </c>
      <c r="I622" s="3">
        <v>46164</v>
      </c>
      <c r="J622" t="s">
        <v>471</v>
      </c>
      <c r="K622" s="3">
        <v>46164</v>
      </c>
      <c r="L622" s="3">
        <v>46164</v>
      </c>
      <c r="M622" s="3">
        <v>46164</v>
      </c>
      <c r="N622" s="3">
        <v>46164</v>
      </c>
      <c r="O622" t="s">
        <v>471</v>
      </c>
      <c r="P622" t="s">
        <v>55</v>
      </c>
      <c r="Q622">
        <v>748</v>
      </c>
      <c r="S622" t="s">
        <v>1058</v>
      </c>
      <c r="T622" t="s">
        <v>1109</v>
      </c>
      <c r="U622">
        <v>750</v>
      </c>
      <c r="V622" t="s">
        <v>61</v>
      </c>
      <c r="W622">
        <v>13.4</v>
      </c>
      <c r="X622" t="s">
        <v>57</v>
      </c>
      <c r="Z622" t="s">
        <v>1058</v>
      </c>
      <c r="AA622" t="s">
        <v>131</v>
      </c>
      <c r="AE622">
        <v>1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1</v>
      </c>
      <c r="AM622">
        <v>0</v>
      </c>
      <c r="AN622">
        <v>0</v>
      </c>
      <c r="AO622">
        <v>0</v>
      </c>
      <c r="AP622">
        <v>0</v>
      </c>
    </row>
    <row r="623" spans="1:42" x14ac:dyDescent="0.25">
      <c r="A623">
        <v>750</v>
      </c>
      <c r="B623" t="s">
        <v>1279</v>
      </c>
      <c r="C623" t="s">
        <v>1276</v>
      </c>
      <c r="D623" t="s">
        <v>133</v>
      </c>
      <c r="E623" s="4">
        <v>1</v>
      </c>
      <c r="F623" t="s">
        <v>63</v>
      </c>
      <c r="G623" t="s">
        <v>63</v>
      </c>
      <c r="H623" s="3">
        <v>46174</v>
      </c>
      <c r="I623" s="3">
        <v>46174</v>
      </c>
      <c r="J623" t="s">
        <v>193</v>
      </c>
      <c r="K623" s="3">
        <v>46174</v>
      </c>
      <c r="L623" s="3">
        <v>46174</v>
      </c>
      <c r="M623" s="3">
        <v>46174</v>
      </c>
      <c r="N623" s="3">
        <v>46174</v>
      </c>
      <c r="O623" t="s">
        <v>193</v>
      </c>
      <c r="P623" t="s">
        <v>55</v>
      </c>
      <c r="Q623">
        <v>749</v>
      </c>
      <c r="S623" t="s">
        <v>124</v>
      </c>
      <c r="T623" t="s">
        <v>1109</v>
      </c>
      <c r="V623" t="s">
        <v>61</v>
      </c>
      <c r="W623">
        <v>13.4</v>
      </c>
      <c r="X623" t="s">
        <v>57</v>
      </c>
      <c r="Z623" t="s">
        <v>124</v>
      </c>
      <c r="AA623" t="s">
        <v>131</v>
      </c>
      <c r="AE623">
        <v>1</v>
      </c>
      <c r="AF623">
        <v>0</v>
      </c>
      <c r="AG623">
        <v>0</v>
      </c>
      <c r="AH623">
        <v>0</v>
      </c>
      <c r="AI623">
        <v>1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0</v>
      </c>
      <c r="AP623">
        <v>0</v>
      </c>
    </row>
    <row r="624" spans="1:42" x14ac:dyDescent="0.25">
      <c r="A624">
        <v>751</v>
      </c>
      <c r="B624" t="s">
        <v>1280</v>
      </c>
      <c r="C624" t="s">
        <v>1109</v>
      </c>
      <c r="D624" t="s">
        <v>1281</v>
      </c>
      <c r="E624" s="4">
        <v>1</v>
      </c>
      <c r="F624" t="s">
        <v>101</v>
      </c>
      <c r="G624" t="s">
        <v>101</v>
      </c>
      <c r="H624" s="3">
        <v>46188</v>
      </c>
      <c r="I624" s="3">
        <v>46191</v>
      </c>
      <c r="J624" t="s">
        <v>201</v>
      </c>
      <c r="K624" s="3">
        <v>46199</v>
      </c>
      <c r="L624" s="3">
        <v>46181</v>
      </c>
      <c r="M624" s="3">
        <v>46191</v>
      </c>
      <c r="N624" s="3">
        <v>46191</v>
      </c>
      <c r="O624" t="s">
        <v>595</v>
      </c>
      <c r="P624" t="s">
        <v>55</v>
      </c>
      <c r="T624" t="s">
        <v>1109</v>
      </c>
      <c r="V624" t="s">
        <v>330</v>
      </c>
      <c r="W624">
        <v>30.72</v>
      </c>
      <c r="X624" t="s">
        <v>57</v>
      </c>
      <c r="AA624" t="s">
        <v>50</v>
      </c>
      <c r="AE624">
        <v>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</row>
    <row r="625" spans="1:42" x14ac:dyDescent="0.25">
      <c r="A625">
        <v>752</v>
      </c>
      <c r="B625" t="s">
        <v>1282</v>
      </c>
      <c r="C625" t="s">
        <v>1283</v>
      </c>
      <c r="D625" t="s">
        <v>117</v>
      </c>
      <c r="E625" s="4">
        <v>1</v>
      </c>
      <c r="F625" t="s">
        <v>127</v>
      </c>
      <c r="G625" t="s">
        <v>127</v>
      </c>
      <c r="H625" s="3">
        <v>46188</v>
      </c>
      <c r="I625" s="3">
        <v>46189</v>
      </c>
      <c r="J625" t="s">
        <v>201</v>
      </c>
      <c r="K625" s="3">
        <v>46192</v>
      </c>
      <c r="L625" s="3">
        <v>46181</v>
      </c>
      <c r="M625" s="3">
        <v>46189</v>
      </c>
      <c r="N625" s="3">
        <v>46189</v>
      </c>
      <c r="O625" t="s">
        <v>595</v>
      </c>
      <c r="P625" t="s">
        <v>55</v>
      </c>
      <c r="Q625">
        <v>620</v>
      </c>
      <c r="S625" t="s">
        <v>1058</v>
      </c>
      <c r="T625" t="s">
        <v>1109</v>
      </c>
      <c r="U625">
        <v>753</v>
      </c>
      <c r="V625" t="s">
        <v>151</v>
      </c>
      <c r="W625">
        <v>13.4</v>
      </c>
      <c r="X625" t="s">
        <v>57</v>
      </c>
      <c r="Z625" t="s">
        <v>1058</v>
      </c>
      <c r="AA625" t="s">
        <v>462</v>
      </c>
      <c r="AE625">
        <v>1</v>
      </c>
      <c r="AF625">
        <v>1</v>
      </c>
      <c r="AG625">
        <v>1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1</v>
      </c>
    </row>
    <row r="626" spans="1:42" x14ac:dyDescent="0.25">
      <c r="A626">
        <v>753</v>
      </c>
      <c r="B626" t="s">
        <v>1284</v>
      </c>
      <c r="C626" t="s">
        <v>1283</v>
      </c>
      <c r="D626" t="s">
        <v>121</v>
      </c>
      <c r="E626" s="4">
        <v>1</v>
      </c>
      <c r="F626" t="s">
        <v>63</v>
      </c>
      <c r="G626" t="s">
        <v>63</v>
      </c>
      <c r="H626" s="3">
        <v>46189</v>
      </c>
      <c r="I626" s="3">
        <v>46189</v>
      </c>
      <c r="J626" t="s">
        <v>219</v>
      </c>
      <c r="K626" s="3">
        <v>46197</v>
      </c>
      <c r="L626" s="3">
        <v>46195</v>
      </c>
      <c r="M626" s="3">
        <v>46189</v>
      </c>
      <c r="N626" s="3">
        <v>46189</v>
      </c>
      <c r="O626" t="s">
        <v>576</v>
      </c>
      <c r="P626" t="s">
        <v>55</v>
      </c>
      <c r="Q626">
        <v>752</v>
      </c>
      <c r="S626" t="s">
        <v>124</v>
      </c>
      <c r="T626" t="s">
        <v>1109</v>
      </c>
      <c r="U626">
        <v>754</v>
      </c>
      <c r="V626" t="s">
        <v>122</v>
      </c>
      <c r="W626">
        <v>13.4</v>
      </c>
      <c r="X626" t="s">
        <v>57</v>
      </c>
      <c r="Z626" t="s">
        <v>124</v>
      </c>
      <c r="AA626" t="s">
        <v>131</v>
      </c>
      <c r="AE626">
        <v>1</v>
      </c>
      <c r="AF626">
        <v>0</v>
      </c>
      <c r="AG626">
        <v>0</v>
      </c>
      <c r="AH626">
        <v>0</v>
      </c>
      <c r="AI626">
        <v>0</v>
      </c>
      <c r="AJ626">
        <v>1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</row>
    <row r="627" spans="1:42" x14ac:dyDescent="0.25">
      <c r="A627">
        <v>754</v>
      </c>
      <c r="B627" t="s">
        <v>1285</v>
      </c>
      <c r="C627" t="s">
        <v>1283</v>
      </c>
      <c r="D627" t="s">
        <v>126</v>
      </c>
      <c r="E627" s="4">
        <v>1</v>
      </c>
      <c r="F627" t="s">
        <v>63</v>
      </c>
      <c r="G627" t="s">
        <v>63</v>
      </c>
      <c r="H627" s="3">
        <v>46190</v>
      </c>
      <c r="I627" s="3">
        <v>46190</v>
      </c>
      <c r="J627" t="s">
        <v>128</v>
      </c>
      <c r="K627" s="3">
        <v>46198</v>
      </c>
      <c r="L627" s="3">
        <v>46198</v>
      </c>
      <c r="M627" s="3">
        <v>46190</v>
      </c>
      <c r="N627" s="3">
        <v>46190</v>
      </c>
      <c r="O627" t="s">
        <v>75</v>
      </c>
      <c r="P627" t="s">
        <v>55</v>
      </c>
      <c r="Q627">
        <v>753</v>
      </c>
      <c r="S627" t="s">
        <v>1058</v>
      </c>
      <c r="T627" t="s">
        <v>1109</v>
      </c>
      <c r="U627">
        <v>755</v>
      </c>
      <c r="V627" t="s">
        <v>61</v>
      </c>
      <c r="W627">
        <v>13.4</v>
      </c>
      <c r="X627" t="s">
        <v>57</v>
      </c>
      <c r="Z627" t="s">
        <v>1058</v>
      </c>
      <c r="AA627" t="s">
        <v>131</v>
      </c>
      <c r="AE627">
        <v>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1</v>
      </c>
      <c r="AM627">
        <v>0</v>
      </c>
      <c r="AN627">
        <v>0</v>
      </c>
      <c r="AO627">
        <v>0</v>
      </c>
      <c r="AP627">
        <v>0</v>
      </c>
    </row>
    <row r="628" spans="1:42" x14ac:dyDescent="0.25">
      <c r="A628">
        <v>755</v>
      </c>
      <c r="B628" t="s">
        <v>1286</v>
      </c>
      <c r="C628" t="s">
        <v>1283</v>
      </c>
      <c r="D628" t="s">
        <v>133</v>
      </c>
      <c r="E628" s="4">
        <v>1</v>
      </c>
      <c r="F628" t="s">
        <v>63</v>
      </c>
      <c r="G628" t="s">
        <v>63</v>
      </c>
      <c r="H628" s="3">
        <v>46191</v>
      </c>
      <c r="I628" s="3">
        <v>46191</v>
      </c>
      <c r="J628" t="s">
        <v>134</v>
      </c>
      <c r="K628" s="3">
        <v>46199</v>
      </c>
      <c r="L628" s="3">
        <v>46199</v>
      </c>
      <c r="M628" s="3">
        <v>46191</v>
      </c>
      <c r="N628" s="3">
        <v>46191</v>
      </c>
      <c r="O628" t="s">
        <v>480</v>
      </c>
      <c r="P628" t="s">
        <v>55</v>
      </c>
      <c r="Q628">
        <v>754</v>
      </c>
      <c r="S628" t="s">
        <v>124</v>
      </c>
      <c r="T628" t="s">
        <v>1109</v>
      </c>
      <c r="V628" t="s">
        <v>61</v>
      </c>
      <c r="W628">
        <v>13.4</v>
      </c>
      <c r="X628" t="s">
        <v>57</v>
      </c>
      <c r="Z628" t="s">
        <v>124</v>
      </c>
      <c r="AA628" t="s">
        <v>131</v>
      </c>
      <c r="AE628">
        <v>1</v>
      </c>
      <c r="AF628">
        <v>0</v>
      </c>
      <c r="AG628">
        <v>0</v>
      </c>
      <c r="AH628">
        <v>0</v>
      </c>
      <c r="AI628">
        <v>1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0</v>
      </c>
      <c r="AP628">
        <v>0</v>
      </c>
    </row>
    <row r="629" spans="1:42" x14ac:dyDescent="0.25">
      <c r="A629">
        <v>756</v>
      </c>
      <c r="B629" t="s">
        <v>1287</v>
      </c>
      <c r="C629" t="s">
        <v>1109</v>
      </c>
      <c r="D629" t="s">
        <v>1288</v>
      </c>
      <c r="E629" s="4">
        <v>1</v>
      </c>
      <c r="F629" t="s">
        <v>138</v>
      </c>
      <c r="G629" t="s">
        <v>138</v>
      </c>
      <c r="H629" s="3">
        <v>46192</v>
      </c>
      <c r="I629" s="3">
        <v>46198</v>
      </c>
      <c r="J629" t="s">
        <v>211</v>
      </c>
      <c r="K629" s="3">
        <v>46198</v>
      </c>
      <c r="L629" s="3">
        <v>46192</v>
      </c>
      <c r="M629" s="3">
        <v>46198</v>
      </c>
      <c r="N629" s="3">
        <v>46198</v>
      </c>
      <c r="O629" t="s">
        <v>211</v>
      </c>
      <c r="P629" t="s">
        <v>55</v>
      </c>
      <c r="T629" t="s">
        <v>1109</v>
      </c>
      <c r="V629" t="s">
        <v>330</v>
      </c>
      <c r="W629">
        <v>30.72</v>
      </c>
      <c r="X629" t="s">
        <v>57</v>
      </c>
      <c r="AA629" t="s">
        <v>50</v>
      </c>
      <c r="AB629" t="s">
        <v>94</v>
      </c>
      <c r="AE629">
        <v>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</row>
    <row r="630" spans="1:42" x14ac:dyDescent="0.25">
      <c r="A630">
        <v>757</v>
      </c>
      <c r="B630" t="s">
        <v>1289</v>
      </c>
      <c r="C630" t="s">
        <v>1290</v>
      </c>
      <c r="D630" t="s">
        <v>117</v>
      </c>
      <c r="E630" s="4">
        <v>1</v>
      </c>
      <c r="F630" t="s">
        <v>127</v>
      </c>
      <c r="G630" t="s">
        <v>127</v>
      </c>
      <c r="H630" s="3">
        <v>46192</v>
      </c>
      <c r="I630" s="3">
        <v>46195</v>
      </c>
      <c r="J630" t="s">
        <v>211</v>
      </c>
      <c r="K630" s="3">
        <v>46195</v>
      </c>
      <c r="L630" s="3">
        <v>46192</v>
      </c>
      <c r="M630" s="3">
        <v>46195</v>
      </c>
      <c r="N630" s="3">
        <v>46195</v>
      </c>
      <c r="O630" t="s">
        <v>211</v>
      </c>
      <c r="P630" t="s">
        <v>55</v>
      </c>
      <c r="Q630">
        <v>620</v>
      </c>
      <c r="S630" t="s">
        <v>1058</v>
      </c>
      <c r="T630" t="s">
        <v>1109</v>
      </c>
      <c r="U630">
        <v>758</v>
      </c>
      <c r="V630" t="s">
        <v>151</v>
      </c>
      <c r="W630">
        <v>13.4</v>
      </c>
      <c r="X630" t="s">
        <v>57</v>
      </c>
      <c r="Z630" t="s">
        <v>1058</v>
      </c>
      <c r="AA630" t="s">
        <v>462</v>
      </c>
      <c r="AE630">
        <v>1</v>
      </c>
      <c r="AF630">
        <v>1</v>
      </c>
      <c r="AG630">
        <v>1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1</v>
      </c>
    </row>
    <row r="631" spans="1:42" x14ac:dyDescent="0.25">
      <c r="A631">
        <v>758</v>
      </c>
      <c r="B631" t="s">
        <v>1291</v>
      </c>
      <c r="C631" t="s">
        <v>1290</v>
      </c>
      <c r="D631" t="s">
        <v>121</v>
      </c>
      <c r="E631" s="4">
        <v>1</v>
      </c>
      <c r="F631" t="s">
        <v>61</v>
      </c>
      <c r="G631" t="s">
        <v>61</v>
      </c>
      <c r="H631" s="3">
        <v>46196</v>
      </c>
      <c r="I631" s="3">
        <v>46196</v>
      </c>
      <c r="J631" t="s">
        <v>212</v>
      </c>
      <c r="K631" s="3">
        <v>46196</v>
      </c>
      <c r="L631" s="3">
        <v>46196</v>
      </c>
      <c r="M631" s="3">
        <v>46196</v>
      </c>
      <c r="N631" s="3">
        <v>46196</v>
      </c>
      <c r="O631" t="s">
        <v>212</v>
      </c>
      <c r="P631" t="s">
        <v>55</v>
      </c>
      <c r="Q631">
        <v>757</v>
      </c>
      <c r="S631" t="s">
        <v>124</v>
      </c>
      <c r="T631" t="s">
        <v>1109</v>
      </c>
      <c r="U631">
        <v>759</v>
      </c>
      <c r="V631" t="s">
        <v>122</v>
      </c>
      <c r="W631">
        <v>13.4</v>
      </c>
      <c r="X631" t="s">
        <v>57</v>
      </c>
      <c r="Z631" t="s">
        <v>124</v>
      </c>
      <c r="AA631" t="s">
        <v>131</v>
      </c>
      <c r="AE631">
        <v>1</v>
      </c>
      <c r="AF631">
        <v>0</v>
      </c>
      <c r="AG631">
        <v>0</v>
      </c>
      <c r="AH631">
        <v>0</v>
      </c>
      <c r="AI631">
        <v>0</v>
      </c>
      <c r="AJ631">
        <v>1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</row>
    <row r="632" spans="1:42" x14ac:dyDescent="0.25">
      <c r="A632">
        <v>759</v>
      </c>
      <c r="B632" t="s">
        <v>1292</v>
      </c>
      <c r="C632" t="s">
        <v>1290</v>
      </c>
      <c r="D632" t="s">
        <v>126</v>
      </c>
      <c r="E632" s="4">
        <v>1</v>
      </c>
      <c r="F632" t="s">
        <v>61</v>
      </c>
      <c r="G632" t="s">
        <v>61</v>
      </c>
      <c r="H632" s="3">
        <v>46197</v>
      </c>
      <c r="I632" s="3">
        <v>46197</v>
      </c>
      <c r="J632" t="s">
        <v>207</v>
      </c>
      <c r="K632" s="3">
        <v>46197</v>
      </c>
      <c r="L632" s="3">
        <v>46197</v>
      </c>
      <c r="M632" s="3">
        <v>46197</v>
      </c>
      <c r="N632" s="3">
        <v>46197</v>
      </c>
      <c r="O632" t="s">
        <v>207</v>
      </c>
      <c r="P632" t="s">
        <v>55</v>
      </c>
      <c r="Q632">
        <v>758</v>
      </c>
      <c r="S632" t="s">
        <v>1058</v>
      </c>
      <c r="T632" t="s">
        <v>1109</v>
      </c>
      <c r="U632">
        <v>760</v>
      </c>
      <c r="V632" t="s">
        <v>61</v>
      </c>
      <c r="W632">
        <v>13.4</v>
      </c>
      <c r="X632" t="s">
        <v>57</v>
      </c>
      <c r="Z632" t="s">
        <v>1058</v>
      </c>
      <c r="AA632" t="s">
        <v>131</v>
      </c>
      <c r="AE632">
        <v>1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1</v>
      </c>
      <c r="AM632">
        <v>0</v>
      </c>
      <c r="AN632">
        <v>0</v>
      </c>
      <c r="AO632">
        <v>0</v>
      </c>
      <c r="AP632">
        <v>0</v>
      </c>
    </row>
    <row r="633" spans="1:42" x14ac:dyDescent="0.25">
      <c r="A633">
        <v>760</v>
      </c>
      <c r="B633" t="s">
        <v>1293</v>
      </c>
      <c r="C633" t="s">
        <v>1290</v>
      </c>
      <c r="D633" t="s">
        <v>133</v>
      </c>
      <c r="E633" s="4">
        <v>1</v>
      </c>
      <c r="F633" t="s">
        <v>61</v>
      </c>
      <c r="G633" t="s">
        <v>61</v>
      </c>
      <c r="H633" s="3">
        <v>46192</v>
      </c>
      <c r="I633" s="3">
        <v>46198</v>
      </c>
      <c r="J633" t="s">
        <v>211</v>
      </c>
      <c r="K633" s="3">
        <v>46198</v>
      </c>
      <c r="L633" s="3">
        <v>46192</v>
      </c>
      <c r="M633" s="3">
        <v>46198</v>
      </c>
      <c r="N633" s="3">
        <v>46198</v>
      </c>
      <c r="O633" t="s">
        <v>211</v>
      </c>
      <c r="P633" t="s">
        <v>55</v>
      </c>
      <c r="Q633">
        <v>759</v>
      </c>
      <c r="S633" t="s">
        <v>124</v>
      </c>
      <c r="T633" t="s">
        <v>1109</v>
      </c>
      <c r="V633" t="s">
        <v>61</v>
      </c>
      <c r="W633">
        <v>13.4</v>
      </c>
      <c r="X633" t="s">
        <v>57</v>
      </c>
      <c r="Z633" t="s">
        <v>124</v>
      </c>
      <c r="AA633" t="s">
        <v>131</v>
      </c>
      <c r="AE633">
        <v>1</v>
      </c>
      <c r="AF633">
        <v>0</v>
      </c>
      <c r="AG633">
        <v>0</v>
      </c>
      <c r="AH633">
        <v>0</v>
      </c>
      <c r="AI633">
        <v>1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0</v>
      </c>
      <c r="AP633">
        <v>0</v>
      </c>
    </row>
    <row r="634" spans="1:42" x14ac:dyDescent="0.25">
      <c r="A634">
        <v>761</v>
      </c>
      <c r="B634" t="s">
        <v>1294</v>
      </c>
      <c r="C634" t="s">
        <v>1109</v>
      </c>
      <c r="D634" t="s">
        <v>1295</v>
      </c>
      <c r="E634" s="4">
        <v>1</v>
      </c>
      <c r="F634" t="s">
        <v>690</v>
      </c>
      <c r="G634" t="s">
        <v>690</v>
      </c>
      <c r="H634" s="3">
        <v>46160</v>
      </c>
      <c r="I634" s="3">
        <v>46175</v>
      </c>
      <c r="J634" t="s">
        <v>201</v>
      </c>
      <c r="K634" s="3">
        <v>46199</v>
      </c>
      <c r="L634" s="3">
        <v>46181</v>
      </c>
      <c r="M634" s="3">
        <v>46175</v>
      </c>
      <c r="N634" s="3">
        <v>46175</v>
      </c>
      <c r="O634" t="s">
        <v>185</v>
      </c>
      <c r="P634" t="s">
        <v>55</v>
      </c>
      <c r="T634" t="s">
        <v>1109</v>
      </c>
      <c r="V634" t="s">
        <v>330</v>
      </c>
      <c r="W634">
        <v>30.72</v>
      </c>
      <c r="X634" t="s">
        <v>57</v>
      </c>
      <c r="AA634" t="s">
        <v>50</v>
      </c>
      <c r="AE634">
        <v>1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</row>
    <row r="635" spans="1:42" x14ac:dyDescent="0.25">
      <c r="A635">
        <v>762</v>
      </c>
      <c r="B635" t="s">
        <v>1296</v>
      </c>
      <c r="C635" t="s">
        <v>1297</v>
      </c>
      <c r="D635" t="s">
        <v>117</v>
      </c>
      <c r="E635" s="4">
        <v>1</v>
      </c>
      <c r="F635" t="s">
        <v>63</v>
      </c>
      <c r="G635" t="s">
        <v>63</v>
      </c>
      <c r="H635" s="3">
        <v>46160</v>
      </c>
      <c r="I635" s="3">
        <v>46163</v>
      </c>
      <c r="J635" t="s">
        <v>201</v>
      </c>
      <c r="K635" s="3">
        <v>46192</v>
      </c>
      <c r="L635" s="3">
        <v>46181</v>
      </c>
      <c r="M635" s="3">
        <v>46163</v>
      </c>
      <c r="N635" s="3">
        <v>46163</v>
      </c>
      <c r="O635" t="s">
        <v>185</v>
      </c>
      <c r="P635" t="s">
        <v>55</v>
      </c>
      <c r="Q635">
        <v>620</v>
      </c>
      <c r="S635" t="s">
        <v>1058</v>
      </c>
      <c r="T635" t="s">
        <v>1109</v>
      </c>
      <c r="U635">
        <v>763</v>
      </c>
      <c r="V635" t="s">
        <v>151</v>
      </c>
      <c r="W635">
        <v>13.4</v>
      </c>
      <c r="X635" t="s">
        <v>57</v>
      </c>
      <c r="Z635" t="s">
        <v>1058</v>
      </c>
      <c r="AA635" t="s">
        <v>462</v>
      </c>
      <c r="AE635">
        <v>1</v>
      </c>
      <c r="AF635">
        <v>1</v>
      </c>
      <c r="AG635">
        <v>1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1</v>
      </c>
    </row>
    <row r="636" spans="1:42" x14ac:dyDescent="0.25">
      <c r="A636">
        <v>763</v>
      </c>
      <c r="B636" t="s">
        <v>1298</v>
      </c>
      <c r="C636" t="s">
        <v>1297</v>
      </c>
      <c r="D636" t="s">
        <v>121</v>
      </c>
      <c r="E636" s="4">
        <v>1</v>
      </c>
      <c r="F636" t="s">
        <v>127</v>
      </c>
      <c r="G636" t="s">
        <v>127</v>
      </c>
      <c r="H636" s="3">
        <v>46164</v>
      </c>
      <c r="I636" s="3">
        <v>46167</v>
      </c>
      <c r="J636" t="s">
        <v>219</v>
      </c>
      <c r="K636" s="3">
        <v>46197</v>
      </c>
      <c r="L636" s="3">
        <v>46195</v>
      </c>
      <c r="M636" s="3">
        <v>46167</v>
      </c>
      <c r="N636" s="3">
        <v>46167</v>
      </c>
      <c r="O636" t="s">
        <v>471</v>
      </c>
      <c r="P636" t="s">
        <v>55</v>
      </c>
      <c r="Q636">
        <v>762</v>
      </c>
      <c r="S636" t="s">
        <v>124</v>
      </c>
      <c r="T636" t="s">
        <v>1109</v>
      </c>
      <c r="U636">
        <v>764</v>
      </c>
      <c r="V636" t="s">
        <v>122</v>
      </c>
      <c r="W636">
        <v>13.4</v>
      </c>
      <c r="X636" t="s">
        <v>57</v>
      </c>
      <c r="Z636" t="s">
        <v>124</v>
      </c>
      <c r="AA636" t="s">
        <v>131</v>
      </c>
      <c r="AE636">
        <v>1</v>
      </c>
      <c r="AF636">
        <v>0</v>
      </c>
      <c r="AG636">
        <v>0</v>
      </c>
      <c r="AH636">
        <v>0</v>
      </c>
      <c r="AI636">
        <v>0</v>
      </c>
      <c r="AJ636">
        <v>1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</row>
    <row r="637" spans="1:42" x14ac:dyDescent="0.25">
      <c r="A637">
        <v>764</v>
      </c>
      <c r="B637" t="s">
        <v>1299</v>
      </c>
      <c r="C637" t="s">
        <v>1297</v>
      </c>
      <c r="D637" t="s">
        <v>126</v>
      </c>
      <c r="E637" s="4">
        <v>1</v>
      </c>
      <c r="F637" t="s">
        <v>122</v>
      </c>
      <c r="G637" t="s">
        <v>122</v>
      </c>
      <c r="H637" s="3">
        <v>46168</v>
      </c>
      <c r="I637" s="3">
        <v>46170</v>
      </c>
      <c r="J637" t="s">
        <v>128</v>
      </c>
      <c r="K637" s="3">
        <v>46198</v>
      </c>
      <c r="L637" s="3">
        <v>46198</v>
      </c>
      <c r="M637" s="3">
        <v>46170</v>
      </c>
      <c r="N637" s="3">
        <v>46170</v>
      </c>
      <c r="O637" t="s">
        <v>206</v>
      </c>
      <c r="P637" t="s">
        <v>55</v>
      </c>
      <c r="Q637">
        <v>763</v>
      </c>
      <c r="S637" t="s">
        <v>1058</v>
      </c>
      <c r="T637" t="s">
        <v>1109</v>
      </c>
      <c r="U637">
        <v>765</v>
      </c>
      <c r="V637" t="s">
        <v>61</v>
      </c>
      <c r="W637">
        <v>13.4</v>
      </c>
      <c r="X637" t="s">
        <v>57</v>
      </c>
      <c r="Z637" t="s">
        <v>1058</v>
      </c>
      <c r="AA637" t="s">
        <v>131</v>
      </c>
      <c r="AE637">
        <v>1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1</v>
      </c>
      <c r="AM637">
        <v>0</v>
      </c>
      <c r="AN637">
        <v>0</v>
      </c>
      <c r="AO637">
        <v>0</v>
      </c>
      <c r="AP637">
        <v>0</v>
      </c>
    </row>
    <row r="638" spans="1:42" x14ac:dyDescent="0.25">
      <c r="A638">
        <v>765</v>
      </c>
      <c r="B638" t="s">
        <v>1300</v>
      </c>
      <c r="C638" t="s">
        <v>1297</v>
      </c>
      <c r="D638" t="s">
        <v>133</v>
      </c>
      <c r="E638" s="4">
        <v>1</v>
      </c>
      <c r="F638" t="s">
        <v>122</v>
      </c>
      <c r="G638" t="s">
        <v>122</v>
      </c>
      <c r="H638" s="3">
        <v>46170</v>
      </c>
      <c r="I638" s="3">
        <v>46175</v>
      </c>
      <c r="J638" t="s">
        <v>134</v>
      </c>
      <c r="K638" s="3">
        <v>46199</v>
      </c>
      <c r="L638" s="3">
        <v>46199</v>
      </c>
      <c r="M638" s="3">
        <v>46175</v>
      </c>
      <c r="N638" s="3">
        <v>46175</v>
      </c>
      <c r="O638" t="s">
        <v>448</v>
      </c>
      <c r="P638" t="s">
        <v>55</v>
      </c>
      <c r="Q638">
        <v>764</v>
      </c>
      <c r="S638" t="s">
        <v>124</v>
      </c>
      <c r="T638" t="s">
        <v>1109</v>
      </c>
      <c r="U638" t="s">
        <v>1301</v>
      </c>
      <c r="V638" t="s">
        <v>61</v>
      </c>
      <c r="W638">
        <v>13.4</v>
      </c>
      <c r="X638" t="s">
        <v>57</v>
      </c>
      <c r="Z638" t="s">
        <v>124</v>
      </c>
      <c r="AA638" t="s">
        <v>131</v>
      </c>
      <c r="AE638">
        <v>1</v>
      </c>
      <c r="AF638">
        <v>0</v>
      </c>
      <c r="AG638">
        <v>0</v>
      </c>
      <c r="AH638">
        <v>0</v>
      </c>
      <c r="AI638">
        <v>1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0</v>
      </c>
      <c r="AP638">
        <v>0</v>
      </c>
    </row>
    <row r="639" spans="1:42" x14ac:dyDescent="0.25">
      <c r="A639">
        <v>766</v>
      </c>
      <c r="B639" t="s">
        <v>1302</v>
      </c>
      <c r="C639" t="s">
        <v>1109</v>
      </c>
      <c r="D639" t="s">
        <v>1303</v>
      </c>
      <c r="E639" s="4">
        <v>1</v>
      </c>
      <c r="F639" t="s">
        <v>214</v>
      </c>
      <c r="G639" t="s">
        <v>214</v>
      </c>
      <c r="H639" s="3">
        <v>46160</v>
      </c>
      <c r="I639" s="3">
        <v>46167</v>
      </c>
      <c r="J639" t="s">
        <v>201</v>
      </c>
      <c r="K639" s="3">
        <v>46199</v>
      </c>
      <c r="L639" s="3">
        <v>46181</v>
      </c>
      <c r="M639" s="3">
        <v>46167</v>
      </c>
      <c r="N639" s="3">
        <v>46167</v>
      </c>
      <c r="O639" t="s">
        <v>185</v>
      </c>
      <c r="P639" t="s">
        <v>55</v>
      </c>
      <c r="T639" t="s">
        <v>1109</v>
      </c>
      <c r="V639" t="s">
        <v>330</v>
      </c>
      <c r="W639">
        <v>30.72</v>
      </c>
      <c r="X639" t="s">
        <v>57</v>
      </c>
      <c r="AA639" t="s">
        <v>50</v>
      </c>
      <c r="AE639">
        <v>1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</row>
    <row r="640" spans="1:42" x14ac:dyDescent="0.25">
      <c r="A640">
        <v>767</v>
      </c>
      <c r="B640" t="s">
        <v>1304</v>
      </c>
      <c r="C640" t="s">
        <v>1305</v>
      </c>
      <c r="D640" t="s">
        <v>117</v>
      </c>
      <c r="E640" s="4">
        <v>1</v>
      </c>
      <c r="F640" t="s">
        <v>63</v>
      </c>
      <c r="G640" t="s">
        <v>63</v>
      </c>
      <c r="H640" s="3">
        <v>46160</v>
      </c>
      <c r="I640" s="3">
        <v>46164</v>
      </c>
      <c r="J640" t="s">
        <v>201</v>
      </c>
      <c r="K640" s="3">
        <v>46192</v>
      </c>
      <c r="L640" s="3">
        <v>46181</v>
      </c>
      <c r="M640" s="3">
        <v>46164</v>
      </c>
      <c r="N640" s="3">
        <v>46164</v>
      </c>
      <c r="O640" t="s">
        <v>185</v>
      </c>
      <c r="P640" t="s">
        <v>55</v>
      </c>
      <c r="Q640">
        <v>620</v>
      </c>
      <c r="S640" t="s">
        <v>1058</v>
      </c>
      <c r="T640" t="s">
        <v>1109</v>
      </c>
      <c r="U640">
        <v>768</v>
      </c>
      <c r="V640" t="s">
        <v>151</v>
      </c>
      <c r="W640">
        <v>13.4</v>
      </c>
      <c r="X640" t="s">
        <v>57</v>
      </c>
      <c r="Z640" t="s">
        <v>1058</v>
      </c>
      <c r="AA640" t="s">
        <v>462</v>
      </c>
      <c r="AE640">
        <v>1</v>
      </c>
      <c r="AF640">
        <v>1</v>
      </c>
      <c r="AG640">
        <v>1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1</v>
      </c>
    </row>
    <row r="641" spans="1:42" x14ac:dyDescent="0.25">
      <c r="A641">
        <v>768</v>
      </c>
      <c r="B641" t="s">
        <v>1306</v>
      </c>
      <c r="C641" t="s">
        <v>1305</v>
      </c>
      <c r="D641" t="s">
        <v>121</v>
      </c>
      <c r="E641" s="4">
        <v>1</v>
      </c>
      <c r="F641" t="s">
        <v>61</v>
      </c>
      <c r="G641" t="s">
        <v>61</v>
      </c>
      <c r="H641" s="3">
        <v>46164</v>
      </c>
      <c r="I641" s="3">
        <v>46167</v>
      </c>
      <c r="J641" t="s">
        <v>219</v>
      </c>
      <c r="K641" s="3">
        <v>46197</v>
      </c>
      <c r="L641" s="3">
        <v>46195</v>
      </c>
      <c r="M641" s="3">
        <v>46167</v>
      </c>
      <c r="N641" s="3">
        <v>46167</v>
      </c>
      <c r="O641" t="s">
        <v>471</v>
      </c>
      <c r="P641" t="s">
        <v>55</v>
      </c>
      <c r="Q641">
        <v>767</v>
      </c>
      <c r="S641" t="s">
        <v>124</v>
      </c>
      <c r="T641" t="s">
        <v>1109</v>
      </c>
      <c r="U641">
        <v>769</v>
      </c>
      <c r="V641" t="s">
        <v>122</v>
      </c>
      <c r="W641">
        <v>13.4</v>
      </c>
      <c r="X641" t="s">
        <v>57</v>
      </c>
      <c r="Z641" t="s">
        <v>124</v>
      </c>
      <c r="AA641" t="s">
        <v>131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1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</row>
    <row r="642" spans="1:42" x14ac:dyDescent="0.25">
      <c r="A642">
        <v>769</v>
      </c>
      <c r="B642" t="s">
        <v>1307</v>
      </c>
      <c r="C642" t="s">
        <v>1305</v>
      </c>
      <c r="D642" t="s">
        <v>126</v>
      </c>
      <c r="E642" s="4">
        <v>1</v>
      </c>
      <c r="F642" t="s">
        <v>63</v>
      </c>
      <c r="G642" t="s">
        <v>63</v>
      </c>
      <c r="H642" s="3">
        <v>46167</v>
      </c>
      <c r="I642" s="3">
        <v>46167</v>
      </c>
      <c r="J642" t="s">
        <v>128</v>
      </c>
      <c r="K642" s="3">
        <v>46198</v>
      </c>
      <c r="L642" s="3">
        <v>46198</v>
      </c>
      <c r="M642" s="3">
        <v>46167</v>
      </c>
      <c r="N642" s="3">
        <v>46167</v>
      </c>
      <c r="O642" t="s">
        <v>74</v>
      </c>
      <c r="P642" t="s">
        <v>55</v>
      </c>
      <c r="Q642">
        <v>768</v>
      </c>
      <c r="S642" t="s">
        <v>1058</v>
      </c>
      <c r="T642" t="s">
        <v>1109</v>
      </c>
      <c r="U642">
        <v>770</v>
      </c>
      <c r="V642" t="s">
        <v>61</v>
      </c>
      <c r="W642">
        <v>13.4</v>
      </c>
      <c r="X642" t="s">
        <v>57</v>
      </c>
      <c r="Z642" t="s">
        <v>1058</v>
      </c>
      <c r="AA642" t="s">
        <v>131</v>
      </c>
      <c r="AE642">
        <v>1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1</v>
      </c>
      <c r="AM642">
        <v>0</v>
      </c>
      <c r="AN642">
        <v>0</v>
      </c>
      <c r="AO642">
        <v>0</v>
      </c>
      <c r="AP642">
        <v>0</v>
      </c>
    </row>
    <row r="643" spans="1:42" x14ac:dyDescent="0.25">
      <c r="A643">
        <v>770</v>
      </c>
      <c r="B643" t="s">
        <v>1308</v>
      </c>
      <c r="C643" t="s">
        <v>1305</v>
      </c>
      <c r="D643" t="s">
        <v>133</v>
      </c>
      <c r="E643" s="4">
        <v>1</v>
      </c>
      <c r="F643" t="s">
        <v>63</v>
      </c>
      <c r="G643" t="s">
        <v>63</v>
      </c>
      <c r="H643" s="3">
        <v>46167</v>
      </c>
      <c r="I643" s="3">
        <v>46167</v>
      </c>
      <c r="J643" t="s">
        <v>134</v>
      </c>
      <c r="K643" s="3">
        <v>46199</v>
      </c>
      <c r="L643" s="3">
        <v>46199</v>
      </c>
      <c r="M643" s="3">
        <v>46167</v>
      </c>
      <c r="N643" s="3">
        <v>46167</v>
      </c>
      <c r="O643" t="s">
        <v>74</v>
      </c>
      <c r="P643" t="s">
        <v>55</v>
      </c>
      <c r="Q643">
        <v>769</v>
      </c>
      <c r="S643" t="s">
        <v>124</v>
      </c>
      <c r="T643" t="s">
        <v>1109</v>
      </c>
      <c r="V643" t="s">
        <v>61</v>
      </c>
      <c r="W643">
        <v>13.4</v>
      </c>
      <c r="X643" t="s">
        <v>57</v>
      </c>
      <c r="Z643" t="s">
        <v>124</v>
      </c>
      <c r="AA643" t="s">
        <v>131</v>
      </c>
      <c r="AE643">
        <v>1</v>
      </c>
      <c r="AF643">
        <v>0</v>
      </c>
      <c r="AG643">
        <v>0</v>
      </c>
      <c r="AH643">
        <v>0</v>
      </c>
      <c r="AI643">
        <v>1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0</v>
      </c>
      <c r="AP643">
        <v>0</v>
      </c>
    </row>
    <row r="644" spans="1:42" x14ac:dyDescent="0.25">
      <c r="A644">
        <v>771</v>
      </c>
      <c r="B644" t="s">
        <v>1309</v>
      </c>
      <c r="C644" t="s">
        <v>1109</v>
      </c>
      <c r="D644" t="s">
        <v>1310</v>
      </c>
      <c r="E644" s="4">
        <v>1</v>
      </c>
      <c r="F644" t="s">
        <v>175</v>
      </c>
      <c r="G644" t="s">
        <v>175</v>
      </c>
      <c r="H644" s="3">
        <v>46160</v>
      </c>
      <c r="I644" s="3">
        <v>46168</v>
      </c>
      <c r="J644" t="s">
        <v>185</v>
      </c>
      <c r="K644" s="3">
        <v>46168</v>
      </c>
      <c r="L644" s="3">
        <v>46160</v>
      </c>
      <c r="M644" s="3">
        <v>46168</v>
      </c>
      <c r="N644" s="3">
        <v>46168</v>
      </c>
      <c r="O644" t="s">
        <v>185</v>
      </c>
      <c r="P644" t="s">
        <v>55</v>
      </c>
      <c r="T644" t="s">
        <v>1109</v>
      </c>
      <c r="V644" t="s">
        <v>330</v>
      </c>
      <c r="W644">
        <v>30.72</v>
      </c>
      <c r="X644" t="s">
        <v>57</v>
      </c>
      <c r="AA644" t="s">
        <v>50</v>
      </c>
      <c r="AB644" t="s">
        <v>94</v>
      </c>
      <c r="AE644">
        <v>1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</row>
    <row r="645" spans="1:42" x14ac:dyDescent="0.25">
      <c r="A645">
        <v>772</v>
      </c>
      <c r="B645" t="s">
        <v>1311</v>
      </c>
      <c r="C645" t="s">
        <v>1312</v>
      </c>
      <c r="D645" t="s">
        <v>117</v>
      </c>
      <c r="E645" s="4">
        <v>1</v>
      </c>
      <c r="F645" t="s">
        <v>61</v>
      </c>
      <c r="G645" t="s">
        <v>61</v>
      </c>
      <c r="H645" s="3">
        <v>46160</v>
      </c>
      <c r="I645" s="3">
        <v>46162</v>
      </c>
      <c r="J645" t="s">
        <v>185</v>
      </c>
      <c r="K645" s="3">
        <v>46162</v>
      </c>
      <c r="L645" s="3">
        <v>46160</v>
      </c>
      <c r="M645" s="3">
        <v>46162</v>
      </c>
      <c r="N645" s="3">
        <v>46162</v>
      </c>
      <c r="O645" t="s">
        <v>185</v>
      </c>
      <c r="P645" t="s">
        <v>55</v>
      </c>
      <c r="S645" t="s">
        <v>1058</v>
      </c>
      <c r="T645" t="s">
        <v>1109</v>
      </c>
      <c r="U645">
        <v>773</v>
      </c>
      <c r="V645" t="s">
        <v>151</v>
      </c>
      <c r="W645">
        <v>13.4</v>
      </c>
      <c r="X645" t="s">
        <v>57</v>
      </c>
      <c r="Z645" t="s">
        <v>1058</v>
      </c>
      <c r="AA645" t="s">
        <v>462</v>
      </c>
      <c r="AE645">
        <v>1</v>
      </c>
      <c r="AF645">
        <v>1</v>
      </c>
      <c r="AG645">
        <v>1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1</v>
      </c>
    </row>
    <row r="646" spans="1:42" x14ac:dyDescent="0.25">
      <c r="A646">
        <v>773</v>
      </c>
      <c r="B646" t="s">
        <v>1313</v>
      </c>
      <c r="C646" t="s">
        <v>1312</v>
      </c>
      <c r="D646" t="s">
        <v>121</v>
      </c>
      <c r="E646" s="4">
        <v>1</v>
      </c>
      <c r="F646" t="s">
        <v>127</v>
      </c>
      <c r="G646" t="s">
        <v>127</v>
      </c>
      <c r="H646" s="3">
        <v>46164</v>
      </c>
      <c r="I646" s="3">
        <v>46167</v>
      </c>
      <c r="J646" t="s">
        <v>471</v>
      </c>
      <c r="K646" s="3">
        <v>46167</v>
      </c>
      <c r="L646" s="3">
        <v>46164</v>
      </c>
      <c r="M646" s="3">
        <v>46167</v>
      </c>
      <c r="N646" s="3">
        <v>46167</v>
      </c>
      <c r="O646" t="s">
        <v>471</v>
      </c>
      <c r="P646" t="s">
        <v>55</v>
      </c>
      <c r="Q646">
        <v>772</v>
      </c>
      <c r="S646" t="s">
        <v>124</v>
      </c>
      <c r="T646" t="s">
        <v>1109</v>
      </c>
      <c r="U646">
        <v>774</v>
      </c>
      <c r="V646" t="s">
        <v>122</v>
      </c>
      <c r="W646">
        <v>13.4</v>
      </c>
      <c r="X646" t="s">
        <v>57</v>
      </c>
      <c r="Z646" t="s">
        <v>124</v>
      </c>
      <c r="AA646" t="s">
        <v>131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1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</row>
    <row r="647" spans="1:42" x14ac:dyDescent="0.25">
      <c r="A647">
        <v>774</v>
      </c>
      <c r="B647" t="s">
        <v>1314</v>
      </c>
      <c r="C647" t="s">
        <v>1312</v>
      </c>
      <c r="D647" t="s">
        <v>126</v>
      </c>
      <c r="E647" s="4">
        <v>1</v>
      </c>
      <c r="F647" t="s">
        <v>61</v>
      </c>
      <c r="G647" t="s">
        <v>61</v>
      </c>
      <c r="H647" s="3">
        <v>46167</v>
      </c>
      <c r="I647" s="3">
        <v>46167</v>
      </c>
      <c r="J647" t="s">
        <v>74</v>
      </c>
      <c r="K647" s="3">
        <v>46167</v>
      </c>
      <c r="L647" s="3">
        <v>46167</v>
      </c>
      <c r="M647" s="3">
        <v>46167</v>
      </c>
      <c r="N647" s="3">
        <v>46167</v>
      </c>
      <c r="O647" t="s">
        <v>74</v>
      </c>
      <c r="P647" t="s">
        <v>55</v>
      </c>
      <c r="Q647">
        <v>773</v>
      </c>
      <c r="S647" t="s">
        <v>1058</v>
      </c>
      <c r="T647" t="s">
        <v>1109</v>
      </c>
      <c r="U647">
        <v>775</v>
      </c>
      <c r="V647" t="s">
        <v>61</v>
      </c>
      <c r="W647">
        <v>13.4</v>
      </c>
      <c r="X647" t="s">
        <v>57</v>
      </c>
      <c r="Z647" t="s">
        <v>1058</v>
      </c>
      <c r="AA647" t="s">
        <v>131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1</v>
      </c>
      <c r="AM647">
        <v>0</v>
      </c>
      <c r="AN647">
        <v>0</v>
      </c>
      <c r="AO647">
        <v>0</v>
      </c>
      <c r="AP647">
        <v>0</v>
      </c>
    </row>
    <row r="648" spans="1:42" x14ac:dyDescent="0.25">
      <c r="A648">
        <v>775</v>
      </c>
      <c r="B648" t="s">
        <v>1315</v>
      </c>
      <c r="C648" t="s">
        <v>1312</v>
      </c>
      <c r="D648" t="s">
        <v>133</v>
      </c>
      <c r="E648" s="4">
        <v>1</v>
      </c>
      <c r="F648" t="s">
        <v>127</v>
      </c>
      <c r="G648" t="s">
        <v>127</v>
      </c>
      <c r="H648" s="3">
        <v>46167</v>
      </c>
      <c r="I648" s="3">
        <v>46168</v>
      </c>
      <c r="J648" t="s">
        <v>74</v>
      </c>
      <c r="K648" s="3">
        <v>46168</v>
      </c>
      <c r="L648" s="3">
        <v>46167</v>
      </c>
      <c r="M648" s="3">
        <v>46168</v>
      </c>
      <c r="N648" s="3">
        <v>46168</v>
      </c>
      <c r="O648" t="s">
        <v>74</v>
      </c>
      <c r="P648" t="s">
        <v>55</v>
      </c>
      <c r="Q648">
        <v>774</v>
      </c>
      <c r="S648" t="s">
        <v>124</v>
      </c>
      <c r="T648" t="s">
        <v>1109</v>
      </c>
      <c r="V648" t="s">
        <v>61</v>
      </c>
      <c r="W648">
        <v>13.4</v>
      </c>
      <c r="X648" t="s">
        <v>57</v>
      </c>
      <c r="Z648" t="s">
        <v>124</v>
      </c>
      <c r="AA648" t="s">
        <v>131</v>
      </c>
      <c r="AE648">
        <v>1</v>
      </c>
      <c r="AF648">
        <v>0</v>
      </c>
      <c r="AG648">
        <v>0</v>
      </c>
      <c r="AH648">
        <v>0</v>
      </c>
      <c r="AI648">
        <v>1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0</v>
      </c>
      <c r="AP648">
        <v>0</v>
      </c>
    </row>
    <row r="649" spans="1:42" x14ac:dyDescent="0.25">
      <c r="A649">
        <v>776</v>
      </c>
      <c r="B649" t="s">
        <v>1316</v>
      </c>
      <c r="C649" t="s">
        <v>1109</v>
      </c>
      <c r="D649" t="s">
        <v>1317</v>
      </c>
      <c r="E649" s="4">
        <v>1</v>
      </c>
      <c r="F649" t="s">
        <v>295</v>
      </c>
      <c r="G649" t="s">
        <v>295</v>
      </c>
      <c r="H649" s="3">
        <v>46169</v>
      </c>
      <c r="I649" s="3">
        <v>46192</v>
      </c>
      <c r="J649" t="s">
        <v>201</v>
      </c>
      <c r="K649" s="3">
        <v>46199</v>
      </c>
      <c r="L649" s="3">
        <v>46181</v>
      </c>
      <c r="M649" s="3">
        <v>46192</v>
      </c>
      <c r="N649" s="3">
        <v>46192</v>
      </c>
      <c r="O649" t="s">
        <v>97</v>
      </c>
      <c r="P649" t="s">
        <v>55</v>
      </c>
      <c r="T649" t="s">
        <v>1109</v>
      </c>
      <c r="V649" t="s">
        <v>330</v>
      </c>
      <c r="W649">
        <v>30.72</v>
      </c>
      <c r="X649" t="s">
        <v>57</v>
      </c>
      <c r="AA649" t="s">
        <v>50</v>
      </c>
      <c r="AE649">
        <v>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</row>
    <row r="650" spans="1:42" x14ac:dyDescent="0.25">
      <c r="A650">
        <v>777</v>
      </c>
      <c r="B650" t="s">
        <v>1318</v>
      </c>
      <c r="C650" t="s">
        <v>1319</v>
      </c>
      <c r="D650" t="s">
        <v>117</v>
      </c>
      <c r="E650" s="4">
        <v>1</v>
      </c>
      <c r="F650" t="s">
        <v>138</v>
      </c>
      <c r="G650" t="s">
        <v>138</v>
      </c>
      <c r="H650" s="3">
        <v>46169</v>
      </c>
      <c r="I650" s="3">
        <v>46175</v>
      </c>
      <c r="J650" t="s">
        <v>201</v>
      </c>
      <c r="K650" s="3">
        <v>46192</v>
      </c>
      <c r="L650" s="3">
        <v>46181</v>
      </c>
      <c r="M650" s="3">
        <v>46175</v>
      </c>
      <c r="N650" s="3">
        <v>46175</v>
      </c>
      <c r="O650" t="s">
        <v>97</v>
      </c>
      <c r="P650" t="s">
        <v>55</v>
      </c>
      <c r="Q650" t="s">
        <v>1320</v>
      </c>
      <c r="S650" t="s">
        <v>1058</v>
      </c>
      <c r="T650" t="s">
        <v>1109</v>
      </c>
      <c r="U650">
        <v>778</v>
      </c>
      <c r="V650" t="s">
        <v>151</v>
      </c>
      <c r="W650">
        <v>13.4</v>
      </c>
      <c r="X650" t="s">
        <v>57</v>
      </c>
      <c r="Z650" t="s">
        <v>1058</v>
      </c>
      <c r="AA650" t="s">
        <v>462</v>
      </c>
      <c r="AE650">
        <v>1</v>
      </c>
      <c r="AF650">
        <v>1</v>
      </c>
      <c r="AG650">
        <v>1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1</v>
      </c>
    </row>
    <row r="651" spans="1:42" x14ac:dyDescent="0.25">
      <c r="A651">
        <v>778</v>
      </c>
      <c r="B651" t="s">
        <v>1321</v>
      </c>
      <c r="C651" t="s">
        <v>1319</v>
      </c>
      <c r="D651" t="s">
        <v>121</v>
      </c>
      <c r="E651" s="4">
        <v>1</v>
      </c>
      <c r="F651" t="s">
        <v>138</v>
      </c>
      <c r="G651" t="s">
        <v>138</v>
      </c>
      <c r="H651" s="3">
        <v>46176</v>
      </c>
      <c r="I651" s="3">
        <v>46184</v>
      </c>
      <c r="J651" t="s">
        <v>219</v>
      </c>
      <c r="K651" s="3">
        <v>46197</v>
      </c>
      <c r="L651" s="3">
        <v>46195</v>
      </c>
      <c r="M651" s="3">
        <v>46184</v>
      </c>
      <c r="N651" s="3">
        <v>46184</v>
      </c>
      <c r="O651" t="s">
        <v>459</v>
      </c>
      <c r="P651" t="s">
        <v>55</v>
      </c>
      <c r="Q651">
        <v>777</v>
      </c>
      <c r="S651" t="s">
        <v>124</v>
      </c>
      <c r="T651" t="s">
        <v>1109</v>
      </c>
      <c r="U651">
        <v>779</v>
      </c>
      <c r="V651" t="s">
        <v>122</v>
      </c>
      <c r="W651">
        <v>13.4</v>
      </c>
      <c r="X651" t="s">
        <v>57</v>
      </c>
      <c r="Z651" t="s">
        <v>124</v>
      </c>
      <c r="AA651" t="s">
        <v>131</v>
      </c>
      <c r="AE651">
        <v>1</v>
      </c>
      <c r="AF651">
        <v>0</v>
      </c>
      <c r="AG651">
        <v>0</v>
      </c>
      <c r="AH651">
        <v>0</v>
      </c>
      <c r="AI651">
        <v>0</v>
      </c>
      <c r="AJ651">
        <v>1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</row>
    <row r="652" spans="1:42" x14ac:dyDescent="0.25">
      <c r="A652">
        <v>779</v>
      </c>
      <c r="B652" t="s">
        <v>1322</v>
      </c>
      <c r="C652" t="s">
        <v>1319</v>
      </c>
      <c r="D652" t="s">
        <v>126</v>
      </c>
      <c r="E652" s="4">
        <v>1</v>
      </c>
      <c r="F652" t="s">
        <v>61</v>
      </c>
      <c r="G652" t="s">
        <v>61</v>
      </c>
      <c r="H652" s="3">
        <v>46185</v>
      </c>
      <c r="I652" s="3">
        <v>46185</v>
      </c>
      <c r="J652" t="s">
        <v>128</v>
      </c>
      <c r="K652" s="3">
        <v>46198</v>
      </c>
      <c r="L652" s="3">
        <v>46198</v>
      </c>
      <c r="M652" s="3">
        <v>46185</v>
      </c>
      <c r="N652" s="3">
        <v>46185</v>
      </c>
      <c r="O652" t="s">
        <v>571</v>
      </c>
      <c r="P652" t="s">
        <v>55</v>
      </c>
      <c r="Q652">
        <v>778</v>
      </c>
      <c r="S652" t="s">
        <v>1058</v>
      </c>
      <c r="T652" t="s">
        <v>1109</v>
      </c>
      <c r="U652">
        <v>780</v>
      </c>
      <c r="V652" t="s">
        <v>61</v>
      </c>
      <c r="W652">
        <v>13.4</v>
      </c>
      <c r="X652" t="s">
        <v>57</v>
      </c>
      <c r="Z652" t="s">
        <v>1058</v>
      </c>
      <c r="AA652" t="s">
        <v>131</v>
      </c>
      <c r="AE652">
        <v>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1</v>
      </c>
      <c r="AM652">
        <v>0</v>
      </c>
      <c r="AN652">
        <v>0</v>
      </c>
      <c r="AO652">
        <v>0</v>
      </c>
      <c r="AP652">
        <v>0</v>
      </c>
    </row>
    <row r="653" spans="1:42" x14ac:dyDescent="0.25">
      <c r="A653">
        <v>780</v>
      </c>
      <c r="B653" t="s">
        <v>1323</v>
      </c>
      <c r="C653" t="s">
        <v>1319</v>
      </c>
      <c r="D653" t="s">
        <v>133</v>
      </c>
      <c r="E653" s="4">
        <v>1</v>
      </c>
      <c r="F653" t="s">
        <v>138</v>
      </c>
      <c r="G653" t="s">
        <v>138</v>
      </c>
      <c r="H653" s="3">
        <v>46188</v>
      </c>
      <c r="I653" s="3">
        <v>46192</v>
      </c>
      <c r="J653" t="s">
        <v>134</v>
      </c>
      <c r="K653" s="3">
        <v>46199</v>
      </c>
      <c r="L653" s="3">
        <v>46199</v>
      </c>
      <c r="M653" s="3">
        <v>46192</v>
      </c>
      <c r="N653" s="3">
        <v>46192</v>
      </c>
      <c r="O653" t="s">
        <v>595</v>
      </c>
      <c r="P653" t="s">
        <v>55</v>
      </c>
      <c r="Q653">
        <v>779</v>
      </c>
      <c r="S653" t="s">
        <v>124</v>
      </c>
      <c r="T653" t="s">
        <v>1109</v>
      </c>
      <c r="V653" t="s">
        <v>61</v>
      </c>
      <c r="W653">
        <v>13.4</v>
      </c>
      <c r="X653" t="s">
        <v>57</v>
      </c>
      <c r="Z653" t="s">
        <v>124</v>
      </c>
      <c r="AA653" t="s">
        <v>131</v>
      </c>
      <c r="AE653">
        <v>1</v>
      </c>
      <c r="AF653">
        <v>0</v>
      </c>
      <c r="AG653">
        <v>0</v>
      </c>
      <c r="AH653">
        <v>0</v>
      </c>
      <c r="AI653">
        <v>1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0</v>
      </c>
      <c r="AP653">
        <v>0</v>
      </c>
    </row>
    <row r="654" spans="1:42" x14ac:dyDescent="0.25">
      <c r="A654">
        <v>781</v>
      </c>
      <c r="B654" t="s">
        <v>1324</v>
      </c>
      <c r="C654" t="s">
        <v>1109</v>
      </c>
      <c r="D654" t="s">
        <v>1325</v>
      </c>
      <c r="E654" s="4">
        <v>1</v>
      </c>
      <c r="F654" t="s">
        <v>101</v>
      </c>
      <c r="G654" t="s">
        <v>101</v>
      </c>
      <c r="H654" s="3">
        <v>46192</v>
      </c>
      <c r="I654" s="3">
        <v>46197</v>
      </c>
      <c r="J654" t="s">
        <v>201</v>
      </c>
      <c r="K654" s="3">
        <v>46184</v>
      </c>
      <c r="L654" s="3">
        <v>46181</v>
      </c>
      <c r="M654" s="3">
        <v>46197</v>
      </c>
      <c r="N654" s="3">
        <v>46197</v>
      </c>
      <c r="O654" t="s">
        <v>211</v>
      </c>
      <c r="P654" t="s">
        <v>55</v>
      </c>
      <c r="T654" t="s">
        <v>1109</v>
      </c>
      <c r="V654" t="s">
        <v>101</v>
      </c>
      <c r="W654">
        <v>24.48</v>
      </c>
      <c r="X654" t="s">
        <v>57</v>
      </c>
      <c r="AA654" t="s">
        <v>50</v>
      </c>
      <c r="AE654">
        <v>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</row>
    <row r="655" spans="1:42" x14ac:dyDescent="0.25">
      <c r="A655">
        <v>782</v>
      </c>
      <c r="B655" t="s">
        <v>1326</v>
      </c>
      <c r="C655" t="s">
        <v>1327</v>
      </c>
      <c r="D655" t="s">
        <v>117</v>
      </c>
      <c r="E655" s="4">
        <v>1</v>
      </c>
      <c r="F655" t="s">
        <v>61</v>
      </c>
      <c r="G655" t="s">
        <v>61</v>
      </c>
      <c r="H655" s="3">
        <v>46192</v>
      </c>
      <c r="I655" s="3">
        <v>46192</v>
      </c>
      <c r="J655" t="s">
        <v>201</v>
      </c>
      <c r="K655" s="3">
        <v>46181</v>
      </c>
      <c r="L655" s="3">
        <v>46181</v>
      </c>
      <c r="M655" s="3">
        <v>46192</v>
      </c>
      <c r="N655" s="3">
        <v>46192</v>
      </c>
      <c r="O655" t="s">
        <v>211</v>
      </c>
      <c r="P655" t="s">
        <v>55</v>
      </c>
      <c r="Q655">
        <v>616</v>
      </c>
      <c r="S655" t="s">
        <v>1058</v>
      </c>
      <c r="T655" t="s">
        <v>1109</v>
      </c>
      <c r="U655">
        <v>783</v>
      </c>
      <c r="V655" t="s">
        <v>61</v>
      </c>
      <c r="W655">
        <v>13.4</v>
      </c>
      <c r="X655" t="s">
        <v>57</v>
      </c>
      <c r="Z655" t="s">
        <v>1058</v>
      </c>
      <c r="AA655" t="s">
        <v>462</v>
      </c>
      <c r="AE655">
        <v>1</v>
      </c>
      <c r="AF655">
        <v>1</v>
      </c>
      <c r="AG655">
        <v>1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1</v>
      </c>
    </row>
    <row r="656" spans="1:42" x14ac:dyDescent="0.25">
      <c r="A656">
        <v>783</v>
      </c>
      <c r="B656" t="s">
        <v>1328</v>
      </c>
      <c r="C656" t="s">
        <v>1327</v>
      </c>
      <c r="D656" t="s">
        <v>121</v>
      </c>
      <c r="E656" s="4">
        <v>1</v>
      </c>
      <c r="F656" t="s">
        <v>61</v>
      </c>
      <c r="G656" t="s">
        <v>61</v>
      </c>
      <c r="H656" s="3">
        <v>46195</v>
      </c>
      <c r="I656" s="3">
        <v>46195</v>
      </c>
      <c r="J656" t="s">
        <v>204</v>
      </c>
      <c r="K656" s="3">
        <v>46182</v>
      </c>
      <c r="L656" s="3">
        <v>46182</v>
      </c>
      <c r="M656" s="3">
        <v>46195</v>
      </c>
      <c r="N656" s="3">
        <v>46195</v>
      </c>
      <c r="O656" t="s">
        <v>219</v>
      </c>
      <c r="P656" t="s">
        <v>55</v>
      </c>
      <c r="Q656">
        <v>782</v>
      </c>
      <c r="S656" t="s">
        <v>124</v>
      </c>
      <c r="T656" t="s">
        <v>1109</v>
      </c>
      <c r="U656">
        <v>784</v>
      </c>
      <c r="V656" t="s">
        <v>61</v>
      </c>
      <c r="W656">
        <v>13.4</v>
      </c>
      <c r="X656" t="s">
        <v>57</v>
      </c>
      <c r="Z656" t="s">
        <v>124</v>
      </c>
      <c r="AA656" t="s">
        <v>462</v>
      </c>
      <c r="AE656">
        <v>1</v>
      </c>
      <c r="AF656">
        <v>0</v>
      </c>
      <c r="AG656">
        <v>0</v>
      </c>
      <c r="AH656">
        <v>0</v>
      </c>
      <c r="AI656">
        <v>0</v>
      </c>
      <c r="AJ656">
        <v>1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</row>
    <row r="657" spans="1:42" x14ac:dyDescent="0.25">
      <c r="A657">
        <v>784</v>
      </c>
      <c r="B657" t="s">
        <v>1329</v>
      </c>
      <c r="C657" t="s">
        <v>1327</v>
      </c>
      <c r="D657" t="s">
        <v>126</v>
      </c>
      <c r="E657" s="4">
        <v>1</v>
      </c>
      <c r="F657" t="s">
        <v>61</v>
      </c>
      <c r="G657" t="s">
        <v>61</v>
      </c>
      <c r="H657" s="3">
        <v>46196</v>
      </c>
      <c r="I657" s="3">
        <v>46196</v>
      </c>
      <c r="J657" t="s">
        <v>592</v>
      </c>
      <c r="K657" s="3">
        <v>46183</v>
      </c>
      <c r="L657" s="3">
        <v>46183</v>
      </c>
      <c r="M657" s="3">
        <v>46196</v>
      </c>
      <c r="N657" s="3">
        <v>46196</v>
      </c>
      <c r="O657" t="s">
        <v>212</v>
      </c>
      <c r="P657" t="s">
        <v>55</v>
      </c>
      <c r="Q657">
        <v>783</v>
      </c>
      <c r="S657" t="s">
        <v>1058</v>
      </c>
      <c r="T657" t="s">
        <v>1109</v>
      </c>
      <c r="U657">
        <v>785</v>
      </c>
      <c r="V657" t="s">
        <v>61</v>
      </c>
      <c r="W657">
        <v>13.4</v>
      </c>
      <c r="X657" t="s">
        <v>57</v>
      </c>
      <c r="Z657" t="s">
        <v>1058</v>
      </c>
      <c r="AA657" t="s">
        <v>462</v>
      </c>
      <c r="AE657">
        <v>1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1</v>
      </c>
      <c r="AM657">
        <v>0</v>
      </c>
      <c r="AN657">
        <v>0</v>
      </c>
      <c r="AO657">
        <v>0</v>
      </c>
      <c r="AP657">
        <v>0</v>
      </c>
    </row>
    <row r="658" spans="1:42" x14ac:dyDescent="0.25">
      <c r="A658">
        <v>785</v>
      </c>
      <c r="B658" t="s">
        <v>1330</v>
      </c>
      <c r="C658" t="s">
        <v>1327</v>
      </c>
      <c r="D658" t="s">
        <v>133</v>
      </c>
      <c r="E658" s="4">
        <v>1</v>
      </c>
      <c r="F658" t="s">
        <v>61</v>
      </c>
      <c r="G658" t="s">
        <v>61</v>
      </c>
      <c r="H658" s="3">
        <v>46197</v>
      </c>
      <c r="I658" s="3">
        <v>46197</v>
      </c>
      <c r="J658" t="s">
        <v>476</v>
      </c>
      <c r="K658" s="3">
        <v>46184</v>
      </c>
      <c r="L658" s="3">
        <v>46184</v>
      </c>
      <c r="M658" s="3">
        <v>46197</v>
      </c>
      <c r="N658" s="3">
        <v>46197</v>
      </c>
      <c r="O658" t="s">
        <v>207</v>
      </c>
      <c r="P658" t="s">
        <v>55</v>
      </c>
      <c r="Q658">
        <v>784</v>
      </c>
      <c r="S658" t="s">
        <v>124</v>
      </c>
      <c r="T658" t="s">
        <v>1109</v>
      </c>
      <c r="V658" t="s">
        <v>61</v>
      </c>
      <c r="W658">
        <v>13.4</v>
      </c>
      <c r="X658" t="s">
        <v>57</v>
      </c>
      <c r="Z658" t="s">
        <v>124</v>
      </c>
      <c r="AA658" t="s">
        <v>462</v>
      </c>
      <c r="AE658">
        <v>1</v>
      </c>
      <c r="AF658">
        <v>0</v>
      </c>
      <c r="AG658">
        <v>0</v>
      </c>
      <c r="AH658">
        <v>0</v>
      </c>
      <c r="AI658">
        <v>1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0</v>
      </c>
      <c r="AP658">
        <v>0</v>
      </c>
    </row>
    <row r="659" spans="1:42" x14ac:dyDescent="0.25">
      <c r="A659">
        <v>796</v>
      </c>
      <c r="B659" t="s">
        <v>1331</v>
      </c>
      <c r="C659" t="s">
        <v>1109</v>
      </c>
      <c r="D659" t="s">
        <v>1332</v>
      </c>
      <c r="E659" s="4">
        <v>1</v>
      </c>
      <c r="F659" t="s">
        <v>330</v>
      </c>
      <c r="G659" t="s">
        <v>330</v>
      </c>
      <c r="H659" s="3">
        <v>46167</v>
      </c>
      <c r="I659" s="3">
        <v>46189</v>
      </c>
      <c r="J659" t="s">
        <v>74</v>
      </c>
      <c r="K659" s="3">
        <v>46182</v>
      </c>
      <c r="L659" s="3">
        <v>46167</v>
      </c>
      <c r="M659" s="3">
        <v>46189</v>
      </c>
      <c r="N659" s="3">
        <v>46189</v>
      </c>
      <c r="O659" t="s">
        <v>74</v>
      </c>
      <c r="P659" t="s">
        <v>55</v>
      </c>
      <c r="T659" t="s">
        <v>1109</v>
      </c>
      <c r="V659" t="s">
        <v>151</v>
      </c>
      <c r="W659">
        <v>33.119999999999997</v>
      </c>
      <c r="X659" t="s">
        <v>57</v>
      </c>
      <c r="AA659" t="s">
        <v>50</v>
      </c>
      <c r="AB659" t="s">
        <v>94</v>
      </c>
      <c r="AE659">
        <v>1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</row>
    <row r="660" spans="1:42" x14ac:dyDescent="0.25">
      <c r="A660">
        <v>797</v>
      </c>
      <c r="B660" t="s">
        <v>1333</v>
      </c>
      <c r="C660" t="s">
        <v>1334</v>
      </c>
      <c r="D660" t="s">
        <v>117</v>
      </c>
      <c r="E660" s="4">
        <v>1</v>
      </c>
      <c r="F660" t="s">
        <v>101</v>
      </c>
      <c r="G660" t="s">
        <v>101</v>
      </c>
      <c r="H660" s="3">
        <v>46167</v>
      </c>
      <c r="I660" s="3">
        <v>46170</v>
      </c>
      <c r="J660" t="s">
        <v>74</v>
      </c>
      <c r="K660" s="3">
        <v>46171</v>
      </c>
      <c r="L660" s="3">
        <v>46167</v>
      </c>
      <c r="M660" s="3">
        <v>46170</v>
      </c>
      <c r="N660" s="3">
        <v>46170</v>
      </c>
      <c r="O660" t="s">
        <v>74</v>
      </c>
      <c r="P660" t="s">
        <v>55</v>
      </c>
      <c r="Q660" t="s">
        <v>1335</v>
      </c>
      <c r="S660" t="s">
        <v>1042</v>
      </c>
      <c r="T660" t="s">
        <v>1109</v>
      </c>
      <c r="U660">
        <v>798</v>
      </c>
      <c r="V660" t="s">
        <v>138</v>
      </c>
      <c r="W660">
        <v>13.4</v>
      </c>
      <c r="X660" t="s">
        <v>57</v>
      </c>
      <c r="Z660" t="s">
        <v>1042</v>
      </c>
      <c r="AA660" t="s">
        <v>77</v>
      </c>
      <c r="AE660">
        <v>1</v>
      </c>
      <c r="AF660">
        <v>1</v>
      </c>
      <c r="AG660">
        <v>1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1</v>
      </c>
    </row>
    <row r="661" spans="1:42" x14ac:dyDescent="0.25">
      <c r="A661">
        <v>798</v>
      </c>
      <c r="B661" t="s">
        <v>1336</v>
      </c>
      <c r="C661" t="s">
        <v>1334</v>
      </c>
      <c r="D661" t="s">
        <v>121</v>
      </c>
      <c r="E661" s="4">
        <v>1</v>
      </c>
      <c r="F661" t="s">
        <v>210</v>
      </c>
      <c r="G661" t="s">
        <v>210</v>
      </c>
      <c r="H661" s="3">
        <v>46171</v>
      </c>
      <c r="I661" s="3">
        <v>46184</v>
      </c>
      <c r="J661" t="s">
        <v>193</v>
      </c>
      <c r="K661" s="3">
        <v>46176</v>
      </c>
      <c r="L661" s="3">
        <v>46174</v>
      </c>
      <c r="M661" s="3">
        <v>46184</v>
      </c>
      <c r="N661" s="3">
        <v>46184</v>
      </c>
      <c r="O661" t="s">
        <v>189</v>
      </c>
      <c r="P661" t="s">
        <v>55</v>
      </c>
      <c r="Q661">
        <v>797</v>
      </c>
      <c r="S661" t="s">
        <v>124</v>
      </c>
      <c r="T661" t="s">
        <v>1109</v>
      </c>
      <c r="U661">
        <v>799</v>
      </c>
      <c r="V661" t="s">
        <v>122</v>
      </c>
      <c r="W661">
        <v>13.4</v>
      </c>
      <c r="X661" t="s">
        <v>57</v>
      </c>
      <c r="Z661" t="s">
        <v>124</v>
      </c>
      <c r="AA661" t="s">
        <v>460</v>
      </c>
      <c r="AE661">
        <v>1</v>
      </c>
      <c r="AF661">
        <v>0</v>
      </c>
      <c r="AG661">
        <v>0</v>
      </c>
      <c r="AH661">
        <v>0</v>
      </c>
      <c r="AI661">
        <v>0</v>
      </c>
      <c r="AJ661">
        <v>1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</row>
    <row r="662" spans="1:42" x14ac:dyDescent="0.25">
      <c r="A662">
        <v>799</v>
      </c>
      <c r="B662" t="s">
        <v>1337</v>
      </c>
      <c r="C662" t="s">
        <v>1334</v>
      </c>
      <c r="D662" t="s">
        <v>126</v>
      </c>
      <c r="E662" s="4">
        <v>1</v>
      </c>
      <c r="F662" t="s">
        <v>61</v>
      </c>
      <c r="G662" t="s">
        <v>61</v>
      </c>
      <c r="H662" s="3">
        <v>46185</v>
      </c>
      <c r="I662" s="3">
        <v>46185</v>
      </c>
      <c r="J662" t="s">
        <v>201</v>
      </c>
      <c r="K662" s="3">
        <v>46181</v>
      </c>
      <c r="L662" s="3">
        <v>46181</v>
      </c>
      <c r="M662" s="3">
        <v>46185</v>
      </c>
      <c r="N662" s="3">
        <v>46185</v>
      </c>
      <c r="O662" t="s">
        <v>571</v>
      </c>
      <c r="P662" t="s">
        <v>55</v>
      </c>
      <c r="Q662">
        <v>798</v>
      </c>
      <c r="S662" t="s">
        <v>1042</v>
      </c>
      <c r="T662" t="s">
        <v>1109</v>
      </c>
      <c r="U662">
        <v>800</v>
      </c>
      <c r="V662" t="s">
        <v>61</v>
      </c>
      <c r="W662">
        <v>13.4</v>
      </c>
      <c r="X662" t="s">
        <v>57</v>
      </c>
      <c r="Z662" t="s">
        <v>1042</v>
      </c>
      <c r="AA662" t="s">
        <v>462</v>
      </c>
      <c r="AE662">
        <v>1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1</v>
      </c>
      <c r="AM662">
        <v>0</v>
      </c>
      <c r="AN662">
        <v>0</v>
      </c>
      <c r="AO662">
        <v>0</v>
      </c>
      <c r="AP662">
        <v>0</v>
      </c>
    </row>
    <row r="663" spans="1:42" x14ac:dyDescent="0.25">
      <c r="A663">
        <v>800</v>
      </c>
      <c r="B663" t="s">
        <v>1338</v>
      </c>
      <c r="C663" t="s">
        <v>1334</v>
      </c>
      <c r="D663" t="s">
        <v>133</v>
      </c>
      <c r="E663" s="4">
        <v>1</v>
      </c>
      <c r="F663" t="s">
        <v>61</v>
      </c>
      <c r="G663" t="s">
        <v>61</v>
      </c>
      <c r="H663" s="3">
        <v>46189</v>
      </c>
      <c r="I663" s="3">
        <v>46189</v>
      </c>
      <c r="J663" t="s">
        <v>204</v>
      </c>
      <c r="K663" s="3">
        <v>46182</v>
      </c>
      <c r="L663" s="3">
        <v>46182</v>
      </c>
      <c r="M663" s="3">
        <v>46189</v>
      </c>
      <c r="N663" s="3">
        <v>46189</v>
      </c>
      <c r="O663" t="s">
        <v>576</v>
      </c>
      <c r="P663" t="s">
        <v>55</v>
      </c>
      <c r="Q663">
        <v>799</v>
      </c>
      <c r="S663" t="s">
        <v>124</v>
      </c>
      <c r="T663" t="s">
        <v>1109</v>
      </c>
      <c r="V663" t="s">
        <v>61</v>
      </c>
      <c r="W663">
        <v>13.4</v>
      </c>
      <c r="X663" t="s">
        <v>57</v>
      </c>
      <c r="Z663" t="s">
        <v>124</v>
      </c>
      <c r="AA663" t="s">
        <v>462</v>
      </c>
      <c r="AE663">
        <v>1</v>
      </c>
      <c r="AF663">
        <v>0</v>
      </c>
      <c r="AG663">
        <v>0</v>
      </c>
      <c r="AH663">
        <v>0</v>
      </c>
      <c r="AI663">
        <v>1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0</v>
      </c>
      <c r="AP663">
        <v>0</v>
      </c>
    </row>
    <row r="664" spans="1:42" x14ac:dyDescent="0.25">
      <c r="A664">
        <v>806</v>
      </c>
      <c r="B664" t="s">
        <v>1339</v>
      </c>
      <c r="C664" t="s">
        <v>1109</v>
      </c>
      <c r="D664" t="s">
        <v>1340</v>
      </c>
      <c r="E664" s="4">
        <v>1</v>
      </c>
      <c r="F664" t="s">
        <v>151</v>
      </c>
      <c r="G664" t="s">
        <v>151</v>
      </c>
      <c r="H664" s="3">
        <v>46171</v>
      </c>
      <c r="I664" s="3">
        <v>46188</v>
      </c>
      <c r="J664" t="s">
        <v>189</v>
      </c>
      <c r="K664" s="3">
        <v>46188</v>
      </c>
      <c r="L664" s="3">
        <v>46171</v>
      </c>
      <c r="M664" s="3">
        <v>46188</v>
      </c>
      <c r="N664" s="3">
        <v>46188</v>
      </c>
      <c r="O664" t="s">
        <v>189</v>
      </c>
      <c r="P664" t="s">
        <v>55</v>
      </c>
      <c r="T664" t="s">
        <v>1109</v>
      </c>
      <c r="V664" t="s">
        <v>151</v>
      </c>
      <c r="W664">
        <v>33.119999999999997</v>
      </c>
      <c r="X664" t="s">
        <v>57</v>
      </c>
      <c r="AA664" t="s">
        <v>50</v>
      </c>
      <c r="AB664" t="s">
        <v>94</v>
      </c>
      <c r="AE664">
        <v>1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</row>
    <row r="665" spans="1:42" x14ac:dyDescent="0.25">
      <c r="A665">
        <v>807</v>
      </c>
      <c r="B665" t="s">
        <v>1341</v>
      </c>
      <c r="C665" t="s">
        <v>1342</v>
      </c>
      <c r="D665" t="s">
        <v>117</v>
      </c>
      <c r="E665" s="4">
        <v>1</v>
      </c>
      <c r="F665" t="s">
        <v>138</v>
      </c>
      <c r="G665" t="s">
        <v>138</v>
      </c>
      <c r="H665" s="3">
        <v>46171</v>
      </c>
      <c r="I665" s="3">
        <v>46181</v>
      </c>
      <c r="J665" t="s">
        <v>189</v>
      </c>
      <c r="K665" s="3">
        <v>46181</v>
      </c>
      <c r="L665" s="3">
        <v>46171</v>
      </c>
      <c r="M665" s="3">
        <v>46181</v>
      </c>
      <c r="N665" s="3">
        <v>46181</v>
      </c>
      <c r="O665" t="s">
        <v>189</v>
      </c>
      <c r="P665" t="s">
        <v>55</v>
      </c>
      <c r="Q665">
        <v>825</v>
      </c>
      <c r="S665" t="s">
        <v>1042</v>
      </c>
      <c r="T665" t="s">
        <v>1109</v>
      </c>
      <c r="U665">
        <v>808</v>
      </c>
      <c r="V665" t="s">
        <v>138</v>
      </c>
      <c r="W665">
        <v>13.4</v>
      </c>
      <c r="X665" t="s">
        <v>57</v>
      </c>
      <c r="Z665" t="s">
        <v>1042</v>
      </c>
      <c r="AA665" t="s">
        <v>462</v>
      </c>
      <c r="AE665">
        <v>1</v>
      </c>
      <c r="AF665">
        <v>1</v>
      </c>
      <c r="AG665">
        <v>1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1</v>
      </c>
    </row>
    <row r="666" spans="1:42" x14ac:dyDescent="0.25">
      <c r="A666">
        <v>808</v>
      </c>
      <c r="B666" t="s">
        <v>1343</v>
      </c>
      <c r="C666" t="s">
        <v>1342</v>
      </c>
      <c r="D666" t="s">
        <v>121</v>
      </c>
      <c r="E666" s="4">
        <v>1</v>
      </c>
      <c r="F666" t="s">
        <v>122</v>
      </c>
      <c r="G666" t="s">
        <v>122</v>
      </c>
      <c r="H666" s="3">
        <v>46182</v>
      </c>
      <c r="I666" s="3">
        <v>46184</v>
      </c>
      <c r="J666" t="s">
        <v>204</v>
      </c>
      <c r="K666" s="3">
        <v>46184</v>
      </c>
      <c r="L666" s="3">
        <v>46182</v>
      </c>
      <c r="M666" s="3">
        <v>46184</v>
      </c>
      <c r="N666" s="3">
        <v>46184</v>
      </c>
      <c r="O666" t="s">
        <v>204</v>
      </c>
      <c r="P666" t="s">
        <v>55</v>
      </c>
      <c r="Q666">
        <v>807</v>
      </c>
      <c r="S666" t="s">
        <v>124</v>
      </c>
      <c r="T666" t="s">
        <v>1109</v>
      </c>
      <c r="U666">
        <v>809</v>
      </c>
      <c r="V666" t="s">
        <v>122</v>
      </c>
      <c r="W666">
        <v>13.4</v>
      </c>
      <c r="X666" t="s">
        <v>57</v>
      </c>
      <c r="Z666" t="s">
        <v>124</v>
      </c>
      <c r="AA666" t="s">
        <v>217</v>
      </c>
      <c r="AE666">
        <v>1</v>
      </c>
      <c r="AF666">
        <v>0</v>
      </c>
      <c r="AG666">
        <v>0</v>
      </c>
      <c r="AH666">
        <v>0</v>
      </c>
      <c r="AI666">
        <v>0</v>
      </c>
      <c r="AJ666">
        <v>1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</row>
    <row r="667" spans="1:42" x14ac:dyDescent="0.25">
      <c r="A667">
        <v>809</v>
      </c>
      <c r="B667" t="s">
        <v>1344</v>
      </c>
      <c r="C667" t="s">
        <v>1342</v>
      </c>
      <c r="D667" t="s">
        <v>126</v>
      </c>
      <c r="E667" s="4">
        <v>1</v>
      </c>
      <c r="F667" t="s">
        <v>61</v>
      </c>
      <c r="G667" t="s">
        <v>61</v>
      </c>
      <c r="H667" s="3">
        <v>46185</v>
      </c>
      <c r="I667" s="3">
        <v>46185</v>
      </c>
      <c r="J667" t="s">
        <v>571</v>
      </c>
      <c r="K667" s="3">
        <v>46185</v>
      </c>
      <c r="L667" s="3">
        <v>46185</v>
      </c>
      <c r="M667" s="3">
        <v>46185</v>
      </c>
      <c r="N667" s="3">
        <v>46185</v>
      </c>
      <c r="O667" t="s">
        <v>571</v>
      </c>
      <c r="P667" t="s">
        <v>55</v>
      </c>
      <c r="Q667">
        <v>808</v>
      </c>
      <c r="S667" t="s">
        <v>1042</v>
      </c>
      <c r="T667" t="s">
        <v>1109</v>
      </c>
      <c r="U667">
        <v>810</v>
      </c>
      <c r="V667" t="s">
        <v>61</v>
      </c>
      <c r="W667">
        <v>13.4</v>
      </c>
      <c r="X667" t="s">
        <v>57</v>
      </c>
      <c r="Z667" t="s">
        <v>1042</v>
      </c>
      <c r="AA667" t="s">
        <v>131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1</v>
      </c>
      <c r="AM667">
        <v>0</v>
      </c>
      <c r="AN667">
        <v>0</v>
      </c>
      <c r="AO667">
        <v>0</v>
      </c>
      <c r="AP667">
        <v>0</v>
      </c>
    </row>
    <row r="668" spans="1:42" x14ac:dyDescent="0.25">
      <c r="A668">
        <v>810</v>
      </c>
      <c r="B668" t="s">
        <v>1345</v>
      </c>
      <c r="C668" t="s">
        <v>1342</v>
      </c>
      <c r="D668" t="s">
        <v>133</v>
      </c>
      <c r="E668" s="4">
        <v>1</v>
      </c>
      <c r="F668" t="s">
        <v>61</v>
      </c>
      <c r="G668" t="s">
        <v>61</v>
      </c>
      <c r="H668" s="3">
        <v>46188</v>
      </c>
      <c r="I668" s="3">
        <v>46188</v>
      </c>
      <c r="J668" t="s">
        <v>595</v>
      </c>
      <c r="K668" s="3">
        <v>46188</v>
      </c>
      <c r="L668" s="3">
        <v>46188</v>
      </c>
      <c r="M668" s="3">
        <v>46188</v>
      </c>
      <c r="N668" s="3">
        <v>46188</v>
      </c>
      <c r="O668" t="s">
        <v>595</v>
      </c>
      <c r="P668" t="s">
        <v>55</v>
      </c>
      <c r="Q668">
        <v>809</v>
      </c>
      <c r="S668" t="s">
        <v>124</v>
      </c>
      <c r="T668" t="s">
        <v>1109</v>
      </c>
      <c r="V668" t="s">
        <v>61</v>
      </c>
      <c r="W668">
        <v>13.4</v>
      </c>
      <c r="X668" t="s">
        <v>57</v>
      </c>
      <c r="Z668" t="s">
        <v>124</v>
      </c>
      <c r="AA668" t="s">
        <v>131</v>
      </c>
      <c r="AE668">
        <v>1</v>
      </c>
      <c r="AF668">
        <v>0</v>
      </c>
      <c r="AG668">
        <v>0</v>
      </c>
      <c r="AH668">
        <v>0</v>
      </c>
      <c r="AI668">
        <v>1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0</v>
      </c>
      <c r="AP668">
        <v>0</v>
      </c>
    </row>
    <row r="669" spans="1:42" x14ac:dyDescent="0.25">
      <c r="A669">
        <v>811</v>
      </c>
      <c r="B669" t="s">
        <v>1346</v>
      </c>
      <c r="C669" t="s">
        <v>1109</v>
      </c>
      <c r="D669" t="s">
        <v>1347</v>
      </c>
      <c r="E669" s="4">
        <v>1</v>
      </c>
      <c r="F669" t="s">
        <v>110</v>
      </c>
      <c r="G669" t="s">
        <v>110</v>
      </c>
      <c r="H669" s="3">
        <v>46171</v>
      </c>
      <c r="I669" s="3">
        <v>46203</v>
      </c>
      <c r="J669" t="s">
        <v>189</v>
      </c>
      <c r="K669" s="3">
        <v>46203</v>
      </c>
      <c r="L669" s="3">
        <v>46171</v>
      </c>
      <c r="M669" s="3">
        <v>46203</v>
      </c>
      <c r="N669" s="3">
        <v>46203</v>
      </c>
      <c r="O669" t="s">
        <v>189</v>
      </c>
      <c r="P669" t="s">
        <v>55</v>
      </c>
      <c r="T669" t="s">
        <v>1109</v>
      </c>
      <c r="V669" t="s">
        <v>210</v>
      </c>
      <c r="W669">
        <v>27.84</v>
      </c>
      <c r="X669" t="s">
        <v>57</v>
      </c>
      <c r="AA669" t="s">
        <v>50</v>
      </c>
      <c r="AB669" t="s">
        <v>94</v>
      </c>
      <c r="AE669">
        <v>1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</row>
    <row r="670" spans="1:42" x14ac:dyDescent="0.25">
      <c r="A670">
        <v>812</v>
      </c>
      <c r="B670" t="s">
        <v>1348</v>
      </c>
      <c r="C670" t="s">
        <v>1349</v>
      </c>
      <c r="D670" t="s">
        <v>117</v>
      </c>
      <c r="E670" s="4">
        <v>1</v>
      </c>
      <c r="F670" t="s">
        <v>122</v>
      </c>
      <c r="G670" t="s">
        <v>122</v>
      </c>
      <c r="H670" s="3">
        <v>46171</v>
      </c>
      <c r="I670" s="3">
        <v>46175</v>
      </c>
      <c r="J670" t="s">
        <v>189</v>
      </c>
      <c r="K670" s="3">
        <v>46175</v>
      </c>
      <c r="L670" s="3">
        <v>46171</v>
      </c>
      <c r="M670" s="3">
        <v>46175</v>
      </c>
      <c r="N670" s="3">
        <v>46175</v>
      </c>
      <c r="O670" t="s">
        <v>189</v>
      </c>
      <c r="P670" t="s">
        <v>55</v>
      </c>
      <c r="Q670">
        <v>825</v>
      </c>
      <c r="S670" t="s">
        <v>1042</v>
      </c>
      <c r="T670" t="s">
        <v>1109</v>
      </c>
      <c r="U670">
        <v>813</v>
      </c>
      <c r="V670" t="s">
        <v>122</v>
      </c>
      <c r="W670">
        <v>13.4</v>
      </c>
      <c r="X670" t="s">
        <v>57</v>
      </c>
      <c r="Z670" t="s">
        <v>1042</v>
      </c>
      <c r="AA670" t="s">
        <v>462</v>
      </c>
      <c r="AE670">
        <v>1</v>
      </c>
      <c r="AF670">
        <v>1</v>
      </c>
      <c r="AG670">
        <v>1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1</v>
      </c>
    </row>
    <row r="671" spans="1:42" x14ac:dyDescent="0.25">
      <c r="A671">
        <v>813</v>
      </c>
      <c r="B671" t="s">
        <v>1350</v>
      </c>
      <c r="C671" t="s">
        <v>1349</v>
      </c>
      <c r="D671" t="s">
        <v>121</v>
      </c>
      <c r="E671" s="4">
        <v>1</v>
      </c>
      <c r="F671" t="s">
        <v>122</v>
      </c>
      <c r="G671" t="s">
        <v>122</v>
      </c>
      <c r="H671" s="3">
        <v>46176</v>
      </c>
      <c r="I671" s="3">
        <v>46182</v>
      </c>
      <c r="J671" t="s">
        <v>459</v>
      </c>
      <c r="K671" s="3">
        <v>46182</v>
      </c>
      <c r="L671" s="3">
        <v>46176</v>
      </c>
      <c r="M671" s="3">
        <v>46182</v>
      </c>
      <c r="N671" s="3">
        <v>46182</v>
      </c>
      <c r="O671" t="s">
        <v>459</v>
      </c>
      <c r="P671" t="s">
        <v>55</v>
      </c>
      <c r="Q671">
        <v>812</v>
      </c>
      <c r="S671" t="s">
        <v>124</v>
      </c>
      <c r="T671" t="s">
        <v>1109</v>
      </c>
      <c r="U671">
        <v>814</v>
      </c>
      <c r="V671" t="s">
        <v>122</v>
      </c>
      <c r="W671">
        <v>13.4</v>
      </c>
      <c r="X671" t="s">
        <v>57</v>
      </c>
      <c r="Z671" t="s">
        <v>124</v>
      </c>
      <c r="AA671" t="s">
        <v>217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1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</row>
    <row r="672" spans="1:42" x14ac:dyDescent="0.25">
      <c r="A672">
        <v>814</v>
      </c>
      <c r="B672" t="s">
        <v>1351</v>
      </c>
      <c r="C672" t="s">
        <v>1349</v>
      </c>
      <c r="D672" t="s">
        <v>126</v>
      </c>
      <c r="E672" s="4">
        <v>1</v>
      </c>
      <c r="F672" t="s">
        <v>61</v>
      </c>
      <c r="G672" t="s">
        <v>61</v>
      </c>
      <c r="H672" s="3">
        <v>46183</v>
      </c>
      <c r="I672" s="3">
        <v>46183</v>
      </c>
      <c r="J672" t="s">
        <v>592</v>
      </c>
      <c r="K672" s="3">
        <v>46183</v>
      </c>
      <c r="L672" s="3">
        <v>46183</v>
      </c>
      <c r="M672" s="3">
        <v>46183</v>
      </c>
      <c r="N672" s="3">
        <v>46183</v>
      </c>
      <c r="O672" t="s">
        <v>592</v>
      </c>
      <c r="P672" t="s">
        <v>55</v>
      </c>
      <c r="Q672">
        <v>813</v>
      </c>
      <c r="S672" t="s">
        <v>1042</v>
      </c>
      <c r="T672" t="s">
        <v>1109</v>
      </c>
      <c r="U672">
        <v>815</v>
      </c>
      <c r="V672" t="s">
        <v>61</v>
      </c>
      <c r="W672">
        <v>13.4</v>
      </c>
      <c r="X672" t="s">
        <v>57</v>
      </c>
      <c r="Z672" t="s">
        <v>1042</v>
      </c>
      <c r="AA672" t="s">
        <v>217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1</v>
      </c>
      <c r="AM672">
        <v>0</v>
      </c>
      <c r="AN672">
        <v>0</v>
      </c>
      <c r="AO672">
        <v>0</v>
      </c>
      <c r="AP672">
        <v>0</v>
      </c>
    </row>
    <row r="673" spans="1:42" x14ac:dyDescent="0.25">
      <c r="A673">
        <v>815</v>
      </c>
      <c r="B673" t="s">
        <v>1352</v>
      </c>
      <c r="C673" t="s">
        <v>1349</v>
      </c>
      <c r="D673" t="s">
        <v>133</v>
      </c>
      <c r="E673" s="4">
        <v>1</v>
      </c>
      <c r="F673" t="s">
        <v>61</v>
      </c>
      <c r="G673" t="s">
        <v>61</v>
      </c>
      <c r="H673" s="3">
        <v>46203</v>
      </c>
      <c r="I673" s="3">
        <v>46203</v>
      </c>
      <c r="J673" t="s">
        <v>1025</v>
      </c>
      <c r="K673" s="3">
        <v>46203</v>
      </c>
      <c r="L673" s="3">
        <v>46203</v>
      </c>
      <c r="M673" s="3">
        <v>46203</v>
      </c>
      <c r="N673" s="3">
        <v>46203</v>
      </c>
      <c r="O673" t="s">
        <v>1025</v>
      </c>
      <c r="P673" t="s">
        <v>55</v>
      </c>
      <c r="Q673">
        <v>814</v>
      </c>
      <c r="S673" t="s">
        <v>124</v>
      </c>
      <c r="T673" t="s">
        <v>1109</v>
      </c>
      <c r="V673" t="s">
        <v>61</v>
      </c>
      <c r="W673">
        <v>13.4</v>
      </c>
      <c r="X673" t="s">
        <v>57</v>
      </c>
      <c r="Z673" t="s">
        <v>124</v>
      </c>
      <c r="AA673" t="s">
        <v>217</v>
      </c>
      <c r="AE673">
        <v>1</v>
      </c>
      <c r="AF673">
        <v>0</v>
      </c>
      <c r="AG673">
        <v>0</v>
      </c>
      <c r="AH673">
        <v>0</v>
      </c>
      <c r="AI673">
        <v>1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0</v>
      </c>
      <c r="AP673">
        <v>0</v>
      </c>
    </row>
    <row r="674" spans="1:42" x14ac:dyDescent="0.25">
      <c r="A674">
        <v>821</v>
      </c>
      <c r="B674" t="s">
        <v>1353</v>
      </c>
      <c r="C674" t="s">
        <v>1109</v>
      </c>
      <c r="D674" t="s">
        <v>1354</v>
      </c>
      <c r="E674" s="4">
        <v>1</v>
      </c>
      <c r="F674" t="s">
        <v>101</v>
      </c>
      <c r="G674" t="s">
        <v>101</v>
      </c>
      <c r="H674" s="3">
        <v>46167</v>
      </c>
      <c r="I674" s="3">
        <v>46170</v>
      </c>
      <c r="J674" t="s">
        <v>74</v>
      </c>
      <c r="K674" s="3">
        <v>46170</v>
      </c>
      <c r="L674" s="3">
        <v>46167</v>
      </c>
      <c r="M674" s="3">
        <v>46170</v>
      </c>
      <c r="N674" s="3">
        <v>46170</v>
      </c>
      <c r="O674" t="s">
        <v>74</v>
      </c>
      <c r="P674" t="s">
        <v>55</v>
      </c>
      <c r="T674" t="s">
        <v>1109</v>
      </c>
      <c r="V674" t="s">
        <v>151</v>
      </c>
      <c r="W674">
        <v>25.12</v>
      </c>
      <c r="X674" t="s">
        <v>57</v>
      </c>
      <c r="AA674" t="s">
        <v>50</v>
      </c>
      <c r="AB674" t="s">
        <v>94</v>
      </c>
      <c r="AE674">
        <v>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</row>
    <row r="675" spans="1:42" x14ac:dyDescent="0.25">
      <c r="A675">
        <v>822</v>
      </c>
      <c r="B675" t="s">
        <v>1355</v>
      </c>
      <c r="C675" t="s">
        <v>1356</v>
      </c>
      <c r="D675" t="s">
        <v>117</v>
      </c>
      <c r="E675" s="4">
        <v>1</v>
      </c>
      <c r="F675" t="s">
        <v>61</v>
      </c>
      <c r="G675" t="s">
        <v>61</v>
      </c>
      <c r="H675" s="3">
        <v>46167</v>
      </c>
      <c r="I675" s="3">
        <v>46167</v>
      </c>
      <c r="J675" t="s">
        <v>74</v>
      </c>
      <c r="K675" s="3">
        <v>46167</v>
      </c>
      <c r="L675" s="3">
        <v>46167</v>
      </c>
      <c r="M675" s="3">
        <v>46167</v>
      </c>
      <c r="N675" s="3">
        <v>46167</v>
      </c>
      <c r="O675" t="s">
        <v>74</v>
      </c>
      <c r="P675" t="s">
        <v>55</v>
      </c>
      <c r="Q675">
        <v>805</v>
      </c>
      <c r="S675" t="s">
        <v>1058</v>
      </c>
      <c r="T675" t="s">
        <v>1109</v>
      </c>
      <c r="U675" t="s">
        <v>1357</v>
      </c>
      <c r="V675" t="s">
        <v>138</v>
      </c>
      <c r="W675">
        <v>13.4</v>
      </c>
      <c r="X675" t="s">
        <v>57</v>
      </c>
      <c r="Z675" t="s">
        <v>1058</v>
      </c>
      <c r="AA675" t="s">
        <v>77</v>
      </c>
      <c r="AE675">
        <v>1</v>
      </c>
      <c r="AF675">
        <v>1</v>
      </c>
      <c r="AG675">
        <v>1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1</v>
      </c>
    </row>
    <row r="676" spans="1:42" x14ac:dyDescent="0.25">
      <c r="A676">
        <v>823</v>
      </c>
      <c r="B676" t="s">
        <v>1358</v>
      </c>
      <c r="C676" t="s">
        <v>1356</v>
      </c>
      <c r="D676" t="s">
        <v>121</v>
      </c>
      <c r="E676" s="4">
        <v>1</v>
      </c>
      <c r="F676" t="s">
        <v>61</v>
      </c>
      <c r="G676" t="s">
        <v>61</v>
      </c>
      <c r="H676" s="3">
        <v>46168</v>
      </c>
      <c r="I676" s="3">
        <v>46168</v>
      </c>
      <c r="J676" t="s">
        <v>206</v>
      </c>
      <c r="K676" s="3">
        <v>46168</v>
      </c>
      <c r="L676" s="3">
        <v>46168</v>
      </c>
      <c r="M676" s="3">
        <v>46168</v>
      </c>
      <c r="N676" s="3">
        <v>46168</v>
      </c>
      <c r="O676" t="s">
        <v>206</v>
      </c>
      <c r="P676" t="s">
        <v>55</v>
      </c>
      <c r="Q676">
        <v>822</v>
      </c>
      <c r="S676" t="s">
        <v>124</v>
      </c>
      <c r="T676" t="s">
        <v>1109</v>
      </c>
      <c r="U676">
        <v>824</v>
      </c>
      <c r="V676" t="s">
        <v>122</v>
      </c>
      <c r="W676">
        <v>13.4</v>
      </c>
      <c r="X676" t="s">
        <v>57</v>
      </c>
      <c r="Z676" t="s">
        <v>124</v>
      </c>
      <c r="AA676" t="s">
        <v>460</v>
      </c>
      <c r="AE676">
        <v>1</v>
      </c>
      <c r="AF676">
        <v>0</v>
      </c>
      <c r="AG676">
        <v>0</v>
      </c>
      <c r="AH676">
        <v>0</v>
      </c>
      <c r="AI676">
        <v>0</v>
      </c>
      <c r="AJ676">
        <v>1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</row>
    <row r="677" spans="1:42" x14ac:dyDescent="0.25">
      <c r="A677">
        <v>824</v>
      </c>
      <c r="B677" t="s">
        <v>1359</v>
      </c>
      <c r="C677" t="s">
        <v>1356</v>
      </c>
      <c r="D677" t="s">
        <v>126</v>
      </c>
      <c r="E677" s="4">
        <v>1</v>
      </c>
      <c r="F677" t="s">
        <v>61</v>
      </c>
      <c r="G677" t="s">
        <v>61</v>
      </c>
      <c r="H677" s="3">
        <v>46169</v>
      </c>
      <c r="I677" s="3">
        <v>46169</v>
      </c>
      <c r="J677" t="s">
        <v>97</v>
      </c>
      <c r="K677" s="3">
        <v>46169</v>
      </c>
      <c r="L677" s="3">
        <v>46169</v>
      </c>
      <c r="M677" s="3">
        <v>46169</v>
      </c>
      <c r="N677" s="3">
        <v>46169</v>
      </c>
      <c r="O677" t="s">
        <v>97</v>
      </c>
      <c r="P677" t="s">
        <v>55</v>
      </c>
      <c r="Q677">
        <v>823</v>
      </c>
      <c r="S677" t="s">
        <v>1058</v>
      </c>
      <c r="T677" t="s">
        <v>1109</v>
      </c>
      <c r="U677">
        <v>825</v>
      </c>
      <c r="V677" t="s">
        <v>61</v>
      </c>
      <c r="W677">
        <v>13.4</v>
      </c>
      <c r="X677" t="s">
        <v>57</v>
      </c>
      <c r="Z677" t="s">
        <v>1058</v>
      </c>
      <c r="AA677" t="s">
        <v>462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1</v>
      </c>
      <c r="AM677">
        <v>0</v>
      </c>
      <c r="AN677">
        <v>0</v>
      </c>
      <c r="AO677">
        <v>0</v>
      </c>
      <c r="AP677">
        <v>0</v>
      </c>
    </row>
    <row r="678" spans="1:42" x14ac:dyDescent="0.25">
      <c r="A678">
        <v>825</v>
      </c>
      <c r="B678" t="s">
        <v>1360</v>
      </c>
      <c r="C678" t="s">
        <v>1356</v>
      </c>
      <c r="D678" t="s">
        <v>133</v>
      </c>
      <c r="E678" s="4">
        <v>1</v>
      </c>
      <c r="F678" t="s">
        <v>61</v>
      </c>
      <c r="G678" t="s">
        <v>61</v>
      </c>
      <c r="H678" s="3">
        <v>46170</v>
      </c>
      <c r="I678" s="3">
        <v>46170</v>
      </c>
      <c r="J678" t="s">
        <v>448</v>
      </c>
      <c r="K678" s="3">
        <v>46170</v>
      </c>
      <c r="L678" s="3">
        <v>46170</v>
      </c>
      <c r="M678" s="3">
        <v>46170</v>
      </c>
      <c r="N678" s="3">
        <v>46170</v>
      </c>
      <c r="O678" t="s">
        <v>448</v>
      </c>
      <c r="P678" t="s">
        <v>55</v>
      </c>
      <c r="Q678">
        <v>824</v>
      </c>
      <c r="S678" t="s">
        <v>124</v>
      </c>
      <c r="T678" t="s">
        <v>1109</v>
      </c>
      <c r="U678" t="s">
        <v>1361</v>
      </c>
      <c r="V678" t="s">
        <v>61</v>
      </c>
      <c r="W678">
        <v>13.4</v>
      </c>
      <c r="X678" t="s">
        <v>57</v>
      </c>
      <c r="Z678" t="s">
        <v>124</v>
      </c>
      <c r="AA678" t="s">
        <v>462</v>
      </c>
      <c r="AE678">
        <v>1</v>
      </c>
      <c r="AF678">
        <v>0</v>
      </c>
      <c r="AG678">
        <v>0</v>
      </c>
      <c r="AH678">
        <v>0</v>
      </c>
      <c r="AI678">
        <v>1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0</v>
      </c>
      <c r="AP678">
        <v>0</v>
      </c>
    </row>
    <row r="679" spans="1:42" x14ac:dyDescent="0.25">
      <c r="A679">
        <v>826</v>
      </c>
      <c r="B679" t="s">
        <v>1362</v>
      </c>
      <c r="C679" t="s">
        <v>1109</v>
      </c>
      <c r="D679" t="s">
        <v>1363</v>
      </c>
      <c r="E679" s="4">
        <v>1</v>
      </c>
      <c r="F679" t="s">
        <v>365</v>
      </c>
      <c r="G679" t="s">
        <v>365</v>
      </c>
      <c r="H679" s="3">
        <v>46171</v>
      </c>
      <c r="I679" s="3">
        <v>46192</v>
      </c>
      <c r="J679" t="s">
        <v>189</v>
      </c>
      <c r="K679" s="3">
        <v>46192</v>
      </c>
      <c r="L679" s="3">
        <v>46171</v>
      </c>
      <c r="M679" s="3">
        <v>46192</v>
      </c>
      <c r="N679" s="3">
        <v>46192</v>
      </c>
      <c r="O679" t="s">
        <v>189</v>
      </c>
      <c r="P679" t="s">
        <v>55</v>
      </c>
      <c r="T679" t="s">
        <v>1109</v>
      </c>
      <c r="V679" t="s">
        <v>210</v>
      </c>
      <c r="W679">
        <v>33.119999999999997</v>
      </c>
      <c r="X679" t="s">
        <v>57</v>
      </c>
      <c r="AA679" t="s">
        <v>50</v>
      </c>
      <c r="AB679" t="s">
        <v>94</v>
      </c>
      <c r="AE679">
        <v>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</row>
    <row r="680" spans="1:42" x14ac:dyDescent="0.25">
      <c r="A680">
        <v>827</v>
      </c>
      <c r="B680" t="s">
        <v>1364</v>
      </c>
      <c r="C680" t="s">
        <v>1365</v>
      </c>
      <c r="D680" t="s">
        <v>117</v>
      </c>
      <c r="E680" s="4">
        <v>1</v>
      </c>
      <c r="F680" t="s">
        <v>122</v>
      </c>
      <c r="G680" t="s">
        <v>122</v>
      </c>
      <c r="H680" s="3">
        <v>46171</v>
      </c>
      <c r="I680" s="3">
        <v>46175</v>
      </c>
      <c r="J680" t="s">
        <v>189</v>
      </c>
      <c r="K680" s="3">
        <v>46175</v>
      </c>
      <c r="L680" s="3">
        <v>46171</v>
      </c>
      <c r="M680" s="3">
        <v>46175</v>
      </c>
      <c r="N680" s="3">
        <v>46175</v>
      </c>
      <c r="O680" t="s">
        <v>189</v>
      </c>
      <c r="P680" t="s">
        <v>55</v>
      </c>
      <c r="Q680">
        <v>825</v>
      </c>
      <c r="S680" t="s">
        <v>1058</v>
      </c>
      <c r="T680" t="s">
        <v>1109</v>
      </c>
      <c r="U680">
        <v>828</v>
      </c>
      <c r="V680" t="s">
        <v>122</v>
      </c>
      <c r="W680">
        <v>13.4</v>
      </c>
      <c r="X680" t="s">
        <v>57</v>
      </c>
      <c r="Z680" t="s">
        <v>1058</v>
      </c>
      <c r="AA680" t="s">
        <v>462</v>
      </c>
      <c r="AE680">
        <v>1</v>
      </c>
      <c r="AF680">
        <v>1</v>
      </c>
      <c r="AG680">
        <v>1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1</v>
      </c>
    </row>
    <row r="681" spans="1:42" x14ac:dyDescent="0.25">
      <c r="A681">
        <v>828</v>
      </c>
      <c r="B681" t="s">
        <v>1366</v>
      </c>
      <c r="C681" t="s">
        <v>1365</v>
      </c>
      <c r="D681" t="s">
        <v>121</v>
      </c>
      <c r="E681" s="4">
        <v>1</v>
      </c>
      <c r="F681" t="s">
        <v>138</v>
      </c>
      <c r="G681" t="s">
        <v>138</v>
      </c>
      <c r="H681" s="3">
        <v>46176</v>
      </c>
      <c r="I681" s="3">
        <v>46184</v>
      </c>
      <c r="J681" t="s">
        <v>459</v>
      </c>
      <c r="K681" s="3">
        <v>46184</v>
      </c>
      <c r="L681" s="3">
        <v>46176</v>
      </c>
      <c r="M681" s="3">
        <v>46184</v>
      </c>
      <c r="N681" s="3">
        <v>46184</v>
      </c>
      <c r="O681" t="s">
        <v>459</v>
      </c>
      <c r="P681" t="s">
        <v>55</v>
      </c>
      <c r="Q681">
        <v>827</v>
      </c>
      <c r="S681" t="s">
        <v>124</v>
      </c>
      <c r="T681" t="s">
        <v>1109</v>
      </c>
      <c r="U681">
        <v>829</v>
      </c>
      <c r="V681" t="s">
        <v>122</v>
      </c>
      <c r="W681">
        <v>13.4</v>
      </c>
      <c r="X681" t="s">
        <v>57</v>
      </c>
      <c r="Z681" t="s">
        <v>124</v>
      </c>
      <c r="AA681" t="s">
        <v>217</v>
      </c>
      <c r="AE681">
        <v>1</v>
      </c>
      <c r="AF681">
        <v>0</v>
      </c>
      <c r="AG681">
        <v>0</v>
      </c>
      <c r="AH681">
        <v>0</v>
      </c>
      <c r="AI681">
        <v>0</v>
      </c>
      <c r="AJ681">
        <v>1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</row>
    <row r="682" spans="1:42" x14ac:dyDescent="0.25">
      <c r="A682">
        <v>829</v>
      </c>
      <c r="B682" t="s">
        <v>1367</v>
      </c>
      <c r="C682" t="s">
        <v>1365</v>
      </c>
      <c r="D682" t="s">
        <v>126</v>
      </c>
      <c r="E682" s="4">
        <v>1</v>
      </c>
      <c r="F682" t="s">
        <v>101</v>
      </c>
      <c r="G682" t="s">
        <v>101</v>
      </c>
      <c r="H682" s="3">
        <v>46185</v>
      </c>
      <c r="I682" s="3">
        <v>46190</v>
      </c>
      <c r="J682" t="s">
        <v>571</v>
      </c>
      <c r="K682" s="3">
        <v>46190</v>
      </c>
      <c r="L682" s="3">
        <v>46185</v>
      </c>
      <c r="M682" s="3">
        <v>46190</v>
      </c>
      <c r="N682" s="3">
        <v>46190</v>
      </c>
      <c r="O682" t="s">
        <v>571</v>
      </c>
      <c r="P682" t="s">
        <v>55</v>
      </c>
      <c r="Q682">
        <v>828</v>
      </c>
      <c r="S682" t="s">
        <v>1058</v>
      </c>
      <c r="T682" t="s">
        <v>1109</v>
      </c>
      <c r="U682">
        <v>830</v>
      </c>
      <c r="V682" t="s">
        <v>61</v>
      </c>
      <c r="W682">
        <v>13.4</v>
      </c>
      <c r="X682" t="s">
        <v>57</v>
      </c>
      <c r="Z682" t="s">
        <v>1058</v>
      </c>
      <c r="AA682" t="s">
        <v>217</v>
      </c>
      <c r="AE682">
        <v>1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1</v>
      </c>
      <c r="AM682">
        <v>0</v>
      </c>
      <c r="AN682">
        <v>0</v>
      </c>
      <c r="AO682">
        <v>0</v>
      </c>
      <c r="AP682">
        <v>0</v>
      </c>
    </row>
    <row r="683" spans="1:42" x14ac:dyDescent="0.25">
      <c r="A683">
        <v>830</v>
      </c>
      <c r="B683" t="s">
        <v>1368</v>
      </c>
      <c r="C683" t="s">
        <v>1365</v>
      </c>
      <c r="D683" t="s">
        <v>133</v>
      </c>
      <c r="E683" s="4">
        <v>1</v>
      </c>
      <c r="F683" t="s">
        <v>127</v>
      </c>
      <c r="G683" t="s">
        <v>127</v>
      </c>
      <c r="H683" s="3">
        <v>46191</v>
      </c>
      <c r="I683" s="3">
        <v>46192</v>
      </c>
      <c r="J683" t="s">
        <v>480</v>
      </c>
      <c r="K683" s="3">
        <v>46192</v>
      </c>
      <c r="L683" s="3">
        <v>46191</v>
      </c>
      <c r="M683" s="3">
        <v>46192</v>
      </c>
      <c r="N683" s="3">
        <v>46192</v>
      </c>
      <c r="O683" t="s">
        <v>480</v>
      </c>
      <c r="P683" t="s">
        <v>55</v>
      </c>
      <c r="Q683">
        <v>829</v>
      </c>
      <c r="S683" t="s">
        <v>124</v>
      </c>
      <c r="T683" t="s">
        <v>1109</v>
      </c>
      <c r="V683" t="s">
        <v>61</v>
      </c>
      <c r="W683">
        <v>13.4</v>
      </c>
      <c r="X683" t="s">
        <v>57</v>
      </c>
      <c r="Z683" t="s">
        <v>124</v>
      </c>
      <c r="AA683" t="s">
        <v>217</v>
      </c>
      <c r="AE683">
        <v>1</v>
      </c>
      <c r="AF683">
        <v>0</v>
      </c>
      <c r="AG683">
        <v>0</v>
      </c>
      <c r="AH683">
        <v>0</v>
      </c>
      <c r="AI683">
        <v>1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0</v>
      </c>
      <c r="AP683">
        <v>0</v>
      </c>
    </row>
    <row r="684" spans="1:42" x14ac:dyDescent="0.25">
      <c r="A684">
        <v>831</v>
      </c>
      <c r="B684" t="s">
        <v>1369</v>
      </c>
      <c r="C684" t="s">
        <v>1109</v>
      </c>
      <c r="D684" t="s">
        <v>1370</v>
      </c>
      <c r="E684" s="4">
        <v>1</v>
      </c>
      <c r="F684" t="s">
        <v>365</v>
      </c>
      <c r="G684" t="s">
        <v>365</v>
      </c>
      <c r="H684" s="3">
        <v>46171</v>
      </c>
      <c r="I684" s="3">
        <v>46192</v>
      </c>
      <c r="J684" t="s">
        <v>189</v>
      </c>
      <c r="K684" s="3">
        <v>46192</v>
      </c>
      <c r="L684" s="3">
        <v>46171</v>
      </c>
      <c r="M684" s="3">
        <v>46192</v>
      </c>
      <c r="N684" s="3">
        <v>46192</v>
      </c>
      <c r="O684" t="s">
        <v>189</v>
      </c>
      <c r="P684" t="s">
        <v>55</v>
      </c>
      <c r="T684" t="s">
        <v>1109</v>
      </c>
      <c r="V684" t="s">
        <v>210</v>
      </c>
      <c r="W684">
        <v>33.119999999999997</v>
      </c>
      <c r="X684" t="s">
        <v>57</v>
      </c>
      <c r="AA684" t="s">
        <v>50</v>
      </c>
      <c r="AB684" t="s">
        <v>94</v>
      </c>
      <c r="AE684">
        <v>1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</row>
    <row r="685" spans="1:42" x14ac:dyDescent="0.25">
      <c r="A685">
        <v>832</v>
      </c>
      <c r="B685" t="s">
        <v>1371</v>
      </c>
      <c r="C685" t="s">
        <v>1372</v>
      </c>
      <c r="D685" t="s">
        <v>117</v>
      </c>
      <c r="E685" s="4">
        <v>1</v>
      </c>
      <c r="F685" t="s">
        <v>122</v>
      </c>
      <c r="G685" t="s">
        <v>122</v>
      </c>
      <c r="H685" s="3">
        <v>46171</v>
      </c>
      <c r="I685" s="3">
        <v>46175</v>
      </c>
      <c r="J685" t="s">
        <v>189</v>
      </c>
      <c r="K685" s="3">
        <v>46175</v>
      </c>
      <c r="L685" s="3">
        <v>46171</v>
      </c>
      <c r="M685" s="3">
        <v>46175</v>
      </c>
      <c r="N685" s="3">
        <v>46175</v>
      </c>
      <c r="O685" t="s">
        <v>189</v>
      </c>
      <c r="P685" t="s">
        <v>55</v>
      </c>
      <c r="S685" t="s">
        <v>1058</v>
      </c>
      <c r="T685" t="s">
        <v>1109</v>
      </c>
      <c r="U685">
        <v>833</v>
      </c>
      <c r="V685" t="s">
        <v>122</v>
      </c>
      <c r="W685">
        <v>13.4</v>
      </c>
      <c r="X685" t="s">
        <v>57</v>
      </c>
      <c r="Z685" t="s">
        <v>1058</v>
      </c>
      <c r="AA685" t="s">
        <v>462</v>
      </c>
      <c r="AE685">
        <v>1</v>
      </c>
      <c r="AF685">
        <v>1</v>
      </c>
      <c r="AG685">
        <v>1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1</v>
      </c>
    </row>
    <row r="686" spans="1:42" x14ac:dyDescent="0.25">
      <c r="A686">
        <v>833</v>
      </c>
      <c r="B686" t="s">
        <v>1373</v>
      </c>
      <c r="C686" t="s">
        <v>1372</v>
      </c>
      <c r="D686" t="s">
        <v>121</v>
      </c>
      <c r="E686" s="4">
        <v>1</v>
      </c>
      <c r="F686" t="s">
        <v>138</v>
      </c>
      <c r="G686" t="s">
        <v>138</v>
      </c>
      <c r="H686" s="3">
        <v>46176</v>
      </c>
      <c r="I686" s="3">
        <v>46184</v>
      </c>
      <c r="J686" t="s">
        <v>459</v>
      </c>
      <c r="K686" s="3">
        <v>46184</v>
      </c>
      <c r="L686" s="3">
        <v>46176</v>
      </c>
      <c r="M686" s="3">
        <v>46184</v>
      </c>
      <c r="N686" s="3">
        <v>46184</v>
      </c>
      <c r="O686" t="s">
        <v>459</v>
      </c>
      <c r="P686" t="s">
        <v>55</v>
      </c>
      <c r="Q686">
        <v>832</v>
      </c>
      <c r="S686" t="s">
        <v>124</v>
      </c>
      <c r="T686" t="s">
        <v>1109</v>
      </c>
      <c r="U686">
        <v>834</v>
      </c>
      <c r="V686" t="s">
        <v>122</v>
      </c>
      <c r="W686">
        <v>13.4</v>
      </c>
      <c r="X686" t="s">
        <v>57</v>
      </c>
      <c r="Z686" t="s">
        <v>124</v>
      </c>
      <c r="AA686" t="s">
        <v>217</v>
      </c>
      <c r="AE686">
        <v>1</v>
      </c>
      <c r="AF686">
        <v>0</v>
      </c>
      <c r="AG686">
        <v>0</v>
      </c>
      <c r="AH686">
        <v>0</v>
      </c>
      <c r="AI686">
        <v>0</v>
      </c>
      <c r="AJ686">
        <v>1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</row>
    <row r="687" spans="1:42" x14ac:dyDescent="0.25">
      <c r="A687">
        <v>834</v>
      </c>
      <c r="B687" t="s">
        <v>1374</v>
      </c>
      <c r="C687" t="s">
        <v>1372</v>
      </c>
      <c r="D687" t="s">
        <v>126</v>
      </c>
      <c r="E687" s="4">
        <v>1</v>
      </c>
      <c r="F687" t="s">
        <v>101</v>
      </c>
      <c r="G687" t="s">
        <v>101</v>
      </c>
      <c r="H687" s="3">
        <v>46185</v>
      </c>
      <c r="I687" s="3">
        <v>46190</v>
      </c>
      <c r="J687" t="s">
        <v>571</v>
      </c>
      <c r="K687" s="3">
        <v>46190</v>
      </c>
      <c r="L687" s="3">
        <v>46185</v>
      </c>
      <c r="M687" s="3">
        <v>46190</v>
      </c>
      <c r="N687" s="3">
        <v>46190</v>
      </c>
      <c r="O687" t="s">
        <v>571</v>
      </c>
      <c r="P687" t="s">
        <v>55</v>
      </c>
      <c r="Q687">
        <v>833</v>
      </c>
      <c r="S687" t="s">
        <v>1058</v>
      </c>
      <c r="T687" t="s">
        <v>1109</v>
      </c>
      <c r="U687">
        <v>835</v>
      </c>
      <c r="V687" t="s">
        <v>61</v>
      </c>
      <c r="W687">
        <v>13.4</v>
      </c>
      <c r="X687" t="s">
        <v>57</v>
      </c>
      <c r="Z687" t="s">
        <v>1058</v>
      </c>
      <c r="AA687" t="s">
        <v>217</v>
      </c>
      <c r="AE687">
        <v>1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1</v>
      </c>
      <c r="AM687">
        <v>0</v>
      </c>
      <c r="AN687">
        <v>0</v>
      </c>
      <c r="AO687">
        <v>0</v>
      </c>
      <c r="AP687">
        <v>0</v>
      </c>
    </row>
    <row r="688" spans="1:42" x14ac:dyDescent="0.25">
      <c r="A688">
        <v>835</v>
      </c>
      <c r="B688" t="s">
        <v>1375</v>
      </c>
      <c r="C688" t="s">
        <v>1372</v>
      </c>
      <c r="D688" t="s">
        <v>133</v>
      </c>
      <c r="E688" s="4">
        <v>1</v>
      </c>
      <c r="F688" t="s">
        <v>127</v>
      </c>
      <c r="G688" t="s">
        <v>127</v>
      </c>
      <c r="H688" s="3">
        <v>46191</v>
      </c>
      <c r="I688" s="3">
        <v>46192</v>
      </c>
      <c r="J688" t="s">
        <v>480</v>
      </c>
      <c r="K688" s="3">
        <v>46192</v>
      </c>
      <c r="L688" s="3">
        <v>46191</v>
      </c>
      <c r="M688" s="3">
        <v>46192</v>
      </c>
      <c r="N688" s="3">
        <v>46192</v>
      </c>
      <c r="O688" t="s">
        <v>480</v>
      </c>
      <c r="P688" t="s">
        <v>55</v>
      </c>
      <c r="Q688">
        <v>834</v>
      </c>
      <c r="S688" t="s">
        <v>124</v>
      </c>
      <c r="T688" t="s">
        <v>1109</v>
      </c>
      <c r="V688" t="s">
        <v>61</v>
      </c>
      <c r="W688">
        <v>13.4</v>
      </c>
      <c r="X688" t="s">
        <v>57</v>
      </c>
      <c r="Z688" t="s">
        <v>124</v>
      </c>
      <c r="AA688" t="s">
        <v>217</v>
      </c>
      <c r="AE688">
        <v>1</v>
      </c>
      <c r="AF688">
        <v>0</v>
      </c>
      <c r="AG688">
        <v>0</v>
      </c>
      <c r="AH688">
        <v>0</v>
      </c>
      <c r="AI688">
        <v>1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0</v>
      </c>
      <c r="AP688">
        <v>0</v>
      </c>
    </row>
    <row r="689" spans="1:42" x14ac:dyDescent="0.25">
      <c r="A689">
        <v>836</v>
      </c>
      <c r="B689" t="s">
        <v>1376</v>
      </c>
      <c r="C689" t="s">
        <v>1109</v>
      </c>
      <c r="D689" t="s">
        <v>1377</v>
      </c>
      <c r="E689" s="4">
        <v>1</v>
      </c>
      <c r="F689" t="s">
        <v>365</v>
      </c>
      <c r="G689" t="s">
        <v>365</v>
      </c>
      <c r="H689" s="3">
        <v>46171</v>
      </c>
      <c r="I689" s="3">
        <v>46192</v>
      </c>
      <c r="J689" t="s">
        <v>189</v>
      </c>
      <c r="K689" s="3">
        <v>46192</v>
      </c>
      <c r="L689" s="3">
        <v>46171</v>
      </c>
      <c r="M689" s="3">
        <v>46192</v>
      </c>
      <c r="N689" s="3">
        <v>46192</v>
      </c>
      <c r="O689" t="s">
        <v>189</v>
      </c>
      <c r="P689" t="s">
        <v>55</v>
      </c>
      <c r="T689" t="s">
        <v>1109</v>
      </c>
      <c r="V689" t="s">
        <v>210</v>
      </c>
      <c r="W689">
        <v>33.119999999999997</v>
      </c>
      <c r="X689" t="s">
        <v>57</v>
      </c>
      <c r="AA689" t="s">
        <v>50</v>
      </c>
      <c r="AB689" t="s">
        <v>94</v>
      </c>
      <c r="AE689">
        <v>1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</row>
    <row r="690" spans="1:42" x14ac:dyDescent="0.25">
      <c r="A690">
        <v>837</v>
      </c>
      <c r="B690" t="s">
        <v>1378</v>
      </c>
      <c r="C690" t="s">
        <v>1379</v>
      </c>
      <c r="D690" t="s">
        <v>117</v>
      </c>
      <c r="E690" s="4">
        <v>1</v>
      </c>
      <c r="F690" t="s">
        <v>122</v>
      </c>
      <c r="G690" t="s">
        <v>122</v>
      </c>
      <c r="H690" s="3">
        <v>46171</v>
      </c>
      <c r="I690" s="3">
        <v>46175</v>
      </c>
      <c r="J690" t="s">
        <v>189</v>
      </c>
      <c r="K690" s="3">
        <v>46175</v>
      </c>
      <c r="L690" s="3">
        <v>46171</v>
      </c>
      <c r="M690" s="3">
        <v>46175</v>
      </c>
      <c r="N690" s="3">
        <v>46175</v>
      </c>
      <c r="O690" t="s">
        <v>189</v>
      </c>
      <c r="P690" t="s">
        <v>55</v>
      </c>
      <c r="S690" t="s">
        <v>1058</v>
      </c>
      <c r="T690" t="s">
        <v>1109</v>
      </c>
      <c r="U690">
        <v>838</v>
      </c>
      <c r="V690" t="s">
        <v>122</v>
      </c>
      <c r="W690">
        <v>13.4</v>
      </c>
      <c r="X690" t="s">
        <v>57</v>
      </c>
      <c r="Z690" t="s">
        <v>1058</v>
      </c>
      <c r="AA690" t="s">
        <v>462</v>
      </c>
      <c r="AE690">
        <v>1</v>
      </c>
      <c r="AF690">
        <v>1</v>
      </c>
      <c r="AG690">
        <v>1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1</v>
      </c>
    </row>
    <row r="691" spans="1:42" x14ac:dyDescent="0.25">
      <c r="A691">
        <v>838</v>
      </c>
      <c r="B691" t="s">
        <v>1380</v>
      </c>
      <c r="C691" t="s">
        <v>1379</v>
      </c>
      <c r="D691" t="s">
        <v>121</v>
      </c>
      <c r="E691" s="4">
        <v>1</v>
      </c>
      <c r="F691" t="s">
        <v>138</v>
      </c>
      <c r="G691" t="s">
        <v>138</v>
      </c>
      <c r="H691" s="3">
        <v>46176</v>
      </c>
      <c r="I691" s="3">
        <v>46184</v>
      </c>
      <c r="J691" t="s">
        <v>459</v>
      </c>
      <c r="K691" s="3">
        <v>46184</v>
      </c>
      <c r="L691" s="3">
        <v>46176</v>
      </c>
      <c r="M691" s="3">
        <v>46184</v>
      </c>
      <c r="N691" s="3">
        <v>46184</v>
      </c>
      <c r="O691" t="s">
        <v>459</v>
      </c>
      <c r="P691" t="s">
        <v>55</v>
      </c>
      <c r="Q691">
        <v>837</v>
      </c>
      <c r="S691" t="s">
        <v>124</v>
      </c>
      <c r="T691" t="s">
        <v>1109</v>
      </c>
      <c r="U691">
        <v>839</v>
      </c>
      <c r="V691" t="s">
        <v>122</v>
      </c>
      <c r="W691">
        <v>13.4</v>
      </c>
      <c r="X691" t="s">
        <v>57</v>
      </c>
      <c r="Z691" t="s">
        <v>124</v>
      </c>
      <c r="AA691" t="s">
        <v>217</v>
      </c>
      <c r="AE691">
        <v>1</v>
      </c>
      <c r="AF691">
        <v>0</v>
      </c>
      <c r="AG691">
        <v>0</v>
      </c>
      <c r="AH691">
        <v>0</v>
      </c>
      <c r="AI691">
        <v>0</v>
      </c>
      <c r="AJ691">
        <v>1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</row>
    <row r="692" spans="1:42" x14ac:dyDescent="0.25">
      <c r="A692">
        <v>839</v>
      </c>
      <c r="B692" t="s">
        <v>1381</v>
      </c>
      <c r="C692" t="s">
        <v>1379</v>
      </c>
      <c r="D692" t="s">
        <v>126</v>
      </c>
      <c r="E692" s="4">
        <v>1</v>
      </c>
      <c r="F692" t="s">
        <v>101</v>
      </c>
      <c r="G692" t="s">
        <v>101</v>
      </c>
      <c r="H692" s="3">
        <v>46185</v>
      </c>
      <c r="I692" s="3">
        <v>46190</v>
      </c>
      <c r="J692" t="s">
        <v>571</v>
      </c>
      <c r="K692" s="3">
        <v>46190</v>
      </c>
      <c r="L692" s="3">
        <v>46185</v>
      </c>
      <c r="M692" s="3">
        <v>46190</v>
      </c>
      <c r="N692" s="3">
        <v>46190</v>
      </c>
      <c r="O692" t="s">
        <v>571</v>
      </c>
      <c r="P692" t="s">
        <v>55</v>
      </c>
      <c r="Q692">
        <v>838</v>
      </c>
      <c r="S692" t="s">
        <v>1058</v>
      </c>
      <c r="T692" t="s">
        <v>1109</v>
      </c>
      <c r="U692">
        <v>840</v>
      </c>
      <c r="V692" t="s">
        <v>61</v>
      </c>
      <c r="W692">
        <v>13.4</v>
      </c>
      <c r="X692" t="s">
        <v>57</v>
      </c>
      <c r="Z692" t="s">
        <v>1058</v>
      </c>
      <c r="AA692" t="s">
        <v>217</v>
      </c>
      <c r="AE692">
        <v>1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1</v>
      </c>
      <c r="AM692">
        <v>0</v>
      </c>
      <c r="AN692">
        <v>0</v>
      </c>
      <c r="AO692">
        <v>0</v>
      </c>
      <c r="AP692">
        <v>0</v>
      </c>
    </row>
    <row r="693" spans="1:42" x14ac:dyDescent="0.25">
      <c r="A693">
        <v>840</v>
      </c>
      <c r="B693" t="s">
        <v>1382</v>
      </c>
      <c r="C693" t="s">
        <v>1379</v>
      </c>
      <c r="D693" t="s">
        <v>133</v>
      </c>
      <c r="E693" s="4">
        <v>1</v>
      </c>
      <c r="F693" t="s">
        <v>127</v>
      </c>
      <c r="G693" t="s">
        <v>127</v>
      </c>
      <c r="H693" s="3">
        <v>46191</v>
      </c>
      <c r="I693" s="3">
        <v>46192</v>
      </c>
      <c r="J693" t="s">
        <v>480</v>
      </c>
      <c r="K693" s="3">
        <v>46192</v>
      </c>
      <c r="L693" s="3">
        <v>46191</v>
      </c>
      <c r="M693" s="3">
        <v>46192</v>
      </c>
      <c r="N693" s="3">
        <v>46192</v>
      </c>
      <c r="O693" t="s">
        <v>480</v>
      </c>
      <c r="P693" t="s">
        <v>55</v>
      </c>
      <c r="Q693">
        <v>839</v>
      </c>
      <c r="S693" t="s">
        <v>124</v>
      </c>
      <c r="T693" t="s">
        <v>1109</v>
      </c>
      <c r="V693" t="s">
        <v>61</v>
      </c>
      <c r="W693">
        <v>13.4</v>
      </c>
      <c r="X693" t="s">
        <v>57</v>
      </c>
      <c r="Z693" t="s">
        <v>124</v>
      </c>
      <c r="AA693" t="s">
        <v>217</v>
      </c>
      <c r="AE693">
        <v>1</v>
      </c>
      <c r="AF693">
        <v>0</v>
      </c>
      <c r="AG693">
        <v>0</v>
      </c>
      <c r="AH693">
        <v>0</v>
      </c>
      <c r="AI693">
        <v>1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0</v>
      </c>
      <c r="AP693">
        <v>0</v>
      </c>
    </row>
    <row r="694" spans="1:42" x14ac:dyDescent="0.25">
      <c r="A694">
        <v>841</v>
      </c>
      <c r="B694" t="s">
        <v>1383</v>
      </c>
      <c r="C694" t="s">
        <v>1109</v>
      </c>
      <c r="D694" t="s">
        <v>1384</v>
      </c>
      <c r="E694" s="4">
        <v>1</v>
      </c>
      <c r="F694" t="s">
        <v>365</v>
      </c>
      <c r="G694" t="s">
        <v>365</v>
      </c>
      <c r="H694" s="3">
        <v>46171</v>
      </c>
      <c r="I694" s="3">
        <v>46192</v>
      </c>
      <c r="J694" t="s">
        <v>189</v>
      </c>
      <c r="K694" s="3">
        <v>46192</v>
      </c>
      <c r="L694" s="3">
        <v>46171</v>
      </c>
      <c r="M694" s="3">
        <v>46192</v>
      </c>
      <c r="N694" s="3">
        <v>46192</v>
      </c>
      <c r="O694" t="s">
        <v>189</v>
      </c>
      <c r="P694" t="s">
        <v>55</v>
      </c>
      <c r="T694" t="s">
        <v>1109</v>
      </c>
      <c r="V694" t="s">
        <v>210</v>
      </c>
      <c r="W694">
        <v>33.119999999999997</v>
      </c>
      <c r="X694" t="s">
        <v>57</v>
      </c>
      <c r="AA694" t="s">
        <v>50</v>
      </c>
      <c r="AB694" t="s">
        <v>94</v>
      </c>
      <c r="AE694">
        <v>1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</row>
    <row r="695" spans="1:42" x14ac:dyDescent="0.25">
      <c r="A695">
        <v>842</v>
      </c>
      <c r="B695" t="s">
        <v>1385</v>
      </c>
      <c r="C695" t="s">
        <v>1386</v>
      </c>
      <c r="D695" t="s">
        <v>117</v>
      </c>
      <c r="E695" s="4">
        <v>1</v>
      </c>
      <c r="F695" t="s">
        <v>122</v>
      </c>
      <c r="G695" t="s">
        <v>122</v>
      </c>
      <c r="H695" s="3">
        <v>46171</v>
      </c>
      <c r="I695" s="3">
        <v>46175</v>
      </c>
      <c r="J695" t="s">
        <v>189</v>
      </c>
      <c r="K695" s="3">
        <v>46175</v>
      </c>
      <c r="L695" s="3">
        <v>46171</v>
      </c>
      <c r="M695" s="3">
        <v>46175</v>
      </c>
      <c r="N695" s="3">
        <v>46175</v>
      </c>
      <c r="O695" t="s">
        <v>189</v>
      </c>
      <c r="P695" t="s">
        <v>55</v>
      </c>
      <c r="S695" t="s">
        <v>1058</v>
      </c>
      <c r="T695" t="s">
        <v>1109</v>
      </c>
      <c r="U695">
        <v>843</v>
      </c>
      <c r="V695" t="s">
        <v>122</v>
      </c>
      <c r="W695">
        <v>13.4</v>
      </c>
      <c r="X695" t="s">
        <v>57</v>
      </c>
      <c r="Z695" t="s">
        <v>1058</v>
      </c>
      <c r="AA695" t="s">
        <v>462</v>
      </c>
      <c r="AE695">
        <v>1</v>
      </c>
      <c r="AF695">
        <v>1</v>
      </c>
      <c r="AG695">
        <v>1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1</v>
      </c>
    </row>
    <row r="696" spans="1:42" x14ac:dyDescent="0.25">
      <c r="A696">
        <v>843</v>
      </c>
      <c r="B696" t="s">
        <v>1387</v>
      </c>
      <c r="C696" t="s">
        <v>1386</v>
      </c>
      <c r="D696" t="s">
        <v>121</v>
      </c>
      <c r="E696" s="4">
        <v>1</v>
      </c>
      <c r="F696" t="s">
        <v>138</v>
      </c>
      <c r="G696" t="s">
        <v>138</v>
      </c>
      <c r="H696" s="3">
        <v>46176</v>
      </c>
      <c r="I696" s="3">
        <v>46184</v>
      </c>
      <c r="J696" t="s">
        <v>459</v>
      </c>
      <c r="K696" s="3">
        <v>46184</v>
      </c>
      <c r="L696" s="3">
        <v>46176</v>
      </c>
      <c r="M696" s="3">
        <v>46184</v>
      </c>
      <c r="N696" s="3">
        <v>46184</v>
      </c>
      <c r="O696" t="s">
        <v>459</v>
      </c>
      <c r="P696" t="s">
        <v>55</v>
      </c>
      <c r="Q696">
        <v>842</v>
      </c>
      <c r="S696" t="s">
        <v>124</v>
      </c>
      <c r="T696" t="s">
        <v>1109</v>
      </c>
      <c r="U696">
        <v>844</v>
      </c>
      <c r="V696" t="s">
        <v>122</v>
      </c>
      <c r="W696">
        <v>13.4</v>
      </c>
      <c r="X696" t="s">
        <v>57</v>
      </c>
      <c r="Z696" t="s">
        <v>124</v>
      </c>
      <c r="AA696" t="s">
        <v>217</v>
      </c>
      <c r="AE696">
        <v>1</v>
      </c>
      <c r="AF696">
        <v>0</v>
      </c>
      <c r="AG696">
        <v>0</v>
      </c>
      <c r="AH696">
        <v>0</v>
      </c>
      <c r="AI696">
        <v>0</v>
      </c>
      <c r="AJ696">
        <v>1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</row>
    <row r="697" spans="1:42" x14ac:dyDescent="0.25">
      <c r="A697">
        <v>844</v>
      </c>
      <c r="B697" t="s">
        <v>1388</v>
      </c>
      <c r="C697" t="s">
        <v>1386</v>
      </c>
      <c r="D697" t="s">
        <v>126</v>
      </c>
      <c r="E697" s="4">
        <v>1</v>
      </c>
      <c r="F697" t="s">
        <v>101</v>
      </c>
      <c r="G697" t="s">
        <v>101</v>
      </c>
      <c r="H697" s="3">
        <v>46185</v>
      </c>
      <c r="I697" s="3">
        <v>46190</v>
      </c>
      <c r="J697" t="s">
        <v>571</v>
      </c>
      <c r="K697" s="3">
        <v>46190</v>
      </c>
      <c r="L697" s="3">
        <v>46185</v>
      </c>
      <c r="M697" s="3">
        <v>46190</v>
      </c>
      <c r="N697" s="3">
        <v>46190</v>
      </c>
      <c r="O697" t="s">
        <v>571</v>
      </c>
      <c r="P697" t="s">
        <v>55</v>
      </c>
      <c r="Q697">
        <v>843</v>
      </c>
      <c r="S697" t="s">
        <v>1058</v>
      </c>
      <c r="T697" t="s">
        <v>1109</v>
      </c>
      <c r="U697">
        <v>845</v>
      </c>
      <c r="V697" t="s">
        <v>61</v>
      </c>
      <c r="W697">
        <v>13.4</v>
      </c>
      <c r="X697" t="s">
        <v>57</v>
      </c>
      <c r="Z697" t="s">
        <v>1058</v>
      </c>
      <c r="AA697" t="s">
        <v>217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1</v>
      </c>
      <c r="AM697">
        <v>0</v>
      </c>
      <c r="AN697">
        <v>0</v>
      </c>
      <c r="AO697">
        <v>0</v>
      </c>
      <c r="AP697">
        <v>0</v>
      </c>
    </row>
    <row r="698" spans="1:42" x14ac:dyDescent="0.25">
      <c r="A698">
        <v>845</v>
      </c>
      <c r="B698" t="s">
        <v>1389</v>
      </c>
      <c r="C698" t="s">
        <v>1386</v>
      </c>
      <c r="D698" t="s">
        <v>133</v>
      </c>
      <c r="E698" s="4">
        <v>1</v>
      </c>
      <c r="F698" t="s">
        <v>127</v>
      </c>
      <c r="G698" t="s">
        <v>127</v>
      </c>
      <c r="H698" s="3">
        <v>46191</v>
      </c>
      <c r="I698" s="3">
        <v>46192</v>
      </c>
      <c r="J698" t="s">
        <v>480</v>
      </c>
      <c r="K698" s="3">
        <v>46192</v>
      </c>
      <c r="L698" s="3">
        <v>46191</v>
      </c>
      <c r="M698" s="3">
        <v>46192</v>
      </c>
      <c r="N698" s="3">
        <v>46192</v>
      </c>
      <c r="O698" t="s">
        <v>480</v>
      </c>
      <c r="P698" t="s">
        <v>55</v>
      </c>
      <c r="Q698">
        <v>844</v>
      </c>
      <c r="S698" t="s">
        <v>124</v>
      </c>
      <c r="T698" t="s">
        <v>1109</v>
      </c>
      <c r="V698" t="s">
        <v>61</v>
      </c>
      <c r="W698">
        <v>13.4</v>
      </c>
      <c r="X698" t="s">
        <v>57</v>
      </c>
      <c r="Z698" t="s">
        <v>124</v>
      </c>
      <c r="AA698" t="s">
        <v>217</v>
      </c>
      <c r="AE698">
        <v>1</v>
      </c>
      <c r="AF698">
        <v>0</v>
      </c>
      <c r="AG698">
        <v>0</v>
      </c>
      <c r="AH698">
        <v>0</v>
      </c>
      <c r="AI698">
        <v>1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0</v>
      </c>
      <c r="AP698">
        <v>0</v>
      </c>
    </row>
    <row r="699" spans="1:42" x14ac:dyDescent="0.25">
      <c r="A699">
        <v>846</v>
      </c>
      <c r="B699" t="s">
        <v>1390</v>
      </c>
      <c r="C699" t="s">
        <v>1109</v>
      </c>
      <c r="D699" t="s">
        <v>1391</v>
      </c>
      <c r="E699" s="4">
        <v>1</v>
      </c>
      <c r="F699" t="s">
        <v>365</v>
      </c>
      <c r="G699" t="s">
        <v>365</v>
      </c>
      <c r="H699" s="3">
        <v>46171</v>
      </c>
      <c r="I699" s="3">
        <v>46192</v>
      </c>
      <c r="J699" t="s">
        <v>189</v>
      </c>
      <c r="K699" s="3">
        <v>46192</v>
      </c>
      <c r="L699" s="3">
        <v>46171</v>
      </c>
      <c r="M699" s="3">
        <v>46192</v>
      </c>
      <c r="N699" s="3">
        <v>46192</v>
      </c>
      <c r="O699" t="s">
        <v>189</v>
      </c>
      <c r="P699" t="s">
        <v>55</v>
      </c>
      <c r="T699" t="s">
        <v>1109</v>
      </c>
      <c r="V699" t="s">
        <v>210</v>
      </c>
      <c r="W699">
        <v>33.119999999999997</v>
      </c>
      <c r="X699" t="s">
        <v>57</v>
      </c>
      <c r="AA699" t="s">
        <v>50</v>
      </c>
      <c r="AB699" t="s">
        <v>94</v>
      </c>
      <c r="AE699">
        <v>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</row>
    <row r="700" spans="1:42" x14ac:dyDescent="0.25">
      <c r="A700">
        <v>847</v>
      </c>
      <c r="B700" t="s">
        <v>1392</v>
      </c>
      <c r="C700" t="s">
        <v>1393</v>
      </c>
      <c r="D700" t="s">
        <v>117</v>
      </c>
      <c r="E700" s="4">
        <v>1</v>
      </c>
      <c r="F700" t="s">
        <v>122</v>
      </c>
      <c r="G700" t="s">
        <v>122</v>
      </c>
      <c r="H700" s="3">
        <v>46171</v>
      </c>
      <c r="I700" s="3">
        <v>46175</v>
      </c>
      <c r="J700" t="s">
        <v>189</v>
      </c>
      <c r="K700" s="3">
        <v>46175</v>
      </c>
      <c r="L700" s="3">
        <v>46171</v>
      </c>
      <c r="M700" s="3">
        <v>46175</v>
      </c>
      <c r="N700" s="3">
        <v>46175</v>
      </c>
      <c r="O700" t="s">
        <v>189</v>
      </c>
      <c r="P700" t="s">
        <v>55</v>
      </c>
      <c r="S700" t="s">
        <v>1058</v>
      </c>
      <c r="T700" t="s">
        <v>1109</v>
      </c>
      <c r="U700">
        <v>848</v>
      </c>
      <c r="V700" t="s">
        <v>122</v>
      </c>
      <c r="W700">
        <v>13.4</v>
      </c>
      <c r="X700" t="s">
        <v>57</v>
      </c>
      <c r="Z700" t="s">
        <v>1058</v>
      </c>
      <c r="AA700" t="s">
        <v>462</v>
      </c>
      <c r="AE700">
        <v>1</v>
      </c>
      <c r="AF700">
        <v>1</v>
      </c>
      <c r="AG700">
        <v>1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1</v>
      </c>
    </row>
    <row r="701" spans="1:42" x14ac:dyDescent="0.25">
      <c r="A701">
        <v>848</v>
      </c>
      <c r="B701" t="s">
        <v>1394</v>
      </c>
      <c r="C701" t="s">
        <v>1393</v>
      </c>
      <c r="D701" t="s">
        <v>121</v>
      </c>
      <c r="E701" s="4">
        <v>1</v>
      </c>
      <c r="F701" t="s">
        <v>138</v>
      </c>
      <c r="G701" t="s">
        <v>138</v>
      </c>
      <c r="H701" s="3">
        <v>46176</v>
      </c>
      <c r="I701" s="3">
        <v>46184</v>
      </c>
      <c r="J701" t="s">
        <v>459</v>
      </c>
      <c r="K701" s="3">
        <v>46184</v>
      </c>
      <c r="L701" s="3">
        <v>46176</v>
      </c>
      <c r="M701" s="3">
        <v>46184</v>
      </c>
      <c r="N701" s="3">
        <v>46184</v>
      </c>
      <c r="O701" t="s">
        <v>459</v>
      </c>
      <c r="P701" t="s">
        <v>55</v>
      </c>
      <c r="Q701">
        <v>847</v>
      </c>
      <c r="S701" t="s">
        <v>124</v>
      </c>
      <c r="T701" t="s">
        <v>1109</v>
      </c>
      <c r="U701">
        <v>849</v>
      </c>
      <c r="V701" t="s">
        <v>122</v>
      </c>
      <c r="W701">
        <v>13.4</v>
      </c>
      <c r="X701" t="s">
        <v>57</v>
      </c>
      <c r="Z701" t="s">
        <v>124</v>
      </c>
      <c r="AA701" t="s">
        <v>217</v>
      </c>
      <c r="AE701">
        <v>1</v>
      </c>
      <c r="AF701">
        <v>0</v>
      </c>
      <c r="AG701">
        <v>0</v>
      </c>
      <c r="AH701">
        <v>0</v>
      </c>
      <c r="AI701">
        <v>0</v>
      </c>
      <c r="AJ701">
        <v>1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</row>
    <row r="702" spans="1:42" x14ac:dyDescent="0.25">
      <c r="A702">
        <v>849</v>
      </c>
      <c r="B702" t="s">
        <v>1395</v>
      </c>
      <c r="C702" t="s">
        <v>1393</v>
      </c>
      <c r="D702" t="s">
        <v>126</v>
      </c>
      <c r="E702" s="4">
        <v>1</v>
      </c>
      <c r="F702" t="s">
        <v>101</v>
      </c>
      <c r="G702" t="s">
        <v>101</v>
      </c>
      <c r="H702" s="3">
        <v>46185</v>
      </c>
      <c r="I702" s="3">
        <v>46190</v>
      </c>
      <c r="J702" t="s">
        <v>571</v>
      </c>
      <c r="K702" s="3">
        <v>46190</v>
      </c>
      <c r="L702" s="3">
        <v>46185</v>
      </c>
      <c r="M702" s="3">
        <v>46190</v>
      </c>
      <c r="N702" s="3">
        <v>46190</v>
      </c>
      <c r="O702" t="s">
        <v>571</v>
      </c>
      <c r="P702" t="s">
        <v>55</v>
      </c>
      <c r="Q702">
        <v>848</v>
      </c>
      <c r="S702" t="s">
        <v>1058</v>
      </c>
      <c r="T702" t="s">
        <v>1109</v>
      </c>
      <c r="U702">
        <v>850</v>
      </c>
      <c r="V702" t="s">
        <v>61</v>
      </c>
      <c r="W702">
        <v>13.4</v>
      </c>
      <c r="X702" t="s">
        <v>57</v>
      </c>
      <c r="Z702" t="s">
        <v>1058</v>
      </c>
      <c r="AA702" t="s">
        <v>217</v>
      </c>
      <c r="AE702">
        <v>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1</v>
      </c>
      <c r="AM702">
        <v>0</v>
      </c>
      <c r="AN702">
        <v>0</v>
      </c>
      <c r="AO702">
        <v>0</v>
      </c>
      <c r="AP702">
        <v>0</v>
      </c>
    </row>
    <row r="703" spans="1:42" x14ac:dyDescent="0.25">
      <c r="A703">
        <v>850</v>
      </c>
      <c r="B703" t="s">
        <v>1396</v>
      </c>
      <c r="C703" t="s">
        <v>1393</v>
      </c>
      <c r="D703" t="s">
        <v>133</v>
      </c>
      <c r="E703" s="4">
        <v>1</v>
      </c>
      <c r="F703" t="s">
        <v>127</v>
      </c>
      <c r="G703" t="s">
        <v>127</v>
      </c>
      <c r="H703" s="3">
        <v>46191</v>
      </c>
      <c r="I703" s="3">
        <v>46192</v>
      </c>
      <c r="J703" t="s">
        <v>480</v>
      </c>
      <c r="K703" s="3">
        <v>46192</v>
      </c>
      <c r="L703" s="3">
        <v>46191</v>
      </c>
      <c r="M703" s="3">
        <v>46192</v>
      </c>
      <c r="N703" s="3">
        <v>46192</v>
      </c>
      <c r="O703" t="s">
        <v>480</v>
      </c>
      <c r="P703" t="s">
        <v>55</v>
      </c>
      <c r="Q703">
        <v>849</v>
      </c>
      <c r="S703" t="s">
        <v>124</v>
      </c>
      <c r="T703" t="s">
        <v>1109</v>
      </c>
      <c r="V703" t="s">
        <v>61</v>
      </c>
      <c r="W703">
        <v>13.4</v>
      </c>
      <c r="X703" t="s">
        <v>57</v>
      </c>
      <c r="Z703" t="s">
        <v>124</v>
      </c>
      <c r="AA703" t="s">
        <v>217</v>
      </c>
      <c r="AE703">
        <v>1</v>
      </c>
      <c r="AF703">
        <v>0</v>
      </c>
      <c r="AG703">
        <v>0</v>
      </c>
      <c r="AH703">
        <v>0</v>
      </c>
      <c r="AI703">
        <v>1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0</v>
      </c>
      <c r="AP703">
        <v>0</v>
      </c>
    </row>
    <row r="704" spans="1:42" x14ac:dyDescent="0.25">
      <c r="A704">
        <v>851</v>
      </c>
      <c r="B704" t="s">
        <v>1397</v>
      </c>
      <c r="C704" t="s">
        <v>1109</v>
      </c>
      <c r="D704" t="s">
        <v>1398</v>
      </c>
      <c r="E704" s="4">
        <v>1</v>
      </c>
      <c r="F704" t="s">
        <v>365</v>
      </c>
      <c r="G704" t="s">
        <v>365</v>
      </c>
      <c r="H704" s="3">
        <v>46171</v>
      </c>
      <c r="I704" s="3">
        <v>46192</v>
      </c>
      <c r="J704" t="s">
        <v>189</v>
      </c>
      <c r="K704" s="3">
        <v>46192</v>
      </c>
      <c r="L704" s="3">
        <v>46171</v>
      </c>
      <c r="M704" s="3">
        <v>46192</v>
      </c>
      <c r="N704" s="3">
        <v>46192</v>
      </c>
      <c r="O704" t="s">
        <v>189</v>
      </c>
      <c r="P704" t="s">
        <v>55</v>
      </c>
      <c r="T704" t="s">
        <v>1109</v>
      </c>
      <c r="V704" t="s">
        <v>210</v>
      </c>
      <c r="W704">
        <v>33.119999999999997</v>
      </c>
      <c r="X704" t="s">
        <v>57</v>
      </c>
      <c r="AA704" t="s">
        <v>50</v>
      </c>
      <c r="AB704" t="s">
        <v>94</v>
      </c>
      <c r="AE704">
        <v>1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</row>
    <row r="705" spans="1:42" x14ac:dyDescent="0.25">
      <c r="A705">
        <v>852</v>
      </c>
      <c r="B705" t="s">
        <v>1399</v>
      </c>
      <c r="C705" t="s">
        <v>1400</v>
      </c>
      <c r="D705" t="s">
        <v>117</v>
      </c>
      <c r="E705" s="4">
        <v>1</v>
      </c>
      <c r="F705" t="s">
        <v>122</v>
      </c>
      <c r="G705" t="s">
        <v>122</v>
      </c>
      <c r="H705" s="3">
        <v>46171</v>
      </c>
      <c r="I705" s="3">
        <v>46175</v>
      </c>
      <c r="J705" t="s">
        <v>189</v>
      </c>
      <c r="K705" s="3">
        <v>46175</v>
      </c>
      <c r="L705" s="3">
        <v>46171</v>
      </c>
      <c r="M705" s="3">
        <v>46175</v>
      </c>
      <c r="N705" s="3">
        <v>46175</v>
      </c>
      <c r="O705" t="s">
        <v>189</v>
      </c>
      <c r="P705" t="s">
        <v>55</v>
      </c>
      <c r="S705" t="s">
        <v>1058</v>
      </c>
      <c r="T705" t="s">
        <v>1109</v>
      </c>
      <c r="U705">
        <v>853</v>
      </c>
      <c r="V705" t="s">
        <v>122</v>
      </c>
      <c r="W705">
        <v>13.4</v>
      </c>
      <c r="X705" t="s">
        <v>57</v>
      </c>
      <c r="Z705" t="s">
        <v>1058</v>
      </c>
      <c r="AA705" t="s">
        <v>462</v>
      </c>
      <c r="AE705">
        <v>1</v>
      </c>
      <c r="AF705">
        <v>1</v>
      </c>
      <c r="AG705">
        <v>1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1</v>
      </c>
    </row>
    <row r="706" spans="1:42" x14ac:dyDescent="0.25">
      <c r="A706">
        <v>853</v>
      </c>
      <c r="B706" t="s">
        <v>1401</v>
      </c>
      <c r="C706" t="s">
        <v>1400</v>
      </c>
      <c r="D706" t="s">
        <v>121</v>
      </c>
      <c r="E706" s="4">
        <v>1</v>
      </c>
      <c r="F706" t="s">
        <v>138</v>
      </c>
      <c r="G706" t="s">
        <v>138</v>
      </c>
      <c r="H706" s="3">
        <v>46176</v>
      </c>
      <c r="I706" s="3">
        <v>46184</v>
      </c>
      <c r="J706" t="s">
        <v>459</v>
      </c>
      <c r="K706" s="3">
        <v>46184</v>
      </c>
      <c r="L706" s="3">
        <v>46176</v>
      </c>
      <c r="M706" s="3">
        <v>46184</v>
      </c>
      <c r="N706" s="3">
        <v>46184</v>
      </c>
      <c r="O706" t="s">
        <v>459</v>
      </c>
      <c r="P706" t="s">
        <v>55</v>
      </c>
      <c r="Q706">
        <v>852</v>
      </c>
      <c r="S706" t="s">
        <v>124</v>
      </c>
      <c r="T706" t="s">
        <v>1109</v>
      </c>
      <c r="U706">
        <v>854</v>
      </c>
      <c r="V706" t="s">
        <v>122</v>
      </c>
      <c r="W706">
        <v>13.4</v>
      </c>
      <c r="X706" t="s">
        <v>57</v>
      </c>
      <c r="Z706" t="s">
        <v>124</v>
      </c>
      <c r="AA706" t="s">
        <v>217</v>
      </c>
      <c r="AE706">
        <v>1</v>
      </c>
      <c r="AF706">
        <v>0</v>
      </c>
      <c r="AG706">
        <v>0</v>
      </c>
      <c r="AH706">
        <v>0</v>
      </c>
      <c r="AI706">
        <v>0</v>
      </c>
      <c r="AJ706">
        <v>1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</row>
    <row r="707" spans="1:42" x14ac:dyDescent="0.25">
      <c r="A707">
        <v>854</v>
      </c>
      <c r="B707" t="s">
        <v>1402</v>
      </c>
      <c r="C707" t="s">
        <v>1400</v>
      </c>
      <c r="D707" t="s">
        <v>126</v>
      </c>
      <c r="E707" s="4">
        <v>1</v>
      </c>
      <c r="F707" t="s">
        <v>122</v>
      </c>
      <c r="G707" t="s">
        <v>122</v>
      </c>
      <c r="H707" s="3">
        <v>46185</v>
      </c>
      <c r="I707" s="3">
        <v>46189</v>
      </c>
      <c r="J707" t="s">
        <v>571</v>
      </c>
      <c r="K707" s="3">
        <v>46189</v>
      </c>
      <c r="L707" s="3">
        <v>46185</v>
      </c>
      <c r="M707" s="3">
        <v>46189</v>
      </c>
      <c r="N707" s="3">
        <v>46189</v>
      </c>
      <c r="O707" t="s">
        <v>571</v>
      </c>
      <c r="P707" t="s">
        <v>55</v>
      </c>
      <c r="Q707">
        <v>853</v>
      </c>
      <c r="S707" t="s">
        <v>1058</v>
      </c>
      <c r="T707" t="s">
        <v>1109</v>
      </c>
      <c r="U707">
        <v>855</v>
      </c>
      <c r="V707" t="s">
        <v>61</v>
      </c>
      <c r="W707">
        <v>13.4</v>
      </c>
      <c r="X707" t="s">
        <v>57</v>
      </c>
      <c r="Z707" t="s">
        <v>1058</v>
      </c>
      <c r="AA707" t="s">
        <v>217</v>
      </c>
      <c r="AE707">
        <v>1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1</v>
      </c>
      <c r="AM707">
        <v>0</v>
      </c>
      <c r="AN707">
        <v>0</v>
      </c>
      <c r="AO707">
        <v>0</v>
      </c>
      <c r="AP707">
        <v>0</v>
      </c>
    </row>
    <row r="708" spans="1:42" x14ac:dyDescent="0.25">
      <c r="A708">
        <v>855</v>
      </c>
      <c r="B708" t="s">
        <v>1403</v>
      </c>
      <c r="C708" t="s">
        <v>1400</v>
      </c>
      <c r="D708" t="s">
        <v>133</v>
      </c>
      <c r="E708" s="4">
        <v>1</v>
      </c>
      <c r="F708" t="s">
        <v>122</v>
      </c>
      <c r="G708" t="s">
        <v>122</v>
      </c>
      <c r="H708" s="3">
        <v>46190</v>
      </c>
      <c r="I708" s="3">
        <v>46192</v>
      </c>
      <c r="J708" t="s">
        <v>75</v>
      </c>
      <c r="K708" s="3">
        <v>46192</v>
      </c>
      <c r="L708" s="3">
        <v>46190</v>
      </c>
      <c r="M708" s="3">
        <v>46192</v>
      </c>
      <c r="N708" s="3">
        <v>46192</v>
      </c>
      <c r="O708" t="s">
        <v>75</v>
      </c>
      <c r="P708" t="s">
        <v>55</v>
      </c>
      <c r="Q708">
        <v>854</v>
      </c>
      <c r="S708" t="s">
        <v>124</v>
      </c>
      <c r="T708" t="s">
        <v>1109</v>
      </c>
      <c r="V708" t="s">
        <v>61</v>
      </c>
      <c r="W708">
        <v>13.4</v>
      </c>
      <c r="X708" t="s">
        <v>57</v>
      </c>
      <c r="Z708" t="s">
        <v>124</v>
      </c>
      <c r="AA708" t="s">
        <v>217</v>
      </c>
      <c r="AE708">
        <v>1</v>
      </c>
      <c r="AF708">
        <v>0</v>
      </c>
      <c r="AG708">
        <v>0</v>
      </c>
      <c r="AH708">
        <v>0</v>
      </c>
      <c r="AI708">
        <v>1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0</v>
      </c>
      <c r="AP708">
        <v>0</v>
      </c>
    </row>
    <row r="709" spans="1:42" x14ac:dyDescent="0.25">
      <c r="A709">
        <v>856</v>
      </c>
      <c r="B709" t="s">
        <v>1404</v>
      </c>
      <c r="C709" t="s">
        <v>1109</v>
      </c>
      <c r="D709" t="s">
        <v>1405</v>
      </c>
      <c r="E709" s="4">
        <v>1</v>
      </c>
      <c r="F709" t="s">
        <v>365</v>
      </c>
      <c r="G709" t="s">
        <v>365</v>
      </c>
      <c r="H709" s="3">
        <v>46171</v>
      </c>
      <c r="I709" s="3">
        <v>46192</v>
      </c>
      <c r="J709" t="s">
        <v>189</v>
      </c>
      <c r="K709" s="3">
        <v>46192</v>
      </c>
      <c r="L709" s="3">
        <v>46171</v>
      </c>
      <c r="M709" s="3">
        <v>46192</v>
      </c>
      <c r="N709" s="3">
        <v>46192</v>
      </c>
      <c r="O709" t="s">
        <v>189</v>
      </c>
      <c r="P709" t="s">
        <v>55</v>
      </c>
      <c r="T709" t="s">
        <v>1109</v>
      </c>
      <c r="V709" t="s">
        <v>210</v>
      </c>
      <c r="W709">
        <v>33.119999999999997</v>
      </c>
      <c r="X709" t="s">
        <v>57</v>
      </c>
      <c r="AA709" t="s">
        <v>50</v>
      </c>
      <c r="AB709" t="s">
        <v>94</v>
      </c>
      <c r="AE709">
        <v>1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</row>
    <row r="710" spans="1:42" x14ac:dyDescent="0.25">
      <c r="A710">
        <v>857</v>
      </c>
      <c r="B710" t="s">
        <v>1406</v>
      </c>
      <c r="C710" t="s">
        <v>1407</v>
      </c>
      <c r="D710" t="s">
        <v>117</v>
      </c>
      <c r="E710" s="4">
        <v>1</v>
      </c>
      <c r="F710" t="s">
        <v>122</v>
      </c>
      <c r="G710" t="s">
        <v>122</v>
      </c>
      <c r="H710" s="3">
        <v>46171</v>
      </c>
      <c r="I710" s="3">
        <v>46175</v>
      </c>
      <c r="J710" t="s">
        <v>189</v>
      </c>
      <c r="K710" s="3">
        <v>46175</v>
      </c>
      <c r="L710" s="3">
        <v>46171</v>
      </c>
      <c r="M710" s="3">
        <v>46175</v>
      </c>
      <c r="N710" s="3">
        <v>46175</v>
      </c>
      <c r="O710" t="s">
        <v>189</v>
      </c>
      <c r="P710" t="s">
        <v>55</v>
      </c>
      <c r="S710" t="s">
        <v>1058</v>
      </c>
      <c r="T710" t="s">
        <v>1109</v>
      </c>
      <c r="U710">
        <v>858</v>
      </c>
      <c r="V710" t="s">
        <v>122</v>
      </c>
      <c r="W710">
        <v>13.4</v>
      </c>
      <c r="X710" t="s">
        <v>57</v>
      </c>
      <c r="Z710" t="s">
        <v>1058</v>
      </c>
      <c r="AA710" t="s">
        <v>462</v>
      </c>
      <c r="AE710">
        <v>1</v>
      </c>
      <c r="AF710">
        <v>1</v>
      </c>
      <c r="AG710">
        <v>1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1</v>
      </c>
    </row>
    <row r="711" spans="1:42" x14ac:dyDescent="0.25">
      <c r="A711">
        <v>858</v>
      </c>
      <c r="B711" t="s">
        <v>1408</v>
      </c>
      <c r="C711" t="s">
        <v>1407</v>
      </c>
      <c r="D711" t="s">
        <v>121</v>
      </c>
      <c r="E711" s="4">
        <v>1</v>
      </c>
      <c r="F711" t="s">
        <v>138</v>
      </c>
      <c r="G711" t="s">
        <v>138</v>
      </c>
      <c r="H711" s="3">
        <v>46176</v>
      </c>
      <c r="I711" s="3">
        <v>46184</v>
      </c>
      <c r="J711" t="s">
        <v>459</v>
      </c>
      <c r="K711" s="3">
        <v>46184</v>
      </c>
      <c r="L711" s="3">
        <v>46176</v>
      </c>
      <c r="M711" s="3">
        <v>46184</v>
      </c>
      <c r="N711" s="3">
        <v>46184</v>
      </c>
      <c r="O711" t="s">
        <v>459</v>
      </c>
      <c r="P711" t="s">
        <v>55</v>
      </c>
      <c r="Q711">
        <v>857</v>
      </c>
      <c r="S711" t="s">
        <v>124</v>
      </c>
      <c r="T711" t="s">
        <v>1109</v>
      </c>
      <c r="U711">
        <v>859</v>
      </c>
      <c r="V711" t="s">
        <v>122</v>
      </c>
      <c r="W711">
        <v>13.4</v>
      </c>
      <c r="X711" t="s">
        <v>57</v>
      </c>
      <c r="Z711" t="s">
        <v>124</v>
      </c>
      <c r="AA711" t="s">
        <v>217</v>
      </c>
      <c r="AE711">
        <v>1</v>
      </c>
      <c r="AF711">
        <v>0</v>
      </c>
      <c r="AG711">
        <v>0</v>
      </c>
      <c r="AH711">
        <v>0</v>
      </c>
      <c r="AI711">
        <v>0</v>
      </c>
      <c r="AJ711">
        <v>1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</row>
    <row r="712" spans="1:42" x14ac:dyDescent="0.25">
      <c r="A712">
        <v>859</v>
      </c>
      <c r="B712" t="s">
        <v>1409</v>
      </c>
      <c r="C712" t="s">
        <v>1407</v>
      </c>
      <c r="D712" t="s">
        <v>126</v>
      </c>
      <c r="E712" s="4">
        <v>1</v>
      </c>
      <c r="F712" t="s">
        <v>101</v>
      </c>
      <c r="G712" t="s">
        <v>101</v>
      </c>
      <c r="H712" s="3">
        <v>46185</v>
      </c>
      <c r="I712" s="3">
        <v>46190</v>
      </c>
      <c r="J712" t="s">
        <v>571</v>
      </c>
      <c r="K712" s="3">
        <v>46190</v>
      </c>
      <c r="L712" s="3">
        <v>46185</v>
      </c>
      <c r="M712" s="3">
        <v>46190</v>
      </c>
      <c r="N712" s="3">
        <v>46190</v>
      </c>
      <c r="O712" t="s">
        <v>571</v>
      </c>
      <c r="P712" t="s">
        <v>55</v>
      </c>
      <c r="Q712">
        <v>858</v>
      </c>
      <c r="S712" t="s">
        <v>1058</v>
      </c>
      <c r="T712" t="s">
        <v>1109</v>
      </c>
      <c r="U712">
        <v>860</v>
      </c>
      <c r="V712" t="s">
        <v>61</v>
      </c>
      <c r="W712">
        <v>13.4</v>
      </c>
      <c r="X712" t="s">
        <v>57</v>
      </c>
      <c r="Z712" t="s">
        <v>1058</v>
      </c>
      <c r="AA712" t="s">
        <v>217</v>
      </c>
      <c r="AE712">
        <v>1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1</v>
      </c>
      <c r="AM712">
        <v>0</v>
      </c>
      <c r="AN712">
        <v>0</v>
      </c>
      <c r="AO712">
        <v>0</v>
      </c>
      <c r="AP712">
        <v>0</v>
      </c>
    </row>
    <row r="713" spans="1:42" x14ac:dyDescent="0.25">
      <c r="A713">
        <v>860</v>
      </c>
      <c r="B713" t="s">
        <v>1410</v>
      </c>
      <c r="C713" t="s">
        <v>1407</v>
      </c>
      <c r="D713" t="s">
        <v>133</v>
      </c>
      <c r="E713" s="4">
        <v>1</v>
      </c>
      <c r="F713" t="s">
        <v>127</v>
      </c>
      <c r="G713" t="s">
        <v>127</v>
      </c>
      <c r="H713" s="3">
        <v>46191</v>
      </c>
      <c r="I713" s="3">
        <v>46192</v>
      </c>
      <c r="J713" t="s">
        <v>480</v>
      </c>
      <c r="K713" s="3">
        <v>46192</v>
      </c>
      <c r="L713" s="3">
        <v>46191</v>
      </c>
      <c r="M713" s="3">
        <v>46192</v>
      </c>
      <c r="N713" s="3">
        <v>46192</v>
      </c>
      <c r="O713" t="s">
        <v>480</v>
      </c>
      <c r="P713" t="s">
        <v>55</v>
      </c>
      <c r="Q713">
        <v>859</v>
      </c>
      <c r="S713" t="s">
        <v>124</v>
      </c>
      <c r="T713" t="s">
        <v>1109</v>
      </c>
      <c r="V713" t="s">
        <v>61</v>
      </c>
      <c r="W713">
        <v>13.4</v>
      </c>
      <c r="X713" t="s">
        <v>57</v>
      </c>
      <c r="Z713" t="s">
        <v>124</v>
      </c>
      <c r="AA713" t="s">
        <v>217</v>
      </c>
      <c r="AE713">
        <v>1</v>
      </c>
      <c r="AF713">
        <v>0</v>
      </c>
      <c r="AG713">
        <v>0</v>
      </c>
      <c r="AH713">
        <v>0</v>
      </c>
      <c r="AI713">
        <v>1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0</v>
      </c>
      <c r="AP713">
        <v>0</v>
      </c>
    </row>
    <row r="714" spans="1:42" x14ac:dyDescent="0.25">
      <c r="A714">
        <v>861</v>
      </c>
      <c r="B714" t="s">
        <v>1411</v>
      </c>
      <c r="C714" t="s">
        <v>1109</v>
      </c>
      <c r="D714" t="s">
        <v>1412</v>
      </c>
      <c r="E714" s="4">
        <v>1</v>
      </c>
      <c r="F714" t="s">
        <v>365</v>
      </c>
      <c r="G714" t="s">
        <v>365</v>
      </c>
      <c r="H714" s="3">
        <v>46171</v>
      </c>
      <c r="I714" s="3">
        <v>46192</v>
      </c>
      <c r="J714" t="s">
        <v>189</v>
      </c>
      <c r="K714" s="3">
        <v>46192</v>
      </c>
      <c r="L714" s="3">
        <v>46171</v>
      </c>
      <c r="M714" s="3">
        <v>46192</v>
      </c>
      <c r="N714" s="3">
        <v>46192</v>
      </c>
      <c r="O714" t="s">
        <v>189</v>
      </c>
      <c r="P714" t="s">
        <v>55</v>
      </c>
      <c r="T714" t="s">
        <v>1109</v>
      </c>
      <c r="V714" t="s">
        <v>210</v>
      </c>
      <c r="W714">
        <v>33.119999999999997</v>
      </c>
      <c r="X714" t="s">
        <v>57</v>
      </c>
      <c r="AA714" t="s">
        <v>50</v>
      </c>
      <c r="AB714" t="s">
        <v>94</v>
      </c>
      <c r="AE714">
        <v>1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</row>
    <row r="715" spans="1:42" x14ac:dyDescent="0.25">
      <c r="A715">
        <v>862</v>
      </c>
      <c r="B715" t="s">
        <v>1413</v>
      </c>
      <c r="C715" t="s">
        <v>1414</v>
      </c>
      <c r="D715" t="s">
        <v>117</v>
      </c>
      <c r="E715" s="4">
        <v>1</v>
      </c>
      <c r="F715" t="s">
        <v>122</v>
      </c>
      <c r="G715" t="s">
        <v>122</v>
      </c>
      <c r="H715" s="3">
        <v>46171</v>
      </c>
      <c r="I715" s="3">
        <v>46175</v>
      </c>
      <c r="J715" t="s">
        <v>189</v>
      </c>
      <c r="K715" s="3">
        <v>46175</v>
      </c>
      <c r="L715" s="3">
        <v>46171</v>
      </c>
      <c r="M715" s="3">
        <v>46175</v>
      </c>
      <c r="N715" s="3">
        <v>46175</v>
      </c>
      <c r="O715" t="s">
        <v>189</v>
      </c>
      <c r="P715" t="s">
        <v>55</v>
      </c>
      <c r="S715" t="s">
        <v>1058</v>
      </c>
      <c r="T715" t="s">
        <v>1109</v>
      </c>
      <c r="U715">
        <v>863</v>
      </c>
      <c r="V715" t="s">
        <v>122</v>
      </c>
      <c r="W715">
        <v>13.4</v>
      </c>
      <c r="X715" t="s">
        <v>57</v>
      </c>
      <c r="Z715" t="s">
        <v>1058</v>
      </c>
      <c r="AA715" t="s">
        <v>462</v>
      </c>
      <c r="AE715">
        <v>1</v>
      </c>
      <c r="AF715">
        <v>1</v>
      </c>
      <c r="AG715">
        <v>1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1</v>
      </c>
    </row>
    <row r="716" spans="1:42" x14ac:dyDescent="0.25">
      <c r="A716">
        <v>863</v>
      </c>
      <c r="B716" t="s">
        <v>1415</v>
      </c>
      <c r="C716" t="s">
        <v>1414</v>
      </c>
      <c r="D716" t="s">
        <v>121</v>
      </c>
      <c r="E716" s="4">
        <v>1</v>
      </c>
      <c r="F716" t="s">
        <v>138</v>
      </c>
      <c r="G716" t="s">
        <v>138</v>
      </c>
      <c r="H716" s="3">
        <v>46176</v>
      </c>
      <c r="I716" s="3">
        <v>46184</v>
      </c>
      <c r="J716" t="s">
        <v>459</v>
      </c>
      <c r="K716" s="3">
        <v>46184</v>
      </c>
      <c r="L716" s="3">
        <v>46176</v>
      </c>
      <c r="M716" s="3">
        <v>46184</v>
      </c>
      <c r="N716" s="3">
        <v>46184</v>
      </c>
      <c r="O716" t="s">
        <v>459</v>
      </c>
      <c r="P716" t="s">
        <v>55</v>
      </c>
      <c r="Q716">
        <v>862</v>
      </c>
      <c r="S716" t="s">
        <v>124</v>
      </c>
      <c r="T716" t="s">
        <v>1109</v>
      </c>
      <c r="U716">
        <v>864</v>
      </c>
      <c r="V716" t="s">
        <v>122</v>
      </c>
      <c r="W716">
        <v>13.4</v>
      </c>
      <c r="X716" t="s">
        <v>57</v>
      </c>
      <c r="Z716" t="s">
        <v>124</v>
      </c>
      <c r="AA716" t="s">
        <v>217</v>
      </c>
      <c r="AE716">
        <v>1</v>
      </c>
      <c r="AF716">
        <v>0</v>
      </c>
      <c r="AG716">
        <v>0</v>
      </c>
      <c r="AH716">
        <v>0</v>
      </c>
      <c r="AI716">
        <v>0</v>
      </c>
      <c r="AJ716">
        <v>1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</row>
    <row r="717" spans="1:42" x14ac:dyDescent="0.25">
      <c r="A717">
        <v>864</v>
      </c>
      <c r="B717" t="s">
        <v>1416</v>
      </c>
      <c r="C717" t="s">
        <v>1414</v>
      </c>
      <c r="D717" t="s">
        <v>126</v>
      </c>
      <c r="E717" s="4">
        <v>1</v>
      </c>
      <c r="F717" t="s">
        <v>101</v>
      </c>
      <c r="G717" t="s">
        <v>101</v>
      </c>
      <c r="H717" s="3">
        <v>46185</v>
      </c>
      <c r="I717" s="3">
        <v>46190</v>
      </c>
      <c r="J717" t="s">
        <v>571</v>
      </c>
      <c r="K717" s="3">
        <v>46190</v>
      </c>
      <c r="L717" s="3">
        <v>46185</v>
      </c>
      <c r="M717" s="3">
        <v>46190</v>
      </c>
      <c r="N717" s="3">
        <v>46190</v>
      </c>
      <c r="O717" t="s">
        <v>571</v>
      </c>
      <c r="P717" t="s">
        <v>55</v>
      </c>
      <c r="Q717">
        <v>863</v>
      </c>
      <c r="S717" t="s">
        <v>1058</v>
      </c>
      <c r="T717" t="s">
        <v>1109</v>
      </c>
      <c r="U717">
        <v>865</v>
      </c>
      <c r="V717" t="s">
        <v>61</v>
      </c>
      <c r="W717">
        <v>13.4</v>
      </c>
      <c r="X717" t="s">
        <v>57</v>
      </c>
      <c r="Z717" t="s">
        <v>1058</v>
      </c>
      <c r="AA717" t="s">
        <v>217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1</v>
      </c>
      <c r="AM717">
        <v>0</v>
      </c>
      <c r="AN717">
        <v>0</v>
      </c>
      <c r="AO717">
        <v>0</v>
      </c>
      <c r="AP717">
        <v>0</v>
      </c>
    </row>
    <row r="718" spans="1:42" x14ac:dyDescent="0.25">
      <c r="A718">
        <v>865</v>
      </c>
      <c r="B718" t="s">
        <v>1417</v>
      </c>
      <c r="C718" t="s">
        <v>1414</v>
      </c>
      <c r="D718" t="s">
        <v>133</v>
      </c>
      <c r="E718" s="4">
        <v>1</v>
      </c>
      <c r="F718" t="s">
        <v>127</v>
      </c>
      <c r="G718" t="s">
        <v>127</v>
      </c>
      <c r="H718" s="3">
        <v>46191</v>
      </c>
      <c r="I718" s="3">
        <v>46192</v>
      </c>
      <c r="J718" t="s">
        <v>480</v>
      </c>
      <c r="K718" s="3">
        <v>46192</v>
      </c>
      <c r="L718" s="3">
        <v>46191</v>
      </c>
      <c r="M718" s="3">
        <v>46192</v>
      </c>
      <c r="N718" s="3">
        <v>46192</v>
      </c>
      <c r="O718" t="s">
        <v>480</v>
      </c>
      <c r="P718" t="s">
        <v>55</v>
      </c>
      <c r="Q718">
        <v>864</v>
      </c>
      <c r="S718" t="s">
        <v>124</v>
      </c>
      <c r="T718" t="s">
        <v>1109</v>
      </c>
      <c r="V718" t="s">
        <v>61</v>
      </c>
      <c r="W718">
        <v>13.4</v>
      </c>
      <c r="X718" t="s">
        <v>57</v>
      </c>
      <c r="Z718" t="s">
        <v>124</v>
      </c>
      <c r="AA718" t="s">
        <v>217</v>
      </c>
      <c r="AE718">
        <v>1</v>
      </c>
      <c r="AF718">
        <v>0</v>
      </c>
      <c r="AG718">
        <v>0</v>
      </c>
      <c r="AH718">
        <v>0</v>
      </c>
      <c r="AI718">
        <v>1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0</v>
      </c>
      <c r="AP718">
        <v>0</v>
      </c>
    </row>
    <row r="719" spans="1:42" x14ac:dyDescent="0.25">
      <c r="A719">
        <v>866</v>
      </c>
      <c r="B719" t="s">
        <v>1418</v>
      </c>
      <c r="C719" t="s">
        <v>1109</v>
      </c>
      <c r="D719" t="s">
        <v>1419</v>
      </c>
      <c r="E719" s="4">
        <v>1</v>
      </c>
      <c r="F719" t="s">
        <v>365</v>
      </c>
      <c r="G719" t="s">
        <v>365</v>
      </c>
      <c r="H719" s="3">
        <v>46171</v>
      </c>
      <c r="I719" s="3">
        <v>46192</v>
      </c>
      <c r="J719" t="s">
        <v>189</v>
      </c>
      <c r="K719" s="3">
        <v>46192</v>
      </c>
      <c r="L719" s="3">
        <v>46171</v>
      </c>
      <c r="M719" s="3">
        <v>46192</v>
      </c>
      <c r="N719" s="3">
        <v>46192</v>
      </c>
      <c r="O719" t="s">
        <v>189</v>
      </c>
      <c r="P719" t="s">
        <v>55</v>
      </c>
      <c r="T719" t="s">
        <v>1109</v>
      </c>
      <c r="V719" t="s">
        <v>210</v>
      </c>
      <c r="W719">
        <v>33.119999999999997</v>
      </c>
      <c r="X719" t="s">
        <v>57</v>
      </c>
      <c r="AA719" t="s">
        <v>50</v>
      </c>
      <c r="AB719" t="s">
        <v>94</v>
      </c>
      <c r="AE719">
        <v>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</row>
    <row r="720" spans="1:42" x14ac:dyDescent="0.25">
      <c r="A720">
        <v>867</v>
      </c>
      <c r="B720" t="s">
        <v>1420</v>
      </c>
      <c r="C720" t="s">
        <v>1421</v>
      </c>
      <c r="D720" t="s">
        <v>117</v>
      </c>
      <c r="E720" s="4">
        <v>1</v>
      </c>
      <c r="F720" t="s">
        <v>122</v>
      </c>
      <c r="G720" t="s">
        <v>122</v>
      </c>
      <c r="H720" s="3">
        <v>46171</v>
      </c>
      <c r="I720" s="3">
        <v>46175</v>
      </c>
      <c r="J720" t="s">
        <v>189</v>
      </c>
      <c r="K720" s="3">
        <v>46175</v>
      </c>
      <c r="L720" s="3">
        <v>46171</v>
      </c>
      <c r="M720" s="3">
        <v>46175</v>
      </c>
      <c r="N720" s="3">
        <v>46175</v>
      </c>
      <c r="O720" t="s">
        <v>189</v>
      </c>
      <c r="P720" t="s">
        <v>55</v>
      </c>
      <c r="S720" t="s">
        <v>1058</v>
      </c>
      <c r="T720" t="s">
        <v>1109</v>
      </c>
      <c r="U720">
        <v>868</v>
      </c>
      <c r="V720" t="s">
        <v>122</v>
      </c>
      <c r="W720">
        <v>13.4</v>
      </c>
      <c r="X720" t="s">
        <v>57</v>
      </c>
      <c r="Z720" t="s">
        <v>1058</v>
      </c>
      <c r="AA720" t="s">
        <v>462</v>
      </c>
      <c r="AE720">
        <v>1</v>
      </c>
      <c r="AF720">
        <v>1</v>
      </c>
      <c r="AG720">
        <v>1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1</v>
      </c>
    </row>
    <row r="721" spans="1:42" x14ac:dyDescent="0.25">
      <c r="A721">
        <v>868</v>
      </c>
      <c r="B721" t="s">
        <v>1422</v>
      </c>
      <c r="C721" t="s">
        <v>1421</v>
      </c>
      <c r="D721" t="s">
        <v>121</v>
      </c>
      <c r="E721" s="4">
        <v>1</v>
      </c>
      <c r="F721" t="s">
        <v>138</v>
      </c>
      <c r="G721" t="s">
        <v>138</v>
      </c>
      <c r="H721" s="3">
        <v>46176</v>
      </c>
      <c r="I721" s="3">
        <v>46184</v>
      </c>
      <c r="J721" t="s">
        <v>459</v>
      </c>
      <c r="K721" s="3">
        <v>46184</v>
      </c>
      <c r="L721" s="3">
        <v>46176</v>
      </c>
      <c r="M721" s="3">
        <v>46184</v>
      </c>
      <c r="N721" s="3">
        <v>46184</v>
      </c>
      <c r="O721" t="s">
        <v>459</v>
      </c>
      <c r="P721" t="s">
        <v>55</v>
      </c>
      <c r="Q721">
        <v>867</v>
      </c>
      <c r="S721" t="s">
        <v>124</v>
      </c>
      <c r="T721" t="s">
        <v>1109</v>
      </c>
      <c r="U721">
        <v>869</v>
      </c>
      <c r="V721" t="s">
        <v>122</v>
      </c>
      <c r="W721">
        <v>13.4</v>
      </c>
      <c r="X721" t="s">
        <v>57</v>
      </c>
      <c r="Z721" t="s">
        <v>124</v>
      </c>
      <c r="AA721" t="s">
        <v>217</v>
      </c>
      <c r="AE721">
        <v>1</v>
      </c>
      <c r="AF721">
        <v>0</v>
      </c>
      <c r="AG721">
        <v>0</v>
      </c>
      <c r="AH721">
        <v>0</v>
      </c>
      <c r="AI721">
        <v>0</v>
      </c>
      <c r="AJ721">
        <v>1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</row>
    <row r="722" spans="1:42" x14ac:dyDescent="0.25">
      <c r="A722">
        <v>869</v>
      </c>
      <c r="B722" t="s">
        <v>1423</v>
      </c>
      <c r="C722" t="s">
        <v>1421</v>
      </c>
      <c r="D722" t="s">
        <v>126</v>
      </c>
      <c r="E722" s="4">
        <v>1</v>
      </c>
      <c r="F722" t="s">
        <v>101</v>
      </c>
      <c r="G722" t="s">
        <v>101</v>
      </c>
      <c r="H722" s="3">
        <v>46185</v>
      </c>
      <c r="I722" s="3">
        <v>46190</v>
      </c>
      <c r="J722" t="s">
        <v>571</v>
      </c>
      <c r="K722" s="3">
        <v>46190</v>
      </c>
      <c r="L722" s="3">
        <v>46185</v>
      </c>
      <c r="M722" s="3">
        <v>46190</v>
      </c>
      <c r="N722" s="3">
        <v>46190</v>
      </c>
      <c r="O722" t="s">
        <v>571</v>
      </c>
      <c r="P722" t="s">
        <v>55</v>
      </c>
      <c r="Q722">
        <v>868</v>
      </c>
      <c r="S722" t="s">
        <v>1058</v>
      </c>
      <c r="T722" t="s">
        <v>1109</v>
      </c>
      <c r="U722">
        <v>870</v>
      </c>
      <c r="V722" t="s">
        <v>61</v>
      </c>
      <c r="W722">
        <v>13.4</v>
      </c>
      <c r="X722" t="s">
        <v>57</v>
      </c>
      <c r="Z722" t="s">
        <v>1058</v>
      </c>
      <c r="AA722" t="s">
        <v>217</v>
      </c>
      <c r="AE722">
        <v>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1</v>
      </c>
      <c r="AM722">
        <v>0</v>
      </c>
      <c r="AN722">
        <v>0</v>
      </c>
      <c r="AO722">
        <v>0</v>
      </c>
      <c r="AP722">
        <v>0</v>
      </c>
    </row>
    <row r="723" spans="1:42" x14ac:dyDescent="0.25">
      <c r="A723">
        <v>870</v>
      </c>
      <c r="B723" t="s">
        <v>1424</v>
      </c>
      <c r="C723" t="s">
        <v>1421</v>
      </c>
      <c r="D723" t="s">
        <v>133</v>
      </c>
      <c r="E723" s="4">
        <v>1</v>
      </c>
      <c r="F723" t="s">
        <v>127</v>
      </c>
      <c r="G723" t="s">
        <v>127</v>
      </c>
      <c r="H723" s="3">
        <v>46191</v>
      </c>
      <c r="I723" s="3">
        <v>46192</v>
      </c>
      <c r="J723" t="s">
        <v>480</v>
      </c>
      <c r="K723" s="3">
        <v>46192</v>
      </c>
      <c r="L723" s="3">
        <v>46191</v>
      </c>
      <c r="M723" s="3">
        <v>46192</v>
      </c>
      <c r="N723" s="3">
        <v>46192</v>
      </c>
      <c r="O723" t="s">
        <v>480</v>
      </c>
      <c r="P723" t="s">
        <v>55</v>
      </c>
      <c r="Q723">
        <v>869</v>
      </c>
      <c r="S723" t="s">
        <v>124</v>
      </c>
      <c r="T723" t="s">
        <v>1109</v>
      </c>
      <c r="V723" t="s">
        <v>61</v>
      </c>
      <c r="W723">
        <v>13.4</v>
      </c>
      <c r="X723" t="s">
        <v>57</v>
      </c>
      <c r="Z723" t="s">
        <v>124</v>
      </c>
      <c r="AA723" t="s">
        <v>217</v>
      </c>
      <c r="AE723">
        <v>1</v>
      </c>
      <c r="AF723">
        <v>0</v>
      </c>
      <c r="AG723">
        <v>0</v>
      </c>
      <c r="AH723">
        <v>0</v>
      </c>
      <c r="AI723">
        <v>1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0</v>
      </c>
      <c r="AP723">
        <v>0</v>
      </c>
    </row>
    <row r="724" spans="1:42" x14ac:dyDescent="0.25">
      <c r="A724">
        <v>871</v>
      </c>
      <c r="B724" t="s">
        <v>1425</v>
      </c>
      <c r="C724" t="s">
        <v>52</v>
      </c>
      <c r="D724" t="s">
        <v>1426</v>
      </c>
      <c r="E724" s="4">
        <v>1</v>
      </c>
      <c r="F724" t="s">
        <v>1427</v>
      </c>
      <c r="G724" t="s">
        <v>1427</v>
      </c>
      <c r="H724" s="3">
        <v>46104</v>
      </c>
      <c r="I724" s="3">
        <v>46202</v>
      </c>
      <c r="J724" t="s">
        <v>123</v>
      </c>
      <c r="K724" s="3">
        <v>46199</v>
      </c>
      <c r="L724" s="3">
        <v>46104</v>
      </c>
      <c r="M724" s="3">
        <v>46202</v>
      </c>
      <c r="N724" s="3">
        <v>46202</v>
      </c>
      <c r="O724" t="s">
        <v>123</v>
      </c>
      <c r="P724" t="s">
        <v>55</v>
      </c>
      <c r="V724" t="s">
        <v>423</v>
      </c>
      <c r="W724">
        <v>432.36</v>
      </c>
      <c r="X724" t="s">
        <v>57</v>
      </c>
      <c r="AA724" t="s">
        <v>50</v>
      </c>
      <c r="AE724">
        <v>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</row>
    <row r="725" spans="1:42" x14ac:dyDescent="0.25">
      <c r="A725">
        <v>872</v>
      </c>
      <c r="B725" t="s">
        <v>1428</v>
      </c>
      <c r="C725" t="s">
        <v>1429</v>
      </c>
      <c r="D725" t="s">
        <v>1430</v>
      </c>
      <c r="E725" s="4">
        <v>1</v>
      </c>
      <c r="F725" t="s">
        <v>101</v>
      </c>
      <c r="G725" t="s">
        <v>101</v>
      </c>
      <c r="H725" s="3">
        <v>46104</v>
      </c>
      <c r="I725" s="3">
        <v>46107</v>
      </c>
      <c r="J725" t="s">
        <v>123</v>
      </c>
      <c r="K725" s="3">
        <v>46107</v>
      </c>
      <c r="L725" s="3">
        <v>46104</v>
      </c>
      <c r="M725" s="3">
        <v>46107</v>
      </c>
      <c r="N725" s="3">
        <v>46107</v>
      </c>
      <c r="O725" t="s">
        <v>123</v>
      </c>
      <c r="P725" t="s">
        <v>55</v>
      </c>
      <c r="T725" t="s">
        <v>1429</v>
      </c>
      <c r="V725" t="s">
        <v>101</v>
      </c>
      <c r="W725">
        <v>14.24</v>
      </c>
      <c r="X725" t="s">
        <v>57</v>
      </c>
      <c r="AA725" t="s">
        <v>50</v>
      </c>
      <c r="AE725">
        <v>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</row>
    <row r="726" spans="1:42" x14ac:dyDescent="0.25">
      <c r="A726">
        <v>873</v>
      </c>
      <c r="B726" t="s">
        <v>1431</v>
      </c>
      <c r="C726" t="s">
        <v>1432</v>
      </c>
      <c r="D726" t="s">
        <v>117</v>
      </c>
      <c r="E726" s="4">
        <v>1</v>
      </c>
      <c r="F726" t="s">
        <v>61</v>
      </c>
      <c r="G726" t="s">
        <v>61</v>
      </c>
      <c r="H726" s="3">
        <v>46104</v>
      </c>
      <c r="I726" s="3">
        <v>46104</v>
      </c>
      <c r="J726" t="s">
        <v>123</v>
      </c>
      <c r="K726" s="3">
        <v>46104</v>
      </c>
      <c r="L726" s="3">
        <v>46104</v>
      </c>
      <c r="M726" s="3">
        <v>46104</v>
      </c>
      <c r="N726" s="3">
        <v>46104</v>
      </c>
      <c r="O726" t="s">
        <v>123</v>
      </c>
      <c r="P726" t="s">
        <v>55</v>
      </c>
      <c r="Q726">
        <v>12</v>
      </c>
      <c r="S726" t="s">
        <v>1433</v>
      </c>
      <c r="T726" t="s">
        <v>1429</v>
      </c>
      <c r="U726">
        <v>874</v>
      </c>
      <c r="V726" t="s">
        <v>61</v>
      </c>
      <c r="W726">
        <v>13.4</v>
      </c>
      <c r="X726" t="s">
        <v>57</v>
      </c>
      <c r="Z726" t="s">
        <v>1433</v>
      </c>
      <c r="AA726" t="s">
        <v>64</v>
      </c>
      <c r="AE726">
        <v>1</v>
      </c>
      <c r="AF726">
        <v>1</v>
      </c>
      <c r="AG726">
        <v>1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1</v>
      </c>
    </row>
    <row r="727" spans="1:42" x14ac:dyDescent="0.25">
      <c r="A727">
        <v>874</v>
      </c>
      <c r="B727" t="s">
        <v>1434</v>
      </c>
      <c r="C727" t="s">
        <v>1432</v>
      </c>
      <c r="D727" t="s">
        <v>121</v>
      </c>
      <c r="E727" s="4">
        <v>1</v>
      </c>
      <c r="F727" t="s">
        <v>61</v>
      </c>
      <c r="G727" t="s">
        <v>61</v>
      </c>
      <c r="H727" s="3">
        <v>46105</v>
      </c>
      <c r="I727" s="3">
        <v>46105</v>
      </c>
      <c r="J727" t="s">
        <v>272</v>
      </c>
      <c r="K727" s="3">
        <v>46105</v>
      </c>
      <c r="L727" s="3">
        <v>46105</v>
      </c>
      <c r="M727" s="3">
        <v>46105</v>
      </c>
      <c r="N727" s="3">
        <v>46105</v>
      </c>
      <c r="O727" t="s">
        <v>272</v>
      </c>
      <c r="P727" t="s">
        <v>55</v>
      </c>
      <c r="Q727">
        <v>873</v>
      </c>
      <c r="S727" t="s">
        <v>124</v>
      </c>
      <c r="T727" t="s">
        <v>1429</v>
      </c>
      <c r="U727">
        <v>875</v>
      </c>
      <c r="V727" t="s">
        <v>61</v>
      </c>
      <c r="W727">
        <v>13.4</v>
      </c>
      <c r="X727" t="s">
        <v>57</v>
      </c>
      <c r="Z727" t="s">
        <v>124</v>
      </c>
      <c r="AA727" t="s">
        <v>64</v>
      </c>
      <c r="AE727">
        <v>1</v>
      </c>
      <c r="AF727">
        <v>0</v>
      </c>
      <c r="AG727">
        <v>0</v>
      </c>
      <c r="AH727">
        <v>0</v>
      </c>
      <c r="AI727">
        <v>0</v>
      </c>
      <c r="AJ727">
        <v>1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</row>
    <row r="728" spans="1:42" x14ac:dyDescent="0.25">
      <c r="A728">
        <v>875</v>
      </c>
      <c r="B728" t="s">
        <v>1435</v>
      </c>
      <c r="C728" t="s">
        <v>1432</v>
      </c>
      <c r="D728" t="s">
        <v>126</v>
      </c>
      <c r="E728" s="4">
        <v>1</v>
      </c>
      <c r="F728" t="s">
        <v>61</v>
      </c>
      <c r="G728" t="s">
        <v>61</v>
      </c>
      <c r="H728" s="3">
        <v>46106</v>
      </c>
      <c r="I728" s="3">
        <v>46106</v>
      </c>
      <c r="J728" t="s">
        <v>431</v>
      </c>
      <c r="K728" s="3">
        <v>46106</v>
      </c>
      <c r="L728" s="3">
        <v>46106</v>
      </c>
      <c r="M728" s="3">
        <v>46106</v>
      </c>
      <c r="N728" s="3">
        <v>46106</v>
      </c>
      <c r="O728" t="s">
        <v>431</v>
      </c>
      <c r="P728" t="s">
        <v>55</v>
      </c>
      <c r="Q728">
        <v>874</v>
      </c>
      <c r="S728" t="s">
        <v>1433</v>
      </c>
      <c r="T728" t="s">
        <v>1429</v>
      </c>
      <c r="U728">
        <v>876</v>
      </c>
      <c r="V728" t="s">
        <v>61</v>
      </c>
      <c r="W728">
        <v>13.4</v>
      </c>
      <c r="X728" t="s">
        <v>57</v>
      </c>
      <c r="Z728" t="s">
        <v>1433</v>
      </c>
      <c r="AA728" t="s">
        <v>64</v>
      </c>
      <c r="AE728">
        <v>1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1</v>
      </c>
      <c r="AM728">
        <v>0</v>
      </c>
      <c r="AN728">
        <v>0</v>
      </c>
      <c r="AO728">
        <v>0</v>
      </c>
      <c r="AP728">
        <v>0</v>
      </c>
    </row>
    <row r="729" spans="1:42" x14ac:dyDescent="0.25">
      <c r="A729">
        <v>876</v>
      </c>
      <c r="B729" t="s">
        <v>1436</v>
      </c>
      <c r="C729" t="s">
        <v>1432</v>
      </c>
      <c r="D729" t="s">
        <v>133</v>
      </c>
      <c r="E729" s="4">
        <v>1</v>
      </c>
      <c r="F729" t="s">
        <v>61</v>
      </c>
      <c r="G729" t="s">
        <v>61</v>
      </c>
      <c r="H729" s="3">
        <v>46107</v>
      </c>
      <c r="I729" s="3">
        <v>46107</v>
      </c>
      <c r="J729" t="s">
        <v>129</v>
      </c>
      <c r="K729" s="3">
        <v>46107</v>
      </c>
      <c r="L729" s="3">
        <v>46107</v>
      </c>
      <c r="M729" s="3">
        <v>46107</v>
      </c>
      <c r="N729" s="3">
        <v>46107</v>
      </c>
      <c r="O729" t="s">
        <v>129</v>
      </c>
      <c r="P729" t="s">
        <v>55</v>
      </c>
      <c r="Q729">
        <v>875</v>
      </c>
      <c r="S729" t="s">
        <v>124</v>
      </c>
      <c r="T729" t="s">
        <v>1429</v>
      </c>
      <c r="V729" t="s">
        <v>61</v>
      </c>
      <c r="W729">
        <v>13.4</v>
      </c>
      <c r="X729" t="s">
        <v>57</v>
      </c>
      <c r="Z729" t="s">
        <v>124</v>
      </c>
      <c r="AA729" t="s">
        <v>64</v>
      </c>
      <c r="AE729">
        <v>1</v>
      </c>
      <c r="AF729">
        <v>0</v>
      </c>
      <c r="AG729">
        <v>0</v>
      </c>
      <c r="AH729">
        <v>0</v>
      </c>
      <c r="AI729">
        <v>1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0</v>
      </c>
      <c r="AP729">
        <v>0</v>
      </c>
    </row>
    <row r="730" spans="1:42" x14ac:dyDescent="0.25">
      <c r="A730">
        <v>877</v>
      </c>
      <c r="B730" t="s">
        <v>1437</v>
      </c>
      <c r="C730" t="s">
        <v>1429</v>
      </c>
      <c r="D730" t="s">
        <v>1438</v>
      </c>
      <c r="E730" s="4">
        <v>1</v>
      </c>
      <c r="F730" t="s">
        <v>819</v>
      </c>
      <c r="G730" t="s">
        <v>819</v>
      </c>
      <c r="H730" s="3">
        <v>46120</v>
      </c>
      <c r="I730" s="3">
        <v>46162</v>
      </c>
      <c r="J730" t="s">
        <v>183</v>
      </c>
      <c r="K730" s="3">
        <v>46183</v>
      </c>
      <c r="L730" s="3">
        <v>46147</v>
      </c>
      <c r="M730" s="3">
        <v>46162</v>
      </c>
      <c r="N730" s="3">
        <v>46162</v>
      </c>
      <c r="O730" t="s">
        <v>685</v>
      </c>
      <c r="P730" t="s">
        <v>55</v>
      </c>
      <c r="T730" t="s">
        <v>1429</v>
      </c>
      <c r="V730" t="s">
        <v>976</v>
      </c>
      <c r="X730" t="s">
        <v>57</v>
      </c>
      <c r="AA730" t="s">
        <v>50</v>
      </c>
      <c r="AB730" t="s">
        <v>94</v>
      </c>
      <c r="AE730">
        <v>1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</row>
    <row r="731" spans="1:42" x14ac:dyDescent="0.25">
      <c r="A731">
        <v>878</v>
      </c>
      <c r="B731" t="s">
        <v>1439</v>
      </c>
      <c r="C731" t="s">
        <v>1440</v>
      </c>
      <c r="D731" t="s">
        <v>1441</v>
      </c>
      <c r="E731" s="4">
        <v>1</v>
      </c>
      <c r="F731" t="s">
        <v>295</v>
      </c>
      <c r="G731" t="s">
        <v>295</v>
      </c>
      <c r="H731" s="3">
        <v>46120</v>
      </c>
      <c r="I731" s="3">
        <v>46146</v>
      </c>
      <c r="J731" t="s">
        <v>183</v>
      </c>
      <c r="K731" s="3">
        <v>46167</v>
      </c>
      <c r="L731" s="3">
        <v>46147</v>
      </c>
      <c r="M731" s="3">
        <v>46146</v>
      </c>
      <c r="N731" s="3">
        <v>46146</v>
      </c>
      <c r="O731" t="s">
        <v>685</v>
      </c>
      <c r="P731" t="s">
        <v>55</v>
      </c>
      <c r="T731" t="s">
        <v>1429</v>
      </c>
      <c r="V731" t="s">
        <v>330</v>
      </c>
      <c r="X731" t="s">
        <v>57</v>
      </c>
      <c r="AA731" t="s">
        <v>50</v>
      </c>
      <c r="AB731" t="s">
        <v>94</v>
      </c>
      <c r="AE731">
        <v>1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</row>
    <row r="732" spans="1:42" x14ac:dyDescent="0.25">
      <c r="A732">
        <v>879</v>
      </c>
      <c r="B732" t="s">
        <v>1442</v>
      </c>
      <c r="C732" t="s">
        <v>1443</v>
      </c>
      <c r="D732" t="s">
        <v>117</v>
      </c>
      <c r="E732" s="4">
        <v>1</v>
      </c>
      <c r="F732" t="s">
        <v>151</v>
      </c>
      <c r="G732" t="s">
        <v>151</v>
      </c>
      <c r="H732" s="3">
        <v>46120</v>
      </c>
      <c r="I732" s="3">
        <v>46135</v>
      </c>
      <c r="J732" t="s">
        <v>183</v>
      </c>
      <c r="K732" s="3">
        <v>46160</v>
      </c>
      <c r="L732" s="3">
        <v>46147</v>
      </c>
      <c r="M732" s="3">
        <v>46135</v>
      </c>
      <c r="N732" s="3">
        <v>46135</v>
      </c>
      <c r="O732" t="s">
        <v>685</v>
      </c>
      <c r="P732" t="s">
        <v>55</v>
      </c>
      <c r="Q732">
        <v>219</v>
      </c>
      <c r="S732" t="s">
        <v>1444</v>
      </c>
      <c r="T732" t="s">
        <v>1429</v>
      </c>
      <c r="U732" t="s">
        <v>1445</v>
      </c>
      <c r="V732" t="s">
        <v>151</v>
      </c>
      <c r="W732">
        <v>13.4</v>
      </c>
      <c r="X732" t="s">
        <v>57</v>
      </c>
      <c r="Z732" t="s">
        <v>1444</v>
      </c>
      <c r="AA732" t="s">
        <v>401</v>
      </c>
      <c r="AE732">
        <v>1</v>
      </c>
      <c r="AF732">
        <v>1</v>
      </c>
      <c r="AG732">
        <v>1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1</v>
      </c>
    </row>
    <row r="733" spans="1:42" x14ac:dyDescent="0.25">
      <c r="A733">
        <v>880</v>
      </c>
      <c r="B733" t="s">
        <v>1446</v>
      </c>
      <c r="C733" t="s">
        <v>1443</v>
      </c>
      <c r="D733" t="s">
        <v>121</v>
      </c>
      <c r="E733" s="4">
        <v>1</v>
      </c>
      <c r="F733" t="s">
        <v>122</v>
      </c>
      <c r="G733" t="s">
        <v>122</v>
      </c>
      <c r="H733" s="3">
        <v>46136</v>
      </c>
      <c r="I733" s="3">
        <v>46140</v>
      </c>
      <c r="J733" t="s">
        <v>90</v>
      </c>
      <c r="K733" s="3">
        <v>46163</v>
      </c>
      <c r="L733" s="3">
        <v>46161</v>
      </c>
      <c r="M733" s="3">
        <v>46140</v>
      </c>
      <c r="N733" s="3">
        <v>46140</v>
      </c>
      <c r="O733" t="s">
        <v>67</v>
      </c>
      <c r="P733" t="s">
        <v>55</v>
      </c>
      <c r="Q733">
        <v>879</v>
      </c>
      <c r="S733" t="s">
        <v>124</v>
      </c>
      <c r="T733" t="s">
        <v>1429</v>
      </c>
      <c r="U733">
        <v>881</v>
      </c>
      <c r="V733" t="s">
        <v>122</v>
      </c>
      <c r="W733">
        <v>13.4</v>
      </c>
      <c r="X733" t="s">
        <v>57</v>
      </c>
      <c r="Z733" t="s">
        <v>124</v>
      </c>
      <c r="AA733" t="s">
        <v>198</v>
      </c>
      <c r="AE733">
        <v>1</v>
      </c>
      <c r="AF733">
        <v>0</v>
      </c>
      <c r="AG733">
        <v>0</v>
      </c>
      <c r="AH733">
        <v>0</v>
      </c>
      <c r="AI733">
        <v>0</v>
      </c>
      <c r="AJ733">
        <v>1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</row>
    <row r="734" spans="1:42" x14ac:dyDescent="0.25">
      <c r="A734">
        <v>881</v>
      </c>
      <c r="B734" t="s">
        <v>1447</v>
      </c>
      <c r="C734" t="s">
        <v>1443</v>
      </c>
      <c r="D734" t="s">
        <v>126</v>
      </c>
      <c r="E734" s="4">
        <v>1</v>
      </c>
      <c r="F734" t="s">
        <v>61</v>
      </c>
      <c r="G734" t="s">
        <v>61</v>
      </c>
      <c r="H734" s="3">
        <v>46141</v>
      </c>
      <c r="I734" s="3">
        <v>46141</v>
      </c>
      <c r="J734" t="s">
        <v>471</v>
      </c>
      <c r="K734" s="3">
        <v>46164</v>
      </c>
      <c r="L734" s="3">
        <v>46164</v>
      </c>
      <c r="M734" s="3">
        <v>46141</v>
      </c>
      <c r="N734" s="3">
        <v>46141</v>
      </c>
      <c r="O734" t="s">
        <v>415</v>
      </c>
      <c r="P734" t="s">
        <v>55</v>
      </c>
      <c r="Q734">
        <v>880</v>
      </c>
      <c r="S734" t="s">
        <v>1444</v>
      </c>
      <c r="T734" t="s">
        <v>1429</v>
      </c>
      <c r="U734">
        <v>882</v>
      </c>
      <c r="V734" t="s">
        <v>61</v>
      </c>
      <c r="W734">
        <v>13.4</v>
      </c>
      <c r="X734" t="s">
        <v>57</v>
      </c>
      <c r="Z734" t="s">
        <v>1444</v>
      </c>
      <c r="AA734" t="s">
        <v>198</v>
      </c>
      <c r="AE734">
        <v>1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1</v>
      </c>
      <c r="AM734">
        <v>0</v>
      </c>
      <c r="AN734">
        <v>0</v>
      </c>
      <c r="AO734">
        <v>0</v>
      </c>
      <c r="AP734">
        <v>0</v>
      </c>
    </row>
    <row r="735" spans="1:42" x14ac:dyDescent="0.25">
      <c r="A735">
        <v>882</v>
      </c>
      <c r="B735" t="s">
        <v>1448</v>
      </c>
      <c r="C735" t="s">
        <v>1443</v>
      </c>
      <c r="D735" t="s">
        <v>133</v>
      </c>
      <c r="E735" s="4">
        <v>1</v>
      </c>
      <c r="F735" t="s">
        <v>127</v>
      </c>
      <c r="G735" t="s">
        <v>127</v>
      </c>
      <c r="H735" s="3">
        <v>46142</v>
      </c>
      <c r="I735" s="3">
        <v>46146</v>
      </c>
      <c r="J735" t="s">
        <v>74</v>
      </c>
      <c r="K735" s="3">
        <v>46167</v>
      </c>
      <c r="L735" s="3">
        <v>46167</v>
      </c>
      <c r="M735" s="3">
        <v>46146</v>
      </c>
      <c r="N735" s="3">
        <v>46146</v>
      </c>
      <c r="O735" t="s">
        <v>527</v>
      </c>
      <c r="P735" t="s">
        <v>55</v>
      </c>
      <c r="Q735">
        <v>881</v>
      </c>
      <c r="S735" t="s">
        <v>124</v>
      </c>
      <c r="T735" t="s">
        <v>1429</v>
      </c>
      <c r="U735">
        <v>889</v>
      </c>
      <c r="V735" t="s">
        <v>61</v>
      </c>
      <c r="W735">
        <v>13.4</v>
      </c>
      <c r="X735" t="s">
        <v>57</v>
      </c>
      <c r="Z735" t="s">
        <v>124</v>
      </c>
      <c r="AA735" t="s">
        <v>77</v>
      </c>
      <c r="AE735">
        <v>1</v>
      </c>
      <c r="AF735">
        <v>0</v>
      </c>
      <c r="AG735">
        <v>0</v>
      </c>
      <c r="AH735">
        <v>0</v>
      </c>
      <c r="AI735">
        <v>1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0</v>
      </c>
      <c r="AP735">
        <v>0</v>
      </c>
    </row>
    <row r="736" spans="1:42" x14ac:dyDescent="0.25">
      <c r="A736">
        <v>883</v>
      </c>
      <c r="B736" t="s">
        <v>1449</v>
      </c>
      <c r="C736" t="s">
        <v>1440</v>
      </c>
      <c r="D736" t="s">
        <v>1450</v>
      </c>
      <c r="E736" s="4">
        <v>1</v>
      </c>
      <c r="F736" t="s">
        <v>1038</v>
      </c>
      <c r="G736" t="s">
        <v>1038</v>
      </c>
      <c r="H736" s="3">
        <v>46142</v>
      </c>
      <c r="I736" s="3">
        <v>46162</v>
      </c>
      <c r="J736" t="s">
        <v>90</v>
      </c>
      <c r="K736" s="3">
        <v>46183</v>
      </c>
      <c r="L736" s="3">
        <v>46161</v>
      </c>
      <c r="M736" s="3">
        <v>46162</v>
      </c>
      <c r="N736" s="3">
        <v>46162</v>
      </c>
      <c r="O736" t="s">
        <v>527</v>
      </c>
      <c r="P736" t="s">
        <v>55</v>
      </c>
      <c r="T736" t="s">
        <v>1429</v>
      </c>
      <c r="V736" t="s">
        <v>330</v>
      </c>
      <c r="X736" t="s">
        <v>57</v>
      </c>
      <c r="AA736" t="s">
        <v>50</v>
      </c>
      <c r="AB736" t="s">
        <v>94</v>
      </c>
      <c r="AE736">
        <v>1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</row>
    <row r="737" spans="1:42" x14ac:dyDescent="0.25">
      <c r="A737">
        <v>884</v>
      </c>
      <c r="B737" t="s">
        <v>1451</v>
      </c>
      <c r="C737" t="s">
        <v>1452</v>
      </c>
      <c r="D737" t="s">
        <v>117</v>
      </c>
      <c r="E737" s="4">
        <v>1</v>
      </c>
      <c r="F737" t="s">
        <v>63</v>
      </c>
      <c r="G737" t="s">
        <v>63</v>
      </c>
      <c r="H737" s="3">
        <v>46142</v>
      </c>
      <c r="I737" s="3">
        <v>46142</v>
      </c>
      <c r="J737" t="s">
        <v>90</v>
      </c>
      <c r="K737" s="3">
        <v>46174</v>
      </c>
      <c r="L737" s="3">
        <v>46161</v>
      </c>
      <c r="M737" s="3">
        <v>46142</v>
      </c>
      <c r="N737" s="3">
        <v>46142</v>
      </c>
      <c r="O737" t="s">
        <v>527</v>
      </c>
      <c r="P737" t="s">
        <v>55</v>
      </c>
      <c r="Q737">
        <v>879</v>
      </c>
      <c r="S737" t="s">
        <v>1433</v>
      </c>
      <c r="T737" t="s">
        <v>1429</v>
      </c>
      <c r="U737">
        <v>885</v>
      </c>
      <c r="V737" t="s">
        <v>151</v>
      </c>
      <c r="W737">
        <v>13.4</v>
      </c>
      <c r="X737" t="s">
        <v>57</v>
      </c>
      <c r="Z737" t="s">
        <v>1433</v>
      </c>
      <c r="AA737" t="s">
        <v>198</v>
      </c>
      <c r="AE737">
        <v>1</v>
      </c>
      <c r="AF737">
        <v>1</v>
      </c>
      <c r="AG737">
        <v>1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1</v>
      </c>
    </row>
    <row r="738" spans="1:42" x14ac:dyDescent="0.25">
      <c r="A738">
        <v>885</v>
      </c>
      <c r="B738" t="s">
        <v>1453</v>
      </c>
      <c r="C738" t="s">
        <v>1452</v>
      </c>
      <c r="D738" t="s">
        <v>121</v>
      </c>
      <c r="E738" s="4">
        <v>1</v>
      </c>
      <c r="F738" t="s">
        <v>63</v>
      </c>
      <c r="G738" t="s">
        <v>63</v>
      </c>
      <c r="H738" s="3">
        <v>46142</v>
      </c>
      <c r="I738" s="3">
        <v>46142</v>
      </c>
      <c r="J738" t="s">
        <v>472</v>
      </c>
      <c r="K738" s="3">
        <v>46181</v>
      </c>
      <c r="L738" s="3">
        <v>46175</v>
      </c>
      <c r="M738" s="3">
        <v>46142</v>
      </c>
      <c r="N738" s="3">
        <v>46142</v>
      </c>
      <c r="O738" t="s">
        <v>527</v>
      </c>
      <c r="P738" t="s">
        <v>55</v>
      </c>
      <c r="Q738">
        <v>884</v>
      </c>
      <c r="S738" t="s">
        <v>124</v>
      </c>
      <c r="T738" t="s">
        <v>1429</v>
      </c>
      <c r="U738">
        <v>886</v>
      </c>
      <c r="V738" t="s">
        <v>122</v>
      </c>
      <c r="W738">
        <v>13.4</v>
      </c>
      <c r="X738" t="s">
        <v>57</v>
      </c>
      <c r="Z738" t="s">
        <v>124</v>
      </c>
      <c r="AA738" t="s">
        <v>460</v>
      </c>
      <c r="AE738">
        <v>1</v>
      </c>
      <c r="AF738">
        <v>0</v>
      </c>
      <c r="AG738">
        <v>0</v>
      </c>
      <c r="AH738">
        <v>0</v>
      </c>
      <c r="AI738">
        <v>0</v>
      </c>
      <c r="AJ738">
        <v>1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</row>
    <row r="739" spans="1:42" x14ac:dyDescent="0.25">
      <c r="A739">
        <v>886</v>
      </c>
      <c r="B739" t="s">
        <v>1454</v>
      </c>
      <c r="C739" t="s">
        <v>1452</v>
      </c>
      <c r="D739" t="s">
        <v>126</v>
      </c>
      <c r="E739" s="4">
        <v>1</v>
      </c>
      <c r="F739" t="s">
        <v>203</v>
      </c>
      <c r="G739" t="s">
        <v>203</v>
      </c>
      <c r="H739" s="3">
        <v>46146</v>
      </c>
      <c r="I739" s="3">
        <v>46160</v>
      </c>
      <c r="J739" t="s">
        <v>204</v>
      </c>
      <c r="K739" s="3">
        <v>46182</v>
      </c>
      <c r="L739" s="3">
        <v>46182</v>
      </c>
      <c r="M739" s="3">
        <v>46160</v>
      </c>
      <c r="N739" s="3">
        <v>46160</v>
      </c>
      <c r="O739" t="s">
        <v>409</v>
      </c>
      <c r="P739" t="s">
        <v>55</v>
      </c>
      <c r="Q739">
        <v>885</v>
      </c>
      <c r="S739" t="s">
        <v>1433</v>
      </c>
      <c r="T739" t="s">
        <v>1429</v>
      </c>
      <c r="U739">
        <v>887</v>
      </c>
      <c r="V739" t="s">
        <v>61</v>
      </c>
      <c r="W739">
        <v>13.4</v>
      </c>
      <c r="X739" t="s">
        <v>57</v>
      </c>
      <c r="Z739" t="s">
        <v>1433</v>
      </c>
      <c r="AA739" t="s">
        <v>462</v>
      </c>
      <c r="AE739">
        <v>1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1</v>
      </c>
      <c r="AM739">
        <v>0</v>
      </c>
      <c r="AN739">
        <v>0</v>
      </c>
      <c r="AO739">
        <v>0</v>
      </c>
      <c r="AP739">
        <v>0</v>
      </c>
    </row>
    <row r="740" spans="1:42" x14ac:dyDescent="0.25">
      <c r="A740">
        <v>887</v>
      </c>
      <c r="B740" t="s">
        <v>1455</v>
      </c>
      <c r="C740" t="s">
        <v>1452</v>
      </c>
      <c r="D740" t="s">
        <v>133</v>
      </c>
      <c r="E740" s="4">
        <v>1</v>
      </c>
      <c r="F740" t="s">
        <v>127</v>
      </c>
      <c r="G740" t="s">
        <v>127</v>
      </c>
      <c r="H740" s="3">
        <v>46161</v>
      </c>
      <c r="I740" s="3">
        <v>46162</v>
      </c>
      <c r="J740" t="s">
        <v>592</v>
      </c>
      <c r="K740" s="3">
        <v>46183</v>
      </c>
      <c r="L740" s="3">
        <v>46183</v>
      </c>
      <c r="M740" s="3">
        <v>46162</v>
      </c>
      <c r="N740" s="3">
        <v>46162</v>
      </c>
      <c r="O740" t="s">
        <v>90</v>
      </c>
      <c r="P740" t="s">
        <v>55</v>
      </c>
      <c r="Q740">
        <v>886</v>
      </c>
      <c r="S740" t="s">
        <v>124</v>
      </c>
      <c r="T740" t="s">
        <v>1429</v>
      </c>
      <c r="V740" t="s">
        <v>61</v>
      </c>
      <c r="W740">
        <v>13.4</v>
      </c>
      <c r="X740" t="s">
        <v>57</v>
      </c>
      <c r="Z740" t="s">
        <v>124</v>
      </c>
      <c r="AA740" t="s">
        <v>462</v>
      </c>
      <c r="AE740">
        <v>1</v>
      </c>
      <c r="AF740">
        <v>0</v>
      </c>
      <c r="AG740">
        <v>0</v>
      </c>
      <c r="AH740">
        <v>0</v>
      </c>
      <c r="AI740">
        <v>1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0</v>
      </c>
      <c r="AP740">
        <v>0</v>
      </c>
    </row>
    <row r="741" spans="1:42" x14ac:dyDescent="0.25">
      <c r="A741">
        <v>888</v>
      </c>
      <c r="B741" t="s">
        <v>1456</v>
      </c>
      <c r="C741" t="s">
        <v>1440</v>
      </c>
      <c r="D741" t="s">
        <v>1457</v>
      </c>
      <c r="E741" s="4">
        <v>1</v>
      </c>
      <c r="F741" t="s">
        <v>138</v>
      </c>
      <c r="G741" t="s">
        <v>138</v>
      </c>
      <c r="H741" s="3">
        <v>46140</v>
      </c>
      <c r="I741" s="3">
        <v>46147</v>
      </c>
      <c r="J741" t="s">
        <v>206</v>
      </c>
      <c r="K741" s="3">
        <v>46176</v>
      </c>
      <c r="L741" s="3">
        <v>46168</v>
      </c>
      <c r="M741" s="3">
        <v>46147</v>
      </c>
      <c r="N741" s="3">
        <v>46147</v>
      </c>
      <c r="O741" t="s">
        <v>85</v>
      </c>
      <c r="P741" t="s">
        <v>55</v>
      </c>
      <c r="T741" t="s">
        <v>1429</v>
      </c>
      <c r="V741" t="s">
        <v>175</v>
      </c>
      <c r="X741" t="s">
        <v>57</v>
      </c>
      <c r="AA741" t="s">
        <v>50</v>
      </c>
      <c r="AB741" t="s">
        <v>94</v>
      </c>
      <c r="AE741">
        <v>1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</row>
    <row r="742" spans="1:42" x14ac:dyDescent="0.25">
      <c r="A742">
        <v>889</v>
      </c>
      <c r="B742" t="s">
        <v>1458</v>
      </c>
      <c r="C742" t="s">
        <v>1459</v>
      </c>
      <c r="D742" t="s">
        <v>117</v>
      </c>
      <c r="E742" s="4">
        <v>1</v>
      </c>
      <c r="F742" t="s">
        <v>1460</v>
      </c>
      <c r="G742" t="s">
        <v>1460</v>
      </c>
      <c r="H742" s="3">
        <v>46140</v>
      </c>
      <c r="I742" s="3">
        <v>46146</v>
      </c>
      <c r="J742" t="s">
        <v>206</v>
      </c>
      <c r="K742" s="3">
        <v>46169</v>
      </c>
      <c r="L742" s="3">
        <v>46168</v>
      </c>
      <c r="M742" s="3">
        <v>46146</v>
      </c>
      <c r="N742" s="3">
        <v>46146</v>
      </c>
      <c r="O742" t="s">
        <v>85</v>
      </c>
      <c r="P742" t="s">
        <v>55</v>
      </c>
      <c r="Q742">
        <v>882</v>
      </c>
      <c r="R742" t="s">
        <v>1461</v>
      </c>
      <c r="S742" t="s">
        <v>1444</v>
      </c>
      <c r="T742" t="s">
        <v>1429</v>
      </c>
      <c r="U742" t="s">
        <v>1462</v>
      </c>
      <c r="V742" t="s">
        <v>127</v>
      </c>
      <c r="W742">
        <v>13.4</v>
      </c>
      <c r="X742" t="s">
        <v>57</v>
      </c>
      <c r="Y742">
        <v>8</v>
      </c>
      <c r="Z742" t="s">
        <v>1444</v>
      </c>
      <c r="AA742" t="s">
        <v>77</v>
      </c>
      <c r="AE742">
        <v>1</v>
      </c>
      <c r="AF742">
        <v>1</v>
      </c>
      <c r="AG742">
        <v>1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1</v>
      </c>
    </row>
    <row r="743" spans="1:42" x14ac:dyDescent="0.25">
      <c r="A743">
        <v>890</v>
      </c>
      <c r="B743" t="s">
        <v>1463</v>
      </c>
      <c r="C743" t="s">
        <v>1459</v>
      </c>
      <c r="D743" t="s">
        <v>121</v>
      </c>
      <c r="E743" s="4">
        <v>1</v>
      </c>
      <c r="F743" t="s">
        <v>61</v>
      </c>
      <c r="G743" t="s">
        <v>61</v>
      </c>
      <c r="H743" s="3">
        <v>46147</v>
      </c>
      <c r="I743" s="3">
        <v>46147</v>
      </c>
      <c r="J743" t="s">
        <v>448</v>
      </c>
      <c r="K743" s="3">
        <v>46174</v>
      </c>
      <c r="L743" s="3">
        <v>46170</v>
      </c>
      <c r="M743" s="3">
        <v>46147</v>
      </c>
      <c r="N743" s="3">
        <v>46147</v>
      </c>
      <c r="O743" t="s">
        <v>183</v>
      </c>
      <c r="P743" t="s">
        <v>55</v>
      </c>
      <c r="Q743">
        <v>889</v>
      </c>
      <c r="S743" t="s">
        <v>124</v>
      </c>
      <c r="T743" t="s">
        <v>1429</v>
      </c>
      <c r="U743">
        <v>891</v>
      </c>
      <c r="V743" t="s">
        <v>122</v>
      </c>
      <c r="W743">
        <v>13.4</v>
      </c>
      <c r="X743" t="s">
        <v>57</v>
      </c>
      <c r="Z743" t="s">
        <v>124</v>
      </c>
      <c r="AA743" t="s">
        <v>77</v>
      </c>
      <c r="AE743">
        <v>1</v>
      </c>
      <c r="AF743">
        <v>0</v>
      </c>
      <c r="AG743">
        <v>0</v>
      </c>
      <c r="AH743">
        <v>0</v>
      </c>
      <c r="AI743">
        <v>0</v>
      </c>
      <c r="AJ743">
        <v>1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</row>
    <row r="744" spans="1:42" x14ac:dyDescent="0.25">
      <c r="A744">
        <v>891</v>
      </c>
      <c r="B744" t="s">
        <v>1464</v>
      </c>
      <c r="C744" t="s">
        <v>1459</v>
      </c>
      <c r="D744" t="s">
        <v>126</v>
      </c>
      <c r="E744" s="4">
        <v>1</v>
      </c>
      <c r="F744" t="s">
        <v>63</v>
      </c>
      <c r="G744" t="s">
        <v>63</v>
      </c>
      <c r="H744" s="3">
        <v>46147</v>
      </c>
      <c r="I744" s="3">
        <v>46147</v>
      </c>
      <c r="J744" t="s">
        <v>472</v>
      </c>
      <c r="K744" s="3">
        <v>46175</v>
      </c>
      <c r="L744" s="3">
        <v>46175</v>
      </c>
      <c r="M744" s="3">
        <v>46147</v>
      </c>
      <c r="N744" s="3">
        <v>46147</v>
      </c>
      <c r="O744" t="s">
        <v>183</v>
      </c>
      <c r="P744" t="s">
        <v>55</v>
      </c>
      <c r="Q744">
        <v>890</v>
      </c>
      <c r="S744" t="s">
        <v>1444</v>
      </c>
      <c r="T744" t="s">
        <v>1429</v>
      </c>
      <c r="U744">
        <v>892</v>
      </c>
      <c r="V744" t="s">
        <v>61</v>
      </c>
      <c r="W744">
        <v>13.4</v>
      </c>
      <c r="X744" t="s">
        <v>57</v>
      </c>
      <c r="Z744" t="s">
        <v>1444</v>
      </c>
      <c r="AA744" t="s">
        <v>460</v>
      </c>
      <c r="AE744">
        <v>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1</v>
      </c>
      <c r="AM744">
        <v>0</v>
      </c>
      <c r="AN744">
        <v>0</v>
      </c>
      <c r="AO744">
        <v>0</v>
      </c>
      <c r="AP744">
        <v>0</v>
      </c>
    </row>
    <row r="745" spans="1:42" x14ac:dyDescent="0.25">
      <c r="A745">
        <v>892</v>
      </c>
      <c r="B745" t="s">
        <v>1465</v>
      </c>
      <c r="C745" t="s">
        <v>1459</v>
      </c>
      <c r="D745" t="s">
        <v>133</v>
      </c>
      <c r="E745" s="4">
        <v>1</v>
      </c>
      <c r="F745" t="s">
        <v>63</v>
      </c>
      <c r="G745" t="s">
        <v>63</v>
      </c>
      <c r="H745" s="3">
        <v>46147</v>
      </c>
      <c r="I745" s="3">
        <v>46147</v>
      </c>
      <c r="J745" t="s">
        <v>459</v>
      </c>
      <c r="K745" s="3">
        <v>46176</v>
      </c>
      <c r="L745" s="3">
        <v>46176</v>
      </c>
      <c r="M745" s="3">
        <v>46147</v>
      </c>
      <c r="N745" s="3">
        <v>46147</v>
      </c>
      <c r="O745" t="s">
        <v>183</v>
      </c>
      <c r="P745" t="s">
        <v>55</v>
      </c>
      <c r="Q745">
        <v>891</v>
      </c>
      <c r="S745" t="s">
        <v>124</v>
      </c>
      <c r="T745" t="s">
        <v>1429</v>
      </c>
      <c r="V745" t="s">
        <v>61</v>
      </c>
      <c r="W745">
        <v>13.4</v>
      </c>
      <c r="X745" t="s">
        <v>57</v>
      </c>
      <c r="Z745" t="s">
        <v>124</v>
      </c>
      <c r="AA745" t="s">
        <v>460</v>
      </c>
      <c r="AE745">
        <v>1</v>
      </c>
      <c r="AF745">
        <v>0</v>
      </c>
      <c r="AG745">
        <v>0</v>
      </c>
      <c r="AH745">
        <v>0</v>
      </c>
      <c r="AI745">
        <v>1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0</v>
      </c>
      <c r="AP745">
        <v>0</v>
      </c>
    </row>
    <row r="746" spans="1:42" x14ac:dyDescent="0.25">
      <c r="A746">
        <v>893</v>
      </c>
      <c r="B746" t="s">
        <v>1466</v>
      </c>
      <c r="C746" t="s">
        <v>1440</v>
      </c>
      <c r="D746" t="s">
        <v>1467</v>
      </c>
      <c r="E746" s="4">
        <v>1</v>
      </c>
      <c r="F746" t="s">
        <v>138</v>
      </c>
      <c r="G746" t="s">
        <v>138</v>
      </c>
      <c r="H746" s="3">
        <v>46140</v>
      </c>
      <c r="I746" s="3">
        <v>46147</v>
      </c>
      <c r="J746" t="s">
        <v>206</v>
      </c>
      <c r="K746" s="3">
        <v>46176</v>
      </c>
      <c r="L746" s="3">
        <v>46168</v>
      </c>
      <c r="M746" s="3">
        <v>46147</v>
      </c>
      <c r="N746" s="3">
        <v>46147</v>
      </c>
      <c r="O746" t="s">
        <v>85</v>
      </c>
      <c r="P746" t="s">
        <v>55</v>
      </c>
      <c r="T746" t="s">
        <v>1429</v>
      </c>
      <c r="V746" t="s">
        <v>175</v>
      </c>
      <c r="X746" t="s">
        <v>57</v>
      </c>
      <c r="AA746" t="s">
        <v>50</v>
      </c>
      <c r="AB746" t="s">
        <v>94</v>
      </c>
      <c r="AE746">
        <v>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</row>
    <row r="747" spans="1:42" x14ac:dyDescent="0.25">
      <c r="A747">
        <v>894</v>
      </c>
      <c r="B747" t="s">
        <v>1468</v>
      </c>
      <c r="C747" t="s">
        <v>1469</v>
      </c>
      <c r="D747" t="s">
        <v>117</v>
      </c>
      <c r="E747" s="4">
        <v>1</v>
      </c>
      <c r="F747" t="s">
        <v>101</v>
      </c>
      <c r="G747" t="s">
        <v>101</v>
      </c>
      <c r="H747" s="3">
        <v>46140</v>
      </c>
      <c r="I747" s="3">
        <v>46146</v>
      </c>
      <c r="J747" t="s">
        <v>206</v>
      </c>
      <c r="K747" s="3">
        <v>46169</v>
      </c>
      <c r="L747" s="3">
        <v>46168</v>
      </c>
      <c r="M747" s="3">
        <v>46146</v>
      </c>
      <c r="N747" s="3">
        <v>46146</v>
      </c>
      <c r="O747" t="s">
        <v>85</v>
      </c>
      <c r="P747" t="s">
        <v>55</v>
      </c>
      <c r="Q747" t="s">
        <v>1470</v>
      </c>
      <c r="R747" t="s">
        <v>1461</v>
      </c>
      <c r="S747" t="s">
        <v>1444</v>
      </c>
      <c r="T747" t="s">
        <v>1429</v>
      </c>
      <c r="U747">
        <v>895</v>
      </c>
      <c r="V747" t="s">
        <v>127</v>
      </c>
      <c r="W747">
        <v>13.4</v>
      </c>
      <c r="X747" t="s">
        <v>57</v>
      </c>
      <c r="Y747">
        <v>8</v>
      </c>
      <c r="Z747" t="s">
        <v>1444</v>
      </c>
      <c r="AA747" t="s">
        <v>77</v>
      </c>
      <c r="AE747">
        <v>1</v>
      </c>
      <c r="AF747">
        <v>1</v>
      </c>
      <c r="AG747">
        <v>1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1</v>
      </c>
    </row>
    <row r="748" spans="1:42" x14ac:dyDescent="0.25">
      <c r="A748">
        <v>895</v>
      </c>
      <c r="B748" t="s">
        <v>1471</v>
      </c>
      <c r="C748" t="s">
        <v>1469</v>
      </c>
      <c r="D748" t="s">
        <v>121</v>
      </c>
      <c r="E748" s="4">
        <v>1</v>
      </c>
      <c r="F748" t="s">
        <v>61</v>
      </c>
      <c r="G748" t="s">
        <v>61</v>
      </c>
      <c r="H748" s="3">
        <v>46147</v>
      </c>
      <c r="I748" s="3">
        <v>46147</v>
      </c>
      <c r="J748" t="s">
        <v>448</v>
      </c>
      <c r="K748" s="3">
        <v>46174</v>
      </c>
      <c r="L748" s="3">
        <v>46170</v>
      </c>
      <c r="M748" s="3">
        <v>46147</v>
      </c>
      <c r="N748" s="3">
        <v>46147</v>
      </c>
      <c r="O748" t="s">
        <v>183</v>
      </c>
      <c r="P748" t="s">
        <v>55</v>
      </c>
      <c r="Q748">
        <v>894</v>
      </c>
      <c r="S748" t="s">
        <v>124</v>
      </c>
      <c r="T748" t="s">
        <v>1429</v>
      </c>
      <c r="U748">
        <v>896</v>
      </c>
      <c r="V748" t="s">
        <v>122</v>
      </c>
      <c r="W748">
        <v>13.4</v>
      </c>
      <c r="X748" t="s">
        <v>57</v>
      </c>
      <c r="Z748" t="s">
        <v>124</v>
      </c>
      <c r="AA748" t="s">
        <v>77</v>
      </c>
      <c r="AE748">
        <v>1</v>
      </c>
      <c r="AF748">
        <v>0</v>
      </c>
      <c r="AG748">
        <v>0</v>
      </c>
      <c r="AH748">
        <v>0</v>
      </c>
      <c r="AI748">
        <v>0</v>
      </c>
      <c r="AJ748">
        <v>1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</row>
    <row r="749" spans="1:42" x14ac:dyDescent="0.25">
      <c r="A749">
        <v>896</v>
      </c>
      <c r="B749" t="s">
        <v>1472</v>
      </c>
      <c r="C749" t="s">
        <v>1469</v>
      </c>
      <c r="D749" t="s">
        <v>126</v>
      </c>
      <c r="E749" s="4">
        <v>1</v>
      </c>
      <c r="F749" t="s">
        <v>61</v>
      </c>
      <c r="G749" t="s">
        <v>61</v>
      </c>
      <c r="H749" s="3">
        <v>46147</v>
      </c>
      <c r="I749" s="3">
        <v>46147</v>
      </c>
      <c r="J749" t="s">
        <v>472</v>
      </c>
      <c r="K749" s="3">
        <v>46175</v>
      </c>
      <c r="L749" s="3">
        <v>46175</v>
      </c>
      <c r="M749" s="3">
        <v>46147</v>
      </c>
      <c r="N749" s="3">
        <v>46147</v>
      </c>
      <c r="O749" t="s">
        <v>183</v>
      </c>
      <c r="P749" t="s">
        <v>55</v>
      </c>
      <c r="Q749">
        <v>895</v>
      </c>
      <c r="S749" t="s">
        <v>1444</v>
      </c>
      <c r="T749" t="s">
        <v>1429</v>
      </c>
      <c r="U749">
        <v>897</v>
      </c>
      <c r="V749" t="s">
        <v>61</v>
      </c>
      <c r="W749">
        <v>13.4</v>
      </c>
      <c r="X749" t="s">
        <v>57</v>
      </c>
      <c r="Z749" t="s">
        <v>1444</v>
      </c>
      <c r="AA749" t="s">
        <v>460</v>
      </c>
      <c r="AE749">
        <v>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1</v>
      </c>
      <c r="AM749">
        <v>0</v>
      </c>
      <c r="AN749">
        <v>0</v>
      </c>
      <c r="AO749">
        <v>0</v>
      </c>
      <c r="AP749">
        <v>0</v>
      </c>
    </row>
    <row r="750" spans="1:42" x14ac:dyDescent="0.25">
      <c r="A750">
        <v>897</v>
      </c>
      <c r="B750" t="s">
        <v>1473</v>
      </c>
      <c r="C750" t="s">
        <v>1469</v>
      </c>
      <c r="D750" t="s">
        <v>133</v>
      </c>
      <c r="E750" s="4">
        <v>1</v>
      </c>
      <c r="F750" t="s">
        <v>61</v>
      </c>
      <c r="G750" t="s">
        <v>61</v>
      </c>
      <c r="H750" s="3">
        <v>46147</v>
      </c>
      <c r="I750" s="3">
        <v>46147</v>
      </c>
      <c r="J750" t="s">
        <v>459</v>
      </c>
      <c r="K750" s="3">
        <v>46176</v>
      </c>
      <c r="L750" s="3">
        <v>46176</v>
      </c>
      <c r="M750" s="3">
        <v>46147</v>
      </c>
      <c r="N750" s="3">
        <v>46147</v>
      </c>
      <c r="O750" t="s">
        <v>183</v>
      </c>
      <c r="P750" t="s">
        <v>55</v>
      </c>
      <c r="Q750">
        <v>896</v>
      </c>
      <c r="S750" t="s">
        <v>124</v>
      </c>
      <c r="T750" t="s">
        <v>1429</v>
      </c>
      <c r="V750" t="s">
        <v>61</v>
      </c>
      <c r="W750">
        <v>13.4</v>
      </c>
      <c r="X750" t="s">
        <v>57</v>
      </c>
      <c r="Z750" t="s">
        <v>124</v>
      </c>
      <c r="AA750" t="s">
        <v>460</v>
      </c>
      <c r="AE750">
        <v>1</v>
      </c>
      <c r="AF750">
        <v>0</v>
      </c>
      <c r="AG750">
        <v>0</v>
      </c>
      <c r="AH750">
        <v>0</v>
      </c>
      <c r="AI750">
        <v>1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0</v>
      </c>
      <c r="AP750">
        <v>0</v>
      </c>
    </row>
    <row r="751" spans="1:42" x14ac:dyDescent="0.25">
      <c r="A751">
        <v>898</v>
      </c>
      <c r="B751" t="s">
        <v>1474</v>
      </c>
      <c r="C751" t="s">
        <v>1440</v>
      </c>
      <c r="D751" t="s">
        <v>1475</v>
      </c>
      <c r="E751" s="4">
        <v>1</v>
      </c>
      <c r="F751" t="s">
        <v>138</v>
      </c>
      <c r="G751" t="s">
        <v>138</v>
      </c>
      <c r="H751" s="3">
        <v>46140</v>
      </c>
      <c r="I751" s="3">
        <v>46147</v>
      </c>
      <c r="J751" t="s">
        <v>85</v>
      </c>
      <c r="K751" s="3">
        <v>46147</v>
      </c>
      <c r="L751" s="3">
        <v>46140</v>
      </c>
      <c r="M751" s="3">
        <v>46147</v>
      </c>
      <c r="N751" s="3">
        <v>46147</v>
      </c>
      <c r="O751" t="s">
        <v>85</v>
      </c>
      <c r="P751" t="s">
        <v>55</v>
      </c>
      <c r="T751" t="s">
        <v>1429</v>
      </c>
      <c r="V751" t="s">
        <v>175</v>
      </c>
      <c r="X751" t="s">
        <v>57</v>
      </c>
      <c r="AA751" t="s">
        <v>50</v>
      </c>
      <c r="AB751" t="s">
        <v>94</v>
      </c>
      <c r="AE751">
        <v>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</row>
    <row r="752" spans="1:42" x14ac:dyDescent="0.25">
      <c r="A752">
        <v>899</v>
      </c>
      <c r="B752" t="s">
        <v>1476</v>
      </c>
      <c r="C752" t="s">
        <v>1477</v>
      </c>
      <c r="D752" t="s">
        <v>117</v>
      </c>
      <c r="E752" s="4">
        <v>1</v>
      </c>
      <c r="F752" t="s">
        <v>101</v>
      </c>
      <c r="G752" t="s">
        <v>101</v>
      </c>
      <c r="H752" s="3">
        <v>46140</v>
      </c>
      <c r="I752" s="3">
        <v>46146</v>
      </c>
      <c r="J752" t="s">
        <v>85</v>
      </c>
      <c r="K752" s="3">
        <v>46146</v>
      </c>
      <c r="L752" s="3">
        <v>46140</v>
      </c>
      <c r="M752" s="3">
        <v>46146</v>
      </c>
      <c r="N752" s="3">
        <v>46146</v>
      </c>
      <c r="O752" t="s">
        <v>85</v>
      </c>
      <c r="P752" t="s">
        <v>55</v>
      </c>
      <c r="R752" t="s">
        <v>1461</v>
      </c>
      <c r="S752" t="s">
        <v>1444</v>
      </c>
      <c r="T752" t="s">
        <v>1429</v>
      </c>
      <c r="U752">
        <v>900</v>
      </c>
      <c r="V752" t="s">
        <v>127</v>
      </c>
      <c r="W752">
        <v>13.4</v>
      </c>
      <c r="X752" t="s">
        <v>57</v>
      </c>
      <c r="Y752">
        <v>8</v>
      </c>
      <c r="Z752" t="s">
        <v>1444</v>
      </c>
      <c r="AA752" t="s">
        <v>77</v>
      </c>
      <c r="AE752">
        <v>1</v>
      </c>
      <c r="AF752">
        <v>1</v>
      </c>
      <c r="AG752">
        <v>1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1</v>
      </c>
    </row>
    <row r="753" spans="1:42" x14ac:dyDescent="0.25">
      <c r="A753">
        <v>900</v>
      </c>
      <c r="B753" t="s">
        <v>1478</v>
      </c>
      <c r="C753" t="s">
        <v>1477</v>
      </c>
      <c r="D753" t="s">
        <v>121</v>
      </c>
      <c r="E753" s="4">
        <v>1</v>
      </c>
      <c r="F753" t="s">
        <v>61</v>
      </c>
      <c r="G753" t="s">
        <v>61</v>
      </c>
      <c r="H753" s="3">
        <v>46147</v>
      </c>
      <c r="I753" s="3">
        <v>46147</v>
      </c>
      <c r="J753" t="s">
        <v>183</v>
      </c>
      <c r="K753" s="3">
        <v>46147</v>
      </c>
      <c r="L753" s="3">
        <v>46147</v>
      </c>
      <c r="M753" s="3">
        <v>46147</v>
      </c>
      <c r="N753" s="3">
        <v>46147</v>
      </c>
      <c r="O753" t="s">
        <v>183</v>
      </c>
      <c r="P753" t="s">
        <v>55</v>
      </c>
      <c r="Q753">
        <v>899</v>
      </c>
      <c r="S753" t="s">
        <v>124</v>
      </c>
      <c r="T753" t="s">
        <v>1429</v>
      </c>
      <c r="U753">
        <v>901</v>
      </c>
      <c r="V753" t="s">
        <v>122</v>
      </c>
      <c r="W753">
        <v>13.4</v>
      </c>
      <c r="X753" t="s">
        <v>57</v>
      </c>
      <c r="Z753" t="s">
        <v>124</v>
      </c>
      <c r="AA753" t="s">
        <v>77</v>
      </c>
      <c r="AE753">
        <v>1</v>
      </c>
      <c r="AF753">
        <v>0</v>
      </c>
      <c r="AG753">
        <v>0</v>
      </c>
      <c r="AH753">
        <v>0</v>
      </c>
      <c r="AI753">
        <v>0</v>
      </c>
      <c r="AJ753">
        <v>1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</row>
    <row r="754" spans="1:42" x14ac:dyDescent="0.25">
      <c r="A754">
        <v>901</v>
      </c>
      <c r="B754" t="s">
        <v>1479</v>
      </c>
      <c r="C754" t="s">
        <v>1477</v>
      </c>
      <c r="D754" t="s">
        <v>126</v>
      </c>
      <c r="E754" s="4">
        <v>1</v>
      </c>
      <c r="F754" t="s">
        <v>61</v>
      </c>
      <c r="G754" t="s">
        <v>61</v>
      </c>
      <c r="H754" s="3">
        <v>46147</v>
      </c>
      <c r="I754" s="3">
        <v>46147</v>
      </c>
      <c r="J754" t="s">
        <v>183</v>
      </c>
      <c r="K754" s="3">
        <v>46147</v>
      </c>
      <c r="L754" s="3">
        <v>46147</v>
      </c>
      <c r="M754" s="3">
        <v>46147</v>
      </c>
      <c r="N754" s="3">
        <v>46147</v>
      </c>
      <c r="O754" t="s">
        <v>183</v>
      </c>
      <c r="P754" t="s">
        <v>55</v>
      </c>
      <c r="Q754">
        <v>900</v>
      </c>
      <c r="S754" t="s">
        <v>1444</v>
      </c>
      <c r="T754" t="s">
        <v>1429</v>
      </c>
      <c r="U754">
        <v>902</v>
      </c>
      <c r="V754" t="s">
        <v>61</v>
      </c>
      <c r="W754">
        <v>13.4</v>
      </c>
      <c r="X754" t="s">
        <v>57</v>
      </c>
      <c r="Z754" t="s">
        <v>1444</v>
      </c>
      <c r="AA754" t="s">
        <v>460</v>
      </c>
      <c r="AE754">
        <v>1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1</v>
      </c>
      <c r="AM754">
        <v>0</v>
      </c>
      <c r="AN754">
        <v>0</v>
      </c>
      <c r="AO754">
        <v>0</v>
      </c>
      <c r="AP754">
        <v>0</v>
      </c>
    </row>
    <row r="755" spans="1:42" x14ac:dyDescent="0.25">
      <c r="A755">
        <v>902</v>
      </c>
      <c r="B755" t="s">
        <v>1480</v>
      </c>
      <c r="C755" t="s">
        <v>1477</v>
      </c>
      <c r="D755" t="s">
        <v>133</v>
      </c>
      <c r="E755" s="4">
        <v>1</v>
      </c>
      <c r="F755" t="s">
        <v>61</v>
      </c>
      <c r="G755" t="s">
        <v>61</v>
      </c>
      <c r="H755" s="3">
        <v>46147</v>
      </c>
      <c r="I755" s="3">
        <v>46147</v>
      </c>
      <c r="J755" t="s">
        <v>183</v>
      </c>
      <c r="K755" s="3">
        <v>46147</v>
      </c>
      <c r="L755" s="3">
        <v>46147</v>
      </c>
      <c r="M755" s="3">
        <v>46147</v>
      </c>
      <c r="N755" s="3">
        <v>46147</v>
      </c>
      <c r="O755" t="s">
        <v>183</v>
      </c>
      <c r="P755" t="s">
        <v>55</v>
      </c>
      <c r="Q755">
        <v>901</v>
      </c>
      <c r="S755" t="s">
        <v>124</v>
      </c>
      <c r="T755" t="s">
        <v>1429</v>
      </c>
      <c r="V755" t="s">
        <v>61</v>
      </c>
      <c r="W755">
        <v>13.4</v>
      </c>
      <c r="X755" t="s">
        <v>57</v>
      </c>
      <c r="Z755" t="s">
        <v>124</v>
      </c>
      <c r="AA755" t="s">
        <v>460</v>
      </c>
      <c r="AE755">
        <v>1</v>
      </c>
      <c r="AF755">
        <v>0</v>
      </c>
      <c r="AG755">
        <v>0</v>
      </c>
      <c r="AH755">
        <v>0</v>
      </c>
      <c r="AI755">
        <v>1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0</v>
      </c>
      <c r="AP755">
        <v>0</v>
      </c>
    </row>
    <row r="756" spans="1:42" x14ac:dyDescent="0.25">
      <c r="A756">
        <v>903</v>
      </c>
      <c r="B756" t="s">
        <v>1481</v>
      </c>
      <c r="C756" t="s">
        <v>1440</v>
      </c>
      <c r="D756" t="s">
        <v>1482</v>
      </c>
      <c r="E756" s="4">
        <v>1</v>
      </c>
      <c r="F756" t="s">
        <v>138</v>
      </c>
      <c r="G756" t="s">
        <v>138</v>
      </c>
      <c r="H756" s="3">
        <v>46140</v>
      </c>
      <c r="I756" s="3">
        <v>46147</v>
      </c>
      <c r="J756" t="s">
        <v>85</v>
      </c>
      <c r="K756" s="3">
        <v>46147</v>
      </c>
      <c r="L756" s="3">
        <v>46140</v>
      </c>
      <c r="M756" s="3">
        <v>46147</v>
      </c>
      <c r="N756" s="3">
        <v>46147</v>
      </c>
      <c r="O756" t="s">
        <v>85</v>
      </c>
      <c r="P756" t="s">
        <v>55</v>
      </c>
      <c r="T756" t="s">
        <v>1429</v>
      </c>
      <c r="V756" t="s">
        <v>175</v>
      </c>
      <c r="X756" t="s">
        <v>57</v>
      </c>
      <c r="AA756" t="s">
        <v>50</v>
      </c>
      <c r="AB756" t="s">
        <v>94</v>
      </c>
      <c r="AE756">
        <v>1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</row>
    <row r="757" spans="1:42" x14ac:dyDescent="0.25">
      <c r="A757">
        <v>904</v>
      </c>
      <c r="B757" t="s">
        <v>1483</v>
      </c>
      <c r="C757" t="s">
        <v>1484</v>
      </c>
      <c r="D757" t="s">
        <v>117</v>
      </c>
      <c r="E757" s="4">
        <v>1</v>
      </c>
      <c r="F757" t="s">
        <v>101</v>
      </c>
      <c r="G757" t="s">
        <v>101</v>
      </c>
      <c r="H757" s="3">
        <v>46140</v>
      </c>
      <c r="I757" s="3">
        <v>46146</v>
      </c>
      <c r="J757" t="s">
        <v>85</v>
      </c>
      <c r="K757" s="3">
        <v>46146</v>
      </c>
      <c r="L757" s="3">
        <v>46140</v>
      </c>
      <c r="M757" s="3">
        <v>46146</v>
      </c>
      <c r="N757" s="3">
        <v>46146</v>
      </c>
      <c r="O757" t="s">
        <v>85</v>
      </c>
      <c r="P757" t="s">
        <v>55</v>
      </c>
      <c r="Q757" t="s">
        <v>1470</v>
      </c>
      <c r="R757" t="s">
        <v>1461</v>
      </c>
      <c r="S757" t="s">
        <v>1444</v>
      </c>
      <c r="T757" t="s">
        <v>1429</v>
      </c>
      <c r="U757">
        <v>905</v>
      </c>
      <c r="V757" t="s">
        <v>127</v>
      </c>
      <c r="W757">
        <v>13.4</v>
      </c>
      <c r="X757" t="s">
        <v>57</v>
      </c>
      <c r="Y757">
        <v>8</v>
      </c>
      <c r="Z757" t="s">
        <v>1444</v>
      </c>
      <c r="AA757" t="s">
        <v>77</v>
      </c>
      <c r="AE757">
        <v>1</v>
      </c>
      <c r="AF757">
        <v>1</v>
      </c>
      <c r="AG757">
        <v>1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1</v>
      </c>
    </row>
    <row r="758" spans="1:42" x14ac:dyDescent="0.25">
      <c r="A758">
        <v>905</v>
      </c>
      <c r="B758" t="s">
        <v>1485</v>
      </c>
      <c r="C758" t="s">
        <v>1484</v>
      </c>
      <c r="D758" t="s">
        <v>121</v>
      </c>
      <c r="E758" s="4">
        <v>1</v>
      </c>
      <c r="F758" t="s">
        <v>61</v>
      </c>
      <c r="G758" t="s">
        <v>61</v>
      </c>
      <c r="H758" s="3">
        <v>46147</v>
      </c>
      <c r="I758" s="3">
        <v>46147</v>
      </c>
      <c r="J758" t="s">
        <v>183</v>
      </c>
      <c r="K758" s="3">
        <v>46147</v>
      </c>
      <c r="L758" s="3">
        <v>46147</v>
      </c>
      <c r="M758" s="3">
        <v>46147</v>
      </c>
      <c r="N758" s="3">
        <v>46147</v>
      </c>
      <c r="O758" t="s">
        <v>183</v>
      </c>
      <c r="P758" t="s">
        <v>55</v>
      </c>
      <c r="Q758">
        <v>904</v>
      </c>
      <c r="S758" t="s">
        <v>124</v>
      </c>
      <c r="T758" t="s">
        <v>1429</v>
      </c>
      <c r="U758">
        <v>906</v>
      </c>
      <c r="V758" t="s">
        <v>122</v>
      </c>
      <c r="W758">
        <v>13.4</v>
      </c>
      <c r="X758" t="s">
        <v>57</v>
      </c>
      <c r="Z758" t="s">
        <v>124</v>
      </c>
      <c r="AA758" t="s">
        <v>77</v>
      </c>
      <c r="AE758">
        <v>1</v>
      </c>
      <c r="AF758">
        <v>0</v>
      </c>
      <c r="AG758">
        <v>0</v>
      </c>
      <c r="AH758">
        <v>0</v>
      </c>
      <c r="AI758">
        <v>0</v>
      </c>
      <c r="AJ758">
        <v>1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</row>
    <row r="759" spans="1:42" x14ac:dyDescent="0.25">
      <c r="A759">
        <v>906</v>
      </c>
      <c r="B759" t="s">
        <v>1486</v>
      </c>
      <c r="C759" t="s">
        <v>1484</v>
      </c>
      <c r="D759" t="s">
        <v>126</v>
      </c>
      <c r="E759" s="4">
        <v>1</v>
      </c>
      <c r="F759" t="s">
        <v>61</v>
      </c>
      <c r="G759" t="s">
        <v>61</v>
      </c>
      <c r="H759" s="3">
        <v>46147</v>
      </c>
      <c r="I759" s="3">
        <v>46147</v>
      </c>
      <c r="J759" t="s">
        <v>183</v>
      </c>
      <c r="K759" s="3">
        <v>46147</v>
      </c>
      <c r="L759" s="3">
        <v>46147</v>
      </c>
      <c r="M759" s="3">
        <v>46147</v>
      </c>
      <c r="N759" s="3">
        <v>46147</v>
      </c>
      <c r="O759" t="s">
        <v>183</v>
      </c>
      <c r="P759" t="s">
        <v>55</v>
      </c>
      <c r="Q759">
        <v>905</v>
      </c>
      <c r="S759" t="s">
        <v>1444</v>
      </c>
      <c r="T759" t="s">
        <v>1429</v>
      </c>
      <c r="U759">
        <v>907</v>
      </c>
      <c r="V759" t="s">
        <v>61</v>
      </c>
      <c r="W759">
        <v>13.4</v>
      </c>
      <c r="X759" t="s">
        <v>57</v>
      </c>
      <c r="Z759" t="s">
        <v>1444</v>
      </c>
      <c r="AA759" t="s">
        <v>460</v>
      </c>
      <c r="AE759">
        <v>1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1</v>
      </c>
      <c r="AM759">
        <v>0</v>
      </c>
      <c r="AN759">
        <v>0</v>
      </c>
      <c r="AO759">
        <v>0</v>
      </c>
      <c r="AP759">
        <v>0</v>
      </c>
    </row>
    <row r="760" spans="1:42" x14ac:dyDescent="0.25">
      <c r="A760">
        <v>907</v>
      </c>
      <c r="B760" t="s">
        <v>1487</v>
      </c>
      <c r="C760" t="s">
        <v>1484</v>
      </c>
      <c r="D760" t="s">
        <v>133</v>
      </c>
      <c r="E760" s="4">
        <v>1</v>
      </c>
      <c r="F760" t="s">
        <v>61</v>
      </c>
      <c r="G760" t="s">
        <v>61</v>
      </c>
      <c r="H760" s="3">
        <v>46147</v>
      </c>
      <c r="I760" s="3">
        <v>46147</v>
      </c>
      <c r="J760" t="s">
        <v>183</v>
      </c>
      <c r="K760" s="3">
        <v>46147</v>
      </c>
      <c r="L760" s="3">
        <v>46147</v>
      </c>
      <c r="M760" s="3">
        <v>46147</v>
      </c>
      <c r="N760" s="3">
        <v>46147</v>
      </c>
      <c r="O760" t="s">
        <v>183</v>
      </c>
      <c r="P760" t="s">
        <v>55</v>
      </c>
      <c r="Q760">
        <v>906</v>
      </c>
      <c r="S760" t="s">
        <v>124</v>
      </c>
      <c r="T760" t="s">
        <v>1429</v>
      </c>
      <c r="V760" t="s">
        <v>61</v>
      </c>
      <c r="W760">
        <v>13.4</v>
      </c>
      <c r="X760" t="s">
        <v>57</v>
      </c>
      <c r="Z760" t="s">
        <v>124</v>
      </c>
      <c r="AA760" t="s">
        <v>460</v>
      </c>
      <c r="AE760">
        <v>1</v>
      </c>
      <c r="AF760">
        <v>0</v>
      </c>
      <c r="AG760">
        <v>0</v>
      </c>
      <c r="AH760">
        <v>0</v>
      </c>
      <c r="AI760">
        <v>1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0</v>
      </c>
      <c r="AP760">
        <v>0</v>
      </c>
    </row>
    <row r="761" spans="1:42" x14ac:dyDescent="0.25">
      <c r="A761">
        <v>908</v>
      </c>
      <c r="B761" t="s">
        <v>1488</v>
      </c>
      <c r="C761" t="s">
        <v>1429</v>
      </c>
      <c r="D761" t="s">
        <v>1489</v>
      </c>
      <c r="E761" s="4">
        <v>1</v>
      </c>
      <c r="F761" t="s">
        <v>203</v>
      </c>
      <c r="G761" t="s">
        <v>203</v>
      </c>
      <c r="H761" s="3">
        <v>46185</v>
      </c>
      <c r="I761" s="3">
        <v>46199</v>
      </c>
      <c r="J761" t="s">
        <v>90</v>
      </c>
      <c r="K761" s="3">
        <v>46195</v>
      </c>
      <c r="L761" s="3">
        <v>46161</v>
      </c>
      <c r="M761" s="3">
        <v>46199</v>
      </c>
      <c r="N761" s="3">
        <v>46199</v>
      </c>
      <c r="O761" t="s">
        <v>571</v>
      </c>
      <c r="P761" t="s">
        <v>55</v>
      </c>
      <c r="T761" t="s">
        <v>1429</v>
      </c>
      <c r="V761" t="s">
        <v>613</v>
      </c>
      <c r="X761" t="s">
        <v>57</v>
      </c>
      <c r="AA761" t="s">
        <v>50</v>
      </c>
      <c r="AB761" t="s">
        <v>94</v>
      </c>
      <c r="AE761">
        <v>1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</row>
    <row r="762" spans="1:42" x14ac:dyDescent="0.25">
      <c r="A762">
        <v>909</v>
      </c>
      <c r="B762" t="s">
        <v>1490</v>
      </c>
      <c r="C762" t="s">
        <v>1491</v>
      </c>
      <c r="D762" t="s">
        <v>1492</v>
      </c>
      <c r="E762" s="4">
        <v>1</v>
      </c>
      <c r="F762" t="s">
        <v>138</v>
      </c>
      <c r="G762" t="s">
        <v>138</v>
      </c>
      <c r="H762" s="3">
        <v>46191</v>
      </c>
      <c r="I762" s="3">
        <v>46197</v>
      </c>
      <c r="J762" t="s">
        <v>90</v>
      </c>
      <c r="K762" s="3">
        <v>46181</v>
      </c>
      <c r="L762" s="3">
        <v>46161</v>
      </c>
      <c r="M762" s="3">
        <v>46197</v>
      </c>
      <c r="N762" s="3">
        <v>46197</v>
      </c>
      <c r="O762" t="s">
        <v>480</v>
      </c>
      <c r="P762" t="s">
        <v>55</v>
      </c>
      <c r="T762" t="s">
        <v>1429</v>
      </c>
      <c r="V762" t="s">
        <v>1038</v>
      </c>
      <c r="X762" t="s">
        <v>57</v>
      </c>
      <c r="AA762" t="s">
        <v>50</v>
      </c>
      <c r="AB762" t="s">
        <v>94</v>
      </c>
      <c r="AE762">
        <v>1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</row>
    <row r="763" spans="1:42" x14ac:dyDescent="0.25">
      <c r="A763">
        <v>910</v>
      </c>
      <c r="B763" t="s">
        <v>1493</v>
      </c>
      <c r="C763" t="s">
        <v>1494</v>
      </c>
      <c r="D763" t="s">
        <v>117</v>
      </c>
      <c r="E763" s="4">
        <v>1</v>
      </c>
      <c r="F763" t="s">
        <v>127</v>
      </c>
      <c r="G763" t="s">
        <v>127</v>
      </c>
      <c r="H763" s="3">
        <v>46191</v>
      </c>
      <c r="I763" s="3">
        <v>46192</v>
      </c>
      <c r="J763" t="s">
        <v>90</v>
      </c>
      <c r="K763" s="3">
        <v>46174</v>
      </c>
      <c r="L763" s="3">
        <v>46161</v>
      </c>
      <c r="M763" s="3">
        <v>46192</v>
      </c>
      <c r="N763" s="3">
        <v>46192</v>
      </c>
      <c r="O763" t="s">
        <v>480</v>
      </c>
      <c r="P763" t="s">
        <v>55</v>
      </c>
      <c r="Q763">
        <v>536</v>
      </c>
      <c r="S763" t="s">
        <v>1444</v>
      </c>
      <c r="T763" t="s">
        <v>1429</v>
      </c>
      <c r="U763" t="s">
        <v>1495</v>
      </c>
      <c r="V763" t="s">
        <v>151</v>
      </c>
      <c r="W763">
        <v>13.4</v>
      </c>
      <c r="X763" t="s">
        <v>57</v>
      </c>
      <c r="Z763" t="s">
        <v>1444</v>
      </c>
      <c r="AA763" t="s">
        <v>198</v>
      </c>
      <c r="AE763">
        <v>1</v>
      </c>
      <c r="AF763">
        <v>1</v>
      </c>
      <c r="AG763">
        <v>1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1</v>
      </c>
    </row>
    <row r="764" spans="1:42" x14ac:dyDescent="0.25">
      <c r="A764">
        <v>911</v>
      </c>
      <c r="B764" t="s">
        <v>1496</v>
      </c>
      <c r="C764" t="s">
        <v>1494</v>
      </c>
      <c r="D764" t="s">
        <v>121</v>
      </c>
      <c r="E764" s="4">
        <v>1</v>
      </c>
      <c r="F764" t="s">
        <v>61</v>
      </c>
      <c r="G764" t="s">
        <v>61</v>
      </c>
      <c r="H764" s="3">
        <v>46195</v>
      </c>
      <c r="I764" s="3">
        <v>46195</v>
      </c>
      <c r="J764" t="s">
        <v>472</v>
      </c>
      <c r="K764" s="3">
        <v>46175</v>
      </c>
      <c r="L764" s="3">
        <v>46175</v>
      </c>
      <c r="M764" s="3">
        <v>46195</v>
      </c>
      <c r="N764" s="3">
        <v>46195</v>
      </c>
      <c r="O764" t="s">
        <v>219</v>
      </c>
      <c r="P764" t="s">
        <v>55</v>
      </c>
      <c r="Q764">
        <v>910</v>
      </c>
      <c r="S764" t="s">
        <v>124</v>
      </c>
      <c r="T764" t="s">
        <v>1429</v>
      </c>
      <c r="U764">
        <v>912</v>
      </c>
      <c r="V764" t="s">
        <v>61</v>
      </c>
      <c r="W764">
        <v>13.4</v>
      </c>
      <c r="X764" t="s">
        <v>57</v>
      </c>
      <c r="Z764" t="s">
        <v>124</v>
      </c>
      <c r="AA764" t="s">
        <v>460</v>
      </c>
      <c r="AE764">
        <v>1</v>
      </c>
      <c r="AF764">
        <v>0</v>
      </c>
      <c r="AG764">
        <v>0</v>
      </c>
      <c r="AH764">
        <v>0</v>
      </c>
      <c r="AI764">
        <v>0</v>
      </c>
      <c r="AJ764">
        <v>1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</row>
    <row r="765" spans="1:42" x14ac:dyDescent="0.25">
      <c r="A765">
        <v>912</v>
      </c>
      <c r="B765" t="s">
        <v>1497</v>
      </c>
      <c r="C765" t="s">
        <v>1494</v>
      </c>
      <c r="D765" t="s">
        <v>126</v>
      </c>
      <c r="E765" s="4">
        <v>1</v>
      </c>
      <c r="F765" t="s">
        <v>61</v>
      </c>
      <c r="G765" t="s">
        <v>61</v>
      </c>
      <c r="H765" s="3">
        <v>46196</v>
      </c>
      <c r="I765" s="3">
        <v>46196</v>
      </c>
      <c r="J765" t="s">
        <v>459</v>
      </c>
      <c r="K765" s="3">
        <v>46176</v>
      </c>
      <c r="L765" s="3">
        <v>46176</v>
      </c>
      <c r="M765" s="3">
        <v>46196</v>
      </c>
      <c r="N765" s="3">
        <v>46196</v>
      </c>
      <c r="O765" t="s">
        <v>212</v>
      </c>
      <c r="P765" t="s">
        <v>55</v>
      </c>
      <c r="Q765">
        <v>911</v>
      </c>
      <c r="S765" t="s">
        <v>1444</v>
      </c>
      <c r="T765" t="s">
        <v>1429</v>
      </c>
      <c r="U765">
        <v>913</v>
      </c>
      <c r="V765" t="s">
        <v>61</v>
      </c>
      <c r="W765">
        <v>13.4</v>
      </c>
      <c r="X765" t="s">
        <v>57</v>
      </c>
      <c r="Z765" t="s">
        <v>1444</v>
      </c>
      <c r="AA765" t="s">
        <v>460</v>
      </c>
      <c r="AE765">
        <v>1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1</v>
      </c>
      <c r="AM765">
        <v>0</v>
      </c>
      <c r="AN765">
        <v>0</v>
      </c>
      <c r="AO765">
        <v>0</v>
      </c>
      <c r="AP765">
        <v>0</v>
      </c>
    </row>
    <row r="766" spans="1:42" x14ac:dyDescent="0.25">
      <c r="A766">
        <v>913</v>
      </c>
      <c r="B766" t="s">
        <v>1498</v>
      </c>
      <c r="C766" t="s">
        <v>1494</v>
      </c>
      <c r="D766" t="s">
        <v>133</v>
      </c>
      <c r="E766" s="4">
        <v>1</v>
      </c>
      <c r="F766" t="s">
        <v>61</v>
      </c>
      <c r="G766" t="s">
        <v>61</v>
      </c>
      <c r="H766" s="3">
        <v>46197</v>
      </c>
      <c r="I766" s="3">
        <v>46197</v>
      </c>
      <c r="J766" t="s">
        <v>201</v>
      </c>
      <c r="K766" s="3">
        <v>46181</v>
      </c>
      <c r="L766" s="3">
        <v>46181</v>
      </c>
      <c r="M766" s="3">
        <v>46197</v>
      </c>
      <c r="N766" s="3">
        <v>46197</v>
      </c>
      <c r="O766" t="s">
        <v>207</v>
      </c>
      <c r="P766" t="s">
        <v>55</v>
      </c>
      <c r="Q766">
        <v>912</v>
      </c>
      <c r="S766" t="s">
        <v>124</v>
      </c>
      <c r="T766" t="s">
        <v>1429</v>
      </c>
      <c r="V766" t="s">
        <v>61</v>
      </c>
      <c r="W766">
        <v>13.4</v>
      </c>
      <c r="X766" t="s">
        <v>57</v>
      </c>
      <c r="Z766" t="s">
        <v>124</v>
      </c>
      <c r="AA766" t="s">
        <v>462</v>
      </c>
      <c r="AE766">
        <v>1</v>
      </c>
      <c r="AF766">
        <v>0</v>
      </c>
      <c r="AG766">
        <v>0</v>
      </c>
      <c r="AH766">
        <v>0</v>
      </c>
      <c r="AI766">
        <v>1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0</v>
      </c>
      <c r="AP766">
        <v>0</v>
      </c>
    </row>
    <row r="767" spans="1:42" x14ac:dyDescent="0.25">
      <c r="A767">
        <v>914</v>
      </c>
      <c r="B767" t="s">
        <v>1499</v>
      </c>
      <c r="C767" t="s">
        <v>1491</v>
      </c>
      <c r="D767" t="s">
        <v>1500</v>
      </c>
      <c r="E767" s="4">
        <v>1</v>
      </c>
      <c r="F767" t="s">
        <v>138</v>
      </c>
      <c r="G767" t="s">
        <v>138</v>
      </c>
      <c r="H767" s="3">
        <v>46191</v>
      </c>
      <c r="I767" s="3">
        <v>46197</v>
      </c>
      <c r="J767" t="s">
        <v>480</v>
      </c>
      <c r="K767" s="3">
        <v>46197</v>
      </c>
      <c r="L767" s="3">
        <v>46191</v>
      </c>
      <c r="M767" s="3">
        <v>46197</v>
      </c>
      <c r="N767" s="3">
        <v>46197</v>
      </c>
      <c r="O767" t="s">
        <v>480</v>
      </c>
      <c r="P767" t="s">
        <v>55</v>
      </c>
      <c r="T767" t="s">
        <v>1429</v>
      </c>
      <c r="V767" t="s">
        <v>1038</v>
      </c>
      <c r="X767" t="s">
        <v>57</v>
      </c>
      <c r="AA767" t="s">
        <v>50</v>
      </c>
      <c r="AB767" t="s">
        <v>94</v>
      </c>
      <c r="AE767">
        <v>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</row>
    <row r="768" spans="1:42" x14ac:dyDescent="0.25">
      <c r="A768">
        <v>915</v>
      </c>
      <c r="B768" t="s">
        <v>1501</v>
      </c>
      <c r="C768" t="s">
        <v>1502</v>
      </c>
      <c r="D768" t="s">
        <v>117</v>
      </c>
      <c r="E768" s="4">
        <v>1</v>
      </c>
      <c r="F768" t="s">
        <v>127</v>
      </c>
      <c r="G768" t="s">
        <v>127</v>
      </c>
      <c r="H768" s="3">
        <v>46191</v>
      </c>
      <c r="I768" s="3">
        <v>46192</v>
      </c>
      <c r="J768" t="s">
        <v>480</v>
      </c>
      <c r="K768" s="3">
        <v>46192</v>
      </c>
      <c r="L768" s="3">
        <v>46191</v>
      </c>
      <c r="M768" s="3">
        <v>46192</v>
      </c>
      <c r="N768" s="3">
        <v>46192</v>
      </c>
      <c r="O768" t="s">
        <v>480</v>
      </c>
      <c r="P768" t="s">
        <v>55</v>
      </c>
      <c r="Q768">
        <v>536</v>
      </c>
      <c r="S768" t="s">
        <v>1444</v>
      </c>
      <c r="T768" t="s">
        <v>1429</v>
      </c>
      <c r="U768" t="s">
        <v>1503</v>
      </c>
      <c r="V768" t="s">
        <v>151</v>
      </c>
      <c r="W768">
        <v>13.4</v>
      </c>
      <c r="X768" t="s">
        <v>57</v>
      </c>
      <c r="Z768" t="s">
        <v>1444</v>
      </c>
      <c r="AA768" t="s">
        <v>198</v>
      </c>
      <c r="AE768">
        <v>1</v>
      </c>
      <c r="AF768">
        <v>1</v>
      </c>
      <c r="AG768">
        <v>1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1</v>
      </c>
    </row>
    <row r="769" spans="1:42" x14ac:dyDescent="0.25">
      <c r="A769">
        <v>916</v>
      </c>
      <c r="B769" t="s">
        <v>1504</v>
      </c>
      <c r="C769" t="s">
        <v>1502</v>
      </c>
      <c r="D769" t="s">
        <v>121</v>
      </c>
      <c r="E769" s="4">
        <v>1</v>
      </c>
      <c r="F769" t="s">
        <v>61</v>
      </c>
      <c r="G769" t="s">
        <v>61</v>
      </c>
      <c r="H769" s="3">
        <v>46195</v>
      </c>
      <c r="I769" s="3">
        <v>46195</v>
      </c>
      <c r="J769" t="s">
        <v>219</v>
      </c>
      <c r="K769" s="3">
        <v>46195</v>
      </c>
      <c r="L769" s="3">
        <v>46195</v>
      </c>
      <c r="M769" s="3">
        <v>46195</v>
      </c>
      <c r="N769" s="3">
        <v>46195</v>
      </c>
      <c r="O769" t="s">
        <v>219</v>
      </c>
      <c r="P769" t="s">
        <v>55</v>
      </c>
      <c r="Q769">
        <v>915</v>
      </c>
      <c r="S769" t="s">
        <v>124</v>
      </c>
      <c r="T769" t="s">
        <v>1429</v>
      </c>
      <c r="U769">
        <v>917</v>
      </c>
      <c r="V769" t="s">
        <v>61</v>
      </c>
      <c r="W769">
        <v>13.4</v>
      </c>
      <c r="X769" t="s">
        <v>57</v>
      </c>
      <c r="Z769" t="s">
        <v>124</v>
      </c>
      <c r="AA769" t="s">
        <v>460</v>
      </c>
      <c r="AE769">
        <v>1</v>
      </c>
      <c r="AF769">
        <v>0</v>
      </c>
      <c r="AG769">
        <v>0</v>
      </c>
      <c r="AH769">
        <v>0</v>
      </c>
      <c r="AI769">
        <v>0</v>
      </c>
      <c r="AJ769">
        <v>1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</row>
    <row r="770" spans="1:42" x14ac:dyDescent="0.25">
      <c r="A770">
        <v>917</v>
      </c>
      <c r="B770" t="s">
        <v>1505</v>
      </c>
      <c r="C770" t="s">
        <v>1502</v>
      </c>
      <c r="D770" t="s">
        <v>126</v>
      </c>
      <c r="E770" s="4">
        <v>1</v>
      </c>
      <c r="F770" t="s">
        <v>61</v>
      </c>
      <c r="G770" t="s">
        <v>61</v>
      </c>
      <c r="H770" s="3">
        <v>46196</v>
      </c>
      <c r="I770" s="3">
        <v>46196</v>
      </c>
      <c r="J770" t="s">
        <v>212</v>
      </c>
      <c r="K770" s="3">
        <v>46196</v>
      </c>
      <c r="L770" s="3">
        <v>46196</v>
      </c>
      <c r="M770" s="3">
        <v>46196</v>
      </c>
      <c r="N770" s="3">
        <v>46196</v>
      </c>
      <c r="O770" t="s">
        <v>212</v>
      </c>
      <c r="P770" t="s">
        <v>55</v>
      </c>
      <c r="Q770">
        <v>916</v>
      </c>
      <c r="S770" t="s">
        <v>1444</v>
      </c>
      <c r="T770" t="s">
        <v>1429</v>
      </c>
      <c r="U770">
        <v>918</v>
      </c>
      <c r="V770" t="s">
        <v>61</v>
      </c>
      <c r="W770">
        <v>13.4</v>
      </c>
      <c r="X770" t="s">
        <v>57</v>
      </c>
      <c r="Z770" t="s">
        <v>1444</v>
      </c>
      <c r="AA770" t="s">
        <v>460</v>
      </c>
      <c r="AE770">
        <v>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1</v>
      </c>
      <c r="AM770">
        <v>0</v>
      </c>
      <c r="AN770">
        <v>0</v>
      </c>
      <c r="AO770">
        <v>0</v>
      </c>
      <c r="AP770">
        <v>0</v>
      </c>
    </row>
    <row r="771" spans="1:42" x14ac:dyDescent="0.25">
      <c r="A771">
        <v>918</v>
      </c>
      <c r="B771" t="s">
        <v>1506</v>
      </c>
      <c r="C771" t="s">
        <v>1502</v>
      </c>
      <c r="D771" t="s">
        <v>133</v>
      </c>
      <c r="E771" s="4">
        <v>1</v>
      </c>
      <c r="F771" t="s">
        <v>61</v>
      </c>
      <c r="G771" t="s">
        <v>61</v>
      </c>
      <c r="H771" s="3">
        <v>46197</v>
      </c>
      <c r="I771" s="3">
        <v>46197</v>
      </c>
      <c r="J771" t="s">
        <v>207</v>
      </c>
      <c r="K771" s="3">
        <v>46197</v>
      </c>
      <c r="L771" s="3">
        <v>46197</v>
      </c>
      <c r="M771" s="3">
        <v>46197</v>
      </c>
      <c r="N771" s="3">
        <v>46197</v>
      </c>
      <c r="O771" t="s">
        <v>207</v>
      </c>
      <c r="P771" t="s">
        <v>55</v>
      </c>
      <c r="Q771">
        <v>917</v>
      </c>
      <c r="S771" t="s">
        <v>124</v>
      </c>
      <c r="T771" t="s">
        <v>1429</v>
      </c>
      <c r="V771" t="s">
        <v>61</v>
      </c>
      <c r="W771">
        <v>13.4</v>
      </c>
      <c r="X771" t="s">
        <v>57</v>
      </c>
      <c r="Z771" t="s">
        <v>124</v>
      </c>
      <c r="AA771" t="s">
        <v>462</v>
      </c>
      <c r="AE771">
        <v>1</v>
      </c>
      <c r="AF771">
        <v>0</v>
      </c>
      <c r="AG771">
        <v>0</v>
      </c>
      <c r="AH771">
        <v>0</v>
      </c>
      <c r="AI771">
        <v>1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0</v>
      </c>
      <c r="AP771">
        <v>0</v>
      </c>
    </row>
    <row r="772" spans="1:42" x14ac:dyDescent="0.25">
      <c r="A772">
        <v>919</v>
      </c>
      <c r="B772" t="s">
        <v>1507</v>
      </c>
      <c r="C772" t="s">
        <v>1491</v>
      </c>
      <c r="D772" t="s">
        <v>1508</v>
      </c>
      <c r="E772" s="4">
        <v>1</v>
      </c>
      <c r="F772" t="s">
        <v>214</v>
      </c>
      <c r="G772" t="s">
        <v>214</v>
      </c>
      <c r="H772" s="3">
        <v>46185</v>
      </c>
      <c r="I772" s="3">
        <v>46192</v>
      </c>
      <c r="J772" t="s">
        <v>472</v>
      </c>
      <c r="K772" s="3">
        <v>46195</v>
      </c>
      <c r="L772" s="3">
        <v>46175</v>
      </c>
      <c r="M772" s="3">
        <v>46192</v>
      </c>
      <c r="N772" s="3">
        <v>46192</v>
      </c>
      <c r="O772" t="s">
        <v>571</v>
      </c>
      <c r="P772" t="s">
        <v>55</v>
      </c>
      <c r="T772" t="s">
        <v>1429</v>
      </c>
      <c r="V772" t="s">
        <v>1038</v>
      </c>
      <c r="X772" t="s">
        <v>57</v>
      </c>
      <c r="AA772" t="s">
        <v>50</v>
      </c>
      <c r="AB772" t="s">
        <v>94</v>
      </c>
      <c r="AE772">
        <v>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</row>
    <row r="773" spans="1:42" x14ac:dyDescent="0.25">
      <c r="A773">
        <v>920</v>
      </c>
      <c r="B773" t="s">
        <v>1509</v>
      </c>
      <c r="C773" t="s">
        <v>1510</v>
      </c>
      <c r="D773" t="s">
        <v>117</v>
      </c>
      <c r="E773" s="4">
        <v>1</v>
      </c>
      <c r="F773" t="s">
        <v>138</v>
      </c>
      <c r="G773" t="s">
        <v>138</v>
      </c>
      <c r="H773" s="3">
        <v>46185</v>
      </c>
      <c r="I773" s="3">
        <v>46191</v>
      </c>
      <c r="J773" t="s">
        <v>472</v>
      </c>
      <c r="K773" s="3">
        <v>46190</v>
      </c>
      <c r="L773" s="3">
        <v>46175</v>
      </c>
      <c r="M773" s="3">
        <v>46191</v>
      </c>
      <c r="N773" s="3">
        <v>46191</v>
      </c>
      <c r="O773" t="s">
        <v>571</v>
      </c>
      <c r="P773" t="s">
        <v>55</v>
      </c>
      <c r="S773" t="s">
        <v>1433</v>
      </c>
      <c r="T773" t="s">
        <v>1429</v>
      </c>
      <c r="U773">
        <v>921</v>
      </c>
      <c r="V773" t="s">
        <v>151</v>
      </c>
      <c r="W773">
        <v>13.4</v>
      </c>
      <c r="X773" t="s">
        <v>57</v>
      </c>
      <c r="Z773" t="s">
        <v>1433</v>
      </c>
      <c r="AA773" t="s">
        <v>460</v>
      </c>
      <c r="AE773">
        <v>1</v>
      </c>
      <c r="AF773">
        <v>1</v>
      </c>
      <c r="AG773">
        <v>1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1</v>
      </c>
    </row>
    <row r="774" spans="1:42" x14ac:dyDescent="0.25">
      <c r="A774">
        <v>921</v>
      </c>
      <c r="B774" t="s">
        <v>1511</v>
      </c>
      <c r="C774" t="s">
        <v>1510</v>
      </c>
      <c r="D774" t="s">
        <v>121</v>
      </c>
      <c r="E774" s="4">
        <v>1</v>
      </c>
      <c r="F774" t="s">
        <v>61</v>
      </c>
      <c r="G774" t="s">
        <v>61</v>
      </c>
      <c r="H774" s="3">
        <v>46192</v>
      </c>
      <c r="I774" s="3">
        <v>46192</v>
      </c>
      <c r="J774" t="s">
        <v>480</v>
      </c>
      <c r="K774" s="3">
        <v>46191</v>
      </c>
      <c r="L774" s="3">
        <v>46191</v>
      </c>
      <c r="M774" s="3">
        <v>46192</v>
      </c>
      <c r="N774" s="3">
        <v>46192</v>
      </c>
      <c r="O774" t="s">
        <v>211</v>
      </c>
      <c r="P774" t="s">
        <v>55</v>
      </c>
      <c r="Q774">
        <v>920</v>
      </c>
      <c r="S774" t="s">
        <v>124</v>
      </c>
      <c r="T774" t="s">
        <v>1429</v>
      </c>
      <c r="U774">
        <v>922</v>
      </c>
      <c r="V774" t="s">
        <v>61</v>
      </c>
      <c r="W774">
        <v>13.4</v>
      </c>
      <c r="X774" t="s">
        <v>57</v>
      </c>
      <c r="Z774" t="s">
        <v>124</v>
      </c>
      <c r="AA774" t="s">
        <v>217</v>
      </c>
      <c r="AE774">
        <v>1</v>
      </c>
      <c r="AF774">
        <v>0</v>
      </c>
      <c r="AG774">
        <v>0</v>
      </c>
      <c r="AH774">
        <v>0</v>
      </c>
      <c r="AI774">
        <v>0</v>
      </c>
      <c r="AJ774">
        <v>1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</row>
    <row r="775" spans="1:42" x14ac:dyDescent="0.25">
      <c r="A775">
        <v>922</v>
      </c>
      <c r="B775" t="s">
        <v>1512</v>
      </c>
      <c r="C775" t="s">
        <v>1510</v>
      </c>
      <c r="D775" t="s">
        <v>126</v>
      </c>
      <c r="E775" s="4">
        <v>1</v>
      </c>
      <c r="F775" t="s">
        <v>63</v>
      </c>
      <c r="G775" t="s">
        <v>63</v>
      </c>
      <c r="H775" s="3">
        <v>46192</v>
      </c>
      <c r="I775" s="3">
        <v>46192</v>
      </c>
      <c r="J775" t="s">
        <v>211</v>
      </c>
      <c r="K775" s="3">
        <v>46192</v>
      </c>
      <c r="L775" s="3">
        <v>46192</v>
      </c>
      <c r="M775" s="3">
        <v>46192</v>
      </c>
      <c r="N775" s="3">
        <v>46192</v>
      </c>
      <c r="O775" t="s">
        <v>211</v>
      </c>
      <c r="P775" t="s">
        <v>55</v>
      </c>
      <c r="Q775">
        <v>921</v>
      </c>
      <c r="S775" t="s">
        <v>1433</v>
      </c>
      <c r="T775" t="s">
        <v>1429</v>
      </c>
      <c r="U775">
        <v>923</v>
      </c>
      <c r="V775" t="s">
        <v>61</v>
      </c>
      <c r="W775">
        <v>13.4</v>
      </c>
      <c r="X775" t="s">
        <v>57</v>
      </c>
      <c r="Z775" t="s">
        <v>1433</v>
      </c>
      <c r="AA775" t="s">
        <v>217</v>
      </c>
      <c r="AE775">
        <v>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1</v>
      </c>
      <c r="AM775">
        <v>0</v>
      </c>
      <c r="AN775">
        <v>0</v>
      </c>
      <c r="AO775">
        <v>0</v>
      </c>
      <c r="AP775">
        <v>0</v>
      </c>
    </row>
    <row r="776" spans="1:42" x14ac:dyDescent="0.25">
      <c r="A776">
        <v>923</v>
      </c>
      <c r="B776" t="s">
        <v>1513</v>
      </c>
      <c r="C776" t="s">
        <v>1510</v>
      </c>
      <c r="D776" t="s">
        <v>133</v>
      </c>
      <c r="E776" s="4">
        <v>1</v>
      </c>
      <c r="F776" t="s">
        <v>63</v>
      </c>
      <c r="G776" t="s">
        <v>63</v>
      </c>
      <c r="H776" s="3">
        <v>46192</v>
      </c>
      <c r="I776" s="3">
        <v>46192</v>
      </c>
      <c r="J776" t="s">
        <v>219</v>
      </c>
      <c r="K776" s="3">
        <v>46195</v>
      </c>
      <c r="L776" s="3">
        <v>46195</v>
      </c>
      <c r="M776" s="3">
        <v>46192</v>
      </c>
      <c r="N776" s="3">
        <v>46192</v>
      </c>
      <c r="O776" t="s">
        <v>211</v>
      </c>
      <c r="P776" t="s">
        <v>55</v>
      </c>
      <c r="Q776">
        <v>922</v>
      </c>
      <c r="S776" t="s">
        <v>124</v>
      </c>
      <c r="T776" t="s">
        <v>1429</v>
      </c>
      <c r="V776" t="s">
        <v>61</v>
      </c>
      <c r="W776">
        <v>13.4</v>
      </c>
      <c r="X776" t="s">
        <v>57</v>
      </c>
      <c r="Z776" t="s">
        <v>124</v>
      </c>
      <c r="AA776" t="s">
        <v>131</v>
      </c>
      <c r="AE776">
        <v>1</v>
      </c>
      <c r="AF776">
        <v>0</v>
      </c>
      <c r="AG776">
        <v>0</v>
      </c>
      <c r="AH776">
        <v>0</v>
      </c>
      <c r="AI776">
        <v>1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0</v>
      </c>
      <c r="AP776">
        <v>0</v>
      </c>
    </row>
    <row r="777" spans="1:42" x14ac:dyDescent="0.25">
      <c r="A777">
        <v>924</v>
      </c>
      <c r="B777" t="s">
        <v>1514</v>
      </c>
      <c r="C777" t="s">
        <v>1491</v>
      </c>
      <c r="D777" t="s">
        <v>1515</v>
      </c>
      <c r="E777" s="4">
        <v>1</v>
      </c>
      <c r="F777" t="s">
        <v>138</v>
      </c>
      <c r="G777" t="s">
        <v>138</v>
      </c>
      <c r="H777" s="3">
        <v>46195</v>
      </c>
      <c r="I777" s="3">
        <v>46199</v>
      </c>
      <c r="J777" t="s">
        <v>204</v>
      </c>
      <c r="K777" s="3">
        <v>46195</v>
      </c>
      <c r="L777" s="3">
        <v>46182</v>
      </c>
      <c r="M777" s="3">
        <v>46199</v>
      </c>
      <c r="N777" s="3">
        <v>46199</v>
      </c>
      <c r="O777" t="s">
        <v>219</v>
      </c>
      <c r="P777" t="s">
        <v>55</v>
      </c>
      <c r="T777" t="s">
        <v>1429</v>
      </c>
      <c r="V777" t="s">
        <v>151</v>
      </c>
      <c r="X777" t="s">
        <v>57</v>
      </c>
      <c r="AA777" t="s">
        <v>50</v>
      </c>
      <c r="AB777" t="s">
        <v>94</v>
      </c>
      <c r="AE777">
        <v>1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</row>
    <row r="778" spans="1:42" x14ac:dyDescent="0.25">
      <c r="A778">
        <v>925</v>
      </c>
      <c r="B778" t="s">
        <v>1516</v>
      </c>
      <c r="C778" t="s">
        <v>1517</v>
      </c>
      <c r="D778" t="s">
        <v>117</v>
      </c>
      <c r="E778" s="4">
        <v>1</v>
      </c>
      <c r="F778" t="s">
        <v>127</v>
      </c>
      <c r="G778" t="s">
        <v>127</v>
      </c>
      <c r="H778" s="3">
        <v>46195</v>
      </c>
      <c r="I778" s="3">
        <v>46196</v>
      </c>
      <c r="J778" t="s">
        <v>204</v>
      </c>
      <c r="K778" s="3">
        <v>46188</v>
      </c>
      <c r="L778" s="3">
        <v>46182</v>
      </c>
      <c r="M778" s="3">
        <v>46196</v>
      </c>
      <c r="N778" s="3">
        <v>46196</v>
      </c>
      <c r="O778" t="s">
        <v>219</v>
      </c>
      <c r="P778" t="s">
        <v>55</v>
      </c>
      <c r="S778" t="s">
        <v>1444</v>
      </c>
      <c r="T778" t="s">
        <v>1429</v>
      </c>
      <c r="U778" t="s">
        <v>1518</v>
      </c>
      <c r="V778" t="s">
        <v>138</v>
      </c>
      <c r="W778">
        <v>13.4</v>
      </c>
      <c r="X778" t="s">
        <v>57</v>
      </c>
      <c r="Z778" t="s">
        <v>1444</v>
      </c>
      <c r="AA778" t="s">
        <v>462</v>
      </c>
      <c r="AE778">
        <v>1</v>
      </c>
      <c r="AF778">
        <v>1</v>
      </c>
      <c r="AG778">
        <v>1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1</v>
      </c>
    </row>
    <row r="779" spans="1:42" x14ac:dyDescent="0.25">
      <c r="A779">
        <v>926</v>
      </c>
      <c r="B779" t="s">
        <v>1519</v>
      </c>
      <c r="C779" t="s">
        <v>1517</v>
      </c>
      <c r="D779" t="s">
        <v>121</v>
      </c>
      <c r="E779" s="4">
        <v>1</v>
      </c>
      <c r="F779" t="s">
        <v>61</v>
      </c>
      <c r="G779" t="s">
        <v>61</v>
      </c>
      <c r="H779" s="3">
        <v>46197</v>
      </c>
      <c r="I779" s="3">
        <v>46197</v>
      </c>
      <c r="J779" t="s">
        <v>576</v>
      </c>
      <c r="K779" s="3">
        <v>46191</v>
      </c>
      <c r="L779" s="3">
        <v>46189</v>
      </c>
      <c r="M779" s="3">
        <v>46197</v>
      </c>
      <c r="N779" s="3">
        <v>46197</v>
      </c>
      <c r="O779" t="s">
        <v>207</v>
      </c>
      <c r="P779" t="s">
        <v>55</v>
      </c>
      <c r="Q779">
        <v>925</v>
      </c>
      <c r="S779" t="s">
        <v>124</v>
      </c>
      <c r="T779" t="s">
        <v>1429</v>
      </c>
      <c r="U779">
        <v>927</v>
      </c>
      <c r="V779" t="s">
        <v>122</v>
      </c>
      <c r="W779">
        <v>13.4</v>
      </c>
      <c r="X779" t="s">
        <v>57</v>
      </c>
      <c r="Z779" t="s">
        <v>124</v>
      </c>
      <c r="AA779" t="s">
        <v>217</v>
      </c>
      <c r="AE779">
        <v>1</v>
      </c>
      <c r="AF779">
        <v>0</v>
      </c>
      <c r="AG779">
        <v>0</v>
      </c>
      <c r="AH779">
        <v>0</v>
      </c>
      <c r="AI779">
        <v>0</v>
      </c>
      <c r="AJ779">
        <v>1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</row>
    <row r="780" spans="1:42" x14ac:dyDescent="0.25">
      <c r="A780">
        <v>927</v>
      </c>
      <c r="B780" t="s">
        <v>1520</v>
      </c>
      <c r="C780" t="s">
        <v>1517</v>
      </c>
      <c r="D780" t="s">
        <v>126</v>
      </c>
      <c r="E780" s="4">
        <v>1</v>
      </c>
      <c r="F780" t="s">
        <v>61</v>
      </c>
      <c r="G780" t="s">
        <v>61</v>
      </c>
      <c r="H780" s="3">
        <v>46198</v>
      </c>
      <c r="I780" s="3">
        <v>46198</v>
      </c>
      <c r="J780" t="s">
        <v>211</v>
      </c>
      <c r="K780" s="3">
        <v>46192</v>
      </c>
      <c r="L780" s="3">
        <v>46192</v>
      </c>
      <c r="M780" s="3">
        <v>46198</v>
      </c>
      <c r="N780" s="3">
        <v>46198</v>
      </c>
      <c r="O780" t="s">
        <v>128</v>
      </c>
      <c r="P780" t="s">
        <v>55</v>
      </c>
      <c r="Q780">
        <v>926</v>
      </c>
      <c r="S780" t="s">
        <v>1444</v>
      </c>
      <c r="T780" t="s">
        <v>1429</v>
      </c>
      <c r="U780">
        <v>928</v>
      </c>
      <c r="V780" t="s">
        <v>61</v>
      </c>
      <c r="W780">
        <v>13.4</v>
      </c>
      <c r="X780" t="s">
        <v>57</v>
      </c>
      <c r="Z780" t="s">
        <v>1444</v>
      </c>
      <c r="AA780" t="s">
        <v>217</v>
      </c>
      <c r="AE780">
        <v>1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1</v>
      </c>
      <c r="AM780">
        <v>0</v>
      </c>
      <c r="AN780">
        <v>0</v>
      </c>
      <c r="AO780">
        <v>0</v>
      </c>
      <c r="AP780">
        <v>0</v>
      </c>
    </row>
    <row r="781" spans="1:42" x14ac:dyDescent="0.25">
      <c r="A781">
        <v>928</v>
      </c>
      <c r="B781" t="s">
        <v>1521</v>
      </c>
      <c r="C781" t="s">
        <v>1517</v>
      </c>
      <c r="D781" t="s">
        <v>133</v>
      </c>
      <c r="E781" s="4">
        <v>1</v>
      </c>
      <c r="F781" t="s">
        <v>61</v>
      </c>
      <c r="G781" t="s">
        <v>61</v>
      </c>
      <c r="H781" s="3">
        <v>46199</v>
      </c>
      <c r="I781" s="3">
        <v>46199</v>
      </c>
      <c r="J781" t="s">
        <v>219</v>
      </c>
      <c r="K781" s="3">
        <v>46195</v>
      </c>
      <c r="L781" s="3">
        <v>46195</v>
      </c>
      <c r="M781" s="3">
        <v>46199</v>
      </c>
      <c r="N781" s="3">
        <v>46199</v>
      </c>
      <c r="O781" t="s">
        <v>134</v>
      </c>
      <c r="P781" t="s">
        <v>55</v>
      </c>
      <c r="Q781">
        <v>927</v>
      </c>
      <c r="S781" t="s">
        <v>124</v>
      </c>
      <c r="T781" t="s">
        <v>1429</v>
      </c>
      <c r="V781" t="s">
        <v>61</v>
      </c>
      <c r="W781">
        <v>13.4</v>
      </c>
      <c r="X781" t="s">
        <v>57</v>
      </c>
      <c r="Z781" t="s">
        <v>124</v>
      </c>
      <c r="AA781" t="s">
        <v>131</v>
      </c>
      <c r="AE781">
        <v>1</v>
      </c>
      <c r="AF781">
        <v>0</v>
      </c>
      <c r="AG781">
        <v>0</v>
      </c>
      <c r="AH781">
        <v>0</v>
      </c>
      <c r="AI781">
        <v>1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0</v>
      </c>
      <c r="AP781">
        <v>0</v>
      </c>
    </row>
    <row r="782" spans="1:42" x14ac:dyDescent="0.25">
      <c r="A782">
        <v>929</v>
      </c>
      <c r="B782" t="s">
        <v>1522</v>
      </c>
      <c r="C782" t="s">
        <v>1491</v>
      </c>
      <c r="D782" t="s">
        <v>1523</v>
      </c>
      <c r="E782" s="4">
        <v>1</v>
      </c>
      <c r="F782" t="s">
        <v>138</v>
      </c>
      <c r="G782" t="s">
        <v>138</v>
      </c>
      <c r="H782" s="3">
        <v>46195</v>
      </c>
      <c r="I782" s="3">
        <v>46199</v>
      </c>
      <c r="J782" t="s">
        <v>204</v>
      </c>
      <c r="K782" s="3">
        <v>46195</v>
      </c>
      <c r="L782" s="3">
        <v>46182</v>
      </c>
      <c r="M782" s="3">
        <v>46199</v>
      </c>
      <c r="N782" s="3">
        <v>46199</v>
      </c>
      <c r="O782" t="s">
        <v>219</v>
      </c>
      <c r="P782" t="s">
        <v>55</v>
      </c>
      <c r="T782" t="s">
        <v>1429</v>
      </c>
      <c r="V782" t="s">
        <v>151</v>
      </c>
      <c r="X782" t="s">
        <v>57</v>
      </c>
      <c r="AA782" t="s">
        <v>50</v>
      </c>
      <c r="AB782" t="s">
        <v>94</v>
      </c>
      <c r="AE782">
        <v>1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</row>
    <row r="783" spans="1:42" x14ac:dyDescent="0.25">
      <c r="A783">
        <v>930</v>
      </c>
      <c r="B783" t="s">
        <v>1524</v>
      </c>
      <c r="C783" t="s">
        <v>1525</v>
      </c>
      <c r="D783" t="s">
        <v>117</v>
      </c>
      <c r="E783" s="4">
        <v>1</v>
      </c>
      <c r="F783" t="s">
        <v>127</v>
      </c>
      <c r="G783" t="s">
        <v>127</v>
      </c>
      <c r="H783" s="3">
        <v>46195</v>
      </c>
      <c r="I783" s="3">
        <v>46196</v>
      </c>
      <c r="J783" t="s">
        <v>204</v>
      </c>
      <c r="K783" s="3">
        <v>46188</v>
      </c>
      <c r="L783" s="3">
        <v>46182</v>
      </c>
      <c r="M783" s="3">
        <v>46196</v>
      </c>
      <c r="N783" s="3">
        <v>46196</v>
      </c>
      <c r="O783" t="s">
        <v>219</v>
      </c>
      <c r="P783" t="s">
        <v>55</v>
      </c>
      <c r="Q783" t="s">
        <v>1526</v>
      </c>
      <c r="S783" t="s">
        <v>1444</v>
      </c>
      <c r="T783" t="s">
        <v>1429</v>
      </c>
      <c r="U783">
        <v>931</v>
      </c>
      <c r="V783" t="s">
        <v>138</v>
      </c>
      <c r="W783">
        <v>13.4</v>
      </c>
      <c r="X783" t="s">
        <v>57</v>
      </c>
      <c r="Z783" t="s">
        <v>1444</v>
      </c>
      <c r="AA783" t="s">
        <v>462</v>
      </c>
      <c r="AE783">
        <v>1</v>
      </c>
      <c r="AF783">
        <v>1</v>
      </c>
      <c r="AG783">
        <v>1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1</v>
      </c>
    </row>
    <row r="784" spans="1:42" x14ac:dyDescent="0.25">
      <c r="A784">
        <v>931</v>
      </c>
      <c r="B784" t="s">
        <v>1527</v>
      </c>
      <c r="C784" t="s">
        <v>1525</v>
      </c>
      <c r="D784" t="s">
        <v>121</v>
      </c>
      <c r="E784" s="4">
        <v>1</v>
      </c>
      <c r="F784" t="s">
        <v>61</v>
      </c>
      <c r="G784" t="s">
        <v>61</v>
      </c>
      <c r="H784" s="3">
        <v>46197</v>
      </c>
      <c r="I784" s="3">
        <v>46197</v>
      </c>
      <c r="J784" t="s">
        <v>576</v>
      </c>
      <c r="K784" s="3">
        <v>46191</v>
      </c>
      <c r="L784" s="3">
        <v>46189</v>
      </c>
      <c r="M784" s="3">
        <v>46197</v>
      </c>
      <c r="N784" s="3">
        <v>46197</v>
      </c>
      <c r="O784" t="s">
        <v>207</v>
      </c>
      <c r="P784" t="s">
        <v>55</v>
      </c>
      <c r="Q784">
        <v>930</v>
      </c>
      <c r="S784" t="s">
        <v>124</v>
      </c>
      <c r="T784" t="s">
        <v>1429</v>
      </c>
      <c r="U784">
        <v>932</v>
      </c>
      <c r="V784" t="s">
        <v>122</v>
      </c>
      <c r="W784">
        <v>13.4</v>
      </c>
      <c r="X784" t="s">
        <v>57</v>
      </c>
      <c r="Z784" t="s">
        <v>124</v>
      </c>
      <c r="AA784" t="s">
        <v>217</v>
      </c>
      <c r="AE784">
        <v>1</v>
      </c>
      <c r="AF784">
        <v>0</v>
      </c>
      <c r="AG784">
        <v>0</v>
      </c>
      <c r="AH784">
        <v>0</v>
      </c>
      <c r="AI784">
        <v>0</v>
      </c>
      <c r="AJ784">
        <v>1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</row>
    <row r="785" spans="1:42" x14ac:dyDescent="0.25">
      <c r="A785">
        <v>932</v>
      </c>
      <c r="B785" t="s">
        <v>1528</v>
      </c>
      <c r="C785" t="s">
        <v>1525</v>
      </c>
      <c r="D785" t="s">
        <v>126</v>
      </c>
      <c r="E785" s="4">
        <v>1</v>
      </c>
      <c r="F785" t="s">
        <v>61</v>
      </c>
      <c r="G785" t="s">
        <v>61</v>
      </c>
      <c r="H785" s="3">
        <v>46198</v>
      </c>
      <c r="I785" s="3">
        <v>46198</v>
      </c>
      <c r="J785" t="s">
        <v>211</v>
      </c>
      <c r="K785" s="3">
        <v>46192</v>
      </c>
      <c r="L785" s="3">
        <v>46192</v>
      </c>
      <c r="M785" s="3">
        <v>46198</v>
      </c>
      <c r="N785" s="3">
        <v>46198</v>
      </c>
      <c r="O785" t="s">
        <v>128</v>
      </c>
      <c r="P785" t="s">
        <v>55</v>
      </c>
      <c r="Q785">
        <v>931</v>
      </c>
      <c r="S785" t="s">
        <v>1444</v>
      </c>
      <c r="T785" t="s">
        <v>1429</v>
      </c>
      <c r="U785">
        <v>933</v>
      </c>
      <c r="V785" t="s">
        <v>61</v>
      </c>
      <c r="W785">
        <v>13.4</v>
      </c>
      <c r="X785" t="s">
        <v>57</v>
      </c>
      <c r="Z785" t="s">
        <v>1444</v>
      </c>
      <c r="AA785" t="s">
        <v>217</v>
      </c>
      <c r="AE785">
        <v>1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1</v>
      </c>
      <c r="AM785">
        <v>0</v>
      </c>
      <c r="AN785">
        <v>0</v>
      </c>
      <c r="AO785">
        <v>0</v>
      </c>
      <c r="AP785">
        <v>0</v>
      </c>
    </row>
    <row r="786" spans="1:42" x14ac:dyDescent="0.25">
      <c r="A786">
        <v>933</v>
      </c>
      <c r="B786" t="s">
        <v>1529</v>
      </c>
      <c r="C786" t="s">
        <v>1525</v>
      </c>
      <c r="D786" t="s">
        <v>133</v>
      </c>
      <c r="E786" s="4">
        <v>1</v>
      </c>
      <c r="F786" t="s">
        <v>61</v>
      </c>
      <c r="G786" t="s">
        <v>61</v>
      </c>
      <c r="H786" s="3">
        <v>46199</v>
      </c>
      <c r="I786" s="3">
        <v>46199</v>
      </c>
      <c r="J786" t="s">
        <v>219</v>
      </c>
      <c r="K786" s="3">
        <v>46195</v>
      </c>
      <c r="L786" s="3">
        <v>46195</v>
      </c>
      <c r="M786" s="3">
        <v>46199</v>
      </c>
      <c r="N786" s="3">
        <v>46199</v>
      </c>
      <c r="O786" t="s">
        <v>134</v>
      </c>
      <c r="P786" t="s">
        <v>55</v>
      </c>
      <c r="Q786">
        <v>932</v>
      </c>
      <c r="S786" t="s">
        <v>124</v>
      </c>
      <c r="T786" t="s">
        <v>1429</v>
      </c>
      <c r="V786" t="s">
        <v>61</v>
      </c>
      <c r="W786">
        <v>13.4</v>
      </c>
      <c r="X786" t="s">
        <v>57</v>
      </c>
      <c r="Z786" t="s">
        <v>124</v>
      </c>
      <c r="AA786" t="s">
        <v>131</v>
      </c>
      <c r="AE786">
        <v>1</v>
      </c>
      <c r="AF786">
        <v>0</v>
      </c>
      <c r="AG786">
        <v>0</v>
      </c>
      <c r="AH786">
        <v>0</v>
      </c>
      <c r="AI786">
        <v>1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0</v>
      </c>
      <c r="AP786">
        <v>0</v>
      </c>
    </row>
    <row r="787" spans="1:42" x14ac:dyDescent="0.25">
      <c r="A787">
        <v>934</v>
      </c>
      <c r="B787" t="s">
        <v>1530</v>
      </c>
      <c r="C787" t="s">
        <v>1491</v>
      </c>
      <c r="D787" t="s">
        <v>1531</v>
      </c>
      <c r="E787" s="4">
        <v>1</v>
      </c>
      <c r="F787" t="s">
        <v>138</v>
      </c>
      <c r="G787" t="s">
        <v>138</v>
      </c>
      <c r="H787" s="3">
        <v>46195</v>
      </c>
      <c r="I787" s="3">
        <v>46199</v>
      </c>
      <c r="J787" t="s">
        <v>219</v>
      </c>
      <c r="K787" s="3">
        <v>46199</v>
      </c>
      <c r="L787" s="3">
        <v>46195</v>
      </c>
      <c r="M787" s="3">
        <v>46199</v>
      </c>
      <c r="N787" s="3">
        <v>46199</v>
      </c>
      <c r="O787" t="s">
        <v>219</v>
      </c>
      <c r="P787" t="s">
        <v>55</v>
      </c>
      <c r="T787" t="s">
        <v>1429</v>
      </c>
      <c r="V787" t="s">
        <v>151</v>
      </c>
      <c r="X787" t="s">
        <v>57</v>
      </c>
      <c r="AA787" t="s">
        <v>50</v>
      </c>
      <c r="AB787" t="s">
        <v>94</v>
      </c>
      <c r="AE787">
        <v>1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</row>
    <row r="788" spans="1:42" x14ac:dyDescent="0.25">
      <c r="A788">
        <v>935</v>
      </c>
      <c r="B788" t="s">
        <v>1532</v>
      </c>
      <c r="C788" t="s">
        <v>1533</v>
      </c>
      <c r="D788" t="s">
        <v>117</v>
      </c>
      <c r="E788" s="4">
        <v>1</v>
      </c>
      <c r="F788" t="s">
        <v>127</v>
      </c>
      <c r="G788" t="s">
        <v>127</v>
      </c>
      <c r="H788" s="3">
        <v>46195</v>
      </c>
      <c r="I788" s="3">
        <v>46196</v>
      </c>
      <c r="J788" t="s">
        <v>219</v>
      </c>
      <c r="K788" s="3">
        <v>46196</v>
      </c>
      <c r="L788" s="3">
        <v>46195</v>
      </c>
      <c r="M788" s="3">
        <v>46196</v>
      </c>
      <c r="N788" s="3">
        <v>46196</v>
      </c>
      <c r="O788" t="s">
        <v>219</v>
      </c>
      <c r="P788" t="s">
        <v>55</v>
      </c>
      <c r="S788" t="s">
        <v>1433</v>
      </c>
      <c r="T788" t="s">
        <v>1429</v>
      </c>
      <c r="U788">
        <v>936</v>
      </c>
      <c r="V788" t="s">
        <v>138</v>
      </c>
      <c r="W788">
        <v>13.4</v>
      </c>
      <c r="X788" t="s">
        <v>57</v>
      </c>
      <c r="Z788" t="s">
        <v>1433</v>
      </c>
      <c r="AA788" t="s">
        <v>462</v>
      </c>
      <c r="AE788">
        <v>1</v>
      </c>
      <c r="AF788">
        <v>1</v>
      </c>
      <c r="AG788">
        <v>1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1</v>
      </c>
    </row>
    <row r="789" spans="1:42" x14ac:dyDescent="0.25">
      <c r="A789">
        <v>936</v>
      </c>
      <c r="B789" t="s">
        <v>1534</v>
      </c>
      <c r="C789" t="s">
        <v>1533</v>
      </c>
      <c r="D789" t="s">
        <v>121</v>
      </c>
      <c r="E789" s="4">
        <v>1</v>
      </c>
      <c r="F789" t="s">
        <v>61</v>
      </c>
      <c r="G789" t="s">
        <v>61</v>
      </c>
      <c r="H789" s="3">
        <v>46197</v>
      </c>
      <c r="I789" s="3">
        <v>46197</v>
      </c>
      <c r="J789" t="s">
        <v>207</v>
      </c>
      <c r="K789" s="3">
        <v>46197</v>
      </c>
      <c r="L789" s="3">
        <v>46197</v>
      </c>
      <c r="M789" s="3">
        <v>46197</v>
      </c>
      <c r="N789" s="3">
        <v>46197</v>
      </c>
      <c r="O789" t="s">
        <v>207</v>
      </c>
      <c r="P789" t="s">
        <v>55</v>
      </c>
      <c r="Q789">
        <v>935</v>
      </c>
      <c r="S789" t="s">
        <v>124</v>
      </c>
      <c r="T789" t="s">
        <v>1429</v>
      </c>
      <c r="U789">
        <v>937</v>
      </c>
      <c r="V789" t="s">
        <v>122</v>
      </c>
      <c r="W789">
        <v>13.4</v>
      </c>
      <c r="X789" t="s">
        <v>57</v>
      </c>
      <c r="Z789" t="s">
        <v>124</v>
      </c>
      <c r="AA789" t="s">
        <v>217</v>
      </c>
      <c r="AE789">
        <v>1</v>
      </c>
      <c r="AF789">
        <v>0</v>
      </c>
      <c r="AG789">
        <v>0</v>
      </c>
      <c r="AH789">
        <v>0</v>
      </c>
      <c r="AI789">
        <v>0</v>
      </c>
      <c r="AJ789">
        <v>1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</row>
    <row r="790" spans="1:42" x14ac:dyDescent="0.25">
      <c r="A790">
        <v>937</v>
      </c>
      <c r="B790" t="s">
        <v>1535</v>
      </c>
      <c r="C790" t="s">
        <v>1533</v>
      </c>
      <c r="D790" t="s">
        <v>126</v>
      </c>
      <c r="E790" s="4">
        <v>1</v>
      </c>
      <c r="F790" t="s">
        <v>61</v>
      </c>
      <c r="G790" t="s">
        <v>61</v>
      </c>
      <c r="H790" s="3">
        <v>46198</v>
      </c>
      <c r="I790" s="3">
        <v>46198</v>
      </c>
      <c r="J790" t="s">
        <v>128</v>
      </c>
      <c r="K790" s="3">
        <v>46198</v>
      </c>
      <c r="L790" s="3">
        <v>46198</v>
      </c>
      <c r="M790" s="3">
        <v>46198</v>
      </c>
      <c r="N790" s="3">
        <v>46198</v>
      </c>
      <c r="O790" t="s">
        <v>128</v>
      </c>
      <c r="P790" t="s">
        <v>55</v>
      </c>
      <c r="Q790">
        <v>936</v>
      </c>
      <c r="S790" t="s">
        <v>1433</v>
      </c>
      <c r="T790" t="s">
        <v>1429</v>
      </c>
      <c r="U790">
        <v>938</v>
      </c>
      <c r="V790" t="s">
        <v>61</v>
      </c>
      <c r="W790">
        <v>13.4</v>
      </c>
      <c r="X790" t="s">
        <v>57</v>
      </c>
      <c r="Z790" t="s">
        <v>1433</v>
      </c>
      <c r="AA790" t="s">
        <v>217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1</v>
      </c>
      <c r="AM790">
        <v>0</v>
      </c>
      <c r="AN790">
        <v>0</v>
      </c>
      <c r="AO790">
        <v>0</v>
      </c>
      <c r="AP790">
        <v>0</v>
      </c>
    </row>
    <row r="791" spans="1:42" x14ac:dyDescent="0.25">
      <c r="A791">
        <v>938</v>
      </c>
      <c r="B791" t="s">
        <v>1536</v>
      </c>
      <c r="C791" t="s">
        <v>1533</v>
      </c>
      <c r="D791" t="s">
        <v>133</v>
      </c>
      <c r="E791" s="4">
        <v>1</v>
      </c>
      <c r="F791" t="s">
        <v>61</v>
      </c>
      <c r="G791" t="s">
        <v>61</v>
      </c>
      <c r="H791" s="3">
        <v>46199</v>
      </c>
      <c r="I791" s="3">
        <v>46199</v>
      </c>
      <c r="J791" t="s">
        <v>134</v>
      </c>
      <c r="K791" s="3">
        <v>46199</v>
      </c>
      <c r="L791" s="3">
        <v>46199</v>
      </c>
      <c r="M791" s="3">
        <v>46199</v>
      </c>
      <c r="N791" s="3">
        <v>46199</v>
      </c>
      <c r="O791" t="s">
        <v>134</v>
      </c>
      <c r="P791" t="s">
        <v>55</v>
      </c>
      <c r="Q791">
        <v>937</v>
      </c>
      <c r="S791" t="s">
        <v>124</v>
      </c>
      <c r="T791" t="s">
        <v>1429</v>
      </c>
      <c r="V791" t="s">
        <v>61</v>
      </c>
      <c r="W791">
        <v>13.4</v>
      </c>
      <c r="X791" t="s">
        <v>57</v>
      </c>
      <c r="Z791" t="s">
        <v>124</v>
      </c>
      <c r="AA791" t="s">
        <v>131</v>
      </c>
      <c r="AE791">
        <v>1</v>
      </c>
      <c r="AF791">
        <v>0</v>
      </c>
      <c r="AG791">
        <v>0</v>
      </c>
      <c r="AH791">
        <v>0</v>
      </c>
      <c r="AI791">
        <v>1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0</v>
      </c>
      <c r="AP791">
        <v>0</v>
      </c>
    </row>
    <row r="792" spans="1:42" x14ac:dyDescent="0.25">
      <c r="A792">
        <v>939</v>
      </c>
      <c r="B792" t="s">
        <v>1537</v>
      </c>
      <c r="C792" t="s">
        <v>1491</v>
      </c>
      <c r="D792" t="s">
        <v>1538</v>
      </c>
      <c r="E792" s="4">
        <v>1</v>
      </c>
      <c r="F792" t="s">
        <v>138</v>
      </c>
      <c r="G792" t="s">
        <v>138</v>
      </c>
      <c r="H792" s="3">
        <v>46195</v>
      </c>
      <c r="I792" s="3">
        <v>46199</v>
      </c>
      <c r="J792" t="s">
        <v>204</v>
      </c>
      <c r="K792" s="3">
        <v>46195</v>
      </c>
      <c r="L792" s="3">
        <v>46182</v>
      </c>
      <c r="M792" s="3">
        <v>46199</v>
      </c>
      <c r="N792" s="3">
        <v>46199</v>
      </c>
      <c r="O792" t="s">
        <v>219</v>
      </c>
      <c r="P792" t="s">
        <v>55</v>
      </c>
      <c r="T792" t="s">
        <v>1429</v>
      </c>
      <c r="V792" t="s">
        <v>151</v>
      </c>
      <c r="X792" t="s">
        <v>57</v>
      </c>
      <c r="AA792" t="s">
        <v>50</v>
      </c>
      <c r="AB792" t="s">
        <v>94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</row>
    <row r="793" spans="1:42" x14ac:dyDescent="0.25">
      <c r="A793">
        <v>940</v>
      </c>
      <c r="B793" t="s">
        <v>1539</v>
      </c>
      <c r="C793" t="s">
        <v>1540</v>
      </c>
      <c r="D793" t="s">
        <v>117</v>
      </c>
      <c r="E793" s="4">
        <v>1</v>
      </c>
      <c r="F793" t="s">
        <v>127</v>
      </c>
      <c r="G793" t="s">
        <v>127</v>
      </c>
      <c r="H793" s="3">
        <v>46195</v>
      </c>
      <c r="I793" s="3">
        <v>46196</v>
      </c>
      <c r="J793" t="s">
        <v>204</v>
      </c>
      <c r="K793" s="3">
        <v>46188</v>
      </c>
      <c r="L793" s="3">
        <v>46182</v>
      </c>
      <c r="M793" s="3">
        <v>46196</v>
      </c>
      <c r="N793" s="3">
        <v>46196</v>
      </c>
      <c r="O793" t="s">
        <v>219</v>
      </c>
      <c r="P793" t="s">
        <v>55</v>
      </c>
      <c r="Q793" t="s">
        <v>1526</v>
      </c>
      <c r="S793" t="s">
        <v>1444</v>
      </c>
      <c r="T793" t="s">
        <v>1429</v>
      </c>
      <c r="U793">
        <v>941</v>
      </c>
      <c r="V793" t="s">
        <v>138</v>
      </c>
      <c r="W793">
        <v>13.4</v>
      </c>
      <c r="X793" t="s">
        <v>57</v>
      </c>
      <c r="Z793" t="s">
        <v>1444</v>
      </c>
      <c r="AA793" t="s">
        <v>462</v>
      </c>
      <c r="AE793">
        <v>1</v>
      </c>
      <c r="AF793">
        <v>1</v>
      </c>
      <c r="AG793">
        <v>1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1</v>
      </c>
    </row>
    <row r="794" spans="1:42" x14ac:dyDescent="0.25">
      <c r="A794">
        <v>941</v>
      </c>
      <c r="B794" t="s">
        <v>1541</v>
      </c>
      <c r="C794" t="s">
        <v>1540</v>
      </c>
      <c r="D794" t="s">
        <v>121</v>
      </c>
      <c r="E794" s="4">
        <v>1</v>
      </c>
      <c r="F794" t="s">
        <v>61</v>
      </c>
      <c r="G794" t="s">
        <v>61</v>
      </c>
      <c r="H794" s="3">
        <v>46197</v>
      </c>
      <c r="I794" s="3">
        <v>46197</v>
      </c>
      <c r="J794" t="s">
        <v>576</v>
      </c>
      <c r="K794" s="3">
        <v>46191</v>
      </c>
      <c r="L794" s="3">
        <v>46189</v>
      </c>
      <c r="M794" s="3">
        <v>46197</v>
      </c>
      <c r="N794" s="3">
        <v>46197</v>
      </c>
      <c r="O794" t="s">
        <v>207</v>
      </c>
      <c r="P794" t="s">
        <v>55</v>
      </c>
      <c r="Q794">
        <v>940</v>
      </c>
      <c r="S794" t="s">
        <v>124</v>
      </c>
      <c r="T794" t="s">
        <v>1429</v>
      </c>
      <c r="U794">
        <v>942</v>
      </c>
      <c r="V794" t="s">
        <v>122</v>
      </c>
      <c r="W794">
        <v>13.4</v>
      </c>
      <c r="X794" t="s">
        <v>57</v>
      </c>
      <c r="Z794" t="s">
        <v>124</v>
      </c>
      <c r="AA794" t="s">
        <v>217</v>
      </c>
      <c r="AE794">
        <v>1</v>
      </c>
      <c r="AF794">
        <v>0</v>
      </c>
      <c r="AG794">
        <v>0</v>
      </c>
      <c r="AH794">
        <v>0</v>
      </c>
      <c r="AI794">
        <v>0</v>
      </c>
      <c r="AJ794">
        <v>1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</row>
    <row r="795" spans="1:42" x14ac:dyDescent="0.25">
      <c r="A795">
        <v>942</v>
      </c>
      <c r="B795" t="s">
        <v>1542</v>
      </c>
      <c r="C795" t="s">
        <v>1540</v>
      </c>
      <c r="D795" t="s">
        <v>126</v>
      </c>
      <c r="E795" s="4">
        <v>1</v>
      </c>
      <c r="F795" t="s">
        <v>61</v>
      </c>
      <c r="G795" t="s">
        <v>61</v>
      </c>
      <c r="H795" s="3">
        <v>46198</v>
      </c>
      <c r="I795" s="3">
        <v>46198</v>
      </c>
      <c r="J795" t="s">
        <v>211</v>
      </c>
      <c r="K795" s="3">
        <v>46192</v>
      </c>
      <c r="L795" s="3">
        <v>46192</v>
      </c>
      <c r="M795" s="3">
        <v>46198</v>
      </c>
      <c r="N795" s="3">
        <v>46198</v>
      </c>
      <c r="O795" t="s">
        <v>128</v>
      </c>
      <c r="P795" t="s">
        <v>55</v>
      </c>
      <c r="Q795">
        <v>941</v>
      </c>
      <c r="S795" t="s">
        <v>1444</v>
      </c>
      <c r="T795" t="s">
        <v>1429</v>
      </c>
      <c r="U795">
        <v>943</v>
      </c>
      <c r="V795" t="s">
        <v>61</v>
      </c>
      <c r="W795">
        <v>13.4</v>
      </c>
      <c r="X795" t="s">
        <v>57</v>
      </c>
      <c r="Z795" t="s">
        <v>1444</v>
      </c>
      <c r="AA795" t="s">
        <v>217</v>
      </c>
      <c r="AE795">
        <v>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1</v>
      </c>
      <c r="AM795">
        <v>0</v>
      </c>
      <c r="AN795">
        <v>0</v>
      </c>
      <c r="AO795">
        <v>0</v>
      </c>
      <c r="AP795">
        <v>0</v>
      </c>
    </row>
    <row r="796" spans="1:42" x14ac:dyDescent="0.25">
      <c r="A796">
        <v>943</v>
      </c>
      <c r="B796" t="s">
        <v>1543</v>
      </c>
      <c r="C796" t="s">
        <v>1540</v>
      </c>
      <c r="D796" t="s">
        <v>133</v>
      </c>
      <c r="E796" s="4">
        <v>1</v>
      </c>
      <c r="F796" t="s">
        <v>61</v>
      </c>
      <c r="G796" t="s">
        <v>61</v>
      </c>
      <c r="H796" s="3">
        <v>46199</v>
      </c>
      <c r="I796" s="3">
        <v>46199</v>
      </c>
      <c r="J796" t="s">
        <v>219</v>
      </c>
      <c r="K796" s="3">
        <v>46195</v>
      </c>
      <c r="L796" s="3">
        <v>46195</v>
      </c>
      <c r="M796" s="3">
        <v>46199</v>
      </c>
      <c r="N796" s="3">
        <v>46199</v>
      </c>
      <c r="O796" t="s">
        <v>134</v>
      </c>
      <c r="P796" t="s">
        <v>55</v>
      </c>
      <c r="Q796">
        <v>942</v>
      </c>
      <c r="S796" t="s">
        <v>124</v>
      </c>
      <c r="T796" t="s">
        <v>1429</v>
      </c>
      <c r="V796" t="s">
        <v>61</v>
      </c>
      <c r="W796">
        <v>13.4</v>
      </c>
      <c r="X796" t="s">
        <v>57</v>
      </c>
      <c r="Z796" t="s">
        <v>124</v>
      </c>
      <c r="AA796" t="s">
        <v>131</v>
      </c>
      <c r="AE796">
        <v>1</v>
      </c>
      <c r="AF796">
        <v>0</v>
      </c>
      <c r="AG796">
        <v>0</v>
      </c>
      <c r="AH796">
        <v>0</v>
      </c>
      <c r="AI796">
        <v>1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0</v>
      </c>
      <c r="AP796">
        <v>0</v>
      </c>
    </row>
    <row r="797" spans="1:42" x14ac:dyDescent="0.25">
      <c r="A797">
        <v>944</v>
      </c>
      <c r="B797" t="s">
        <v>1544</v>
      </c>
      <c r="C797" t="s">
        <v>1491</v>
      </c>
      <c r="D797" t="s">
        <v>1545</v>
      </c>
      <c r="E797" s="4">
        <v>1</v>
      </c>
      <c r="F797" t="s">
        <v>138</v>
      </c>
      <c r="G797" t="s">
        <v>138</v>
      </c>
      <c r="H797" s="3">
        <v>46195</v>
      </c>
      <c r="I797" s="3">
        <v>46199</v>
      </c>
      <c r="J797" t="s">
        <v>204</v>
      </c>
      <c r="K797" s="3">
        <v>46195</v>
      </c>
      <c r="L797" s="3">
        <v>46182</v>
      </c>
      <c r="M797" s="3">
        <v>46199</v>
      </c>
      <c r="N797" s="3">
        <v>46199</v>
      </c>
      <c r="O797" t="s">
        <v>219</v>
      </c>
      <c r="P797" t="s">
        <v>55</v>
      </c>
      <c r="T797" t="s">
        <v>1429</v>
      </c>
      <c r="V797" t="s">
        <v>151</v>
      </c>
      <c r="X797" t="s">
        <v>57</v>
      </c>
      <c r="AA797" t="s">
        <v>50</v>
      </c>
      <c r="AB797" t="s">
        <v>94</v>
      </c>
      <c r="AE797">
        <v>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</row>
    <row r="798" spans="1:42" x14ac:dyDescent="0.25">
      <c r="A798">
        <v>945</v>
      </c>
      <c r="B798" t="s">
        <v>1546</v>
      </c>
      <c r="C798" t="s">
        <v>1547</v>
      </c>
      <c r="D798" t="s">
        <v>117</v>
      </c>
      <c r="E798" s="4">
        <v>1</v>
      </c>
      <c r="F798" t="s">
        <v>127</v>
      </c>
      <c r="G798" t="s">
        <v>127</v>
      </c>
      <c r="H798" s="3">
        <v>46195</v>
      </c>
      <c r="I798" s="3">
        <v>46196</v>
      </c>
      <c r="J798" t="s">
        <v>204</v>
      </c>
      <c r="K798" s="3">
        <v>46188</v>
      </c>
      <c r="L798" s="3">
        <v>46182</v>
      </c>
      <c r="M798" s="3">
        <v>46196</v>
      </c>
      <c r="N798" s="3">
        <v>46196</v>
      </c>
      <c r="O798" t="s">
        <v>219</v>
      </c>
      <c r="P798" t="s">
        <v>55</v>
      </c>
      <c r="Q798" t="s">
        <v>1526</v>
      </c>
      <c r="S798" t="s">
        <v>1444</v>
      </c>
      <c r="T798" t="s">
        <v>1429</v>
      </c>
      <c r="U798">
        <v>946</v>
      </c>
      <c r="V798" t="s">
        <v>138</v>
      </c>
      <c r="W798">
        <v>13.4</v>
      </c>
      <c r="X798" t="s">
        <v>57</v>
      </c>
      <c r="Z798" t="s">
        <v>1444</v>
      </c>
      <c r="AA798" t="s">
        <v>462</v>
      </c>
      <c r="AE798">
        <v>1</v>
      </c>
      <c r="AF798">
        <v>1</v>
      </c>
      <c r="AG798">
        <v>1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1</v>
      </c>
    </row>
    <row r="799" spans="1:42" x14ac:dyDescent="0.25">
      <c r="A799">
        <v>946</v>
      </c>
      <c r="B799" t="s">
        <v>1548</v>
      </c>
      <c r="C799" t="s">
        <v>1547</v>
      </c>
      <c r="D799" t="s">
        <v>121</v>
      </c>
      <c r="E799" s="4">
        <v>1</v>
      </c>
      <c r="F799" t="s">
        <v>61</v>
      </c>
      <c r="G799" t="s">
        <v>61</v>
      </c>
      <c r="H799" s="3">
        <v>46197</v>
      </c>
      <c r="I799" s="3">
        <v>46197</v>
      </c>
      <c r="J799" t="s">
        <v>576</v>
      </c>
      <c r="K799" s="3">
        <v>46191</v>
      </c>
      <c r="L799" s="3">
        <v>46189</v>
      </c>
      <c r="M799" s="3">
        <v>46197</v>
      </c>
      <c r="N799" s="3">
        <v>46197</v>
      </c>
      <c r="O799" t="s">
        <v>207</v>
      </c>
      <c r="P799" t="s">
        <v>55</v>
      </c>
      <c r="Q799">
        <v>945</v>
      </c>
      <c r="S799" t="s">
        <v>124</v>
      </c>
      <c r="T799" t="s">
        <v>1429</v>
      </c>
      <c r="U799">
        <v>947</v>
      </c>
      <c r="V799" t="s">
        <v>122</v>
      </c>
      <c r="W799">
        <v>13.4</v>
      </c>
      <c r="X799" t="s">
        <v>57</v>
      </c>
      <c r="Z799" t="s">
        <v>124</v>
      </c>
      <c r="AA799" t="s">
        <v>217</v>
      </c>
      <c r="AE799">
        <v>1</v>
      </c>
      <c r="AF799">
        <v>0</v>
      </c>
      <c r="AG799">
        <v>0</v>
      </c>
      <c r="AH799">
        <v>0</v>
      </c>
      <c r="AI799">
        <v>0</v>
      </c>
      <c r="AJ799">
        <v>1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</row>
    <row r="800" spans="1:42" x14ac:dyDescent="0.25">
      <c r="A800">
        <v>947</v>
      </c>
      <c r="B800" t="s">
        <v>1549</v>
      </c>
      <c r="C800" t="s">
        <v>1547</v>
      </c>
      <c r="D800" t="s">
        <v>126</v>
      </c>
      <c r="E800" s="4">
        <v>1</v>
      </c>
      <c r="F800" t="s">
        <v>61</v>
      </c>
      <c r="G800" t="s">
        <v>61</v>
      </c>
      <c r="H800" s="3">
        <v>46198</v>
      </c>
      <c r="I800" s="3">
        <v>46198</v>
      </c>
      <c r="J800" t="s">
        <v>211</v>
      </c>
      <c r="K800" s="3">
        <v>46192</v>
      </c>
      <c r="L800" s="3">
        <v>46192</v>
      </c>
      <c r="M800" s="3">
        <v>46198</v>
      </c>
      <c r="N800" s="3">
        <v>46198</v>
      </c>
      <c r="O800" t="s">
        <v>128</v>
      </c>
      <c r="P800" t="s">
        <v>55</v>
      </c>
      <c r="Q800">
        <v>946</v>
      </c>
      <c r="S800" t="s">
        <v>1444</v>
      </c>
      <c r="T800" t="s">
        <v>1429</v>
      </c>
      <c r="U800">
        <v>948</v>
      </c>
      <c r="V800" t="s">
        <v>61</v>
      </c>
      <c r="W800">
        <v>13.4</v>
      </c>
      <c r="X800" t="s">
        <v>57</v>
      </c>
      <c r="Z800" t="s">
        <v>1444</v>
      </c>
      <c r="AA800" t="s">
        <v>217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1</v>
      </c>
      <c r="AM800">
        <v>0</v>
      </c>
      <c r="AN800">
        <v>0</v>
      </c>
      <c r="AO800">
        <v>0</v>
      </c>
      <c r="AP800">
        <v>0</v>
      </c>
    </row>
    <row r="801" spans="1:42" x14ac:dyDescent="0.25">
      <c r="A801">
        <v>948</v>
      </c>
      <c r="B801" t="s">
        <v>1550</v>
      </c>
      <c r="C801" t="s">
        <v>1547</v>
      </c>
      <c r="D801" t="s">
        <v>133</v>
      </c>
      <c r="E801" s="4">
        <v>1</v>
      </c>
      <c r="F801" t="s">
        <v>61</v>
      </c>
      <c r="G801" t="s">
        <v>61</v>
      </c>
      <c r="H801" s="3">
        <v>46199</v>
      </c>
      <c r="I801" s="3">
        <v>46199</v>
      </c>
      <c r="J801" t="s">
        <v>219</v>
      </c>
      <c r="K801" s="3">
        <v>46195</v>
      </c>
      <c r="L801" s="3">
        <v>46195</v>
      </c>
      <c r="M801" s="3">
        <v>46199</v>
      </c>
      <c r="N801" s="3">
        <v>46199</v>
      </c>
      <c r="O801" t="s">
        <v>134</v>
      </c>
      <c r="P801" t="s">
        <v>55</v>
      </c>
      <c r="Q801">
        <v>947</v>
      </c>
      <c r="S801" t="s">
        <v>124</v>
      </c>
      <c r="T801" t="s">
        <v>1429</v>
      </c>
      <c r="V801" t="s">
        <v>61</v>
      </c>
      <c r="W801">
        <v>13.4</v>
      </c>
      <c r="X801" t="s">
        <v>57</v>
      </c>
      <c r="Z801" t="s">
        <v>124</v>
      </c>
      <c r="AA801" t="s">
        <v>131</v>
      </c>
      <c r="AE801">
        <v>1</v>
      </c>
      <c r="AF801">
        <v>0</v>
      </c>
      <c r="AG801">
        <v>0</v>
      </c>
      <c r="AH801">
        <v>0</v>
      </c>
      <c r="AI801">
        <v>1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0</v>
      </c>
      <c r="AP801">
        <v>0</v>
      </c>
    </row>
    <row r="802" spans="1:42" x14ac:dyDescent="0.25">
      <c r="A802">
        <v>949</v>
      </c>
      <c r="B802" t="s">
        <v>1551</v>
      </c>
      <c r="C802" t="s">
        <v>1491</v>
      </c>
      <c r="D802" t="s">
        <v>1552</v>
      </c>
      <c r="E802" s="4">
        <v>1</v>
      </c>
      <c r="F802" t="s">
        <v>138</v>
      </c>
      <c r="G802" t="s">
        <v>138</v>
      </c>
      <c r="H802" s="3">
        <v>46195</v>
      </c>
      <c r="I802" s="3">
        <v>46199</v>
      </c>
      <c r="J802" t="s">
        <v>219</v>
      </c>
      <c r="K802" s="3">
        <v>46199</v>
      </c>
      <c r="L802" s="3">
        <v>46195</v>
      </c>
      <c r="M802" s="3">
        <v>46199</v>
      </c>
      <c r="N802" s="3">
        <v>46199</v>
      </c>
      <c r="O802" t="s">
        <v>219</v>
      </c>
      <c r="P802" t="s">
        <v>55</v>
      </c>
      <c r="T802" t="s">
        <v>1429</v>
      </c>
      <c r="V802" t="s">
        <v>151</v>
      </c>
      <c r="X802" t="s">
        <v>57</v>
      </c>
      <c r="AA802" t="s">
        <v>50</v>
      </c>
      <c r="AB802" t="s">
        <v>94</v>
      </c>
      <c r="AE802">
        <v>1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</row>
    <row r="803" spans="1:42" x14ac:dyDescent="0.25">
      <c r="A803">
        <v>950</v>
      </c>
      <c r="B803" t="s">
        <v>1553</v>
      </c>
      <c r="C803" t="s">
        <v>1554</v>
      </c>
      <c r="D803" t="s">
        <v>117</v>
      </c>
      <c r="E803" s="4">
        <v>1</v>
      </c>
      <c r="F803" t="s">
        <v>127</v>
      </c>
      <c r="G803" t="s">
        <v>127</v>
      </c>
      <c r="H803" s="3">
        <v>46195</v>
      </c>
      <c r="I803" s="3">
        <v>46196</v>
      </c>
      <c r="J803" t="s">
        <v>219</v>
      </c>
      <c r="K803" s="3">
        <v>46196</v>
      </c>
      <c r="L803" s="3">
        <v>46195</v>
      </c>
      <c r="M803" s="3">
        <v>46196</v>
      </c>
      <c r="N803" s="3">
        <v>46196</v>
      </c>
      <c r="O803" t="s">
        <v>219</v>
      </c>
      <c r="P803" t="s">
        <v>55</v>
      </c>
      <c r="Q803" t="s">
        <v>1526</v>
      </c>
      <c r="S803" t="s">
        <v>1444</v>
      </c>
      <c r="T803" t="s">
        <v>1429</v>
      </c>
      <c r="U803">
        <v>951</v>
      </c>
      <c r="V803" t="s">
        <v>138</v>
      </c>
      <c r="W803">
        <v>13.4</v>
      </c>
      <c r="X803" t="s">
        <v>57</v>
      </c>
      <c r="Z803" t="s">
        <v>1444</v>
      </c>
      <c r="AA803" t="s">
        <v>462</v>
      </c>
      <c r="AE803">
        <v>1</v>
      </c>
      <c r="AF803">
        <v>1</v>
      </c>
      <c r="AG803">
        <v>1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1</v>
      </c>
    </row>
    <row r="804" spans="1:42" x14ac:dyDescent="0.25">
      <c r="A804">
        <v>951</v>
      </c>
      <c r="B804" t="s">
        <v>1555</v>
      </c>
      <c r="C804" t="s">
        <v>1554</v>
      </c>
      <c r="D804" t="s">
        <v>121</v>
      </c>
      <c r="E804" s="4">
        <v>1</v>
      </c>
      <c r="F804" t="s">
        <v>61</v>
      </c>
      <c r="G804" t="s">
        <v>61</v>
      </c>
      <c r="H804" s="3">
        <v>46197</v>
      </c>
      <c r="I804" s="3">
        <v>46197</v>
      </c>
      <c r="J804" t="s">
        <v>207</v>
      </c>
      <c r="K804" s="3">
        <v>46197</v>
      </c>
      <c r="L804" s="3">
        <v>46197</v>
      </c>
      <c r="M804" s="3">
        <v>46197</v>
      </c>
      <c r="N804" s="3">
        <v>46197</v>
      </c>
      <c r="O804" t="s">
        <v>207</v>
      </c>
      <c r="P804" t="s">
        <v>55</v>
      </c>
      <c r="Q804">
        <v>950</v>
      </c>
      <c r="S804" t="s">
        <v>124</v>
      </c>
      <c r="T804" t="s">
        <v>1429</v>
      </c>
      <c r="U804">
        <v>952</v>
      </c>
      <c r="V804" t="s">
        <v>122</v>
      </c>
      <c r="W804">
        <v>13.4</v>
      </c>
      <c r="X804" t="s">
        <v>57</v>
      </c>
      <c r="Z804" t="s">
        <v>124</v>
      </c>
      <c r="AA804" t="s">
        <v>217</v>
      </c>
      <c r="AE804">
        <v>1</v>
      </c>
      <c r="AF804">
        <v>0</v>
      </c>
      <c r="AG804">
        <v>0</v>
      </c>
      <c r="AH804">
        <v>0</v>
      </c>
      <c r="AI804">
        <v>0</v>
      </c>
      <c r="AJ804">
        <v>1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</row>
    <row r="805" spans="1:42" x14ac:dyDescent="0.25">
      <c r="A805">
        <v>952</v>
      </c>
      <c r="B805" t="s">
        <v>1556</v>
      </c>
      <c r="C805" t="s">
        <v>1554</v>
      </c>
      <c r="D805" t="s">
        <v>126</v>
      </c>
      <c r="E805" s="4">
        <v>1</v>
      </c>
      <c r="F805" t="s">
        <v>61</v>
      </c>
      <c r="G805" t="s">
        <v>61</v>
      </c>
      <c r="H805" s="3">
        <v>46198</v>
      </c>
      <c r="I805" s="3">
        <v>46198</v>
      </c>
      <c r="J805" t="s">
        <v>128</v>
      </c>
      <c r="K805" s="3">
        <v>46198</v>
      </c>
      <c r="L805" s="3">
        <v>46198</v>
      </c>
      <c r="M805" s="3">
        <v>46198</v>
      </c>
      <c r="N805" s="3">
        <v>46198</v>
      </c>
      <c r="O805" t="s">
        <v>128</v>
      </c>
      <c r="P805" t="s">
        <v>55</v>
      </c>
      <c r="Q805">
        <v>951</v>
      </c>
      <c r="S805" t="s">
        <v>1444</v>
      </c>
      <c r="T805" t="s">
        <v>1429</v>
      </c>
      <c r="U805">
        <v>953</v>
      </c>
      <c r="V805" t="s">
        <v>61</v>
      </c>
      <c r="W805">
        <v>13.4</v>
      </c>
      <c r="X805" t="s">
        <v>57</v>
      </c>
      <c r="Z805" t="s">
        <v>1444</v>
      </c>
      <c r="AA805" t="s">
        <v>217</v>
      </c>
      <c r="AE805">
        <v>1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1</v>
      </c>
      <c r="AM805">
        <v>0</v>
      </c>
      <c r="AN805">
        <v>0</v>
      </c>
      <c r="AO805">
        <v>0</v>
      </c>
      <c r="AP805">
        <v>0</v>
      </c>
    </row>
    <row r="806" spans="1:42" x14ac:dyDescent="0.25">
      <c r="A806">
        <v>953</v>
      </c>
      <c r="B806" t="s">
        <v>1557</v>
      </c>
      <c r="C806" t="s">
        <v>1554</v>
      </c>
      <c r="D806" t="s">
        <v>133</v>
      </c>
      <c r="E806" s="4">
        <v>1</v>
      </c>
      <c r="F806" t="s">
        <v>61</v>
      </c>
      <c r="G806" t="s">
        <v>61</v>
      </c>
      <c r="H806" s="3">
        <v>46199</v>
      </c>
      <c r="I806" s="3">
        <v>46199</v>
      </c>
      <c r="J806" t="s">
        <v>134</v>
      </c>
      <c r="K806" s="3">
        <v>46199</v>
      </c>
      <c r="L806" s="3">
        <v>46199</v>
      </c>
      <c r="M806" s="3">
        <v>46199</v>
      </c>
      <c r="N806" s="3">
        <v>46199</v>
      </c>
      <c r="O806" t="s">
        <v>134</v>
      </c>
      <c r="P806" t="s">
        <v>55</v>
      </c>
      <c r="Q806">
        <v>952</v>
      </c>
      <c r="S806" t="s">
        <v>124</v>
      </c>
      <c r="T806" t="s">
        <v>1429</v>
      </c>
      <c r="V806" t="s">
        <v>61</v>
      </c>
      <c r="W806">
        <v>13.4</v>
      </c>
      <c r="X806" t="s">
        <v>57</v>
      </c>
      <c r="Z806" t="s">
        <v>124</v>
      </c>
      <c r="AA806" t="s">
        <v>131</v>
      </c>
      <c r="AE806">
        <v>1</v>
      </c>
      <c r="AF806">
        <v>0</v>
      </c>
      <c r="AG806">
        <v>0</v>
      </c>
      <c r="AH806">
        <v>0</v>
      </c>
      <c r="AI806">
        <v>1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0</v>
      </c>
      <c r="AP806">
        <v>0</v>
      </c>
    </row>
    <row r="807" spans="1:42" x14ac:dyDescent="0.25">
      <c r="A807">
        <v>954</v>
      </c>
      <c r="B807" t="s">
        <v>1558</v>
      </c>
      <c r="C807" t="s">
        <v>1491</v>
      </c>
      <c r="D807" t="s">
        <v>1559</v>
      </c>
      <c r="E807" s="4">
        <v>1</v>
      </c>
      <c r="F807" t="s">
        <v>138</v>
      </c>
      <c r="G807" t="s">
        <v>138</v>
      </c>
      <c r="H807" s="3">
        <v>46195</v>
      </c>
      <c r="I807" s="3">
        <v>46199</v>
      </c>
      <c r="J807" t="s">
        <v>219</v>
      </c>
      <c r="K807" s="3">
        <v>46199</v>
      </c>
      <c r="L807" s="3">
        <v>46195</v>
      </c>
      <c r="M807" s="3">
        <v>46199</v>
      </c>
      <c r="N807" s="3">
        <v>46199</v>
      </c>
      <c r="O807" t="s">
        <v>219</v>
      </c>
      <c r="P807" t="s">
        <v>55</v>
      </c>
      <c r="T807" t="s">
        <v>1429</v>
      </c>
      <c r="V807" t="s">
        <v>151</v>
      </c>
      <c r="X807" t="s">
        <v>57</v>
      </c>
      <c r="AA807" t="s">
        <v>50</v>
      </c>
      <c r="AB807" t="s">
        <v>94</v>
      </c>
      <c r="AE807">
        <v>1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</row>
    <row r="808" spans="1:42" x14ac:dyDescent="0.25">
      <c r="A808">
        <v>955</v>
      </c>
      <c r="B808" t="s">
        <v>1560</v>
      </c>
      <c r="C808" t="s">
        <v>1561</v>
      </c>
      <c r="D808" t="s">
        <v>117</v>
      </c>
      <c r="E808" s="4">
        <v>1</v>
      </c>
      <c r="F808" t="s">
        <v>127</v>
      </c>
      <c r="G808" t="s">
        <v>127</v>
      </c>
      <c r="H808" s="3">
        <v>46195</v>
      </c>
      <c r="I808" s="3">
        <v>46196</v>
      </c>
      <c r="J808" t="s">
        <v>219</v>
      </c>
      <c r="K808" s="3">
        <v>46196</v>
      </c>
      <c r="L808" s="3">
        <v>46195</v>
      </c>
      <c r="M808" s="3">
        <v>46196</v>
      </c>
      <c r="N808" s="3">
        <v>46196</v>
      </c>
      <c r="O808" t="s">
        <v>219</v>
      </c>
      <c r="P808" t="s">
        <v>55</v>
      </c>
      <c r="S808" t="s">
        <v>1444</v>
      </c>
      <c r="T808" t="s">
        <v>1429</v>
      </c>
      <c r="U808">
        <v>956</v>
      </c>
      <c r="V808" t="s">
        <v>138</v>
      </c>
      <c r="W808">
        <v>13.4</v>
      </c>
      <c r="X808" t="s">
        <v>57</v>
      </c>
      <c r="Z808" t="s">
        <v>1444</v>
      </c>
      <c r="AA808" t="s">
        <v>462</v>
      </c>
      <c r="AE808">
        <v>1</v>
      </c>
      <c r="AF808">
        <v>1</v>
      </c>
      <c r="AG808">
        <v>1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1</v>
      </c>
    </row>
    <row r="809" spans="1:42" x14ac:dyDescent="0.25">
      <c r="A809">
        <v>956</v>
      </c>
      <c r="B809" t="s">
        <v>1562</v>
      </c>
      <c r="C809" t="s">
        <v>1561</v>
      </c>
      <c r="D809" t="s">
        <v>121</v>
      </c>
      <c r="E809" s="4">
        <v>1</v>
      </c>
      <c r="F809" t="s">
        <v>61</v>
      </c>
      <c r="G809" t="s">
        <v>61</v>
      </c>
      <c r="H809" s="3">
        <v>46197</v>
      </c>
      <c r="I809" s="3">
        <v>46197</v>
      </c>
      <c r="J809" t="s">
        <v>207</v>
      </c>
      <c r="K809" s="3">
        <v>46197</v>
      </c>
      <c r="L809" s="3">
        <v>46197</v>
      </c>
      <c r="M809" s="3">
        <v>46197</v>
      </c>
      <c r="N809" s="3">
        <v>46197</v>
      </c>
      <c r="O809" t="s">
        <v>207</v>
      </c>
      <c r="P809" t="s">
        <v>55</v>
      </c>
      <c r="Q809">
        <v>955</v>
      </c>
      <c r="S809" t="s">
        <v>124</v>
      </c>
      <c r="T809" t="s">
        <v>1429</v>
      </c>
      <c r="U809">
        <v>957</v>
      </c>
      <c r="V809" t="s">
        <v>122</v>
      </c>
      <c r="W809">
        <v>13.4</v>
      </c>
      <c r="X809" t="s">
        <v>57</v>
      </c>
      <c r="Z809" t="s">
        <v>124</v>
      </c>
      <c r="AA809" t="s">
        <v>217</v>
      </c>
      <c r="AE809">
        <v>1</v>
      </c>
      <c r="AF809">
        <v>0</v>
      </c>
      <c r="AG809">
        <v>0</v>
      </c>
      <c r="AH809">
        <v>0</v>
      </c>
      <c r="AI809">
        <v>0</v>
      </c>
      <c r="AJ809">
        <v>1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</row>
    <row r="810" spans="1:42" x14ac:dyDescent="0.25">
      <c r="A810">
        <v>957</v>
      </c>
      <c r="B810" t="s">
        <v>1563</v>
      </c>
      <c r="C810" t="s">
        <v>1561</v>
      </c>
      <c r="D810" t="s">
        <v>126</v>
      </c>
      <c r="E810" s="4">
        <v>1</v>
      </c>
      <c r="F810" t="s">
        <v>61</v>
      </c>
      <c r="G810" t="s">
        <v>61</v>
      </c>
      <c r="H810" s="3">
        <v>46198</v>
      </c>
      <c r="I810" s="3">
        <v>46198</v>
      </c>
      <c r="J810" t="s">
        <v>128</v>
      </c>
      <c r="K810" s="3">
        <v>46198</v>
      </c>
      <c r="L810" s="3">
        <v>46198</v>
      </c>
      <c r="M810" s="3">
        <v>46198</v>
      </c>
      <c r="N810" s="3">
        <v>46198</v>
      </c>
      <c r="O810" t="s">
        <v>128</v>
      </c>
      <c r="P810" t="s">
        <v>55</v>
      </c>
      <c r="Q810">
        <v>956</v>
      </c>
      <c r="S810" t="s">
        <v>1444</v>
      </c>
      <c r="T810" t="s">
        <v>1429</v>
      </c>
      <c r="U810">
        <v>958</v>
      </c>
      <c r="V810" t="s">
        <v>61</v>
      </c>
      <c r="W810">
        <v>13.4</v>
      </c>
      <c r="X810" t="s">
        <v>57</v>
      </c>
      <c r="Z810" t="s">
        <v>1444</v>
      </c>
      <c r="AA810" t="s">
        <v>217</v>
      </c>
      <c r="AE810">
        <v>1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1</v>
      </c>
      <c r="AM810">
        <v>0</v>
      </c>
      <c r="AN810">
        <v>0</v>
      </c>
      <c r="AO810">
        <v>0</v>
      </c>
      <c r="AP810">
        <v>0</v>
      </c>
    </row>
    <row r="811" spans="1:42" x14ac:dyDescent="0.25">
      <c r="A811">
        <v>958</v>
      </c>
      <c r="B811" t="s">
        <v>1564</v>
      </c>
      <c r="C811" t="s">
        <v>1561</v>
      </c>
      <c r="D811" t="s">
        <v>133</v>
      </c>
      <c r="E811" s="4">
        <v>1</v>
      </c>
      <c r="F811" t="s">
        <v>61</v>
      </c>
      <c r="G811" t="s">
        <v>61</v>
      </c>
      <c r="H811" s="3">
        <v>46199</v>
      </c>
      <c r="I811" s="3">
        <v>46199</v>
      </c>
      <c r="J811" t="s">
        <v>134</v>
      </c>
      <c r="K811" s="3">
        <v>46199</v>
      </c>
      <c r="L811" s="3">
        <v>46199</v>
      </c>
      <c r="M811" s="3">
        <v>46199</v>
      </c>
      <c r="N811" s="3">
        <v>46199</v>
      </c>
      <c r="O811" t="s">
        <v>134</v>
      </c>
      <c r="P811" t="s">
        <v>55</v>
      </c>
      <c r="Q811">
        <v>957</v>
      </c>
      <c r="S811" t="s">
        <v>124</v>
      </c>
      <c r="T811" t="s">
        <v>1429</v>
      </c>
      <c r="V811" t="s">
        <v>61</v>
      </c>
      <c r="W811">
        <v>13.4</v>
      </c>
      <c r="X811" t="s">
        <v>57</v>
      </c>
      <c r="Z811" t="s">
        <v>124</v>
      </c>
      <c r="AA811" t="s">
        <v>131</v>
      </c>
      <c r="AE811">
        <v>1</v>
      </c>
      <c r="AF811">
        <v>0</v>
      </c>
      <c r="AG811">
        <v>0</v>
      </c>
      <c r="AH811">
        <v>0</v>
      </c>
      <c r="AI811">
        <v>1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0</v>
      </c>
      <c r="AP811">
        <v>0</v>
      </c>
    </row>
    <row r="812" spans="1:42" x14ac:dyDescent="0.25">
      <c r="A812">
        <v>959</v>
      </c>
      <c r="B812" t="s">
        <v>1565</v>
      </c>
      <c r="C812" t="s">
        <v>1429</v>
      </c>
      <c r="D812" t="s">
        <v>1566</v>
      </c>
      <c r="E812" s="4">
        <v>1</v>
      </c>
      <c r="F812" t="s">
        <v>330</v>
      </c>
      <c r="G812" t="s">
        <v>330</v>
      </c>
      <c r="H812" s="3">
        <v>46148</v>
      </c>
      <c r="I812" s="3">
        <v>46168</v>
      </c>
      <c r="J812" t="s">
        <v>304</v>
      </c>
      <c r="K812" s="3">
        <v>46184</v>
      </c>
      <c r="L812" s="3">
        <v>46148</v>
      </c>
      <c r="M812" s="3">
        <v>46168</v>
      </c>
      <c r="N812" s="3">
        <v>46168</v>
      </c>
      <c r="O812" t="s">
        <v>304</v>
      </c>
      <c r="P812" t="s">
        <v>55</v>
      </c>
      <c r="T812" t="s">
        <v>1429</v>
      </c>
      <c r="V812" t="s">
        <v>976</v>
      </c>
      <c r="X812" t="s">
        <v>57</v>
      </c>
      <c r="AA812" t="s">
        <v>50</v>
      </c>
      <c r="AB812" t="s">
        <v>94</v>
      </c>
      <c r="AE812">
        <v>1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</row>
    <row r="813" spans="1:42" x14ac:dyDescent="0.25">
      <c r="A813">
        <v>960</v>
      </c>
      <c r="B813" t="s">
        <v>1567</v>
      </c>
      <c r="C813" t="s">
        <v>1568</v>
      </c>
      <c r="D813" t="s">
        <v>1569</v>
      </c>
      <c r="E813" s="4">
        <v>1</v>
      </c>
      <c r="F813" t="s">
        <v>203</v>
      </c>
      <c r="G813" t="s">
        <v>203</v>
      </c>
      <c r="H813" s="3">
        <v>46148</v>
      </c>
      <c r="I813" s="3">
        <v>46162</v>
      </c>
      <c r="J813" t="s">
        <v>304</v>
      </c>
      <c r="K813" s="3">
        <v>46164</v>
      </c>
      <c r="L813" s="3">
        <v>46148</v>
      </c>
      <c r="M813" s="3">
        <v>46162</v>
      </c>
      <c r="N813" s="3">
        <v>46162</v>
      </c>
      <c r="O813" t="s">
        <v>304</v>
      </c>
      <c r="P813" t="s">
        <v>55</v>
      </c>
      <c r="T813" t="s">
        <v>1429</v>
      </c>
      <c r="V813" t="s">
        <v>1038</v>
      </c>
      <c r="X813" t="s">
        <v>57</v>
      </c>
      <c r="AA813" t="s">
        <v>50</v>
      </c>
      <c r="AB813" t="s">
        <v>94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</row>
    <row r="814" spans="1:42" x14ac:dyDescent="0.25">
      <c r="A814">
        <v>961</v>
      </c>
      <c r="B814" t="s">
        <v>1570</v>
      </c>
      <c r="C814" t="s">
        <v>1571</v>
      </c>
      <c r="D814" t="s">
        <v>117</v>
      </c>
      <c r="E814" s="4">
        <v>1</v>
      </c>
      <c r="F814" t="s">
        <v>151</v>
      </c>
      <c r="G814" t="s">
        <v>151</v>
      </c>
      <c r="H814" s="3">
        <v>46148</v>
      </c>
      <c r="I814" s="3">
        <v>46161</v>
      </c>
      <c r="J814" t="s">
        <v>304</v>
      </c>
      <c r="K814" s="3">
        <v>46161</v>
      </c>
      <c r="L814" s="3">
        <v>46148</v>
      </c>
      <c r="M814" s="3">
        <v>46161</v>
      </c>
      <c r="N814" s="3">
        <v>46161</v>
      </c>
      <c r="O814" t="s">
        <v>304</v>
      </c>
      <c r="P814" t="s">
        <v>55</v>
      </c>
      <c r="Q814">
        <v>271</v>
      </c>
      <c r="S814" t="s">
        <v>1444</v>
      </c>
      <c r="T814" t="s">
        <v>1429</v>
      </c>
      <c r="U814" t="s">
        <v>1572</v>
      </c>
      <c r="V814" t="s">
        <v>151</v>
      </c>
      <c r="W814">
        <v>13.4</v>
      </c>
      <c r="X814" t="s">
        <v>57</v>
      </c>
      <c r="Z814" t="s">
        <v>1444</v>
      </c>
      <c r="AA814" t="s">
        <v>401</v>
      </c>
      <c r="AE814">
        <v>1</v>
      </c>
      <c r="AF814">
        <v>1</v>
      </c>
      <c r="AG814">
        <v>1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1</v>
      </c>
    </row>
    <row r="815" spans="1:42" x14ac:dyDescent="0.25">
      <c r="A815">
        <v>962</v>
      </c>
      <c r="B815" t="s">
        <v>1573</v>
      </c>
      <c r="C815" t="s">
        <v>1571</v>
      </c>
      <c r="D815" t="s">
        <v>121</v>
      </c>
      <c r="E815" s="4">
        <v>1</v>
      </c>
      <c r="F815" t="s">
        <v>61</v>
      </c>
      <c r="G815" t="s">
        <v>61</v>
      </c>
      <c r="H815" s="3">
        <v>46161</v>
      </c>
      <c r="I815" s="3">
        <v>46162</v>
      </c>
      <c r="J815" t="s">
        <v>200</v>
      </c>
      <c r="K815" s="3">
        <v>46162</v>
      </c>
      <c r="L815" s="3">
        <v>46162</v>
      </c>
      <c r="M815" s="3">
        <v>46162</v>
      </c>
      <c r="N815" s="3">
        <v>46162</v>
      </c>
      <c r="O815" t="s">
        <v>90</v>
      </c>
      <c r="P815" t="s">
        <v>55</v>
      </c>
      <c r="Q815">
        <v>961</v>
      </c>
      <c r="S815" t="s">
        <v>124</v>
      </c>
      <c r="T815" t="s">
        <v>1429</v>
      </c>
      <c r="U815">
        <v>963</v>
      </c>
      <c r="V815" t="s">
        <v>61</v>
      </c>
      <c r="W815">
        <v>13.4</v>
      </c>
      <c r="X815" t="s">
        <v>57</v>
      </c>
      <c r="Z815" t="s">
        <v>124</v>
      </c>
      <c r="AA815" t="s">
        <v>198</v>
      </c>
      <c r="AE815">
        <v>1</v>
      </c>
      <c r="AF815">
        <v>0</v>
      </c>
      <c r="AG815">
        <v>0</v>
      </c>
      <c r="AH815">
        <v>0</v>
      </c>
      <c r="AI815">
        <v>0</v>
      </c>
      <c r="AJ815">
        <v>1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</row>
    <row r="816" spans="1:42" x14ac:dyDescent="0.25">
      <c r="A816">
        <v>963</v>
      </c>
      <c r="B816" t="s">
        <v>1574</v>
      </c>
      <c r="C816" t="s">
        <v>1571</v>
      </c>
      <c r="D816" t="s">
        <v>126</v>
      </c>
      <c r="E816" s="4">
        <v>1</v>
      </c>
      <c r="F816" t="s">
        <v>63</v>
      </c>
      <c r="G816" t="s">
        <v>63</v>
      </c>
      <c r="H816" s="3">
        <v>46162</v>
      </c>
      <c r="I816" s="3">
        <v>46162</v>
      </c>
      <c r="J816" t="s">
        <v>491</v>
      </c>
      <c r="K816" s="3">
        <v>46163</v>
      </c>
      <c r="L816" s="3">
        <v>46163</v>
      </c>
      <c r="M816" s="3">
        <v>46162</v>
      </c>
      <c r="N816" s="3">
        <v>46162</v>
      </c>
      <c r="O816" t="s">
        <v>200</v>
      </c>
      <c r="P816" t="s">
        <v>55</v>
      </c>
      <c r="Q816">
        <v>962</v>
      </c>
      <c r="S816" t="s">
        <v>1444</v>
      </c>
      <c r="T816" t="s">
        <v>1429</v>
      </c>
      <c r="U816">
        <v>964</v>
      </c>
      <c r="V816" t="s">
        <v>61</v>
      </c>
      <c r="W816">
        <v>13.4</v>
      </c>
      <c r="X816" t="s">
        <v>57</v>
      </c>
      <c r="Z816" t="s">
        <v>1444</v>
      </c>
      <c r="AA816" t="s">
        <v>198</v>
      </c>
      <c r="AE816">
        <v>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1</v>
      </c>
      <c r="AM816">
        <v>0</v>
      </c>
      <c r="AN816">
        <v>0</v>
      </c>
      <c r="AO816">
        <v>0</v>
      </c>
      <c r="AP816">
        <v>0</v>
      </c>
    </row>
    <row r="817" spans="1:42" x14ac:dyDescent="0.25">
      <c r="A817">
        <v>964</v>
      </c>
      <c r="B817" t="s">
        <v>1575</v>
      </c>
      <c r="C817" t="s">
        <v>1571</v>
      </c>
      <c r="D817" t="s">
        <v>133</v>
      </c>
      <c r="E817" s="4">
        <v>1</v>
      </c>
      <c r="F817" t="s">
        <v>63</v>
      </c>
      <c r="G817" t="s">
        <v>63</v>
      </c>
      <c r="H817" s="3">
        <v>46162</v>
      </c>
      <c r="I817" s="3">
        <v>46162</v>
      </c>
      <c r="J817" t="s">
        <v>471</v>
      </c>
      <c r="K817" s="3">
        <v>46164</v>
      </c>
      <c r="L817" s="3">
        <v>46164</v>
      </c>
      <c r="M817" s="3">
        <v>46162</v>
      </c>
      <c r="N817" s="3">
        <v>46162</v>
      </c>
      <c r="O817" t="s">
        <v>200</v>
      </c>
      <c r="P817" t="s">
        <v>55</v>
      </c>
      <c r="Q817">
        <v>963</v>
      </c>
      <c r="S817" t="s">
        <v>124</v>
      </c>
      <c r="T817" t="s">
        <v>1429</v>
      </c>
      <c r="U817">
        <v>981</v>
      </c>
      <c r="V817" t="s">
        <v>61</v>
      </c>
      <c r="W817">
        <v>13.4</v>
      </c>
      <c r="X817" t="s">
        <v>57</v>
      </c>
      <c r="Z817" t="s">
        <v>124</v>
      </c>
      <c r="AA817" t="s">
        <v>198</v>
      </c>
      <c r="AE817">
        <v>1</v>
      </c>
      <c r="AF817">
        <v>0</v>
      </c>
      <c r="AG817">
        <v>0</v>
      </c>
      <c r="AH817">
        <v>0</v>
      </c>
      <c r="AI817">
        <v>1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0</v>
      </c>
      <c r="AP817">
        <v>0</v>
      </c>
    </row>
    <row r="818" spans="1:42" x14ac:dyDescent="0.25">
      <c r="A818">
        <v>965</v>
      </c>
      <c r="B818" t="s">
        <v>1576</v>
      </c>
      <c r="C818" t="s">
        <v>1568</v>
      </c>
      <c r="D818" t="s">
        <v>1577</v>
      </c>
      <c r="E818" s="4">
        <v>1</v>
      </c>
      <c r="F818" t="s">
        <v>203</v>
      </c>
      <c r="G818" t="s">
        <v>203</v>
      </c>
      <c r="H818" s="3">
        <v>46148</v>
      </c>
      <c r="I818" s="3">
        <v>46162</v>
      </c>
      <c r="J818" t="s">
        <v>304</v>
      </c>
      <c r="K818" s="3">
        <v>46162</v>
      </c>
      <c r="L818" s="3">
        <v>46148</v>
      </c>
      <c r="M818" s="3">
        <v>46162</v>
      </c>
      <c r="N818" s="3">
        <v>46162</v>
      </c>
      <c r="O818" t="s">
        <v>304</v>
      </c>
      <c r="P818" t="s">
        <v>55</v>
      </c>
      <c r="T818" t="s">
        <v>1429</v>
      </c>
      <c r="V818" t="s">
        <v>1038</v>
      </c>
      <c r="X818" t="s">
        <v>57</v>
      </c>
      <c r="AA818" t="s">
        <v>50</v>
      </c>
      <c r="AB818" t="s">
        <v>94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</row>
    <row r="819" spans="1:42" x14ac:dyDescent="0.25">
      <c r="A819">
        <v>966</v>
      </c>
      <c r="B819" t="s">
        <v>1578</v>
      </c>
      <c r="C819" t="s">
        <v>1579</v>
      </c>
      <c r="D819" t="s">
        <v>117</v>
      </c>
      <c r="E819" s="4">
        <v>1</v>
      </c>
      <c r="F819" t="s">
        <v>151</v>
      </c>
      <c r="G819" t="s">
        <v>151</v>
      </c>
      <c r="H819" s="3">
        <v>46148</v>
      </c>
      <c r="I819" s="3">
        <v>46161</v>
      </c>
      <c r="J819" t="s">
        <v>304</v>
      </c>
      <c r="K819" s="3">
        <v>46161</v>
      </c>
      <c r="L819" s="3">
        <v>46148</v>
      </c>
      <c r="M819" s="3">
        <v>46161</v>
      </c>
      <c r="N819" s="3">
        <v>46161</v>
      </c>
      <c r="O819" t="s">
        <v>304</v>
      </c>
      <c r="P819" t="s">
        <v>55</v>
      </c>
      <c r="Q819">
        <v>271</v>
      </c>
      <c r="S819" t="s">
        <v>1444</v>
      </c>
      <c r="T819" t="s">
        <v>1429</v>
      </c>
      <c r="U819" t="s">
        <v>1580</v>
      </c>
      <c r="V819" t="s">
        <v>151</v>
      </c>
      <c r="W819">
        <v>13.4</v>
      </c>
      <c r="X819" t="s">
        <v>57</v>
      </c>
      <c r="Z819" t="s">
        <v>1444</v>
      </c>
      <c r="AA819" t="s">
        <v>401</v>
      </c>
      <c r="AE819">
        <v>1</v>
      </c>
      <c r="AF819">
        <v>1</v>
      </c>
      <c r="AG819">
        <v>1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1</v>
      </c>
    </row>
    <row r="820" spans="1:42" x14ac:dyDescent="0.25">
      <c r="A820">
        <v>967</v>
      </c>
      <c r="B820" t="s">
        <v>1581</v>
      </c>
      <c r="C820" t="s">
        <v>1579</v>
      </c>
      <c r="D820" t="s">
        <v>121</v>
      </c>
      <c r="E820" s="4">
        <v>1</v>
      </c>
      <c r="F820" t="s">
        <v>61</v>
      </c>
      <c r="G820" t="s">
        <v>61</v>
      </c>
      <c r="H820" s="3">
        <v>46161</v>
      </c>
      <c r="I820" s="3">
        <v>46162</v>
      </c>
      <c r="J820" t="s">
        <v>90</v>
      </c>
      <c r="K820" s="3">
        <v>46162</v>
      </c>
      <c r="L820" s="3">
        <v>46161</v>
      </c>
      <c r="M820" s="3">
        <v>46162</v>
      </c>
      <c r="N820" s="3">
        <v>46162</v>
      </c>
      <c r="O820" t="s">
        <v>90</v>
      </c>
      <c r="P820" t="s">
        <v>55</v>
      </c>
      <c r="Q820">
        <v>966</v>
      </c>
      <c r="S820" t="s">
        <v>124</v>
      </c>
      <c r="T820" t="s">
        <v>1429</v>
      </c>
      <c r="U820">
        <v>968</v>
      </c>
      <c r="V820" t="s">
        <v>61</v>
      </c>
      <c r="W820">
        <v>13.4</v>
      </c>
      <c r="X820" t="s">
        <v>57</v>
      </c>
      <c r="Z820" t="s">
        <v>124</v>
      </c>
      <c r="AA820" t="s">
        <v>198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v>1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</row>
    <row r="821" spans="1:42" x14ac:dyDescent="0.25">
      <c r="A821">
        <v>968</v>
      </c>
      <c r="B821" t="s">
        <v>1582</v>
      </c>
      <c r="C821" t="s">
        <v>1579</v>
      </c>
      <c r="D821" t="s">
        <v>126</v>
      </c>
      <c r="E821" s="4">
        <v>1</v>
      </c>
      <c r="F821" t="s">
        <v>63</v>
      </c>
      <c r="G821" t="s">
        <v>63</v>
      </c>
      <c r="H821" s="3">
        <v>46162</v>
      </c>
      <c r="I821" s="3">
        <v>46162</v>
      </c>
      <c r="J821" t="s">
        <v>200</v>
      </c>
      <c r="K821" s="3">
        <v>46162</v>
      </c>
      <c r="L821" s="3">
        <v>46162</v>
      </c>
      <c r="M821" s="3">
        <v>46162</v>
      </c>
      <c r="N821" s="3">
        <v>46162</v>
      </c>
      <c r="O821" t="s">
        <v>200</v>
      </c>
      <c r="P821" t="s">
        <v>55</v>
      </c>
      <c r="Q821">
        <v>967</v>
      </c>
      <c r="S821" t="s">
        <v>1444</v>
      </c>
      <c r="T821" t="s">
        <v>1429</v>
      </c>
      <c r="U821">
        <v>969</v>
      </c>
      <c r="V821" t="s">
        <v>61</v>
      </c>
      <c r="W821">
        <v>13.4</v>
      </c>
      <c r="X821" t="s">
        <v>57</v>
      </c>
      <c r="Z821" t="s">
        <v>1444</v>
      </c>
      <c r="AA821" t="s">
        <v>198</v>
      </c>
      <c r="AE821">
        <v>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1</v>
      </c>
      <c r="AM821">
        <v>0</v>
      </c>
      <c r="AN821">
        <v>0</v>
      </c>
      <c r="AO821">
        <v>0</v>
      </c>
      <c r="AP821">
        <v>0</v>
      </c>
    </row>
    <row r="822" spans="1:42" x14ac:dyDescent="0.25">
      <c r="A822">
        <v>969</v>
      </c>
      <c r="B822" t="s">
        <v>1583</v>
      </c>
      <c r="C822" t="s">
        <v>1579</v>
      </c>
      <c r="D822" t="s">
        <v>133</v>
      </c>
      <c r="E822" s="4">
        <v>1</v>
      </c>
      <c r="F822" t="s">
        <v>63</v>
      </c>
      <c r="G822" t="s">
        <v>63</v>
      </c>
      <c r="H822" s="3">
        <v>46162</v>
      </c>
      <c r="I822" s="3">
        <v>46162</v>
      </c>
      <c r="J822" t="s">
        <v>200</v>
      </c>
      <c r="K822" s="3">
        <v>46162</v>
      </c>
      <c r="L822" s="3">
        <v>46162</v>
      </c>
      <c r="M822" s="3">
        <v>46162</v>
      </c>
      <c r="N822" s="3">
        <v>46162</v>
      </c>
      <c r="O822" t="s">
        <v>200</v>
      </c>
      <c r="P822" t="s">
        <v>55</v>
      </c>
      <c r="Q822">
        <v>968</v>
      </c>
      <c r="S822" t="s">
        <v>124</v>
      </c>
      <c r="T822" t="s">
        <v>1429</v>
      </c>
      <c r="U822">
        <v>981</v>
      </c>
      <c r="V822" t="s">
        <v>61</v>
      </c>
      <c r="W822">
        <v>13.4</v>
      </c>
      <c r="X822" t="s">
        <v>57</v>
      </c>
      <c r="Z822" t="s">
        <v>124</v>
      </c>
      <c r="AA822" t="s">
        <v>198</v>
      </c>
      <c r="AE822">
        <v>1</v>
      </c>
      <c r="AF822">
        <v>0</v>
      </c>
      <c r="AG822">
        <v>0</v>
      </c>
      <c r="AH822">
        <v>0</v>
      </c>
      <c r="AI822">
        <v>1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0</v>
      </c>
      <c r="AP822">
        <v>0</v>
      </c>
    </row>
    <row r="823" spans="1:42" x14ac:dyDescent="0.25">
      <c r="A823">
        <v>970</v>
      </c>
      <c r="B823" t="s">
        <v>1584</v>
      </c>
      <c r="C823" t="s">
        <v>1568</v>
      </c>
      <c r="D823" t="s">
        <v>1585</v>
      </c>
      <c r="E823" s="4">
        <v>1</v>
      </c>
      <c r="F823" t="s">
        <v>203</v>
      </c>
      <c r="G823" t="s">
        <v>203</v>
      </c>
      <c r="H823" s="3">
        <v>46148</v>
      </c>
      <c r="I823" s="3">
        <v>46162</v>
      </c>
      <c r="J823" t="s">
        <v>304</v>
      </c>
      <c r="K823" s="3">
        <v>46162</v>
      </c>
      <c r="L823" s="3">
        <v>46148</v>
      </c>
      <c r="M823" s="3">
        <v>46162</v>
      </c>
      <c r="N823" s="3">
        <v>46162</v>
      </c>
      <c r="O823" t="s">
        <v>304</v>
      </c>
      <c r="P823" t="s">
        <v>55</v>
      </c>
      <c r="T823" t="s">
        <v>1429</v>
      </c>
      <c r="V823" t="s">
        <v>1038</v>
      </c>
      <c r="X823" t="s">
        <v>57</v>
      </c>
      <c r="AA823" t="s">
        <v>50</v>
      </c>
      <c r="AB823" t="s">
        <v>94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</row>
    <row r="824" spans="1:42" x14ac:dyDescent="0.25">
      <c r="A824">
        <v>971</v>
      </c>
      <c r="B824" t="s">
        <v>1586</v>
      </c>
      <c r="C824" t="s">
        <v>1587</v>
      </c>
      <c r="D824" t="s">
        <v>117</v>
      </c>
      <c r="E824" s="4">
        <v>1</v>
      </c>
      <c r="F824" t="s">
        <v>151</v>
      </c>
      <c r="G824" t="s">
        <v>151</v>
      </c>
      <c r="H824" s="3">
        <v>46148</v>
      </c>
      <c r="I824" s="3">
        <v>46161</v>
      </c>
      <c r="J824" t="s">
        <v>304</v>
      </c>
      <c r="K824" s="3">
        <v>46161</v>
      </c>
      <c r="L824" s="3">
        <v>46148</v>
      </c>
      <c r="M824" s="3">
        <v>46161</v>
      </c>
      <c r="N824" s="3">
        <v>46161</v>
      </c>
      <c r="O824" t="s">
        <v>304</v>
      </c>
      <c r="P824" t="s">
        <v>55</v>
      </c>
      <c r="Q824">
        <v>271</v>
      </c>
      <c r="S824" t="s">
        <v>1444</v>
      </c>
      <c r="T824" t="s">
        <v>1429</v>
      </c>
      <c r="U824" t="s">
        <v>1588</v>
      </c>
      <c r="V824" t="s">
        <v>151</v>
      </c>
      <c r="W824">
        <v>13.4</v>
      </c>
      <c r="X824" t="s">
        <v>57</v>
      </c>
      <c r="Z824" t="s">
        <v>1444</v>
      </c>
      <c r="AA824" t="s">
        <v>401</v>
      </c>
      <c r="AE824">
        <v>1</v>
      </c>
      <c r="AF824">
        <v>1</v>
      </c>
      <c r="AG824">
        <v>1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1</v>
      </c>
    </row>
    <row r="825" spans="1:42" x14ac:dyDescent="0.25">
      <c r="A825">
        <v>972</v>
      </c>
      <c r="B825" t="s">
        <v>1589</v>
      </c>
      <c r="C825" t="s">
        <v>1587</v>
      </c>
      <c r="D825" t="s">
        <v>121</v>
      </c>
      <c r="E825" s="4">
        <v>1</v>
      </c>
      <c r="F825" t="s">
        <v>61</v>
      </c>
      <c r="G825" t="s">
        <v>61</v>
      </c>
      <c r="H825" s="3">
        <v>46161</v>
      </c>
      <c r="I825" s="3">
        <v>46162</v>
      </c>
      <c r="J825" t="s">
        <v>90</v>
      </c>
      <c r="K825" s="3">
        <v>46162</v>
      </c>
      <c r="L825" s="3">
        <v>46161</v>
      </c>
      <c r="M825" s="3">
        <v>46162</v>
      </c>
      <c r="N825" s="3">
        <v>46162</v>
      </c>
      <c r="O825" t="s">
        <v>90</v>
      </c>
      <c r="P825" t="s">
        <v>55</v>
      </c>
      <c r="Q825">
        <v>971</v>
      </c>
      <c r="S825" t="s">
        <v>124</v>
      </c>
      <c r="T825" t="s">
        <v>1429</v>
      </c>
      <c r="U825">
        <v>973</v>
      </c>
      <c r="V825" t="s">
        <v>61</v>
      </c>
      <c r="W825">
        <v>13.4</v>
      </c>
      <c r="X825" t="s">
        <v>57</v>
      </c>
      <c r="Z825" t="s">
        <v>124</v>
      </c>
      <c r="AA825" t="s">
        <v>198</v>
      </c>
      <c r="AE825">
        <v>1</v>
      </c>
      <c r="AF825">
        <v>0</v>
      </c>
      <c r="AG825">
        <v>0</v>
      </c>
      <c r="AH825">
        <v>0</v>
      </c>
      <c r="AI825">
        <v>0</v>
      </c>
      <c r="AJ825">
        <v>1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</row>
    <row r="826" spans="1:42" x14ac:dyDescent="0.25">
      <c r="A826">
        <v>973</v>
      </c>
      <c r="B826" t="s">
        <v>1590</v>
      </c>
      <c r="C826" t="s">
        <v>1587</v>
      </c>
      <c r="D826" t="s">
        <v>126</v>
      </c>
      <c r="E826" s="4">
        <v>1</v>
      </c>
      <c r="F826" t="s">
        <v>63</v>
      </c>
      <c r="G826" t="s">
        <v>63</v>
      </c>
      <c r="H826" s="3">
        <v>46162</v>
      </c>
      <c r="I826" s="3">
        <v>46162</v>
      </c>
      <c r="J826" t="s">
        <v>200</v>
      </c>
      <c r="K826" s="3">
        <v>46162</v>
      </c>
      <c r="L826" s="3">
        <v>46162</v>
      </c>
      <c r="M826" s="3">
        <v>46162</v>
      </c>
      <c r="N826" s="3">
        <v>46162</v>
      </c>
      <c r="O826" t="s">
        <v>200</v>
      </c>
      <c r="P826" t="s">
        <v>55</v>
      </c>
      <c r="Q826">
        <v>972</v>
      </c>
      <c r="S826" t="s">
        <v>1444</v>
      </c>
      <c r="T826" t="s">
        <v>1429</v>
      </c>
      <c r="U826">
        <v>974</v>
      </c>
      <c r="V826" t="s">
        <v>61</v>
      </c>
      <c r="W826">
        <v>13.4</v>
      </c>
      <c r="X826" t="s">
        <v>57</v>
      </c>
      <c r="Z826" t="s">
        <v>1444</v>
      </c>
      <c r="AA826" t="s">
        <v>198</v>
      </c>
      <c r="AE826">
        <v>1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1</v>
      </c>
      <c r="AM826">
        <v>0</v>
      </c>
      <c r="AN826">
        <v>0</v>
      </c>
      <c r="AO826">
        <v>0</v>
      </c>
      <c r="AP826">
        <v>0</v>
      </c>
    </row>
    <row r="827" spans="1:42" x14ac:dyDescent="0.25">
      <c r="A827">
        <v>974</v>
      </c>
      <c r="B827" t="s">
        <v>1591</v>
      </c>
      <c r="C827" t="s">
        <v>1587</v>
      </c>
      <c r="D827" t="s">
        <v>133</v>
      </c>
      <c r="E827" s="4">
        <v>1</v>
      </c>
      <c r="F827" t="s">
        <v>63</v>
      </c>
      <c r="G827" t="s">
        <v>63</v>
      </c>
      <c r="H827" s="3">
        <v>46162</v>
      </c>
      <c r="I827" s="3">
        <v>46162</v>
      </c>
      <c r="J827" t="s">
        <v>200</v>
      </c>
      <c r="K827" s="3">
        <v>46162</v>
      </c>
      <c r="L827" s="3">
        <v>46162</v>
      </c>
      <c r="M827" s="3">
        <v>46162</v>
      </c>
      <c r="N827" s="3">
        <v>46162</v>
      </c>
      <c r="O827" t="s">
        <v>200</v>
      </c>
      <c r="P827" t="s">
        <v>55</v>
      </c>
      <c r="Q827">
        <v>973</v>
      </c>
      <c r="S827" t="s">
        <v>124</v>
      </c>
      <c r="T827" t="s">
        <v>1429</v>
      </c>
      <c r="U827">
        <v>981</v>
      </c>
      <c r="V827" t="s">
        <v>61</v>
      </c>
      <c r="W827">
        <v>13.4</v>
      </c>
      <c r="X827" t="s">
        <v>57</v>
      </c>
      <c r="Z827" t="s">
        <v>124</v>
      </c>
      <c r="AA827" t="s">
        <v>198</v>
      </c>
      <c r="AE827">
        <v>1</v>
      </c>
      <c r="AF827">
        <v>0</v>
      </c>
      <c r="AG827">
        <v>0</v>
      </c>
      <c r="AH827">
        <v>0</v>
      </c>
      <c r="AI827">
        <v>1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0</v>
      </c>
      <c r="AP827">
        <v>0</v>
      </c>
    </row>
    <row r="828" spans="1:42" x14ac:dyDescent="0.25">
      <c r="A828">
        <v>975</v>
      </c>
      <c r="B828" t="s">
        <v>1592</v>
      </c>
      <c r="C828" t="s">
        <v>1568</v>
      </c>
      <c r="D828" t="s">
        <v>1593</v>
      </c>
      <c r="E828" s="4">
        <v>1</v>
      </c>
      <c r="F828" t="s">
        <v>214</v>
      </c>
      <c r="G828" t="s">
        <v>214</v>
      </c>
      <c r="H828" s="3">
        <v>46149</v>
      </c>
      <c r="I828" s="3">
        <v>46156</v>
      </c>
      <c r="J828" t="s">
        <v>200</v>
      </c>
      <c r="K828" s="3">
        <v>46184</v>
      </c>
      <c r="L828" s="3">
        <v>46162</v>
      </c>
      <c r="M828" s="3">
        <v>46156</v>
      </c>
      <c r="N828" s="3">
        <v>46156</v>
      </c>
      <c r="O828" t="s">
        <v>416</v>
      </c>
      <c r="P828" t="s">
        <v>55</v>
      </c>
      <c r="T828" t="s">
        <v>1429</v>
      </c>
      <c r="U828">
        <v>1205</v>
      </c>
      <c r="V828" t="s">
        <v>330</v>
      </c>
      <c r="X828" t="s">
        <v>57</v>
      </c>
      <c r="AA828" t="s">
        <v>50</v>
      </c>
      <c r="AB828" t="s">
        <v>94</v>
      </c>
      <c r="AE828">
        <v>1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</row>
    <row r="829" spans="1:42" x14ac:dyDescent="0.25">
      <c r="A829">
        <v>976</v>
      </c>
      <c r="B829" t="s">
        <v>1594</v>
      </c>
      <c r="C829" t="s">
        <v>1595</v>
      </c>
      <c r="D829" t="s">
        <v>117</v>
      </c>
      <c r="E829" s="4">
        <v>1</v>
      </c>
      <c r="F829" t="s">
        <v>214</v>
      </c>
      <c r="G829" t="s">
        <v>214</v>
      </c>
      <c r="H829" s="3">
        <v>46149</v>
      </c>
      <c r="I829" s="3">
        <v>46156</v>
      </c>
      <c r="J829" t="s">
        <v>200</v>
      </c>
      <c r="K829" s="3">
        <v>46175</v>
      </c>
      <c r="L829" s="3">
        <v>46162</v>
      </c>
      <c r="M829" s="3">
        <v>46156</v>
      </c>
      <c r="N829" s="3">
        <v>46156</v>
      </c>
      <c r="O829" t="s">
        <v>416</v>
      </c>
      <c r="P829" t="s">
        <v>55</v>
      </c>
      <c r="Q829" t="s">
        <v>1596</v>
      </c>
      <c r="S829" t="s">
        <v>1433</v>
      </c>
      <c r="T829" t="s">
        <v>1429</v>
      </c>
      <c r="U829">
        <v>977</v>
      </c>
      <c r="V829" t="s">
        <v>151</v>
      </c>
      <c r="W829">
        <v>13.4</v>
      </c>
      <c r="X829" t="s">
        <v>57</v>
      </c>
      <c r="Z829" t="s">
        <v>1433</v>
      </c>
      <c r="AA829" t="s">
        <v>198</v>
      </c>
      <c r="AE829">
        <v>1</v>
      </c>
      <c r="AF829">
        <v>1</v>
      </c>
      <c r="AG829">
        <v>1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1</v>
      </c>
    </row>
    <row r="830" spans="1:42" x14ac:dyDescent="0.25">
      <c r="A830">
        <v>977</v>
      </c>
      <c r="B830" t="s">
        <v>1597</v>
      </c>
      <c r="C830" t="s">
        <v>1595</v>
      </c>
      <c r="D830" t="s">
        <v>121</v>
      </c>
      <c r="E830" s="4">
        <v>1</v>
      </c>
      <c r="F830" t="s">
        <v>63</v>
      </c>
      <c r="G830" t="s">
        <v>63</v>
      </c>
      <c r="H830" s="3">
        <v>46156</v>
      </c>
      <c r="I830" s="3">
        <v>46156</v>
      </c>
      <c r="J830" t="s">
        <v>459</v>
      </c>
      <c r="K830" s="3">
        <v>46182</v>
      </c>
      <c r="L830" s="3">
        <v>46176</v>
      </c>
      <c r="M830" s="3">
        <v>46156</v>
      </c>
      <c r="N830" s="3">
        <v>46156</v>
      </c>
      <c r="O830" t="s">
        <v>406</v>
      </c>
      <c r="P830" t="s">
        <v>55</v>
      </c>
      <c r="Q830">
        <v>976</v>
      </c>
      <c r="S830" t="s">
        <v>124</v>
      </c>
      <c r="T830" t="s">
        <v>1429</v>
      </c>
      <c r="U830">
        <v>978</v>
      </c>
      <c r="V830" t="s">
        <v>122</v>
      </c>
      <c r="W830">
        <v>13.4</v>
      </c>
      <c r="X830" t="s">
        <v>57</v>
      </c>
      <c r="Z830" t="s">
        <v>124</v>
      </c>
      <c r="AA830" t="s">
        <v>460</v>
      </c>
      <c r="AE830">
        <v>1</v>
      </c>
      <c r="AF830">
        <v>0</v>
      </c>
      <c r="AG830">
        <v>0</v>
      </c>
      <c r="AH830">
        <v>0</v>
      </c>
      <c r="AI830">
        <v>0</v>
      </c>
      <c r="AJ830">
        <v>1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</row>
    <row r="831" spans="1:42" x14ac:dyDescent="0.25">
      <c r="A831">
        <v>978</v>
      </c>
      <c r="B831" t="s">
        <v>1598</v>
      </c>
      <c r="C831" t="s">
        <v>1595</v>
      </c>
      <c r="D831" t="s">
        <v>126</v>
      </c>
      <c r="E831" s="4">
        <v>1</v>
      </c>
      <c r="F831" t="s">
        <v>63</v>
      </c>
      <c r="G831" t="s">
        <v>63</v>
      </c>
      <c r="H831" s="3">
        <v>46156</v>
      </c>
      <c r="I831" s="3">
        <v>46156</v>
      </c>
      <c r="J831" t="s">
        <v>592</v>
      </c>
      <c r="K831" s="3">
        <v>46183</v>
      </c>
      <c r="L831" s="3">
        <v>46183</v>
      </c>
      <c r="M831" s="3">
        <v>46156</v>
      </c>
      <c r="N831" s="3">
        <v>46156</v>
      </c>
      <c r="O831" t="s">
        <v>406</v>
      </c>
      <c r="P831" t="s">
        <v>55</v>
      </c>
      <c r="Q831">
        <v>977</v>
      </c>
      <c r="S831" t="s">
        <v>1433</v>
      </c>
      <c r="T831" t="s">
        <v>1429</v>
      </c>
      <c r="U831">
        <v>979</v>
      </c>
      <c r="V831" t="s">
        <v>61</v>
      </c>
      <c r="W831">
        <v>13.4</v>
      </c>
      <c r="X831" t="s">
        <v>57</v>
      </c>
      <c r="Z831" t="s">
        <v>1433</v>
      </c>
      <c r="AA831" t="s">
        <v>462</v>
      </c>
      <c r="AE831">
        <v>1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1</v>
      </c>
      <c r="AM831">
        <v>0</v>
      </c>
      <c r="AN831">
        <v>0</v>
      </c>
      <c r="AO831">
        <v>0</v>
      </c>
      <c r="AP831">
        <v>0</v>
      </c>
    </row>
    <row r="832" spans="1:42" x14ac:dyDescent="0.25">
      <c r="A832">
        <v>979</v>
      </c>
      <c r="B832" t="s">
        <v>1599</v>
      </c>
      <c r="C832" t="s">
        <v>1595</v>
      </c>
      <c r="D832" t="s">
        <v>133</v>
      </c>
      <c r="E832" s="4">
        <v>1</v>
      </c>
      <c r="F832" t="s">
        <v>63</v>
      </c>
      <c r="G832" t="s">
        <v>63</v>
      </c>
      <c r="H832" s="3">
        <v>46156</v>
      </c>
      <c r="I832" s="3">
        <v>46156</v>
      </c>
      <c r="J832" t="s">
        <v>476</v>
      </c>
      <c r="K832" s="3">
        <v>46184</v>
      </c>
      <c r="L832" s="3">
        <v>46184</v>
      </c>
      <c r="M832" s="3">
        <v>46156</v>
      </c>
      <c r="N832" s="3">
        <v>46156</v>
      </c>
      <c r="O832" t="s">
        <v>406</v>
      </c>
      <c r="P832" t="s">
        <v>55</v>
      </c>
      <c r="Q832">
        <v>978</v>
      </c>
      <c r="S832" t="s">
        <v>124</v>
      </c>
      <c r="T832" t="s">
        <v>1429</v>
      </c>
      <c r="V832" t="s">
        <v>61</v>
      </c>
      <c r="W832">
        <v>13.4</v>
      </c>
      <c r="X832" t="s">
        <v>57</v>
      </c>
      <c r="Z832" t="s">
        <v>124</v>
      </c>
      <c r="AA832" t="s">
        <v>462</v>
      </c>
      <c r="AE832">
        <v>1</v>
      </c>
      <c r="AF832">
        <v>0</v>
      </c>
      <c r="AG832">
        <v>0</v>
      </c>
      <c r="AH832">
        <v>0</v>
      </c>
      <c r="AI832">
        <v>1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0</v>
      </c>
      <c r="AP832">
        <v>0</v>
      </c>
    </row>
    <row r="833" spans="1:42" x14ac:dyDescent="0.25">
      <c r="A833">
        <v>980</v>
      </c>
      <c r="B833" t="s">
        <v>1600</v>
      </c>
      <c r="C833" t="s">
        <v>1568</v>
      </c>
      <c r="D833" t="s">
        <v>1601</v>
      </c>
      <c r="E833" s="4">
        <v>1</v>
      </c>
      <c r="F833" t="s">
        <v>101</v>
      </c>
      <c r="G833" t="s">
        <v>101</v>
      </c>
      <c r="H833" s="3">
        <v>46163</v>
      </c>
      <c r="I833" s="3">
        <v>46168</v>
      </c>
      <c r="J833" t="s">
        <v>74</v>
      </c>
      <c r="K833" s="3">
        <v>46175</v>
      </c>
      <c r="L833" s="3">
        <v>46167</v>
      </c>
      <c r="M833" s="3">
        <v>46168</v>
      </c>
      <c r="N833" s="3">
        <v>46168</v>
      </c>
      <c r="O833" t="s">
        <v>491</v>
      </c>
      <c r="P833" t="s">
        <v>55</v>
      </c>
      <c r="T833" t="s">
        <v>1429</v>
      </c>
      <c r="V833" t="s">
        <v>175</v>
      </c>
      <c r="X833" t="s">
        <v>57</v>
      </c>
      <c r="AA833" t="s">
        <v>50</v>
      </c>
      <c r="AB833" t="s">
        <v>94</v>
      </c>
      <c r="AE833">
        <v>1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</row>
    <row r="834" spans="1:42" x14ac:dyDescent="0.25">
      <c r="A834">
        <v>981</v>
      </c>
      <c r="B834" t="s">
        <v>1602</v>
      </c>
      <c r="C834" t="s">
        <v>1603</v>
      </c>
      <c r="D834" t="s">
        <v>117</v>
      </c>
      <c r="E834" s="4">
        <v>1</v>
      </c>
      <c r="F834" t="s">
        <v>101</v>
      </c>
      <c r="G834" t="s">
        <v>101</v>
      </c>
      <c r="H834" s="3">
        <v>46163</v>
      </c>
      <c r="I834" s="3">
        <v>46168</v>
      </c>
      <c r="J834" t="s">
        <v>74</v>
      </c>
      <c r="K834" s="3">
        <v>46168</v>
      </c>
      <c r="L834" s="3">
        <v>46167</v>
      </c>
      <c r="M834" s="3">
        <v>46168</v>
      </c>
      <c r="N834" s="3">
        <v>46168</v>
      </c>
      <c r="O834" t="s">
        <v>491</v>
      </c>
      <c r="P834" t="s">
        <v>55</v>
      </c>
      <c r="Q834" t="s">
        <v>1604</v>
      </c>
      <c r="S834" t="s">
        <v>1444</v>
      </c>
      <c r="T834" t="s">
        <v>1429</v>
      </c>
      <c r="U834" t="s">
        <v>1605</v>
      </c>
      <c r="V834" t="s">
        <v>127</v>
      </c>
      <c r="W834">
        <v>13.4</v>
      </c>
      <c r="X834" t="s">
        <v>57</v>
      </c>
      <c r="Z834" t="s">
        <v>1444</v>
      </c>
      <c r="AA834" t="s">
        <v>77</v>
      </c>
      <c r="AE834">
        <v>1</v>
      </c>
      <c r="AF834">
        <v>1</v>
      </c>
      <c r="AG834">
        <v>1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1</v>
      </c>
    </row>
    <row r="835" spans="1:42" x14ac:dyDescent="0.25">
      <c r="A835">
        <v>982</v>
      </c>
      <c r="B835" t="s">
        <v>1606</v>
      </c>
      <c r="C835" t="s">
        <v>1603</v>
      </c>
      <c r="D835" t="s">
        <v>121</v>
      </c>
      <c r="E835" s="4">
        <v>1</v>
      </c>
      <c r="F835" t="s">
        <v>61</v>
      </c>
      <c r="G835" t="s">
        <v>61</v>
      </c>
      <c r="H835" s="3">
        <v>46168</v>
      </c>
      <c r="I835" s="3">
        <v>46168</v>
      </c>
      <c r="J835" t="s">
        <v>97</v>
      </c>
      <c r="K835" s="3">
        <v>46171</v>
      </c>
      <c r="L835" s="3">
        <v>46169</v>
      </c>
      <c r="M835" s="3">
        <v>46168</v>
      </c>
      <c r="N835" s="3">
        <v>46168</v>
      </c>
      <c r="O835" t="s">
        <v>206</v>
      </c>
      <c r="P835" t="s">
        <v>55</v>
      </c>
      <c r="Q835">
        <v>981</v>
      </c>
      <c r="S835" t="s">
        <v>124</v>
      </c>
      <c r="T835" t="s">
        <v>1429</v>
      </c>
      <c r="U835">
        <v>983</v>
      </c>
      <c r="V835" t="s">
        <v>122</v>
      </c>
      <c r="W835">
        <v>13.4</v>
      </c>
      <c r="X835" t="s">
        <v>57</v>
      </c>
      <c r="Z835" t="s">
        <v>124</v>
      </c>
      <c r="AA835" t="s">
        <v>77</v>
      </c>
      <c r="AE835">
        <v>1</v>
      </c>
      <c r="AF835">
        <v>0</v>
      </c>
      <c r="AG835">
        <v>0</v>
      </c>
      <c r="AH835">
        <v>0</v>
      </c>
      <c r="AI835">
        <v>0</v>
      </c>
      <c r="AJ835">
        <v>1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</row>
    <row r="836" spans="1:42" x14ac:dyDescent="0.25">
      <c r="A836">
        <v>983</v>
      </c>
      <c r="B836" t="s">
        <v>1607</v>
      </c>
      <c r="C836" t="s">
        <v>1603</v>
      </c>
      <c r="D836" t="s">
        <v>126</v>
      </c>
      <c r="E836" s="4">
        <v>1</v>
      </c>
      <c r="F836" t="s">
        <v>61</v>
      </c>
      <c r="G836" t="s">
        <v>61</v>
      </c>
      <c r="H836" s="3">
        <v>46168</v>
      </c>
      <c r="I836" s="3">
        <v>46168</v>
      </c>
      <c r="J836" t="s">
        <v>193</v>
      </c>
      <c r="K836" s="3">
        <v>46174</v>
      </c>
      <c r="L836" s="3">
        <v>46174</v>
      </c>
      <c r="M836" s="3">
        <v>46168</v>
      </c>
      <c r="N836" s="3">
        <v>46168</v>
      </c>
      <c r="O836" t="s">
        <v>206</v>
      </c>
      <c r="P836" t="s">
        <v>55</v>
      </c>
      <c r="Q836">
        <v>982</v>
      </c>
      <c r="S836" t="s">
        <v>1444</v>
      </c>
      <c r="T836" t="s">
        <v>1429</v>
      </c>
      <c r="U836">
        <v>984</v>
      </c>
      <c r="V836" t="s">
        <v>61</v>
      </c>
      <c r="W836">
        <v>13.4</v>
      </c>
      <c r="X836" t="s">
        <v>57</v>
      </c>
      <c r="Z836" t="s">
        <v>1444</v>
      </c>
      <c r="AA836" t="s">
        <v>460</v>
      </c>
      <c r="AE836">
        <v>1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1</v>
      </c>
      <c r="AM836">
        <v>0</v>
      </c>
      <c r="AN836">
        <v>0</v>
      </c>
      <c r="AO836">
        <v>0</v>
      </c>
      <c r="AP836">
        <v>0</v>
      </c>
    </row>
    <row r="837" spans="1:42" x14ac:dyDescent="0.25">
      <c r="A837">
        <v>984</v>
      </c>
      <c r="B837" t="s">
        <v>1608</v>
      </c>
      <c r="C837" t="s">
        <v>1603</v>
      </c>
      <c r="D837" t="s">
        <v>133</v>
      </c>
      <c r="E837" s="4">
        <v>1</v>
      </c>
      <c r="F837" t="s">
        <v>61</v>
      </c>
      <c r="G837" t="s">
        <v>61</v>
      </c>
      <c r="H837" s="3">
        <v>46168</v>
      </c>
      <c r="I837" s="3">
        <v>46168</v>
      </c>
      <c r="J837" t="s">
        <v>472</v>
      </c>
      <c r="K837" s="3">
        <v>46175</v>
      </c>
      <c r="L837" s="3">
        <v>46175</v>
      </c>
      <c r="M837" s="3">
        <v>46168</v>
      </c>
      <c r="N837" s="3">
        <v>46168</v>
      </c>
      <c r="O837" t="s">
        <v>206</v>
      </c>
      <c r="P837" t="s">
        <v>55</v>
      </c>
      <c r="Q837">
        <v>983</v>
      </c>
      <c r="S837" t="s">
        <v>124</v>
      </c>
      <c r="T837" t="s">
        <v>1429</v>
      </c>
      <c r="V837" t="s">
        <v>61</v>
      </c>
      <c r="W837">
        <v>13.4</v>
      </c>
      <c r="X837" t="s">
        <v>57</v>
      </c>
      <c r="Z837" t="s">
        <v>124</v>
      </c>
      <c r="AA837" t="s">
        <v>460</v>
      </c>
      <c r="AE837">
        <v>1</v>
      </c>
      <c r="AF837">
        <v>0</v>
      </c>
      <c r="AG837">
        <v>0</v>
      </c>
      <c r="AH837">
        <v>0</v>
      </c>
      <c r="AI837">
        <v>1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0</v>
      </c>
      <c r="AP837">
        <v>0</v>
      </c>
    </row>
    <row r="838" spans="1:42" x14ac:dyDescent="0.25">
      <c r="A838">
        <v>985</v>
      </c>
      <c r="B838" t="s">
        <v>1609</v>
      </c>
      <c r="C838" t="s">
        <v>1568</v>
      </c>
      <c r="D838" t="s">
        <v>1610</v>
      </c>
      <c r="E838" s="4">
        <v>1</v>
      </c>
      <c r="F838" t="s">
        <v>101</v>
      </c>
      <c r="G838" t="s">
        <v>101</v>
      </c>
      <c r="H838" s="3">
        <v>46163</v>
      </c>
      <c r="I838" s="3">
        <v>46168</v>
      </c>
      <c r="J838" t="s">
        <v>74</v>
      </c>
      <c r="K838" s="3">
        <v>46175</v>
      </c>
      <c r="L838" s="3">
        <v>46167</v>
      </c>
      <c r="M838" s="3">
        <v>46168</v>
      </c>
      <c r="N838" s="3">
        <v>46168</v>
      </c>
      <c r="O838" t="s">
        <v>491</v>
      </c>
      <c r="P838" t="s">
        <v>55</v>
      </c>
      <c r="T838" t="s">
        <v>1429</v>
      </c>
      <c r="V838" t="s">
        <v>175</v>
      </c>
      <c r="X838" t="s">
        <v>57</v>
      </c>
      <c r="AA838" t="s">
        <v>50</v>
      </c>
      <c r="AB838" t="s">
        <v>94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</row>
    <row r="839" spans="1:42" x14ac:dyDescent="0.25">
      <c r="A839">
        <v>986</v>
      </c>
      <c r="B839" t="s">
        <v>1611</v>
      </c>
      <c r="C839" t="s">
        <v>1612</v>
      </c>
      <c r="D839" t="s">
        <v>117</v>
      </c>
      <c r="E839" s="4">
        <v>1</v>
      </c>
      <c r="F839" t="s">
        <v>127</v>
      </c>
      <c r="G839" t="s">
        <v>127</v>
      </c>
      <c r="H839" s="3">
        <v>46163</v>
      </c>
      <c r="I839" s="3">
        <v>46168</v>
      </c>
      <c r="J839" t="s">
        <v>74</v>
      </c>
      <c r="K839" s="3">
        <v>46168</v>
      </c>
      <c r="L839" s="3">
        <v>46167</v>
      </c>
      <c r="M839" s="3">
        <v>46168</v>
      </c>
      <c r="N839" s="3">
        <v>46168</v>
      </c>
      <c r="O839" t="s">
        <v>491</v>
      </c>
      <c r="P839" t="s">
        <v>55</v>
      </c>
      <c r="Q839" t="s">
        <v>1613</v>
      </c>
      <c r="S839" t="s">
        <v>1444</v>
      </c>
      <c r="T839" t="s">
        <v>1429</v>
      </c>
      <c r="U839">
        <v>987</v>
      </c>
      <c r="V839" t="s">
        <v>127</v>
      </c>
      <c r="W839">
        <v>13.4</v>
      </c>
      <c r="X839" t="s">
        <v>57</v>
      </c>
      <c r="Z839" t="s">
        <v>1444</v>
      </c>
      <c r="AA839" t="s">
        <v>77</v>
      </c>
      <c r="AE839">
        <v>1</v>
      </c>
      <c r="AF839">
        <v>1</v>
      </c>
      <c r="AG839">
        <v>1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1</v>
      </c>
    </row>
    <row r="840" spans="1:42" x14ac:dyDescent="0.25">
      <c r="A840">
        <v>987</v>
      </c>
      <c r="B840" t="s">
        <v>1614</v>
      </c>
      <c r="C840" t="s">
        <v>1612</v>
      </c>
      <c r="D840" t="s">
        <v>121</v>
      </c>
      <c r="E840" s="4">
        <v>1</v>
      </c>
      <c r="F840" t="s">
        <v>61</v>
      </c>
      <c r="G840" t="s">
        <v>61</v>
      </c>
      <c r="H840" s="3">
        <v>46168</v>
      </c>
      <c r="I840" s="3">
        <v>46168</v>
      </c>
      <c r="J840" t="s">
        <v>97</v>
      </c>
      <c r="K840" s="3">
        <v>46171</v>
      </c>
      <c r="L840" s="3">
        <v>46169</v>
      </c>
      <c r="M840" s="3">
        <v>46168</v>
      </c>
      <c r="N840" s="3">
        <v>46168</v>
      </c>
      <c r="O840" t="s">
        <v>206</v>
      </c>
      <c r="P840" t="s">
        <v>55</v>
      </c>
      <c r="Q840">
        <v>986</v>
      </c>
      <c r="S840" t="s">
        <v>124</v>
      </c>
      <c r="T840" t="s">
        <v>1429</v>
      </c>
      <c r="U840">
        <v>988</v>
      </c>
      <c r="V840" t="s">
        <v>122</v>
      </c>
      <c r="W840">
        <v>13.4</v>
      </c>
      <c r="X840" t="s">
        <v>57</v>
      </c>
      <c r="Z840" t="s">
        <v>124</v>
      </c>
      <c r="AA840" t="s">
        <v>77</v>
      </c>
      <c r="AE840">
        <v>1</v>
      </c>
      <c r="AF840">
        <v>0</v>
      </c>
      <c r="AG840">
        <v>0</v>
      </c>
      <c r="AH840">
        <v>0</v>
      </c>
      <c r="AI840">
        <v>0</v>
      </c>
      <c r="AJ840">
        <v>1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</row>
    <row r="841" spans="1:42" x14ac:dyDescent="0.25">
      <c r="A841">
        <v>988</v>
      </c>
      <c r="B841" t="s">
        <v>1615</v>
      </c>
      <c r="C841" t="s">
        <v>1612</v>
      </c>
      <c r="D841" t="s">
        <v>126</v>
      </c>
      <c r="E841" s="4">
        <v>1</v>
      </c>
      <c r="F841" t="s">
        <v>61</v>
      </c>
      <c r="G841" t="s">
        <v>61</v>
      </c>
      <c r="H841" s="3">
        <v>46168</v>
      </c>
      <c r="I841" s="3">
        <v>46168</v>
      </c>
      <c r="J841" t="s">
        <v>193</v>
      </c>
      <c r="K841" s="3">
        <v>46174</v>
      </c>
      <c r="L841" s="3">
        <v>46174</v>
      </c>
      <c r="M841" s="3">
        <v>46168</v>
      </c>
      <c r="N841" s="3">
        <v>46168</v>
      </c>
      <c r="O841" t="s">
        <v>206</v>
      </c>
      <c r="P841" t="s">
        <v>55</v>
      </c>
      <c r="Q841">
        <v>987</v>
      </c>
      <c r="S841" t="s">
        <v>1444</v>
      </c>
      <c r="T841" t="s">
        <v>1429</v>
      </c>
      <c r="U841">
        <v>989</v>
      </c>
      <c r="V841" t="s">
        <v>61</v>
      </c>
      <c r="W841">
        <v>13.4</v>
      </c>
      <c r="X841" t="s">
        <v>57</v>
      </c>
      <c r="Z841" t="s">
        <v>1444</v>
      </c>
      <c r="AA841" t="s">
        <v>460</v>
      </c>
      <c r="AE841">
        <v>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1</v>
      </c>
      <c r="AM841">
        <v>0</v>
      </c>
      <c r="AN841">
        <v>0</v>
      </c>
      <c r="AO841">
        <v>0</v>
      </c>
      <c r="AP841">
        <v>0</v>
      </c>
    </row>
    <row r="842" spans="1:42" x14ac:dyDescent="0.25">
      <c r="A842">
        <v>989</v>
      </c>
      <c r="B842" t="s">
        <v>1616</v>
      </c>
      <c r="C842" t="s">
        <v>1612</v>
      </c>
      <c r="D842" t="s">
        <v>133</v>
      </c>
      <c r="E842" s="4">
        <v>1</v>
      </c>
      <c r="F842" t="s">
        <v>61</v>
      </c>
      <c r="G842" t="s">
        <v>61</v>
      </c>
      <c r="H842" s="3">
        <v>46168</v>
      </c>
      <c r="I842" s="3">
        <v>46168</v>
      </c>
      <c r="J842" t="s">
        <v>472</v>
      </c>
      <c r="K842" s="3">
        <v>46175</v>
      </c>
      <c r="L842" s="3">
        <v>46175</v>
      </c>
      <c r="M842" s="3">
        <v>46168</v>
      </c>
      <c r="N842" s="3">
        <v>46168</v>
      </c>
      <c r="O842" t="s">
        <v>206</v>
      </c>
      <c r="P842" t="s">
        <v>55</v>
      </c>
      <c r="Q842">
        <v>988</v>
      </c>
      <c r="S842" t="s">
        <v>124</v>
      </c>
      <c r="T842" t="s">
        <v>1429</v>
      </c>
      <c r="V842" t="s">
        <v>61</v>
      </c>
      <c r="W842">
        <v>13.4</v>
      </c>
      <c r="X842" t="s">
        <v>57</v>
      </c>
      <c r="Z842" t="s">
        <v>124</v>
      </c>
      <c r="AA842" t="s">
        <v>460</v>
      </c>
      <c r="AE842">
        <v>1</v>
      </c>
      <c r="AF842">
        <v>0</v>
      </c>
      <c r="AG842">
        <v>0</v>
      </c>
      <c r="AH842">
        <v>0</v>
      </c>
      <c r="AI842">
        <v>1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0</v>
      </c>
      <c r="AP842">
        <v>0</v>
      </c>
    </row>
    <row r="843" spans="1:42" x14ac:dyDescent="0.25">
      <c r="A843">
        <v>990</v>
      </c>
      <c r="B843" t="s">
        <v>1617</v>
      </c>
      <c r="C843" t="s">
        <v>1568</v>
      </c>
      <c r="D843" t="s">
        <v>1618</v>
      </c>
      <c r="E843" s="4">
        <v>1</v>
      </c>
      <c r="F843" t="s">
        <v>101</v>
      </c>
      <c r="G843" t="s">
        <v>101</v>
      </c>
      <c r="H843" s="3">
        <v>46163</v>
      </c>
      <c r="I843" s="3">
        <v>46168</v>
      </c>
      <c r="J843" t="s">
        <v>491</v>
      </c>
      <c r="K843" s="3">
        <v>46168</v>
      </c>
      <c r="L843" s="3">
        <v>46163</v>
      </c>
      <c r="M843" s="3">
        <v>46168</v>
      </c>
      <c r="N843" s="3">
        <v>46168</v>
      </c>
      <c r="O843" t="s">
        <v>491</v>
      </c>
      <c r="P843" t="s">
        <v>55</v>
      </c>
      <c r="T843" t="s">
        <v>1429</v>
      </c>
      <c r="V843" t="s">
        <v>175</v>
      </c>
      <c r="X843" t="s">
        <v>57</v>
      </c>
      <c r="AA843" t="s">
        <v>50</v>
      </c>
      <c r="AB843" t="s">
        <v>94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</row>
    <row r="844" spans="1:42" x14ac:dyDescent="0.25">
      <c r="A844">
        <v>991</v>
      </c>
      <c r="B844" t="s">
        <v>1619</v>
      </c>
      <c r="C844" t="s">
        <v>1620</v>
      </c>
      <c r="D844" t="s">
        <v>117</v>
      </c>
      <c r="E844" s="4">
        <v>1</v>
      </c>
      <c r="F844" t="s">
        <v>127</v>
      </c>
      <c r="G844" t="s">
        <v>127</v>
      </c>
      <c r="H844" s="3">
        <v>46163</v>
      </c>
      <c r="I844" s="3">
        <v>46168</v>
      </c>
      <c r="J844" t="s">
        <v>491</v>
      </c>
      <c r="K844" s="3">
        <v>46168</v>
      </c>
      <c r="L844" s="3">
        <v>46163</v>
      </c>
      <c r="M844" s="3">
        <v>46168</v>
      </c>
      <c r="N844" s="3">
        <v>46168</v>
      </c>
      <c r="O844" t="s">
        <v>491</v>
      </c>
      <c r="P844" t="s">
        <v>55</v>
      </c>
      <c r="Q844" t="s">
        <v>1613</v>
      </c>
      <c r="S844" t="s">
        <v>1444</v>
      </c>
      <c r="T844" t="s">
        <v>1429</v>
      </c>
      <c r="U844">
        <v>992</v>
      </c>
      <c r="V844" t="s">
        <v>127</v>
      </c>
      <c r="W844">
        <v>13.4</v>
      </c>
      <c r="X844" t="s">
        <v>57</v>
      </c>
      <c r="Z844" t="s">
        <v>1444</v>
      </c>
      <c r="AA844" t="s">
        <v>77</v>
      </c>
      <c r="AE844">
        <v>1</v>
      </c>
      <c r="AF844">
        <v>1</v>
      </c>
      <c r="AG844">
        <v>1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1</v>
      </c>
    </row>
    <row r="845" spans="1:42" x14ac:dyDescent="0.25">
      <c r="A845">
        <v>992</v>
      </c>
      <c r="B845" t="s">
        <v>1621</v>
      </c>
      <c r="C845" t="s">
        <v>1620</v>
      </c>
      <c r="D845" t="s">
        <v>121</v>
      </c>
      <c r="E845" s="4">
        <v>1</v>
      </c>
      <c r="F845" t="s">
        <v>61</v>
      </c>
      <c r="G845" t="s">
        <v>61</v>
      </c>
      <c r="H845" s="3">
        <v>46168</v>
      </c>
      <c r="I845" s="3">
        <v>46168</v>
      </c>
      <c r="J845" t="s">
        <v>206</v>
      </c>
      <c r="K845" s="3">
        <v>46168</v>
      </c>
      <c r="L845" s="3">
        <v>46168</v>
      </c>
      <c r="M845" s="3">
        <v>46168</v>
      </c>
      <c r="N845" s="3">
        <v>46168</v>
      </c>
      <c r="O845" t="s">
        <v>206</v>
      </c>
      <c r="P845" t="s">
        <v>55</v>
      </c>
      <c r="Q845">
        <v>991</v>
      </c>
      <c r="S845" t="s">
        <v>124</v>
      </c>
      <c r="T845" t="s">
        <v>1429</v>
      </c>
      <c r="U845">
        <v>993</v>
      </c>
      <c r="V845" t="s">
        <v>122</v>
      </c>
      <c r="W845">
        <v>13.4</v>
      </c>
      <c r="X845" t="s">
        <v>57</v>
      </c>
      <c r="Z845" t="s">
        <v>124</v>
      </c>
      <c r="AA845" t="s">
        <v>77</v>
      </c>
      <c r="AE845">
        <v>1</v>
      </c>
      <c r="AF845">
        <v>0</v>
      </c>
      <c r="AG845">
        <v>0</v>
      </c>
      <c r="AH845">
        <v>0</v>
      </c>
      <c r="AI845">
        <v>0</v>
      </c>
      <c r="AJ845">
        <v>1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</row>
    <row r="846" spans="1:42" x14ac:dyDescent="0.25">
      <c r="A846">
        <v>993</v>
      </c>
      <c r="B846" t="s">
        <v>1622</v>
      </c>
      <c r="C846" t="s">
        <v>1620</v>
      </c>
      <c r="D846" t="s">
        <v>126</v>
      </c>
      <c r="E846" s="4">
        <v>1</v>
      </c>
      <c r="F846" t="s">
        <v>61</v>
      </c>
      <c r="G846" t="s">
        <v>61</v>
      </c>
      <c r="H846" s="3">
        <v>46168</v>
      </c>
      <c r="I846" s="3">
        <v>46168</v>
      </c>
      <c r="J846" t="s">
        <v>206</v>
      </c>
      <c r="K846" s="3">
        <v>46168</v>
      </c>
      <c r="L846" s="3">
        <v>46168</v>
      </c>
      <c r="M846" s="3">
        <v>46168</v>
      </c>
      <c r="N846" s="3">
        <v>46168</v>
      </c>
      <c r="O846" t="s">
        <v>206</v>
      </c>
      <c r="P846" t="s">
        <v>55</v>
      </c>
      <c r="Q846">
        <v>992</v>
      </c>
      <c r="S846" t="s">
        <v>1444</v>
      </c>
      <c r="T846" t="s">
        <v>1429</v>
      </c>
      <c r="U846">
        <v>994</v>
      </c>
      <c r="V846" t="s">
        <v>61</v>
      </c>
      <c r="W846">
        <v>13.4</v>
      </c>
      <c r="X846" t="s">
        <v>57</v>
      </c>
      <c r="Z846" t="s">
        <v>1444</v>
      </c>
      <c r="AA846" t="s">
        <v>460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1</v>
      </c>
      <c r="AM846">
        <v>0</v>
      </c>
      <c r="AN846">
        <v>0</v>
      </c>
      <c r="AO846">
        <v>0</v>
      </c>
      <c r="AP846">
        <v>0</v>
      </c>
    </row>
    <row r="847" spans="1:42" x14ac:dyDescent="0.25">
      <c r="A847">
        <v>994</v>
      </c>
      <c r="B847" t="s">
        <v>1623</v>
      </c>
      <c r="C847" t="s">
        <v>1620</v>
      </c>
      <c r="D847" t="s">
        <v>133</v>
      </c>
      <c r="E847" s="4">
        <v>1</v>
      </c>
      <c r="F847" t="s">
        <v>61</v>
      </c>
      <c r="G847" t="s">
        <v>61</v>
      </c>
      <c r="H847" s="3">
        <v>46168</v>
      </c>
      <c r="I847" s="3">
        <v>46168</v>
      </c>
      <c r="J847" t="s">
        <v>206</v>
      </c>
      <c r="K847" s="3">
        <v>46168</v>
      </c>
      <c r="L847" s="3">
        <v>46168</v>
      </c>
      <c r="M847" s="3">
        <v>46168</v>
      </c>
      <c r="N847" s="3">
        <v>46168</v>
      </c>
      <c r="O847" t="s">
        <v>206</v>
      </c>
      <c r="P847" t="s">
        <v>55</v>
      </c>
      <c r="Q847">
        <v>993</v>
      </c>
      <c r="S847" t="s">
        <v>124</v>
      </c>
      <c r="T847" t="s">
        <v>1429</v>
      </c>
      <c r="V847" t="s">
        <v>61</v>
      </c>
      <c r="W847">
        <v>13.4</v>
      </c>
      <c r="X847" t="s">
        <v>57</v>
      </c>
      <c r="Z847" t="s">
        <v>124</v>
      </c>
      <c r="AA847" t="s">
        <v>460</v>
      </c>
      <c r="AE847">
        <v>1</v>
      </c>
      <c r="AF847">
        <v>0</v>
      </c>
      <c r="AG847">
        <v>0</v>
      </c>
      <c r="AH847">
        <v>0</v>
      </c>
      <c r="AI847">
        <v>1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0</v>
      </c>
      <c r="AP847">
        <v>0</v>
      </c>
    </row>
    <row r="848" spans="1:42" x14ac:dyDescent="0.25">
      <c r="A848">
        <v>995</v>
      </c>
      <c r="B848" t="s">
        <v>1624</v>
      </c>
      <c r="C848" t="s">
        <v>1568</v>
      </c>
      <c r="D848" t="s">
        <v>1625</v>
      </c>
      <c r="E848" s="4">
        <v>1</v>
      </c>
      <c r="F848" t="s">
        <v>101</v>
      </c>
      <c r="G848" t="s">
        <v>101</v>
      </c>
      <c r="H848" s="3">
        <v>46163</v>
      </c>
      <c r="I848" s="3">
        <v>46168</v>
      </c>
      <c r="J848" t="s">
        <v>491</v>
      </c>
      <c r="K848" s="3">
        <v>46168</v>
      </c>
      <c r="L848" s="3">
        <v>46163</v>
      </c>
      <c r="M848" s="3">
        <v>46168</v>
      </c>
      <c r="N848" s="3">
        <v>46168</v>
      </c>
      <c r="O848" t="s">
        <v>491</v>
      </c>
      <c r="P848" t="s">
        <v>55</v>
      </c>
      <c r="T848" t="s">
        <v>1429</v>
      </c>
      <c r="V848" t="s">
        <v>175</v>
      </c>
      <c r="X848" t="s">
        <v>57</v>
      </c>
      <c r="AA848" t="s">
        <v>50</v>
      </c>
      <c r="AB848" t="s">
        <v>94</v>
      </c>
      <c r="AE848">
        <v>1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</row>
    <row r="849" spans="1:42" x14ac:dyDescent="0.25">
      <c r="A849">
        <v>996</v>
      </c>
      <c r="B849" t="s">
        <v>1626</v>
      </c>
      <c r="C849" t="s">
        <v>1627</v>
      </c>
      <c r="D849" t="s">
        <v>117</v>
      </c>
      <c r="E849" s="4">
        <v>1</v>
      </c>
      <c r="F849" t="s">
        <v>127</v>
      </c>
      <c r="G849" t="s">
        <v>127</v>
      </c>
      <c r="H849" s="3">
        <v>46163</v>
      </c>
      <c r="I849" s="3">
        <v>46168</v>
      </c>
      <c r="J849" t="s">
        <v>491</v>
      </c>
      <c r="K849" s="3">
        <v>46168</v>
      </c>
      <c r="L849" s="3">
        <v>46163</v>
      </c>
      <c r="M849" s="3">
        <v>46168</v>
      </c>
      <c r="N849" s="3">
        <v>46168</v>
      </c>
      <c r="O849" t="s">
        <v>491</v>
      </c>
      <c r="P849" t="s">
        <v>55</v>
      </c>
      <c r="Q849" t="s">
        <v>1613</v>
      </c>
      <c r="S849" t="s">
        <v>1444</v>
      </c>
      <c r="T849" t="s">
        <v>1429</v>
      </c>
      <c r="U849">
        <v>997</v>
      </c>
      <c r="V849" t="s">
        <v>127</v>
      </c>
      <c r="W849">
        <v>13.4</v>
      </c>
      <c r="X849" t="s">
        <v>57</v>
      </c>
      <c r="Z849" t="s">
        <v>1444</v>
      </c>
      <c r="AA849" t="s">
        <v>77</v>
      </c>
      <c r="AE849">
        <v>1</v>
      </c>
      <c r="AF849">
        <v>1</v>
      </c>
      <c r="AG849">
        <v>1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1</v>
      </c>
    </row>
    <row r="850" spans="1:42" x14ac:dyDescent="0.25">
      <c r="A850">
        <v>997</v>
      </c>
      <c r="B850" t="s">
        <v>1628</v>
      </c>
      <c r="C850" t="s">
        <v>1627</v>
      </c>
      <c r="D850" t="s">
        <v>121</v>
      </c>
      <c r="E850" s="4">
        <v>1</v>
      </c>
      <c r="F850" t="s">
        <v>61</v>
      </c>
      <c r="G850" t="s">
        <v>61</v>
      </c>
      <c r="H850" s="3">
        <v>46168</v>
      </c>
      <c r="I850" s="3">
        <v>46168</v>
      </c>
      <c r="J850" t="s">
        <v>206</v>
      </c>
      <c r="K850" s="3">
        <v>46168</v>
      </c>
      <c r="L850" s="3">
        <v>46168</v>
      </c>
      <c r="M850" s="3">
        <v>46168</v>
      </c>
      <c r="N850" s="3">
        <v>46168</v>
      </c>
      <c r="O850" t="s">
        <v>206</v>
      </c>
      <c r="P850" t="s">
        <v>55</v>
      </c>
      <c r="Q850">
        <v>996</v>
      </c>
      <c r="S850" t="s">
        <v>124</v>
      </c>
      <c r="T850" t="s">
        <v>1429</v>
      </c>
      <c r="U850">
        <v>998</v>
      </c>
      <c r="V850" t="s">
        <v>122</v>
      </c>
      <c r="W850">
        <v>13.4</v>
      </c>
      <c r="X850" t="s">
        <v>57</v>
      </c>
      <c r="Z850" t="s">
        <v>124</v>
      </c>
      <c r="AA850" t="s">
        <v>77</v>
      </c>
      <c r="AE850">
        <v>1</v>
      </c>
      <c r="AF850">
        <v>0</v>
      </c>
      <c r="AG850">
        <v>0</v>
      </c>
      <c r="AH850">
        <v>0</v>
      </c>
      <c r="AI850">
        <v>0</v>
      </c>
      <c r="AJ850">
        <v>1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</row>
    <row r="851" spans="1:42" x14ac:dyDescent="0.25">
      <c r="A851">
        <v>998</v>
      </c>
      <c r="B851" t="s">
        <v>1629</v>
      </c>
      <c r="C851" t="s">
        <v>1627</v>
      </c>
      <c r="D851" t="s">
        <v>126</v>
      </c>
      <c r="E851" s="4">
        <v>1</v>
      </c>
      <c r="F851" t="s">
        <v>61</v>
      </c>
      <c r="G851" t="s">
        <v>61</v>
      </c>
      <c r="H851" s="3">
        <v>46168</v>
      </c>
      <c r="I851" s="3">
        <v>46168</v>
      </c>
      <c r="J851" t="s">
        <v>206</v>
      </c>
      <c r="K851" s="3">
        <v>46168</v>
      </c>
      <c r="L851" s="3">
        <v>46168</v>
      </c>
      <c r="M851" s="3">
        <v>46168</v>
      </c>
      <c r="N851" s="3">
        <v>46168</v>
      </c>
      <c r="O851" t="s">
        <v>206</v>
      </c>
      <c r="P851" t="s">
        <v>55</v>
      </c>
      <c r="Q851">
        <v>997</v>
      </c>
      <c r="S851" t="s">
        <v>1444</v>
      </c>
      <c r="T851" t="s">
        <v>1429</v>
      </c>
      <c r="U851">
        <v>999</v>
      </c>
      <c r="V851" t="s">
        <v>61</v>
      </c>
      <c r="W851">
        <v>13.4</v>
      </c>
      <c r="X851" t="s">
        <v>57</v>
      </c>
      <c r="Z851" t="s">
        <v>1444</v>
      </c>
      <c r="AA851" t="s">
        <v>460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1</v>
      </c>
      <c r="AM851">
        <v>0</v>
      </c>
      <c r="AN851">
        <v>0</v>
      </c>
      <c r="AO851">
        <v>0</v>
      </c>
      <c r="AP851">
        <v>0</v>
      </c>
    </row>
    <row r="852" spans="1:42" x14ac:dyDescent="0.25">
      <c r="A852">
        <v>999</v>
      </c>
      <c r="B852" t="s">
        <v>1630</v>
      </c>
      <c r="C852" t="s">
        <v>1627</v>
      </c>
      <c r="D852" t="s">
        <v>133</v>
      </c>
      <c r="E852" s="4">
        <v>1</v>
      </c>
      <c r="F852" t="s">
        <v>61</v>
      </c>
      <c r="G852" t="s">
        <v>61</v>
      </c>
      <c r="H852" s="3">
        <v>46168</v>
      </c>
      <c r="I852" s="3">
        <v>46168</v>
      </c>
      <c r="J852" t="s">
        <v>206</v>
      </c>
      <c r="K852" s="3">
        <v>46168</v>
      </c>
      <c r="L852" s="3">
        <v>46168</v>
      </c>
      <c r="M852" s="3">
        <v>46168</v>
      </c>
      <c r="N852" s="3">
        <v>46168</v>
      </c>
      <c r="O852" t="s">
        <v>206</v>
      </c>
      <c r="P852" t="s">
        <v>55</v>
      </c>
      <c r="Q852">
        <v>998</v>
      </c>
      <c r="S852" t="s">
        <v>124</v>
      </c>
      <c r="T852" t="s">
        <v>1429</v>
      </c>
      <c r="V852" t="s">
        <v>61</v>
      </c>
      <c r="W852">
        <v>13.4</v>
      </c>
      <c r="X852" t="s">
        <v>57</v>
      </c>
      <c r="Z852" t="s">
        <v>124</v>
      </c>
      <c r="AA852" t="s">
        <v>460</v>
      </c>
      <c r="AE852">
        <v>1</v>
      </c>
      <c r="AF852">
        <v>0</v>
      </c>
      <c r="AG852">
        <v>0</v>
      </c>
      <c r="AH852">
        <v>0</v>
      </c>
      <c r="AI852">
        <v>1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0</v>
      </c>
      <c r="AP852">
        <v>0</v>
      </c>
    </row>
    <row r="853" spans="1:42" x14ac:dyDescent="0.25">
      <c r="A853">
        <v>1000</v>
      </c>
      <c r="B853" t="s">
        <v>1631</v>
      </c>
      <c r="C853" t="s">
        <v>1568</v>
      </c>
      <c r="D853" t="s">
        <v>1632</v>
      </c>
      <c r="E853" s="4">
        <v>1</v>
      </c>
      <c r="F853" t="s">
        <v>101</v>
      </c>
      <c r="G853" t="s">
        <v>101</v>
      </c>
      <c r="H853" s="3">
        <v>46163</v>
      </c>
      <c r="I853" s="3">
        <v>46168</v>
      </c>
      <c r="J853" t="s">
        <v>491</v>
      </c>
      <c r="K853" s="3">
        <v>46168</v>
      </c>
      <c r="L853" s="3">
        <v>46163</v>
      </c>
      <c r="M853" s="3">
        <v>46168</v>
      </c>
      <c r="N853" s="3">
        <v>46168</v>
      </c>
      <c r="O853" t="s">
        <v>491</v>
      </c>
      <c r="P853" t="s">
        <v>55</v>
      </c>
      <c r="T853" t="s">
        <v>1429</v>
      </c>
      <c r="V853" t="s">
        <v>175</v>
      </c>
      <c r="X853" t="s">
        <v>57</v>
      </c>
      <c r="AA853" t="s">
        <v>50</v>
      </c>
      <c r="AB853" t="s">
        <v>94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</row>
    <row r="854" spans="1:42" x14ac:dyDescent="0.25">
      <c r="A854">
        <v>1001</v>
      </c>
      <c r="B854" t="s">
        <v>1633</v>
      </c>
      <c r="C854" t="s">
        <v>1634</v>
      </c>
      <c r="D854" t="s">
        <v>117</v>
      </c>
      <c r="E854" s="4">
        <v>1</v>
      </c>
      <c r="F854" t="s">
        <v>127</v>
      </c>
      <c r="G854" t="s">
        <v>127</v>
      </c>
      <c r="H854" s="3">
        <v>46163</v>
      </c>
      <c r="I854" s="3">
        <v>46168</v>
      </c>
      <c r="J854" t="s">
        <v>491</v>
      </c>
      <c r="K854" s="3">
        <v>46168</v>
      </c>
      <c r="L854" s="3">
        <v>46163</v>
      </c>
      <c r="M854" s="3">
        <v>46168</v>
      </c>
      <c r="N854" s="3">
        <v>46168</v>
      </c>
      <c r="O854" t="s">
        <v>491</v>
      </c>
      <c r="P854" t="s">
        <v>55</v>
      </c>
      <c r="Q854" t="s">
        <v>1613</v>
      </c>
      <c r="S854" t="s">
        <v>1444</v>
      </c>
      <c r="T854" t="s">
        <v>1429</v>
      </c>
      <c r="U854">
        <v>1002</v>
      </c>
      <c r="V854" t="s">
        <v>127</v>
      </c>
      <c r="W854">
        <v>13.4</v>
      </c>
      <c r="X854" t="s">
        <v>57</v>
      </c>
      <c r="Z854" t="s">
        <v>1444</v>
      </c>
      <c r="AA854" t="s">
        <v>77</v>
      </c>
      <c r="AE854">
        <v>1</v>
      </c>
      <c r="AF854">
        <v>1</v>
      </c>
      <c r="AG854">
        <v>1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1</v>
      </c>
    </row>
    <row r="855" spans="1:42" x14ac:dyDescent="0.25">
      <c r="A855">
        <v>1002</v>
      </c>
      <c r="B855" t="s">
        <v>1635</v>
      </c>
      <c r="C855" t="s">
        <v>1634</v>
      </c>
      <c r="D855" t="s">
        <v>121</v>
      </c>
      <c r="E855" s="4">
        <v>1</v>
      </c>
      <c r="F855" t="s">
        <v>61</v>
      </c>
      <c r="G855" t="s">
        <v>61</v>
      </c>
      <c r="H855" s="3">
        <v>46168</v>
      </c>
      <c r="I855" s="3">
        <v>46168</v>
      </c>
      <c r="J855" t="s">
        <v>206</v>
      </c>
      <c r="K855" s="3">
        <v>46168</v>
      </c>
      <c r="L855" s="3">
        <v>46168</v>
      </c>
      <c r="M855" s="3">
        <v>46168</v>
      </c>
      <c r="N855" s="3">
        <v>46168</v>
      </c>
      <c r="O855" t="s">
        <v>206</v>
      </c>
      <c r="P855" t="s">
        <v>55</v>
      </c>
      <c r="Q855">
        <v>1001</v>
      </c>
      <c r="S855" t="s">
        <v>124</v>
      </c>
      <c r="T855" t="s">
        <v>1429</v>
      </c>
      <c r="U855">
        <v>1003</v>
      </c>
      <c r="V855" t="s">
        <v>122</v>
      </c>
      <c r="W855">
        <v>13.4</v>
      </c>
      <c r="X855" t="s">
        <v>57</v>
      </c>
      <c r="Z855" t="s">
        <v>124</v>
      </c>
      <c r="AA855" t="s">
        <v>77</v>
      </c>
      <c r="AE855">
        <v>1</v>
      </c>
      <c r="AF855">
        <v>0</v>
      </c>
      <c r="AG855">
        <v>0</v>
      </c>
      <c r="AH855">
        <v>0</v>
      </c>
      <c r="AI855">
        <v>0</v>
      </c>
      <c r="AJ855">
        <v>1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</row>
    <row r="856" spans="1:42" x14ac:dyDescent="0.25">
      <c r="A856">
        <v>1003</v>
      </c>
      <c r="B856" t="s">
        <v>1636</v>
      </c>
      <c r="C856" t="s">
        <v>1634</v>
      </c>
      <c r="D856" t="s">
        <v>126</v>
      </c>
      <c r="E856" s="4">
        <v>1</v>
      </c>
      <c r="F856" t="s">
        <v>61</v>
      </c>
      <c r="G856" t="s">
        <v>61</v>
      </c>
      <c r="H856" s="3">
        <v>46168</v>
      </c>
      <c r="I856" s="3">
        <v>46168</v>
      </c>
      <c r="J856" t="s">
        <v>206</v>
      </c>
      <c r="K856" s="3">
        <v>46168</v>
      </c>
      <c r="L856" s="3">
        <v>46168</v>
      </c>
      <c r="M856" s="3">
        <v>46168</v>
      </c>
      <c r="N856" s="3">
        <v>46168</v>
      </c>
      <c r="O856" t="s">
        <v>206</v>
      </c>
      <c r="P856" t="s">
        <v>55</v>
      </c>
      <c r="Q856">
        <v>1002</v>
      </c>
      <c r="S856" t="s">
        <v>1444</v>
      </c>
      <c r="T856" t="s">
        <v>1429</v>
      </c>
      <c r="U856">
        <v>1004</v>
      </c>
      <c r="V856" t="s">
        <v>61</v>
      </c>
      <c r="W856">
        <v>13.4</v>
      </c>
      <c r="X856" t="s">
        <v>57</v>
      </c>
      <c r="Z856" t="s">
        <v>1444</v>
      </c>
      <c r="AA856" t="s">
        <v>460</v>
      </c>
      <c r="AE856">
        <v>1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1</v>
      </c>
      <c r="AM856">
        <v>0</v>
      </c>
      <c r="AN856">
        <v>0</v>
      </c>
      <c r="AO856">
        <v>0</v>
      </c>
      <c r="AP856">
        <v>0</v>
      </c>
    </row>
    <row r="857" spans="1:42" x14ac:dyDescent="0.25">
      <c r="A857">
        <v>1004</v>
      </c>
      <c r="B857" t="s">
        <v>1637</v>
      </c>
      <c r="C857" t="s">
        <v>1634</v>
      </c>
      <c r="D857" t="s">
        <v>133</v>
      </c>
      <c r="E857" s="4">
        <v>1</v>
      </c>
      <c r="F857" t="s">
        <v>61</v>
      </c>
      <c r="G857" t="s">
        <v>61</v>
      </c>
      <c r="H857" s="3">
        <v>46168</v>
      </c>
      <c r="I857" s="3">
        <v>46168</v>
      </c>
      <c r="J857" t="s">
        <v>206</v>
      </c>
      <c r="K857" s="3">
        <v>46168</v>
      </c>
      <c r="L857" s="3">
        <v>46168</v>
      </c>
      <c r="M857" s="3">
        <v>46168</v>
      </c>
      <c r="N857" s="3">
        <v>46168</v>
      </c>
      <c r="O857" t="s">
        <v>206</v>
      </c>
      <c r="P857" t="s">
        <v>55</v>
      </c>
      <c r="Q857">
        <v>1003</v>
      </c>
      <c r="S857" t="s">
        <v>124</v>
      </c>
      <c r="T857" t="s">
        <v>1429</v>
      </c>
      <c r="V857" t="s">
        <v>61</v>
      </c>
      <c r="W857">
        <v>13.4</v>
      </c>
      <c r="X857" t="s">
        <v>57</v>
      </c>
      <c r="Z857" t="s">
        <v>124</v>
      </c>
      <c r="AA857" t="s">
        <v>460</v>
      </c>
      <c r="AE857">
        <v>1</v>
      </c>
      <c r="AF857">
        <v>0</v>
      </c>
      <c r="AG857">
        <v>0</v>
      </c>
      <c r="AH857">
        <v>0</v>
      </c>
      <c r="AI857">
        <v>1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0</v>
      </c>
      <c r="AP857">
        <v>0</v>
      </c>
    </row>
    <row r="858" spans="1:42" x14ac:dyDescent="0.25">
      <c r="A858">
        <v>1005</v>
      </c>
      <c r="B858" t="s">
        <v>1638</v>
      </c>
      <c r="C858" t="s">
        <v>1568</v>
      </c>
      <c r="D858" t="s">
        <v>1639</v>
      </c>
      <c r="E858" s="4">
        <v>1</v>
      </c>
      <c r="F858" t="s">
        <v>101</v>
      </c>
      <c r="G858" t="s">
        <v>101</v>
      </c>
      <c r="H858" s="3">
        <v>46163</v>
      </c>
      <c r="I858" s="3">
        <v>46168</v>
      </c>
      <c r="J858" t="s">
        <v>491</v>
      </c>
      <c r="K858" s="3">
        <v>46168</v>
      </c>
      <c r="L858" s="3">
        <v>46163</v>
      </c>
      <c r="M858" s="3">
        <v>46168</v>
      </c>
      <c r="N858" s="3">
        <v>46168</v>
      </c>
      <c r="O858" t="s">
        <v>491</v>
      </c>
      <c r="P858" t="s">
        <v>55</v>
      </c>
      <c r="T858" t="s">
        <v>1429</v>
      </c>
      <c r="V858" t="s">
        <v>175</v>
      </c>
      <c r="X858" t="s">
        <v>57</v>
      </c>
      <c r="AA858" t="s">
        <v>50</v>
      </c>
      <c r="AB858" t="s">
        <v>94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</row>
    <row r="859" spans="1:42" x14ac:dyDescent="0.25">
      <c r="A859">
        <v>1006</v>
      </c>
      <c r="B859" t="s">
        <v>1640</v>
      </c>
      <c r="C859" t="s">
        <v>1641</v>
      </c>
      <c r="D859" t="s">
        <v>117</v>
      </c>
      <c r="E859" s="4">
        <v>1</v>
      </c>
      <c r="F859" t="s">
        <v>127</v>
      </c>
      <c r="G859" t="s">
        <v>127</v>
      </c>
      <c r="H859" s="3">
        <v>46163</v>
      </c>
      <c r="I859" s="3">
        <v>46168</v>
      </c>
      <c r="J859" t="s">
        <v>491</v>
      </c>
      <c r="K859" s="3">
        <v>46168</v>
      </c>
      <c r="L859" s="3">
        <v>46163</v>
      </c>
      <c r="M859" s="3">
        <v>46168</v>
      </c>
      <c r="N859" s="3">
        <v>46168</v>
      </c>
      <c r="O859" t="s">
        <v>491</v>
      </c>
      <c r="P859" t="s">
        <v>55</v>
      </c>
      <c r="Q859" t="s">
        <v>1613</v>
      </c>
      <c r="S859" t="s">
        <v>1444</v>
      </c>
      <c r="T859" t="s">
        <v>1429</v>
      </c>
      <c r="U859">
        <v>1007</v>
      </c>
      <c r="V859" t="s">
        <v>127</v>
      </c>
      <c r="W859">
        <v>13.4</v>
      </c>
      <c r="X859" t="s">
        <v>57</v>
      </c>
      <c r="Z859" t="s">
        <v>1444</v>
      </c>
      <c r="AA859" t="s">
        <v>77</v>
      </c>
      <c r="AE859">
        <v>1</v>
      </c>
      <c r="AF859">
        <v>1</v>
      </c>
      <c r="AG859">
        <v>1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1</v>
      </c>
    </row>
    <row r="860" spans="1:42" x14ac:dyDescent="0.25">
      <c r="A860">
        <v>1007</v>
      </c>
      <c r="B860" t="s">
        <v>1642</v>
      </c>
      <c r="C860" t="s">
        <v>1641</v>
      </c>
      <c r="D860" t="s">
        <v>121</v>
      </c>
      <c r="E860" s="4">
        <v>1</v>
      </c>
      <c r="F860" t="s">
        <v>61</v>
      </c>
      <c r="G860" t="s">
        <v>61</v>
      </c>
      <c r="H860" s="3">
        <v>46168</v>
      </c>
      <c r="I860" s="3">
        <v>46168</v>
      </c>
      <c r="J860" t="s">
        <v>206</v>
      </c>
      <c r="K860" s="3">
        <v>46168</v>
      </c>
      <c r="L860" s="3">
        <v>46168</v>
      </c>
      <c r="M860" s="3">
        <v>46168</v>
      </c>
      <c r="N860" s="3">
        <v>46168</v>
      </c>
      <c r="O860" t="s">
        <v>206</v>
      </c>
      <c r="P860" t="s">
        <v>55</v>
      </c>
      <c r="Q860">
        <v>1006</v>
      </c>
      <c r="S860" t="s">
        <v>124</v>
      </c>
      <c r="T860" t="s">
        <v>1429</v>
      </c>
      <c r="U860">
        <v>1008</v>
      </c>
      <c r="V860" t="s">
        <v>122</v>
      </c>
      <c r="W860">
        <v>13.4</v>
      </c>
      <c r="X860" t="s">
        <v>57</v>
      </c>
      <c r="Z860" t="s">
        <v>124</v>
      </c>
      <c r="AA860" t="s">
        <v>77</v>
      </c>
      <c r="AE860">
        <v>1</v>
      </c>
      <c r="AF860">
        <v>0</v>
      </c>
      <c r="AG860">
        <v>0</v>
      </c>
      <c r="AH860">
        <v>0</v>
      </c>
      <c r="AI860">
        <v>0</v>
      </c>
      <c r="AJ860">
        <v>1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</row>
    <row r="861" spans="1:42" x14ac:dyDescent="0.25">
      <c r="A861">
        <v>1008</v>
      </c>
      <c r="B861" t="s">
        <v>1643</v>
      </c>
      <c r="C861" t="s">
        <v>1641</v>
      </c>
      <c r="D861" t="s">
        <v>126</v>
      </c>
      <c r="E861" s="4">
        <v>1</v>
      </c>
      <c r="F861" t="s">
        <v>61</v>
      </c>
      <c r="G861" t="s">
        <v>61</v>
      </c>
      <c r="H861" s="3">
        <v>46168</v>
      </c>
      <c r="I861" s="3">
        <v>46168</v>
      </c>
      <c r="J861" t="s">
        <v>206</v>
      </c>
      <c r="K861" s="3">
        <v>46168</v>
      </c>
      <c r="L861" s="3">
        <v>46168</v>
      </c>
      <c r="M861" s="3">
        <v>46168</v>
      </c>
      <c r="N861" s="3">
        <v>46168</v>
      </c>
      <c r="O861" t="s">
        <v>206</v>
      </c>
      <c r="P861" t="s">
        <v>55</v>
      </c>
      <c r="Q861">
        <v>1007</v>
      </c>
      <c r="S861" t="s">
        <v>1444</v>
      </c>
      <c r="T861" t="s">
        <v>1429</v>
      </c>
      <c r="U861">
        <v>1009</v>
      </c>
      <c r="V861" t="s">
        <v>61</v>
      </c>
      <c r="W861">
        <v>13.4</v>
      </c>
      <c r="X861" t="s">
        <v>57</v>
      </c>
      <c r="Z861" t="s">
        <v>1444</v>
      </c>
      <c r="AA861" t="s">
        <v>460</v>
      </c>
      <c r="AE861">
        <v>1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1</v>
      </c>
      <c r="AM861">
        <v>0</v>
      </c>
      <c r="AN861">
        <v>0</v>
      </c>
      <c r="AO861">
        <v>0</v>
      </c>
      <c r="AP861">
        <v>0</v>
      </c>
    </row>
    <row r="862" spans="1:42" x14ac:dyDescent="0.25">
      <c r="A862">
        <v>1009</v>
      </c>
      <c r="B862" t="s">
        <v>1644</v>
      </c>
      <c r="C862" t="s">
        <v>1641</v>
      </c>
      <c r="D862" t="s">
        <v>133</v>
      </c>
      <c r="E862" s="4">
        <v>1</v>
      </c>
      <c r="F862" t="s">
        <v>61</v>
      </c>
      <c r="G862" t="s">
        <v>61</v>
      </c>
      <c r="H862" s="3">
        <v>46168</v>
      </c>
      <c r="I862" s="3">
        <v>46168</v>
      </c>
      <c r="J862" t="s">
        <v>206</v>
      </c>
      <c r="K862" s="3">
        <v>46168</v>
      </c>
      <c r="L862" s="3">
        <v>46168</v>
      </c>
      <c r="M862" s="3">
        <v>46168</v>
      </c>
      <c r="N862" s="3">
        <v>46168</v>
      </c>
      <c r="O862" t="s">
        <v>206</v>
      </c>
      <c r="P862" t="s">
        <v>55</v>
      </c>
      <c r="Q862">
        <v>1008</v>
      </c>
      <c r="S862" t="s">
        <v>124</v>
      </c>
      <c r="T862" t="s">
        <v>1429</v>
      </c>
      <c r="V862" t="s">
        <v>61</v>
      </c>
      <c r="W862">
        <v>13.4</v>
      </c>
      <c r="X862" t="s">
        <v>57</v>
      </c>
      <c r="Z862" t="s">
        <v>124</v>
      </c>
      <c r="AA862" t="s">
        <v>460</v>
      </c>
      <c r="AE862">
        <v>1</v>
      </c>
      <c r="AF862">
        <v>0</v>
      </c>
      <c r="AG862">
        <v>0</v>
      </c>
      <c r="AH862">
        <v>0</v>
      </c>
      <c r="AI862">
        <v>1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0</v>
      </c>
      <c r="AP862">
        <v>0</v>
      </c>
    </row>
    <row r="863" spans="1:42" x14ac:dyDescent="0.25">
      <c r="A863">
        <v>1010</v>
      </c>
      <c r="B863" t="s">
        <v>1645</v>
      </c>
      <c r="C863" t="s">
        <v>1568</v>
      </c>
      <c r="D863" t="s">
        <v>1646</v>
      </c>
      <c r="E863" s="4">
        <v>1</v>
      </c>
      <c r="F863" t="s">
        <v>101</v>
      </c>
      <c r="G863" t="s">
        <v>101</v>
      </c>
      <c r="H863" s="3">
        <v>46163</v>
      </c>
      <c r="I863" s="3">
        <v>46168</v>
      </c>
      <c r="J863" t="s">
        <v>491</v>
      </c>
      <c r="K863" s="3">
        <v>46168</v>
      </c>
      <c r="L863" s="3">
        <v>46163</v>
      </c>
      <c r="M863" s="3">
        <v>46168</v>
      </c>
      <c r="N863" s="3">
        <v>46168</v>
      </c>
      <c r="O863" t="s">
        <v>491</v>
      </c>
      <c r="P863" t="s">
        <v>55</v>
      </c>
      <c r="T863" t="s">
        <v>1429</v>
      </c>
      <c r="V863" t="s">
        <v>175</v>
      </c>
      <c r="X863" t="s">
        <v>57</v>
      </c>
      <c r="AA863" t="s">
        <v>50</v>
      </c>
      <c r="AB863" t="s">
        <v>94</v>
      </c>
      <c r="AE863">
        <v>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</row>
    <row r="864" spans="1:42" x14ac:dyDescent="0.25">
      <c r="A864">
        <v>1011</v>
      </c>
      <c r="B864" t="s">
        <v>1647</v>
      </c>
      <c r="C864" t="s">
        <v>1648</v>
      </c>
      <c r="D864" t="s">
        <v>117</v>
      </c>
      <c r="E864" s="4">
        <v>1</v>
      </c>
      <c r="F864" t="s">
        <v>127</v>
      </c>
      <c r="G864" t="s">
        <v>127</v>
      </c>
      <c r="H864" s="3">
        <v>46163</v>
      </c>
      <c r="I864" s="3">
        <v>46168</v>
      </c>
      <c r="J864" t="s">
        <v>491</v>
      </c>
      <c r="K864" s="3">
        <v>46168</v>
      </c>
      <c r="L864" s="3">
        <v>46163</v>
      </c>
      <c r="M864" s="3">
        <v>46168</v>
      </c>
      <c r="N864" s="3">
        <v>46168</v>
      </c>
      <c r="O864" t="s">
        <v>491</v>
      </c>
      <c r="P864" t="s">
        <v>55</v>
      </c>
      <c r="Q864" t="s">
        <v>1613</v>
      </c>
      <c r="S864" t="s">
        <v>1444</v>
      </c>
      <c r="T864" t="s">
        <v>1429</v>
      </c>
      <c r="U864">
        <v>1012</v>
      </c>
      <c r="V864" t="s">
        <v>127</v>
      </c>
      <c r="W864">
        <v>13.4</v>
      </c>
      <c r="X864" t="s">
        <v>57</v>
      </c>
      <c r="Z864" t="s">
        <v>1444</v>
      </c>
      <c r="AA864" t="s">
        <v>77</v>
      </c>
      <c r="AE864">
        <v>1</v>
      </c>
      <c r="AF864">
        <v>1</v>
      </c>
      <c r="AG864">
        <v>1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1</v>
      </c>
    </row>
    <row r="865" spans="1:42" x14ac:dyDescent="0.25">
      <c r="A865">
        <v>1012</v>
      </c>
      <c r="B865" t="s">
        <v>1649</v>
      </c>
      <c r="C865" t="s">
        <v>1648</v>
      </c>
      <c r="D865" t="s">
        <v>121</v>
      </c>
      <c r="E865" s="4">
        <v>1</v>
      </c>
      <c r="F865" t="s">
        <v>63</v>
      </c>
      <c r="G865" t="s">
        <v>63</v>
      </c>
      <c r="H865" s="3">
        <v>46168</v>
      </c>
      <c r="I865" s="3">
        <v>46168</v>
      </c>
      <c r="J865" t="s">
        <v>206</v>
      </c>
      <c r="K865" s="3">
        <v>46168</v>
      </c>
      <c r="L865" s="3">
        <v>46168</v>
      </c>
      <c r="M865" s="3">
        <v>46168</v>
      </c>
      <c r="N865" s="3">
        <v>46168</v>
      </c>
      <c r="O865" t="s">
        <v>206</v>
      </c>
      <c r="P865" t="s">
        <v>55</v>
      </c>
      <c r="Q865">
        <v>1011</v>
      </c>
      <c r="S865" t="s">
        <v>124</v>
      </c>
      <c r="T865" t="s">
        <v>1429</v>
      </c>
      <c r="U865">
        <v>1013</v>
      </c>
      <c r="V865" t="s">
        <v>122</v>
      </c>
      <c r="W865">
        <v>13.4</v>
      </c>
      <c r="X865" t="s">
        <v>57</v>
      </c>
      <c r="Z865" t="s">
        <v>124</v>
      </c>
      <c r="AA865" t="s">
        <v>77</v>
      </c>
      <c r="AE865">
        <v>1</v>
      </c>
      <c r="AF865">
        <v>0</v>
      </c>
      <c r="AG865">
        <v>0</v>
      </c>
      <c r="AH865">
        <v>0</v>
      </c>
      <c r="AI865">
        <v>0</v>
      </c>
      <c r="AJ865">
        <v>1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</row>
    <row r="866" spans="1:42" x14ac:dyDescent="0.25">
      <c r="A866">
        <v>1013</v>
      </c>
      <c r="B866" t="s">
        <v>1650</v>
      </c>
      <c r="C866" t="s">
        <v>1648</v>
      </c>
      <c r="D866" t="s">
        <v>126</v>
      </c>
      <c r="E866" s="4">
        <v>1</v>
      </c>
      <c r="F866" t="s">
        <v>61</v>
      </c>
      <c r="G866" t="s">
        <v>61</v>
      </c>
      <c r="H866" s="3">
        <v>46168</v>
      </c>
      <c r="I866" s="3">
        <v>46168</v>
      </c>
      <c r="J866" t="s">
        <v>206</v>
      </c>
      <c r="K866" s="3">
        <v>46168</v>
      </c>
      <c r="L866" s="3">
        <v>46168</v>
      </c>
      <c r="M866" s="3">
        <v>46168</v>
      </c>
      <c r="N866" s="3">
        <v>46168</v>
      </c>
      <c r="O866" t="s">
        <v>206</v>
      </c>
      <c r="P866" t="s">
        <v>55</v>
      </c>
      <c r="Q866">
        <v>1012</v>
      </c>
      <c r="S866" t="s">
        <v>1444</v>
      </c>
      <c r="T866" t="s">
        <v>1429</v>
      </c>
      <c r="U866">
        <v>1014</v>
      </c>
      <c r="V866" t="s">
        <v>61</v>
      </c>
      <c r="W866">
        <v>13.4</v>
      </c>
      <c r="X866" t="s">
        <v>57</v>
      </c>
      <c r="Z866" t="s">
        <v>1444</v>
      </c>
      <c r="AA866" t="s">
        <v>460</v>
      </c>
      <c r="AE866">
        <v>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1</v>
      </c>
      <c r="AM866">
        <v>0</v>
      </c>
      <c r="AN866">
        <v>0</v>
      </c>
      <c r="AO866">
        <v>0</v>
      </c>
      <c r="AP866">
        <v>0</v>
      </c>
    </row>
    <row r="867" spans="1:42" x14ac:dyDescent="0.25">
      <c r="A867">
        <v>1014</v>
      </c>
      <c r="B867" t="s">
        <v>1651</v>
      </c>
      <c r="C867" t="s">
        <v>1648</v>
      </c>
      <c r="D867" t="s">
        <v>133</v>
      </c>
      <c r="E867" s="4">
        <v>1</v>
      </c>
      <c r="F867" t="s">
        <v>61</v>
      </c>
      <c r="G867" t="s">
        <v>61</v>
      </c>
      <c r="H867" s="3">
        <v>46168</v>
      </c>
      <c r="I867" s="3">
        <v>46168</v>
      </c>
      <c r="J867" t="s">
        <v>206</v>
      </c>
      <c r="K867" s="3">
        <v>46168</v>
      </c>
      <c r="L867" s="3">
        <v>46168</v>
      </c>
      <c r="M867" s="3">
        <v>46168</v>
      </c>
      <c r="N867" s="3">
        <v>46168</v>
      </c>
      <c r="O867" t="s">
        <v>206</v>
      </c>
      <c r="P867" t="s">
        <v>55</v>
      </c>
      <c r="Q867">
        <v>1013</v>
      </c>
      <c r="S867" t="s">
        <v>124</v>
      </c>
      <c r="T867" t="s">
        <v>1429</v>
      </c>
      <c r="V867" t="s">
        <v>61</v>
      </c>
      <c r="W867">
        <v>13.4</v>
      </c>
      <c r="X867" t="s">
        <v>57</v>
      </c>
      <c r="Z867" t="s">
        <v>124</v>
      </c>
      <c r="AA867" t="s">
        <v>460</v>
      </c>
      <c r="AE867">
        <v>1</v>
      </c>
      <c r="AF867">
        <v>0</v>
      </c>
      <c r="AG867">
        <v>0</v>
      </c>
      <c r="AH867">
        <v>0</v>
      </c>
      <c r="AI867">
        <v>1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0</v>
      </c>
      <c r="AP867">
        <v>0</v>
      </c>
    </row>
    <row r="868" spans="1:42" x14ac:dyDescent="0.25">
      <c r="A868">
        <v>1015</v>
      </c>
      <c r="B868" t="s">
        <v>1652</v>
      </c>
      <c r="C868" t="s">
        <v>1429</v>
      </c>
      <c r="D868" t="s">
        <v>1653</v>
      </c>
      <c r="E868" s="4">
        <v>1</v>
      </c>
      <c r="F868" t="s">
        <v>365</v>
      </c>
      <c r="G868" t="s">
        <v>365</v>
      </c>
      <c r="H868" s="3">
        <v>46136</v>
      </c>
      <c r="I868" s="3">
        <v>46156</v>
      </c>
      <c r="J868" t="s">
        <v>90</v>
      </c>
      <c r="K868" s="3">
        <v>46197</v>
      </c>
      <c r="L868" s="3">
        <v>46161</v>
      </c>
      <c r="M868" s="3">
        <v>46156</v>
      </c>
      <c r="N868" s="3">
        <v>46156</v>
      </c>
      <c r="O868" t="s">
        <v>67</v>
      </c>
      <c r="P868" t="s">
        <v>55</v>
      </c>
      <c r="T868" t="s">
        <v>1429</v>
      </c>
      <c r="V868" t="s">
        <v>976</v>
      </c>
      <c r="X868" t="s">
        <v>57</v>
      </c>
      <c r="AA868" t="s">
        <v>50</v>
      </c>
      <c r="AB868" t="s">
        <v>94</v>
      </c>
      <c r="AE868">
        <v>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</row>
    <row r="869" spans="1:42" x14ac:dyDescent="0.25">
      <c r="A869">
        <v>1016</v>
      </c>
      <c r="B869" t="s">
        <v>1654</v>
      </c>
      <c r="C869" t="s">
        <v>1655</v>
      </c>
      <c r="D869" t="s">
        <v>1656</v>
      </c>
      <c r="E869" s="4">
        <v>1</v>
      </c>
      <c r="F869" t="s">
        <v>151</v>
      </c>
      <c r="G869" t="s">
        <v>151</v>
      </c>
      <c r="H869" s="3">
        <v>46136</v>
      </c>
      <c r="I869" s="3">
        <v>46150</v>
      </c>
      <c r="J869" t="s">
        <v>90</v>
      </c>
      <c r="K869" s="3">
        <v>46183</v>
      </c>
      <c r="L869" s="3">
        <v>46161</v>
      </c>
      <c r="M869" s="3">
        <v>46150</v>
      </c>
      <c r="N869" s="3">
        <v>46150</v>
      </c>
      <c r="O869" t="s">
        <v>67</v>
      </c>
      <c r="P869" t="s">
        <v>55</v>
      </c>
      <c r="T869" t="s">
        <v>1429</v>
      </c>
      <c r="V869" t="s">
        <v>330</v>
      </c>
      <c r="X869" t="s">
        <v>57</v>
      </c>
      <c r="AA869" t="s">
        <v>50</v>
      </c>
      <c r="AB869" t="s">
        <v>94</v>
      </c>
      <c r="AE869">
        <v>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</row>
    <row r="870" spans="1:42" x14ac:dyDescent="0.25">
      <c r="A870">
        <v>1017</v>
      </c>
      <c r="B870" t="s">
        <v>1657</v>
      </c>
      <c r="C870" t="s">
        <v>1658</v>
      </c>
      <c r="D870" t="s">
        <v>117</v>
      </c>
      <c r="E870" s="4">
        <v>1</v>
      </c>
      <c r="F870" t="s">
        <v>151</v>
      </c>
      <c r="G870" t="s">
        <v>151</v>
      </c>
      <c r="H870" s="3">
        <v>46136</v>
      </c>
      <c r="I870" s="3">
        <v>46150</v>
      </c>
      <c r="J870" t="s">
        <v>90</v>
      </c>
      <c r="K870" s="3">
        <v>46174</v>
      </c>
      <c r="L870" s="3">
        <v>46161</v>
      </c>
      <c r="M870" s="3">
        <v>46150</v>
      </c>
      <c r="N870" s="3">
        <v>46150</v>
      </c>
      <c r="O870" t="s">
        <v>67</v>
      </c>
      <c r="P870" t="s">
        <v>55</v>
      </c>
      <c r="Q870" t="s">
        <v>1659</v>
      </c>
      <c r="S870" t="s">
        <v>1444</v>
      </c>
      <c r="T870" t="s">
        <v>1429</v>
      </c>
      <c r="U870" t="s">
        <v>1660</v>
      </c>
      <c r="V870" t="s">
        <v>151</v>
      </c>
      <c r="W870">
        <v>13.4</v>
      </c>
      <c r="X870" t="s">
        <v>57</v>
      </c>
      <c r="Z870" t="s">
        <v>1444</v>
      </c>
      <c r="AA870" t="s">
        <v>198</v>
      </c>
      <c r="AE870">
        <v>1</v>
      </c>
      <c r="AF870">
        <v>1</v>
      </c>
      <c r="AG870">
        <v>1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1</v>
      </c>
    </row>
    <row r="871" spans="1:42" x14ac:dyDescent="0.25">
      <c r="A871">
        <v>1018</v>
      </c>
      <c r="B871" t="s">
        <v>1661</v>
      </c>
      <c r="C871" t="s">
        <v>1658</v>
      </c>
      <c r="D871" t="s">
        <v>121</v>
      </c>
      <c r="E871" s="4">
        <v>1</v>
      </c>
      <c r="F871" t="s">
        <v>151</v>
      </c>
      <c r="G871" t="s">
        <v>151</v>
      </c>
      <c r="H871" s="3">
        <v>46136</v>
      </c>
      <c r="I871" s="3">
        <v>46150</v>
      </c>
      <c r="J871" t="s">
        <v>472</v>
      </c>
      <c r="K871" s="3">
        <v>46181</v>
      </c>
      <c r="L871" s="3">
        <v>46175</v>
      </c>
      <c r="M871" s="3">
        <v>46150</v>
      </c>
      <c r="N871" s="3">
        <v>46150</v>
      </c>
      <c r="O871" t="s">
        <v>67</v>
      </c>
      <c r="P871" t="s">
        <v>55</v>
      </c>
      <c r="Q871">
        <v>1017</v>
      </c>
      <c r="S871" t="s">
        <v>124</v>
      </c>
      <c r="T871" t="s">
        <v>1429</v>
      </c>
      <c r="U871">
        <v>1019</v>
      </c>
      <c r="V871" t="s">
        <v>122</v>
      </c>
      <c r="W871">
        <v>13.4</v>
      </c>
      <c r="X871" t="s">
        <v>57</v>
      </c>
      <c r="Z871" t="s">
        <v>124</v>
      </c>
      <c r="AA871" t="s">
        <v>460</v>
      </c>
      <c r="AE871">
        <v>1</v>
      </c>
      <c r="AF871">
        <v>0</v>
      </c>
      <c r="AG871">
        <v>0</v>
      </c>
      <c r="AH871">
        <v>0</v>
      </c>
      <c r="AI871">
        <v>0</v>
      </c>
      <c r="AJ871">
        <v>1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</row>
    <row r="872" spans="1:42" x14ac:dyDescent="0.25">
      <c r="A872">
        <v>1019</v>
      </c>
      <c r="B872" t="s">
        <v>1662</v>
      </c>
      <c r="C872" t="s">
        <v>1658</v>
      </c>
      <c r="D872" t="s">
        <v>126</v>
      </c>
      <c r="E872" s="4">
        <v>1</v>
      </c>
      <c r="F872" t="s">
        <v>151</v>
      </c>
      <c r="G872" t="s">
        <v>151</v>
      </c>
      <c r="H872" s="3">
        <v>46136</v>
      </c>
      <c r="I872" s="3">
        <v>46150</v>
      </c>
      <c r="J872" t="s">
        <v>204</v>
      </c>
      <c r="K872" s="3">
        <v>46182</v>
      </c>
      <c r="L872" s="3">
        <v>46182</v>
      </c>
      <c r="M872" s="3">
        <v>46150</v>
      </c>
      <c r="N872" s="3">
        <v>46150</v>
      </c>
      <c r="O872" t="s">
        <v>67</v>
      </c>
      <c r="P872" t="s">
        <v>55</v>
      </c>
      <c r="Q872">
        <v>1018</v>
      </c>
      <c r="S872" t="s">
        <v>1444</v>
      </c>
      <c r="T872" t="s">
        <v>1429</v>
      </c>
      <c r="U872">
        <v>1020</v>
      </c>
      <c r="V872" t="s">
        <v>61</v>
      </c>
      <c r="W872">
        <v>13.4</v>
      </c>
      <c r="X872" t="s">
        <v>57</v>
      </c>
      <c r="Z872" t="s">
        <v>1444</v>
      </c>
      <c r="AA872" t="s">
        <v>462</v>
      </c>
      <c r="AE872">
        <v>1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1</v>
      </c>
      <c r="AM872">
        <v>0</v>
      </c>
      <c r="AN872">
        <v>0</v>
      </c>
      <c r="AO872">
        <v>0</v>
      </c>
      <c r="AP872">
        <v>0</v>
      </c>
    </row>
    <row r="873" spans="1:42" x14ac:dyDescent="0.25">
      <c r="A873">
        <v>1020</v>
      </c>
      <c r="B873" t="s">
        <v>1663</v>
      </c>
      <c r="C873" t="s">
        <v>1658</v>
      </c>
      <c r="D873" t="s">
        <v>133</v>
      </c>
      <c r="E873" s="4">
        <v>1</v>
      </c>
      <c r="F873" t="s">
        <v>151</v>
      </c>
      <c r="G873" t="s">
        <v>151</v>
      </c>
      <c r="H873" s="3">
        <v>46136</v>
      </c>
      <c r="I873" s="3">
        <v>46150</v>
      </c>
      <c r="J873" t="s">
        <v>592</v>
      </c>
      <c r="K873" s="3">
        <v>46183</v>
      </c>
      <c r="L873" s="3">
        <v>46183</v>
      </c>
      <c r="M873" s="3">
        <v>46150</v>
      </c>
      <c r="N873" s="3">
        <v>46150</v>
      </c>
      <c r="O873" t="s">
        <v>67</v>
      </c>
      <c r="P873" t="s">
        <v>55</v>
      </c>
      <c r="Q873">
        <v>1019</v>
      </c>
      <c r="S873" t="s">
        <v>124</v>
      </c>
      <c r="T873" t="s">
        <v>1429</v>
      </c>
      <c r="U873">
        <v>1042</v>
      </c>
      <c r="V873" t="s">
        <v>61</v>
      </c>
      <c r="W873">
        <v>13.4</v>
      </c>
      <c r="X873" t="s">
        <v>57</v>
      </c>
      <c r="Z873" t="s">
        <v>124</v>
      </c>
      <c r="AA873" t="s">
        <v>462</v>
      </c>
      <c r="AE873">
        <v>1</v>
      </c>
      <c r="AF873">
        <v>0</v>
      </c>
      <c r="AG873">
        <v>0</v>
      </c>
      <c r="AH873">
        <v>0</v>
      </c>
      <c r="AI873">
        <v>1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0</v>
      </c>
      <c r="AP873">
        <v>0</v>
      </c>
    </row>
    <row r="874" spans="1:42" x14ac:dyDescent="0.25">
      <c r="A874">
        <v>1021</v>
      </c>
      <c r="B874" t="s">
        <v>1664</v>
      </c>
      <c r="C874" t="s">
        <v>1655</v>
      </c>
      <c r="D874" t="s">
        <v>1665</v>
      </c>
      <c r="E874" s="4">
        <v>1</v>
      </c>
      <c r="F874" t="s">
        <v>151</v>
      </c>
      <c r="G874" t="s">
        <v>151</v>
      </c>
      <c r="H874" s="3">
        <v>46136</v>
      </c>
      <c r="I874" s="3">
        <v>46150</v>
      </c>
      <c r="J874" t="s">
        <v>67</v>
      </c>
      <c r="K874" s="3">
        <v>46150</v>
      </c>
      <c r="L874" s="3">
        <v>46136</v>
      </c>
      <c r="M874" s="3">
        <v>46150</v>
      </c>
      <c r="N874" s="3">
        <v>46150</v>
      </c>
      <c r="O874" t="s">
        <v>67</v>
      </c>
      <c r="P874" t="s">
        <v>55</v>
      </c>
      <c r="T874" t="s">
        <v>1429</v>
      </c>
      <c r="V874" t="s">
        <v>330</v>
      </c>
      <c r="X874" t="s">
        <v>57</v>
      </c>
      <c r="AA874" t="s">
        <v>50</v>
      </c>
      <c r="AB874" t="s">
        <v>94</v>
      </c>
      <c r="AE874">
        <v>1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</row>
    <row r="875" spans="1:42" x14ac:dyDescent="0.25">
      <c r="A875">
        <v>1022</v>
      </c>
      <c r="B875" t="s">
        <v>1666</v>
      </c>
      <c r="C875" t="s">
        <v>1667</v>
      </c>
      <c r="D875" t="s">
        <v>117</v>
      </c>
      <c r="E875" s="4">
        <v>1</v>
      </c>
      <c r="F875" t="s">
        <v>151</v>
      </c>
      <c r="G875" t="s">
        <v>151</v>
      </c>
      <c r="H875" s="3">
        <v>46136</v>
      </c>
      <c r="I875" s="3">
        <v>46150</v>
      </c>
      <c r="J875" t="s">
        <v>67</v>
      </c>
      <c r="K875" s="3">
        <v>46150</v>
      </c>
      <c r="L875" s="3">
        <v>46136</v>
      </c>
      <c r="M875" s="3">
        <v>46150</v>
      </c>
      <c r="N875" s="3">
        <v>46150</v>
      </c>
      <c r="O875" t="s">
        <v>67</v>
      </c>
      <c r="P875" t="s">
        <v>55</v>
      </c>
      <c r="Q875" t="s">
        <v>1659</v>
      </c>
      <c r="S875" t="s">
        <v>1444</v>
      </c>
      <c r="T875" t="s">
        <v>1429</v>
      </c>
      <c r="U875" t="s">
        <v>1668</v>
      </c>
      <c r="V875" t="s">
        <v>151</v>
      </c>
      <c r="W875">
        <v>13.4</v>
      </c>
      <c r="X875" t="s">
        <v>57</v>
      </c>
      <c r="Z875" t="s">
        <v>1444</v>
      </c>
      <c r="AA875" t="s">
        <v>198</v>
      </c>
      <c r="AE875">
        <v>1</v>
      </c>
      <c r="AF875">
        <v>1</v>
      </c>
      <c r="AG875">
        <v>1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1</v>
      </c>
    </row>
    <row r="876" spans="1:42" x14ac:dyDescent="0.25">
      <c r="A876">
        <v>1023</v>
      </c>
      <c r="B876" t="s">
        <v>1669</v>
      </c>
      <c r="C876" t="s">
        <v>1667</v>
      </c>
      <c r="D876" t="s">
        <v>121</v>
      </c>
      <c r="E876" s="4">
        <v>1</v>
      </c>
      <c r="F876" t="s">
        <v>151</v>
      </c>
      <c r="G876" t="s">
        <v>151</v>
      </c>
      <c r="H876" s="3">
        <v>46136</v>
      </c>
      <c r="I876" s="3">
        <v>46150</v>
      </c>
      <c r="J876" t="s">
        <v>67</v>
      </c>
      <c r="K876" s="3">
        <v>46150</v>
      </c>
      <c r="L876" s="3">
        <v>46136</v>
      </c>
      <c r="M876" s="3">
        <v>46150</v>
      </c>
      <c r="N876" s="3">
        <v>46150</v>
      </c>
      <c r="O876" t="s">
        <v>67</v>
      </c>
      <c r="P876" t="s">
        <v>55</v>
      </c>
      <c r="Q876">
        <v>1022</v>
      </c>
      <c r="S876" t="s">
        <v>124</v>
      </c>
      <c r="T876" t="s">
        <v>1429</v>
      </c>
      <c r="U876">
        <v>1024</v>
      </c>
      <c r="V876" t="s">
        <v>122</v>
      </c>
      <c r="W876">
        <v>13.4</v>
      </c>
      <c r="X876" t="s">
        <v>57</v>
      </c>
      <c r="Z876" t="s">
        <v>124</v>
      </c>
      <c r="AA876" t="s">
        <v>460</v>
      </c>
      <c r="AE876">
        <v>1</v>
      </c>
      <c r="AF876">
        <v>0</v>
      </c>
      <c r="AG876">
        <v>0</v>
      </c>
      <c r="AH876">
        <v>0</v>
      </c>
      <c r="AI876">
        <v>0</v>
      </c>
      <c r="AJ876">
        <v>1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</row>
    <row r="877" spans="1:42" x14ac:dyDescent="0.25">
      <c r="A877">
        <v>1024</v>
      </c>
      <c r="B877" t="s">
        <v>1670</v>
      </c>
      <c r="C877" t="s">
        <v>1667</v>
      </c>
      <c r="D877" t="s">
        <v>126</v>
      </c>
      <c r="E877" s="4">
        <v>1</v>
      </c>
      <c r="F877" t="s">
        <v>151</v>
      </c>
      <c r="G877" t="s">
        <v>151</v>
      </c>
      <c r="H877" s="3">
        <v>46136</v>
      </c>
      <c r="I877" s="3">
        <v>46150</v>
      </c>
      <c r="J877" t="s">
        <v>67</v>
      </c>
      <c r="K877" s="3">
        <v>46150</v>
      </c>
      <c r="L877" s="3">
        <v>46136</v>
      </c>
      <c r="M877" s="3">
        <v>46150</v>
      </c>
      <c r="N877" s="3">
        <v>46150</v>
      </c>
      <c r="O877" t="s">
        <v>67</v>
      </c>
      <c r="P877" t="s">
        <v>55</v>
      </c>
      <c r="Q877">
        <v>1023</v>
      </c>
      <c r="S877" t="s">
        <v>1444</v>
      </c>
      <c r="T877" t="s">
        <v>1429</v>
      </c>
      <c r="U877">
        <v>1025</v>
      </c>
      <c r="V877" t="s">
        <v>61</v>
      </c>
      <c r="W877">
        <v>13.4</v>
      </c>
      <c r="X877" t="s">
        <v>57</v>
      </c>
      <c r="Z877" t="s">
        <v>1444</v>
      </c>
      <c r="AA877" t="s">
        <v>462</v>
      </c>
      <c r="AE877">
        <v>1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1</v>
      </c>
      <c r="AM877">
        <v>0</v>
      </c>
      <c r="AN877">
        <v>0</v>
      </c>
      <c r="AO877">
        <v>0</v>
      </c>
      <c r="AP877">
        <v>0</v>
      </c>
    </row>
    <row r="878" spans="1:42" x14ac:dyDescent="0.25">
      <c r="A878">
        <v>1025</v>
      </c>
      <c r="B878" t="s">
        <v>1671</v>
      </c>
      <c r="C878" t="s">
        <v>1667</v>
      </c>
      <c r="D878" t="s">
        <v>133</v>
      </c>
      <c r="E878" s="4">
        <v>1</v>
      </c>
      <c r="F878" t="s">
        <v>151</v>
      </c>
      <c r="G878" t="s">
        <v>151</v>
      </c>
      <c r="H878" s="3">
        <v>46136</v>
      </c>
      <c r="I878" s="3">
        <v>46150</v>
      </c>
      <c r="J878" t="s">
        <v>67</v>
      </c>
      <c r="K878" s="3">
        <v>46150</v>
      </c>
      <c r="L878" s="3">
        <v>46136</v>
      </c>
      <c r="M878" s="3">
        <v>46150</v>
      </c>
      <c r="N878" s="3">
        <v>46150</v>
      </c>
      <c r="O878" t="s">
        <v>67</v>
      </c>
      <c r="P878" t="s">
        <v>55</v>
      </c>
      <c r="Q878">
        <v>1024</v>
      </c>
      <c r="S878" t="s">
        <v>124</v>
      </c>
      <c r="T878" t="s">
        <v>1429</v>
      </c>
      <c r="U878">
        <v>1042</v>
      </c>
      <c r="V878" t="s">
        <v>61</v>
      </c>
      <c r="W878">
        <v>13.4</v>
      </c>
      <c r="X878" t="s">
        <v>57</v>
      </c>
      <c r="Z878" t="s">
        <v>124</v>
      </c>
      <c r="AA878" t="s">
        <v>462</v>
      </c>
      <c r="AE878">
        <v>1</v>
      </c>
      <c r="AF878">
        <v>0</v>
      </c>
      <c r="AG878">
        <v>0</v>
      </c>
      <c r="AH878">
        <v>0</v>
      </c>
      <c r="AI878">
        <v>1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0</v>
      </c>
      <c r="AP878">
        <v>0</v>
      </c>
    </row>
    <row r="879" spans="1:42" x14ac:dyDescent="0.25">
      <c r="A879">
        <v>1026</v>
      </c>
      <c r="B879" t="s">
        <v>1672</v>
      </c>
      <c r="C879" t="s">
        <v>1655</v>
      </c>
      <c r="D879" t="s">
        <v>1673</v>
      </c>
      <c r="E879" s="4">
        <v>1</v>
      </c>
      <c r="F879" t="s">
        <v>151</v>
      </c>
      <c r="G879" t="s">
        <v>151</v>
      </c>
      <c r="H879" s="3">
        <v>46136</v>
      </c>
      <c r="I879" s="3">
        <v>46150</v>
      </c>
      <c r="J879" t="s">
        <v>67</v>
      </c>
      <c r="K879" s="3">
        <v>46150</v>
      </c>
      <c r="L879" s="3">
        <v>46136</v>
      </c>
      <c r="M879" s="3">
        <v>46150</v>
      </c>
      <c r="N879" s="3">
        <v>46150</v>
      </c>
      <c r="O879" t="s">
        <v>67</v>
      </c>
      <c r="P879" t="s">
        <v>55</v>
      </c>
      <c r="T879" t="s">
        <v>1429</v>
      </c>
      <c r="V879" t="s">
        <v>330</v>
      </c>
      <c r="X879" t="s">
        <v>57</v>
      </c>
      <c r="AA879" t="s">
        <v>50</v>
      </c>
      <c r="AB879" t="s">
        <v>94</v>
      </c>
      <c r="AE879">
        <v>1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</row>
    <row r="880" spans="1:42" x14ac:dyDescent="0.25">
      <c r="A880">
        <v>1027</v>
      </c>
      <c r="B880" t="s">
        <v>1674</v>
      </c>
      <c r="C880" t="s">
        <v>1675</v>
      </c>
      <c r="D880" t="s">
        <v>117</v>
      </c>
      <c r="E880" s="4">
        <v>1</v>
      </c>
      <c r="F880" t="s">
        <v>151</v>
      </c>
      <c r="G880" t="s">
        <v>151</v>
      </c>
      <c r="H880" s="3">
        <v>46136</v>
      </c>
      <c r="I880" s="3">
        <v>46150</v>
      </c>
      <c r="J880" t="s">
        <v>67</v>
      </c>
      <c r="K880" s="3">
        <v>46150</v>
      </c>
      <c r="L880" s="3">
        <v>46136</v>
      </c>
      <c r="M880" s="3">
        <v>46150</v>
      </c>
      <c r="N880" s="3">
        <v>46150</v>
      </c>
      <c r="O880" t="s">
        <v>67</v>
      </c>
      <c r="P880" t="s">
        <v>55</v>
      </c>
      <c r="Q880" t="s">
        <v>1659</v>
      </c>
      <c r="S880" t="s">
        <v>1444</v>
      </c>
      <c r="T880" t="s">
        <v>1429</v>
      </c>
      <c r="U880" t="s">
        <v>1676</v>
      </c>
      <c r="V880" t="s">
        <v>151</v>
      </c>
      <c r="W880">
        <v>13.4</v>
      </c>
      <c r="X880" t="s">
        <v>57</v>
      </c>
      <c r="Z880" t="s">
        <v>1444</v>
      </c>
      <c r="AA880" t="s">
        <v>198</v>
      </c>
      <c r="AE880">
        <v>1</v>
      </c>
      <c r="AF880">
        <v>1</v>
      </c>
      <c r="AG880">
        <v>1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1</v>
      </c>
    </row>
    <row r="881" spans="1:42" x14ac:dyDescent="0.25">
      <c r="A881">
        <v>1028</v>
      </c>
      <c r="B881" t="s">
        <v>1677</v>
      </c>
      <c r="C881" t="s">
        <v>1675</v>
      </c>
      <c r="D881" t="s">
        <v>121</v>
      </c>
      <c r="E881" s="4">
        <v>1</v>
      </c>
      <c r="F881" t="s">
        <v>151</v>
      </c>
      <c r="G881" t="s">
        <v>151</v>
      </c>
      <c r="H881" s="3">
        <v>46136</v>
      </c>
      <c r="I881" s="3">
        <v>46150</v>
      </c>
      <c r="J881" t="s">
        <v>67</v>
      </c>
      <c r="K881" s="3">
        <v>46150</v>
      </c>
      <c r="L881" s="3">
        <v>46136</v>
      </c>
      <c r="M881" s="3">
        <v>46150</v>
      </c>
      <c r="N881" s="3">
        <v>46150</v>
      </c>
      <c r="O881" t="s">
        <v>67</v>
      </c>
      <c r="P881" t="s">
        <v>55</v>
      </c>
      <c r="Q881">
        <v>1027</v>
      </c>
      <c r="S881" t="s">
        <v>124</v>
      </c>
      <c r="T881" t="s">
        <v>1429</v>
      </c>
      <c r="U881">
        <v>1029</v>
      </c>
      <c r="V881" t="s">
        <v>122</v>
      </c>
      <c r="W881">
        <v>13.4</v>
      </c>
      <c r="X881" t="s">
        <v>57</v>
      </c>
      <c r="Z881" t="s">
        <v>124</v>
      </c>
      <c r="AA881" t="s">
        <v>460</v>
      </c>
      <c r="AE881">
        <v>1</v>
      </c>
      <c r="AF881">
        <v>0</v>
      </c>
      <c r="AG881">
        <v>0</v>
      </c>
      <c r="AH881">
        <v>0</v>
      </c>
      <c r="AI881">
        <v>0</v>
      </c>
      <c r="AJ881">
        <v>1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</row>
    <row r="882" spans="1:42" x14ac:dyDescent="0.25">
      <c r="A882">
        <v>1029</v>
      </c>
      <c r="B882" t="s">
        <v>1678</v>
      </c>
      <c r="C882" t="s">
        <v>1675</v>
      </c>
      <c r="D882" t="s">
        <v>126</v>
      </c>
      <c r="E882" s="4">
        <v>1</v>
      </c>
      <c r="F882" t="s">
        <v>151</v>
      </c>
      <c r="G882" t="s">
        <v>151</v>
      </c>
      <c r="H882" s="3">
        <v>46136</v>
      </c>
      <c r="I882" s="3">
        <v>46150</v>
      </c>
      <c r="J882" t="s">
        <v>67</v>
      </c>
      <c r="K882" s="3">
        <v>46150</v>
      </c>
      <c r="L882" s="3">
        <v>46136</v>
      </c>
      <c r="M882" s="3">
        <v>46150</v>
      </c>
      <c r="N882" s="3">
        <v>46150</v>
      </c>
      <c r="O882" t="s">
        <v>67</v>
      </c>
      <c r="P882" t="s">
        <v>55</v>
      </c>
      <c r="Q882">
        <v>1028</v>
      </c>
      <c r="S882" t="s">
        <v>1444</v>
      </c>
      <c r="T882" t="s">
        <v>1429</v>
      </c>
      <c r="U882">
        <v>1030</v>
      </c>
      <c r="V882" t="s">
        <v>61</v>
      </c>
      <c r="W882">
        <v>13.4</v>
      </c>
      <c r="X882" t="s">
        <v>57</v>
      </c>
      <c r="Z882" t="s">
        <v>1444</v>
      </c>
      <c r="AA882" t="s">
        <v>462</v>
      </c>
      <c r="AE882">
        <v>1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1</v>
      </c>
      <c r="AM882">
        <v>0</v>
      </c>
      <c r="AN882">
        <v>0</v>
      </c>
      <c r="AO882">
        <v>0</v>
      </c>
      <c r="AP882">
        <v>0</v>
      </c>
    </row>
    <row r="883" spans="1:42" x14ac:dyDescent="0.25">
      <c r="A883">
        <v>1030</v>
      </c>
      <c r="B883" t="s">
        <v>1679</v>
      </c>
      <c r="C883" t="s">
        <v>1675</v>
      </c>
      <c r="D883" t="s">
        <v>133</v>
      </c>
      <c r="E883" s="4">
        <v>1</v>
      </c>
      <c r="F883" t="s">
        <v>151</v>
      </c>
      <c r="G883" t="s">
        <v>151</v>
      </c>
      <c r="H883" s="3">
        <v>46136</v>
      </c>
      <c r="I883" s="3">
        <v>46150</v>
      </c>
      <c r="J883" t="s">
        <v>67</v>
      </c>
      <c r="K883" s="3">
        <v>46150</v>
      </c>
      <c r="L883" s="3">
        <v>46136</v>
      </c>
      <c r="M883" s="3">
        <v>46150</v>
      </c>
      <c r="N883" s="3">
        <v>46150</v>
      </c>
      <c r="O883" t="s">
        <v>67</v>
      </c>
      <c r="P883" t="s">
        <v>55</v>
      </c>
      <c r="Q883">
        <v>1029</v>
      </c>
      <c r="S883" t="s">
        <v>124</v>
      </c>
      <c r="T883" t="s">
        <v>1429</v>
      </c>
      <c r="U883">
        <v>1042</v>
      </c>
      <c r="V883" t="s">
        <v>61</v>
      </c>
      <c r="W883">
        <v>13.4</v>
      </c>
      <c r="X883" t="s">
        <v>57</v>
      </c>
      <c r="Z883" t="s">
        <v>124</v>
      </c>
      <c r="AA883" t="s">
        <v>462</v>
      </c>
      <c r="AE883">
        <v>1</v>
      </c>
      <c r="AF883">
        <v>0</v>
      </c>
      <c r="AG883">
        <v>0</v>
      </c>
      <c r="AH883">
        <v>0</v>
      </c>
      <c r="AI883">
        <v>1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0</v>
      </c>
      <c r="AP883">
        <v>0</v>
      </c>
    </row>
    <row r="884" spans="1:42" x14ac:dyDescent="0.25">
      <c r="A884">
        <v>1031</v>
      </c>
      <c r="B884" t="s">
        <v>1680</v>
      </c>
      <c r="C884" t="s">
        <v>1655</v>
      </c>
      <c r="D884" t="s">
        <v>1681</v>
      </c>
      <c r="E884" s="4">
        <v>1</v>
      </c>
      <c r="F884" t="s">
        <v>365</v>
      </c>
      <c r="G884" t="s">
        <v>365</v>
      </c>
      <c r="H884" s="3">
        <v>46136</v>
      </c>
      <c r="I884" s="3">
        <v>46156</v>
      </c>
      <c r="J884" t="s">
        <v>472</v>
      </c>
      <c r="K884" s="3">
        <v>46197</v>
      </c>
      <c r="L884" s="3">
        <v>46175</v>
      </c>
      <c r="M884" s="3">
        <v>46156</v>
      </c>
      <c r="N884" s="3">
        <v>46156</v>
      </c>
      <c r="O884" t="s">
        <v>67</v>
      </c>
      <c r="P884" t="s">
        <v>55</v>
      </c>
      <c r="T884" t="s">
        <v>1429</v>
      </c>
      <c r="V884" t="s">
        <v>330</v>
      </c>
      <c r="X884" t="s">
        <v>57</v>
      </c>
      <c r="AA884" t="s">
        <v>50</v>
      </c>
      <c r="AB884" t="s">
        <v>94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</row>
    <row r="885" spans="1:42" x14ac:dyDescent="0.25">
      <c r="A885">
        <v>1032</v>
      </c>
      <c r="B885" t="s">
        <v>1682</v>
      </c>
      <c r="C885" t="s">
        <v>1683</v>
      </c>
      <c r="D885" t="s">
        <v>117</v>
      </c>
      <c r="E885" s="4">
        <v>1</v>
      </c>
      <c r="F885" t="s">
        <v>1684</v>
      </c>
      <c r="G885" t="s">
        <v>1684</v>
      </c>
      <c r="H885" s="3">
        <v>46136</v>
      </c>
      <c r="I885" s="3">
        <v>46156</v>
      </c>
      <c r="J885" t="s">
        <v>472</v>
      </c>
      <c r="K885" s="3">
        <v>46190</v>
      </c>
      <c r="L885" s="3">
        <v>46175</v>
      </c>
      <c r="M885" s="3">
        <v>46156</v>
      </c>
      <c r="N885" s="3">
        <v>46156</v>
      </c>
      <c r="O885" t="s">
        <v>67</v>
      </c>
      <c r="P885" t="s">
        <v>55</v>
      </c>
      <c r="Q885" t="s">
        <v>1685</v>
      </c>
      <c r="S885" t="s">
        <v>1433</v>
      </c>
      <c r="T885" t="s">
        <v>1429</v>
      </c>
      <c r="U885" t="s">
        <v>1686</v>
      </c>
      <c r="V885" t="s">
        <v>151</v>
      </c>
      <c r="W885">
        <v>13.4</v>
      </c>
      <c r="X885" t="s">
        <v>57</v>
      </c>
      <c r="Z885" t="s">
        <v>1433</v>
      </c>
      <c r="AA885" t="s">
        <v>460</v>
      </c>
      <c r="AE885">
        <v>1</v>
      </c>
      <c r="AF885">
        <v>1</v>
      </c>
      <c r="AG885">
        <v>1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1</v>
      </c>
    </row>
    <row r="886" spans="1:42" x14ac:dyDescent="0.25">
      <c r="A886">
        <v>1033</v>
      </c>
      <c r="B886" t="s">
        <v>1687</v>
      </c>
      <c r="C886" t="s">
        <v>1683</v>
      </c>
      <c r="D886" t="s">
        <v>121</v>
      </c>
      <c r="E886" s="4">
        <v>1</v>
      </c>
      <c r="F886" t="s">
        <v>63</v>
      </c>
      <c r="G886" t="s">
        <v>63</v>
      </c>
      <c r="H886" s="3">
        <v>46156</v>
      </c>
      <c r="I886" s="3">
        <v>46156</v>
      </c>
      <c r="J886" t="s">
        <v>480</v>
      </c>
      <c r="K886" s="3">
        <v>46195</v>
      </c>
      <c r="L886" s="3">
        <v>46191</v>
      </c>
      <c r="M886" s="3">
        <v>46156</v>
      </c>
      <c r="N886" s="3">
        <v>46156</v>
      </c>
      <c r="O886" t="s">
        <v>406</v>
      </c>
      <c r="P886" t="s">
        <v>55</v>
      </c>
      <c r="Q886">
        <v>1032</v>
      </c>
      <c r="S886" t="s">
        <v>124</v>
      </c>
      <c r="T886" t="s">
        <v>1429</v>
      </c>
      <c r="U886">
        <v>1034</v>
      </c>
      <c r="V886" t="s">
        <v>122</v>
      </c>
      <c r="W886">
        <v>13.4</v>
      </c>
      <c r="X886" t="s">
        <v>57</v>
      </c>
      <c r="Z886" t="s">
        <v>124</v>
      </c>
      <c r="AA886" t="s">
        <v>217</v>
      </c>
      <c r="AE886">
        <v>1</v>
      </c>
      <c r="AF886">
        <v>0</v>
      </c>
      <c r="AG886">
        <v>0</v>
      </c>
      <c r="AH886">
        <v>0</v>
      </c>
      <c r="AI886">
        <v>0</v>
      </c>
      <c r="AJ886">
        <v>1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</row>
    <row r="887" spans="1:42" x14ac:dyDescent="0.25">
      <c r="A887">
        <v>1034</v>
      </c>
      <c r="B887" t="s">
        <v>1688</v>
      </c>
      <c r="C887" t="s">
        <v>1683</v>
      </c>
      <c r="D887" t="s">
        <v>126</v>
      </c>
      <c r="E887" s="4">
        <v>1</v>
      </c>
      <c r="F887" t="s">
        <v>63</v>
      </c>
      <c r="G887" t="s">
        <v>63</v>
      </c>
      <c r="H887" s="3">
        <v>46156</v>
      </c>
      <c r="I887" s="3">
        <v>46156</v>
      </c>
      <c r="J887" t="s">
        <v>212</v>
      </c>
      <c r="K887" s="3">
        <v>46196</v>
      </c>
      <c r="L887" s="3">
        <v>46196</v>
      </c>
      <c r="M887" s="3">
        <v>46156</v>
      </c>
      <c r="N887" s="3">
        <v>46156</v>
      </c>
      <c r="O887" t="s">
        <v>406</v>
      </c>
      <c r="P887" t="s">
        <v>55</v>
      </c>
      <c r="Q887">
        <v>1033</v>
      </c>
      <c r="S887" t="s">
        <v>1433</v>
      </c>
      <c r="T887" t="s">
        <v>1429</v>
      </c>
      <c r="U887">
        <v>1035</v>
      </c>
      <c r="V887" t="s">
        <v>61</v>
      </c>
      <c r="W887">
        <v>13.4</v>
      </c>
      <c r="X887" t="s">
        <v>57</v>
      </c>
      <c r="Z887" t="s">
        <v>1433</v>
      </c>
      <c r="AA887" t="s">
        <v>131</v>
      </c>
      <c r="AE887">
        <v>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1</v>
      </c>
      <c r="AM887">
        <v>0</v>
      </c>
      <c r="AN887">
        <v>0</v>
      </c>
      <c r="AO887">
        <v>0</v>
      </c>
      <c r="AP887">
        <v>0</v>
      </c>
    </row>
    <row r="888" spans="1:42" x14ac:dyDescent="0.25">
      <c r="A888">
        <v>1035</v>
      </c>
      <c r="B888" t="s">
        <v>1689</v>
      </c>
      <c r="C888" t="s">
        <v>1683</v>
      </c>
      <c r="D888" t="s">
        <v>133</v>
      </c>
      <c r="E888" s="4">
        <v>1</v>
      </c>
      <c r="F888" t="s">
        <v>63</v>
      </c>
      <c r="G888" t="s">
        <v>63</v>
      </c>
      <c r="H888" s="3">
        <v>46156</v>
      </c>
      <c r="I888" s="3">
        <v>46156</v>
      </c>
      <c r="J888" t="s">
        <v>207</v>
      </c>
      <c r="K888" s="3">
        <v>46197</v>
      </c>
      <c r="L888" s="3">
        <v>46197</v>
      </c>
      <c r="M888" s="3">
        <v>46156</v>
      </c>
      <c r="N888" s="3">
        <v>46156</v>
      </c>
      <c r="O888" t="s">
        <v>406</v>
      </c>
      <c r="P888" t="s">
        <v>55</v>
      </c>
      <c r="Q888">
        <v>1034</v>
      </c>
      <c r="S888" t="s">
        <v>124</v>
      </c>
      <c r="T888" t="s">
        <v>1429</v>
      </c>
      <c r="V888" t="s">
        <v>61</v>
      </c>
      <c r="W888">
        <v>13.4</v>
      </c>
      <c r="X888" t="s">
        <v>57</v>
      </c>
      <c r="Z888" t="s">
        <v>124</v>
      </c>
      <c r="AA888" t="s">
        <v>131</v>
      </c>
      <c r="AE888">
        <v>1</v>
      </c>
      <c r="AF888">
        <v>0</v>
      </c>
      <c r="AG888">
        <v>0</v>
      </c>
      <c r="AH888">
        <v>0</v>
      </c>
      <c r="AI888">
        <v>1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0</v>
      </c>
      <c r="AP888">
        <v>0</v>
      </c>
    </row>
    <row r="889" spans="1:42" x14ac:dyDescent="0.25">
      <c r="A889">
        <v>1036</v>
      </c>
      <c r="B889" t="s">
        <v>1690</v>
      </c>
      <c r="C889" t="s">
        <v>1655</v>
      </c>
      <c r="D889" t="s">
        <v>1691</v>
      </c>
      <c r="E889" s="4">
        <v>1</v>
      </c>
      <c r="F889" t="s">
        <v>365</v>
      </c>
      <c r="G889" t="s">
        <v>365</v>
      </c>
      <c r="H889" s="3">
        <v>46136</v>
      </c>
      <c r="I889" s="3">
        <v>46156</v>
      </c>
      <c r="J889" t="s">
        <v>67</v>
      </c>
      <c r="K889" s="3">
        <v>46156</v>
      </c>
      <c r="L889" s="3">
        <v>46136</v>
      </c>
      <c r="M889" s="3">
        <v>46156</v>
      </c>
      <c r="N889" s="3">
        <v>46156</v>
      </c>
      <c r="O889" t="s">
        <v>67</v>
      </c>
      <c r="P889" t="s">
        <v>55</v>
      </c>
      <c r="T889" t="s">
        <v>1429</v>
      </c>
      <c r="V889" t="s">
        <v>330</v>
      </c>
      <c r="X889" t="s">
        <v>57</v>
      </c>
      <c r="AA889" t="s">
        <v>50</v>
      </c>
      <c r="AB889" t="s">
        <v>94</v>
      </c>
      <c r="AE889">
        <v>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</row>
    <row r="890" spans="1:42" x14ac:dyDescent="0.25">
      <c r="A890">
        <v>1037</v>
      </c>
      <c r="B890" t="s">
        <v>1692</v>
      </c>
      <c r="C890" t="s">
        <v>1693</v>
      </c>
      <c r="D890" t="s">
        <v>117</v>
      </c>
      <c r="E890" s="4">
        <v>1</v>
      </c>
      <c r="F890" t="s">
        <v>1684</v>
      </c>
      <c r="G890" t="s">
        <v>1684</v>
      </c>
      <c r="H890" s="3">
        <v>46136</v>
      </c>
      <c r="I890" s="3">
        <v>46156</v>
      </c>
      <c r="J890" t="s">
        <v>67</v>
      </c>
      <c r="K890" s="3">
        <v>46156</v>
      </c>
      <c r="L890" s="3">
        <v>46136</v>
      </c>
      <c r="M890" s="3">
        <v>46156</v>
      </c>
      <c r="N890" s="3">
        <v>46156</v>
      </c>
      <c r="O890" t="s">
        <v>67</v>
      </c>
      <c r="P890" t="s">
        <v>55</v>
      </c>
      <c r="Q890" t="s">
        <v>1685</v>
      </c>
      <c r="S890" t="s">
        <v>1433</v>
      </c>
      <c r="T890" t="s">
        <v>1429</v>
      </c>
      <c r="U890" t="s">
        <v>1694</v>
      </c>
      <c r="V890" t="s">
        <v>151</v>
      </c>
      <c r="W890">
        <v>13.4</v>
      </c>
      <c r="X890" t="s">
        <v>57</v>
      </c>
      <c r="Z890" t="s">
        <v>1433</v>
      </c>
      <c r="AA890" t="s">
        <v>460</v>
      </c>
      <c r="AE890">
        <v>1</v>
      </c>
      <c r="AF890">
        <v>1</v>
      </c>
      <c r="AG890">
        <v>1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1</v>
      </c>
    </row>
    <row r="891" spans="1:42" x14ac:dyDescent="0.25">
      <c r="A891">
        <v>1038</v>
      </c>
      <c r="B891" t="s">
        <v>1695</v>
      </c>
      <c r="C891" t="s">
        <v>1693</v>
      </c>
      <c r="D891" t="s">
        <v>121</v>
      </c>
      <c r="E891" s="4">
        <v>1</v>
      </c>
      <c r="F891" t="s">
        <v>63</v>
      </c>
      <c r="G891" t="s">
        <v>63</v>
      </c>
      <c r="H891" s="3">
        <v>46156</v>
      </c>
      <c r="I891" s="3">
        <v>46156</v>
      </c>
      <c r="J891" t="s">
        <v>406</v>
      </c>
      <c r="K891" s="3">
        <v>46156</v>
      </c>
      <c r="L891" s="3">
        <v>46156</v>
      </c>
      <c r="M891" s="3">
        <v>46156</v>
      </c>
      <c r="N891" s="3">
        <v>46156</v>
      </c>
      <c r="O891" t="s">
        <v>406</v>
      </c>
      <c r="P891" t="s">
        <v>55</v>
      </c>
      <c r="Q891">
        <v>1037</v>
      </c>
      <c r="S891" t="s">
        <v>124</v>
      </c>
      <c r="T891" t="s">
        <v>1429</v>
      </c>
      <c r="U891">
        <v>1039</v>
      </c>
      <c r="V891" t="s">
        <v>122</v>
      </c>
      <c r="W891">
        <v>13.4</v>
      </c>
      <c r="X891" t="s">
        <v>57</v>
      </c>
      <c r="Z891" t="s">
        <v>124</v>
      </c>
      <c r="AA891" t="s">
        <v>217</v>
      </c>
      <c r="AE891">
        <v>1</v>
      </c>
      <c r="AF891">
        <v>0</v>
      </c>
      <c r="AG891">
        <v>0</v>
      </c>
      <c r="AH891">
        <v>0</v>
      </c>
      <c r="AI891">
        <v>0</v>
      </c>
      <c r="AJ891">
        <v>1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</row>
    <row r="892" spans="1:42" x14ac:dyDescent="0.25">
      <c r="A892">
        <v>1039</v>
      </c>
      <c r="B892" t="s">
        <v>1696</v>
      </c>
      <c r="C892" t="s">
        <v>1693</v>
      </c>
      <c r="D892" t="s">
        <v>126</v>
      </c>
      <c r="E892" s="4">
        <v>1</v>
      </c>
      <c r="F892" t="s">
        <v>63</v>
      </c>
      <c r="G892" t="s">
        <v>63</v>
      </c>
      <c r="H892" s="3">
        <v>46156</v>
      </c>
      <c r="I892" s="3">
        <v>46156</v>
      </c>
      <c r="J892" t="s">
        <v>406</v>
      </c>
      <c r="K892" s="3">
        <v>46156</v>
      </c>
      <c r="L892" s="3">
        <v>46156</v>
      </c>
      <c r="M892" s="3">
        <v>46156</v>
      </c>
      <c r="N892" s="3">
        <v>46156</v>
      </c>
      <c r="O892" t="s">
        <v>406</v>
      </c>
      <c r="P892" t="s">
        <v>55</v>
      </c>
      <c r="Q892">
        <v>1038</v>
      </c>
      <c r="S892" t="s">
        <v>1433</v>
      </c>
      <c r="T892" t="s">
        <v>1429</v>
      </c>
      <c r="U892">
        <v>1040</v>
      </c>
      <c r="V892" t="s">
        <v>61</v>
      </c>
      <c r="W892">
        <v>13.4</v>
      </c>
      <c r="X892" t="s">
        <v>57</v>
      </c>
      <c r="Z892" t="s">
        <v>1433</v>
      </c>
      <c r="AA892" t="s">
        <v>131</v>
      </c>
      <c r="AE892">
        <v>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1</v>
      </c>
      <c r="AM892">
        <v>0</v>
      </c>
      <c r="AN892">
        <v>0</v>
      </c>
      <c r="AO892">
        <v>0</v>
      </c>
      <c r="AP892">
        <v>0</v>
      </c>
    </row>
    <row r="893" spans="1:42" x14ac:dyDescent="0.25">
      <c r="A893">
        <v>1040</v>
      </c>
      <c r="B893" t="s">
        <v>1697</v>
      </c>
      <c r="C893" t="s">
        <v>1693</v>
      </c>
      <c r="D893" t="s">
        <v>133</v>
      </c>
      <c r="E893" s="4">
        <v>1</v>
      </c>
      <c r="F893" t="s">
        <v>63</v>
      </c>
      <c r="G893" t="s">
        <v>63</v>
      </c>
      <c r="H893" s="3">
        <v>46156</v>
      </c>
      <c r="I893" s="3">
        <v>46156</v>
      </c>
      <c r="J893" t="s">
        <v>406</v>
      </c>
      <c r="K893" s="3">
        <v>46156</v>
      </c>
      <c r="L893" s="3">
        <v>46156</v>
      </c>
      <c r="M893" s="3">
        <v>46156</v>
      </c>
      <c r="N893" s="3">
        <v>46156</v>
      </c>
      <c r="O893" t="s">
        <v>406</v>
      </c>
      <c r="P893" t="s">
        <v>55</v>
      </c>
      <c r="Q893">
        <v>1039</v>
      </c>
      <c r="S893" t="s">
        <v>124</v>
      </c>
      <c r="T893" t="s">
        <v>1429</v>
      </c>
      <c r="V893" t="s">
        <v>61</v>
      </c>
      <c r="W893">
        <v>13.4</v>
      </c>
      <c r="X893" t="s">
        <v>57</v>
      </c>
      <c r="Z893" t="s">
        <v>124</v>
      </c>
      <c r="AA893" t="s">
        <v>131</v>
      </c>
      <c r="AE893">
        <v>1</v>
      </c>
      <c r="AF893">
        <v>0</v>
      </c>
      <c r="AG893">
        <v>0</v>
      </c>
      <c r="AH893">
        <v>0</v>
      </c>
      <c r="AI893">
        <v>1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0</v>
      </c>
      <c r="AP893">
        <v>0</v>
      </c>
    </row>
    <row r="894" spans="1:42" x14ac:dyDescent="0.25">
      <c r="A894">
        <v>1041</v>
      </c>
      <c r="B894" t="s">
        <v>1698</v>
      </c>
      <c r="C894" t="s">
        <v>1655</v>
      </c>
      <c r="D894" t="s">
        <v>1699</v>
      </c>
      <c r="E894" s="4">
        <v>1</v>
      </c>
      <c r="F894" t="s">
        <v>101</v>
      </c>
      <c r="G894" t="s">
        <v>101</v>
      </c>
      <c r="H894" s="3">
        <v>46153</v>
      </c>
      <c r="I894" s="3">
        <v>46156</v>
      </c>
      <c r="J894" t="s">
        <v>476</v>
      </c>
      <c r="K894" s="3">
        <v>46192</v>
      </c>
      <c r="L894" s="3">
        <v>46184</v>
      </c>
      <c r="M894" s="3">
        <v>46156</v>
      </c>
      <c r="N894" s="3">
        <v>46156</v>
      </c>
      <c r="O894" t="s">
        <v>418</v>
      </c>
      <c r="P894" t="s">
        <v>55</v>
      </c>
      <c r="T894" t="s">
        <v>1429</v>
      </c>
      <c r="V894" t="s">
        <v>175</v>
      </c>
      <c r="X894" t="s">
        <v>57</v>
      </c>
      <c r="AA894" t="s">
        <v>50</v>
      </c>
      <c r="AB894" t="s">
        <v>94</v>
      </c>
      <c r="AE894">
        <v>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</row>
    <row r="895" spans="1:42" x14ac:dyDescent="0.25">
      <c r="A895">
        <v>1042</v>
      </c>
      <c r="B895" t="s">
        <v>1700</v>
      </c>
      <c r="C895" t="s">
        <v>1701</v>
      </c>
      <c r="D895" t="s">
        <v>117</v>
      </c>
      <c r="E895" s="4">
        <v>1</v>
      </c>
      <c r="F895" t="s">
        <v>101</v>
      </c>
      <c r="G895" t="s">
        <v>101</v>
      </c>
      <c r="H895" s="3">
        <v>46153</v>
      </c>
      <c r="I895" s="3">
        <v>46156</v>
      </c>
      <c r="J895" t="s">
        <v>476</v>
      </c>
      <c r="K895" s="3">
        <v>46185</v>
      </c>
      <c r="L895" s="3">
        <v>46184</v>
      </c>
      <c r="M895" s="3">
        <v>46156</v>
      </c>
      <c r="N895" s="3">
        <v>46156</v>
      </c>
      <c r="O895" t="s">
        <v>418</v>
      </c>
      <c r="P895" t="s">
        <v>55</v>
      </c>
      <c r="Q895" t="s">
        <v>1702</v>
      </c>
      <c r="S895" t="s">
        <v>1444</v>
      </c>
      <c r="T895" t="s">
        <v>1429</v>
      </c>
      <c r="U895" t="s">
        <v>1703</v>
      </c>
      <c r="V895" t="s">
        <v>127</v>
      </c>
      <c r="W895">
        <v>13.4</v>
      </c>
      <c r="X895" t="s">
        <v>57</v>
      </c>
      <c r="Z895" t="s">
        <v>1444</v>
      </c>
      <c r="AA895" t="s">
        <v>462</v>
      </c>
      <c r="AE895">
        <v>1</v>
      </c>
      <c r="AF895">
        <v>1</v>
      </c>
      <c r="AG895">
        <v>1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1</v>
      </c>
    </row>
    <row r="896" spans="1:42" x14ac:dyDescent="0.25">
      <c r="A896">
        <v>1043</v>
      </c>
      <c r="B896" t="s">
        <v>1704</v>
      </c>
      <c r="C896" t="s">
        <v>1701</v>
      </c>
      <c r="D896" t="s">
        <v>121</v>
      </c>
      <c r="E896" s="4">
        <v>1</v>
      </c>
      <c r="F896" t="s">
        <v>63</v>
      </c>
      <c r="G896" t="s">
        <v>63</v>
      </c>
      <c r="H896" s="3">
        <v>46156</v>
      </c>
      <c r="I896" s="3">
        <v>46156</v>
      </c>
      <c r="J896" t="s">
        <v>595</v>
      </c>
      <c r="K896" s="3">
        <v>46190</v>
      </c>
      <c r="L896" s="3">
        <v>46188</v>
      </c>
      <c r="M896" s="3">
        <v>46156</v>
      </c>
      <c r="N896" s="3">
        <v>46156</v>
      </c>
      <c r="O896" t="s">
        <v>406</v>
      </c>
      <c r="P896" t="s">
        <v>55</v>
      </c>
      <c r="Q896">
        <v>1042</v>
      </c>
      <c r="S896" t="s">
        <v>124</v>
      </c>
      <c r="T896" t="s">
        <v>1429</v>
      </c>
      <c r="U896">
        <v>1044</v>
      </c>
      <c r="V896" t="s">
        <v>122</v>
      </c>
      <c r="W896">
        <v>13.4</v>
      </c>
      <c r="X896" t="s">
        <v>57</v>
      </c>
      <c r="Z896" t="s">
        <v>124</v>
      </c>
      <c r="AA896" t="s">
        <v>217</v>
      </c>
      <c r="AE896">
        <v>1</v>
      </c>
      <c r="AF896">
        <v>0</v>
      </c>
      <c r="AG896">
        <v>0</v>
      </c>
      <c r="AH896">
        <v>0</v>
      </c>
      <c r="AI896">
        <v>0</v>
      </c>
      <c r="AJ896">
        <v>1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</row>
    <row r="897" spans="1:42" x14ac:dyDescent="0.25">
      <c r="A897">
        <v>1044</v>
      </c>
      <c r="B897" t="s">
        <v>1705</v>
      </c>
      <c r="C897" t="s">
        <v>1701</v>
      </c>
      <c r="D897" t="s">
        <v>126</v>
      </c>
      <c r="E897" s="4">
        <v>1</v>
      </c>
      <c r="F897" t="s">
        <v>61</v>
      </c>
      <c r="G897" t="s">
        <v>61</v>
      </c>
      <c r="H897" s="3">
        <v>46156</v>
      </c>
      <c r="I897" s="3">
        <v>46156</v>
      </c>
      <c r="J897" t="s">
        <v>480</v>
      </c>
      <c r="K897" s="3">
        <v>46191</v>
      </c>
      <c r="L897" s="3">
        <v>46191</v>
      </c>
      <c r="M897" s="3">
        <v>46156</v>
      </c>
      <c r="N897" s="3">
        <v>46156</v>
      </c>
      <c r="O897" t="s">
        <v>406</v>
      </c>
      <c r="P897" t="s">
        <v>55</v>
      </c>
      <c r="Q897">
        <v>1043</v>
      </c>
      <c r="S897" t="s">
        <v>1444</v>
      </c>
      <c r="T897" t="s">
        <v>1429</v>
      </c>
      <c r="U897">
        <v>1045</v>
      </c>
      <c r="V897" t="s">
        <v>61</v>
      </c>
      <c r="W897">
        <v>13.4</v>
      </c>
      <c r="X897" t="s">
        <v>57</v>
      </c>
      <c r="Z897" t="s">
        <v>1444</v>
      </c>
      <c r="AA897" t="s">
        <v>217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1</v>
      </c>
      <c r="AM897">
        <v>0</v>
      </c>
      <c r="AN897">
        <v>0</v>
      </c>
      <c r="AO897">
        <v>0</v>
      </c>
      <c r="AP897">
        <v>0</v>
      </c>
    </row>
    <row r="898" spans="1:42" x14ac:dyDescent="0.25">
      <c r="A898">
        <v>1045</v>
      </c>
      <c r="B898" t="s">
        <v>1706</v>
      </c>
      <c r="C898" t="s">
        <v>1701</v>
      </c>
      <c r="D898" t="s">
        <v>133</v>
      </c>
      <c r="E898" s="4">
        <v>1</v>
      </c>
      <c r="F898" t="s">
        <v>61</v>
      </c>
      <c r="G898" t="s">
        <v>61</v>
      </c>
      <c r="H898" s="3">
        <v>46156</v>
      </c>
      <c r="I898" s="3">
        <v>46156</v>
      </c>
      <c r="J898" t="s">
        <v>211</v>
      </c>
      <c r="K898" s="3">
        <v>46192</v>
      </c>
      <c r="L898" s="3">
        <v>46192</v>
      </c>
      <c r="M898" s="3">
        <v>46156</v>
      </c>
      <c r="N898" s="3">
        <v>46156</v>
      </c>
      <c r="O898" t="s">
        <v>406</v>
      </c>
      <c r="P898" t="s">
        <v>55</v>
      </c>
      <c r="Q898">
        <v>1044</v>
      </c>
      <c r="S898" t="s">
        <v>124</v>
      </c>
      <c r="T898" t="s">
        <v>1429</v>
      </c>
      <c r="V898" t="s">
        <v>61</v>
      </c>
      <c r="W898">
        <v>13.4</v>
      </c>
      <c r="X898" t="s">
        <v>57</v>
      </c>
      <c r="Z898" t="s">
        <v>124</v>
      </c>
      <c r="AA898" t="s">
        <v>217</v>
      </c>
      <c r="AE898">
        <v>1</v>
      </c>
      <c r="AF898">
        <v>0</v>
      </c>
      <c r="AG898">
        <v>0</v>
      </c>
      <c r="AH898">
        <v>0</v>
      </c>
      <c r="AI898">
        <v>1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0</v>
      </c>
      <c r="AP898">
        <v>0</v>
      </c>
    </row>
    <row r="899" spans="1:42" x14ac:dyDescent="0.25">
      <c r="A899">
        <v>1046</v>
      </c>
      <c r="B899" t="s">
        <v>1707</v>
      </c>
      <c r="C899" t="s">
        <v>1655</v>
      </c>
      <c r="D899" t="s">
        <v>1708</v>
      </c>
      <c r="E899" s="4">
        <v>1</v>
      </c>
      <c r="F899" t="s">
        <v>101</v>
      </c>
      <c r="G899" t="s">
        <v>101</v>
      </c>
      <c r="H899" s="3">
        <v>46153</v>
      </c>
      <c r="I899" s="3">
        <v>46156</v>
      </c>
      <c r="J899" t="s">
        <v>476</v>
      </c>
      <c r="K899" s="3">
        <v>46192</v>
      </c>
      <c r="L899" s="3">
        <v>46184</v>
      </c>
      <c r="M899" s="3">
        <v>46156</v>
      </c>
      <c r="N899" s="3">
        <v>46156</v>
      </c>
      <c r="O899" t="s">
        <v>418</v>
      </c>
      <c r="P899" t="s">
        <v>55</v>
      </c>
      <c r="T899" t="s">
        <v>1429</v>
      </c>
      <c r="V899" t="s">
        <v>175</v>
      </c>
      <c r="X899" t="s">
        <v>57</v>
      </c>
      <c r="AA899" t="s">
        <v>50</v>
      </c>
      <c r="AB899" t="s">
        <v>94</v>
      </c>
      <c r="AE899">
        <v>1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</row>
    <row r="900" spans="1:42" x14ac:dyDescent="0.25">
      <c r="A900">
        <v>1047</v>
      </c>
      <c r="B900" t="s">
        <v>1709</v>
      </c>
      <c r="C900" t="s">
        <v>1710</v>
      </c>
      <c r="D900" t="s">
        <v>117</v>
      </c>
      <c r="E900" s="4">
        <v>1</v>
      </c>
      <c r="F900" t="s">
        <v>101</v>
      </c>
      <c r="G900" t="s">
        <v>101</v>
      </c>
      <c r="H900" s="3">
        <v>46153</v>
      </c>
      <c r="I900" s="3">
        <v>46156</v>
      </c>
      <c r="J900" t="s">
        <v>476</v>
      </c>
      <c r="K900" s="3">
        <v>46185</v>
      </c>
      <c r="L900" s="3">
        <v>46184</v>
      </c>
      <c r="M900" s="3">
        <v>46156</v>
      </c>
      <c r="N900" s="3">
        <v>46156</v>
      </c>
      <c r="O900" t="s">
        <v>418</v>
      </c>
      <c r="P900" t="s">
        <v>55</v>
      </c>
      <c r="Q900" t="s">
        <v>1711</v>
      </c>
      <c r="S900" t="s">
        <v>1444</v>
      </c>
      <c r="T900" t="s">
        <v>1429</v>
      </c>
      <c r="U900">
        <v>1048</v>
      </c>
      <c r="V900" t="s">
        <v>127</v>
      </c>
      <c r="W900">
        <v>13.4</v>
      </c>
      <c r="X900" t="s">
        <v>57</v>
      </c>
      <c r="Z900" t="s">
        <v>1444</v>
      </c>
      <c r="AA900" t="s">
        <v>462</v>
      </c>
      <c r="AE900">
        <v>1</v>
      </c>
      <c r="AF900">
        <v>1</v>
      </c>
      <c r="AG900">
        <v>1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1</v>
      </c>
    </row>
    <row r="901" spans="1:42" x14ac:dyDescent="0.25">
      <c r="A901">
        <v>1048</v>
      </c>
      <c r="B901" t="s">
        <v>1712</v>
      </c>
      <c r="C901" t="s">
        <v>1710</v>
      </c>
      <c r="D901" t="s">
        <v>121</v>
      </c>
      <c r="E901" s="4">
        <v>1</v>
      </c>
      <c r="F901" t="s">
        <v>61</v>
      </c>
      <c r="G901" t="s">
        <v>61</v>
      </c>
      <c r="H901" s="3">
        <v>46156</v>
      </c>
      <c r="I901" s="3">
        <v>46156</v>
      </c>
      <c r="J901" t="s">
        <v>595</v>
      </c>
      <c r="K901" s="3">
        <v>46190</v>
      </c>
      <c r="L901" s="3">
        <v>46188</v>
      </c>
      <c r="M901" s="3">
        <v>46156</v>
      </c>
      <c r="N901" s="3">
        <v>46156</v>
      </c>
      <c r="O901" t="s">
        <v>406</v>
      </c>
      <c r="P901" t="s">
        <v>55</v>
      </c>
      <c r="Q901">
        <v>1047</v>
      </c>
      <c r="S901" t="s">
        <v>124</v>
      </c>
      <c r="T901" t="s">
        <v>1429</v>
      </c>
      <c r="U901">
        <v>1049</v>
      </c>
      <c r="V901" t="s">
        <v>122</v>
      </c>
      <c r="W901">
        <v>13.4</v>
      </c>
      <c r="X901" t="s">
        <v>57</v>
      </c>
      <c r="Z901" t="s">
        <v>124</v>
      </c>
      <c r="AA901" t="s">
        <v>217</v>
      </c>
      <c r="AE901">
        <v>1</v>
      </c>
      <c r="AF901">
        <v>0</v>
      </c>
      <c r="AG901">
        <v>0</v>
      </c>
      <c r="AH901">
        <v>0</v>
      </c>
      <c r="AI901">
        <v>0</v>
      </c>
      <c r="AJ901">
        <v>1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</row>
    <row r="902" spans="1:42" x14ac:dyDescent="0.25">
      <c r="A902">
        <v>1049</v>
      </c>
      <c r="B902" t="s">
        <v>1713</v>
      </c>
      <c r="C902" t="s">
        <v>1710</v>
      </c>
      <c r="D902" t="s">
        <v>126</v>
      </c>
      <c r="E902" s="4">
        <v>1</v>
      </c>
      <c r="F902" t="s">
        <v>61</v>
      </c>
      <c r="G902" t="s">
        <v>61</v>
      </c>
      <c r="H902" s="3">
        <v>46156</v>
      </c>
      <c r="I902" s="3">
        <v>46156</v>
      </c>
      <c r="J902" t="s">
        <v>480</v>
      </c>
      <c r="K902" s="3">
        <v>46191</v>
      </c>
      <c r="L902" s="3">
        <v>46191</v>
      </c>
      <c r="M902" s="3">
        <v>46156</v>
      </c>
      <c r="N902" s="3">
        <v>46156</v>
      </c>
      <c r="O902" t="s">
        <v>406</v>
      </c>
      <c r="P902" t="s">
        <v>55</v>
      </c>
      <c r="Q902">
        <v>1048</v>
      </c>
      <c r="S902" t="s">
        <v>1444</v>
      </c>
      <c r="T902" t="s">
        <v>1429</v>
      </c>
      <c r="U902">
        <v>1050</v>
      </c>
      <c r="V902" t="s">
        <v>61</v>
      </c>
      <c r="W902">
        <v>13.4</v>
      </c>
      <c r="X902" t="s">
        <v>57</v>
      </c>
      <c r="Z902" t="s">
        <v>1444</v>
      </c>
      <c r="AA902" t="s">
        <v>217</v>
      </c>
      <c r="AE902">
        <v>1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1</v>
      </c>
      <c r="AM902">
        <v>0</v>
      </c>
      <c r="AN902">
        <v>0</v>
      </c>
      <c r="AO902">
        <v>0</v>
      </c>
      <c r="AP902">
        <v>0</v>
      </c>
    </row>
    <row r="903" spans="1:42" x14ac:dyDescent="0.25">
      <c r="A903">
        <v>1050</v>
      </c>
      <c r="B903" t="s">
        <v>1714</v>
      </c>
      <c r="C903" t="s">
        <v>1710</v>
      </c>
      <c r="D903" t="s">
        <v>133</v>
      </c>
      <c r="E903" s="4">
        <v>1</v>
      </c>
      <c r="F903" t="s">
        <v>61</v>
      </c>
      <c r="G903" t="s">
        <v>61</v>
      </c>
      <c r="H903" s="3">
        <v>46156</v>
      </c>
      <c r="I903" s="3">
        <v>46156</v>
      </c>
      <c r="J903" t="s">
        <v>211</v>
      </c>
      <c r="K903" s="3">
        <v>46192</v>
      </c>
      <c r="L903" s="3">
        <v>46192</v>
      </c>
      <c r="M903" s="3">
        <v>46156</v>
      </c>
      <c r="N903" s="3">
        <v>46156</v>
      </c>
      <c r="O903" t="s">
        <v>406</v>
      </c>
      <c r="P903" t="s">
        <v>55</v>
      </c>
      <c r="Q903">
        <v>1049</v>
      </c>
      <c r="S903" t="s">
        <v>124</v>
      </c>
      <c r="T903" t="s">
        <v>1429</v>
      </c>
      <c r="V903" t="s">
        <v>61</v>
      </c>
      <c r="W903">
        <v>13.4</v>
      </c>
      <c r="X903" t="s">
        <v>57</v>
      </c>
      <c r="Z903" t="s">
        <v>124</v>
      </c>
      <c r="AA903" t="s">
        <v>217</v>
      </c>
      <c r="AE903">
        <v>1</v>
      </c>
      <c r="AF903">
        <v>0</v>
      </c>
      <c r="AG903">
        <v>0</v>
      </c>
      <c r="AH903">
        <v>0</v>
      </c>
      <c r="AI903">
        <v>1</v>
      </c>
      <c r="AJ903">
        <v>0</v>
      </c>
      <c r="AK903">
        <v>0</v>
      </c>
      <c r="AL903">
        <v>0</v>
      </c>
      <c r="AM903">
        <v>0</v>
      </c>
      <c r="AN903">
        <v>1</v>
      </c>
      <c r="AO903">
        <v>0</v>
      </c>
      <c r="AP903">
        <v>0</v>
      </c>
    </row>
    <row r="904" spans="1:42" x14ac:dyDescent="0.25">
      <c r="A904">
        <v>1051</v>
      </c>
      <c r="B904" t="s">
        <v>1715</v>
      </c>
      <c r="C904" t="s">
        <v>1655</v>
      </c>
      <c r="D904" t="s">
        <v>1716</v>
      </c>
      <c r="E904" s="4">
        <v>1</v>
      </c>
      <c r="F904" t="s">
        <v>101</v>
      </c>
      <c r="G904" t="s">
        <v>101</v>
      </c>
      <c r="H904" s="3">
        <v>46153</v>
      </c>
      <c r="I904" s="3">
        <v>46156</v>
      </c>
      <c r="J904" t="s">
        <v>418</v>
      </c>
      <c r="K904" s="3">
        <v>46156</v>
      </c>
      <c r="L904" s="3">
        <v>46153</v>
      </c>
      <c r="M904" s="3">
        <v>46156</v>
      </c>
      <c r="N904" s="3">
        <v>46156</v>
      </c>
      <c r="O904" t="s">
        <v>418</v>
      </c>
      <c r="P904" t="s">
        <v>55</v>
      </c>
      <c r="T904" t="s">
        <v>1429</v>
      </c>
      <c r="V904" t="s">
        <v>175</v>
      </c>
      <c r="X904" t="s">
        <v>57</v>
      </c>
      <c r="AA904" t="s">
        <v>50</v>
      </c>
      <c r="AB904" t="s">
        <v>94</v>
      </c>
      <c r="AE904">
        <v>1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</row>
    <row r="905" spans="1:42" x14ac:dyDescent="0.25">
      <c r="A905">
        <v>1052</v>
      </c>
      <c r="B905" t="s">
        <v>1717</v>
      </c>
      <c r="C905" t="s">
        <v>1718</v>
      </c>
      <c r="D905" t="s">
        <v>117</v>
      </c>
      <c r="E905" s="4">
        <v>1</v>
      </c>
      <c r="F905" t="s">
        <v>101</v>
      </c>
      <c r="G905" t="s">
        <v>101</v>
      </c>
      <c r="H905" s="3">
        <v>46153</v>
      </c>
      <c r="I905" s="3">
        <v>46156</v>
      </c>
      <c r="J905" t="s">
        <v>418</v>
      </c>
      <c r="K905" s="3">
        <v>46156</v>
      </c>
      <c r="L905" s="3">
        <v>46153</v>
      </c>
      <c r="M905" s="3">
        <v>46156</v>
      </c>
      <c r="N905" s="3">
        <v>46156</v>
      </c>
      <c r="O905" t="s">
        <v>418</v>
      </c>
      <c r="P905" t="s">
        <v>55</v>
      </c>
      <c r="Q905" t="s">
        <v>1711</v>
      </c>
      <c r="S905" t="s">
        <v>1444</v>
      </c>
      <c r="T905" t="s">
        <v>1429</v>
      </c>
      <c r="U905">
        <v>1053</v>
      </c>
      <c r="V905" t="s">
        <v>127</v>
      </c>
      <c r="W905">
        <v>13.4</v>
      </c>
      <c r="X905" t="s">
        <v>57</v>
      </c>
      <c r="Z905" t="s">
        <v>1444</v>
      </c>
      <c r="AA905" t="s">
        <v>462</v>
      </c>
      <c r="AE905">
        <v>1</v>
      </c>
      <c r="AF905">
        <v>1</v>
      </c>
      <c r="AG905">
        <v>1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1</v>
      </c>
    </row>
    <row r="906" spans="1:42" x14ac:dyDescent="0.25">
      <c r="A906">
        <v>1053</v>
      </c>
      <c r="B906" t="s">
        <v>1719</v>
      </c>
      <c r="C906" t="s">
        <v>1718</v>
      </c>
      <c r="D906" t="s">
        <v>121</v>
      </c>
      <c r="E906" s="4">
        <v>1</v>
      </c>
      <c r="F906" t="s">
        <v>61</v>
      </c>
      <c r="G906" t="s">
        <v>61</v>
      </c>
      <c r="H906" s="3">
        <v>46156</v>
      </c>
      <c r="I906" s="3">
        <v>46156</v>
      </c>
      <c r="J906" t="s">
        <v>406</v>
      </c>
      <c r="K906" s="3">
        <v>46156</v>
      </c>
      <c r="L906" s="3">
        <v>46156</v>
      </c>
      <c r="M906" s="3">
        <v>46156</v>
      </c>
      <c r="N906" s="3">
        <v>46156</v>
      </c>
      <c r="O906" t="s">
        <v>406</v>
      </c>
      <c r="P906" t="s">
        <v>55</v>
      </c>
      <c r="Q906">
        <v>1052</v>
      </c>
      <c r="S906" t="s">
        <v>124</v>
      </c>
      <c r="T906" t="s">
        <v>1429</v>
      </c>
      <c r="U906">
        <v>1054</v>
      </c>
      <c r="V906" t="s">
        <v>122</v>
      </c>
      <c r="W906">
        <v>13.4</v>
      </c>
      <c r="X906" t="s">
        <v>57</v>
      </c>
      <c r="Z906" t="s">
        <v>124</v>
      </c>
      <c r="AA906" t="s">
        <v>217</v>
      </c>
      <c r="AE906">
        <v>1</v>
      </c>
      <c r="AF906">
        <v>0</v>
      </c>
      <c r="AG906">
        <v>0</v>
      </c>
      <c r="AH906">
        <v>0</v>
      </c>
      <c r="AI906">
        <v>0</v>
      </c>
      <c r="AJ906">
        <v>1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</row>
    <row r="907" spans="1:42" x14ac:dyDescent="0.25">
      <c r="A907">
        <v>1054</v>
      </c>
      <c r="B907" t="s">
        <v>1720</v>
      </c>
      <c r="C907" t="s">
        <v>1718</v>
      </c>
      <c r="D907" t="s">
        <v>126</v>
      </c>
      <c r="E907" s="4">
        <v>1</v>
      </c>
      <c r="F907" t="s">
        <v>61</v>
      </c>
      <c r="G907" t="s">
        <v>61</v>
      </c>
      <c r="H907" s="3">
        <v>46156</v>
      </c>
      <c r="I907" s="3">
        <v>46156</v>
      </c>
      <c r="J907" t="s">
        <v>406</v>
      </c>
      <c r="K907" s="3">
        <v>46156</v>
      </c>
      <c r="L907" s="3">
        <v>46156</v>
      </c>
      <c r="M907" s="3">
        <v>46156</v>
      </c>
      <c r="N907" s="3">
        <v>46156</v>
      </c>
      <c r="O907" t="s">
        <v>406</v>
      </c>
      <c r="P907" t="s">
        <v>55</v>
      </c>
      <c r="Q907">
        <v>1053</v>
      </c>
      <c r="S907" t="s">
        <v>1444</v>
      </c>
      <c r="T907" t="s">
        <v>1429</v>
      </c>
      <c r="U907">
        <v>1055</v>
      </c>
      <c r="V907" t="s">
        <v>61</v>
      </c>
      <c r="W907">
        <v>13.4</v>
      </c>
      <c r="X907" t="s">
        <v>57</v>
      </c>
      <c r="Z907" t="s">
        <v>1444</v>
      </c>
      <c r="AA907" t="s">
        <v>217</v>
      </c>
      <c r="AE907">
        <v>1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1</v>
      </c>
      <c r="AM907">
        <v>0</v>
      </c>
      <c r="AN907">
        <v>0</v>
      </c>
      <c r="AO907">
        <v>0</v>
      </c>
      <c r="AP907">
        <v>0</v>
      </c>
    </row>
    <row r="908" spans="1:42" x14ac:dyDescent="0.25">
      <c r="A908">
        <v>1055</v>
      </c>
      <c r="B908" t="s">
        <v>1721</v>
      </c>
      <c r="C908" t="s">
        <v>1718</v>
      </c>
      <c r="D908" t="s">
        <v>133</v>
      </c>
      <c r="E908" s="4">
        <v>1</v>
      </c>
      <c r="F908" t="s">
        <v>61</v>
      </c>
      <c r="G908" t="s">
        <v>61</v>
      </c>
      <c r="H908" s="3">
        <v>46156</v>
      </c>
      <c r="I908" s="3">
        <v>46156</v>
      </c>
      <c r="J908" t="s">
        <v>406</v>
      </c>
      <c r="K908" s="3">
        <v>46156</v>
      </c>
      <c r="L908" s="3">
        <v>46156</v>
      </c>
      <c r="M908" s="3">
        <v>46156</v>
      </c>
      <c r="N908" s="3">
        <v>46156</v>
      </c>
      <c r="O908" t="s">
        <v>406</v>
      </c>
      <c r="P908" t="s">
        <v>55</v>
      </c>
      <c r="Q908">
        <v>1054</v>
      </c>
      <c r="S908" t="s">
        <v>124</v>
      </c>
      <c r="T908" t="s">
        <v>1429</v>
      </c>
      <c r="V908" t="s">
        <v>61</v>
      </c>
      <c r="W908">
        <v>13.4</v>
      </c>
      <c r="X908" t="s">
        <v>57</v>
      </c>
      <c r="Z908" t="s">
        <v>124</v>
      </c>
      <c r="AA908" t="s">
        <v>217</v>
      </c>
      <c r="AE908">
        <v>1</v>
      </c>
      <c r="AF908">
        <v>0</v>
      </c>
      <c r="AG908">
        <v>0</v>
      </c>
      <c r="AH908">
        <v>0</v>
      </c>
      <c r="AI908">
        <v>1</v>
      </c>
      <c r="AJ908">
        <v>0</v>
      </c>
      <c r="AK908">
        <v>0</v>
      </c>
      <c r="AL908">
        <v>0</v>
      </c>
      <c r="AM908">
        <v>0</v>
      </c>
      <c r="AN908">
        <v>1</v>
      </c>
      <c r="AO908">
        <v>0</v>
      </c>
      <c r="AP908">
        <v>0</v>
      </c>
    </row>
    <row r="909" spans="1:42" x14ac:dyDescent="0.25">
      <c r="A909">
        <v>1056</v>
      </c>
      <c r="B909" t="s">
        <v>1722</v>
      </c>
      <c r="C909" t="s">
        <v>1655</v>
      </c>
      <c r="D909" t="s">
        <v>1723</v>
      </c>
      <c r="E909" s="4">
        <v>1</v>
      </c>
      <c r="F909" t="s">
        <v>101</v>
      </c>
      <c r="G909" t="s">
        <v>101</v>
      </c>
      <c r="H909" s="3">
        <v>46153</v>
      </c>
      <c r="I909" s="3">
        <v>46156</v>
      </c>
      <c r="J909" t="s">
        <v>418</v>
      </c>
      <c r="K909" s="3">
        <v>46156</v>
      </c>
      <c r="L909" s="3">
        <v>46153</v>
      </c>
      <c r="M909" s="3">
        <v>46156</v>
      </c>
      <c r="N909" s="3">
        <v>46156</v>
      </c>
      <c r="O909" t="s">
        <v>418</v>
      </c>
      <c r="P909" t="s">
        <v>55</v>
      </c>
      <c r="T909" t="s">
        <v>1429</v>
      </c>
      <c r="V909" t="s">
        <v>175</v>
      </c>
      <c r="X909" t="s">
        <v>57</v>
      </c>
      <c r="AA909" t="s">
        <v>50</v>
      </c>
      <c r="AB909" t="s">
        <v>94</v>
      </c>
      <c r="AE909">
        <v>1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</row>
    <row r="910" spans="1:42" x14ac:dyDescent="0.25">
      <c r="A910">
        <v>1057</v>
      </c>
      <c r="B910" t="s">
        <v>1724</v>
      </c>
      <c r="C910" t="s">
        <v>1725</v>
      </c>
      <c r="D910" t="s">
        <v>117</v>
      </c>
      <c r="E910" s="4">
        <v>1</v>
      </c>
      <c r="F910" t="s">
        <v>101</v>
      </c>
      <c r="G910" t="s">
        <v>101</v>
      </c>
      <c r="H910" s="3">
        <v>46153</v>
      </c>
      <c r="I910" s="3">
        <v>46156</v>
      </c>
      <c r="J910" t="s">
        <v>418</v>
      </c>
      <c r="K910" s="3">
        <v>46156</v>
      </c>
      <c r="L910" s="3">
        <v>46153</v>
      </c>
      <c r="M910" s="3">
        <v>46156</v>
      </c>
      <c r="N910" s="3">
        <v>46156</v>
      </c>
      <c r="O910" t="s">
        <v>418</v>
      </c>
      <c r="P910" t="s">
        <v>55</v>
      </c>
      <c r="Q910" t="s">
        <v>1711</v>
      </c>
      <c r="S910" t="s">
        <v>1444</v>
      </c>
      <c r="T910" t="s">
        <v>1429</v>
      </c>
      <c r="U910">
        <v>1058</v>
      </c>
      <c r="V910" t="s">
        <v>127</v>
      </c>
      <c r="W910">
        <v>13.4</v>
      </c>
      <c r="X910" t="s">
        <v>57</v>
      </c>
      <c r="Z910" t="s">
        <v>1444</v>
      </c>
      <c r="AA910" t="s">
        <v>462</v>
      </c>
      <c r="AE910">
        <v>1</v>
      </c>
      <c r="AF910">
        <v>1</v>
      </c>
      <c r="AG910">
        <v>1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1</v>
      </c>
    </row>
    <row r="911" spans="1:42" x14ac:dyDescent="0.25">
      <c r="A911">
        <v>1058</v>
      </c>
      <c r="B911" t="s">
        <v>1726</v>
      </c>
      <c r="C911" t="s">
        <v>1725</v>
      </c>
      <c r="D911" t="s">
        <v>121</v>
      </c>
      <c r="E911" s="4">
        <v>1</v>
      </c>
      <c r="F911" t="s">
        <v>61</v>
      </c>
      <c r="G911" t="s">
        <v>61</v>
      </c>
      <c r="H911" s="3">
        <v>46156</v>
      </c>
      <c r="I911" s="3">
        <v>46156</v>
      </c>
      <c r="J911" t="s">
        <v>406</v>
      </c>
      <c r="K911" s="3">
        <v>46156</v>
      </c>
      <c r="L911" s="3">
        <v>46156</v>
      </c>
      <c r="M911" s="3">
        <v>46156</v>
      </c>
      <c r="N911" s="3">
        <v>46156</v>
      </c>
      <c r="O911" t="s">
        <v>406</v>
      </c>
      <c r="P911" t="s">
        <v>55</v>
      </c>
      <c r="Q911">
        <v>1057</v>
      </c>
      <c r="S911" t="s">
        <v>124</v>
      </c>
      <c r="T911" t="s">
        <v>1429</v>
      </c>
      <c r="U911">
        <v>1059</v>
      </c>
      <c r="V911" t="s">
        <v>122</v>
      </c>
      <c r="W911">
        <v>13.4</v>
      </c>
      <c r="X911" t="s">
        <v>57</v>
      </c>
      <c r="Z911" t="s">
        <v>124</v>
      </c>
      <c r="AA911" t="s">
        <v>217</v>
      </c>
      <c r="AE911">
        <v>1</v>
      </c>
      <c r="AF911">
        <v>0</v>
      </c>
      <c r="AG911">
        <v>0</v>
      </c>
      <c r="AH911">
        <v>0</v>
      </c>
      <c r="AI911">
        <v>0</v>
      </c>
      <c r="AJ911">
        <v>1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</row>
    <row r="912" spans="1:42" x14ac:dyDescent="0.25">
      <c r="A912">
        <v>1059</v>
      </c>
      <c r="B912" t="s">
        <v>1727</v>
      </c>
      <c r="C912" t="s">
        <v>1725</v>
      </c>
      <c r="D912" t="s">
        <v>126</v>
      </c>
      <c r="E912" s="4">
        <v>1</v>
      </c>
      <c r="F912" t="s">
        <v>61</v>
      </c>
      <c r="G912" t="s">
        <v>61</v>
      </c>
      <c r="H912" s="3">
        <v>46156</v>
      </c>
      <c r="I912" s="3">
        <v>46156</v>
      </c>
      <c r="J912" t="s">
        <v>406</v>
      </c>
      <c r="K912" s="3">
        <v>46156</v>
      </c>
      <c r="L912" s="3">
        <v>46156</v>
      </c>
      <c r="M912" s="3">
        <v>46156</v>
      </c>
      <c r="N912" s="3">
        <v>46156</v>
      </c>
      <c r="O912" t="s">
        <v>406</v>
      </c>
      <c r="P912" t="s">
        <v>55</v>
      </c>
      <c r="Q912">
        <v>1058</v>
      </c>
      <c r="S912" t="s">
        <v>1444</v>
      </c>
      <c r="T912" t="s">
        <v>1429</v>
      </c>
      <c r="U912">
        <v>1060</v>
      </c>
      <c r="V912" t="s">
        <v>61</v>
      </c>
      <c r="W912">
        <v>13.4</v>
      </c>
      <c r="X912" t="s">
        <v>57</v>
      </c>
      <c r="Z912" t="s">
        <v>1444</v>
      </c>
      <c r="AA912" t="s">
        <v>217</v>
      </c>
      <c r="AE912">
        <v>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1</v>
      </c>
      <c r="AM912">
        <v>0</v>
      </c>
      <c r="AN912">
        <v>0</v>
      </c>
      <c r="AO912">
        <v>0</v>
      </c>
      <c r="AP912">
        <v>0</v>
      </c>
    </row>
    <row r="913" spans="1:42" x14ac:dyDescent="0.25">
      <c r="A913">
        <v>1060</v>
      </c>
      <c r="B913" t="s">
        <v>1728</v>
      </c>
      <c r="C913" t="s">
        <v>1725</v>
      </c>
      <c r="D913" t="s">
        <v>133</v>
      </c>
      <c r="E913" s="4">
        <v>1</v>
      </c>
      <c r="F913" t="s">
        <v>61</v>
      </c>
      <c r="G913" t="s">
        <v>61</v>
      </c>
      <c r="H913" s="3">
        <v>46156</v>
      </c>
      <c r="I913" s="3">
        <v>46156</v>
      </c>
      <c r="J913" t="s">
        <v>406</v>
      </c>
      <c r="K913" s="3">
        <v>46156</v>
      </c>
      <c r="L913" s="3">
        <v>46156</v>
      </c>
      <c r="M913" s="3">
        <v>46156</v>
      </c>
      <c r="N913" s="3">
        <v>46156</v>
      </c>
      <c r="O913" t="s">
        <v>406</v>
      </c>
      <c r="P913" t="s">
        <v>55</v>
      </c>
      <c r="Q913">
        <v>1059</v>
      </c>
      <c r="S913" t="s">
        <v>124</v>
      </c>
      <c r="T913" t="s">
        <v>1429</v>
      </c>
      <c r="V913" t="s">
        <v>61</v>
      </c>
      <c r="W913">
        <v>13.4</v>
      </c>
      <c r="X913" t="s">
        <v>57</v>
      </c>
      <c r="Z913" t="s">
        <v>124</v>
      </c>
      <c r="AA913" t="s">
        <v>217</v>
      </c>
      <c r="AE913">
        <v>1</v>
      </c>
      <c r="AF913">
        <v>0</v>
      </c>
      <c r="AG913">
        <v>0</v>
      </c>
      <c r="AH913">
        <v>0</v>
      </c>
      <c r="AI913">
        <v>1</v>
      </c>
      <c r="AJ913">
        <v>0</v>
      </c>
      <c r="AK913">
        <v>0</v>
      </c>
      <c r="AL913">
        <v>0</v>
      </c>
      <c r="AM913">
        <v>0</v>
      </c>
      <c r="AN913">
        <v>1</v>
      </c>
      <c r="AO913">
        <v>0</v>
      </c>
      <c r="AP913">
        <v>0</v>
      </c>
    </row>
    <row r="914" spans="1:42" x14ac:dyDescent="0.25">
      <c r="A914">
        <v>1061</v>
      </c>
      <c r="B914" t="s">
        <v>1729</v>
      </c>
      <c r="C914" t="s">
        <v>1655</v>
      </c>
      <c r="D914" t="s">
        <v>1730</v>
      </c>
      <c r="E914" s="4">
        <v>1</v>
      </c>
      <c r="F914" t="s">
        <v>101</v>
      </c>
      <c r="G914" t="s">
        <v>101</v>
      </c>
      <c r="H914" s="3">
        <v>46153</v>
      </c>
      <c r="I914" s="3">
        <v>46156</v>
      </c>
      <c r="J914" t="s">
        <v>418</v>
      </c>
      <c r="K914" s="3">
        <v>46156</v>
      </c>
      <c r="L914" s="3">
        <v>46153</v>
      </c>
      <c r="M914" s="3">
        <v>46156</v>
      </c>
      <c r="N914" s="3">
        <v>46156</v>
      </c>
      <c r="O914" t="s">
        <v>418</v>
      </c>
      <c r="P914" t="s">
        <v>55</v>
      </c>
      <c r="T914" t="s">
        <v>1429</v>
      </c>
      <c r="V914" t="s">
        <v>175</v>
      </c>
      <c r="X914" t="s">
        <v>57</v>
      </c>
      <c r="AA914" t="s">
        <v>50</v>
      </c>
      <c r="AB914" t="s">
        <v>94</v>
      </c>
      <c r="AE914">
        <v>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</row>
    <row r="915" spans="1:42" x14ac:dyDescent="0.25">
      <c r="A915">
        <v>1062</v>
      </c>
      <c r="B915" t="s">
        <v>1731</v>
      </c>
      <c r="C915" t="s">
        <v>1732</v>
      </c>
      <c r="D915" t="s">
        <v>117</v>
      </c>
      <c r="E915" s="4">
        <v>1</v>
      </c>
      <c r="F915" t="s">
        <v>101</v>
      </c>
      <c r="G915" t="s">
        <v>101</v>
      </c>
      <c r="H915" s="3">
        <v>46153</v>
      </c>
      <c r="I915" s="3">
        <v>46156</v>
      </c>
      <c r="J915" t="s">
        <v>418</v>
      </c>
      <c r="K915" s="3">
        <v>46156</v>
      </c>
      <c r="L915" s="3">
        <v>46153</v>
      </c>
      <c r="M915" s="3">
        <v>46156</v>
      </c>
      <c r="N915" s="3">
        <v>46156</v>
      </c>
      <c r="O915" t="s">
        <v>418</v>
      </c>
      <c r="P915" t="s">
        <v>55</v>
      </c>
      <c r="Q915" t="s">
        <v>1711</v>
      </c>
      <c r="S915" t="s">
        <v>1444</v>
      </c>
      <c r="T915" t="s">
        <v>1429</v>
      </c>
      <c r="U915">
        <v>1063</v>
      </c>
      <c r="V915" t="s">
        <v>127</v>
      </c>
      <c r="W915">
        <v>13.4</v>
      </c>
      <c r="X915" t="s">
        <v>57</v>
      </c>
      <c r="Z915" t="s">
        <v>1444</v>
      </c>
      <c r="AA915" t="s">
        <v>462</v>
      </c>
      <c r="AE915">
        <v>1</v>
      </c>
      <c r="AF915">
        <v>1</v>
      </c>
      <c r="AG915">
        <v>1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1</v>
      </c>
    </row>
    <row r="916" spans="1:42" x14ac:dyDescent="0.25">
      <c r="A916">
        <v>1063</v>
      </c>
      <c r="B916" t="s">
        <v>1733</v>
      </c>
      <c r="C916" t="s">
        <v>1732</v>
      </c>
      <c r="D916" t="s">
        <v>121</v>
      </c>
      <c r="E916" s="4">
        <v>1</v>
      </c>
      <c r="F916" t="s">
        <v>61</v>
      </c>
      <c r="G916" t="s">
        <v>61</v>
      </c>
      <c r="H916" s="3">
        <v>46156</v>
      </c>
      <c r="I916" s="3">
        <v>46156</v>
      </c>
      <c r="J916" t="s">
        <v>406</v>
      </c>
      <c r="K916" s="3">
        <v>46156</v>
      </c>
      <c r="L916" s="3">
        <v>46156</v>
      </c>
      <c r="M916" s="3">
        <v>46156</v>
      </c>
      <c r="N916" s="3">
        <v>46156</v>
      </c>
      <c r="O916" t="s">
        <v>406</v>
      </c>
      <c r="P916" t="s">
        <v>55</v>
      </c>
      <c r="Q916">
        <v>1062</v>
      </c>
      <c r="S916" t="s">
        <v>124</v>
      </c>
      <c r="T916" t="s">
        <v>1429</v>
      </c>
      <c r="U916">
        <v>1064</v>
      </c>
      <c r="V916" t="s">
        <v>122</v>
      </c>
      <c r="W916">
        <v>13.4</v>
      </c>
      <c r="X916" t="s">
        <v>57</v>
      </c>
      <c r="Z916" t="s">
        <v>124</v>
      </c>
      <c r="AA916" t="s">
        <v>217</v>
      </c>
      <c r="AE916">
        <v>1</v>
      </c>
      <c r="AF916">
        <v>0</v>
      </c>
      <c r="AG916">
        <v>0</v>
      </c>
      <c r="AH916">
        <v>0</v>
      </c>
      <c r="AI916">
        <v>0</v>
      </c>
      <c r="AJ916">
        <v>1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</row>
    <row r="917" spans="1:42" x14ac:dyDescent="0.25">
      <c r="A917">
        <v>1064</v>
      </c>
      <c r="B917" t="s">
        <v>1734</v>
      </c>
      <c r="C917" t="s">
        <v>1732</v>
      </c>
      <c r="D917" t="s">
        <v>126</v>
      </c>
      <c r="E917" s="4">
        <v>1</v>
      </c>
      <c r="F917" t="s">
        <v>61</v>
      </c>
      <c r="G917" t="s">
        <v>61</v>
      </c>
      <c r="H917" s="3">
        <v>46156</v>
      </c>
      <c r="I917" s="3">
        <v>46156</v>
      </c>
      <c r="J917" t="s">
        <v>406</v>
      </c>
      <c r="K917" s="3">
        <v>46156</v>
      </c>
      <c r="L917" s="3">
        <v>46156</v>
      </c>
      <c r="M917" s="3">
        <v>46156</v>
      </c>
      <c r="N917" s="3">
        <v>46156</v>
      </c>
      <c r="O917" t="s">
        <v>406</v>
      </c>
      <c r="P917" t="s">
        <v>55</v>
      </c>
      <c r="Q917">
        <v>1063</v>
      </c>
      <c r="S917" t="s">
        <v>1444</v>
      </c>
      <c r="T917" t="s">
        <v>1429</v>
      </c>
      <c r="U917">
        <v>1065</v>
      </c>
      <c r="V917" t="s">
        <v>61</v>
      </c>
      <c r="W917">
        <v>13.4</v>
      </c>
      <c r="X917" t="s">
        <v>57</v>
      </c>
      <c r="Z917" t="s">
        <v>1444</v>
      </c>
      <c r="AA917" t="s">
        <v>217</v>
      </c>
      <c r="AE917">
        <v>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1</v>
      </c>
      <c r="AM917">
        <v>0</v>
      </c>
      <c r="AN917">
        <v>0</v>
      </c>
      <c r="AO917">
        <v>0</v>
      </c>
      <c r="AP917">
        <v>0</v>
      </c>
    </row>
    <row r="918" spans="1:42" x14ac:dyDescent="0.25">
      <c r="A918">
        <v>1065</v>
      </c>
      <c r="B918" t="s">
        <v>1735</v>
      </c>
      <c r="C918" t="s">
        <v>1732</v>
      </c>
      <c r="D918" t="s">
        <v>133</v>
      </c>
      <c r="E918" s="4">
        <v>1</v>
      </c>
      <c r="F918" t="s">
        <v>61</v>
      </c>
      <c r="G918" t="s">
        <v>61</v>
      </c>
      <c r="H918" s="3">
        <v>46156</v>
      </c>
      <c r="I918" s="3">
        <v>46156</v>
      </c>
      <c r="J918" t="s">
        <v>406</v>
      </c>
      <c r="K918" s="3">
        <v>46156</v>
      </c>
      <c r="L918" s="3">
        <v>46156</v>
      </c>
      <c r="M918" s="3">
        <v>46156</v>
      </c>
      <c r="N918" s="3">
        <v>46156</v>
      </c>
      <c r="O918" t="s">
        <v>406</v>
      </c>
      <c r="P918" t="s">
        <v>55</v>
      </c>
      <c r="Q918">
        <v>1064</v>
      </c>
      <c r="S918" t="s">
        <v>124</v>
      </c>
      <c r="T918" t="s">
        <v>1429</v>
      </c>
      <c r="V918" t="s">
        <v>61</v>
      </c>
      <c r="W918">
        <v>13.4</v>
      </c>
      <c r="X918" t="s">
        <v>57</v>
      </c>
      <c r="Z918" t="s">
        <v>124</v>
      </c>
      <c r="AA918" t="s">
        <v>217</v>
      </c>
      <c r="AE918">
        <v>1</v>
      </c>
      <c r="AF918">
        <v>0</v>
      </c>
      <c r="AG918">
        <v>0</v>
      </c>
      <c r="AH918">
        <v>0</v>
      </c>
      <c r="AI918">
        <v>1</v>
      </c>
      <c r="AJ918">
        <v>0</v>
      </c>
      <c r="AK918">
        <v>0</v>
      </c>
      <c r="AL918">
        <v>0</v>
      </c>
      <c r="AM918">
        <v>0</v>
      </c>
      <c r="AN918">
        <v>1</v>
      </c>
      <c r="AO918">
        <v>0</v>
      </c>
      <c r="AP918">
        <v>0</v>
      </c>
    </row>
    <row r="919" spans="1:42" x14ac:dyDescent="0.25">
      <c r="A919">
        <v>1066</v>
      </c>
      <c r="B919" t="s">
        <v>1736</v>
      </c>
      <c r="C919" t="s">
        <v>1655</v>
      </c>
      <c r="D919" t="s">
        <v>1737</v>
      </c>
      <c r="E919" s="4">
        <v>1</v>
      </c>
      <c r="F919" t="s">
        <v>101</v>
      </c>
      <c r="G919" t="s">
        <v>101</v>
      </c>
      <c r="H919" s="3">
        <v>46153</v>
      </c>
      <c r="I919" s="3">
        <v>46156</v>
      </c>
      <c r="J919" t="s">
        <v>418</v>
      </c>
      <c r="K919" s="3">
        <v>46156</v>
      </c>
      <c r="L919" s="3">
        <v>46153</v>
      </c>
      <c r="M919" s="3">
        <v>46156</v>
      </c>
      <c r="N919" s="3">
        <v>46156</v>
      </c>
      <c r="O919" t="s">
        <v>418</v>
      </c>
      <c r="P919" t="s">
        <v>55</v>
      </c>
      <c r="T919" t="s">
        <v>1429</v>
      </c>
      <c r="V919" t="s">
        <v>175</v>
      </c>
      <c r="X919" t="s">
        <v>57</v>
      </c>
      <c r="AA919" t="s">
        <v>50</v>
      </c>
      <c r="AB919" t="s">
        <v>94</v>
      </c>
      <c r="AE919">
        <v>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</row>
    <row r="920" spans="1:42" x14ac:dyDescent="0.25">
      <c r="A920">
        <v>1067</v>
      </c>
      <c r="B920" t="s">
        <v>1738</v>
      </c>
      <c r="C920" t="s">
        <v>1739</v>
      </c>
      <c r="D920" t="s">
        <v>117</v>
      </c>
      <c r="E920" s="4">
        <v>1</v>
      </c>
      <c r="F920" t="s">
        <v>101</v>
      </c>
      <c r="G920" t="s">
        <v>101</v>
      </c>
      <c r="H920" s="3">
        <v>46153</v>
      </c>
      <c r="I920" s="3">
        <v>46156</v>
      </c>
      <c r="J920" t="s">
        <v>418</v>
      </c>
      <c r="K920" s="3">
        <v>46156</v>
      </c>
      <c r="L920" s="3">
        <v>46153</v>
      </c>
      <c r="M920" s="3">
        <v>46156</v>
      </c>
      <c r="N920" s="3">
        <v>46156</v>
      </c>
      <c r="O920" t="s">
        <v>418</v>
      </c>
      <c r="P920" t="s">
        <v>55</v>
      </c>
      <c r="Q920" t="s">
        <v>1711</v>
      </c>
      <c r="S920" t="s">
        <v>1444</v>
      </c>
      <c r="T920" t="s">
        <v>1429</v>
      </c>
      <c r="U920">
        <v>1068</v>
      </c>
      <c r="V920" t="s">
        <v>127</v>
      </c>
      <c r="W920">
        <v>13.4</v>
      </c>
      <c r="X920" t="s">
        <v>57</v>
      </c>
      <c r="Z920" t="s">
        <v>1444</v>
      </c>
      <c r="AA920" t="s">
        <v>462</v>
      </c>
      <c r="AE920">
        <v>1</v>
      </c>
      <c r="AF920">
        <v>1</v>
      </c>
      <c r="AG920">
        <v>1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1</v>
      </c>
    </row>
    <row r="921" spans="1:42" x14ac:dyDescent="0.25">
      <c r="A921">
        <v>1068</v>
      </c>
      <c r="B921" t="s">
        <v>1740</v>
      </c>
      <c r="C921" t="s">
        <v>1739</v>
      </c>
      <c r="D921" t="s">
        <v>121</v>
      </c>
      <c r="E921" s="4">
        <v>1</v>
      </c>
      <c r="F921" t="s">
        <v>61</v>
      </c>
      <c r="G921" t="s">
        <v>61</v>
      </c>
      <c r="H921" s="3">
        <v>46156</v>
      </c>
      <c r="I921" s="3">
        <v>46156</v>
      </c>
      <c r="J921" t="s">
        <v>406</v>
      </c>
      <c r="K921" s="3">
        <v>46156</v>
      </c>
      <c r="L921" s="3">
        <v>46156</v>
      </c>
      <c r="M921" s="3">
        <v>46156</v>
      </c>
      <c r="N921" s="3">
        <v>46156</v>
      </c>
      <c r="O921" t="s">
        <v>406</v>
      </c>
      <c r="P921" t="s">
        <v>55</v>
      </c>
      <c r="Q921">
        <v>1067</v>
      </c>
      <c r="S921" t="s">
        <v>124</v>
      </c>
      <c r="T921" t="s">
        <v>1429</v>
      </c>
      <c r="U921">
        <v>1069</v>
      </c>
      <c r="V921" t="s">
        <v>122</v>
      </c>
      <c r="W921">
        <v>13.4</v>
      </c>
      <c r="X921" t="s">
        <v>57</v>
      </c>
      <c r="Z921" t="s">
        <v>124</v>
      </c>
      <c r="AA921" t="s">
        <v>217</v>
      </c>
      <c r="AE921">
        <v>1</v>
      </c>
      <c r="AF921">
        <v>0</v>
      </c>
      <c r="AG921">
        <v>0</v>
      </c>
      <c r="AH921">
        <v>0</v>
      </c>
      <c r="AI921">
        <v>0</v>
      </c>
      <c r="AJ921">
        <v>1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</row>
    <row r="922" spans="1:42" x14ac:dyDescent="0.25">
      <c r="A922">
        <v>1069</v>
      </c>
      <c r="B922" t="s">
        <v>1741</v>
      </c>
      <c r="C922" t="s">
        <v>1739</v>
      </c>
      <c r="D922" t="s">
        <v>126</v>
      </c>
      <c r="E922" s="4">
        <v>1</v>
      </c>
      <c r="F922" t="s">
        <v>61</v>
      </c>
      <c r="G922" t="s">
        <v>61</v>
      </c>
      <c r="H922" s="3">
        <v>46156</v>
      </c>
      <c r="I922" s="3">
        <v>46156</v>
      </c>
      <c r="J922" t="s">
        <v>406</v>
      </c>
      <c r="K922" s="3">
        <v>46156</v>
      </c>
      <c r="L922" s="3">
        <v>46156</v>
      </c>
      <c r="M922" s="3">
        <v>46156</v>
      </c>
      <c r="N922" s="3">
        <v>46156</v>
      </c>
      <c r="O922" t="s">
        <v>406</v>
      </c>
      <c r="P922" t="s">
        <v>55</v>
      </c>
      <c r="Q922">
        <v>1068</v>
      </c>
      <c r="S922" t="s">
        <v>1444</v>
      </c>
      <c r="T922" t="s">
        <v>1429</v>
      </c>
      <c r="U922">
        <v>1070</v>
      </c>
      <c r="V922" t="s">
        <v>61</v>
      </c>
      <c r="W922">
        <v>13.4</v>
      </c>
      <c r="X922" t="s">
        <v>57</v>
      </c>
      <c r="Z922" t="s">
        <v>1444</v>
      </c>
      <c r="AA922" t="s">
        <v>217</v>
      </c>
      <c r="AE922">
        <v>1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1</v>
      </c>
      <c r="AM922">
        <v>0</v>
      </c>
      <c r="AN922">
        <v>0</v>
      </c>
      <c r="AO922">
        <v>0</v>
      </c>
      <c r="AP922">
        <v>0</v>
      </c>
    </row>
    <row r="923" spans="1:42" x14ac:dyDescent="0.25">
      <c r="A923">
        <v>1070</v>
      </c>
      <c r="B923" t="s">
        <v>1742</v>
      </c>
      <c r="C923" t="s">
        <v>1739</v>
      </c>
      <c r="D923" t="s">
        <v>133</v>
      </c>
      <c r="E923" s="4">
        <v>1</v>
      </c>
      <c r="F923" t="s">
        <v>61</v>
      </c>
      <c r="G923" t="s">
        <v>61</v>
      </c>
      <c r="H923" s="3">
        <v>46156</v>
      </c>
      <c r="I923" s="3">
        <v>46156</v>
      </c>
      <c r="J923" t="s">
        <v>406</v>
      </c>
      <c r="K923" s="3">
        <v>46156</v>
      </c>
      <c r="L923" s="3">
        <v>46156</v>
      </c>
      <c r="M923" s="3">
        <v>46156</v>
      </c>
      <c r="N923" s="3">
        <v>46156</v>
      </c>
      <c r="O923" t="s">
        <v>406</v>
      </c>
      <c r="P923" t="s">
        <v>55</v>
      </c>
      <c r="Q923">
        <v>1069</v>
      </c>
      <c r="S923" t="s">
        <v>124</v>
      </c>
      <c r="T923" t="s">
        <v>1429</v>
      </c>
      <c r="V923" t="s">
        <v>61</v>
      </c>
      <c r="W923">
        <v>13.4</v>
      </c>
      <c r="X923" t="s">
        <v>57</v>
      </c>
      <c r="Z923" t="s">
        <v>124</v>
      </c>
      <c r="AA923" t="s">
        <v>217</v>
      </c>
      <c r="AE923">
        <v>1</v>
      </c>
      <c r="AF923">
        <v>0</v>
      </c>
      <c r="AG923">
        <v>0</v>
      </c>
      <c r="AH923">
        <v>0</v>
      </c>
      <c r="AI923">
        <v>1</v>
      </c>
      <c r="AJ923">
        <v>0</v>
      </c>
      <c r="AK923">
        <v>0</v>
      </c>
      <c r="AL923">
        <v>0</v>
      </c>
      <c r="AM923">
        <v>0</v>
      </c>
      <c r="AN923">
        <v>1</v>
      </c>
      <c r="AO923">
        <v>0</v>
      </c>
      <c r="AP923">
        <v>0</v>
      </c>
    </row>
    <row r="924" spans="1:42" x14ac:dyDescent="0.25">
      <c r="A924">
        <v>1071</v>
      </c>
      <c r="B924" t="s">
        <v>1743</v>
      </c>
      <c r="C924" t="s">
        <v>1655</v>
      </c>
      <c r="D924" t="s">
        <v>1744</v>
      </c>
      <c r="E924" s="4">
        <v>1</v>
      </c>
      <c r="F924" t="s">
        <v>101</v>
      </c>
      <c r="G924" t="s">
        <v>101</v>
      </c>
      <c r="H924" s="3">
        <v>46153</v>
      </c>
      <c r="I924" s="3">
        <v>46156</v>
      </c>
      <c r="J924" t="s">
        <v>418</v>
      </c>
      <c r="K924" s="3">
        <v>46156</v>
      </c>
      <c r="L924" s="3">
        <v>46153</v>
      </c>
      <c r="M924" s="3">
        <v>46156</v>
      </c>
      <c r="N924" s="3">
        <v>46156</v>
      </c>
      <c r="O924" t="s">
        <v>418</v>
      </c>
      <c r="P924" t="s">
        <v>55</v>
      </c>
      <c r="T924" t="s">
        <v>1429</v>
      </c>
      <c r="V924" t="s">
        <v>175</v>
      </c>
      <c r="X924" t="s">
        <v>57</v>
      </c>
      <c r="AA924" t="s">
        <v>50</v>
      </c>
      <c r="AB924" t="s">
        <v>94</v>
      </c>
      <c r="AE924">
        <v>1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</row>
    <row r="925" spans="1:42" x14ac:dyDescent="0.25">
      <c r="A925">
        <v>1072</v>
      </c>
      <c r="B925" t="s">
        <v>1745</v>
      </c>
      <c r="C925" t="s">
        <v>1746</v>
      </c>
      <c r="D925" t="s">
        <v>117</v>
      </c>
      <c r="E925" s="4">
        <v>1</v>
      </c>
      <c r="F925" t="s">
        <v>101</v>
      </c>
      <c r="G925" t="s">
        <v>101</v>
      </c>
      <c r="H925" s="3">
        <v>46153</v>
      </c>
      <c r="I925" s="3">
        <v>46156</v>
      </c>
      <c r="J925" t="s">
        <v>418</v>
      </c>
      <c r="K925" s="3">
        <v>46156</v>
      </c>
      <c r="L925" s="3">
        <v>46153</v>
      </c>
      <c r="M925" s="3">
        <v>46156</v>
      </c>
      <c r="N925" s="3">
        <v>46156</v>
      </c>
      <c r="O925" t="s">
        <v>418</v>
      </c>
      <c r="P925" t="s">
        <v>55</v>
      </c>
      <c r="Q925" t="s">
        <v>1711</v>
      </c>
      <c r="S925" t="s">
        <v>1444</v>
      </c>
      <c r="T925" t="s">
        <v>1429</v>
      </c>
      <c r="U925">
        <v>1073</v>
      </c>
      <c r="V925" t="s">
        <v>127</v>
      </c>
      <c r="W925">
        <v>13.4</v>
      </c>
      <c r="X925" t="s">
        <v>57</v>
      </c>
      <c r="Z925" t="s">
        <v>1444</v>
      </c>
      <c r="AA925" t="s">
        <v>462</v>
      </c>
      <c r="AE925">
        <v>1</v>
      </c>
      <c r="AF925">
        <v>1</v>
      </c>
      <c r="AG925">
        <v>1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1</v>
      </c>
    </row>
    <row r="926" spans="1:42" x14ac:dyDescent="0.25">
      <c r="A926">
        <v>1073</v>
      </c>
      <c r="B926" t="s">
        <v>1747</v>
      </c>
      <c r="C926" t="s">
        <v>1746</v>
      </c>
      <c r="D926" t="s">
        <v>121</v>
      </c>
      <c r="E926" s="4">
        <v>1</v>
      </c>
      <c r="F926" t="s">
        <v>61</v>
      </c>
      <c r="G926" t="s">
        <v>61</v>
      </c>
      <c r="H926" s="3">
        <v>46156</v>
      </c>
      <c r="I926" s="3">
        <v>46156</v>
      </c>
      <c r="J926" t="s">
        <v>406</v>
      </c>
      <c r="K926" s="3">
        <v>46156</v>
      </c>
      <c r="L926" s="3">
        <v>46156</v>
      </c>
      <c r="M926" s="3">
        <v>46156</v>
      </c>
      <c r="N926" s="3">
        <v>46156</v>
      </c>
      <c r="O926" t="s">
        <v>406</v>
      </c>
      <c r="P926" t="s">
        <v>55</v>
      </c>
      <c r="Q926">
        <v>1072</v>
      </c>
      <c r="S926" t="s">
        <v>124</v>
      </c>
      <c r="T926" t="s">
        <v>1429</v>
      </c>
      <c r="U926">
        <v>1074</v>
      </c>
      <c r="V926" t="s">
        <v>122</v>
      </c>
      <c r="W926">
        <v>13.4</v>
      </c>
      <c r="X926" t="s">
        <v>57</v>
      </c>
      <c r="Z926" t="s">
        <v>124</v>
      </c>
      <c r="AA926" t="s">
        <v>217</v>
      </c>
      <c r="AE926">
        <v>1</v>
      </c>
      <c r="AF926">
        <v>0</v>
      </c>
      <c r="AG926">
        <v>0</v>
      </c>
      <c r="AH926">
        <v>0</v>
      </c>
      <c r="AI926">
        <v>0</v>
      </c>
      <c r="AJ926">
        <v>1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</row>
    <row r="927" spans="1:42" x14ac:dyDescent="0.25">
      <c r="A927">
        <v>1074</v>
      </c>
      <c r="B927" t="s">
        <v>1748</v>
      </c>
      <c r="C927" t="s">
        <v>1746</v>
      </c>
      <c r="D927" t="s">
        <v>126</v>
      </c>
      <c r="E927" s="4">
        <v>1</v>
      </c>
      <c r="F927" t="s">
        <v>61</v>
      </c>
      <c r="G927" t="s">
        <v>61</v>
      </c>
      <c r="H927" s="3">
        <v>46156</v>
      </c>
      <c r="I927" s="3">
        <v>46156</v>
      </c>
      <c r="J927" t="s">
        <v>406</v>
      </c>
      <c r="K927" s="3">
        <v>46156</v>
      </c>
      <c r="L927" s="3">
        <v>46156</v>
      </c>
      <c r="M927" s="3">
        <v>46156</v>
      </c>
      <c r="N927" s="3">
        <v>46156</v>
      </c>
      <c r="O927" t="s">
        <v>406</v>
      </c>
      <c r="P927" t="s">
        <v>55</v>
      </c>
      <c r="Q927">
        <v>1073</v>
      </c>
      <c r="S927" t="s">
        <v>1444</v>
      </c>
      <c r="T927" t="s">
        <v>1429</v>
      </c>
      <c r="U927">
        <v>1075</v>
      </c>
      <c r="V927" t="s">
        <v>61</v>
      </c>
      <c r="W927">
        <v>13.4</v>
      </c>
      <c r="X927" t="s">
        <v>57</v>
      </c>
      <c r="Z927" t="s">
        <v>1444</v>
      </c>
      <c r="AA927" t="s">
        <v>217</v>
      </c>
      <c r="AE927">
        <v>1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1</v>
      </c>
      <c r="AM927">
        <v>0</v>
      </c>
      <c r="AN927">
        <v>0</v>
      </c>
      <c r="AO927">
        <v>0</v>
      </c>
      <c r="AP927">
        <v>0</v>
      </c>
    </row>
    <row r="928" spans="1:42" x14ac:dyDescent="0.25">
      <c r="A928">
        <v>1075</v>
      </c>
      <c r="B928" t="s">
        <v>1749</v>
      </c>
      <c r="C928" t="s">
        <v>1746</v>
      </c>
      <c r="D928" t="s">
        <v>133</v>
      </c>
      <c r="E928" s="4">
        <v>1</v>
      </c>
      <c r="F928" t="s">
        <v>61</v>
      </c>
      <c r="G928" t="s">
        <v>61</v>
      </c>
      <c r="H928" s="3">
        <v>46156</v>
      </c>
      <c r="I928" s="3">
        <v>46156</v>
      </c>
      <c r="J928" t="s">
        <v>406</v>
      </c>
      <c r="K928" s="3">
        <v>46156</v>
      </c>
      <c r="L928" s="3">
        <v>46156</v>
      </c>
      <c r="M928" s="3">
        <v>46156</v>
      </c>
      <c r="N928" s="3">
        <v>46156</v>
      </c>
      <c r="O928" t="s">
        <v>406</v>
      </c>
      <c r="P928" t="s">
        <v>55</v>
      </c>
      <c r="Q928">
        <v>1074</v>
      </c>
      <c r="S928" t="s">
        <v>124</v>
      </c>
      <c r="T928" t="s">
        <v>1429</v>
      </c>
      <c r="V928" t="s">
        <v>61</v>
      </c>
      <c r="W928">
        <v>13.4</v>
      </c>
      <c r="X928" t="s">
        <v>57</v>
      </c>
      <c r="Z928" t="s">
        <v>124</v>
      </c>
      <c r="AA928" t="s">
        <v>217</v>
      </c>
      <c r="AE928">
        <v>1</v>
      </c>
      <c r="AF928">
        <v>0</v>
      </c>
      <c r="AG928">
        <v>0</v>
      </c>
      <c r="AH928">
        <v>0</v>
      </c>
      <c r="AI928">
        <v>1</v>
      </c>
      <c r="AJ928">
        <v>0</v>
      </c>
      <c r="AK928">
        <v>0</v>
      </c>
      <c r="AL928">
        <v>0</v>
      </c>
      <c r="AM928">
        <v>0</v>
      </c>
      <c r="AN928">
        <v>1</v>
      </c>
      <c r="AO928">
        <v>0</v>
      </c>
      <c r="AP928">
        <v>0</v>
      </c>
    </row>
    <row r="929" spans="1:42" x14ac:dyDescent="0.25">
      <c r="A929">
        <v>1076</v>
      </c>
      <c r="B929" t="s">
        <v>1750</v>
      </c>
      <c r="C929" t="s">
        <v>1655</v>
      </c>
      <c r="D929" t="s">
        <v>1751</v>
      </c>
      <c r="E929" s="4">
        <v>1</v>
      </c>
      <c r="F929" t="s">
        <v>101</v>
      </c>
      <c r="G929" t="s">
        <v>101</v>
      </c>
      <c r="H929" s="3">
        <v>46153</v>
      </c>
      <c r="I929" s="3">
        <v>46156</v>
      </c>
      <c r="J929" t="s">
        <v>418</v>
      </c>
      <c r="K929" s="3">
        <v>46156</v>
      </c>
      <c r="L929" s="3">
        <v>46153</v>
      </c>
      <c r="M929" s="3">
        <v>46156</v>
      </c>
      <c r="N929" s="3">
        <v>46156</v>
      </c>
      <c r="O929" t="s">
        <v>418</v>
      </c>
      <c r="P929" t="s">
        <v>55</v>
      </c>
      <c r="T929" t="s">
        <v>1429</v>
      </c>
      <c r="V929" t="s">
        <v>175</v>
      </c>
      <c r="X929" t="s">
        <v>57</v>
      </c>
      <c r="AA929" t="s">
        <v>50</v>
      </c>
      <c r="AB929" t="s">
        <v>94</v>
      </c>
      <c r="AE929">
        <v>1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</row>
    <row r="930" spans="1:42" x14ac:dyDescent="0.25">
      <c r="A930">
        <v>1077</v>
      </c>
      <c r="B930" t="s">
        <v>1752</v>
      </c>
      <c r="C930" t="s">
        <v>1753</v>
      </c>
      <c r="D930" t="s">
        <v>117</v>
      </c>
      <c r="E930" s="4">
        <v>1</v>
      </c>
      <c r="F930" t="s">
        <v>101</v>
      </c>
      <c r="G930" t="s">
        <v>101</v>
      </c>
      <c r="H930" s="3">
        <v>46153</v>
      </c>
      <c r="I930" s="3">
        <v>46156</v>
      </c>
      <c r="J930" t="s">
        <v>418</v>
      </c>
      <c r="K930" s="3">
        <v>46156</v>
      </c>
      <c r="L930" s="3">
        <v>46153</v>
      </c>
      <c r="M930" s="3">
        <v>46156</v>
      </c>
      <c r="N930" s="3">
        <v>46156</v>
      </c>
      <c r="O930" t="s">
        <v>418</v>
      </c>
      <c r="P930" t="s">
        <v>55</v>
      </c>
      <c r="Q930" t="s">
        <v>1711</v>
      </c>
      <c r="S930" t="s">
        <v>1444</v>
      </c>
      <c r="T930" t="s">
        <v>1429</v>
      </c>
      <c r="U930">
        <v>1078</v>
      </c>
      <c r="V930" t="s">
        <v>127</v>
      </c>
      <c r="W930">
        <v>13.4</v>
      </c>
      <c r="X930" t="s">
        <v>57</v>
      </c>
      <c r="Z930" t="s">
        <v>1444</v>
      </c>
      <c r="AA930" t="s">
        <v>462</v>
      </c>
      <c r="AE930">
        <v>1</v>
      </c>
      <c r="AF930">
        <v>1</v>
      </c>
      <c r="AG930">
        <v>1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1</v>
      </c>
    </row>
    <row r="931" spans="1:42" x14ac:dyDescent="0.25">
      <c r="A931">
        <v>1078</v>
      </c>
      <c r="B931" t="s">
        <v>1754</v>
      </c>
      <c r="C931" t="s">
        <v>1753</v>
      </c>
      <c r="D931" t="s">
        <v>121</v>
      </c>
      <c r="E931" s="4">
        <v>1</v>
      </c>
      <c r="F931" t="s">
        <v>61</v>
      </c>
      <c r="G931" t="s">
        <v>61</v>
      </c>
      <c r="H931" s="3">
        <v>46156</v>
      </c>
      <c r="I931" s="3">
        <v>46156</v>
      </c>
      <c r="J931" t="s">
        <v>406</v>
      </c>
      <c r="K931" s="3">
        <v>46156</v>
      </c>
      <c r="L931" s="3">
        <v>46156</v>
      </c>
      <c r="M931" s="3">
        <v>46156</v>
      </c>
      <c r="N931" s="3">
        <v>46156</v>
      </c>
      <c r="O931" t="s">
        <v>406</v>
      </c>
      <c r="P931" t="s">
        <v>55</v>
      </c>
      <c r="Q931">
        <v>1077</v>
      </c>
      <c r="S931" t="s">
        <v>124</v>
      </c>
      <c r="T931" t="s">
        <v>1429</v>
      </c>
      <c r="U931">
        <v>1079</v>
      </c>
      <c r="V931" t="s">
        <v>122</v>
      </c>
      <c r="W931">
        <v>13.4</v>
      </c>
      <c r="X931" t="s">
        <v>57</v>
      </c>
      <c r="Z931" t="s">
        <v>124</v>
      </c>
      <c r="AA931" t="s">
        <v>217</v>
      </c>
      <c r="AE931">
        <v>1</v>
      </c>
      <c r="AF931">
        <v>0</v>
      </c>
      <c r="AG931">
        <v>0</v>
      </c>
      <c r="AH931">
        <v>0</v>
      </c>
      <c r="AI931">
        <v>0</v>
      </c>
      <c r="AJ931">
        <v>1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</row>
    <row r="932" spans="1:42" x14ac:dyDescent="0.25">
      <c r="A932">
        <v>1079</v>
      </c>
      <c r="B932" t="s">
        <v>1755</v>
      </c>
      <c r="C932" t="s">
        <v>1753</v>
      </c>
      <c r="D932" t="s">
        <v>126</v>
      </c>
      <c r="E932" s="4">
        <v>1</v>
      </c>
      <c r="F932" t="s">
        <v>61</v>
      </c>
      <c r="G932" t="s">
        <v>61</v>
      </c>
      <c r="H932" s="3">
        <v>46156</v>
      </c>
      <c r="I932" s="3">
        <v>46156</v>
      </c>
      <c r="J932" t="s">
        <v>406</v>
      </c>
      <c r="K932" s="3">
        <v>46156</v>
      </c>
      <c r="L932" s="3">
        <v>46156</v>
      </c>
      <c r="M932" s="3">
        <v>46156</v>
      </c>
      <c r="N932" s="3">
        <v>46156</v>
      </c>
      <c r="O932" t="s">
        <v>406</v>
      </c>
      <c r="P932" t="s">
        <v>55</v>
      </c>
      <c r="Q932">
        <v>1078</v>
      </c>
      <c r="S932" t="s">
        <v>1444</v>
      </c>
      <c r="T932" t="s">
        <v>1429</v>
      </c>
      <c r="U932">
        <v>1080</v>
      </c>
      <c r="V932" t="s">
        <v>61</v>
      </c>
      <c r="W932">
        <v>13.4</v>
      </c>
      <c r="X932" t="s">
        <v>57</v>
      </c>
      <c r="Z932" t="s">
        <v>1444</v>
      </c>
      <c r="AA932" t="s">
        <v>217</v>
      </c>
      <c r="AE932">
        <v>1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1</v>
      </c>
      <c r="AM932">
        <v>0</v>
      </c>
      <c r="AN932">
        <v>0</v>
      </c>
      <c r="AO932">
        <v>0</v>
      </c>
      <c r="AP932">
        <v>0</v>
      </c>
    </row>
    <row r="933" spans="1:42" x14ac:dyDescent="0.25">
      <c r="A933">
        <v>1080</v>
      </c>
      <c r="B933" t="s">
        <v>1756</v>
      </c>
      <c r="C933" t="s">
        <v>1753</v>
      </c>
      <c r="D933" t="s">
        <v>133</v>
      </c>
      <c r="E933" s="4">
        <v>1</v>
      </c>
      <c r="F933" t="s">
        <v>61</v>
      </c>
      <c r="G933" t="s">
        <v>61</v>
      </c>
      <c r="H933" s="3">
        <v>46156</v>
      </c>
      <c r="I933" s="3">
        <v>46156</v>
      </c>
      <c r="J933" t="s">
        <v>406</v>
      </c>
      <c r="K933" s="3">
        <v>46156</v>
      </c>
      <c r="L933" s="3">
        <v>46156</v>
      </c>
      <c r="M933" s="3">
        <v>46156</v>
      </c>
      <c r="N933" s="3">
        <v>46156</v>
      </c>
      <c r="O933" t="s">
        <v>406</v>
      </c>
      <c r="P933" t="s">
        <v>55</v>
      </c>
      <c r="Q933">
        <v>1079</v>
      </c>
      <c r="S933" t="s">
        <v>124</v>
      </c>
      <c r="T933" t="s">
        <v>1429</v>
      </c>
      <c r="V933" t="s">
        <v>61</v>
      </c>
      <c r="W933">
        <v>13.4</v>
      </c>
      <c r="X933" t="s">
        <v>57</v>
      </c>
      <c r="Z933" t="s">
        <v>124</v>
      </c>
      <c r="AA933" t="s">
        <v>217</v>
      </c>
      <c r="AE933">
        <v>1</v>
      </c>
      <c r="AF933">
        <v>0</v>
      </c>
      <c r="AG933">
        <v>0</v>
      </c>
      <c r="AH933">
        <v>0</v>
      </c>
      <c r="AI933">
        <v>1</v>
      </c>
      <c r="AJ933">
        <v>0</v>
      </c>
      <c r="AK933">
        <v>0</v>
      </c>
      <c r="AL933">
        <v>0</v>
      </c>
      <c r="AM933">
        <v>0</v>
      </c>
      <c r="AN933">
        <v>1</v>
      </c>
      <c r="AO933">
        <v>0</v>
      </c>
      <c r="AP933">
        <v>0</v>
      </c>
    </row>
    <row r="934" spans="1:42" x14ac:dyDescent="0.25">
      <c r="A934">
        <v>1081</v>
      </c>
      <c r="B934" t="s">
        <v>1757</v>
      </c>
      <c r="C934" t="s">
        <v>1655</v>
      </c>
      <c r="D934" t="s">
        <v>1758</v>
      </c>
      <c r="E934" s="4">
        <v>1</v>
      </c>
      <c r="F934" t="s">
        <v>101</v>
      </c>
      <c r="G934" t="s">
        <v>101</v>
      </c>
      <c r="H934" s="3">
        <v>46153</v>
      </c>
      <c r="I934" s="3">
        <v>46156</v>
      </c>
      <c r="J934" t="s">
        <v>418</v>
      </c>
      <c r="K934" s="3">
        <v>46156</v>
      </c>
      <c r="L934" s="3">
        <v>46153</v>
      </c>
      <c r="M934" s="3">
        <v>46156</v>
      </c>
      <c r="N934" s="3">
        <v>46156</v>
      </c>
      <c r="O934" t="s">
        <v>418</v>
      </c>
      <c r="P934" t="s">
        <v>55</v>
      </c>
      <c r="T934" t="s">
        <v>1429</v>
      </c>
      <c r="V934" t="s">
        <v>175</v>
      </c>
      <c r="X934" t="s">
        <v>57</v>
      </c>
      <c r="AA934" t="s">
        <v>50</v>
      </c>
      <c r="AB934" t="s">
        <v>94</v>
      </c>
      <c r="AE934">
        <v>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</row>
    <row r="935" spans="1:42" x14ac:dyDescent="0.25">
      <c r="A935">
        <v>1082</v>
      </c>
      <c r="B935" t="s">
        <v>1759</v>
      </c>
      <c r="C935" t="s">
        <v>1760</v>
      </c>
      <c r="D935" t="s">
        <v>117</v>
      </c>
      <c r="E935" s="4">
        <v>1</v>
      </c>
      <c r="F935" t="s">
        <v>101</v>
      </c>
      <c r="G935" t="s">
        <v>101</v>
      </c>
      <c r="H935" s="3">
        <v>46153</v>
      </c>
      <c r="I935" s="3">
        <v>46156</v>
      </c>
      <c r="J935" t="s">
        <v>418</v>
      </c>
      <c r="K935" s="3">
        <v>46156</v>
      </c>
      <c r="L935" s="3">
        <v>46153</v>
      </c>
      <c r="M935" s="3">
        <v>46156</v>
      </c>
      <c r="N935" s="3">
        <v>46156</v>
      </c>
      <c r="O935" t="s">
        <v>418</v>
      </c>
      <c r="P935" t="s">
        <v>55</v>
      </c>
      <c r="Q935" t="s">
        <v>1711</v>
      </c>
      <c r="S935" t="s">
        <v>1444</v>
      </c>
      <c r="T935" t="s">
        <v>1429</v>
      </c>
      <c r="U935">
        <v>1083</v>
      </c>
      <c r="V935" t="s">
        <v>127</v>
      </c>
      <c r="W935">
        <v>13.4</v>
      </c>
      <c r="X935" t="s">
        <v>57</v>
      </c>
      <c r="Z935" t="s">
        <v>1444</v>
      </c>
      <c r="AA935" t="s">
        <v>462</v>
      </c>
      <c r="AE935">
        <v>1</v>
      </c>
      <c r="AF935">
        <v>1</v>
      </c>
      <c r="AG935">
        <v>1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1</v>
      </c>
    </row>
    <row r="936" spans="1:42" x14ac:dyDescent="0.25">
      <c r="A936">
        <v>1083</v>
      </c>
      <c r="B936" t="s">
        <v>1761</v>
      </c>
      <c r="C936" t="s">
        <v>1760</v>
      </c>
      <c r="D936" t="s">
        <v>121</v>
      </c>
      <c r="E936" s="4">
        <v>1</v>
      </c>
      <c r="F936" t="s">
        <v>61</v>
      </c>
      <c r="G936" t="s">
        <v>61</v>
      </c>
      <c r="H936" s="3">
        <v>46156</v>
      </c>
      <c r="I936" s="3">
        <v>46156</v>
      </c>
      <c r="J936" t="s">
        <v>406</v>
      </c>
      <c r="K936" s="3">
        <v>46156</v>
      </c>
      <c r="L936" s="3">
        <v>46156</v>
      </c>
      <c r="M936" s="3">
        <v>46156</v>
      </c>
      <c r="N936" s="3">
        <v>46156</v>
      </c>
      <c r="O936" t="s">
        <v>406</v>
      </c>
      <c r="P936" t="s">
        <v>55</v>
      </c>
      <c r="Q936">
        <v>1082</v>
      </c>
      <c r="S936" t="s">
        <v>124</v>
      </c>
      <c r="T936" t="s">
        <v>1429</v>
      </c>
      <c r="U936">
        <v>1084</v>
      </c>
      <c r="V936" t="s">
        <v>122</v>
      </c>
      <c r="W936">
        <v>13.4</v>
      </c>
      <c r="X936" t="s">
        <v>57</v>
      </c>
      <c r="Z936" t="s">
        <v>124</v>
      </c>
      <c r="AA936" t="s">
        <v>217</v>
      </c>
      <c r="AE936">
        <v>1</v>
      </c>
      <c r="AF936">
        <v>0</v>
      </c>
      <c r="AG936">
        <v>0</v>
      </c>
      <c r="AH936">
        <v>0</v>
      </c>
      <c r="AI936">
        <v>0</v>
      </c>
      <c r="AJ936">
        <v>1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</row>
    <row r="937" spans="1:42" x14ac:dyDescent="0.25">
      <c r="A937">
        <v>1084</v>
      </c>
      <c r="B937" t="s">
        <v>1762</v>
      </c>
      <c r="C937" t="s">
        <v>1760</v>
      </c>
      <c r="D937" t="s">
        <v>126</v>
      </c>
      <c r="E937" s="4">
        <v>1</v>
      </c>
      <c r="F937" t="s">
        <v>61</v>
      </c>
      <c r="G937" t="s">
        <v>61</v>
      </c>
      <c r="H937" s="3">
        <v>46156</v>
      </c>
      <c r="I937" s="3">
        <v>46156</v>
      </c>
      <c r="J937" t="s">
        <v>406</v>
      </c>
      <c r="K937" s="3">
        <v>46156</v>
      </c>
      <c r="L937" s="3">
        <v>46156</v>
      </c>
      <c r="M937" s="3">
        <v>46156</v>
      </c>
      <c r="N937" s="3">
        <v>46156</v>
      </c>
      <c r="O937" t="s">
        <v>406</v>
      </c>
      <c r="P937" t="s">
        <v>55</v>
      </c>
      <c r="Q937">
        <v>1083</v>
      </c>
      <c r="S937" t="s">
        <v>1444</v>
      </c>
      <c r="T937" t="s">
        <v>1429</v>
      </c>
      <c r="U937">
        <v>1085</v>
      </c>
      <c r="V937" t="s">
        <v>61</v>
      </c>
      <c r="W937">
        <v>13.4</v>
      </c>
      <c r="X937" t="s">
        <v>57</v>
      </c>
      <c r="Z937" t="s">
        <v>1444</v>
      </c>
      <c r="AA937" t="s">
        <v>217</v>
      </c>
      <c r="AE937">
        <v>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1</v>
      </c>
      <c r="AM937">
        <v>0</v>
      </c>
      <c r="AN937">
        <v>0</v>
      </c>
      <c r="AO937">
        <v>0</v>
      </c>
      <c r="AP937">
        <v>0</v>
      </c>
    </row>
    <row r="938" spans="1:42" x14ac:dyDescent="0.25">
      <c r="A938">
        <v>1085</v>
      </c>
      <c r="B938" t="s">
        <v>1763</v>
      </c>
      <c r="C938" t="s">
        <v>1760</v>
      </c>
      <c r="D938" t="s">
        <v>133</v>
      </c>
      <c r="E938" s="4">
        <v>1</v>
      </c>
      <c r="F938" t="s">
        <v>61</v>
      </c>
      <c r="G938" t="s">
        <v>61</v>
      </c>
      <c r="H938" s="3">
        <v>46156</v>
      </c>
      <c r="I938" s="3">
        <v>46156</v>
      </c>
      <c r="J938" t="s">
        <v>406</v>
      </c>
      <c r="K938" s="3">
        <v>46156</v>
      </c>
      <c r="L938" s="3">
        <v>46156</v>
      </c>
      <c r="M938" s="3">
        <v>46156</v>
      </c>
      <c r="N938" s="3">
        <v>46156</v>
      </c>
      <c r="O938" t="s">
        <v>406</v>
      </c>
      <c r="P938" t="s">
        <v>55</v>
      </c>
      <c r="Q938">
        <v>1084</v>
      </c>
      <c r="S938" t="s">
        <v>124</v>
      </c>
      <c r="T938" t="s">
        <v>1429</v>
      </c>
      <c r="V938" t="s">
        <v>61</v>
      </c>
      <c r="W938">
        <v>13.4</v>
      </c>
      <c r="X938" t="s">
        <v>57</v>
      </c>
      <c r="Z938" t="s">
        <v>124</v>
      </c>
      <c r="AA938" t="s">
        <v>217</v>
      </c>
      <c r="AE938">
        <v>1</v>
      </c>
      <c r="AF938">
        <v>0</v>
      </c>
      <c r="AG938">
        <v>0</v>
      </c>
      <c r="AH938">
        <v>0</v>
      </c>
      <c r="AI938">
        <v>1</v>
      </c>
      <c r="AJ938">
        <v>0</v>
      </c>
      <c r="AK938">
        <v>0</v>
      </c>
      <c r="AL938">
        <v>0</v>
      </c>
      <c r="AM938">
        <v>0</v>
      </c>
      <c r="AN938">
        <v>1</v>
      </c>
      <c r="AO938">
        <v>0</v>
      </c>
      <c r="AP938">
        <v>0</v>
      </c>
    </row>
    <row r="939" spans="1:42" x14ac:dyDescent="0.25">
      <c r="A939">
        <v>1086</v>
      </c>
      <c r="B939" t="s">
        <v>1764</v>
      </c>
      <c r="C939" t="s">
        <v>1655</v>
      </c>
      <c r="D939" t="s">
        <v>1765</v>
      </c>
      <c r="E939" s="4">
        <v>1</v>
      </c>
      <c r="F939" t="s">
        <v>101</v>
      </c>
      <c r="G939" t="s">
        <v>101</v>
      </c>
      <c r="H939" s="3">
        <v>46153</v>
      </c>
      <c r="I939" s="3">
        <v>46156</v>
      </c>
      <c r="J939" t="s">
        <v>418</v>
      </c>
      <c r="K939" s="3">
        <v>46156</v>
      </c>
      <c r="L939" s="3">
        <v>46153</v>
      </c>
      <c r="M939" s="3">
        <v>46156</v>
      </c>
      <c r="N939" s="3">
        <v>46156</v>
      </c>
      <c r="O939" t="s">
        <v>418</v>
      </c>
      <c r="P939" t="s">
        <v>55</v>
      </c>
      <c r="T939" t="s">
        <v>1429</v>
      </c>
      <c r="V939" t="s">
        <v>175</v>
      </c>
      <c r="X939" t="s">
        <v>57</v>
      </c>
      <c r="AA939" t="s">
        <v>50</v>
      </c>
      <c r="AB939" t="s">
        <v>94</v>
      </c>
      <c r="AE939">
        <v>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</row>
    <row r="940" spans="1:42" x14ac:dyDescent="0.25">
      <c r="A940">
        <v>1087</v>
      </c>
      <c r="B940" t="s">
        <v>1766</v>
      </c>
      <c r="C940" t="s">
        <v>1767</v>
      </c>
      <c r="D940" t="s">
        <v>117</v>
      </c>
      <c r="E940" s="4">
        <v>1</v>
      </c>
      <c r="F940" t="s">
        <v>101</v>
      </c>
      <c r="G940" t="s">
        <v>101</v>
      </c>
      <c r="H940" s="3">
        <v>46153</v>
      </c>
      <c r="I940" s="3">
        <v>46156</v>
      </c>
      <c r="J940" t="s">
        <v>418</v>
      </c>
      <c r="K940" s="3">
        <v>46156</v>
      </c>
      <c r="L940" s="3">
        <v>46153</v>
      </c>
      <c r="M940" s="3">
        <v>46156</v>
      </c>
      <c r="N940" s="3">
        <v>46156</v>
      </c>
      <c r="O940" t="s">
        <v>418</v>
      </c>
      <c r="P940" t="s">
        <v>55</v>
      </c>
      <c r="Q940" t="s">
        <v>1711</v>
      </c>
      <c r="S940" t="s">
        <v>1444</v>
      </c>
      <c r="T940" t="s">
        <v>1429</v>
      </c>
      <c r="U940">
        <v>1088</v>
      </c>
      <c r="V940" t="s">
        <v>127</v>
      </c>
      <c r="W940">
        <v>13.4</v>
      </c>
      <c r="X940" t="s">
        <v>57</v>
      </c>
      <c r="Z940" t="s">
        <v>1444</v>
      </c>
      <c r="AA940" t="s">
        <v>462</v>
      </c>
      <c r="AE940">
        <v>1</v>
      </c>
      <c r="AF940">
        <v>1</v>
      </c>
      <c r="AG940">
        <v>1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1</v>
      </c>
    </row>
    <row r="941" spans="1:42" x14ac:dyDescent="0.25">
      <c r="A941">
        <v>1088</v>
      </c>
      <c r="B941" t="s">
        <v>1768</v>
      </c>
      <c r="C941" t="s">
        <v>1767</v>
      </c>
      <c r="D941" t="s">
        <v>121</v>
      </c>
      <c r="E941" s="4">
        <v>1</v>
      </c>
      <c r="F941" t="s">
        <v>61</v>
      </c>
      <c r="G941" t="s">
        <v>61</v>
      </c>
      <c r="H941" s="3">
        <v>46156</v>
      </c>
      <c r="I941" s="3">
        <v>46156</v>
      </c>
      <c r="J941" t="s">
        <v>406</v>
      </c>
      <c r="K941" s="3">
        <v>46156</v>
      </c>
      <c r="L941" s="3">
        <v>46156</v>
      </c>
      <c r="M941" s="3">
        <v>46156</v>
      </c>
      <c r="N941" s="3">
        <v>46156</v>
      </c>
      <c r="O941" t="s">
        <v>406</v>
      </c>
      <c r="P941" t="s">
        <v>55</v>
      </c>
      <c r="Q941">
        <v>1087</v>
      </c>
      <c r="S941" t="s">
        <v>124</v>
      </c>
      <c r="T941" t="s">
        <v>1429</v>
      </c>
      <c r="U941">
        <v>1089</v>
      </c>
      <c r="V941" t="s">
        <v>122</v>
      </c>
      <c r="W941">
        <v>13.4</v>
      </c>
      <c r="X941" t="s">
        <v>57</v>
      </c>
      <c r="Z941" t="s">
        <v>124</v>
      </c>
      <c r="AA941" t="s">
        <v>217</v>
      </c>
      <c r="AE941">
        <v>1</v>
      </c>
      <c r="AF941">
        <v>0</v>
      </c>
      <c r="AG941">
        <v>0</v>
      </c>
      <c r="AH941">
        <v>0</v>
      </c>
      <c r="AI941">
        <v>0</v>
      </c>
      <c r="AJ941">
        <v>1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</row>
    <row r="942" spans="1:42" x14ac:dyDescent="0.25">
      <c r="A942">
        <v>1089</v>
      </c>
      <c r="B942" t="s">
        <v>1769</v>
      </c>
      <c r="C942" t="s">
        <v>1767</v>
      </c>
      <c r="D942" t="s">
        <v>126</v>
      </c>
      <c r="E942" s="4">
        <v>1</v>
      </c>
      <c r="F942" t="s">
        <v>61</v>
      </c>
      <c r="G942" t="s">
        <v>61</v>
      </c>
      <c r="H942" s="3">
        <v>46156</v>
      </c>
      <c r="I942" s="3">
        <v>46156</v>
      </c>
      <c r="J942" t="s">
        <v>406</v>
      </c>
      <c r="K942" s="3">
        <v>46156</v>
      </c>
      <c r="L942" s="3">
        <v>46156</v>
      </c>
      <c r="M942" s="3">
        <v>46156</v>
      </c>
      <c r="N942" s="3">
        <v>46156</v>
      </c>
      <c r="O942" t="s">
        <v>406</v>
      </c>
      <c r="P942" t="s">
        <v>55</v>
      </c>
      <c r="Q942">
        <v>1088</v>
      </c>
      <c r="S942" t="s">
        <v>1444</v>
      </c>
      <c r="T942" t="s">
        <v>1429</v>
      </c>
      <c r="U942">
        <v>1090</v>
      </c>
      <c r="V942" t="s">
        <v>61</v>
      </c>
      <c r="W942">
        <v>13.4</v>
      </c>
      <c r="X942" t="s">
        <v>57</v>
      </c>
      <c r="Z942" t="s">
        <v>1444</v>
      </c>
      <c r="AA942" t="s">
        <v>217</v>
      </c>
      <c r="AE942">
        <v>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1</v>
      </c>
      <c r="AM942">
        <v>0</v>
      </c>
      <c r="AN942">
        <v>0</v>
      </c>
      <c r="AO942">
        <v>0</v>
      </c>
      <c r="AP942">
        <v>0</v>
      </c>
    </row>
    <row r="943" spans="1:42" x14ac:dyDescent="0.25">
      <c r="A943">
        <v>1090</v>
      </c>
      <c r="B943" t="s">
        <v>1770</v>
      </c>
      <c r="C943" t="s">
        <v>1767</v>
      </c>
      <c r="D943" t="s">
        <v>133</v>
      </c>
      <c r="E943" s="4">
        <v>1</v>
      </c>
      <c r="F943" t="s">
        <v>61</v>
      </c>
      <c r="G943" t="s">
        <v>61</v>
      </c>
      <c r="H943" s="3">
        <v>46156</v>
      </c>
      <c r="I943" s="3">
        <v>46156</v>
      </c>
      <c r="J943" t="s">
        <v>406</v>
      </c>
      <c r="K943" s="3">
        <v>46156</v>
      </c>
      <c r="L943" s="3">
        <v>46156</v>
      </c>
      <c r="M943" s="3">
        <v>46156</v>
      </c>
      <c r="N943" s="3">
        <v>46156</v>
      </c>
      <c r="O943" t="s">
        <v>406</v>
      </c>
      <c r="P943" t="s">
        <v>55</v>
      </c>
      <c r="Q943">
        <v>1089</v>
      </c>
      <c r="S943" t="s">
        <v>124</v>
      </c>
      <c r="T943" t="s">
        <v>1429</v>
      </c>
      <c r="V943" t="s">
        <v>61</v>
      </c>
      <c r="W943">
        <v>13.4</v>
      </c>
      <c r="X943" t="s">
        <v>57</v>
      </c>
      <c r="Z943" t="s">
        <v>124</v>
      </c>
      <c r="AA943" t="s">
        <v>217</v>
      </c>
      <c r="AE943">
        <v>1</v>
      </c>
      <c r="AF943">
        <v>0</v>
      </c>
      <c r="AG943">
        <v>0</v>
      </c>
      <c r="AH943">
        <v>0</v>
      </c>
      <c r="AI943">
        <v>1</v>
      </c>
      <c r="AJ943">
        <v>0</v>
      </c>
      <c r="AK943">
        <v>0</v>
      </c>
      <c r="AL943">
        <v>0</v>
      </c>
      <c r="AM943">
        <v>0</v>
      </c>
      <c r="AN943">
        <v>1</v>
      </c>
      <c r="AO943">
        <v>0</v>
      </c>
      <c r="AP943">
        <v>0</v>
      </c>
    </row>
    <row r="944" spans="1:42" x14ac:dyDescent="0.25">
      <c r="A944">
        <v>1091</v>
      </c>
      <c r="B944" t="s">
        <v>1771</v>
      </c>
      <c r="C944" t="s">
        <v>1655</v>
      </c>
      <c r="D944" t="s">
        <v>1772</v>
      </c>
      <c r="E944" s="4">
        <v>1</v>
      </c>
      <c r="F944" t="s">
        <v>101</v>
      </c>
      <c r="G944" t="s">
        <v>101</v>
      </c>
      <c r="H944" s="3">
        <v>46153</v>
      </c>
      <c r="I944" s="3">
        <v>46156</v>
      </c>
      <c r="J944" t="s">
        <v>418</v>
      </c>
      <c r="K944" s="3">
        <v>46156</v>
      </c>
      <c r="L944" s="3">
        <v>46153</v>
      </c>
      <c r="M944" s="3">
        <v>46156</v>
      </c>
      <c r="N944" s="3">
        <v>46156</v>
      </c>
      <c r="O944" t="s">
        <v>418</v>
      </c>
      <c r="P944" t="s">
        <v>55</v>
      </c>
      <c r="T944" t="s">
        <v>1429</v>
      </c>
      <c r="V944" t="s">
        <v>175</v>
      </c>
      <c r="X944" t="s">
        <v>57</v>
      </c>
      <c r="AA944" t="s">
        <v>50</v>
      </c>
      <c r="AB944" t="s">
        <v>94</v>
      </c>
      <c r="AE944">
        <v>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</row>
    <row r="945" spans="1:42" x14ac:dyDescent="0.25">
      <c r="A945">
        <v>1092</v>
      </c>
      <c r="B945" t="s">
        <v>1773</v>
      </c>
      <c r="C945" t="s">
        <v>1774</v>
      </c>
      <c r="D945" t="s">
        <v>117</v>
      </c>
      <c r="E945" s="4">
        <v>1</v>
      </c>
      <c r="F945" t="s">
        <v>101</v>
      </c>
      <c r="G945" t="s">
        <v>101</v>
      </c>
      <c r="H945" s="3">
        <v>46153</v>
      </c>
      <c r="I945" s="3">
        <v>46156</v>
      </c>
      <c r="J945" t="s">
        <v>418</v>
      </c>
      <c r="K945" s="3">
        <v>46156</v>
      </c>
      <c r="L945" s="3">
        <v>46153</v>
      </c>
      <c r="M945" s="3">
        <v>46156</v>
      </c>
      <c r="N945" s="3">
        <v>46156</v>
      </c>
      <c r="O945" t="s">
        <v>418</v>
      </c>
      <c r="P945" t="s">
        <v>55</v>
      </c>
      <c r="Q945" t="s">
        <v>1711</v>
      </c>
      <c r="S945" t="s">
        <v>1444</v>
      </c>
      <c r="T945" t="s">
        <v>1429</v>
      </c>
      <c r="U945">
        <v>1093</v>
      </c>
      <c r="V945" t="s">
        <v>127</v>
      </c>
      <c r="W945">
        <v>13.4</v>
      </c>
      <c r="X945" t="s">
        <v>57</v>
      </c>
      <c r="Z945" t="s">
        <v>1444</v>
      </c>
      <c r="AA945" t="s">
        <v>462</v>
      </c>
      <c r="AE945">
        <v>1</v>
      </c>
      <c r="AF945">
        <v>1</v>
      </c>
      <c r="AG945">
        <v>1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1</v>
      </c>
    </row>
    <row r="946" spans="1:42" x14ac:dyDescent="0.25">
      <c r="A946">
        <v>1093</v>
      </c>
      <c r="B946" t="s">
        <v>1775</v>
      </c>
      <c r="C946" t="s">
        <v>1774</v>
      </c>
      <c r="D946" t="s">
        <v>121</v>
      </c>
      <c r="E946" s="4">
        <v>1</v>
      </c>
      <c r="F946" t="s">
        <v>61</v>
      </c>
      <c r="G946" t="s">
        <v>61</v>
      </c>
      <c r="H946" s="3">
        <v>46156</v>
      </c>
      <c r="I946" s="3">
        <v>46156</v>
      </c>
      <c r="J946" t="s">
        <v>406</v>
      </c>
      <c r="K946" s="3">
        <v>46156</v>
      </c>
      <c r="L946" s="3">
        <v>46156</v>
      </c>
      <c r="M946" s="3">
        <v>46156</v>
      </c>
      <c r="N946" s="3">
        <v>46156</v>
      </c>
      <c r="O946" t="s">
        <v>406</v>
      </c>
      <c r="P946" t="s">
        <v>55</v>
      </c>
      <c r="Q946">
        <v>1092</v>
      </c>
      <c r="S946" t="s">
        <v>124</v>
      </c>
      <c r="T946" t="s">
        <v>1429</v>
      </c>
      <c r="U946">
        <v>1094</v>
      </c>
      <c r="V946" t="s">
        <v>122</v>
      </c>
      <c r="W946">
        <v>13.4</v>
      </c>
      <c r="X946" t="s">
        <v>57</v>
      </c>
      <c r="Z946" t="s">
        <v>124</v>
      </c>
      <c r="AA946" t="s">
        <v>217</v>
      </c>
      <c r="AE946">
        <v>1</v>
      </c>
      <c r="AF946">
        <v>0</v>
      </c>
      <c r="AG946">
        <v>0</v>
      </c>
      <c r="AH946">
        <v>0</v>
      </c>
      <c r="AI946">
        <v>0</v>
      </c>
      <c r="AJ946">
        <v>1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</row>
    <row r="947" spans="1:42" x14ac:dyDescent="0.25">
      <c r="A947">
        <v>1094</v>
      </c>
      <c r="B947" t="s">
        <v>1776</v>
      </c>
      <c r="C947" t="s">
        <v>1774</v>
      </c>
      <c r="D947" t="s">
        <v>126</v>
      </c>
      <c r="E947" s="4">
        <v>1</v>
      </c>
      <c r="F947" t="s">
        <v>61</v>
      </c>
      <c r="G947" t="s">
        <v>61</v>
      </c>
      <c r="H947" s="3">
        <v>46156</v>
      </c>
      <c r="I947" s="3">
        <v>46156</v>
      </c>
      <c r="J947" t="s">
        <v>406</v>
      </c>
      <c r="K947" s="3">
        <v>46156</v>
      </c>
      <c r="L947" s="3">
        <v>46156</v>
      </c>
      <c r="M947" s="3">
        <v>46156</v>
      </c>
      <c r="N947" s="3">
        <v>46156</v>
      </c>
      <c r="O947" t="s">
        <v>406</v>
      </c>
      <c r="P947" t="s">
        <v>55</v>
      </c>
      <c r="Q947">
        <v>1093</v>
      </c>
      <c r="S947" t="s">
        <v>1444</v>
      </c>
      <c r="T947" t="s">
        <v>1429</v>
      </c>
      <c r="U947">
        <v>1095</v>
      </c>
      <c r="V947" t="s">
        <v>61</v>
      </c>
      <c r="W947">
        <v>13.4</v>
      </c>
      <c r="X947" t="s">
        <v>57</v>
      </c>
      <c r="Z947" t="s">
        <v>1444</v>
      </c>
      <c r="AA947" t="s">
        <v>217</v>
      </c>
      <c r="AE947">
        <v>1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1</v>
      </c>
      <c r="AM947">
        <v>0</v>
      </c>
      <c r="AN947">
        <v>0</v>
      </c>
      <c r="AO947">
        <v>0</v>
      </c>
      <c r="AP947">
        <v>0</v>
      </c>
    </row>
    <row r="948" spans="1:42" x14ac:dyDescent="0.25">
      <c r="A948">
        <v>1095</v>
      </c>
      <c r="B948" t="s">
        <v>1777</v>
      </c>
      <c r="C948" t="s">
        <v>1774</v>
      </c>
      <c r="D948" t="s">
        <v>133</v>
      </c>
      <c r="E948" s="4">
        <v>1</v>
      </c>
      <c r="F948" t="s">
        <v>61</v>
      </c>
      <c r="G948" t="s">
        <v>61</v>
      </c>
      <c r="H948" s="3">
        <v>46156</v>
      </c>
      <c r="I948" s="3">
        <v>46156</v>
      </c>
      <c r="J948" t="s">
        <v>406</v>
      </c>
      <c r="K948" s="3">
        <v>46156</v>
      </c>
      <c r="L948" s="3">
        <v>46156</v>
      </c>
      <c r="M948" s="3">
        <v>46156</v>
      </c>
      <c r="N948" s="3">
        <v>46156</v>
      </c>
      <c r="O948" t="s">
        <v>406</v>
      </c>
      <c r="P948" t="s">
        <v>55</v>
      </c>
      <c r="Q948">
        <v>1094</v>
      </c>
      <c r="S948" t="s">
        <v>124</v>
      </c>
      <c r="T948" t="s">
        <v>1429</v>
      </c>
      <c r="V948" t="s">
        <v>61</v>
      </c>
      <c r="W948">
        <v>13.4</v>
      </c>
      <c r="X948" t="s">
        <v>57</v>
      </c>
      <c r="Z948" t="s">
        <v>124</v>
      </c>
      <c r="AA948" t="s">
        <v>217</v>
      </c>
      <c r="AE948">
        <v>1</v>
      </c>
      <c r="AF948">
        <v>0</v>
      </c>
      <c r="AG948">
        <v>0</v>
      </c>
      <c r="AH948">
        <v>0</v>
      </c>
      <c r="AI948">
        <v>1</v>
      </c>
      <c r="AJ948">
        <v>0</v>
      </c>
      <c r="AK948">
        <v>0</v>
      </c>
      <c r="AL948">
        <v>0</v>
      </c>
      <c r="AM948">
        <v>0</v>
      </c>
      <c r="AN948">
        <v>1</v>
      </c>
      <c r="AO948">
        <v>0</v>
      </c>
      <c r="AP948">
        <v>0</v>
      </c>
    </row>
    <row r="949" spans="1:42" x14ac:dyDescent="0.25">
      <c r="A949">
        <v>1096</v>
      </c>
      <c r="B949" t="s">
        <v>1778</v>
      </c>
      <c r="C949" t="s">
        <v>1429</v>
      </c>
      <c r="D949" t="s">
        <v>1779</v>
      </c>
      <c r="E949" s="4">
        <v>1</v>
      </c>
      <c r="F949" t="s">
        <v>690</v>
      </c>
      <c r="G949" t="s">
        <v>690</v>
      </c>
      <c r="H949" s="3">
        <v>46175</v>
      </c>
      <c r="I949" s="3">
        <v>46192</v>
      </c>
      <c r="J949" t="s">
        <v>448</v>
      </c>
      <c r="K949" s="3">
        <v>46199</v>
      </c>
      <c r="L949" s="3">
        <v>46170</v>
      </c>
      <c r="M949" s="3">
        <v>46192</v>
      </c>
      <c r="N949" s="3">
        <v>46192</v>
      </c>
      <c r="O949" t="s">
        <v>472</v>
      </c>
      <c r="P949" t="s">
        <v>55</v>
      </c>
      <c r="T949" t="s">
        <v>1429</v>
      </c>
      <c r="V949" t="s">
        <v>1780</v>
      </c>
      <c r="X949" t="s">
        <v>57</v>
      </c>
      <c r="AA949" t="s">
        <v>50</v>
      </c>
      <c r="AB949" t="s">
        <v>94</v>
      </c>
      <c r="AE949">
        <v>1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</row>
    <row r="950" spans="1:42" x14ac:dyDescent="0.25">
      <c r="A950">
        <v>1097</v>
      </c>
      <c r="B950" t="s">
        <v>1781</v>
      </c>
      <c r="C950" t="s">
        <v>1782</v>
      </c>
      <c r="D950" t="s">
        <v>1783</v>
      </c>
      <c r="E950" s="4">
        <v>1</v>
      </c>
      <c r="F950" t="s">
        <v>210</v>
      </c>
      <c r="G950" t="s">
        <v>210</v>
      </c>
      <c r="H950" s="3">
        <v>46175</v>
      </c>
      <c r="I950" s="3">
        <v>46188</v>
      </c>
      <c r="J950" t="s">
        <v>448</v>
      </c>
      <c r="K950" s="3">
        <v>46188</v>
      </c>
      <c r="L950" s="3">
        <v>46170</v>
      </c>
      <c r="M950" s="3">
        <v>46188</v>
      </c>
      <c r="N950" s="3">
        <v>46188</v>
      </c>
      <c r="O950" t="s">
        <v>472</v>
      </c>
      <c r="P950" t="s">
        <v>55</v>
      </c>
      <c r="T950" t="s">
        <v>1429</v>
      </c>
      <c r="V950" t="s">
        <v>203</v>
      </c>
      <c r="X950" t="s">
        <v>57</v>
      </c>
      <c r="AA950" t="s">
        <v>50</v>
      </c>
      <c r="AB950" t="s">
        <v>94</v>
      </c>
      <c r="AE950">
        <v>1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</row>
    <row r="951" spans="1:42" x14ac:dyDescent="0.25">
      <c r="A951">
        <v>1098</v>
      </c>
      <c r="B951" t="s">
        <v>1784</v>
      </c>
      <c r="C951" t="s">
        <v>1785</v>
      </c>
      <c r="D951" t="s">
        <v>117</v>
      </c>
      <c r="E951" s="4">
        <v>1</v>
      </c>
      <c r="F951" t="s">
        <v>175</v>
      </c>
      <c r="G951" t="s">
        <v>175</v>
      </c>
      <c r="H951" s="3">
        <v>46175</v>
      </c>
      <c r="I951" s="3">
        <v>46185</v>
      </c>
      <c r="J951" t="s">
        <v>448</v>
      </c>
      <c r="K951" s="3">
        <v>46181</v>
      </c>
      <c r="L951" s="3">
        <v>46170</v>
      </c>
      <c r="M951" s="3">
        <v>46185</v>
      </c>
      <c r="N951" s="3">
        <v>46185</v>
      </c>
      <c r="O951" t="s">
        <v>472</v>
      </c>
      <c r="P951" t="s">
        <v>55</v>
      </c>
      <c r="Q951" t="s">
        <v>1786</v>
      </c>
      <c r="S951" t="s">
        <v>1444</v>
      </c>
      <c r="T951" t="s">
        <v>1429</v>
      </c>
      <c r="U951" t="s">
        <v>1787</v>
      </c>
      <c r="V951" t="s">
        <v>214</v>
      </c>
      <c r="W951">
        <v>13.4</v>
      </c>
      <c r="X951" t="s">
        <v>57</v>
      </c>
      <c r="Z951" t="s">
        <v>1444</v>
      </c>
      <c r="AA951" t="s">
        <v>77</v>
      </c>
      <c r="AE951">
        <v>1</v>
      </c>
      <c r="AF951">
        <v>1</v>
      </c>
      <c r="AG951">
        <v>1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1</v>
      </c>
    </row>
    <row r="952" spans="1:42" x14ac:dyDescent="0.25">
      <c r="A952">
        <v>1099</v>
      </c>
      <c r="B952" t="s">
        <v>1788</v>
      </c>
      <c r="C952" t="s">
        <v>1785</v>
      </c>
      <c r="D952" t="s">
        <v>121</v>
      </c>
      <c r="E952" s="4">
        <v>1</v>
      </c>
      <c r="F952" t="s">
        <v>61</v>
      </c>
      <c r="G952" t="s">
        <v>61</v>
      </c>
      <c r="H952" s="3">
        <v>46185</v>
      </c>
      <c r="I952" s="3">
        <v>46185</v>
      </c>
      <c r="J952" t="s">
        <v>204</v>
      </c>
      <c r="K952" s="3">
        <v>46184</v>
      </c>
      <c r="L952" s="3">
        <v>46182</v>
      </c>
      <c r="M952" s="3">
        <v>46185</v>
      </c>
      <c r="N952" s="3">
        <v>46185</v>
      </c>
      <c r="O952" t="s">
        <v>571</v>
      </c>
      <c r="P952" t="s">
        <v>55</v>
      </c>
      <c r="Q952">
        <v>1098</v>
      </c>
      <c r="S952" t="s">
        <v>124</v>
      </c>
      <c r="T952" t="s">
        <v>1429</v>
      </c>
      <c r="U952">
        <v>1100</v>
      </c>
      <c r="V952" t="s">
        <v>122</v>
      </c>
      <c r="W952">
        <v>13.4</v>
      </c>
      <c r="X952" t="s">
        <v>57</v>
      </c>
      <c r="Z952" t="s">
        <v>124</v>
      </c>
      <c r="AA952" t="s">
        <v>462</v>
      </c>
      <c r="AE952">
        <v>1</v>
      </c>
      <c r="AF952">
        <v>0</v>
      </c>
      <c r="AG952">
        <v>0</v>
      </c>
      <c r="AH952">
        <v>0</v>
      </c>
      <c r="AI952">
        <v>0</v>
      </c>
      <c r="AJ952">
        <v>1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</row>
    <row r="953" spans="1:42" x14ac:dyDescent="0.25">
      <c r="A953">
        <v>1100</v>
      </c>
      <c r="B953" t="s">
        <v>1789</v>
      </c>
      <c r="C953" t="s">
        <v>1785</v>
      </c>
      <c r="D953" t="s">
        <v>126</v>
      </c>
      <c r="E953" s="4">
        <v>1</v>
      </c>
      <c r="F953" t="s">
        <v>63</v>
      </c>
      <c r="G953" t="s">
        <v>63</v>
      </c>
      <c r="H953" s="3">
        <v>46188</v>
      </c>
      <c r="I953" s="3">
        <v>46188</v>
      </c>
      <c r="J953" t="s">
        <v>571</v>
      </c>
      <c r="K953" s="3">
        <v>46185</v>
      </c>
      <c r="L953" s="3">
        <v>46185</v>
      </c>
      <c r="M953" s="3">
        <v>46188</v>
      </c>
      <c r="N953" s="3">
        <v>46188</v>
      </c>
      <c r="O953" t="s">
        <v>595</v>
      </c>
      <c r="P953" t="s">
        <v>55</v>
      </c>
      <c r="Q953">
        <v>1099</v>
      </c>
      <c r="S953" t="s">
        <v>1444</v>
      </c>
      <c r="T953" t="s">
        <v>1429</v>
      </c>
      <c r="U953">
        <v>1101</v>
      </c>
      <c r="V953" t="s">
        <v>61</v>
      </c>
      <c r="W953">
        <v>13.4</v>
      </c>
      <c r="X953" t="s">
        <v>57</v>
      </c>
      <c r="Z953" t="s">
        <v>1444</v>
      </c>
      <c r="AA953" t="s">
        <v>462</v>
      </c>
      <c r="AE953">
        <v>1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1</v>
      </c>
      <c r="AM953">
        <v>0</v>
      </c>
      <c r="AN953">
        <v>0</v>
      </c>
      <c r="AO953">
        <v>0</v>
      </c>
      <c r="AP953">
        <v>0</v>
      </c>
    </row>
    <row r="954" spans="1:42" x14ac:dyDescent="0.25">
      <c r="A954">
        <v>1101</v>
      </c>
      <c r="B954" t="s">
        <v>1790</v>
      </c>
      <c r="C954" t="s">
        <v>1785</v>
      </c>
      <c r="D954" t="s">
        <v>133</v>
      </c>
      <c r="E954" s="4">
        <v>1</v>
      </c>
      <c r="F954" t="s">
        <v>63</v>
      </c>
      <c r="G954" t="s">
        <v>63</v>
      </c>
      <c r="H954" s="3">
        <v>46188</v>
      </c>
      <c r="I954" s="3">
        <v>46188</v>
      </c>
      <c r="J954" t="s">
        <v>595</v>
      </c>
      <c r="K954" s="3">
        <v>46188</v>
      </c>
      <c r="L954" s="3">
        <v>46188</v>
      </c>
      <c r="M954" s="3">
        <v>46188</v>
      </c>
      <c r="N954" s="3">
        <v>46188</v>
      </c>
      <c r="O954" t="s">
        <v>595</v>
      </c>
      <c r="P954" t="s">
        <v>55</v>
      </c>
      <c r="Q954">
        <v>1100</v>
      </c>
      <c r="S954" t="s">
        <v>124</v>
      </c>
      <c r="T954" t="s">
        <v>1429</v>
      </c>
      <c r="V954" t="s">
        <v>61</v>
      </c>
      <c r="W954">
        <v>13.4</v>
      </c>
      <c r="X954" t="s">
        <v>57</v>
      </c>
      <c r="Z954" t="s">
        <v>124</v>
      </c>
      <c r="AA954" t="s">
        <v>217</v>
      </c>
      <c r="AE954">
        <v>1</v>
      </c>
      <c r="AF954">
        <v>0</v>
      </c>
      <c r="AG954">
        <v>0</v>
      </c>
      <c r="AH954">
        <v>0</v>
      </c>
      <c r="AI954">
        <v>1</v>
      </c>
      <c r="AJ954">
        <v>0</v>
      </c>
      <c r="AK954">
        <v>0</v>
      </c>
      <c r="AL954">
        <v>0</v>
      </c>
      <c r="AM954">
        <v>0</v>
      </c>
      <c r="AN954">
        <v>1</v>
      </c>
      <c r="AO954">
        <v>0</v>
      </c>
      <c r="AP954">
        <v>0</v>
      </c>
    </row>
    <row r="955" spans="1:42" x14ac:dyDescent="0.25">
      <c r="A955">
        <v>1102</v>
      </c>
      <c r="B955" t="s">
        <v>1791</v>
      </c>
      <c r="C955" t="s">
        <v>1782</v>
      </c>
      <c r="D955" t="s">
        <v>1792</v>
      </c>
      <c r="E955" s="4">
        <v>1</v>
      </c>
      <c r="F955" t="s">
        <v>210</v>
      </c>
      <c r="G955" t="s">
        <v>210</v>
      </c>
      <c r="H955" s="3">
        <v>46175</v>
      </c>
      <c r="I955" s="3">
        <v>46188</v>
      </c>
      <c r="J955" t="s">
        <v>472</v>
      </c>
      <c r="K955" s="3">
        <v>46188</v>
      </c>
      <c r="L955" s="3">
        <v>46175</v>
      </c>
      <c r="M955" s="3">
        <v>46188</v>
      </c>
      <c r="N955" s="3">
        <v>46188</v>
      </c>
      <c r="O955" t="s">
        <v>472</v>
      </c>
      <c r="P955" t="s">
        <v>55</v>
      </c>
      <c r="T955" t="s">
        <v>1429</v>
      </c>
      <c r="V955" t="s">
        <v>203</v>
      </c>
      <c r="X955" t="s">
        <v>57</v>
      </c>
      <c r="AA955" t="s">
        <v>50</v>
      </c>
      <c r="AB955" t="s">
        <v>94</v>
      </c>
      <c r="AE955">
        <v>1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</row>
    <row r="956" spans="1:42" x14ac:dyDescent="0.25">
      <c r="A956">
        <v>1103</v>
      </c>
      <c r="B956" t="s">
        <v>1793</v>
      </c>
      <c r="C956" t="s">
        <v>1794</v>
      </c>
      <c r="D956" t="s">
        <v>117</v>
      </c>
      <c r="E956" s="4">
        <v>1</v>
      </c>
      <c r="F956" t="s">
        <v>175</v>
      </c>
      <c r="G956" t="s">
        <v>175</v>
      </c>
      <c r="H956" s="3">
        <v>46175</v>
      </c>
      <c r="I956" s="3">
        <v>46185</v>
      </c>
      <c r="J956" t="s">
        <v>472</v>
      </c>
      <c r="K956" s="3">
        <v>46185</v>
      </c>
      <c r="L956" s="3">
        <v>46175</v>
      </c>
      <c r="M956" s="3">
        <v>46185</v>
      </c>
      <c r="N956" s="3">
        <v>46185</v>
      </c>
      <c r="O956" t="s">
        <v>472</v>
      </c>
      <c r="P956" t="s">
        <v>55</v>
      </c>
      <c r="Q956" t="s">
        <v>1786</v>
      </c>
      <c r="S956" t="s">
        <v>1444</v>
      </c>
      <c r="T956" t="s">
        <v>1429</v>
      </c>
      <c r="U956" t="s">
        <v>1795</v>
      </c>
      <c r="V956" t="s">
        <v>214</v>
      </c>
      <c r="W956">
        <v>13.4</v>
      </c>
      <c r="X956" t="s">
        <v>57</v>
      </c>
      <c r="Z956" t="s">
        <v>1444</v>
      </c>
      <c r="AA956" t="s">
        <v>77</v>
      </c>
      <c r="AE956">
        <v>1</v>
      </c>
      <c r="AF956">
        <v>1</v>
      </c>
      <c r="AG956">
        <v>1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1</v>
      </c>
    </row>
    <row r="957" spans="1:42" x14ac:dyDescent="0.25">
      <c r="A957">
        <v>1104</v>
      </c>
      <c r="B957" t="s">
        <v>1796</v>
      </c>
      <c r="C957" t="s">
        <v>1794</v>
      </c>
      <c r="D957" t="s">
        <v>121</v>
      </c>
      <c r="E957" s="4">
        <v>1</v>
      </c>
      <c r="F957" t="s">
        <v>61</v>
      </c>
      <c r="G957" t="s">
        <v>61</v>
      </c>
      <c r="H957" s="3">
        <v>46185</v>
      </c>
      <c r="I957" s="3">
        <v>46185</v>
      </c>
      <c r="J957" t="s">
        <v>571</v>
      </c>
      <c r="K957" s="3">
        <v>46185</v>
      </c>
      <c r="L957" s="3">
        <v>46185</v>
      </c>
      <c r="M957" s="3">
        <v>46185</v>
      </c>
      <c r="N957" s="3">
        <v>46185</v>
      </c>
      <c r="O957" t="s">
        <v>571</v>
      </c>
      <c r="P957" t="s">
        <v>55</v>
      </c>
      <c r="Q957">
        <v>1103</v>
      </c>
      <c r="S957" t="s">
        <v>124</v>
      </c>
      <c r="T957" t="s">
        <v>1429</v>
      </c>
      <c r="U957">
        <v>1105</v>
      </c>
      <c r="V957" t="s">
        <v>122</v>
      </c>
      <c r="W957">
        <v>13.4</v>
      </c>
      <c r="X957" t="s">
        <v>57</v>
      </c>
      <c r="Z957" t="s">
        <v>124</v>
      </c>
      <c r="AA957" t="s">
        <v>462</v>
      </c>
      <c r="AE957">
        <v>1</v>
      </c>
      <c r="AF957">
        <v>0</v>
      </c>
      <c r="AG957">
        <v>0</v>
      </c>
      <c r="AH957">
        <v>0</v>
      </c>
      <c r="AI957">
        <v>0</v>
      </c>
      <c r="AJ957">
        <v>1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</row>
    <row r="958" spans="1:42" x14ac:dyDescent="0.25">
      <c r="A958">
        <v>1105</v>
      </c>
      <c r="B958" t="s">
        <v>1797</v>
      </c>
      <c r="C958" t="s">
        <v>1794</v>
      </c>
      <c r="D958" t="s">
        <v>126</v>
      </c>
      <c r="E958" s="4">
        <v>1</v>
      </c>
      <c r="F958" t="s">
        <v>63</v>
      </c>
      <c r="G958" t="s">
        <v>63</v>
      </c>
      <c r="H958" s="3">
        <v>46188</v>
      </c>
      <c r="I958" s="3">
        <v>46188</v>
      </c>
      <c r="J958" t="s">
        <v>595</v>
      </c>
      <c r="K958" s="3">
        <v>46188</v>
      </c>
      <c r="L958" s="3">
        <v>46188</v>
      </c>
      <c r="M958" s="3">
        <v>46188</v>
      </c>
      <c r="N958" s="3">
        <v>46188</v>
      </c>
      <c r="O958" t="s">
        <v>595</v>
      </c>
      <c r="P958" t="s">
        <v>55</v>
      </c>
      <c r="Q958">
        <v>1104</v>
      </c>
      <c r="S958" t="s">
        <v>1444</v>
      </c>
      <c r="T958" t="s">
        <v>1429</v>
      </c>
      <c r="U958">
        <v>1106</v>
      </c>
      <c r="V958" t="s">
        <v>61</v>
      </c>
      <c r="W958">
        <v>13.4</v>
      </c>
      <c r="X958" t="s">
        <v>57</v>
      </c>
      <c r="Z958" t="s">
        <v>1444</v>
      </c>
      <c r="AA958" t="s">
        <v>462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1</v>
      </c>
      <c r="AM958">
        <v>0</v>
      </c>
      <c r="AN958">
        <v>0</v>
      </c>
      <c r="AO958">
        <v>0</v>
      </c>
      <c r="AP958">
        <v>0</v>
      </c>
    </row>
    <row r="959" spans="1:42" x14ac:dyDescent="0.25">
      <c r="A959">
        <v>1106</v>
      </c>
      <c r="B959" t="s">
        <v>1798</v>
      </c>
      <c r="C959" t="s">
        <v>1794</v>
      </c>
      <c r="D959" t="s">
        <v>133</v>
      </c>
      <c r="E959" s="4">
        <v>1</v>
      </c>
      <c r="F959" t="s">
        <v>63</v>
      </c>
      <c r="G959" t="s">
        <v>63</v>
      </c>
      <c r="H959" s="3">
        <v>46188</v>
      </c>
      <c r="I959" s="3">
        <v>46188</v>
      </c>
      <c r="J959" t="s">
        <v>595</v>
      </c>
      <c r="K959" s="3">
        <v>46188</v>
      </c>
      <c r="L959" s="3">
        <v>46188</v>
      </c>
      <c r="M959" s="3">
        <v>46188</v>
      </c>
      <c r="N959" s="3">
        <v>46188</v>
      </c>
      <c r="O959" t="s">
        <v>595</v>
      </c>
      <c r="P959" t="s">
        <v>55</v>
      </c>
      <c r="Q959">
        <v>1105</v>
      </c>
      <c r="S959" t="s">
        <v>124</v>
      </c>
      <c r="T959" t="s">
        <v>1429</v>
      </c>
      <c r="V959" t="s">
        <v>61</v>
      </c>
      <c r="W959">
        <v>13.4</v>
      </c>
      <c r="X959" t="s">
        <v>57</v>
      </c>
      <c r="Z959" t="s">
        <v>124</v>
      </c>
      <c r="AA959" t="s">
        <v>217</v>
      </c>
      <c r="AE959">
        <v>1</v>
      </c>
      <c r="AF959">
        <v>0</v>
      </c>
      <c r="AG959">
        <v>0</v>
      </c>
      <c r="AH959">
        <v>0</v>
      </c>
      <c r="AI959">
        <v>1</v>
      </c>
      <c r="AJ959">
        <v>0</v>
      </c>
      <c r="AK959">
        <v>0</v>
      </c>
      <c r="AL959">
        <v>0</v>
      </c>
      <c r="AM959">
        <v>0</v>
      </c>
      <c r="AN959">
        <v>1</v>
      </c>
      <c r="AO959">
        <v>0</v>
      </c>
      <c r="AP959">
        <v>0</v>
      </c>
    </row>
    <row r="960" spans="1:42" x14ac:dyDescent="0.25">
      <c r="A960">
        <v>1107</v>
      </c>
      <c r="B960" t="s">
        <v>1799</v>
      </c>
      <c r="C960" t="s">
        <v>1782</v>
      </c>
      <c r="D960" t="s">
        <v>1800</v>
      </c>
      <c r="E960" s="4">
        <v>1</v>
      </c>
      <c r="F960" t="s">
        <v>210</v>
      </c>
      <c r="G960" t="s">
        <v>210</v>
      </c>
      <c r="H960" s="3">
        <v>46175</v>
      </c>
      <c r="I960" s="3">
        <v>46188</v>
      </c>
      <c r="J960" t="s">
        <v>472</v>
      </c>
      <c r="K960" s="3">
        <v>46188</v>
      </c>
      <c r="L960" s="3">
        <v>46175</v>
      </c>
      <c r="M960" s="3">
        <v>46188</v>
      </c>
      <c r="N960" s="3">
        <v>46188</v>
      </c>
      <c r="O960" t="s">
        <v>472</v>
      </c>
      <c r="P960" t="s">
        <v>55</v>
      </c>
      <c r="T960" t="s">
        <v>1429</v>
      </c>
      <c r="V960" t="s">
        <v>203</v>
      </c>
      <c r="X960" t="s">
        <v>57</v>
      </c>
      <c r="AA960" t="s">
        <v>50</v>
      </c>
      <c r="AB960" t="s">
        <v>94</v>
      </c>
      <c r="AE960">
        <v>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</row>
    <row r="961" spans="1:42" x14ac:dyDescent="0.25">
      <c r="A961">
        <v>1108</v>
      </c>
      <c r="B961" t="s">
        <v>1801</v>
      </c>
      <c r="C961" t="s">
        <v>1802</v>
      </c>
      <c r="D961" t="s">
        <v>117</v>
      </c>
      <c r="E961" s="4">
        <v>1</v>
      </c>
      <c r="F961" t="s">
        <v>175</v>
      </c>
      <c r="G961" t="s">
        <v>175</v>
      </c>
      <c r="H961" s="3">
        <v>46175</v>
      </c>
      <c r="I961" s="3">
        <v>46185</v>
      </c>
      <c r="J961" t="s">
        <v>472</v>
      </c>
      <c r="K961" s="3">
        <v>46185</v>
      </c>
      <c r="L961" s="3">
        <v>46175</v>
      </c>
      <c r="M961" s="3">
        <v>46185</v>
      </c>
      <c r="N961" s="3">
        <v>46185</v>
      </c>
      <c r="O961" t="s">
        <v>472</v>
      </c>
      <c r="P961" t="s">
        <v>55</v>
      </c>
      <c r="Q961" t="s">
        <v>1786</v>
      </c>
      <c r="S961" t="s">
        <v>1444</v>
      </c>
      <c r="T961" t="s">
        <v>1429</v>
      </c>
      <c r="U961" t="s">
        <v>1803</v>
      </c>
      <c r="V961" t="s">
        <v>214</v>
      </c>
      <c r="W961">
        <v>13.4</v>
      </c>
      <c r="X961" t="s">
        <v>57</v>
      </c>
      <c r="Z961" t="s">
        <v>1444</v>
      </c>
      <c r="AA961" t="s">
        <v>77</v>
      </c>
      <c r="AE961">
        <v>1</v>
      </c>
      <c r="AF961">
        <v>1</v>
      </c>
      <c r="AG961">
        <v>1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1</v>
      </c>
    </row>
    <row r="962" spans="1:42" x14ac:dyDescent="0.25">
      <c r="A962">
        <v>1109</v>
      </c>
      <c r="B962" t="s">
        <v>1804</v>
      </c>
      <c r="C962" t="s">
        <v>1802</v>
      </c>
      <c r="D962" t="s">
        <v>121</v>
      </c>
      <c r="E962" s="4">
        <v>1</v>
      </c>
      <c r="F962" t="s">
        <v>61</v>
      </c>
      <c r="G962" t="s">
        <v>61</v>
      </c>
      <c r="H962" s="3">
        <v>46185</v>
      </c>
      <c r="I962" s="3">
        <v>46185</v>
      </c>
      <c r="J962" t="s">
        <v>571</v>
      </c>
      <c r="K962" s="3">
        <v>46185</v>
      </c>
      <c r="L962" s="3">
        <v>46185</v>
      </c>
      <c r="M962" s="3">
        <v>46185</v>
      </c>
      <c r="N962" s="3">
        <v>46185</v>
      </c>
      <c r="O962" t="s">
        <v>571</v>
      </c>
      <c r="P962" t="s">
        <v>55</v>
      </c>
      <c r="Q962">
        <v>1108</v>
      </c>
      <c r="S962" t="s">
        <v>124</v>
      </c>
      <c r="T962" t="s">
        <v>1429</v>
      </c>
      <c r="U962">
        <v>1110</v>
      </c>
      <c r="V962" t="s">
        <v>122</v>
      </c>
      <c r="W962">
        <v>13.4</v>
      </c>
      <c r="X962" t="s">
        <v>57</v>
      </c>
      <c r="Z962" t="s">
        <v>124</v>
      </c>
      <c r="AA962" t="s">
        <v>462</v>
      </c>
      <c r="AE962">
        <v>1</v>
      </c>
      <c r="AF962">
        <v>0</v>
      </c>
      <c r="AG962">
        <v>0</v>
      </c>
      <c r="AH962">
        <v>0</v>
      </c>
      <c r="AI962">
        <v>0</v>
      </c>
      <c r="AJ962">
        <v>1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</row>
    <row r="963" spans="1:42" x14ac:dyDescent="0.25">
      <c r="A963">
        <v>1110</v>
      </c>
      <c r="B963" t="s">
        <v>1805</v>
      </c>
      <c r="C963" t="s">
        <v>1802</v>
      </c>
      <c r="D963" t="s">
        <v>126</v>
      </c>
      <c r="E963" s="4">
        <v>1</v>
      </c>
      <c r="F963" t="s">
        <v>61</v>
      </c>
      <c r="G963" t="s">
        <v>61</v>
      </c>
      <c r="H963" s="3">
        <v>46188</v>
      </c>
      <c r="I963" s="3">
        <v>46188</v>
      </c>
      <c r="J963" t="s">
        <v>595</v>
      </c>
      <c r="K963" s="3">
        <v>46188</v>
      </c>
      <c r="L963" s="3">
        <v>46188</v>
      </c>
      <c r="M963" s="3">
        <v>46188</v>
      </c>
      <c r="N963" s="3">
        <v>46188</v>
      </c>
      <c r="O963" t="s">
        <v>595</v>
      </c>
      <c r="P963" t="s">
        <v>55</v>
      </c>
      <c r="Q963">
        <v>1109</v>
      </c>
      <c r="S963" t="s">
        <v>1444</v>
      </c>
      <c r="T963" t="s">
        <v>1429</v>
      </c>
      <c r="U963">
        <v>1111</v>
      </c>
      <c r="V963" t="s">
        <v>61</v>
      </c>
      <c r="W963">
        <v>13.4</v>
      </c>
      <c r="X963" t="s">
        <v>57</v>
      </c>
      <c r="Z963" t="s">
        <v>1444</v>
      </c>
      <c r="AA963" t="s">
        <v>462</v>
      </c>
      <c r="AE963">
        <v>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1</v>
      </c>
      <c r="AM963">
        <v>0</v>
      </c>
      <c r="AN963">
        <v>0</v>
      </c>
      <c r="AO963">
        <v>0</v>
      </c>
      <c r="AP963">
        <v>0</v>
      </c>
    </row>
    <row r="964" spans="1:42" x14ac:dyDescent="0.25">
      <c r="A964">
        <v>1111</v>
      </c>
      <c r="B964" t="s">
        <v>1806</v>
      </c>
      <c r="C964" t="s">
        <v>1802</v>
      </c>
      <c r="D964" t="s">
        <v>133</v>
      </c>
      <c r="E964" s="4">
        <v>1</v>
      </c>
      <c r="F964" t="s">
        <v>63</v>
      </c>
      <c r="G964" t="s">
        <v>63</v>
      </c>
      <c r="H964" s="3">
        <v>46188</v>
      </c>
      <c r="I964" s="3">
        <v>46188</v>
      </c>
      <c r="J964" t="s">
        <v>595</v>
      </c>
      <c r="K964" s="3">
        <v>46188</v>
      </c>
      <c r="L964" s="3">
        <v>46188</v>
      </c>
      <c r="M964" s="3">
        <v>46188</v>
      </c>
      <c r="N964" s="3">
        <v>46188</v>
      </c>
      <c r="O964" t="s">
        <v>595</v>
      </c>
      <c r="P964" t="s">
        <v>55</v>
      </c>
      <c r="Q964">
        <v>1110</v>
      </c>
      <c r="S964" t="s">
        <v>124</v>
      </c>
      <c r="T964" t="s">
        <v>1429</v>
      </c>
      <c r="V964" t="s">
        <v>61</v>
      </c>
      <c r="W964">
        <v>13.4</v>
      </c>
      <c r="X964" t="s">
        <v>57</v>
      </c>
      <c r="Z964" t="s">
        <v>124</v>
      </c>
      <c r="AA964" t="s">
        <v>217</v>
      </c>
      <c r="AE964">
        <v>1</v>
      </c>
      <c r="AF964">
        <v>0</v>
      </c>
      <c r="AG964">
        <v>0</v>
      </c>
      <c r="AH964">
        <v>0</v>
      </c>
      <c r="AI964">
        <v>1</v>
      </c>
      <c r="AJ964">
        <v>0</v>
      </c>
      <c r="AK964">
        <v>0</v>
      </c>
      <c r="AL964">
        <v>0</v>
      </c>
      <c r="AM964">
        <v>0</v>
      </c>
      <c r="AN964">
        <v>1</v>
      </c>
      <c r="AO964">
        <v>0</v>
      </c>
      <c r="AP964">
        <v>0</v>
      </c>
    </row>
    <row r="965" spans="1:42" x14ac:dyDescent="0.25">
      <c r="A965">
        <v>1112</v>
      </c>
      <c r="B965" t="s">
        <v>1807</v>
      </c>
      <c r="C965" t="s">
        <v>1782</v>
      </c>
      <c r="D965" t="s">
        <v>1808</v>
      </c>
      <c r="E965" s="4">
        <v>1</v>
      </c>
      <c r="F965" t="s">
        <v>122</v>
      </c>
      <c r="G965" t="s">
        <v>122</v>
      </c>
      <c r="H965" s="3">
        <v>46185</v>
      </c>
      <c r="I965" s="3">
        <v>46189</v>
      </c>
      <c r="J965" t="s">
        <v>204</v>
      </c>
      <c r="K965" s="3">
        <v>46192</v>
      </c>
      <c r="L965" s="3">
        <v>46182</v>
      </c>
      <c r="M965" s="3">
        <v>46189</v>
      </c>
      <c r="N965" s="3">
        <v>46189</v>
      </c>
      <c r="O965" t="s">
        <v>571</v>
      </c>
      <c r="P965" t="s">
        <v>55</v>
      </c>
      <c r="T965" t="s">
        <v>1429</v>
      </c>
      <c r="V965" t="s">
        <v>114</v>
      </c>
      <c r="X965" t="s">
        <v>57</v>
      </c>
      <c r="AA965" t="s">
        <v>50</v>
      </c>
      <c r="AB965" t="s">
        <v>94</v>
      </c>
      <c r="AE965">
        <v>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</row>
    <row r="966" spans="1:42" x14ac:dyDescent="0.25">
      <c r="A966">
        <v>1113</v>
      </c>
      <c r="B966" t="s">
        <v>1809</v>
      </c>
      <c r="C966" t="s">
        <v>1810</v>
      </c>
      <c r="D966" t="s">
        <v>117</v>
      </c>
      <c r="E966" s="4">
        <v>1</v>
      </c>
      <c r="F966" t="s">
        <v>61</v>
      </c>
      <c r="G966" t="s">
        <v>61</v>
      </c>
      <c r="H966" s="3">
        <v>46185</v>
      </c>
      <c r="I966" s="3">
        <v>46185</v>
      </c>
      <c r="J966" t="s">
        <v>204</v>
      </c>
      <c r="K966" s="3">
        <v>46185</v>
      </c>
      <c r="L966" s="3">
        <v>46182</v>
      </c>
      <c r="M966" s="3">
        <v>46185</v>
      </c>
      <c r="N966" s="3">
        <v>46185</v>
      </c>
      <c r="O966" t="s">
        <v>571</v>
      </c>
      <c r="P966" t="s">
        <v>55</v>
      </c>
      <c r="Q966" t="s">
        <v>734</v>
      </c>
      <c r="S966" t="s">
        <v>1433</v>
      </c>
      <c r="T966" t="s">
        <v>1429</v>
      </c>
      <c r="U966">
        <v>1114</v>
      </c>
      <c r="V966" t="s">
        <v>101</v>
      </c>
      <c r="W966">
        <v>13.4</v>
      </c>
      <c r="X966" t="s">
        <v>57</v>
      </c>
      <c r="Z966" t="s">
        <v>1433</v>
      </c>
      <c r="AA966" t="s">
        <v>462</v>
      </c>
      <c r="AE966">
        <v>1</v>
      </c>
      <c r="AF966">
        <v>1</v>
      </c>
      <c r="AG966">
        <v>1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1</v>
      </c>
    </row>
    <row r="967" spans="1:42" x14ac:dyDescent="0.25">
      <c r="A967">
        <v>1114</v>
      </c>
      <c r="B967" t="s">
        <v>1811</v>
      </c>
      <c r="C967" t="s">
        <v>1810</v>
      </c>
      <c r="D967" t="s">
        <v>121</v>
      </c>
      <c r="E967" s="4">
        <v>1</v>
      </c>
      <c r="F967" t="s">
        <v>61</v>
      </c>
      <c r="G967" t="s">
        <v>61</v>
      </c>
      <c r="H967" s="3">
        <v>46188</v>
      </c>
      <c r="I967" s="3">
        <v>46188</v>
      </c>
      <c r="J967" t="s">
        <v>595</v>
      </c>
      <c r="K967" s="3">
        <v>46190</v>
      </c>
      <c r="L967" s="3">
        <v>46188</v>
      </c>
      <c r="M967" s="3">
        <v>46188</v>
      </c>
      <c r="N967" s="3">
        <v>46188</v>
      </c>
      <c r="O967" t="s">
        <v>595</v>
      </c>
      <c r="P967" t="s">
        <v>55</v>
      </c>
      <c r="Q967">
        <v>1113</v>
      </c>
      <c r="S967" t="s">
        <v>124</v>
      </c>
      <c r="T967" t="s">
        <v>1429</v>
      </c>
      <c r="U967">
        <v>1115</v>
      </c>
      <c r="V967" t="s">
        <v>122</v>
      </c>
      <c r="W967">
        <v>13.4</v>
      </c>
      <c r="X967" t="s">
        <v>57</v>
      </c>
      <c r="Z967" t="s">
        <v>124</v>
      </c>
      <c r="AA967" t="s">
        <v>217</v>
      </c>
      <c r="AE967">
        <v>1</v>
      </c>
      <c r="AF967">
        <v>0</v>
      </c>
      <c r="AG967">
        <v>0</v>
      </c>
      <c r="AH967">
        <v>0</v>
      </c>
      <c r="AI967">
        <v>0</v>
      </c>
      <c r="AJ967">
        <v>1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</row>
    <row r="968" spans="1:42" x14ac:dyDescent="0.25">
      <c r="A968">
        <v>1115</v>
      </c>
      <c r="B968" t="s">
        <v>1812</v>
      </c>
      <c r="C968" t="s">
        <v>1810</v>
      </c>
      <c r="D968" t="s">
        <v>126</v>
      </c>
      <c r="E968" s="4">
        <v>1</v>
      </c>
      <c r="F968" t="s">
        <v>61</v>
      </c>
      <c r="G968" t="s">
        <v>61</v>
      </c>
      <c r="H968" s="3">
        <v>46189</v>
      </c>
      <c r="I968" s="3">
        <v>46189</v>
      </c>
      <c r="J968" t="s">
        <v>480</v>
      </c>
      <c r="K968" s="3">
        <v>46191</v>
      </c>
      <c r="L968" s="3">
        <v>46191</v>
      </c>
      <c r="M968" s="3">
        <v>46189</v>
      </c>
      <c r="N968" s="3">
        <v>46189</v>
      </c>
      <c r="O968" t="s">
        <v>576</v>
      </c>
      <c r="P968" t="s">
        <v>55</v>
      </c>
      <c r="Q968">
        <v>1114</v>
      </c>
      <c r="S968" t="s">
        <v>1433</v>
      </c>
      <c r="T968" t="s">
        <v>1429</v>
      </c>
      <c r="U968">
        <v>1116</v>
      </c>
      <c r="V968" t="s">
        <v>61</v>
      </c>
      <c r="W968">
        <v>13.4</v>
      </c>
      <c r="X968" t="s">
        <v>57</v>
      </c>
      <c r="Z968" t="s">
        <v>1433</v>
      </c>
      <c r="AA968" t="s">
        <v>217</v>
      </c>
      <c r="AE968">
        <v>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1</v>
      </c>
      <c r="AM968">
        <v>0</v>
      </c>
      <c r="AN968">
        <v>0</v>
      </c>
      <c r="AO968">
        <v>0</v>
      </c>
      <c r="AP968">
        <v>0</v>
      </c>
    </row>
    <row r="969" spans="1:42" x14ac:dyDescent="0.25">
      <c r="A969">
        <v>1116</v>
      </c>
      <c r="B969" t="s">
        <v>1813</v>
      </c>
      <c r="C969" t="s">
        <v>1810</v>
      </c>
      <c r="D969" t="s">
        <v>133</v>
      </c>
      <c r="E969" s="4">
        <v>1</v>
      </c>
      <c r="F969" t="s">
        <v>63</v>
      </c>
      <c r="G969" t="s">
        <v>63</v>
      </c>
      <c r="H969" s="3">
        <v>46188</v>
      </c>
      <c r="I969" s="3">
        <v>46188</v>
      </c>
      <c r="J969" t="s">
        <v>211</v>
      </c>
      <c r="K969" s="3">
        <v>46192</v>
      </c>
      <c r="L969" s="3">
        <v>46192</v>
      </c>
      <c r="M969" s="3">
        <v>46188</v>
      </c>
      <c r="N969" s="3">
        <v>46188</v>
      </c>
      <c r="O969" t="s">
        <v>595</v>
      </c>
      <c r="P969" t="s">
        <v>55</v>
      </c>
      <c r="Q969">
        <v>1115</v>
      </c>
      <c r="S969" t="s">
        <v>124</v>
      </c>
      <c r="T969" t="s">
        <v>1429</v>
      </c>
      <c r="V969" t="s">
        <v>61</v>
      </c>
      <c r="W969">
        <v>13.4</v>
      </c>
      <c r="X969" t="s">
        <v>57</v>
      </c>
      <c r="Z969" t="s">
        <v>124</v>
      </c>
      <c r="AA969" t="s">
        <v>217</v>
      </c>
      <c r="AE969">
        <v>1</v>
      </c>
      <c r="AF969">
        <v>0</v>
      </c>
      <c r="AG969">
        <v>0</v>
      </c>
      <c r="AH969">
        <v>0</v>
      </c>
      <c r="AI969">
        <v>1</v>
      </c>
      <c r="AJ969">
        <v>0</v>
      </c>
      <c r="AK969">
        <v>0</v>
      </c>
      <c r="AL969">
        <v>0</v>
      </c>
      <c r="AM969">
        <v>0</v>
      </c>
      <c r="AN969">
        <v>1</v>
      </c>
      <c r="AO969">
        <v>0</v>
      </c>
      <c r="AP969">
        <v>0</v>
      </c>
    </row>
    <row r="970" spans="1:42" x14ac:dyDescent="0.25">
      <c r="A970">
        <v>1117</v>
      </c>
      <c r="B970" t="s">
        <v>1814</v>
      </c>
      <c r="C970" t="s">
        <v>1782</v>
      </c>
      <c r="D970" t="s">
        <v>1815</v>
      </c>
      <c r="E970" s="4">
        <v>1</v>
      </c>
      <c r="F970" t="s">
        <v>214</v>
      </c>
      <c r="G970" t="s">
        <v>214</v>
      </c>
      <c r="H970" s="3">
        <v>46185</v>
      </c>
      <c r="I970" s="3">
        <v>46192</v>
      </c>
      <c r="J970" t="s">
        <v>576</v>
      </c>
      <c r="K970" s="3">
        <v>46199</v>
      </c>
      <c r="L970" s="3">
        <v>46189</v>
      </c>
      <c r="M970" s="3">
        <v>46192</v>
      </c>
      <c r="N970" s="3">
        <v>46192</v>
      </c>
      <c r="O970" t="s">
        <v>571</v>
      </c>
      <c r="P970" t="s">
        <v>55</v>
      </c>
      <c r="T970" t="s">
        <v>1429</v>
      </c>
      <c r="V970" t="s">
        <v>114</v>
      </c>
      <c r="X970" t="s">
        <v>57</v>
      </c>
      <c r="AA970" t="s">
        <v>50</v>
      </c>
      <c r="AB970" t="s">
        <v>94</v>
      </c>
      <c r="AE970">
        <v>1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</row>
    <row r="971" spans="1:42" x14ac:dyDescent="0.25">
      <c r="A971">
        <v>1118</v>
      </c>
      <c r="B971" t="s">
        <v>1816</v>
      </c>
      <c r="C971" t="s">
        <v>1817</v>
      </c>
      <c r="D971" t="s">
        <v>117</v>
      </c>
      <c r="E971" s="4">
        <v>1</v>
      </c>
      <c r="F971" t="s">
        <v>101</v>
      </c>
      <c r="G971" t="s">
        <v>101</v>
      </c>
      <c r="H971" s="3">
        <v>46185</v>
      </c>
      <c r="I971" s="3">
        <v>46190</v>
      </c>
      <c r="J971" t="s">
        <v>576</v>
      </c>
      <c r="K971" s="3">
        <v>46192</v>
      </c>
      <c r="L971" s="3">
        <v>46189</v>
      </c>
      <c r="M971" s="3">
        <v>46190</v>
      </c>
      <c r="N971" s="3">
        <v>46190</v>
      </c>
      <c r="O971" t="s">
        <v>571</v>
      </c>
      <c r="P971" t="s">
        <v>55</v>
      </c>
      <c r="S971" t="s">
        <v>1444</v>
      </c>
      <c r="T971" t="s">
        <v>1429</v>
      </c>
      <c r="U971" t="s">
        <v>1818</v>
      </c>
      <c r="V971" t="s">
        <v>101</v>
      </c>
      <c r="W971">
        <v>13.4</v>
      </c>
      <c r="X971" t="s">
        <v>57</v>
      </c>
      <c r="Z971" t="s">
        <v>1444</v>
      </c>
      <c r="AA971" t="s">
        <v>217</v>
      </c>
      <c r="AE971">
        <v>1</v>
      </c>
      <c r="AF971">
        <v>1</v>
      </c>
      <c r="AG971">
        <v>1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1</v>
      </c>
    </row>
    <row r="972" spans="1:42" x14ac:dyDescent="0.25">
      <c r="A972">
        <v>1119</v>
      </c>
      <c r="B972" t="s">
        <v>1819</v>
      </c>
      <c r="C972" t="s">
        <v>1817</v>
      </c>
      <c r="D972" t="s">
        <v>121</v>
      </c>
      <c r="E972" s="4">
        <v>1</v>
      </c>
      <c r="F972" t="s">
        <v>61</v>
      </c>
      <c r="G972" t="s">
        <v>61</v>
      </c>
      <c r="H972" s="3">
        <v>46191</v>
      </c>
      <c r="I972" s="3">
        <v>46191</v>
      </c>
      <c r="J972" t="s">
        <v>219</v>
      </c>
      <c r="K972" s="3">
        <v>46197</v>
      </c>
      <c r="L972" s="3">
        <v>46195</v>
      </c>
      <c r="M972" s="3">
        <v>46191</v>
      </c>
      <c r="N972" s="3">
        <v>46191</v>
      </c>
      <c r="O972" t="s">
        <v>480</v>
      </c>
      <c r="P972" t="s">
        <v>55</v>
      </c>
      <c r="Q972">
        <v>1118</v>
      </c>
      <c r="S972" t="s">
        <v>124</v>
      </c>
      <c r="T972" t="s">
        <v>1429</v>
      </c>
      <c r="U972">
        <v>1120</v>
      </c>
      <c r="V972" t="s">
        <v>122</v>
      </c>
      <c r="W972">
        <v>13.4</v>
      </c>
      <c r="X972" t="s">
        <v>57</v>
      </c>
      <c r="Z972" t="s">
        <v>124</v>
      </c>
      <c r="AA972" t="s">
        <v>131</v>
      </c>
      <c r="AE972">
        <v>1</v>
      </c>
      <c r="AF972">
        <v>0</v>
      </c>
      <c r="AG972">
        <v>0</v>
      </c>
      <c r="AH972">
        <v>0</v>
      </c>
      <c r="AI972">
        <v>0</v>
      </c>
      <c r="AJ972">
        <v>1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</row>
    <row r="973" spans="1:42" x14ac:dyDescent="0.25">
      <c r="A973">
        <v>1120</v>
      </c>
      <c r="B973" t="s">
        <v>1820</v>
      </c>
      <c r="C973" t="s">
        <v>1817</v>
      </c>
      <c r="D973" t="s">
        <v>126</v>
      </c>
      <c r="E973" s="4">
        <v>1</v>
      </c>
      <c r="F973" t="s">
        <v>61</v>
      </c>
      <c r="G973" t="s">
        <v>61</v>
      </c>
      <c r="H973" s="3">
        <v>46192</v>
      </c>
      <c r="I973" s="3">
        <v>46192</v>
      </c>
      <c r="J973" t="s">
        <v>128</v>
      </c>
      <c r="K973" s="3">
        <v>46198</v>
      </c>
      <c r="L973" s="3">
        <v>46198</v>
      </c>
      <c r="M973" s="3">
        <v>46192</v>
      </c>
      <c r="N973" s="3">
        <v>46192</v>
      </c>
      <c r="O973" t="s">
        <v>211</v>
      </c>
      <c r="P973" t="s">
        <v>55</v>
      </c>
      <c r="Q973">
        <v>1119</v>
      </c>
      <c r="S973" t="s">
        <v>1444</v>
      </c>
      <c r="T973" t="s">
        <v>1429</v>
      </c>
      <c r="U973">
        <v>1121</v>
      </c>
      <c r="V973" t="s">
        <v>61</v>
      </c>
      <c r="W973">
        <v>13.4</v>
      </c>
      <c r="X973" t="s">
        <v>57</v>
      </c>
      <c r="Z973" t="s">
        <v>1444</v>
      </c>
      <c r="AA973" t="s">
        <v>131</v>
      </c>
      <c r="AE973">
        <v>1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1</v>
      </c>
      <c r="AM973">
        <v>0</v>
      </c>
      <c r="AN973">
        <v>0</v>
      </c>
      <c r="AO973">
        <v>0</v>
      </c>
      <c r="AP973">
        <v>0</v>
      </c>
    </row>
    <row r="974" spans="1:42" x14ac:dyDescent="0.25">
      <c r="A974">
        <v>1121</v>
      </c>
      <c r="B974" t="s">
        <v>1821</v>
      </c>
      <c r="C974" t="s">
        <v>1817</v>
      </c>
      <c r="D974" t="s">
        <v>133</v>
      </c>
      <c r="E974" s="4">
        <v>1</v>
      </c>
      <c r="F974" t="s">
        <v>63</v>
      </c>
      <c r="G974" t="s">
        <v>63</v>
      </c>
      <c r="H974" s="3">
        <v>46191</v>
      </c>
      <c r="I974" s="3">
        <v>46191</v>
      </c>
      <c r="J974" t="s">
        <v>134</v>
      </c>
      <c r="K974" s="3">
        <v>46199</v>
      </c>
      <c r="L974" s="3">
        <v>46199</v>
      </c>
      <c r="M974" s="3">
        <v>46191</v>
      </c>
      <c r="N974" s="3">
        <v>46191</v>
      </c>
      <c r="O974" t="s">
        <v>480</v>
      </c>
      <c r="P974" t="s">
        <v>55</v>
      </c>
      <c r="Q974">
        <v>1120</v>
      </c>
      <c r="S974" t="s">
        <v>124</v>
      </c>
      <c r="T974" t="s">
        <v>1429</v>
      </c>
      <c r="V974" t="s">
        <v>61</v>
      </c>
      <c r="W974">
        <v>13.4</v>
      </c>
      <c r="X974" t="s">
        <v>57</v>
      </c>
      <c r="Z974" t="s">
        <v>124</v>
      </c>
      <c r="AA974" t="s">
        <v>131</v>
      </c>
      <c r="AE974">
        <v>1</v>
      </c>
      <c r="AF974">
        <v>0</v>
      </c>
      <c r="AG974">
        <v>0</v>
      </c>
      <c r="AH974">
        <v>0</v>
      </c>
      <c r="AI974">
        <v>1</v>
      </c>
      <c r="AJ974">
        <v>0</v>
      </c>
      <c r="AK974">
        <v>0</v>
      </c>
      <c r="AL974">
        <v>0</v>
      </c>
      <c r="AM974">
        <v>0</v>
      </c>
      <c r="AN974">
        <v>1</v>
      </c>
      <c r="AO974">
        <v>0</v>
      </c>
      <c r="AP974">
        <v>0</v>
      </c>
    </row>
    <row r="975" spans="1:42" x14ac:dyDescent="0.25">
      <c r="A975">
        <v>1122</v>
      </c>
      <c r="B975" t="s">
        <v>1822</v>
      </c>
      <c r="C975" t="s">
        <v>1782</v>
      </c>
      <c r="D975" t="s">
        <v>1823</v>
      </c>
      <c r="E975" s="4">
        <v>1</v>
      </c>
      <c r="F975" t="s">
        <v>214</v>
      </c>
      <c r="G975" t="s">
        <v>214</v>
      </c>
      <c r="H975" s="3">
        <v>46185</v>
      </c>
      <c r="I975" s="3">
        <v>46192</v>
      </c>
      <c r="J975" t="s">
        <v>576</v>
      </c>
      <c r="K975" s="3">
        <v>46199</v>
      </c>
      <c r="L975" s="3">
        <v>46189</v>
      </c>
      <c r="M975" s="3">
        <v>46192</v>
      </c>
      <c r="N975" s="3">
        <v>46192</v>
      </c>
      <c r="O975" t="s">
        <v>571</v>
      </c>
      <c r="P975" t="s">
        <v>55</v>
      </c>
      <c r="T975" t="s">
        <v>1429</v>
      </c>
      <c r="V975" t="s">
        <v>114</v>
      </c>
      <c r="X975" t="s">
        <v>57</v>
      </c>
      <c r="AA975" t="s">
        <v>50</v>
      </c>
      <c r="AB975" t="s">
        <v>94</v>
      </c>
      <c r="AE975">
        <v>1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</row>
    <row r="976" spans="1:42" x14ac:dyDescent="0.25">
      <c r="A976">
        <v>1123</v>
      </c>
      <c r="B976" t="s">
        <v>1824</v>
      </c>
      <c r="C976" t="s">
        <v>1825</v>
      </c>
      <c r="D976" t="s">
        <v>117</v>
      </c>
      <c r="E976" s="4">
        <v>1</v>
      </c>
      <c r="F976" t="s">
        <v>101</v>
      </c>
      <c r="G976" t="s">
        <v>101</v>
      </c>
      <c r="H976" s="3">
        <v>46185</v>
      </c>
      <c r="I976" s="3">
        <v>46190</v>
      </c>
      <c r="J976" t="s">
        <v>576</v>
      </c>
      <c r="K976" s="3">
        <v>46192</v>
      </c>
      <c r="L976" s="3">
        <v>46189</v>
      </c>
      <c r="M976" s="3">
        <v>46190</v>
      </c>
      <c r="N976" s="3">
        <v>46190</v>
      </c>
      <c r="O976" t="s">
        <v>571</v>
      </c>
      <c r="P976" t="s">
        <v>55</v>
      </c>
      <c r="Q976" t="s">
        <v>1826</v>
      </c>
      <c r="S976" t="s">
        <v>1444</v>
      </c>
      <c r="T976" t="s">
        <v>1429</v>
      </c>
      <c r="U976">
        <v>1124</v>
      </c>
      <c r="V976" t="s">
        <v>101</v>
      </c>
      <c r="W976">
        <v>13.4</v>
      </c>
      <c r="X976" t="s">
        <v>57</v>
      </c>
      <c r="Z976" t="s">
        <v>1444</v>
      </c>
      <c r="AA976" t="s">
        <v>217</v>
      </c>
      <c r="AE976">
        <v>1</v>
      </c>
      <c r="AF976">
        <v>1</v>
      </c>
      <c r="AG976">
        <v>1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1</v>
      </c>
    </row>
    <row r="977" spans="1:42" x14ac:dyDescent="0.25">
      <c r="A977">
        <v>1124</v>
      </c>
      <c r="B977" t="s">
        <v>1827</v>
      </c>
      <c r="C977" t="s">
        <v>1825</v>
      </c>
      <c r="D977" t="s">
        <v>121</v>
      </c>
      <c r="E977" s="4">
        <v>1</v>
      </c>
      <c r="F977" t="s">
        <v>61</v>
      </c>
      <c r="G977" t="s">
        <v>61</v>
      </c>
      <c r="H977" s="3">
        <v>46191</v>
      </c>
      <c r="I977" s="3">
        <v>46191</v>
      </c>
      <c r="J977" t="s">
        <v>219</v>
      </c>
      <c r="K977" s="3">
        <v>46197</v>
      </c>
      <c r="L977" s="3">
        <v>46195</v>
      </c>
      <c r="M977" s="3">
        <v>46191</v>
      </c>
      <c r="N977" s="3">
        <v>46191</v>
      </c>
      <c r="O977" t="s">
        <v>480</v>
      </c>
      <c r="P977" t="s">
        <v>55</v>
      </c>
      <c r="Q977">
        <v>1123</v>
      </c>
      <c r="S977" t="s">
        <v>124</v>
      </c>
      <c r="T977" t="s">
        <v>1429</v>
      </c>
      <c r="U977">
        <v>1125</v>
      </c>
      <c r="V977" t="s">
        <v>122</v>
      </c>
      <c r="W977">
        <v>13.4</v>
      </c>
      <c r="X977" t="s">
        <v>57</v>
      </c>
      <c r="Z977" t="s">
        <v>124</v>
      </c>
      <c r="AA977" t="s">
        <v>131</v>
      </c>
      <c r="AE977">
        <v>1</v>
      </c>
      <c r="AF977">
        <v>0</v>
      </c>
      <c r="AG977">
        <v>0</v>
      </c>
      <c r="AH977">
        <v>0</v>
      </c>
      <c r="AI977">
        <v>0</v>
      </c>
      <c r="AJ977">
        <v>1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</row>
    <row r="978" spans="1:42" x14ac:dyDescent="0.25">
      <c r="A978">
        <v>1125</v>
      </c>
      <c r="B978" t="s">
        <v>1828</v>
      </c>
      <c r="C978" t="s">
        <v>1825</v>
      </c>
      <c r="D978" t="s">
        <v>126</v>
      </c>
      <c r="E978" s="4">
        <v>1</v>
      </c>
      <c r="F978" t="s">
        <v>61</v>
      </c>
      <c r="G978" t="s">
        <v>61</v>
      </c>
      <c r="H978" s="3">
        <v>46192</v>
      </c>
      <c r="I978" s="3">
        <v>46192</v>
      </c>
      <c r="J978" t="s">
        <v>128</v>
      </c>
      <c r="K978" s="3">
        <v>46198</v>
      </c>
      <c r="L978" s="3">
        <v>46198</v>
      </c>
      <c r="M978" s="3">
        <v>46192</v>
      </c>
      <c r="N978" s="3">
        <v>46192</v>
      </c>
      <c r="O978" t="s">
        <v>211</v>
      </c>
      <c r="P978" t="s">
        <v>55</v>
      </c>
      <c r="Q978">
        <v>1124</v>
      </c>
      <c r="S978" t="s">
        <v>1444</v>
      </c>
      <c r="T978" t="s">
        <v>1429</v>
      </c>
      <c r="U978">
        <v>1126</v>
      </c>
      <c r="V978" t="s">
        <v>61</v>
      </c>
      <c r="W978">
        <v>13.4</v>
      </c>
      <c r="X978" t="s">
        <v>57</v>
      </c>
      <c r="Z978" t="s">
        <v>1444</v>
      </c>
      <c r="AA978" t="s">
        <v>131</v>
      </c>
      <c r="AE978">
        <v>1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1</v>
      </c>
      <c r="AM978">
        <v>0</v>
      </c>
      <c r="AN978">
        <v>0</v>
      </c>
      <c r="AO978">
        <v>0</v>
      </c>
      <c r="AP978">
        <v>0</v>
      </c>
    </row>
    <row r="979" spans="1:42" x14ac:dyDescent="0.25">
      <c r="A979">
        <v>1126</v>
      </c>
      <c r="B979" t="s">
        <v>1829</v>
      </c>
      <c r="C979" t="s">
        <v>1825</v>
      </c>
      <c r="D979" t="s">
        <v>133</v>
      </c>
      <c r="E979" s="4">
        <v>1</v>
      </c>
      <c r="F979" t="s">
        <v>63</v>
      </c>
      <c r="G979" t="s">
        <v>63</v>
      </c>
      <c r="H979" s="3">
        <v>46189</v>
      </c>
      <c r="I979" s="3">
        <v>46189</v>
      </c>
      <c r="J979" t="s">
        <v>134</v>
      </c>
      <c r="K979" s="3">
        <v>46199</v>
      </c>
      <c r="L979" s="3">
        <v>46199</v>
      </c>
      <c r="M979" s="3">
        <v>46189</v>
      </c>
      <c r="N979" s="3">
        <v>46189</v>
      </c>
      <c r="O979" t="s">
        <v>576</v>
      </c>
      <c r="P979" t="s">
        <v>55</v>
      </c>
      <c r="Q979">
        <v>1125</v>
      </c>
      <c r="S979" t="s">
        <v>124</v>
      </c>
      <c r="T979" t="s">
        <v>1429</v>
      </c>
      <c r="V979" t="s">
        <v>61</v>
      </c>
      <c r="W979">
        <v>13.4</v>
      </c>
      <c r="X979" t="s">
        <v>57</v>
      </c>
      <c r="Z979" t="s">
        <v>124</v>
      </c>
      <c r="AA979" t="s">
        <v>131</v>
      </c>
      <c r="AE979">
        <v>1</v>
      </c>
      <c r="AF979">
        <v>0</v>
      </c>
      <c r="AG979">
        <v>0</v>
      </c>
      <c r="AH979">
        <v>0</v>
      </c>
      <c r="AI979">
        <v>1</v>
      </c>
      <c r="AJ979">
        <v>0</v>
      </c>
      <c r="AK979">
        <v>0</v>
      </c>
      <c r="AL979">
        <v>0</v>
      </c>
      <c r="AM979">
        <v>0</v>
      </c>
      <c r="AN979">
        <v>1</v>
      </c>
      <c r="AO979">
        <v>0</v>
      </c>
      <c r="AP979">
        <v>0</v>
      </c>
    </row>
    <row r="980" spans="1:42" x14ac:dyDescent="0.25">
      <c r="A980">
        <v>1127</v>
      </c>
      <c r="B980" t="s">
        <v>1830</v>
      </c>
      <c r="C980" t="s">
        <v>1782</v>
      </c>
      <c r="D980" t="s">
        <v>1831</v>
      </c>
      <c r="E980" s="4">
        <v>1</v>
      </c>
      <c r="F980" t="s">
        <v>214</v>
      </c>
      <c r="G980" t="s">
        <v>214</v>
      </c>
      <c r="H980" s="3">
        <v>46185</v>
      </c>
      <c r="I980" s="3">
        <v>46192</v>
      </c>
      <c r="J980" t="s">
        <v>576</v>
      </c>
      <c r="K980" s="3">
        <v>46199</v>
      </c>
      <c r="L980" s="3">
        <v>46189</v>
      </c>
      <c r="M980" s="3">
        <v>46192</v>
      </c>
      <c r="N980" s="3">
        <v>46192</v>
      </c>
      <c r="O980" t="s">
        <v>571</v>
      </c>
      <c r="P980" t="s">
        <v>55</v>
      </c>
      <c r="T980" t="s">
        <v>1429</v>
      </c>
      <c r="V980" t="s">
        <v>114</v>
      </c>
      <c r="X980" t="s">
        <v>57</v>
      </c>
      <c r="AA980" t="s">
        <v>50</v>
      </c>
      <c r="AB980" t="s">
        <v>94</v>
      </c>
      <c r="AE980">
        <v>1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</row>
    <row r="981" spans="1:42" x14ac:dyDescent="0.25">
      <c r="A981">
        <v>1128</v>
      </c>
      <c r="B981" t="s">
        <v>1832</v>
      </c>
      <c r="C981" t="s">
        <v>1833</v>
      </c>
      <c r="D981" t="s">
        <v>117</v>
      </c>
      <c r="E981" s="4">
        <v>1</v>
      </c>
      <c r="F981" t="s">
        <v>101</v>
      </c>
      <c r="G981" t="s">
        <v>101</v>
      </c>
      <c r="H981" s="3">
        <v>46185</v>
      </c>
      <c r="I981" s="3">
        <v>46190</v>
      </c>
      <c r="J981" t="s">
        <v>576</v>
      </c>
      <c r="K981" s="3">
        <v>46192</v>
      </c>
      <c r="L981" s="3">
        <v>46189</v>
      </c>
      <c r="M981" s="3">
        <v>46190</v>
      </c>
      <c r="N981" s="3">
        <v>46190</v>
      </c>
      <c r="O981" t="s">
        <v>571</v>
      </c>
      <c r="P981" t="s">
        <v>55</v>
      </c>
      <c r="Q981" t="s">
        <v>1826</v>
      </c>
      <c r="S981" t="s">
        <v>1444</v>
      </c>
      <c r="T981" t="s">
        <v>1429</v>
      </c>
      <c r="U981">
        <v>1129</v>
      </c>
      <c r="V981" t="s">
        <v>101</v>
      </c>
      <c r="W981">
        <v>13.4</v>
      </c>
      <c r="X981" t="s">
        <v>57</v>
      </c>
      <c r="Z981" t="s">
        <v>1444</v>
      </c>
      <c r="AA981" t="s">
        <v>217</v>
      </c>
      <c r="AE981">
        <v>1</v>
      </c>
      <c r="AF981">
        <v>1</v>
      </c>
      <c r="AG981">
        <v>1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1</v>
      </c>
    </row>
    <row r="982" spans="1:42" x14ac:dyDescent="0.25">
      <c r="A982">
        <v>1129</v>
      </c>
      <c r="B982" t="s">
        <v>1834</v>
      </c>
      <c r="C982" t="s">
        <v>1833</v>
      </c>
      <c r="D982" t="s">
        <v>121</v>
      </c>
      <c r="E982" s="4">
        <v>1</v>
      </c>
      <c r="F982" t="s">
        <v>61</v>
      </c>
      <c r="G982" t="s">
        <v>61</v>
      </c>
      <c r="H982" s="3">
        <v>46191</v>
      </c>
      <c r="I982" s="3">
        <v>46191</v>
      </c>
      <c r="J982" t="s">
        <v>219</v>
      </c>
      <c r="K982" s="3">
        <v>46197</v>
      </c>
      <c r="L982" s="3">
        <v>46195</v>
      </c>
      <c r="M982" s="3">
        <v>46191</v>
      </c>
      <c r="N982" s="3">
        <v>46191</v>
      </c>
      <c r="O982" t="s">
        <v>480</v>
      </c>
      <c r="P982" t="s">
        <v>55</v>
      </c>
      <c r="Q982">
        <v>1128</v>
      </c>
      <c r="S982" t="s">
        <v>124</v>
      </c>
      <c r="T982" t="s">
        <v>1429</v>
      </c>
      <c r="U982">
        <v>1130</v>
      </c>
      <c r="V982" t="s">
        <v>122</v>
      </c>
      <c r="W982">
        <v>13.4</v>
      </c>
      <c r="X982" t="s">
        <v>57</v>
      </c>
      <c r="Z982" t="s">
        <v>124</v>
      </c>
      <c r="AA982" t="s">
        <v>131</v>
      </c>
      <c r="AE982">
        <v>1</v>
      </c>
      <c r="AF982">
        <v>0</v>
      </c>
      <c r="AG982">
        <v>0</v>
      </c>
      <c r="AH982">
        <v>0</v>
      </c>
      <c r="AI982">
        <v>0</v>
      </c>
      <c r="AJ982">
        <v>1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</row>
    <row r="983" spans="1:42" x14ac:dyDescent="0.25">
      <c r="A983">
        <v>1130</v>
      </c>
      <c r="B983" t="s">
        <v>1835</v>
      </c>
      <c r="C983" t="s">
        <v>1833</v>
      </c>
      <c r="D983" t="s">
        <v>126</v>
      </c>
      <c r="E983" s="4">
        <v>1</v>
      </c>
      <c r="F983" t="s">
        <v>61</v>
      </c>
      <c r="G983" t="s">
        <v>61</v>
      </c>
      <c r="H983" s="3">
        <v>46192</v>
      </c>
      <c r="I983" s="3">
        <v>46192</v>
      </c>
      <c r="J983" t="s">
        <v>128</v>
      </c>
      <c r="K983" s="3">
        <v>46198</v>
      </c>
      <c r="L983" s="3">
        <v>46198</v>
      </c>
      <c r="M983" s="3">
        <v>46192</v>
      </c>
      <c r="N983" s="3">
        <v>46192</v>
      </c>
      <c r="O983" t="s">
        <v>211</v>
      </c>
      <c r="P983" t="s">
        <v>55</v>
      </c>
      <c r="Q983">
        <v>1129</v>
      </c>
      <c r="S983" t="s">
        <v>1444</v>
      </c>
      <c r="T983" t="s">
        <v>1429</v>
      </c>
      <c r="U983">
        <v>1131</v>
      </c>
      <c r="V983" t="s">
        <v>61</v>
      </c>
      <c r="W983">
        <v>13.4</v>
      </c>
      <c r="X983" t="s">
        <v>57</v>
      </c>
      <c r="Z983" t="s">
        <v>1444</v>
      </c>
      <c r="AA983" t="s">
        <v>131</v>
      </c>
      <c r="AE983">
        <v>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1</v>
      </c>
      <c r="AM983">
        <v>0</v>
      </c>
      <c r="AN983">
        <v>0</v>
      </c>
      <c r="AO983">
        <v>0</v>
      </c>
      <c r="AP983">
        <v>0</v>
      </c>
    </row>
    <row r="984" spans="1:42" x14ac:dyDescent="0.25">
      <c r="A984">
        <v>1131</v>
      </c>
      <c r="B984" t="s">
        <v>1836</v>
      </c>
      <c r="C984" t="s">
        <v>1833</v>
      </c>
      <c r="D984" t="s">
        <v>133</v>
      </c>
      <c r="E984" s="4">
        <v>1</v>
      </c>
      <c r="F984" t="s">
        <v>63</v>
      </c>
      <c r="G984" t="s">
        <v>63</v>
      </c>
      <c r="H984" s="3">
        <v>46189</v>
      </c>
      <c r="I984" s="3">
        <v>46189</v>
      </c>
      <c r="J984" t="s">
        <v>134</v>
      </c>
      <c r="K984" s="3">
        <v>46199</v>
      </c>
      <c r="L984" s="3">
        <v>46199</v>
      </c>
      <c r="M984" s="3">
        <v>46189</v>
      </c>
      <c r="N984" s="3">
        <v>46189</v>
      </c>
      <c r="O984" t="s">
        <v>576</v>
      </c>
      <c r="P984" t="s">
        <v>55</v>
      </c>
      <c r="Q984">
        <v>1130</v>
      </c>
      <c r="S984" t="s">
        <v>124</v>
      </c>
      <c r="T984" t="s">
        <v>1429</v>
      </c>
      <c r="V984" t="s">
        <v>61</v>
      </c>
      <c r="W984">
        <v>13.4</v>
      </c>
      <c r="X984" t="s">
        <v>57</v>
      </c>
      <c r="Z984" t="s">
        <v>124</v>
      </c>
      <c r="AA984" t="s">
        <v>131</v>
      </c>
      <c r="AE984">
        <v>1</v>
      </c>
      <c r="AF984">
        <v>0</v>
      </c>
      <c r="AG984">
        <v>0</v>
      </c>
      <c r="AH984">
        <v>0</v>
      </c>
      <c r="AI984">
        <v>1</v>
      </c>
      <c r="AJ984">
        <v>0</v>
      </c>
      <c r="AK984">
        <v>0</v>
      </c>
      <c r="AL984">
        <v>0</v>
      </c>
      <c r="AM984">
        <v>0</v>
      </c>
      <c r="AN984">
        <v>1</v>
      </c>
      <c r="AO984">
        <v>0</v>
      </c>
      <c r="AP984">
        <v>0</v>
      </c>
    </row>
    <row r="985" spans="1:42" x14ac:dyDescent="0.25">
      <c r="A985">
        <v>1132</v>
      </c>
      <c r="B985" t="s">
        <v>1837</v>
      </c>
      <c r="C985" t="s">
        <v>1782</v>
      </c>
      <c r="D985" t="s">
        <v>1838</v>
      </c>
      <c r="E985" s="4">
        <v>1</v>
      </c>
      <c r="F985" t="s">
        <v>214</v>
      </c>
      <c r="G985" t="s">
        <v>214</v>
      </c>
      <c r="H985" s="3">
        <v>46185</v>
      </c>
      <c r="I985" s="3">
        <v>46192</v>
      </c>
      <c r="J985" t="s">
        <v>576</v>
      </c>
      <c r="K985" s="3">
        <v>46199</v>
      </c>
      <c r="L985" s="3">
        <v>46189</v>
      </c>
      <c r="M985" s="3">
        <v>46192</v>
      </c>
      <c r="N985" s="3">
        <v>46192</v>
      </c>
      <c r="O985" t="s">
        <v>571</v>
      </c>
      <c r="P985" t="s">
        <v>55</v>
      </c>
      <c r="T985" t="s">
        <v>1429</v>
      </c>
      <c r="V985" t="s">
        <v>114</v>
      </c>
      <c r="X985" t="s">
        <v>57</v>
      </c>
      <c r="AA985" t="s">
        <v>50</v>
      </c>
      <c r="AB985" t="s">
        <v>94</v>
      </c>
      <c r="AE985">
        <v>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</row>
    <row r="986" spans="1:42" x14ac:dyDescent="0.25">
      <c r="A986">
        <v>1133</v>
      </c>
      <c r="B986" t="s">
        <v>1839</v>
      </c>
      <c r="C986" t="s">
        <v>1840</v>
      </c>
      <c r="D986" t="s">
        <v>117</v>
      </c>
      <c r="E986" s="4">
        <v>1</v>
      </c>
      <c r="F986" t="s">
        <v>101</v>
      </c>
      <c r="G986" t="s">
        <v>101</v>
      </c>
      <c r="H986" s="3">
        <v>46185</v>
      </c>
      <c r="I986" s="3">
        <v>46190</v>
      </c>
      <c r="J986" t="s">
        <v>576</v>
      </c>
      <c r="K986" s="3">
        <v>46192</v>
      </c>
      <c r="L986" s="3">
        <v>46189</v>
      </c>
      <c r="M986" s="3">
        <v>46190</v>
      </c>
      <c r="N986" s="3">
        <v>46190</v>
      </c>
      <c r="O986" t="s">
        <v>571</v>
      </c>
      <c r="P986" t="s">
        <v>55</v>
      </c>
      <c r="Q986" t="s">
        <v>1826</v>
      </c>
      <c r="S986" t="s">
        <v>1444</v>
      </c>
      <c r="T986" t="s">
        <v>1429</v>
      </c>
      <c r="U986">
        <v>1134</v>
      </c>
      <c r="V986" t="s">
        <v>101</v>
      </c>
      <c r="W986">
        <v>13.4</v>
      </c>
      <c r="X986" t="s">
        <v>57</v>
      </c>
      <c r="Z986" t="s">
        <v>1444</v>
      </c>
      <c r="AA986" t="s">
        <v>217</v>
      </c>
      <c r="AE986">
        <v>1</v>
      </c>
      <c r="AF986">
        <v>1</v>
      </c>
      <c r="AG986">
        <v>1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1</v>
      </c>
    </row>
    <row r="987" spans="1:42" x14ac:dyDescent="0.25">
      <c r="A987">
        <v>1134</v>
      </c>
      <c r="B987" t="s">
        <v>1841</v>
      </c>
      <c r="C987" t="s">
        <v>1840</v>
      </c>
      <c r="D987" t="s">
        <v>121</v>
      </c>
      <c r="E987" s="4">
        <v>1</v>
      </c>
      <c r="F987" t="s">
        <v>61</v>
      </c>
      <c r="G987" t="s">
        <v>61</v>
      </c>
      <c r="H987" s="3">
        <v>46191</v>
      </c>
      <c r="I987" s="3">
        <v>46191</v>
      </c>
      <c r="J987" t="s">
        <v>219</v>
      </c>
      <c r="K987" s="3">
        <v>46197</v>
      </c>
      <c r="L987" s="3">
        <v>46195</v>
      </c>
      <c r="M987" s="3">
        <v>46191</v>
      </c>
      <c r="N987" s="3">
        <v>46191</v>
      </c>
      <c r="O987" t="s">
        <v>480</v>
      </c>
      <c r="P987" t="s">
        <v>55</v>
      </c>
      <c r="Q987">
        <v>1133</v>
      </c>
      <c r="S987" t="s">
        <v>124</v>
      </c>
      <c r="T987" t="s">
        <v>1429</v>
      </c>
      <c r="U987">
        <v>1135</v>
      </c>
      <c r="V987" t="s">
        <v>122</v>
      </c>
      <c r="W987">
        <v>13.4</v>
      </c>
      <c r="X987" t="s">
        <v>57</v>
      </c>
      <c r="Z987" t="s">
        <v>124</v>
      </c>
      <c r="AA987" t="s">
        <v>131</v>
      </c>
      <c r="AE987">
        <v>1</v>
      </c>
      <c r="AF987">
        <v>0</v>
      </c>
      <c r="AG987">
        <v>0</v>
      </c>
      <c r="AH987">
        <v>0</v>
      </c>
      <c r="AI987">
        <v>0</v>
      </c>
      <c r="AJ987">
        <v>1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</row>
    <row r="988" spans="1:42" x14ac:dyDescent="0.25">
      <c r="A988">
        <v>1135</v>
      </c>
      <c r="B988" t="s">
        <v>1842</v>
      </c>
      <c r="C988" t="s">
        <v>1840</v>
      </c>
      <c r="D988" t="s">
        <v>126</v>
      </c>
      <c r="E988" s="4">
        <v>1</v>
      </c>
      <c r="F988" t="s">
        <v>61</v>
      </c>
      <c r="G988" t="s">
        <v>61</v>
      </c>
      <c r="H988" s="3">
        <v>46192</v>
      </c>
      <c r="I988" s="3">
        <v>46192</v>
      </c>
      <c r="J988" t="s">
        <v>128</v>
      </c>
      <c r="K988" s="3">
        <v>46198</v>
      </c>
      <c r="L988" s="3">
        <v>46198</v>
      </c>
      <c r="M988" s="3">
        <v>46192</v>
      </c>
      <c r="N988" s="3">
        <v>46192</v>
      </c>
      <c r="O988" t="s">
        <v>211</v>
      </c>
      <c r="P988" t="s">
        <v>55</v>
      </c>
      <c r="Q988">
        <v>1134</v>
      </c>
      <c r="S988" t="s">
        <v>1444</v>
      </c>
      <c r="T988" t="s">
        <v>1429</v>
      </c>
      <c r="U988">
        <v>1136</v>
      </c>
      <c r="V988" t="s">
        <v>61</v>
      </c>
      <c r="W988">
        <v>13.4</v>
      </c>
      <c r="X988" t="s">
        <v>57</v>
      </c>
      <c r="Z988" t="s">
        <v>1444</v>
      </c>
      <c r="AA988" t="s">
        <v>131</v>
      </c>
      <c r="AE988">
        <v>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1</v>
      </c>
      <c r="AM988">
        <v>0</v>
      </c>
      <c r="AN988">
        <v>0</v>
      </c>
      <c r="AO988">
        <v>0</v>
      </c>
      <c r="AP988">
        <v>0</v>
      </c>
    </row>
    <row r="989" spans="1:42" x14ac:dyDescent="0.25">
      <c r="A989">
        <v>1136</v>
      </c>
      <c r="B989" t="s">
        <v>1843</v>
      </c>
      <c r="C989" t="s">
        <v>1840</v>
      </c>
      <c r="D989" t="s">
        <v>133</v>
      </c>
      <c r="E989" s="4">
        <v>1</v>
      </c>
      <c r="F989" t="s">
        <v>63</v>
      </c>
      <c r="G989" t="s">
        <v>63</v>
      </c>
      <c r="H989" s="3">
        <v>46189</v>
      </c>
      <c r="I989" s="3">
        <v>46189</v>
      </c>
      <c r="J989" t="s">
        <v>134</v>
      </c>
      <c r="K989" s="3">
        <v>46199</v>
      </c>
      <c r="L989" s="3">
        <v>46199</v>
      </c>
      <c r="M989" s="3">
        <v>46189</v>
      </c>
      <c r="N989" s="3">
        <v>46189</v>
      </c>
      <c r="O989" t="s">
        <v>576</v>
      </c>
      <c r="P989" t="s">
        <v>55</v>
      </c>
      <c r="Q989">
        <v>1135</v>
      </c>
      <c r="S989" t="s">
        <v>124</v>
      </c>
      <c r="T989" t="s">
        <v>1429</v>
      </c>
      <c r="V989" t="s">
        <v>61</v>
      </c>
      <c r="W989">
        <v>13.4</v>
      </c>
      <c r="X989" t="s">
        <v>57</v>
      </c>
      <c r="Z989" t="s">
        <v>124</v>
      </c>
      <c r="AA989" t="s">
        <v>131</v>
      </c>
      <c r="AE989">
        <v>1</v>
      </c>
      <c r="AF989">
        <v>0</v>
      </c>
      <c r="AG989">
        <v>0</v>
      </c>
      <c r="AH989">
        <v>0</v>
      </c>
      <c r="AI989">
        <v>1</v>
      </c>
      <c r="AJ989">
        <v>0</v>
      </c>
      <c r="AK989">
        <v>0</v>
      </c>
      <c r="AL989">
        <v>0</v>
      </c>
      <c r="AM989">
        <v>0</v>
      </c>
      <c r="AN989">
        <v>1</v>
      </c>
      <c r="AO989">
        <v>0</v>
      </c>
      <c r="AP989">
        <v>0</v>
      </c>
    </row>
    <row r="990" spans="1:42" x14ac:dyDescent="0.25">
      <c r="A990">
        <v>1137</v>
      </c>
      <c r="B990" t="s">
        <v>1844</v>
      </c>
      <c r="C990" t="s">
        <v>1782</v>
      </c>
      <c r="D990" t="s">
        <v>1845</v>
      </c>
      <c r="E990" s="4">
        <v>1</v>
      </c>
      <c r="F990" t="s">
        <v>214</v>
      </c>
      <c r="G990" t="s">
        <v>214</v>
      </c>
      <c r="H990" s="3">
        <v>46185</v>
      </c>
      <c r="I990" s="3">
        <v>46192</v>
      </c>
      <c r="J990" t="s">
        <v>571</v>
      </c>
      <c r="K990" s="3">
        <v>46192</v>
      </c>
      <c r="L990" s="3">
        <v>46185</v>
      </c>
      <c r="M990" s="3">
        <v>46192</v>
      </c>
      <c r="N990" s="3">
        <v>46192</v>
      </c>
      <c r="O990" t="s">
        <v>571</v>
      </c>
      <c r="P990" t="s">
        <v>55</v>
      </c>
      <c r="T990" t="s">
        <v>1429</v>
      </c>
      <c r="V990" t="s">
        <v>114</v>
      </c>
      <c r="X990" t="s">
        <v>57</v>
      </c>
      <c r="AA990" t="s">
        <v>50</v>
      </c>
      <c r="AB990" t="s">
        <v>94</v>
      </c>
      <c r="AE990">
        <v>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</row>
    <row r="991" spans="1:42" x14ac:dyDescent="0.25">
      <c r="A991">
        <v>1138</v>
      </c>
      <c r="B991" t="s">
        <v>1846</v>
      </c>
      <c r="C991" t="s">
        <v>1847</v>
      </c>
      <c r="D991" t="s">
        <v>117</v>
      </c>
      <c r="E991" s="4">
        <v>1</v>
      </c>
      <c r="F991" t="s">
        <v>101</v>
      </c>
      <c r="G991" t="s">
        <v>101</v>
      </c>
      <c r="H991" s="3">
        <v>46185</v>
      </c>
      <c r="I991" s="3">
        <v>46190</v>
      </c>
      <c r="J991" t="s">
        <v>571</v>
      </c>
      <c r="K991" s="3">
        <v>46190</v>
      </c>
      <c r="L991" s="3">
        <v>46185</v>
      </c>
      <c r="M991" s="3">
        <v>46190</v>
      </c>
      <c r="N991" s="3">
        <v>46190</v>
      </c>
      <c r="O991" t="s">
        <v>571</v>
      </c>
      <c r="P991" t="s">
        <v>55</v>
      </c>
      <c r="Q991" t="s">
        <v>1826</v>
      </c>
      <c r="S991" t="s">
        <v>1444</v>
      </c>
      <c r="T991" t="s">
        <v>1429</v>
      </c>
      <c r="U991">
        <v>1139</v>
      </c>
      <c r="V991" t="s">
        <v>101</v>
      </c>
      <c r="W991">
        <v>13.4</v>
      </c>
      <c r="X991" t="s">
        <v>57</v>
      </c>
      <c r="Z991" t="s">
        <v>1444</v>
      </c>
      <c r="AA991" t="s">
        <v>217</v>
      </c>
      <c r="AE991">
        <v>1</v>
      </c>
      <c r="AF991">
        <v>1</v>
      </c>
      <c r="AG991">
        <v>1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1</v>
      </c>
    </row>
    <row r="992" spans="1:42" x14ac:dyDescent="0.25">
      <c r="A992">
        <v>1139</v>
      </c>
      <c r="B992" t="s">
        <v>1848</v>
      </c>
      <c r="C992" t="s">
        <v>1847</v>
      </c>
      <c r="D992" t="s">
        <v>121</v>
      </c>
      <c r="E992" s="4">
        <v>1</v>
      </c>
      <c r="F992" t="s">
        <v>61</v>
      </c>
      <c r="G992" t="s">
        <v>61</v>
      </c>
      <c r="H992" s="3">
        <v>46191</v>
      </c>
      <c r="I992" s="3">
        <v>46191</v>
      </c>
      <c r="J992" t="s">
        <v>480</v>
      </c>
      <c r="K992" s="3">
        <v>46191</v>
      </c>
      <c r="L992" s="3">
        <v>46191</v>
      </c>
      <c r="M992" s="3">
        <v>46191</v>
      </c>
      <c r="N992" s="3">
        <v>46191</v>
      </c>
      <c r="O992" t="s">
        <v>480</v>
      </c>
      <c r="P992" t="s">
        <v>55</v>
      </c>
      <c r="Q992">
        <v>1138</v>
      </c>
      <c r="S992" t="s">
        <v>124</v>
      </c>
      <c r="T992" t="s">
        <v>1429</v>
      </c>
      <c r="U992">
        <v>1140</v>
      </c>
      <c r="V992" t="s">
        <v>122</v>
      </c>
      <c r="W992">
        <v>13.4</v>
      </c>
      <c r="X992" t="s">
        <v>57</v>
      </c>
      <c r="Z992" t="s">
        <v>124</v>
      </c>
      <c r="AA992" t="s">
        <v>131</v>
      </c>
      <c r="AE992">
        <v>1</v>
      </c>
      <c r="AF992">
        <v>0</v>
      </c>
      <c r="AG992">
        <v>0</v>
      </c>
      <c r="AH992">
        <v>0</v>
      </c>
      <c r="AI992">
        <v>0</v>
      </c>
      <c r="AJ992">
        <v>1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</row>
    <row r="993" spans="1:42" x14ac:dyDescent="0.25">
      <c r="A993">
        <v>1140</v>
      </c>
      <c r="B993" t="s">
        <v>1849</v>
      </c>
      <c r="C993" t="s">
        <v>1847</v>
      </c>
      <c r="D993" t="s">
        <v>126</v>
      </c>
      <c r="E993" s="4">
        <v>1</v>
      </c>
      <c r="F993" t="s">
        <v>61</v>
      </c>
      <c r="G993" t="s">
        <v>61</v>
      </c>
      <c r="H993" s="3">
        <v>46192</v>
      </c>
      <c r="I993" s="3">
        <v>46192</v>
      </c>
      <c r="J993" t="s">
        <v>211</v>
      </c>
      <c r="K993" s="3">
        <v>46192</v>
      </c>
      <c r="L993" s="3">
        <v>46192</v>
      </c>
      <c r="M993" s="3">
        <v>46192</v>
      </c>
      <c r="N993" s="3">
        <v>46192</v>
      </c>
      <c r="O993" t="s">
        <v>211</v>
      </c>
      <c r="P993" t="s">
        <v>55</v>
      </c>
      <c r="Q993">
        <v>1139</v>
      </c>
      <c r="S993" t="s">
        <v>1444</v>
      </c>
      <c r="T993" t="s">
        <v>1429</v>
      </c>
      <c r="U993">
        <v>1141</v>
      </c>
      <c r="V993" t="s">
        <v>61</v>
      </c>
      <c r="W993">
        <v>13.4</v>
      </c>
      <c r="X993" t="s">
        <v>57</v>
      </c>
      <c r="Z993" t="s">
        <v>1444</v>
      </c>
      <c r="AA993" t="s">
        <v>131</v>
      </c>
      <c r="AE993">
        <v>1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1</v>
      </c>
      <c r="AM993">
        <v>0</v>
      </c>
      <c r="AN993">
        <v>0</v>
      </c>
      <c r="AO993">
        <v>0</v>
      </c>
      <c r="AP993">
        <v>0</v>
      </c>
    </row>
    <row r="994" spans="1:42" x14ac:dyDescent="0.25">
      <c r="A994">
        <v>1141</v>
      </c>
      <c r="B994" t="s">
        <v>1850</v>
      </c>
      <c r="C994" t="s">
        <v>1847</v>
      </c>
      <c r="D994" t="s">
        <v>133</v>
      </c>
      <c r="E994" s="4">
        <v>1</v>
      </c>
      <c r="F994" t="s">
        <v>63</v>
      </c>
      <c r="G994" t="s">
        <v>63</v>
      </c>
      <c r="H994" s="3">
        <v>46192</v>
      </c>
      <c r="I994" s="3">
        <v>46192</v>
      </c>
      <c r="J994" t="s">
        <v>576</v>
      </c>
      <c r="K994" s="3">
        <v>46189</v>
      </c>
      <c r="L994" s="3">
        <v>46189</v>
      </c>
      <c r="M994" s="3">
        <v>46192</v>
      </c>
      <c r="N994" s="3">
        <v>46192</v>
      </c>
      <c r="O994" t="s">
        <v>211</v>
      </c>
      <c r="P994" t="s">
        <v>55</v>
      </c>
      <c r="Q994">
        <v>1140</v>
      </c>
      <c r="S994" t="s">
        <v>124</v>
      </c>
      <c r="T994" t="s">
        <v>1429</v>
      </c>
      <c r="V994" t="s">
        <v>61</v>
      </c>
      <c r="W994">
        <v>13.4</v>
      </c>
      <c r="X994" t="s">
        <v>57</v>
      </c>
      <c r="Z994" t="s">
        <v>124</v>
      </c>
      <c r="AA994" t="s">
        <v>131</v>
      </c>
      <c r="AE994">
        <v>1</v>
      </c>
      <c r="AF994">
        <v>0</v>
      </c>
      <c r="AG994">
        <v>0</v>
      </c>
      <c r="AH994">
        <v>0</v>
      </c>
      <c r="AI994">
        <v>1</v>
      </c>
      <c r="AJ994">
        <v>0</v>
      </c>
      <c r="AK994">
        <v>0</v>
      </c>
      <c r="AL994">
        <v>0</v>
      </c>
      <c r="AM994">
        <v>0</v>
      </c>
      <c r="AN994">
        <v>1</v>
      </c>
      <c r="AO994">
        <v>0</v>
      </c>
      <c r="AP994">
        <v>0</v>
      </c>
    </row>
    <row r="995" spans="1:42" x14ac:dyDescent="0.25">
      <c r="A995">
        <v>1142</v>
      </c>
      <c r="B995" t="s">
        <v>1851</v>
      </c>
      <c r="C995" t="s">
        <v>1429</v>
      </c>
      <c r="D995" t="s">
        <v>1852</v>
      </c>
      <c r="E995" s="4">
        <v>1</v>
      </c>
      <c r="F995" t="s">
        <v>1038</v>
      </c>
      <c r="G995" t="s">
        <v>1038</v>
      </c>
      <c r="H995" s="3">
        <v>46156</v>
      </c>
      <c r="I995" s="3">
        <v>46174</v>
      </c>
      <c r="J995" t="s">
        <v>741</v>
      </c>
      <c r="K995" s="3">
        <v>46199</v>
      </c>
      <c r="L995" s="3">
        <v>46154</v>
      </c>
      <c r="M995" s="3">
        <v>46174</v>
      </c>
      <c r="N995" s="3">
        <v>46174</v>
      </c>
      <c r="O995" t="s">
        <v>406</v>
      </c>
      <c r="P995" t="s">
        <v>55</v>
      </c>
      <c r="T995" t="s">
        <v>1429</v>
      </c>
      <c r="V995" t="s">
        <v>433</v>
      </c>
      <c r="X995" t="s">
        <v>57</v>
      </c>
      <c r="AA995" t="s">
        <v>50</v>
      </c>
      <c r="AB995" t="s">
        <v>94</v>
      </c>
      <c r="AE995">
        <v>1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</row>
    <row r="996" spans="1:42" x14ac:dyDescent="0.25">
      <c r="A996">
        <v>1143</v>
      </c>
      <c r="B996" t="s">
        <v>1853</v>
      </c>
      <c r="C996" t="s">
        <v>1854</v>
      </c>
      <c r="D996" t="s">
        <v>1855</v>
      </c>
      <c r="E996" s="4">
        <v>1</v>
      </c>
      <c r="F996" t="s">
        <v>210</v>
      </c>
      <c r="G996" t="s">
        <v>210</v>
      </c>
      <c r="H996" s="3">
        <v>46156</v>
      </c>
      <c r="I996" s="3">
        <v>46167</v>
      </c>
      <c r="J996" t="s">
        <v>741</v>
      </c>
      <c r="K996" s="3">
        <v>46170</v>
      </c>
      <c r="L996" s="3">
        <v>46154</v>
      </c>
      <c r="M996" s="3">
        <v>46167</v>
      </c>
      <c r="N996" s="3">
        <v>46167</v>
      </c>
      <c r="O996" t="s">
        <v>406</v>
      </c>
      <c r="P996" t="s">
        <v>55</v>
      </c>
      <c r="T996" t="s">
        <v>1429</v>
      </c>
      <c r="V996" t="s">
        <v>1038</v>
      </c>
      <c r="X996" t="s">
        <v>57</v>
      </c>
      <c r="AA996" t="s">
        <v>50</v>
      </c>
      <c r="AB996" t="s">
        <v>94</v>
      </c>
      <c r="AE996">
        <v>1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</row>
    <row r="997" spans="1:42" x14ac:dyDescent="0.25">
      <c r="A997">
        <v>1144</v>
      </c>
      <c r="B997" t="s">
        <v>1856</v>
      </c>
      <c r="C997" t="s">
        <v>1857</v>
      </c>
      <c r="D997" t="s">
        <v>117</v>
      </c>
      <c r="E997" s="4">
        <v>1</v>
      </c>
      <c r="F997" t="s">
        <v>210</v>
      </c>
      <c r="G997" t="s">
        <v>210</v>
      </c>
      <c r="H997" s="3">
        <v>46156</v>
      </c>
      <c r="I997" s="3">
        <v>46167</v>
      </c>
      <c r="J997" t="s">
        <v>741</v>
      </c>
      <c r="K997" s="3">
        <v>46167</v>
      </c>
      <c r="L997" s="3">
        <v>46154</v>
      </c>
      <c r="M997" s="3">
        <v>46167</v>
      </c>
      <c r="N997" s="3">
        <v>46167</v>
      </c>
      <c r="O997" t="s">
        <v>406</v>
      </c>
      <c r="P997" t="s">
        <v>55</v>
      </c>
      <c r="Q997">
        <v>359</v>
      </c>
      <c r="S997" t="s">
        <v>1444</v>
      </c>
      <c r="T997" t="s">
        <v>1429</v>
      </c>
      <c r="U997" t="s">
        <v>1858</v>
      </c>
      <c r="V997" t="s">
        <v>151</v>
      </c>
      <c r="W997">
        <v>13.4</v>
      </c>
      <c r="X997" t="s">
        <v>57</v>
      </c>
      <c r="Z997" t="s">
        <v>1444</v>
      </c>
      <c r="AA997" t="s">
        <v>93</v>
      </c>
      <c r="AE997">
        <v>1</v>
      </c>
      <c r="AF997">
        <v>1</v>
      </c>
      <c r="AG997">
        <v>1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1</v>
      </c>
    </row>
    <row r="998" spans="1:42" x14ac:dyDescent="0.25">
      <c r="A998">
        <v>1145</v>
      </c>
      <c r="B998" t="s">
        <v>1859</v>
      </c>
      <c r="C998" t="s">
        <v>1857</v>
      </c>
      <c r="D998" t="s">
        <v>121</v>
      </c>
      <c r="E998" s="4">
        <v>1</v>
      </c>
      <c r="F998" t="s">
        <v>63</v>
      </c>
      <c r="G998" t="s">
        <v>63</v>
      </c>
      <c r="H998" s="3">
        <v>46167</v>
      </c>
      <c r="I998" s="3">
        <v>46167</v>
      </c>
      <c r="J998" t="s">
        <v>206</v>
      </c>
      <c r="K998" s="3">
        <v>46168</v>
      </c>
      <c r="L998" s="3">
        <v>46168</v>
      </c>
      <c r="M998" s="3">
        <v>46167</v>
      </c>
      <c r="N998" s="3">
        <v>46167</v>
      </c>
      <c r="O998" t="s">
        <v>74</v>
      </c>
      <c r="P998" t="s">
        <v>55</v>
      </c>
      <c r="Q998">
        <v>1144</v>
      </c>
      <c r="S998" t="s">
        <v>124</v>
      </c>
      <c r="T998" t="s">
        <v>1429</v>
      </c>
      <c r="U998">
        <v>1146</v>
      </c>
      <c r="V998" t="s">
        <v>61</v>
      </c>
      <c r="W998">
        <v>13.4</v>
      </c>
      <c r="X998" t="s">
        <v>57</v>
      </c>
      <c r="Z998" t="s">
        <v>124</v>
      </c>
      <c r="AA998" t="s">
        <v>77</v>
      </c>
      <c r="AE998">
        <v>1</v>
      </c>
      <c r="AF998">
        <v>0</v>
      </c>
      <c r="AG998">
        <v>0</v>
      </c>
      <c r="AH998">
        <v>0</v>
      </c>
      <c r="AI998">
        <v>0</v>
      </c>
      <c r="AJ998">
        <v>1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</row>
    <row r="999" spans="1:42" x14ac:dyDescent="0.25">
      <c r="A999">
        <v>1146</v>
      </c>
      <c r="B999" t="s">
        <v>1860</v>
      </c>
      <c r="C999" t="s">
        <v>1857</v>
      </c>
      <c r="D999" t="s">
        <v>126</v>
      </c>
      <c r="E999" s="4">
        <v>1</v>
      </c>
      <c r="F999" t="s">
        <v>63</v>
      </c>
      <c r="G999" t="s">
        <v>63</v>
      </c>
      <c r="H999" s="3">
        <v>46167</v>
      </c>
      <c r="I999" s="3">
        <v>46167</v>
      </c>
      <c r="J999" t="s">
        <v>97</v>
      </c>
      <c r="K999" s="3">
        <v>46169</v>
      </c>
      <c r="L999" s="3">
        <v>46169</v>
      </c>
      <c r="M999" s="3">
        <v>46167</v>
      </c>
      <c r="N999" s="3">
        <v>46167</v>
      </c>
      <c r="O999" t="s">
        <v>74</v>
      </c>
      <c r="P999" t="s">
        <v>55</v>
      </c>
      <c r="Q999">
        <v>1145</v>
      </c>
      <c r="S999" t="s">
        <v>1444</v>
      </c>
      <c r="T999" t="s">
        <v>1429</v>
      </c>
      <c r="U999">
        <v>1147</v>
      </c>
      <c r="V999" t="s">
        <v>61</v>
      </c>
      <c r="W999">
        <v>13.4</v>
      </c>
      <c r="X999" t="s">
        <v>57</v>
      </c>
      <c r="Z999" t="s">
        <v>1444</v>
      </c>
      <c r="AA999" t="s">
        <v>77</v>
      </c>
      <c r="AE999">
        <v>1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1</v>
      </c>
      <c r="AM999">
        <v>0</v>
      </c>
      <c r="AN999">
        <v>0</v>
      </c>
      <c r="AO999">
        <v>0</v>
      </c>
      <c r="AP999">
        <v>0</v>
      </c>
    </row>
    <row r="1000" spans="1:42" x14ac:dyDescent="0.25">
      <c r="A1000">
        <v>1147</v>
      </c>
      <c r="B1000" t="s">
        <v>1861</v>
      </c>
      <c r="C1000" t="s">
        <v>1857</v>
      </c>
      <c r="D1000" t="s">
        <v>133</v>
      </c>
      <c r="E1000" s="4">
        <v>1</v>
      </c>
      <c r="F1000" t="s">
        <v>63</v>
      </c>
      <c r="G1000" t="s">
        <v>63</v>
      </c>
      <c r="H1000" s="3">
        <v>46167</v>
      </c>
      <c r="I1000" s="3">
        <v>46167</v>
      </c>
      <c r="J1000" t="s">
        <v>448</v>
      </c>
      <c r="K1000" s="3">
        <v>46170</v>
      </c>
      <c r="L1000" s="3">
        <v>46170</v>
      </c>
      <c r="M1000" s="3">
        <v>46167</v>
      </c>
      <c r="N1000" s="3">
        <v>46167</v>
      </c>
      <c r="O1000" t="s">
        <v>74</v>
      </c>
      <c r="P1000" t="s">
        <v>55</v>
      </c>
      <c r="Q1000">
        <v>1146</v>
      </c>
      <c r="S1000" t="s">
        <v>124</v>
      </c>
      <c r="T1000" t="s">
        <v>1429</v>
      </c>
      <c r="U1000">
        <v>1164</v>
      </c>
      <c r="V1000" t="s">
        <v>61</v>
      </c>
      <c r="W1000">
        <v>13.4</v>
      </c>
      <c r="X1000" t="s">
        <v>57</v>
      </c>
      <c r="Z1000" t="s">
        <v>124</v>
      </c>
      <c r="AA1000" t="s">
        <v>77</v>
      </c>
      <c r="AE1000">
        <v>1</v>
      </c>
      <c r="AF1000">
        <v>0</v>
      </c>
      <c r="AG1000">
        <v>0</v>
      </c>
      <c r="AH1000">
        <v>0</v>
      </c>
      <c r="AI1000">
        <v>1</v>
      </c>
      <c r="AJ1000">
        <v>0</v>
      </c>
      <c r="AK1000">
        <v>0</v>
      </c>
      <c r="AL1000">
        <v>0</v>
      </c>
      <c r="AM1000">
        <v>0</v>
      </c>
      <c r="AN1000">
        <v>1</v>
      </c>
      <c r="AO1000">
        <v>0</v>
      </c>
      <c r="AP1000">
        <v>0</v>
      </c>
    </row>
    <row r="1001" spans="1:42" x14ac:dyDescent="0.25">
      <c r="A1001">
        <v>1148</v>
      </c>
      <c r="B1001" t="s">
        <v>1862</v>
      </c>
      <c r="C1001" t="s">
        <v>1854</v>
      </c>
      <c r="D1001" t="s">
        <v>1863</v>
      </c>
      <c r="E1001" s="4">
        <v>1</v>
      </c>
      <c r="F1001" t="s">
        <v>210</v>
      </c>
      <c r="G1001" t="s">
        <v>210</v>
      </c>
      <c r="H1001" s="3">
        <v>46156</v>
      </c>
      <c r="I1001" s="3">
        <v>46167</v>
      </c>
      <c r="J1001" t="s">
        <v>406</v>
      </c>
      <c r="K1001" s="3">
        <v>46167</v>
      </c>
      <c r="L1001" s="3">
        <v>46156</v>
      </c>
      <c r="M1001" s="3">
        <v>46167</v>
      </c>
      <c r="N1001" s="3">
        <v>46167</v>
      </c>
      <c r="O1001" t="s">
        <v>406</v>
      </c>
      <c r="P1001" t="s">
        <v>55</v>
      </c>
      <c r="T1001" t="s">
        <v>1429</v>
      </c>
      <c r="V1001" t="s">
        <v>1038</v>
      </c>
      <c r="X1001" t="s">
        <v>57</v>
      </c>
      <c r="AA1001" t="s">
        <v>50</v>
      </c>
      <c r="AB1001" t="s">
        <v>94</v>
      </c>
      <c r="AE1001">
        <v>1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</row>
    <row r="1002" spans="1:42" x14ac:dyDescent="0.25">
      <c r="A1002">
        <v>1149</v>
      </c>
      <c r="B1002" t="s">
        <v>1864</v>
      </c>
      <c r="C1002" t="s">
        <v>1865</v>
      </c>
      <c r="D1002" t="s">
        <v>117</v>
      </c>
      <c r="E1002" s="4">
        <v>1</v>
      </c>
      <c r="F1002" t="s">
        <v>210</v>
      </c>
      <c r="G1002" t="s">
        <v>210</v>
      </c>
      <c r="H1002" s="3">
        <v>46156</v>
      </c>
      <c r="I1002" s="3">
        <v>46167</v>
      </c>
      <c r="J1002" t="s">
        <v>406</v>
      </c>
      <c r="K1002" s="3">
        <v>46167</v>
      </c>
      <c r="L1002" s="3">
        <v>46156</v>
      </c>
      <c r="M1002" s="3">
        <v>46167</v>
      </c>
      <c r="N1002" s="3">
        <v>46167</v>
      </c>
      <c r="O1002" t="s">
        <v>406</v>
      </c>
      <c r="P1002" t="s">
        <v>55</v>
      </c>
      <c r="Q1002">
        <v>359</v>
      </c>
      <c r="S1002" t="s">
        <v>1444</v>
      </c>
      <c r="T1002" t="s">
        <v>1429</v>
      </c>
      <c r="U1002" t="s">
        <v>1866</v>
      </c>
      <c r="V1002" t="s">
        <v>151</v>
      </c>
      <c r="W1002">
        <v>13.4</v>
      </c>
      <c r="X1002" t="s">
        <v>57</v>
      </c>
      <c r="Z1002" t="s">
        <v>1444</v>
      </c>
      <c r="AA1002" t="s">
        <v>93</v>
      </c>
      <c r="AE1002">
        <v>1</v>
      </c>
      <c r="AF1002">
        <v>1</v>
      </c>
      <c r="AG1002">
        <v>1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1</v>
      </c>
    </row>
    <row r="1003" spans="1:42" x14ac:dyDescent="0.25">
      <c r="A1003">
        <v>1150</v>
      </c>
      <c r="B1003" t="s">
        <v>1867</v>
      </c>
      <c r="C1003" t="s">
        <v>1865</v>
      </c>
      <c r="D1003" t="s">
        <v>121</v>
      </c>
      <c r="E1003" s="4">
        <v>1</v>
      </c>
      <c r="F1003" t="s">
        <v>63</v>
      </c>
      <c r="G1003" t="s">
        <v>63</v>
      </c>
      <c r="H1003" s="3">
        <v>46167</v>
      </c>
      <c r="I1003" s="3">
        <v>46167</v>
      </c>
      <c r="J1003" t="s">
        <v>74</v>
      </c>
      <c r="K1003" s="3">
        <v>46167</v>
      </c>
      <c r="L1003" s="3">
        <v>46167</v>
      </c>
      <c r="M1003" s="3">
        <v>46167</v>
      </c>
      <c r="N1003" s="3">
        <v>46167</v>
      </c>
      <c r="O1003" t="s">
        <v>74</v>
      </c>
      <c r="P1003" t="s">
        <v>55</v>
      </c>
      <c r="Q1003">
        <v>1149</v>
      </c>
      <c r="S1003" t="s">
        <v>124</v>
      </c>
      <c r="T1003" t="s">
        <v>1429</v>
      </c>
      <c r="U1003">
        <v>1151</v>
      </c>
      <c r="V1003" t="s">
        <v>61</v>
      </c>
      <c r="W1003">
        <v>13.4</v>
      </c>
      <c r="X1003" t="s">
        <v>57</v>
      </c>
      <c r="Z1003" t="s">
        <v>124</v>
      </c>
      <c r="AA1003" t="s">
        <v>77</v>
      </c>
      <c r="AE1003">
        <v>1</v>
      </c>
      <c r="AF1003">
        <v>0</v>
      </c>
      <c r="AG1003">
        <v>0</v>
      </c>
      <c r="AH1003">
        <v>0</v>
      </c>
      <c r="AI1003">
        <v>0</v>
      </c>
      <c r="AJ1003">
        <v>1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</row>
    <row r="1004" spans="1:42" x14ac:dyDescent="0.25">
      <c r="A1004">
        <v>1151</v>
      </c>
      <c r="B1004" t="s">
        <v>1868</v>
      </c>
      <c r="C1004" t="s">
        <v>1865</v>
      </c>
      <c r="D1004" t="s">
        <v>126</v>
      </c>
      <c r="E1004" s="4">
        <v>1</v>
      </c>
      <c r="F1004" t="s">
        <v>63</v>
      </c>
      <c r="G1004" t="s">
        <v>63</v>
      </c>
      <c r="H1004" s="3">
        <v>46167</v>
      </c>
      <c r="I1004" s="3">
        <v>46167</v>
      </c>
      <c r="J1004" t="s">
        <v>74</v>
      </c>
      <c r="K1004" s="3">
        <v>46167</v>
      </c>
      <c r="L1004" s="3">
        <v>46167</v>
      </c>
      <c r="M1004" s="3">
        <v>46167</v>
      </c>
      <c r="N1004" s="3">
        <v>46167</v>
      </c>
      <c r="O1004" t="s">
        <v>74</v>
      </c>
      <c r="P1004" t="s">
        <v>55</v>
      </c>
      <c r="Q1004">
        <v>1150</v>
      </c>
      <c r="S1004" t="s">
        <v>1444</v>
      </c>
      <c r="T1004" t="s">
        <v>1429</v>
      </c>
      <c r="U1004">
        <v>1152</v>
      </c>
      <c r="V1004" t="s">
        <v>61</v>
      </c>
      <c r="W1004">
        <v>13.4</v>
      </c>
      <c r="X1004" t="s">
        <v>57</v>
      </c>
      <c r="Z1004" t="s">
        <v>1444</v>
      </c>
      <c r="AA1004" t="s">
        <v>77</v>
      </c>
      <c r="AE1004">
        <v>1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1</v>
      </c>
      <c r="AM1004">
        <v>0</v>
      </c>
      <c r="AN1004">
        <v>0</v>
      </c>
      <c r="AO1004">
        <v>0</v>
      </c>
      <c r="AP1004">
        <v>0</v>
      </c>
    </row>
    <row r="1005" spans="1:42" x14ac:dyDescent="0.25">
      <c r="A1005">
        <v>1152</v>
      </c>
      <c r="B1005" t="s">
        <v>1869</v>
      </c>
      <c r="C1005" t="s">
        <v>1865</v>
      </c>
      <c r="D1005" t="s">
        <v>133</v>
      </c>
      <c r="E1005" s="4">
        <v>1</v>
      </c>
      <c r="F1005" t="s">
        <v>63</v>
      </c>
      <c r="G1005" t="s">
        <v>63</v>
      </c>
      <c r="H1005" s="3">
        <v>46167</v>
      </c>
      <c r="I1005" s="3">
        <v>46167</v>
      </c>
      <c r="J1005" t="s">
        <v>74</v>
      </c>
      <c r="K1005" s="3">
        <v>46167</v>
      </c>
      <c r="L1005" s="3">
        <v>46167</v>
      </c>
      <c r="M1005" s="3">
        <v>46167</v>
      </c>
      <c r="N1005" s="3">
        <v>46167</v>
      </c>
      <c r="O1005" t="s">
        <v>74</v>
      </c>
      <c r="P1005" t="s">
        <v>55</v>
      </c>
      <c r="Q1005">
        <v>1151</v>
      </c>
      <c r="S1005" t="s">
        <v>124</v>
      </c>
      <c r="T1005" t="s">
        <v>1429</v>
      </c>
      <c r="U1005">
        <v>1164</v>
      </c>
      <c r="V1005" t="s">
        <v>61</v>
      </c>
      <c r="W1005">
        <v>13.4</v>
      </c>
      <c r="X1005" t="s">
        <v>57</v>
      </c>
      <c r="Z1005" t="s">
        <v>124</v>
      </c>
      <c r="AA1005" t="s">
        <v>77</v>
      </c>
      <c r="AE1005">
        <v>1</v>
      </c>
      <c r="AF1005">
        <v>0</v>
      </c>
      <c r="AG1005">
        <v>0</v>
      </c>
      <c r="AH1005">
        <v>0</v>
      </c>
      <c r="AI1005">
        <v>1</v>
      </c>
      <c r="AJ1005">
        <v>0</v>
      </c>
      <c r="AK1005">
        <v>0</v>
      </c>
      <c r="AL1005">
        <v>0</v>
      </c>
      <c r="AM1005">
        <v>0</v>
      </c>
      <c r="AN1005">
        <v>1</v>
      </c>
      <c r="AO1005">
        <v>0</v>
      </c>
      <c r="AP1005">
        <v>0</v>
      </c>
    </row>
    <row r="1006" spans="1:42" x14ac:dyDescent="0.25">
      <c r="A1006">
        <v>1153</v>
      </c>
      <c r="B1006" t="s">
        <v>1870</v>
      </c>
      <c r="C1006" t="s">
        <v>1854</v>
      </c>
      <c r="D1006" t="s">
        <v>1871</v>
      </c>
      <c r="E1006" s="4">
        <v>1</v>
      </c>
      <c r="F1006" t="s">
        <v>210</v>
      </c>
      <c r="G1006" t="s">
        <v>210</v>
      </c>
      <c r="H1006" s="3">
        <v>46156</v>
      </c>
      <c r="I1006" s="3">
        <v>46167</v>
      </c>
      <c r="J1006" t="s">
        <v>406</v>
      </c>
      <c r="K1006" s="3">
        <v>46167</v>
      </c>
      <c r="L1006" s="3">
        <v>46156</v>
      </c>
      <c r="M1006" s="3">
        <v>46167</v>
      </c>
      <c r="N1006" s="3">
        <v>46167</v>
      </c>
      <c r="O1006" t="s">
        <v>406</v>
      </c>
      <c r="P1006" t="s">
        <v>55</v>
      </c>
      <c r="T1006" t="s">
        <v>1429</v>
      </c>
      <c r="V1006" t="s">
        <v>1038</v>
      </c>
      <c r="X1006" t="s">
        <v>57</v>
      </c>
      <c r="AA1006" t="s">
        <v>50</v>
      </c>
      <c r="AB1006" t="s">
        <v>94</v>
      </c>
      <c r="AE1006">
        <v>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</row>
    <row r="1007" spans="1:42" x14ac:dyDescent="0.25">
      <c r="A1007">
        <v>1154</v>
      </c>
      <c r="B1007" t="s">
        <v>1872</v>
      </c>
      <c r="C1007" t="s">
        <v>1873</v>
      </c>
      <c r="D1007" t="s">
        <v>117</v>
      </c>
      <c r="E1007" s="4">
        <v>1</v>
      </c>
      <c r="F1007" t="s">
        <v>210</v>
      </c>
      <c r="G1007" t="s">
        <v>210</v>
      </c>
      <c r="H1007" s="3">
        <v>46156</v>
      </c>
      <c r="I1007" s="3">
        <v>46167</v>
      </c>
      <c r="J1007" t="s">
        <v>406</v>
      </c>
      <c r="K1007" s="3">
        <v>46167</v>
      </c>
      <c r="L1007" s="3">
        <v>46156</v>
      </c>
      <c r="M1007" s="3">
        <v>46167</v>
      </c>
      <c r="N1007" s="3">
        <v>46167</v>
      </c>
      <c r="O1007" t="s">
        <v>406</v>
      </c>
      <c r="P1007" t="s">
        <v>55</v>
      </c>
      <c r="Q1007">
        <v>359</v>
      </c>
      <c r="S1007" t="s">
        <v>1444</v>
      </c>
      <c r="T1007" t="s">
        <v>1429</v>
      </c>
      <c r="U1007" t="s">
        <v>1874</v>
      </c>
      <c r="V1007" t="s">
        <v>151</v>
      </c>
      <c r="W1007">
        <v>13.4</v>
      </c>
      <c r="X1007" t="s">
        <v>57</v>
      </c>
      <c r="Z1007" t="s">
        <v>1444</v>
      </c>
      <c r="AA1007" t="s">
        <v>93</v>
      </c>
      <c r="AE1007">
        <v>1</v>
      </c>
      <c r="AF1007">
        <v>1</v>
      </c>
      <c r="AG1007">
        <v>1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1</v>
      </c>
    </row>
    <row r="1008" spans="1:42" x14ac:dyDescent="0.25">
      <c r="A1008">
        <v>1155</v>
      </c>
      <c r="B1008" t="s">
        <v>1875</v>
      </c>
      <c r="C1008" t="s">
        <v>1873</v>
      </c>
      <c r="D1008" t="s">
        <v>121</v>
      </c>
      <c r="E1008" s="4">
        <v>1</v>
      </c>
      <c r="F1008" t="s">
        <v>63</v>
      </c>
      <c r="G1008" t="s">
        <v>63</v>
      </c>
      <c r="H1008" s="3">
        <v>46167</v>
      </c>
      <c r="I1008" s="3">
        <v>46167</v>
      </c>
      <c r="J1008" t="s">
        <v>74</v>
      </c>
      <c r="K1008" s="3">
        <v>46167</v>
      </c>
      <c r="L1008" s="3">
        <v>46167</v>
      </c>
      <c r="M1008" s="3">
        <v>46167</v>
      </c>
      <c r="N1008" s="3">
        <v>46167</v>
      </c>
      <c r="O1008" t="s">
        <v>74</v>
      </c>
      <c r="P1008" t="s">
        <v>55</v>
      </c>
      <c r="Q1008">
        <v>1154</v>
      </c>
      <c r="S1008" t="s">
        <v>124</v>
      </c>
      <c r="T1008" t="s">
        <v>1429</v>
      </c>
      <c r="U1008">
        <v>1156</v>
      </c>
      <c r="V1008" t="s">
        <v>61</v>
      </c>
      <c r="W1008">
        <v>13.4</v>
      </c>
      <c r="X1008" t="s">
        <v>57</v>
      </c>
      <c r="Z1008" t="s">
        <v>124</v>
      </c>
      <c r="AA1008" t="s">
        <v>77</v>
      </c>
      <c r="AE1008">
        <v>1</v>
      </c>
      <c r="AF1008">
        <v>0</v>
      </c>
      <c r="AG1008">
        <v>0</v>
      </c>
      <c r="AH1008">
        <v>0</v>
      </c>
      <c r="AI1008">
        <v>0</v>
      </c>
      <c r="AJ1008">
        <v>1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</row>
    <row r="1009" spans="1:42" x14ac:dyDescent="0.25">
      <c r="A1009">
        <v>1156</v>
      </c>
      <c r="B1009" t="s">
        <v>1876</v>
      </c>
      <c r="C1009" t="s">
        <v>1873</v>
      </c>
      <c r="D1009" t="s">
        <v>126</v>
      </c>
      <c r="E1009" s="4">
        <v>1</v>
      </c>
      <c r="F1009" t="s">
        <v>63</v>
      </c>
      <c r="G1009" t="s">
        <v>63</v>
      </c>
      <c r="H1009" s="3">
        <v>46167</v>
      </c>
      <c r="I1009" s="3">
        <v>46167</v>
      </c>
      <c r="J1009" t="s">
        <v>74</v>
      </c>
      <c r="K1009" s="3">
        <v>46167</v>
      </c>
      <c r="L1009" s="3">
        <v>46167</v>
      </c>
      <c r="M1009" s="3">
        <v>46167</v>
      </c>
      <c r="N1009" s="3">
        <v>46167</v>
      </c>
      <c r="O1009" t="s">
        <v>74</v>
      </c>
      <c r="P1009" t="s">
        <v>55</v>
      </c>
      <c r="Q1009">
        <v>1155</v>
      </c>
      <c r="S1009" t="s">
        <v>1444</v>
      </c>
      <c r="T1009" t="s">
        <v>1429</v>
      </c>
      <c r="U1009">
        <v>1157</v>
      </c>
      <c r="V1009" t="s">
        <v>61</v>
      </c>
      <c r="W1009">
        <v>13.4</v>
      </c>
      <c r="X1009" t="s">
        <v>57</v>
      </c>
      <c r="Z1009" t="s">
        <v>1444</v>
      </c>
      <c r="AA1009" t="s">
        <v>77</v>
      </c>
      <c r="AE1009">
        <v>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1</v>
      </c>
      <c r="AM1009">
        <v>0</v>
      </c>
      <c r="AN1009">
        <v>0</v>
      </c>
      <c r="AO1009">
        <v>0</v>
      </c>
      <c r="AP1009">
        <v>0</v>
      </c>
    </row>
    <row r="1010" spans="1:42" x14ac:dyDescent="0.25">
      <c r="A1010">
        <v>1157</v>
      </c>
      <c r="B1010" t="s">
        <v>1877</v>
      </c>
      <c r="C1010" t="s">
        <v>1873</v>
      </c>
      <c r="D1010" t="s">
        <v>133</v>
      </c>
      <c r="E1010" s="4">
        <v>1</v>
      </c>
      <c r="F1010" t="s">
        <v>63</v>
      </c>
      <c r="G1010" t="s">
        <v>63</v>
      </c>
      <c r="H1010" s="3">
        <v>46167</v>
      </c>
      <c r="I1010" s="3">
        <v>46167</v>
      </c>
      <c r="J1010" t="s">
        <v>74</v>
      </c>
      <c r="K1010" s="3">
        <v>46167</v>
      </c>
      <c r="L1010" s="3">
        <v>46167</v>
      </c>
      <c r="M1010" s="3">
        <v>46167</v>
      </c>
      <c r="N1010" s="3">
        <v>46167</v>
      </c>
      <c r="O1010" t="s">
        <v>74</v>
      </c>
      <c r="P1010" t="s">
        <v>55</v>
      </c>
      <c r="Q1010">
        <v>1156</v>
      </c>
      <c r="S1010" t="s">
        <v>124</v>
      </c>
      <c r="T1010" t="s">
        <v>1429</v>
      </c>
      <c r="U1010">
        <v>1164</v>
      </c>
      <c r="V1010" t="s">
        <v>61</v>
      </c>
      <c r="W1010">
        <v>13.4</v>
      </c>
      <c r="X1010" t="s">
        <v>57</v>
      </c>
      <c r="Z1010" t="s">
        <v>124</v>
      </c>
      <c r="AA1010" t="s">
        <v>77</v>
      </c>
      <c r="AE1010">
        <v>1</v>
      </c>
      <c r="AF1010">
        <v>0</v>
      </c>
      <c r="AG1010">
        <v>0</v>
      </c>
      <c r="AH1010">
        <v>0</v>
      </c>
      <c r="AI1010">
        <v>1</v>
      </c>
      <c r="AJ1010">
        <v>0</v>
      </c>
      <c r="AK1010">
        <v>0</v>
      </c>
      <c r="AL1010">
        <v>0</v>
      </c>
      <c r="AM1010">
        <v>0</v>
      </c>
      <c r="AN1010">
        <v>1</v>
      </c>
      <c r="AO1010">
        <v>0</v>
      </c>
      <c r="AP1010">
        <v>0</v>
      </c>
    </row>
    <row r="1011" spans="1:42" x14ac:dyDescent="0.25">
      <c r="A1011">
        <v>1158</v>
      </c>
      <c r="B1011" t="s">
        <v>1878</v>
      </c>
      <c r="C1011" t="s">
        <v>1854</v>
      </c>
      <c r="D1011" t="s">
        <v>1879</v>
      </c>
      <c r="E1011" s="4">
        <v>1</v>
      </c>
      <c r="F1011" t="s">
        <v>210</v>
      </c>
      <c r="G1011" t="s">
        <v>210</v>
      </c>
      <c r="H1011" s="3">
        <v>46157</v>
      </c>
      <c r="I1011" s="3">
        <v>46168</v>
      </c>
      <c r="J1011" t="s">
        <v>480</v>
      </c>
      <c r="K1011" s="3">
        <v>46199</v>
      </c>
      <c r="L1011" s="3">
        <v>46191</v>
      </c>
      <c r="M1011" s="3">
        <v>46168</v>
      </c>
      <c r="N1011" s="3">
        <v>46168</v>
      </c>
      <c r="O1011" t="s">
        <v>444</v>
      </c>
      <c r="P1011" t="s">
        <v>55</v>
      </c>
      <c r="T1011" t="s">
        <v>1429</v>
      </c>
      <c r="V1011" t="s">
        <v>175</v>
      </c>
      <c r="X1011" t="s">
        <v>57</v>
      </c>
      <c r="AA1011" t="s">
        <v>50</v>
      </c>
      <c r="AB1011" t="s">
        <v>94</v>
      </c>
      <c r="AE1011">
        <v>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</row>
    <row r="1012" spans="1:42" x14ac:dyDescent="0.25">
      <c r="A1012">
        <v>1159</v>
      </c>
      <c r="B1012" t="s">
        <v>1880</v>
      </c>
      <c r="C1012" t="s">
        <v>1881</v>
      </c>
      <c r="D1012" t="s">
        <v>117</v>
      </c>
      <c r="E1012" s="4">
        <v>1</v>
      </c>
      <c r="F1012" t="s">
        <v>788</v>
      </c>
      <c r="G1012" t="s">
        <v>788</v>
      </c>
      <c r="H1012" s="3">
        <v>46157</v>
      </c>
      <c r="I1012" s="3">
        <v>46157</v>
      </c>
      <c r="J1012" t="s">
        <v>480</v>
      </c>
      <c r="K1012" s="3">
        <v>46192</v>
      </c>
      <c r="L1012" s="3">
        <v>46191</v>
      </c>
      <c r="M1012" s="3">
        <v>46157</v>
      </c>
      <c r="N1012" s="3">
        <v>46157</v>
      </c>
      <c r="O1012" t="s">
        <v>444</v>
      </c>
      <c r="P1012" t="s">
        <v>55</v>
      </c>
      <c r="Q1012" t="s">
        <v>1882</v>
      </c>
      <c r="S1012" t="s">
        <v>1433</v>
      </c>
      <c r="T1012" t="s">
        <v>1429</v>
      </c>
      <c r="U1012">
        <v>1160</v>
      </c>
      <c r="V1012" t="s">
        <v>127</v>
      </c>
      <c r="W1012">
        <v>13.4</v>
      </c>
      <c r="X1012" t="s">
        <v>57</v>
      </c>
      <c r="Z1012" t="s">
        <v>1433</v>
      </c>
      <c r="AA1012" t="s">
        <v>217</v>
      </c>
      <c r="AE1012">
        <v>1</v>
      </c>
      <c r="AF1012">
        <v>1</v>
      </c>
      <c r="AG1012">
        <v>1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1</v>
      </c>
    </row>
    <row r="1013" spans="1:42" x14ac:dyDescent="0.25">
      <c r="A1013">
        <v>1160</v>
      </c>
      <c r="B1013" t="s">
        <v>1883</v>
      </c>
      <c r="C1013" t="s">
        <v>1881</v>
      </c>
      <c r="D1013" t="s">
        <v>121</v>
      </c>
      <c r="E1013" s="4">
        <v>1</v>
      </c>
      <c r="F1013" t="s">
        <v>122</v>
      </c>
      <c r="G1013" t="s">
        <v>122</v>
      </c>
      <c r="H1013" s="3">
        <v>46161</v>
      </c>
      <c r="I1013" s="3">
        <v>46163</v>
      </c>
      <c r="J1013" t="s">
        <v>219</v>
      </c>
      <c r="K1013" s="3">
        <v>46197</v>
      </c>
      <c r="L1013" s="3">
        <v>46195</v>
      </c>
      <c r="M1013" s="3">
        <v>46163</v>
      </c>
      <c r="N1013" s="3">
        <v>46163</v>
      </c>
      <c r="O1013" t="s">
        <v>90</v>
      </c>
      <c r="P1013" t="s">
        <v>55</v>
      </c>
      <c r="Q1013">
        <v>1159</v>
      </c>
      <c r="S1013" t="s">
        <v>124</v>
      </c>
      <c r="T1013" t="s">
        <v>1429</v>
      </c>
      <c r="U1013">
        <v>1161</v>
      </c>
      <c r="V1013" t="s">
        <v>122</v>
      </c>
      <c r="W1013">
        <v>13.4</v>
      </c>
      <c r="X1013" t="s">
        <v>57</v>
      </c>
      <c r="Z1013" t="s">
        <v>124</v>
      </c>
      <c r="AA1013" t="s">
        <v>131</v>
      </c>
      <c r="AE1013">
        <v>1</v>
      </c>
      <c r="AF1013">
        <v>0</v>
      </c>
      <c r="AG1013">
        <v>0</v>
      </c>
      <c r="AH1013">
        <v>0</v>
      </c>
      <c r="AI1013">
        <v>0</v>
      </c>
      <c r="AJ1013">
        <v>1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</row>
    <row r="1014" spans="1:42" x14ac:dyDescent="0.25">
      <c r="A1014">
        <v>1161</v>
      </c>
      <c r="B1014" t="s">
        <v>1884</v>
      </c>
      <c r="C1014" t="s">
        <v>1881</v>
      </c>
      <c r="D1014" t="s">
        <v>126</v>
      </c>
      <c r="E1014" s="4">
        <v>1</v>
      </c>
      <c r="F1014" t="s">
        <v>127</v>
      </c>
      <c r="G1014" t="s">
        <v>127</v>
      </c>
      <c r="H1014" s="3">
        <v>46167</v>
      </c>
      <c r="I1014" s="3">
        <v>46168</v>
      </c>
      <c r="J1014" t="s">
        <v>128</v>
      </c>
      <c r="K1014" s="3">
        <v>46198</v>
      </c>
      <c r="L1014" s="3">
        <v>46198</v>
      </c>
      <c r="M1014" s="3">
        <v>46168</v>
      </c>
      <c r="N1014" s="3">
        <v>46168</v>
      </c>
      <c r="O1014" t="s">
        <v>74</v>
      </c>
      <c r="P1014" t="s">
        <v>55</v>
      </c>
      <c r="Q1014">
        <v>1160</v>
      </c>
      <c r="S1014" t="s">
        <v>1433</v>
      </c>
      <c r="T1014" t="s">
        <v>1429</v>
      </c>
      <c r="U1014">
        <v>1162</v>
      </c>
      <c r="V1014" t="s">
        <v>61</v>
      </c>
      <c r="W1014">
        <v>13.4</v>
      </c>
      <c r="X1014" t="s">
        <v>57</v>
      </c>
      <c r="Z1014" t="s">
        <v>1433</v>
      </c>
      <c r="AA1014" t="s">
        <v>131</v>
      </c>
      <c r="AE1014">
        <v>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1</v>
      </c>
      <c r="AM1014">
        <v>0</v>
      </c>
      <c r="AN1014">
        <v>0</v>
      </c>
      <c r="AO1014">
        <v>0</v>
      </c>
      <c r="AP1014">
        <v>0</v>
      </c>
    </row>
    <row r="1015" spans="1:42" x14ac:dyDescent="0.25">
      <c r="A1015">
        <v>1162</v>
      </c>
      <c r="B1015" t="s">
        <v>1885</v>
      </c>
      <c r="C1015" t="s">
        <v>1881</v>
      </c>
      <c r="D1015" t="s">
        <v>133</v>
      </c>
      <c r="E1015" s="4">
        <v>1</v>
      </c>
      <c r="F1015" t="s">
        <v>63</v>
      </c>
      <c r="G1015" t="s">
        <v>63</v>
      </c>
      <c r="H1015" s="3">
        <v>46168</v>
      </c>
      <c r="I1015" s="3">
        <v>46168</v>
      </c>
      <c r="J1015" t="s">
        <v>134</v>
      </c>
      <c r="K1015" s="3">
        <v>46199</v>
      </c>
      <c r="L1015" s="3">
        <v>46199</v>
      </c>
      <c r="M1015" s="3">
        <v>46168</v>
      </c>
      <c r="N1015" s="3">
        <v>46168</v>
      </c>
      <c r="O1015" t="s">
        <v>206</v>
      </c>
      <c r="P1015" t="s">
        <v>55</v>
      </c>
      <c r="Q1015">
        <v>1161</v>
      </c>
      <c r="S1015" t="s">
        <v>124</v>
      </c>
      <c r="T1015" t="s">
        <v>1429</v>
      </c>
      <c r="V1015" t="s">
        <v>61</v>
      </c>
      <c r="W1015">
        <v>13.4</v>
      </c>
      <c r="X1015" t="s">
        <v>57</v>
      </c>
      <c r="Z1015" t="s">
        <v>124</v>
      </c>
      <c r="AA1015" t="s">
        <v>131</v>
      </c>
      <c r="AE1015">
        <v>1</v>
      </c>
      <c r="AF1015">
        <v>0</v>
      </c>
      <c r="AG1015">
        <v>0</v>
      </c>
      <c r="AH1015">
        <v>0</v>
      </c>
      <c r="AI1015">
        <v>1</v>
      </c>
      <c r="AJ1015">
        <v>0</v>
      </c>
      <c r="AK1015">
        <v>0</v>
      </c>
      <c r="AL1015">
        <v>0</v>
      </c>
      <c r="AM1015">
        <v>0</v>
      </c>
      <c r="AN1015">
        <v>1</v>
      </c>
      <c r="AO1015">
        <v>0</v>
      </c>
      <c r="AP1015">
        <v>0</v>
      </c>
    </row>
    <row r="1016" spans="1:42" x14ac:dyDescent="0.25">
      <c r="A1016">
        <v>1163</v>
      </c>
      <c r="B1016" t="s">
        <v>1886</v>
      </c>
      <c r="C1016" t="s">
        <v>1854</v>
      </c>
      <c r="D1016" t="s">
        <v>1887</v>
      </c>
      <c r="E1016" s="4">
        <v>1</v>
      </c>
      <c r="F1016" t="s">
        <v>138</v>
      </c>
      <c r="G1016" t="s">
        <v>138</v>
      </c>
      <c r="H1016" s="3">
        <v>46168</v>
      </c>
      <c r="I1016" s="3">
        <v>46174</v>
      </c>
      <c r="J1016" t="s">
        <v>189</v>
      </c>
      <c r="K1016" s="3">
        <v>46183</v>
      </c>
      <c r="L1016" s="3">
        <v>46171</v>
      </c>
      <c r="M1016" s="3">
        <v>46174</v>
      </c>
      <c r="N1016" s="3">
        <v>46174</v>
      </c>
      <c r="O1016" t="s">
        <v>206</v>
      </c>
      <c r="P1016" t="s">
        <v>55</v>
      </c>
      <c r="T1016" t="s">
        <v>1429</v>
      </c>
      <c r="V1016" t="s">
        <v>175</v>
      </c>
      <c r="X1016" t="s">
        <v>57</v>
      </c>
      <c r="AA1016" t="s">
        <v>50</v>
      </c>
      <c r="AB1016" t="s">
        <v>94</v>
      </c>
      <c r="AE1016">
        <v>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</row>
    <row r="1017" spans="1:42" x14ac:dyDescent="0.25">
      <c r="A1017">
        <v>1164</v>
      </c>
      <c r="B1017" t="s">
        <v>1888</v>
      </c>
      <c r="C1017" t="s">
        <v>1889</v>
      </c>
      <c r="D1017" t="s">
        <v>117</v>
      </c>
      <c r="E1017" s="4">
        <v>1</v>
      </c>
      <c r="F1017" t="s">
        <v>127</v>
      </c>
      <c r="G1017" t="s">
        <v>127</v>
      </c>
      <c r="H1017" s="3">
        <v>46168</v>
      </c>
      <c r="I1017" s="3">
        <v>46169</v>
      </c>
      <c r="J1017" t="s">
        <v>189</v>
      </c>
      <c r="K1017" s="3">
        <v>46174</v>
      </c>
      <c r="L1017" s="3">
        <v>46171</v>
      </c>
      <c r="M1017" s="3">
        <v>46169</v>
      </c>
      <c r="N1017" s="3">
        <v>46169</v>
      </c>
      <c r="O1017" t="s">
        <v>206</v>
      </c>
      <c r="P1017" t="s">
        <v>55</v>
      </c>
      <c r="Q1017" t="s">
        <v>1890</v>
      </c>
      <c r="S1017" t="s">
        <v>1444</v>
      </c>
      <c r="T1017" t="s">
        <v>1429</v>
      </c>
      <c r="U1017" t="s">
        <v>1891</v>
      </c>
      <c r="V1017" t="s">
        <v>127</v>
      </c>
      <c r="W1017">
        <v>13.4</v>
      </c>
      <c r="X1017" t="s">
        <v>57</v>
      </c>
      <c r="Z1017" t="s">
        <v>1444</v>
      </c>
      <c r="AA1017" t="s">
        <v>77</v>
      </c>
      <c r="AE1017">
        <v>1</v>
      </c>
      <c r="AF1017">
        <v>1</v>
      </c>
      <c r="AG1017">
        <v>1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1</v>
      </c>
    </row>
    <row r="1018" spans="1:42" x14ac:dyDescent="0.25">
      <c r="A1018">
        <v>1165</v>
      </c>
      <c r="B1018" t="s">
        <v>1892</v>
      </c>
      <c r="C1018" t="s">
        <v>1889</v>
      </c>
      <c r="D1018" t="s">
        <v>121</v>
      </c>
      <c r="E1018" s="4">
        <v>1</v>
      </c>
      <c r="F1018" t="s">
        <v>61</v>
      </c>
      <c r="G1018" t="s">
        <v>61</v>
      </c>
      <c r="H1018" s="3">
        <v>46169</v>
      </c>
      <c r="I1018" s="3">
        <v>46170</v>
      </c>
      <c r="J1018" t="s">
        <v>472</v>
      </c>
      <c r="K1018" s="3">
        <v>46181</v>
      </c>
      <c r="L1018" s="3">
        <v>46175</v>
      </c>
      <c r="M1018" s="3">
        <v>46170</v>
      </c>
      <c r="N1018" s="3">
        <v>46170</v>
      </c>
      <c r="O1018" t="s">
        <v>97</v>
      </c>
      <c r="P1018" t="s">
        <v>55</v>
      </c>
      <c r="Q1018">
        <v>1164</v>
      </c>
      <c r="S1018" t="s">
        <v>124</v>
      </c>
      <c r="T1018" t="s">
        <v>1429</v>
      </c>
      <c r="U1018">
        <v>1166</v>
      </c>
      <c r="V1018" t="s">
        <v>122</v>
      </c>
      <c r="W1018">
        <v>13.4</v>
      </c>
      <c r="X1018" t="s">
        <v>57</v>
      </c>
      <c r="Z1018" t="s">
        <v>124</v>
      </c>
      <c r="AA1018" t="s">
        <v>460</v>
      </c>
      <c r="AE1018">
        <v>1</v>
      </c>
      <c r="AF1018">
        <v>0</v>
      </c>
      <c r="AG1018">
        <v>0</v>
      </c>
      <c r="AH1018">
        <v>0</v>
      </c>
      <c r="AI1018">
        <v>0</v>
      </c>
      <c r="AJ1018">
        <v>1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</row>
    <row r="1019" spans="1:42" x14ac:dyDescent="0.25">
      <c r="A1019">
        <v>1166</v>
      </c>
      <c r="B1019" t="s">
        <v>1893</v>
      </c>
      <c r="C1019" t="s">
        <v>1889</v>
      </c>
      <c r="D1019" t="s">
        <v>126</v>
      </c>
      <c r="E1019" s="4">
        <v>1</v>
      </c>
      <c r="F1019" t="s">
        <v>61</v>
      </c>
      <c r="G1019" t="s">
        <v>61</v>
      </c>
      <c r="H1019" s="3">
        <v>46170</v>
      </c>
      <c r="I1019" s="3">
        <v>46171</v>
      </c>
      <c r="J1019" t="s">
        <v>204</v>
      </c>
      <c r="K1019" s="3">
        <v>46182</v>
      </c>
      <c r="L1019" s="3">
        <v>46182</v>
      </c>
      <c r="M1019" s="3">
        <v>46171</v>
      </c>
      <c r="N1019" s="3">
        <v>46171</v>
      </c>
      <c r="O1019" t="s">
        <v>448</v>
      </c>
      <c r="P1019" t="s">
        <v>55</v>
      </c>
      <c r="Q1019">
        <v>1165</v>
      </c>
      <c r="S1019" t="s">
        <v>1444</v>
      </c>
      <c r="T1019" t="s">
        <v>1429</v>
      </c>
      <c r="U1019">
        <v>1167</v>
      </c>
      <c r="V1019" t="s">
        <v>61</v>
      </c>
      <c r="W1019">
        <v>13.4</v>
      </c>
      <c r="X1019" t="s">
        <v>57</v>
      </c>
      <c r="Z1019" t="s">
        <v>1444</v>
      </c>
      <c r="AA1019" t="s">
        <v>462</v>
      </c>
      <c r="AE1019">
        <v>1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1</v>
      </c>
      <c r="AM1019">
        <v>0</v>
      </c>
      <c r="AN1019">
        <v>0</v>
      </c>
      <c r="AO1019">
        <v>0</v>
      </c>
      <c r="AP1019">
        <v>0</v>
      </c>
    </row>
    <row r="1020" spans="1:42" x14ac:dyDescent="0.25">
      <c r="A1020">
        <v>1167</v>
      </c>
      <c r="B1020" t="s">
        <v>1894</v>
      </c>
      <c r="C1020" t="s">
        <v>1889</v>
      </c>
      <c r="D1020" t="s">
        <v>133</v>
      </c>
      <c r="E1020" s="4">
        <v>1</v>
      </c>
      <c r="F1020" t="s">
        <v>61</v>
      </c>
      <c r="G1020" t="s">
        <v>61</v>
      </c>
      <c r="H1020" s="3">
        <v>46171</v>
      </c>
      <c r="I1020" s="3">
        <v>46174</v>
      </c>
      <c r="J1020" t="s">
        <v>592</v>
      </c>
      <c r="K1020" s="3">
        <v>46183</v>
      </c>
      <c r="L1020" s="3">
        <v>46183</v>
      </c>
      <c r="M1020" s="3">
        <v>46174</v>
      </c>
      <c r="N1020" s="3">
        <v>46174</v>
      </c>
      <c r="O1020" t="s">
        <v>189</v>
      </c>
      <c r="P1020" t="s">
        <v>55</v>
      </c>
      <c r="Q1020">
        <v>1166</v>
      </c>
      <c r="S1020" t="s">
        <v>124</v>
      </c>
      <c r="T1020" t="s">
        <v>1429</v>
      </c>
      <c r="V1020" t="s">
        <v>61</v>
      </c>
      <c r="W1020">
        <v>13.4</v>
      </c>
      <c r="X1020" t="s">
        <v>57</v>
      </c>
      <c r="Z1020" t="s">
        <v>124</v>
      </c>
      <c r="AA1020" t="s">
        <v>462</v>
      </c>
      <c r="AE1020">
        <v>1</v>
      </c>
      <c r="AF1020">
        <v>0</v>
      </c>
      <c r="AG1020">
        <v>0</v>
      </c>
      <c r="AH1020">
        <v>0</v>
      </c>
      <c r="AI1020">
        <v>1</v>
      </c>
      <c r="AJ1020">
        <v>0</v>
      </c>
      <c r="AK1020">
        <v>0</v>
      </c>
      <c r="AL1020">
        <v>0</v>
      </c>
      <c r="AM1020">
        <v>0</v>
      </c>
      <c r="AN1020">
        <v>1</v>
      </c>
      <c r="AO1020">
        <v>0</v>
      </c>
      <c r="AP1020">
        <v>0</v>
      </c>
    </row>
    <row r="1021" spans="1:42" x14ac:dyDescent="0.25">
      <c r="A1021">
        <v>1168</v>
      </c>
      <c r="B1021" t="s">
        <v>1895</v>
      </c>
      <c r="C1021" t="s">
        <v>1854</v>
      </c>
      <c r="D1021" t="s">
        <v>1896</v>
      </c>
      <c r="E1021" s="4">
        <v>1</v>
      </c>
      <c r="F1021" t="s">
        <v>138</v>
      </c>
      <c r="G1021" t="s">
        <v>138</v>
      </c>
      <c r="H1021" s="3">
        <v>46168</v>
      </c>
      <c r="I1021" s="3">
        <v>46174</v>
      </c>
      <c r="J1021" t="s">
        <v>189</v>
      </c>
      <c r="K1021" s="3">
        <v>46183</v>
      </c>
      <c r="L1021" s="3">
        <v>46171</v>
      </c>
      <c r="M1021" s="3">
        <v>46174</v>
      </c>
      <c r="N1021" s="3">
        <v>46174</v>
      </c>
      <c r="O1021" t="s">
        <v>206</v>
      </c>
      <c r="P1021" t="s">
        <v>55</v>
      </c>
      <c r="T1021" t="s">
        <v>1429</v>
      </c>
      <c r="V1021" t="s">
        <v>175</v>
      </c>
      <c r="X1021" t="s">
        <v>57</v>
      </c>
      <c r="AA1021" t="s">
        <v>50</v>
      </c>
      <c r="AB1021" t="s">
        <v>94</v>
      </c>
      <c r="AE1021">
        <v>1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</row>
    <row r="1022" spans="1:42" x14ac:dyDescent="0.25">
      <c r="A1022">
        <v>1169</v>
      </c>
      <c r="B1022" t="s">
        <v>1897</v>
      </c>
      <c r="C1022" t="s">
        <v>1898</v>
      </c>
      <c r="D1022" t="s">
        <v>117</v>
      </c>
      <c r="E1022" s="4">
        <v>1</v>
      </c>
      <c r="F1022" t="s">
        <v>127</v>
      </c>
      <c r="G1022" t="s">
        <v>127</v>
      </c>
      <c r="H1022" s="3">
        <v>46168</v>
      </c>
      <c r="I1022" s="3">
        <v>46169</v>
      </c>
      <c r="J1022" t="s">
        <v>189</v>
      </c>
      <c r="K1022" s="3">
        <v>46174</v>
      </c>
      <c r="L1022" s="3">
        <v>46171</v>
      </c>
      <c r="M1022" s="3">
        <v>46169</v>
      </c>
      <c r="N1022" s="3">
        <v>46169</v>
      </c>
      <c r="O1022" t="s">
        <v>206</v>
      </c>
      <c r="P1022" t="s">
        <v>55</v>
      </c>
      <c r="Q1022" t="s">
        <v>1899</v>
      </c>
      <c r="S1022" t="s">
        <v>1444</v>
      </c>
      <c r="T1022" t="s">
        <v>1429</v>
      </c>
      <c r="U1022">
        <v>1170</v>
      </c>
      <c r="V1022" t="s">
        <v>127</v>
      </c>
      <c r="W1022">
        <v>13.4</v>
      </c>
      <c r="X1022" t="s">
        <v>57</v>
      </c>
      <c r="Z1022" t="s">
        <v>1444</v>
      </c>
      <c r="AA1022" t="s">
        <v>77</v>
      </c>
      <c r="AE1022">
        <v>1</v>
      </c>
      <c r="AF1022">
        <v>1</v>
      </c>
      <c r="AG1022">
        <v>1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1</v>
      </c>
    </row>
    <row r="1023" spans="1:42" x14ac:dyDescent="0.25">
      <c r="A1023">
        <v>1170</v>
      </c>
      <c r="B1023" t="s">
        <v>1900</v>
      </c>
      <c r="C1023" t="s">
        <v>1898</v>
      </c>
      <c r="D1023" t="s">
        <v>121</v>
      </c>
      <c r="E1023" s="4">
        <v>1</v>
      </c>
      <c r="F1023" t="s">
        <v>127</v>
      </c>
      <c r="G1023" t="s">
        <v>127</v>
      </c>
      <c r="H1023" s="3">
        <v>46169</v>
      </c>
      <c r="I1023" s="3">
        <v>46170</v>
      </c>
      <c r="J1023" t="s">
        <v>472</v>
      </c>
      <c r="K1023" s="3">
        <v>46181</v>
      </c>
      <c r="L1023" s="3">
        <v>46175</v>
      </c>
      <c r="M1023" s="3">
        <v>46170</v>
      </c>
      <c r="N1023" s="3">
        <v>46170</v>
      </c>
      <c r="O1023" t="s">
        <v>97</v>
      </c>
      <c r="P1023" t="s">
        <v>55</v>
      </c>
      <c r="Q1023">
        <v>1169</v>
      </c>
      <c r="S1023" t="s">
        <v>124</v>
      </c>
      <c r="T1023" t="s">
        <v>1429</v>
      </c>
      <c r="U1023">
        <v>1171</v>
      </c>
      <c r="V1023" t="s">
        <v>122</v>
      </c>
      <c r="W1023">
        <v>13.4</v>
      </c>
      <c r="X1023" t="s">
        <v>57</v>
      </c>
      <c r="Z1023" t="s">
        <v>124</v>
      </c>
      <c r="AA1023" t="s">
        <v>460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1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</row>
    <row r="1024" spans="1:42" x14ac:dyDescent="0.25">
      <c r="A1024">
        <v>1171</v>
      </c>
      <c r="B1024" t="s">
        <v>1901</v>
      </c>
      <c r="C1024" t="s">
        <v>1898</v>
      </c>
      <c r="D1024" t="s">
        <v>126</v>
      </c>
      <c r="E1024" s="4">
        <v>1</v>
      </c>
      <c r="F1024" t="s">
        <v>127</v>
      </c>
      <c r="G1024" t="s">
        <v>127</v>
      </c>
      <c r="H1024" s="3">
        <v>46170</v>
      </c>
      <c r="I1024" s="3">
        <v>46171</v>
      </c>
      <c r="J1024" t="s">
        <v>204</v>
      </c>
      <c r="K1024" s="3">
        <v>46182</v>
      </c>
      <c r="L1024" s="3">
        <v>46182</v>
      </c>
      <c r="M1024" s="3">
        <v>46171</v>
      </c>
      <c r="N1024" s="3">
        <v>46171</v>
      </c>
      <c r="O1024" t="s">
        <v>448</v>
      </c>
      <c r="P1024" t="s">
        <v>55</v>
      </c>
      <c r="Q1024">
        <v>1170</v>
      </c>
      <c r="S1024" t="s">
        <v>1444</v>
      </c>
      <c r="T1024" t="s">
        <v>1429</v>
      </c>
      <c r="U1024">
        <v>1172</v>
      </c>
      <c r="V1024" t="s">
        <v>61</v>
      </c>
      <c r="W1024">
        <v>13.4</v>
      </c>
      <c r="X1024" t="s">
        <v>57</v>
      </c>
      <c r="Z1024" t="s">
        <v>1444</v>
      </c>
      <c r="AA1024" t="s">
        <v>462</v>
      </c>
      <c r="AE1024">
        <v>1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1</v>
      </c>
      <c r="AM1024">
        <v>0</v>
      </c>
      <c r="AN1024">
        <v>0</v>
      </c>
      <c r="AO1024">
        <v>0</v>
      </c>
      <c r="AP1024">
        <v>0</v>
      </c>
    </row>
    <row r="1025" spans="1:42" x14ac:dyDescent="0.25">
      <c r="A1025">
        <v>1172</v>
      </c>
      <c r="B1025" t="s">
        <v>1902</v>
      </c>
      <c r="C1025" t="s">
        <v>1898</v>
      </c>
      <c r="D1025" t="s">
        <v>133</v>
      </c>
      <c r="E1025" s="4">
        <v>1</v>
      </c>
      <c r="F1025" t="s">
        <v>127</v>
      </c>
      <c r="G1025" t="s">
        <v>127</v>
      </c>
      <c r="H1025" s="3">
        <v>46171</v>
      </c>
      <c r="I1025" s="3">
        <v>46174</v>
      </c>
      <c r="J1025" t="s">
        <v>592</v>
      </c>
      <c r="K1025" s="3">
        <v>46183</v>
      </c>
      <c r="L1025" s="3">
        <v>46183</v>
      </c>
      <c r="M1025" s="3">
        <v>46174</v>
      </c>
      <c r="N1025" s="3">
        <v>46174</v>
      </c>
      <c r="O1025" t="s">
        <v>189</v>
      </c>
      <c r="P1025" t="s">
        <v>55</v>
      </c>
      <c r="Q1025">
        <v>1171</v>
      </c>
      <c r="S1025" t="s">
        <v>124</v>
      </c>
      <c r="T1025" t="s">
        <v>1429</v>
      </c>
      <c r="V1025" t="s">
        <v>61</v>
      </c>
      <c r="W1025">
        <v>13.4</v>
      </c>
      <c r="X1025" t="s">
        <v>57</v>
      </c>
      <c r="Z1025" t="s">
        <v>124</v>
      </c>
      <c r="AA1025" t="s">
        <v>462</v>
      </c>
      <c r="AE1025">
        <v>1</v>
      </c>
      <c r="AF1025">
        <v>0</v>
      </c>
      <c r="AG1025">
        <v>0</v>
      </c>
      <c r="AH1025">
        <v>0</v>
      </c>
      <c r="AI1025">
        <v>1</v>
      </c>
      <c r="AJ1025">
        <v>0</v>
      </c>
      <c r="AK1025">
        <v>0</v>
      </c>
      <c r="AL1025">
        <v>0</v>
      </c>
      <c r="AM1025">
        <v>0</v>
      </c>
      <c r="AN1025">
        <v>1</v>
      </c>
      <c r="AO1025">
        <v>0</v>
      </c>
      <c r="AP1025">
        <v>0</v>
      </c>
    </row>
    <row r="1026" spans="1:42" x14ac:dyDescent="0.25">
      <c r="A1026">
        <v>1173</v>
      </c>
      <c r="B1026" t="s">
        <v>1903</v>
      </c>
      <c r="C1026" t="s">
        <v>1854</v>
      </c>
      <c r="D1026" t="s">
        <v>1904</v>
      </c>
      <c r="E1026" s="4">
        <v>1</v>
      </c>
      <c r="F1026" t="s">
        <v>138</v>
      </c>
      <c r="G1026" t="s">
        <v>138</v>
      </c>
      <c r="H1026" s="3">
        <v>46168</v>
      </c>
      <c r="I1026" s="3">
        <v>46174</v>
      </c>
      <c r="J1026" t="s">
        <v>189</v>
      </c>
      <c r="K1026" s="3">
        <v>46183</v>
      </c>
      <c r="L1026" s="3">
        <v>46171</v>
      </c>
      <c r="M1026" s="3">
        <v>46174</v>
      </c>
      <c r="N1026" s="3">
        <v>46174</v>
      </c>
      <c r="O1026" t="s">
        <v>206</v>
      </c>
      <c r="P1026" t="s">
        <v>55</v>
      </c>
      <c r="T1026" t="s">
        <v>1429</v>
      </c>
      <c r="V1026" t="s">
        <v>175</v>
      </c>
      <c r="X1026" t="s">
        <v>57</v>
      </c>
      <c r="AA1026" t="s">
        <v>50</v>
      </c>
      <c r="AB1026" t="s">
        <v>94</v>
      </c>
      <c r="AE1026">
        <v>1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</row>
    <row r="1027" spans="1:42" x14ac:dyDescent="0.25">
      <c r="A1027">
        <v>1174</v>
      </c>
      <c r="B1027" t="s">
        <v>1905</v>
      </c>
      <c r="C1027" t="s">
        <v>1906</v>
      </c>
      <c r="D1027" t="s">
        <v>117</v>
      </c>
      <c r="E1027" s="4">
        <v>1</v>
      </c>
      <c r="F1027" t="s">
        <v>127</v>
      </c>
      <c r="G1027" t="s">
        <v>127</v>
      </c>
      <c r="H1027" s="3">
        <v>46168</v>
      </c>
      <c r="I1027" s="3">
        <v>46169</v>
      </c>
      <c r="J1027" t="s">
        <v>189</v>
      </c>
      <c r="K1027" s="3">
        <v>46174</v>
      </c>
      <c r="L1027" s="3">
        <v>46171</v>
      </c>
      <c r="M1027" s="3">
        <v>46169</v>
      </c>
      <c r="N1027" s="3">
        <v>46169</v>
      </c>
      <c r="O1027" t="s">
        <v>206</v>
      </c>
      <c r="P1027" t="s">
        <v>55</v>
      </c>
      <c r="Q1027" t="s">
        <v>1899</v>
      </c>
      <c r="S1027" t="s">
        <v>1444</v>
      </c>
      <c r="T1027" t="s">
        <v>1429</v>
      </c>
      <c r="U1027">
        <v>1175</v>
      </c>
      <c r="V1027" t="s">
        <v>127</v>
      </c>
      <c r="W1027">
        <v>13.4</v>
      </c>
      <c r="X1027" t="s">
        <v>57</v>
      </c>
      <c r="Z1027" t="s">
        <v>1444</v>
      </c>
      <c r="AA1027" t="s">
        <v>77</v>
      </c>
      <c r="AE1027">
        <v>1</v>
      </c>
      <c r="AF1027">
        <v>1</v>
      </c>
      <c r="AG1027">
        <v>1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1</v>
      </c>
    </row>
    <row r="1028" spans="1:42" x14ac:dyDescent="0.25">
      <c r="A1028">
        <v>1175</v>
      </c>
      <c r="B1028" t="s">
        <v>1907</v>
      </c>
      <c r="C1028" t="s">
        <v>1906</v>
      </c>
      <c r="D1028" t="s">
        <v>121</v>
      </c>
      <c r="E1028" s="4">
        <v>1</v>
      </c>
      <c r="F1028" t="s">
        <v>127</v>
      </c>
      <c r="G1028" t="s">
        <v>127</v>
      </c>
      <c r="H1028" s="3">
        <v>46169</v>
      </c>
      <c r="I1028" s="3">
        <v>46170</v>
      </c>
      <c r="J1028" t="s">
        <v>472</v>
      </c>
      <c r="K1028" s="3">
        <v>46181</v>
      </c>
      <c r="L1028" s="3">
        <v>46175</v>
      </c>
      <c r="M1028" s="3">
        <v>46170</v>
      </c>
      <c r="N1028" s="3">
        <v>46170</v>
      </c>
      <c r="O1028" t="s">
        <v>97</v>
      </c>
      <c r="P1028" t="s">
        <v>55</v>
      </c>
      <c r="Q1028">
        <v>1174</v>
      </c>
      <c r="S1028" t="s">
        <v>124</v>
      </c>
      <c r="T1028" t="s">
        <v>1429</v>
      </c>
      <c r="U1028">
        <v>1176</v>
      </c>
      <c r="V1028" t="s">
        <v>122</v>
      </c>
      <c r="W1028">
        <v>13.4</v>
      </c>
      <c r="X1028" t="s">
        <v>57</v>
      </c>
      <c r="Z1028" t="s">
        <v>124</v>
      </c>
      <c r="AA1028" t="s">
        <v>460</v>
      </c>
      <c r="AE1028">
        <v>1</v>
      </c>
      <c r="AF1028">
        <v>0</v>
      </c>
      <c r="AG1028">
        <v>0</v>
      </c>
      <c r="AH1028">
        <v>0</v>
      </c>
      <c r="AI1028">
        <v>0</v>
      </c>
      <c r="AJ1028">
        <v>1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</row>
    <row r="1029" spans="1:42" x14ac:dyDescent="0.25">
      <c r="A1029">
        <v>1176</v>
      </c>
      <c r="B1029" t="s">
        <v>1908</v>
      </c>
      <c r="C1029" t="s">
        <v>1906</v>
      </c>
      <c r="D1029" t="s">
        <v>126</v>
      </c>
      <c r="E1029" s="4">
        <v>1</v>
      </c>
      <c r="F1029" t="s">
        <v>127</v>
      </c>
      <c r="G1029" t="s">
        <v>127</v>
      </c>
      <c r="H1029" s="3">
        <v>46170</v>
      </c>
      <c r="I1029" s="3">
        <v>46171</v>
      </c>
      <c r="J1029" t="s">
        <v>204</v>
      </c>
      <c r="K1029" s="3">
        <v>46182</v>
      </c>
      <c r="L1029" s="3">
        <v>46182</v>
      </c>
      <c r="M1029" s="3">
        <v>46171</v>
      </c>
      <c r="N1029" s="3">
        <v>46171</v>
      </c>
      <c r="O1029" t="s">
        <v>448</v>
      </c>
      <c r="P1029" t="s">
        <v>55</v>
      </c>
      <c r="Q1029">
        <v>1175</v>
      </c>
      <c r="S1029" t="s">
        <v>1444</v>
      </c>
      <c r="T1029" t="s">
        <v>1429</v>
      </c>
      <c r="U1029">
        <v>1177</v>
      </c>
      <c r="V1029" t="s">
        <v>61</v>
      </c>
      <c r="W1029">
        <v>13.4</v>
      </c>
      <c r="X1029" t="s">
        <v>57</v>
      </c>
      <c r="Z1029" t="s">
        <v>1444</v>
      </c>
      <c r="AA1029" t="s">
        <v>462</v>
      </c>
      <c r="AE1029">
        <v>1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1</v>
      </c>
      <c r="AM1029">
        <v>0</v>
      </c>
      <c r="AN1029">
        <v>0</v>
      </c>
      <c r="AO1029">
        <v>0</v>
      </c>
      <c r="AP1029">
        <v>0</v>
      </c>
    </row>
    <row r="1030" spans="1:42" x14ac:dyDescent="0.25">
      <c r="A1030">
        <v>1177</v>
      </c>
      <c r="B1030" t="s">
        <v>1909</v>
      </c>
      <c r="C1030" t="s">
        <v>1906</v>
      </c>
      <c r="D1030" t="s">
        <v>133</v>
      </c>
      <c r="E1030" s="4">
        <v>1</v>
      </c>
      <c r="F1030" t="s">
        <v>127</v>
      </c>
      <c r="G1030" t="s">
        <v>127</v>
      </c>
      <c r="H1030" s="3">
        <v>46171</v>
      </c>
      <c r="I1030" s="3">
        <v>46174</v>
      </c>
      <c r="J1030" t="s">
        <v>592</v>
      </c>
      <c r="K1030" s="3">
        <v>46183</v>
      </c>
      <c r="L1030" s="3">
        <v>46183</v>
      </c>
      <c r="M1030" s="3">
        <v>46174</v>
      </c>
      <c r="N1030" s="3">
        <v>46174</v>
      </c>
      <c r="O1030" t="s">
        <v>189</v>
      </c>
      <c r="P1030" t="s">
        <v>55</v>
      </c>
      <c r="Q1030">
        <v>1176</v>
      </c>
      <c r="S1030" t="s">
        <v>124</v>
      </c>
      <c r="T1030" t="s">
        <v>1429</v>
      </c>
      <c r="V1030" t="s">
        <v>61</v>
      </c>
      <c r="W1030">
        <v>13.4</v>
      </c>
      <c r="X1030" t="s">
        <v>57</v>
      </c>
      <c r="Z1030" t="s">
        <v>124</v>
      </c>
      <c r="AA1030" t="s">
        <v>462</v>
      </c>
      <c r="AE1030">
        <v>1</v>
      </c>
      <c r="AF1030">
        <v>0</v>
      </c>
      <c r="AG1030">
        <v>0</v>
      </c>
      <c r="AH1030">
        <v>0</v>
      </c>
      <c r="AI1030">
        <v>1</v>
      </c>
      <c r="AJ1030">
        <v>0</v>
      </c>
      <c r="AK1030">
        <v>0</v>
      </c>
      <c r="AL1030">
        <v>0</v>
      </c>
      <c r="AM1030">
        <v>0</v>
      </c>
      <c r="AN1030">
        <v>1</v>
      </c>
      <c r="AO1030">
        <v>0</v>
      </c>
      <c r="AP1030">
        <v>0</v>
      </c>
    </row>
    <row r="1031" spans="1:42" x14ac:dyDescent="0.25">
      <c r="A1031">
        <v>1178</v>
      </c>
      <c r="B1031" t="s">
        <v>1910</v>
      </c>
      <c r="C1031" t="s">
        <v>1854</v>
      </c>
      <c r="D1031" t="s">
        <v>1911</v>
      </c>
      <c r="E1031" s="4">
        <v>1</v>
      </c>
      <c r="F1031" t="s">
        <v>138</v>
      </c>
      <c r="G1031" t="s">
        <v>138</v>
      </c>
      <c r="H1031" s="3">
        <v>46168</v>
      </c>
      <c r="I1031" s="3">
        <v>46174</v>
      </c>
      <c r="J1031" t="s">
        <v>206</v>
      </c>
      <c r="K1031" s="3">
        <v>46174</v>
      </c>
      <c r="L1031" s="3">
        <v>46168</v>
      </c>
      <c r="M1031" s="3">
        <v>46174</v>
      </c>
      <c r="N1031" s="3">
        <v>46174</v>
      </c>
      <c r="O1031" t="s">
        <v>206</v>
      </c>
      <c r="P1031" t="s">
        <v>55</v>
      </c>
      <c r="T1031" t="s">
        <v>1429</v>
      </c>
      <c r="V1031" t="s">
        <v>175</v>
      </c>
      <c r="X1031" t="s">
        <v>57</v>
      </c>
      <c r="AA1031" t="s">
        <v>50</v>
      </c>
      <c r="AB1031" t="s">
        <v>94</v>
      </c>
      <c r="AE1031">
        <v>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</row>
    <row r="1032" spans="1:42" x14ac:dyDescent="0.25">
      <c r="A1032">
        <v>1179</v>
      </c>
      <c r="B1032" t="s">
        <v>1912</v>
      </c>
      <c r="C1032" t="s">
        <v>1913</v>
      </c>
      <c r="D1032" t="s">
        <v>117</v>
      </c>
      <c r="E1032" s="4">
        <v>1</v>
      </c>
      <c r="F1032" t="s">
        <v>127</v>
      </c>
      <c r="G1032" t="s">
        <v>127</v>
      </c>
      <c r="H1032" s="3">
        <v>46168</v>
      </c>
      <c r="I1032" s="3">
        <v>46169</v>
      </c>
      <c r="J1032" t="s">
        <v>206</v>
      </c>
      <c r="K1032" s="3">
        <v>46169</v>
      </c>
      <c r="L1032" s="3">
        <v>46168</v>
      </c>
      <c r="M1032" s="3">
        <v>46169</v>
      </c>
      <c r="N1032" s="3">
        <v>46169</v>
      </c>
      <c r="O1032" t="s">
        <v>206</v>
      </c>
      <c r="P1032" t="s">
        <v>55</v>
      </c>
      <c r="Q1032" t="s">
        <v>1899</v>
      </c>
      <c r="S1032" t="s">
        <v>1444</v>
      </c>
      <c r="T1032" t="s">
        <v>1429</v>
      </c>
      <c r="U1032">
        <v>1180</v>
      </c>
      <c r="V1032" t="s">
        <v>127</v>
      </c>
      <c r="W1032">
        <v>13.4</v>
      </c>
      <c r="X1032" t="s">
        <v>57</v>
      </c>
      <c r="Z1032" t="s">
        <v>1444</v>
      </c>
      <c r="AA1032" t="s">
        <v>77</v>
      </c>
      <c r="AE1032">
        <v>1</v>
      </c>
      <c r="AF1032">
        <v>1</v>
      </c>
      <c r="AG1032">
        <v>1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1</v>
      </c>
    </row>
    <row r="1033" spans="1:42" x14ac:dyDescent="0.25">
      <c r="A1033">
        <v>1180</v>
      </c>
      <c r="B1033" t="s">
        <v>1914</v>
      </c>
      <c r="C1033" t="s">
        <v>1913</v>
      </c>
      <c r="D1033" t="s">
        <v>121</v>
      </c>
      <c r="E1033" s="4">
        <v>1</v>
      </c>
      <c r="F1033" t="s">
        <v>127</v>
      </c>
      <c r="G1033" t="s">
        <v>127</v>
      </c>
      <c r="H1033" s="3">
        <v>46169</v>
      </c>
      <c r="I1033" s="3">
        <v>46170</v>
      </c>
      <c r="J1033" t="s">
        <v>97</v>
      </c>
      <c r="K1033" s="3">
        <v>46170</v>
      </c>
      <c r="L1033" s="3">
        <v>46169</v>
      </c>
      <c r="M1033" s="3">
        <v>46170</v>
      </c>
      <c r="N1033" s="3">
        <v>46170</v>
      </c>
      <c r="O1033" t="s">
        <v>97</v>
      </c>
      <c r="P1033" t="s">
        <v>55</v>
      </c>
      <c r="Q1033">
        <v>1179</v>
      </c>
      <c r="S1033" t="s">
        <v>124</v>
      </c>
      <c r="T1033" t="s">
        <v>1429</v>
      </c>
      <c r="U1033">
        <v>1181</v>
      </c>
      <c r="V1033" t="s">
        <v>122</v>
      </c>
      <c r="W1033">
        <v>13.4</v>
      </c>
      <c r="X1033" t="s">
        <v>57</v>
      </c>
      <c r="Z1033" t="s">
        <v>124</v>
      </c>
      <c r="AA1033" t="s">
        <v>460</v>
      </c>
      <c r="AE1033">
        <v>1</v>
      </c>
      <c r="AF1033">
        <v>0</v>
      </c>
      <c r="AG1033">
        <v>0</v>
      </c>
      <c r="AH1033">
        <v>0</v>
      </c>
      <c r="AI1033">
        <v>0</v>
      </c>
      <c r="AJ1033">
        <v>1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</row>
    <row r="1034" spans="1:42" x14ac:dyDescent="0.25">
      <c r="A1034">
        <v>1181</v>
      </c>
      <c r="B1034" t="s">
        <v>1915</v>
      </c>
      <c r="C1034" t="s">
        <v>1913</v>
      </c>
      <c r="D1034" t="s">
        <v>126</v>
      </c>
      <c r="E1034" s="4">
        <v>1</v>
      </c>
      <c r="F1034" t="s">
        <v>127</v>
      </c>
      <c r="G1034" t="s">
        <v>127</v>
      </c>
      <c r="H1034" s="3">
        <v>46170</v>
      </c>
      <c r="I1034" s="3">
        <v>46171</v>
      </c>
      <c r="J1034" t="s">
        <v>448</v>
      </c>
      <c r="K1034" s="3">
        <v>46171</v>
      </c>
      <c r="L1034" s="3">
        <v>46170</v>
      </c>
      <c r="M1034" s="3">
        <v>46171</v>
      </c>
      <c r="N1034" s="3">
        <v>46171</v>
      </c>
      <c r="O1034" t="s">
        <v>448</v>
      </c>
      <c r="P1034" t="s">
        <v>55</v>
      </c>
      <c r="Q1034">
        <v>1180</v>
      </c>
      <c r="S1034" t="s">
        <v>1444</v>
      </c>
      <c r="T1034" t="s">
        <v>1429</v>
      </c>
      <c r="U1034">
        <v>1182</v>
      </c>
      <c r="V1034" t="s">
        <v>61</v>
      </c>
      <c r="W1034">
        <v>13.4</v>
      </c>
      <c r="X1034" t="s">
        <v>57</v>
      </c>
      <c r="Z1034" t="s">
        <v>1444</v>
      </c>
      <c r="AA1034" t="s">
        <v>462</v>
      </c>
      <c r="AE1034">
        <v>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1</v>
      </c>
      <c r="AM1034">
        <v>0</v>
      </c>
      <c r="AN1034">
        <v>0</v>
      </c>
      <c r="AO1034">
        <v>0</v>
      </c>
      <c r="AP1034">
        <v>0</v>
      </c>
    </row>
    <row r="1035" spans="1:42" x14ac:dyDescent="0.25">
      <c r="A1035">
        <v>1182</v>
      </c>
      <c r="B1035" t="s">
        <v>1916</v>
      </c>
      <c r="C1035" t="s">
        <v>1913</v>
      </c>
      <c r="D1035" t="s">
        <v>133</v>
      </c>
      <c r="E1035" s="4">
        <v>1</v>
      </c>
      <c r="F1035" t="s">
        <v>127</v>
      </c>
      <c r="G1035" t="s">
        <v>127</v>
      </c>
      <c r="H1035" s="3">
        <v>46171</v>
      </c>
      <c r="I1035" s="3">
        <v>46174</v>
      </c>
      <c r="J1035" t="s">
        <v>189</v>
      </c>
      <c r="K1035" s="3">
        <v>46174</v>
      </c>
      <c r="L1035" s="3">
        <v>46171</v>
      </c>
      <c r="M1035" s="3">
        <v>46174</v>
      </c>
      <c r="N1035" s="3">
        <v>46174</v>
      </c>
      <c r="O1035" t="s">
        <v>189</v>
      </c>
      <c r="P1035" t="s">
        <v>55</v>
      </c>
      <c r="Q1035">
        <v>1181</v>
      </c>
      <c r="S1035" t="s">
        <v>124</v>
      </c>
      <c r="T1035" t="s">
        <v>1429</v>
      </c>
      <c r="V1035" t="s">
        <v>61</v>
      </c>
      <c r="W1035">
        <v>13.4</v>
      </c>
      <c r="X1035" t="s">
        <v>57</v>
      </c>
      <c r="Z1035" t="s">
        <v>124</v>
      </c>
      <c r="AA1035" t="s">
        <v>462</v>
      </c>
      <c r="AE1035">
        <v>1</v>
      </c>
      <c r="AF1035">
        <v>0</v>
      </c>
      <c r="AG1035">
        <v>0</v>
      </c>
      <c r="AH1035">
        <v>0</v>
      </c>
      <c r="AI1035">
        <v>1</v>
      </c>
      <c r="AJ1035">
        <v>0</v>
      </c>
      <c r="AK1035">
        <v>0</v>
      </c>
      <c r="AL1035">
        <v>0</v>
      </c>
      <c r="AM1035">
        <v>0</v>
      </c>
      <c r="AN1035">
        <v>1</v>
      </c>
      <c r="AO1035">
        <v>0</v>
      </c>
      <c r="AP1035">
        <v>0</v>
      </c>
    </row>
    <row r="1036" spans="1:42" x14ac:dyDescent="0.25">
      <c r="A1036">
        <v>1183</v>
      </c>
      <c r="B1036" t="s">
        <v>1917</v>
      </c>
      <c r="C1036" t="s">
        <v>1854</v>
      </c>
      <c r="D1036" t="s">
        <v>1918</v>
      </c>
      <c r="E1036" s="4">
        <v>1</v>
      </c>
      <c r="F1036" t="s">
        <v>138</v>
      </c>
      <c r="G1036" t="s">
        <v>138</v>
      </c>
      <c r="H1036" s="3">
        <v>46168</v>
      </c>
      <c r="I1036" s="3">
        <v>46174</v>
      </c>
      <c r="J1036" t="s">
        <v>206</v>
      </c>
      <c r="K1036" s="3">
        <v>46174</v>
      </c>
      <c r="L1036" s="3">
        <v>46168</v>
      </c>
      <c r="M1036" s="3">
        <v>46174</v>
      </c>
      <c r="N1036" s="3">
        <v>46174</v>
      </c>
      <c r="O1036" t="s">
        <v>206</v>
      </c>
      <c r="P1036" t="s">
        <v>55</v>
      </c>
      <c r="T1036" t="s">
        <v>1429</v>
      </c>
      <c r="V1036" t="s">
        <v>175</v>
      </c>
      <c r="X1036" t="s">
        <v>57</v>
      </c>
      <c r="AA1036" t="s">
        <v>50</v>
      </c>
      <c r="AB1036" t="s">
        <v>94</v>
      </c>
      <c r="AE1036">
        <v>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</row>
    <row r="1037" spans="1:42" x14ac:dyDescent="0.25">
      <c r="A1037">
        <v>1184</v>
      </c>
      <c r="B1037" t="s">
        <v>1919</v>
      </c>
      <c r="C1037" t="s">
        <v>1920</v>
      </c>
      <c r="D1037" t="s">
        <v>117</v>
      </c>
      <c r="E1037" s="4">
        <v>1</v>
      </c>
      <c r="F1037" t="s">
        <v>127</v>
      </c>
      <c r="G1037" t="s">
        <v>127</v>
      </c>
      <c r="H1037" s="3">
        <v>46168</v>
      </c>
      <c r="I1037" s="3">
        <v>46169</v>
      </c>
      <c r="J1037" t="s">
        <v>206</v>
      </c>
      <c r="K1037" s="3">
        <v>46169</v>
      </c>
      <c r="L1037" s="3">
        <v>46168</v>
      </c>
      <c r="M1037" s="3">
        <v>46169</v>
      </c>
      <c r="N1037" s="3">
        <v>46169</v>
      </c>
      <c r="O1037" t="s">
        <v>206</v>
      </c>
      <c r="P1037" t="s">
        <v>55</v>
      </c>
      <c r="Q1037" t="s">
        <v>1899</v>
      </c>
      <c r="S1037" t="s">
        <v>1444</v>
      </c>
      <c r="T1037" t="s">
        <v>1429</v>
      </c>
      <c r="U1037">
        <v>1185</v>
      </c>
      <c r="V1037" t="s">
        <v>127</v>
      </c>
      <c r="W1037">
        <v>13.4</v>
      </c>
      <c r="X1037" t="s">
        <v>57</v>
      </c>
      <c r="Z1037" t="s">
        <v>1444</v>
      </c>
      <c r="AA1037" t="s">
        <v>77</v>
      </c>
      <c r="AE1037">
        <v>1</v>
      </c>
      <c r="AF1037">
        <v>1</v>
      </c>
      <c r="AG1037">
        <v>1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1</v>
      </c>
    </row>
    <row r="1038" spans="1:42" x14ac:dyDescent="0.25">
      <c r="A1038">
        <v>1185</v>
      </c>
      <c r="B1038" t="s">
        <v>1921</v>
      </c>
      <c r="C1038" t="s">
        <v>1920</v>
      </c>
      <c r="D1038" t="s">
        <v>121</v>
      </c>
      <c r="E1038" s="4">
        <v>1</v>
      </c>
      <c r="F1038" t="s">
        <v>127</v>
      </c>
      <c r="G1038" t="s">
        <v>127</v>
      </c>
      <c r="H1038" s="3">
        <v>46169</v>
      </c>
      <c r="I1038" s="3">
        <v>46170</v>
      </c>
      <c r="J1038" t="s">
        <v>97</v>
      </c>
      <c r="K1038" s="3">
        <v>46170</v>
      </c>
      <c r="L1038" s="3">
        <v>46169</v>
      </c>
      <c r="M1038" s="3">
        <v>46170</v>
      </c>
      <c r="N1038" s="3">
        <v>46170</v>
      </c>
      <c r="O1038" t="s">
        <v>97</v>
      </c>
      <c r="P1038" t="s">
        <v>55</v>
      </c>
      <c r="Q1038">
        <v>1184</v>
      </c>
      <c r="S1038" t="s">
        <v>124</v>
      </c>
      <c r="T1038" t="s">
        <v>1429</v>
      </c>
      <c r="U1038">
        <v>1186</v>
      </c>
      <c r="V1038" t="s">
        <v>122</v>
      </c>
      <c r="W1038">
        <v>13.4</v>
      </c>
      <c r="X1038" t="s">
        <v>57</v>
      </c>
      <c r="Z1038" t="s">
        <v>124</v>
      </c>
      <c r="AA1038" t="s">
        <v>460</v>
      </c>
      <c r="AE1038">
        <v>1</v>
      </c>
      <c r="AF1038">
        <v>0</v>
      </c>
      <c r="AG1038">
        <v>0</v>
      </c>
      <c r="AH1038">
        <v>0</v>
      </c>
      <c r="AI1038">
        <v>0</v>
      </c>
      <c r="AJ1038">
        <v>1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</row>
    <row r="1039" spans="1:42" x14ac:dyDescent="0.25">
      <c r="A1039">
        <v>1186</v>
      </c>
      <c r="B1039" t="s">
        <v>1922</v>
      </c>
      <c r="C1039" t="s">
        <v>1920</v>
      </c>
      <c r="D1039" t="s">
        <v>126</v>
      </c>
      <c r="E1039" s="4">
        <v>1</v>
      </c>
      <c r="F1039" t="s">
        <v>127</v>
      </c>
      <c r="G1039" t="s">
        <v>127</v>
      </c>
      <c r="H1039" s="3">
        <v>46170</v>
      </c>
      <c r="I1039" s="3">
        <v>46171</v>
      </c>
      <c r="J1039" t="s">
        <v>448</v>
      </c>
      <c r="K1039" s="3">
        <v>46171</v>
      </c>
      <c r="L1039" s="3">
        <v>46170</v>
      </c>
      <c r="M1039" s="3">
        <v>46171</v>
      </c>
      <c r="N1039" s="3">
        <v>46171</v>
      </c>
      <c r="O1039" t="s">
        <v>448</v>
      </c>
      <c r="P1039" t="s">
        <v>55</v>
      </c>
      <c r="Q1039">
        <v>1185</v>
      </c>
      <c r="S1039" t="s">
        <v>1444</v>
      </c>
      <c r="T1039" t="s">
        <v>1429</v>
      </c>
      <c r="U1039">
        <v>1187</v>
      </c>
      <c r="V1039" t="s">
        <v>61</v>
      </c>
      <c r="W1039">
        <v>13.4</v>
      </c>
      <c r="X1039" t="s">
        <v>57</v>
      </c>
      <c r="Z1039" t="s">
        <v>1444</v>
      </c>
      <c r="AA1039" t="s">
        <v>462</v>
      </c>
      <c r="AE1039">
        <v>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1</v>
      </c>
      <c r="AM1039">
        <v>0</v>
      </c>
      <c r="AN1039">
        <v>0</v>
      </c>
      <c r="AO1039">
        <v>0</v>
      </c>
      <c r="AP1039">
        <v>0</v>
      </c>
    </row>
    <row r="1040" spans="1:42" x14ac:dyDescent="0.25">
      <c r="A1040">
        <v>1187</v>
      </c>
      <c r="B1040" t="s">
        <v>1923</v>
      </c>
      <c r="C1040" t="s">
        <v>1920</v>
      </c>
      <c r="D1040" t="s">
        <v>133</v>
      </c>
      <c r="E1040" s="4">
        <v>1</v>
      </c>
      <c r="F1040" t="s">
        <v>127</v>
      </c>
      <c r="G1040" t="s">
        <v>127</v>
      </c>
      <c r="H1040" s="3">
        <v>46171</v>
      </c>
      <c r="I1040" s="3">
        <v>46174</v>
      </c>
      <c r="J1040" t="s">
        <v>189</v>
      </c>
      <c r="K1040" s="3">
        <v>46174</v>
      </c>
      <c r="L1040" s="3">
        <v>46171</v>
      </c>
      <c r="M1040" s="3">
        <v>46174</v>
      </c>
      <c r="N1040" s="3">
        <v>46174</v>
      </c>
      <c r="O1040" t="s">
        <v>189</v>
      </c>
      <c r="P1040" t="s">
        <v>55</v>
      </c>
      <c r="Q1040">
        <v>1186</v>
      </c>
      <c r="S1040" t="s">
        <v>124</v>
      </c>
      <c r="T1040" t="s">
        <v>1429</v>
      </c>
      <c r="V1040" t="s">
        <v>61</v>
      </c>
      <c r="W1040">
        <v>13.4</v>
      </c>
      <c r="X1040" t="s">
        <v>57</v>
      </c>
      <c r="Z1040" t="s">
        <v>124</v>
      </c>
      <c r="AA1040" t="s">
        <v>462</v>
      </c>
      <c r="AE1040">
        <v>1</v>
      </c>
      <c r="AF1040">
        <v>0</v>
      </c>
      <c r="AG1040">
        <v>0</v>
      </c>
      <c r="AH1040">
        <v>0</v>
      </c>
      <c r="AI1040">
        <v>1</v>
      </c>
      <c r="AJ1040">
        <v>0</v>
      </c>
      <c r="AK1040">
        <v>0</v>
      </c>
      <c r="AL1040">
        <v>0</v>
      </c>
      <c r="AM1040">
        <v>0</v>
      </c>
      <c r="AN1040">
        <v>1</v>
      </c>
      <c r="AO1040">
        <v>0</v>
      </c>
      <c r="AP1040">
        <v>0</v>
      </c>
    </row>
    <row r="1041" spans="1:42" x14ac:dyDescent="0.25">
      <c r="A1041">
        <v>1188</v>
      </c>
      <c r="B1041" t="s">
        <v>1924</v>
      </c>
      <c r="C1041" t="s">
        <v>1429</v>
      </c>
      <c r="D1041" t="s">
        <v>1925</v>
      </c>
      <c r="E1041" s="4">
        <v>1</v>
      </c>
      <c r="F1041" t="s">
        <v>175</v>
      </c>
      <c r="G1041" t="s">
        <v>175</v>
      </c>
      <c r="H1041" s="3">
        <v>46171</v>
      </c>
      <c r="I1041" s="3">
        <v>46183</v>
      </c>
      <c r="J1041" t="s">
        <v>491</v>
      </c>
      <c r="K1041" s="3">
        <v>46197</v>
      </c>
      <c r="L1041" s="3">
        <v>46163</v>
      </c>
      <c r="M1041" s="3">
        <v>46183</v>
      </c>
      <c r="N1041" s="3">
        <v>46183</v>
      </c>
      <c r="O1041" t="s">
        <v>189</v>
      </c>
      <c r="P1041" t="s">
        <v>55</v>
      </c>
      <c r="T1041" t="s">
        <v>1429</v>
      </c>
      <c r="V1041" t="s">
        <v>613</v>
      </c>
      <c r="X1041" t="s">
        <v>57</v>
      </c>
      <c r="AA1041" t="s">
        <v>50</v>
      </c>
      <c r="AB1041" t="s">
        <v>94</v>
      </c>
      <c r="AE1041">
        <v>1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</row>
    <row r="1042" spans="1:42" x14ac:dyDescent="0.25">
      <c r="A1042">
        <v>1189</v>
      </c>
      <c r="B1042" t="s">
        <v>1926</v>
      </c>
      <c r="C1042" t="s">
        <v>1927</v>
      </c>
      <c r="D1042" t="s">
        <v>1928</v>
      </c>
      <c r="E1042" s="4">
        <v>1</v>
      </c>
      <c r="F1042" t="s">
        <v>101</v>
      </c>
      <c r="G1042" t="s">
        <v>101</v>
      </c>
      <c r="H1042" s="3">
        <v>46176</v>
      </c>
      <c r="I1042" s="3">
        <v>46183</v>
      </c>
      <c r="J1042" t="s">
        <v>491</v>
      </c>
      <c r="K1042" s="3">
        <v>46185</v>
      </c>
      <c r="L1042" s="3">
        <v>46163</v>
      </c>
      <c r="M1042" s="3">
        <v>46183</v>
      </c>
      <c r="N1042" s="3">
        <v>46183</v>
      </c>
      <c r="O1042" t="s">
        <v>459</v>
      </c>
      <c r="P1042" t="s">
        <v>55</v>
      </c>
      <c r="T1042" t="s">
        <v>1429</v>
      </c>
      <c r="V1042" t="s">
        <v>330</v>
      </c>
      <c r="X1042" t="s">
        <v>57</v>
      </c>
      <c r="AA1042" t="s">
        <v>50</v>
      </c>
      <c r="AB1042" t="s">
        <v>94</v>
      </c>
      <c r="AE1042">
        <v>1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</row>
    <row r="1043" spans="1:42" x14ac:dyDescent="0.25">
      <c r="A1043">
        <v>1190</v>
      </c>
      <c r="B1043" t="s">
        <v>1929</v>
      </c>
      <c r="C1043" t="s">
        <v>1930</v>
      </c>
      <c r="D1043" t="s">
        <v>117</v>
      </c>
      <c r="E1043" s="4">
        <v>1</v>
      </c>
      <c r="F1043" t="s">
        <v>127</v>
      </c>
      <c r="G1043" t="s">
        <v>127</v>
      </c>
      <c r="H1043" s="3">
        <v>46176</v>
      </c>
      <c r="I1043" s="3">
        <v>46181</v>
      </c>
      <c r="J1043" t="s">
        <v>491</v>
      </c>
      <c r="K1043" s="3">
        <v>46176</v>
      </c>
      <c r="L1043" s="3">
        <v>46163</v>
      </c>
      <c r="M1043" s="3">
        <v>46181</v>
      </c>
      <c r="N1043" s="3">
        <v>46181</v>
      </c>
      <c r="O1043" t="s">
        <v>459</v>
      </c>
      <c r="P1043" t="s">
        <v>55</v>
      </c>
      <c r="Q1043" t="s">
        <v>1931</v>
      </c>
      <c r="S1043" t="s">
        <v>1444</v>
      </c>
      <c r="T1043" t="s">
        <v>1429</v>
      </c>
      <c r="U1043" t="s">
        <v>1932</v>
      </c>
      <c r="V1043" t="s">
        <v>151</v>
      </c>
      <c r="W1043">
        <v>13.4</v>
      </c>
      <c r="X1043" t="s">
        <v>57</v>
      </c>
      <c r="Z1043" t="s">
        <v>1444</v>
      </c>
      <c r="AA1043" t="s">
        <v>198</v>
      </c>
      <c r="AE1043">
        <v>1</v>
      </c>
      <c r="AF1043">
        <v>1</v>
      </c>
      <c r="AG1043">
        <v>1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1</v>
      </c>
    </row>
    <row r="1044" spans="1:42" x14ac:dyDescent="0.25">
      <c r="A1044">
        <v>1191</v>
      </c>
      <c r="B1044" t="s">
        <v>1933</v>
      </c>
      <c r="C1044" t="s">
        <v>1930</v>
      </c>
      <c r="D1044" t="s">
        <v>121</v>
      </c>
      <c r="E1044" s="4">
        <v>1</v>
      </c>
      <c r="F1044" t="s">
        <v>127</v>
      </c>
      <c r="G1044" t="s">
        <v>127</v>
      </c>
      <c r="H1044" s="3">
        <v>46181</v>
      </c>
      <c r="I1044" s="3">
        <v>46182</v>
      </c>
      <c r="J1044" t="s">
        <v>201</v>
      </c>
      <c r="K1044" s="3">
        <v>46183</v>
      </c>
      <c r="L1044" s="3">
        <v>46181</v>
      </c>
      <c r="M1044" s="3">
        <v>46182</v>
      </c>
      <c r="N1044" s="3">
        <v>46182</v>
      </c>
      <c r="O1044" t="s">
        <v>201</v>
      </c>
      <c r="P1044" t="s">
        <v>55</v>
      </c>
      <c r="Q1044">
        <v>1190</v>
      </c>
      <c r="S1044" t="s">
        <v>124</v>
      </c>
      <c r="T1044" t="s">
        <v>1429</v>
      </c>
      <c r="U1044">
        <v>1192</v>
      </c>
      <c r="V1044" t="s">
        <v>122</v>
      </c>
      <c r="W1044">
        <v>13.4</v>
      </c>
      <c r="X1044" t="s">
        <v>57</v>
      </c>
      <c r="Z1044" t="s">
        <v>124</v>
      </c>
      <c r="AA1044" t="s">
        <v>462</v>
      </c>
      <c r="AE1044">
        <v>1</v>
      </c>
      <c r="AF1044">
        <v>0</v>
      </c>
      <c r="AG1044">
        <v>0</v>
      </c>
      <c r="AH1044">
        <v>0</v>
      </c>
      <c r="AI1044">
        <v>0</v>
      </c>
      <c r="AJ1044">
        <v>1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</row>
    <row r="1045" spans="1:42" x14ac:dyDescent="0.25">
      <c r="A1045">
        <v>1192</v>
      </c>
      <c r="B1045" t="s">
        <v>1934</v>
      </c>
      <c r="C1045" t="s">
        <v>1930</v>
      </c>
      <c r="D1045" t="s">
        <v>126</v>
      </c>
      <c r="E1045" s="4">
        <v>1</v>
      </c>
      <c r="F1045" t="s">
        <v>61</v>
      </c>
      <c r="G1045" t="s">
        <v>61</v>
      </c>
      <c r="H1045" s="3">
        <v>46182</v>
      </c>
      <c r="I1045" s="3">
        <v>46182</v>
      </c>
      <c r="J1045" t="s">
        <v>476</v>
      </c>
      <c r="K1045" s="3">
        <v>46184</v>
      </c>
      <c r="L1045" s="3">
        <v>46184</v>
      </c>
      <c r="M1045" s="3">
        <v>46182</v>
      </c>
      <c r="N1045" s="3">
        <v>46182</v>
      </c>
      <c r="O1045" t="s">
        <v>204</v>
      </c>
      <c r="P1045" t="s">
        <v>55</v>
      </c>
      <c r="Q1045">
        <v>1191</v>
      </c>
      <c r="S1045" t="s">
        <v>1444</v>
      </c>
      <c r="T1045" t="s">
        <v>1429</v>
      </c>
      <c r="U1045">
        <v>1193</v>
      </c>
      <c r="V1045" t="s">
        <v>61</v>
      </c>
      <c r="W1045">
        <v>13.4</v>
      </c>
      <c r="X1045" t="s">
        <v>57</v>
      </c>
      <c r="Z1045" t="s">
        <v>1444</v>
      </c>
      <c r="AA1045" t="s">
        <v>462</v>
      </c>
      <c r="AE1045">
        <v>1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1</v>
      </c>
      <c r="AM1045">
        <v>0</v>
      </c>
      <c r="AN1045">
        <v>0</v>
      </c>
      <c r="AO1045">
        <v>0</v>
      </c>
      <c r="AP1045">
        <v>0</v>
      </c>
    </row>
    <row r="1046" spans="1:42" x14ac:dyDescent="0.25">
      <c r="A1046">
        <v>1193</v>
      </c>
      <c r="B1046" t="s">
        <v>1935</v>
      </c>
      <c r="C1046" t="s">
        <v>1930</v>
      </c>
      <c r="D1046" t="s">
        <v>133</v>
      </c>
      <c r="E1046" s="4">
        <v>1</v>
      </c>
      <c r="F1046" t="s">
        <v>127</v>
      </c>
      <c r="G1046" t="s">
        <v>127</v>
      </c>
      <c r="H1046" s="3">
        <v>46182</v>
      </c>
      <c r="I1046" s="3">
        <v>46183</v>
      </c>
      <c r="J1046" t="s">
        <v>571</v>
      </c>
      <c r="K1046" s="3">
        <v>46185</v>
      </c>
      <c r="L1046" s="3">
        <v>46185</v>
      </c>
      <c r="M1046" s="3">
        <v>46183</v>
      </c>
      <c r="N1046" s="3">
        <v>46183</v>
      </c>
      <c r="O1046" t="s">
        <v>204</v>
      </c>
      <c r="P1046" t="s">
        <v>55</v>
      </c>
      <c r="Q1046">
        <v>1192</v>
      </c>
      <c r="S1046" t="s">
        <v>124</v>
      </c>
      <c r="T1046" t="s">
        <v>1429</v>
      </c>
      <c r="U1046" t="s">
        <v>1936</v>
      </c>
      <c r="V1046" t="s">
        <v>61</v>
      </c>
      <c r="W1046">
        <v>13.4</v>
      </c>
      <c r="X1046" t="s">
        <v>57</v>
      </c>
      <c r="Z1046" t="s">
        <v>124</v>
      </c>
      <c r="AA1046" t="s">
        <v>462</v>
      </c>
      <c r="AE1046">
        <v>1</v>
      </c>
      <c r="AF1046">
        <v>0</v>
      </c>
      <c r="AG1046">
        <v>0</v>
      </c>
      <c r="AH1046">
        <v>0</v>
      </c>
      <c r="AI1046">
        <v>1</v>
      </c>
      <c r="AJ1046">
        <v>0</v>
      </c>
      <c r="AK1046">
        <v>0</v>
      </c>
      <c r="AL1046">
        <v>0</v>
      </c>
      <c r="AM1046">
        <v>0</v>
      </c>
      <c r="AN1046">
        <v>1</v>
      </c>
      <c r="AO1046">
        <v>0</v>
      </c>
      <c r="AP1046">
        <v>0</v>
      </c>
    </row>
    <row r="1047" spans="1:42" x14ac:dyDescent="0.25">
      <c r="A1047">
        <v>1194</v>
      </c>
      <c r="B1047" t="s">
        <v>1937</v>
      </c>
      <c r="C1047" t="s">
        <v>1927</v>
      </c>
      <c r="D1047" t="s">
        <v>1938</v>
      </c>
      <c r="E1047" s="4">
        <v>1</v>
      </c>
      <c r="F1047" t="s">
        <v>101</v>
      </c>
      <c r="G1047" t="s">
        <v>101</v>
      </c>
      <c r="H1047" s="3">
        <v>46176</v>
      </c>
      <c r="I1047" s="3">
        <v>46183</v>
      </c>
      <c r="J1047" t="s">
        <v>459</v>
      </c>
      <c r="K1047" s="3">
        <v>46183</v>
      </c>
      <c r="L1047" s="3">
        <v>46176</v>
      </c>
      <c r="M1047" s="3">
        <v>46183</v>
      </c>
      <c r="N1047" s="3">
        <v>46183</v>
      </c>
      <c r="O1047" t="s">
        <v>459</v>
      </c>
      <c r="P1047" t="s">
        <v>55</v>
      </c>
      <c r="T1047" t="s">
        <v>1429</v>
      </c>
      <c r="V1047" t="s">
        <v>330</v>
      </c>
      <c r="X1047" t="s">
        <v>57</v>
      </c>
      <c r="AA1047" t="s">
        <v>50</v>
      </c>
      <c r="AB1047" t="s">
        <v>94</v>
      </c>
      <c r="AE1047">
        <v>1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</row>
    <row r="1048" spans="1:42" x14ac:dyDescent="0.25">
      <c r="A1048">
        <v>1195</v>
      </c>
      <c r="B1048" t="s">
        <v>1939</v>
      </c>
      <c r="C1048" t="s">
        <v>1940</v>
      </c>
      <c r="D1048" t="s">
        <v>117</v>
      </c>
      <c r="E1048" s="4">
        <v>1</v>
      </c>
      <c r="F1048" t="s">
        <v>127</v>
      </c>
      <c r="G1048" t="s">
        <v>127</v>
      </c>
      <c r="H1048" s="3">
        <v>46176</v>
      </c>
      <c r="I1048" s="3">
        <v>46181</v>
      </c>
      <c r="J1048" t="s">
        <v>459</v>
      </c>
      <c r="K1048" s="3">
        <v>46181</v>
      </c>
      <c r="L1048" s="3">
        <v>46176</v>
      </c>
      <c r="M1048" s="3">
        <v>46181</v>
      </c>
      <c r="N1048" s="3">
        <v>46181</v>
      </c>
      <c r="O1048" t="s">
        <v>459</v>
      </c>
      <c r="P1048" t="s">
        <v>55</v>
      </c>
      <c r="Q1048" t="s">
        <v>1931</v>
      </c>
      <c r="S1048" t="s">
        <v>1444</v>
      </c>
      <c r="T1048" t="s">
        <v>1429</v>
      </c>
      <c r="U1048" t="s">
        <v>1941</v>
      </c>
      <c r="V1048" t="s">
        <v>151</v>
      </c>
      <c r="W1048">
        <v>13.4</v>
      </c>
      <c r="X1048" t="s">
        <v>57</v>
      </c>
      <c r="Z1048" t="s">
        <v>1444</v>
      </c>
      <c r="AA1048" t="s">
        <v>198</v>
      </c>
      <c r="AE1048">
        <v>1</v>
      </c>
      <c r="AF1048">
        <v>1</v>
      </c>
      <c r="AG1048">
        <v>1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1</v>
      </c>
    </row>
    <row r="1049" spans="1:42" x14ac:dyDescent="0.25">
      <c r="A1049">
        <v>1196</v>
      </c>
      <c r="B1049" t="s">
        <v>1942</v>
      </c>
      <c r="C1049" t="s">
        <v>1940</v>
      </c>
      <c r="D1049" t="s">
        <v>121</v>
      </c>
      <c r="E1049" s="4">
        <v>1</v>
      </c>
      <c r="F1049" t="s">
        <v>127</v>
      </c>
      <c r="G1049" t="s">
        <v>127</v>
      </c>
      <c r="H1049" s="3">
        <v>46181</v>
      </c>
      <c r="I1049" s="3">
        <v>46182</v>
      </c>
      <c r="J1049" t="s">
        <v>201</v>
      </c>
      <c r="K1049" s="3">
        <v>46182</v>
      </c>
      <c r="L1049" s="3">
        <v>46181</v>
      </c>
      <c r="M1049" s="3">
        <v>46182</v>
      </c>
      <c r="N1049" s="3">
        <v>46182</v>
      </c>
      <c r="O1049" t="s">
        <v>201</v>
      </c>
      <c r="P1049" t="s">
        <v>55</v>
      </c>
      <c r="Q1049">
        <v>1195</v>
      </c>
      <c r="S1049" t="s">
        <v>124</v>
      </c>
      <c r="T1049" t="s">
        <v>1429</v>
      </c>
      <c r="U1049">
        <v>1197</v>
      </c>
      <c r="V1049" t="s">
        <v>122</v>
      </c>
      <c r="W1049">
        <v>13.4</v>
      </c>
      <c r="X1049" t="s">
        <v>57</v>
      </c>
      <c r="Z1049" t="s">
        <v>124</v>
      </c>
      <c r="AA1049" t="s">
        <v>462</v>
      </c>
      <c r="AE1049">
        <v>1</v>
      </c>
      <c r="AF1049">
        <v>0</v>
      </c>
      <c r="AG1049">
        <v>0</v>
      </c>
      <c r="AH1049">
        <v>0</v>
      </c>
      <c r="AI1049">
        <v>0</v>
      </c>
      <c r="AJ1049">
        <v>1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</row>
    <row r="1050" spans="1:42" x14ac:dyDescent="0.25">
      <c r="A1050">
        <v>1197</v>
      </c>
      <c r="B1050" t="s">
        <v>1943</v>
      </c>
      <c r="C1050" t="s">
        <v>1940</v>
      </c>
      <c r="D1050" t="s">
        <v>126</v>
      </c>
      <c r="E1050" s="4">
        <v>1</v>
      </c>
      <c r="F1050" t="s">
        <v>61</v>
      </c>
      <c r="G1050" t="s">
        <v>61</v>
      </c>
      <c r="H1050" s="3">
        <v>46182</v>
      </c>
      <c r="I1050" s="3">
        <v>46182</v>
      </c>
      <c r="J1050" t="s">
        <v>204</v>
      </c>
      <c r="K1050" s="3">
        <v>46182</v>
      </c>
      <c r="L1050" s="3">
        <v>46182</v>
      </c>
      <c r="M1050" s="3">
        <v>46182</v>
      </c>
      <c r="N1050" s="3">
        <v>46182</v>
      </c>
      <c r="O1050" t="s">
        <v>204</v>
      </c>
      <c r="P1050" t="s">
        <v>55</v>
      </c>
      <c r="Q1050">
        <v>1196</v>
      </c>
      <c r="S1050" t="s">
        <v>1444</v>
      </c>
      <c r="T1050" t="s">
        <v>1429</v>
      </c>
      <c r="U1050">
        <v>1198</v>
      </c>
      <c r="V1050" t="s">
        <v>61</v>
      </c>
      <c r="W1050">
        <v>13.4</v>
      </c>
      <c r="X1050" t="s">
        <v>57</v>
      </c>
      <c r="Z1050" t="s">
        <v>1444</v>
      </c>
      <c r="AA1050" t="s">
        <v>462</v>
      </c>
      <c r="AE1050">
        <v>1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1</v>
      </c>
      <c r="AM1050">
        <v>0</v>
      </c>
      <c r="AN1050">
        <v>0</v>
      </c>
      <c r="AO1050">
        <v>0</v>
      </c>
      <c r="AP1050">
        <v>0</v>
      </c>
    </row>
    <row r="1051" spans="1:42" x14ac:dyDescent="0.25">
      <c r="A1051">
        <v>1198</v>
      </c>
      <c r="B1051" t="s">
        <v>1944</v>
      </c>
      <c r="C1051" t="s">
        <v>1940</v>
      </c>
      <c r="D1051" t="s">
        <v>133</v>
      </c>
      <c r="E1051" s="4">
        <v>1</v>
      </c>
      <c r="F1051" t="s">
        <v>127</v>
      </c>
      <c r="G1051" t="s">
        <v>127</v>
      </c>
      <c r="H1051" s="3">
        <v>46182</v>
      </c>
      <c r="I1051" s="3">
        <v>46183</v>
      </c>
      <c r="J1051" t="s">
        <v>204</v>
      </c>
      <c r="K1051" s="3">
        <v>46183</v>
      </c>
      <c r="L1051" s="3">
        <v>46182</v>
      </c>
      <c r="M1051" s="3">
        <v>46183</v>
      </c>
      <c r="N1051" s="3">
        <v>46183</v>
      </c>
      <c r="O1051" t="s">
        <v>204</v>
      </c>
      <c r="P1051" t="s">
        <v>55</v>
      </c>
      <c r="Q1051">
        <v>1197</v>
      </c>
      <c r="S1051" t="s">
        <v>124</v>
      </c>
      <c r="T1051" t="s">
        <v>1429</v>
      </c>
      <c r="U1051" t="s">
        <v>1936</v>
      </c>
      <c r="V1051" t="s">
        <v>61</v>
      </c>
      <c r="W1051">
        <v>13.4</v>
      </c>
      <c r="X1051" t="s">
        <v>57</v>
      </c>
      <c r="Z1051" t="s">
        <v>124</v>
      </c>
      <c r="AA1051" t="s">
        <v>462</v>
      </c>
      <c r="AE1051">
        <v>1</v>
      </c>
      <c r="AF1051">
        <v>0</v>
      </c>
      <c r="AG1051">
        <v>0</v>
      </c>
      <c r="AH1051">
        <v>0</v>
      </c>
      <c r="AI1051">
        <v>1</v>
      </c>
      <c r="AJ1051">
        <v>0</v>
      </c>
      <c r="AK1051">
        <v>0</v>
      </c>
      <c r="AL1051">
        <v>0</v>
      </c>
      <c r="AM1051">
        <v>0</v>
      </c>
      <c r="AN1051">
        <v>1</v>
      </c>
      <c r="AO1051">
        <v>0</v>
      </c>
      <c r="AP1051">
        <v>0</v>
      </c>
    </row>
    <row r="1052" spans="1:42" x14ac:dyDescent="0.25">
      <c r="A1052">
        <v>1199</v>
      </c>
      <c r="B1052" t="s">
        <v>1945</v>
      </c>
      <c r="C1052" t="s">
        <v>1927</v>
      </c>
      <c r="D1052" t="s">
        <v>1946</v>
      </c>
      <c r="E1052" s="4">
        <v>1</v>
      </c>
      <c r="F1052" t="s">
        <v>101</v>
      </c>
      <c r="G1052" t="s">
        <v>101</v>
      </c>
      <c r="H1052" s="3">
        <v>46176</v>
      </c>
      <c r="I1052" s="3">
        <v>46183</v>
      </c>
      <c r="J1052" t="s">
        <v>459</v>
      </c>
      <c r="K1052" s="3">
        <v>46183</v>
      </c>
      <c r="L1052" s="3">
        <v>46176</v>
      </c>
      <c r="M1052" s="3">
        <v>46183</v>
      </c>
      <c r="N1052" s="3">
        <v>46183</v>
      </c>
      <c r="O1052" t="s">
        <v>459</v>
      </c>
      <c r="P1052" t="s">
        <v>55</v>
      </c>
      <c r="T1052" t="s">
        <v>1429</v>
      </c>
      <c r="V1052" t="s">
        <v>330</v>
      </c>
      <c r="X1052" t="s">
        <v>57</v>
      </c>
      <c r="AA1052" t="s">
        <v>50</v>
      </c>
      <c r="AB1052" t="s">
        <v>94</v>
      </c>
      <c r="AE1052">
        <v>1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</row>
    <row r="1053" spans="1:42" x14ac:dyDescent="0.25">
      <c r="A1053">
        <v>1200</v>
      </c>
      <c r="B1053" t="s">
        <v>1947</v>
      </c>
      <c r="C1053" t="s">
        <v>1948</v>
      </c>
      <c r="D1053" t="s">
        <v>117</v>
      </c>
      <c r="E1053" s="4">
        <v>1</v>
      </c>
      <c r="F1053" t="s">
        <v>127</v>
      </c>
      <c r="G1053" t="s">
        <v>127</v>
      </c>
      <c r="H1053" s="3">
        <v>46176</v>
      </c>
      <c r="I1053" s="3">
        <v>46181</v>
      </c>
      <c r="J1053" t="s">
        <v>459</v>
      </c>
      <c r="K1053" s="3">
        <v>46181</v>
      </c>
      <c r="L1053" s="3">
        <v>46176</v>
      </c>
      <c r="M1053" s="3">
        <v>46181</v>
      </c>
      <c r="N1053" s="3">
        <v>46181</v>
      </c>
      <c r="O1053" t="s">
        <v>459</v>
      </c>
      <c r="P1053" t="s">
        <v>55</v>
      </c>
      <c r="Q1053" t="s">
        <v>1931</v>
      </c>
      <c r="S1053" t="s">
        <v>1444</v>
      </c>
      <c r="T1053" t="s">
        <v>1429</v>
      </c>
      <c r="U1053" t="s">
        <v>1949</v>
      </c>
      <c r="V1053" t="s">
        <v>151</v>
      </c>
      <c r="W1053">
        <v>13.4</v>
      </c>
      <c r="X1053" t="s">
        <v>57</v>
      </c>
      <c r="Z1053" t="s">
        <v>1444</v>
      </c>
      <c r="AA1053" t="s">
        <v>198</v>
      </c>
      <c r="AE1053">
        <v>1</v>
      </c>
      <c r="AF1053">
        <v>1</v>
      </c>
      <c r="AG1053">
        <v>1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1</v>
      </c>
    </row>
    <row r="1054" spans="1:42" x14ac:dyDescent="0.25">
      <c r="A1054">
        <v>1201</v>
      </c>
      <c r="B1054" t="s">
        <v>1950</v>
      </c>
      <c r="C1054" t="s">
        <v>1948</v>
      </c>
      <c r="D1054" t="s">
        <v>121</v>
      </c>
      <c r="E1054" s="4">
        <v>1</v>
      </c>
      <c r="F1054" t="s">
        <v>127</v>
      </c>
      <c r="G1054" t="s">
        <v>127</v>
      </c>
      <c r="H1054" s="3">
        <v>46181</v>
      </c>
      <c r="I1054" s="3">
        <v>46182</v>
      </c>
      <c r="J1054" t="s">
        <v>201</v>
      </c>
      <c r="K1054" s="3">
        <v>46182</v>
      </c>
      <c r="L1054" s="3">
        <v>46181</v>
      </c>
      <c r="M1054" s="3">
        <v>46182</v>
      </c>
      <c r="N1054" s="3">
        <v>46182</v>
      </c>
      <c r="O1054" t="s">
        <v>201</v>
      </c>
      <c r="P1054" t="s">
        <v>55</v>
      </c>
      <c r="Q1054">
        <v>1200</v>
      </c>
      <c r="S1054" t="s">
        <v>124</v>
      </c>
      <c r="T1054" t="s">
        <v>1429</v>
      </c>
      <c r="U1054">
        <v>1202</v>
      </c>
      <c r="V1054" t="s">
        <v>122</v>
      </c>
      <c r="W1054">
        <v>13.4</v>
      </c>
      <c r="X1054" t="s">
        <v>57</v>
      </c>
      <c r="Z1054" t="s">
        <v>124</v>
      </c>
      <c r="AA1054" t="s">
        <v>462</v>
      </c>
      <c r="AE1054">
        <v>1</v>
      </c>
      <c r="AF1054">
        <v>0</v>
      </c>
      <c r="AG1054">
        <v>0</v>
      </c>
      <c r="AH1054">
        <v>0</v>
      </c>
      <c r="AI1054">
        <v>0</v>
      </c>
      <c r="AJ1054">
        <v>1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</row>
    <row r="1055" spans="1:42" x14ac:dyDescent="0.25">
      <c r="A1055">
        <v>1202</v>
      </c>
      <c r="B1055" t="s">
        <v>1951</v>
      </c>
      <c r="C1055" t="s">
        <v>1948</v>
      </c>
      <c r="D1055" t="s">
        <v>126</v>
      </c>
      <c r="E1055" s="4">
        <v>1</v>
      </c>
      <c r="F1055" t="s">
        <v>61</v>
      </c>
      <c r="G1055" t="s">
        <v>61</v>
      </c>
      <c r="H1055" s="3">
        <v>46182</v>
      </c>
      <c r="I1055" s="3">
        <v>46182</v>
      </c>
      <c r="J1055" t="s">
        <v>204</v>
      </c>
      <c r="K1055" s="3">
        <v>46182</v>
      </c>
      <c r="L1055" s="3">
        <v>46182</v>
      </c>
      <c r="M1055" s="3">
        <v>46182</v>
      </c>
      <c r="N1055" s="3">
        <v>46182</v>
      </c>
      <c r="O1055" t="s">
        <v>204</v>
      </c>
      <c r="P1055" t="s">
        <v>55</v>
      </c>
      <c r="Q1055">
        <v>1201</v>
      </c>
      <c r="S1055" t="s">
        <v>1444</v>
      </c>
      <c r="T1055" t="s">
        <v>1429</v>
      </c>
      <c r="U1055">
        <v>1203</v>
      </c>
      <c r="V1055" t="s">
        <v>61</v>
      </c>
      <c r="W1055">
        <v>13.4</v>
      </c>
      <c r="X1055" t="s">
        <v>57</v>
      </c>
      <c r="Z1055" t="s">
        <v>1444</v>
      </c>
      <c r="AA1055" t="s">
        <v>462</v>
      </c>
      <c r="AE1055">
        <v>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1</v>
      </c>
      <c r="AM1055">
        <v>0</v>
      </c>
      <c r="AN1055">
        <v>0</v>
      </c>
      <c r="AO1055">
        <v>0</v>
      </c>
      <c r="AP1055">
        <v>0</v>
      </c>
    </row>
    <row r="1056" spans="1:42" x14ac:dyDescent="0.25">
      <c r="A1056">
        <v>1203</v>
      </c>
      <c r="B1056" t="s">
        <v>1952</v>
      </c>
      <c r="C1056" t="s">
        <v>1948</v>
      </c>
      <c r="D1056" t="s">
        <v>133</v>
      </c>
      <c r="E1056" s="4">
        <v>1</v>
      </c>
      <c r="F1056" t="s">
        <v>127</v>
      </c>
      <c r="G1056" t="s">
        <v>127</v>
      </c>
      <c r="H1056" s="3">
        <v>46182</v>
      </c>
      <c r="I1056" s="3">
        <v>46183</v>
      </c>
      <c r="J1056" t="s">
        <v>204</v>
      </c>
      <c r="K1056" s="3">
        <v>46183</v>
      </c>
      <c r="L1056" s="3">
        <v>46182</v>
      </c>
      <c r="M1056" s="3">
        <v>46183</v>
      </c>
      <c r="N1056" s="3">
        <v>46183</v>
      </c>
      <c r="O1056" t="s">
        <v>204</v>
      </c>
      <c r="P1056" t="s">
        <v>55</v>
      </c>
      <c r="Q1056">
        <v>1202</v>
      </c>
      <c r="S1056" t="s">
        <v>124</v>
      </c>
      <c r="T1056" t="s">
        <v>1429</v>
      </c>
      <c r="U1056" t="s">
        <v>1936</v>
      </c>
      <c r="V1056" t="s">
        <v>61</v>
      </c>
      <c r="W1056">
        <v>13.4</v>
      </c>
      <c r="X1056" t="s">
        <v>57</v>
      </c>
      <c r="Z1056" t="s">
        <v>124</v>
      </c>
      <c r="AA1056" t="s">
        <v>462</v>
      </c>
      <c r="AE1056">
        <v>1</v>
      </c>
      <c r="AF1056">
        <v>0</v>
      </c>
      <c r="AG1056">
        <v>0</v>
      </c>
      <c r="AH1056">
        <v>0</v>
      </c>
      <c r="AI1056">
        <v>1</v>
      </c>
      <c r="AJ1056">
        <v>0</v>
      </c>
      <c r="AK1056">
        <v>0</v>
      </c>
      <c r="AL1056">
        <v>0</v>
      </c>
      <c r="AM1056">
        <v>0</v>
      </c>
      <c r="AN1056">
        <v>1</v>
      </c>
      <c r="AO1056">
        <v>0</v>
      </c>
      <c r="AP1056">
        <v>0</v>
      </c>
    </row>
    <row r="1057" spans="1:42" x14ac:dyDescent="0.25">
      <c r="A1057">
        <v>1204</v>
      </c>
      <c r="B1057" t="s">
        <v>1953</v>
      </c>
      <c r="C1057" t="s">
        <v>1927</v>
      </c>
      <c r="D1057" t="s">
        <v>1954</v>
      </c>
      <c r="E1057" s="4">
        <v>1</v>
      </c>
      <c r="F1057" t="s">
        <v>175</v>
      </c>
      <c r="G1057" t="s">
        <v>175</v>
      </c>
      <c r="H1057" s="3">
        <v>46171</v>
      </c>
      <c r="I1057" s="3">
        <v>46183</v>
      </c>
      <c r="J1057" t="s">
        <v>571</v>
      </c>
      <c r="K1057" s="3">
        <v>46196</v>
      </c>
      <c r="L1057" s="3">
        <v>46185</v>
      </c>
      <c r="M1057" s="3">
        <v>46183</v>
      </c>
      <c r="N1057" s="3">
        <v>46183</v>
      </c>
      <c r="O1057" t="s">
        <v>189</v>
      </c>
      <c r="P1057" t="s">
        <v>55</v>
      </c>
      <c r="T1057" t="s">
        <v>1429</v>
      </c>
      <c r="V1057" t="s">
        <v>210</v>
      </c>
      <c r="X1057" t="s">
        <v>57</v>
      </c>
      <c r="AA1057" t="s">
        <v>50</v>
      </c>
      <c r="AB1057" t="s">
        <v>94</v>
      </c>
      <c r="AE1057">
        <v>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</row>
    <row r="1058" spans="1:42" x14ac:dyDescent="0.25">
      <c r="A1058">
        <v>1205</v>
      </c>
      <c r="B1058" t="s">
        <v>1955</v>
      </c>
      <c r="C1058" t="s">
        <v>1956</v>
      </c>
      <c r="D1058" t="s">
        <v>117</v>
      </c>
      <c r="E1058" s="4">
        <v>1</v>
      </c>
      <c r="F1058" t="s">
        <v>122</v>
      </c>
      <c r="G1058" t="s">
        <v>122</v>
      </c>
      <c r="H1058" s="3">
        <v>46171</v>
      </c>
      <c r="I1058" s="3">
        <v>46175</v>
      </c>
      <c r="J1058" t="s">
        <v>571</v>
      </c>
      <c r="K1058" s="3">
        <v>46189</v>
      </c>
      <c r="L1058" s="3">
        <v>46185</v>
      </c>
      <c r="M1058" s="3">
        <v>46175</v>
      </c>
      <c r="N1058" s="3">
        <v>46175</v>
      </c>
      <c r="O1058" t="s">
        <v>189</v>
      </c>
      <c r="P1058" t="s">
        <v>55</v>
      </c>
      <c r="Q1058" t="s">
        <v>1957</v>
      </c>
      <c r="S1058" t="s">
        <v>1433</v>
      </c>
      <c r="T1058" t="s">
        <v>1429</v>
      </c>
      <c r="U1058">
        <v>1206</v>
      </c>
      <c r="V1058" t="s">
        <v>122</v>
      </c>
      <c r="W1058">
        <v>13.4</v>
      </c>
      <c r="X1058" t="s">
        <v>57</v>
      </c>
      <c r="Z1058" t="s">
        <v>1433</v>
      </c>
      <c r="AA1058" t="s">
        <v>462</v>
      </c>
      <c r="AE1058">
        <v>1</v>
      </c>
      <c r="AF1058">
        <v>1</v>
      </c>
      <c r="AG1058">
        <v>1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1</v>
      </c>
    </row>
    <row r="1059" spans="1:42" x14ac:dyDescent="0.25">
      <c r="A1059">
        <v>1206</v>
      </c>
      <c r="B1059" t="s">
        <v>1958</v>
      </c>
      <c r="C1059" t="s">
        <v>1956</v>
      </c>
      <c r="D1059" t="s">
        <v>121</v>
      </c>
      <c r="E1059" s="4">
        <v>1</v>
      </c>
      <c r="F1059" t="s">
        <v>127</v>
      </c>
      <c r="G1059" t="s">
        <v>127</v>
      </c>
      <c r="H1059" s="3">
        <v>46176</v>
      </c>
      <c r="I1059" s="3">
        <v>46181</v>
      </c>
      <c r="J1059" t="s">
        <v>75</v>
      </c>
      <c r="K1059" s="3">
        <v>46192</v>
      </c>
      <c r="L1059" s="3">
        <v>46190</v>
      </c>
      <c r="M1059" s="3">
        <v>46181</v>
      </c>
      <c r="N1059" s="3">
        <v>46181</v>
      </c>
      <c r="O1059" t="s">
        <v>459</v>
      </c>
      <c r="P1059" t="s">
        <v>55</v>
      </c>
      <c r="Q1059">
        <v>1205</v>
      </c>
      <c r="S1059" t="s">
        <v>124</v>
      </c>
      <c r="T1059" t="s">
        <v>1429</v>
      </c>
      <c r="U1059">
        <v>1207</v>
      </c>
      <c r="V1059" t="s">
        <v>122</v>
      </c>
      <c r="W1059">
        <v>13.4</v>
      </c>
      <c r="X1059" t="s">
        <v>57</v>
      </c>
      <c r="Z1059" t="s">
        <v>124</v>
      </c>
      <c r="AA1059" t="s">
        <v>217</v>
      </c>
      <c r="AE1059">
        <v>1</v>
      </c>
      <c r="AF1059">
        <v>0</v>
      </c>
      <c r="AG1059">
        <v>0</v>
      </c>
      <c r="AH1059">
        <v>0</v>
      </c>
      <c r="AI1059">
        <v>0</v>
      </c>
      <c r="AJ1059">
        <v>1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</row>
    <row r="1060" spans="1:42" x14ac:dyDescent="0.25">
      <c r="A1060">
        <v>1207</v>
      </c>
      <c r="B1060" t="s">
        <v>1959</v>
      </c>
      <c r="C1060" t="s">
        <v>1956</v>
      </c>
      <c r="D1060" t="s">
        <v>126</v>
      </c>
      <c r="E1060" s="4">
        <v>1</v>
      </c>
      <c r="F1060" t="s">
        <v>61</v>
      </c>
      <c r="G1060" t="s">
        <v>61</v>
      </c>
      <c r="H1060" s="3">
        <v>46182</v>
      </c>
      <c r="I1060" s="3">
        <v>46182</v>
      </c>
      <c r="J1060" t="s">
        <v>219</v>
      </c>
      <c r="K1060" s="3">
        <v>46195</v>
      </c>
      <c r="L1060" s="3">
        <v>46195</v>
      </c>
      <c r="M1060" s="3">
        <v>46182</v>
      </c>
      <c r="N1060" s="3">
        <v>46182</v>
      </c>
      <c r="O1060" t="s">
        <v>204</v>
      </c>
      <c r="P1060" t="s">
        <v>55</v>
      </c>
      <c r="Q1060">
        <v>1206</v>
      </c>
      <c r="S1060" t="s">
        <v>1433</v>
      </c>
      <c r="T1060" t="s">
        <v>1429</v>
      </c>
      <c r="U1060">
        <v>1208</v>
      </c>
      <c r="V1060" t="s">
        <v>61</v>
      </c>
      <c r="W1060">
        <v>13.4</v>
      </c>
      <c r="X1060" t="s">
        <v>57</v>
      </c>
      <c r="Z1060" t="s">
        <v>1433</v>
      </c>
      <c r="AA1060" t="s">
        <v>131</v>
      </c>
      <c r="AE1060">
        <v>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1</v>
      </c>
      <c r="AM1060">
        <v>0</v>
      </c>
      <c r="AN1060">
        <v>0</v>
      </c>
      <c r="AO1060">
        <v>0</v>
      </c>
      <c r="AP1060">
        <v>0</v>
      </c>
    </row>
    <row r="1061" spans="1:42" x14ac:dyDescent="0.25">
      <c r="A1061">
        <v>1208</v>
      </c>
      <c r="B1061" t="s">
        <v>1960</v>
      </c>
      <c r="C1061" t="s">
        <v>1956</v>
      </c>
      <c r="D1061" t="s">
        <v>133</v>
      </c>
      <c r="E1061" s="4">
        <v>1</v>
      </c>
      <c r="F1061" t="s">
        <v>61</v>
      </c>
      <c r="G1061" t="s">
        <v>61</v>
      </c>
      <c r="H1061" s="3">
        <v>46182</v>
      </c>
      <c r="I1061" s="3">
        <v>46183</v>
      </c>
      <c r="J1061" t="s">
        <v>212</v>
      </c>
      <c r="K1061" s="3">
        <v>46196</v>
      </c>
      <c r="L1061" s="3">
        <v>46196</v>
      </c>
      <c r="M1061" s="3">
        <v>46183</v>
      </c>
      <c r="N1061" s="3">
        <v>46183</v>
      </c>
      <c r="O1061" t="s">
        <v>204</v>
      </c>
      <c r="P1061" t="s">
        <v>55</v>
      </c>
      <c r="Q1061">
        <v>1207</v>
      </c>
      <c r="S1061" t="s">
        <v>124</v>
      </c>
      <c r="T1061" t="s">
        <v>1429</v>
      </c>
      <c r="V1061" t="s">
        <v>61</v>
      </c>
      <c r="W1061">
        <v>13.4</v>
      </c>
      <c r="X1061" t="s">
        <v>57</v>
      </c>
      <c r="Z1061" t="s">
        <v>124</v>
      </c>
      <c r="AA1061" t="s">
        <v>131</v>
      </c>
      <c r="AE1061">
        <v>1</v>
      </c>
      <c r="AF1061">
        <v>0</v>
      </c>
      <c r="AG1061">
        <v>0</v>
      </c>
      <c r="AH1061">
        <v>0</v>
      </c>
      <c r="AI1061">
        <v>1</v>
      </c>
      <c r="AJ1061">
        <v>0</v>
      </c>
      <c r="AK1061">
        <v>0</v>
      </c>
      <c r="AL1061">
        <v>0</v>
      </c>
      <c r="AM1061">
        <v>0</v>
      </c>
      <c r="AN1061">
        <v>1</v>
      </c>
      <c r="AO1061">
        <v>0</v>
      </c>
      <c r="AP1061">
        <v>0</v>
      </c>
    </row>
    <row r="1062" spans="1:42" x14ac:dyDescent="0.25">
      <c r="A1062">
        <v>1209</v>
      </c>
      <c r="B1062" t="s">
        <v>1961</v>
      </c>
      <c r="C1062" t="s">
        <v>1927</v>
      </c>
      <c r="D1062" t="s">
        <v>1962</v>
      </c>
      <c r="E1062" s="4">
        <v>1</v>
      </c>
      <c r="F1062" t="s">
        <v>101</v>
      </c>
      <c r="G1062" t="s">
        <v>101</v>
      </c>
      <c r="H1062" s="3">
        <v>46176</v>
      </c>
      <c r="I1062" s="3">
        <v>46183</v>
      </c>
      <c r="J1062" t="s">
        <v>595</v>
      </c>
      <c r="K1062" s="3">
        <v>46197</v>
      </c>
      <c r="L1062" s="3">
        <v>46188</v>
      </c>
      <c r="M1062" s="3">
        <v>46183</v>
      </c>
      <c r="N1062" s="3">
        <v>46183</v>
      </c>
      <c r="O1062" t="s">
        <v>459</v>
      </c>
      <c r="P1062" t="s">
        <v>55</v>
      </c>
      <c r="T1062" t="s">
        <v>1429</v>
      </c>
      <c r="V1062" t="s">
        <v>210</v>
      </c>
      <c r="X1062" t="s">
        <v>57</v>
      </c>
      <c r="AA1062" t="s">
        <v>50</v>
      </c>
      <c r="AB1062" t="s">
        <v>94</v>
      </c>
      <c r="AE1062">
        <v>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</row>
    <row r="1063" spans="1:42" x14ac:dyDescent="0.25">
      <c r="A1063">
        <v>1210</v>
      </c>
      <c r="B1063" t="s">
        <v>1963</v>
      </c>
      <c r="C1063" t="s">
        <v>1964</v>
      </c>
      <c r="D1063" t="s">
        <v>117</v>
      </c>
      <c r="E1063" s="4">
        <v>1</v>
      </c>
      <c r="F1063" t="s">
        <v>61</v>
      </c>
      <c r="G1063" t="s">
        <v>61</v>
      </c>
      <c r="H1063" s="3">
        <v>46176</v>
      </c>
      <c r="I1063" s="3">
        <v>46181</v>
      </c>
      <c r="J1063" t="s">
        <v>595</v>
      </c>
      <c r="K1063" s="3">
        <v>46190</v>
      </c>
      <c r="L1063" s="3">
        <v>46188</v>
      </c>
      <c r="M1063" s="3">
        <v>46181</v>
      </c>
      <c r="N1063" s="3">
        <v>46181</v>
      </c>
      <c r="O1063" t="s">
        <v>459</v>
      </c>
      <c r="P1063" t="s">
        <v>55</v>
      </c>
      <c r="Q1063" t="s">
        <v>1965</v>
      </c>
      <c r="S1063" t="s">
        <v>1444</v>
      </c>
      <c r="T1063" t="s">
        <v>1429</v>
      </c>
      <c r="U1063" t="s">
        <v>1966</v>
      </c>
      <c r="V1063" t="s">
        <v>122</v>
      </c>
      <c r="W1063">
        <v>13.4</v>
      </c>
      <c r="X1063" t="s">
        <v>57</v>
      </c>
      <c r="Z1063" t="s">
        <v>1444</v>
      </c>
      <c r="AA1063" t="s">
        <v>217</v>
      </c>
      <c r="AE1063">
        <v>1</v>
      </c>
      <c r="AF1063">
        <v>1</v>
      </c>
      <c r="AG1063">
        <v>1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1</v>
      </c>
    </row>
    <row r="1064" spans="1:42" x14ac:dyDescent="0.25">
      <c r="A1064">
        <v>1211</v>
      </c>
      <c r="B1064" t="s">
        <v>1967</v>
      </c>
      <c r="C1064" t="s">
        <v>1964</v>
      </c>
      <c r="D1064" t="s">
        <v>121</v>
      </c>
      <c r="E1064" s="4">
        <v>1</v>
      </c>
      <c r="F1064" t="s">
        <v>127</v>
      </c>
      <c r="G1064" t="s">
        <v>127</v>
      </c>
      <c r="H1064" s="3">
        <v>46181</v>
      </c>
      <c r="I1064" s="3">
        <v>46182</v>
      </c>
      <c r="J1064" t="s">
        <v>480</v>
      </c>
      <c r="K1064" s="3">
        <v>46195</v>
      </c>
      <c r="L1064" s="3">
        <v>46191</v>
      </c>
      <c r="M1064" s="3">
        <v>46182</v>
      </c>
      <c r="N1064" s="3">
        <v>46182</v>
      </c>
      <c r="O1064" t="s">
        <v>201</v>
      </c>
      <c r="P1064" t="s">
        <v>55</v>
      </c>
      <c r="Q1064">
        <v>1210</v>
      </c>
      <c r="S1064" t="s">
        <v>124</v>
      </c>
      <c r="T1064" t="s">
        <v>1429</v>
      </c>
      <c r="U1064">
        <v>1212</v>
      </c>
      <c r="V1064" t="s">
        <v>122</v>
      </c>
      <c r="W1064">
        <v>13.4</v>
      </c>
      <c r="X1064" t="s">
        <v>57</v>
      </c>
      <c r="Z1064" t="s">
        <v>124</v>
      </c>
      <c r="AA1064" t="s">
        <v>217</v>
      </c>
      <c r="AE1064">
        <v>1</v>
      </c>
      <c r="AF1064">
        <v>0</v>
      </c>
      <c r="AG1064">
        <v>0</v>
      </c>
      <c r="AH1064">
        <v>0</v>
      </c>
      <c r="AI1064">
        <v>0</v>
      </c>
      <c r="AJ1064">
        <v>1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</row>
    <row r="1065" spans="1:42" x14ac:dyDescent="0.25">
      <c r="A1065">
        <v>1212</v>
      </c>
      <c r="B1065" t="s">
        <v>1968</v>
      </c>
      <c r="C1065" t="s">
        <v>1964</v>
      </c>
      <c r="D1065" t="s">
        <v>126</v>
      </c>
      <c r="E1065" s="4">
        <v>1</v>
      </c>
      <c r="F1065" t="s">
        <v>61</v>
      </c>
      <c r="G1065" t="s">
        <v>61</v>
      </c>
      <c r="H1065" s="3">
        <v>46182</v>
      </c>
      <c r="I1065" s="3">
        <v>46182</v>
      </c>
      <c r="J1065" t="s">
        <v>212</v>
      </c>
      <c r="K1065" s="3">
        <v>46196</v>
      </c>
      <c r="L1065" s="3">
        <v>46196</v>
      </c>
      <c r="M1065" s="3">
        <v>46182</v>
      </c>
      <c r="N1065" s="3">
        <v>46182</v>
      </c>
      <c r="O1065" t="s">
        <v>204</v>
      </c>
      <c r="P1065" t="s">
        <v>55</v>
      </c>
      <c r="Q1065">
        <v>1211</v>
      </c>
      <c r="S1065" t="s">
        <v>1444</v>
      </c>
      <c r="T1065" t="s">
        <v>1429</v>
      </c>
      <c r="U1065">
        <v>1213</v>
      </c>
      <c r="V1065" t="s">
        <v>61</v>
      </c>
      <c r="W1065">
        <v>13.4</v>
      </c>
      <c r="X1065" t="s">
        <v>57</v>
      </c>
      <c r="Z1065" t="s">
        <v>1444</v>
      </c>
      <c r="AA1065" t="s">
        <v>131</v>
      </c>
      <c r="AE1065">
        <v>1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1</v>
      </c>
      <c r="AM1065">
        <v>0</v>
      </c>
      <c r="AN1065">
        <v>0</v>
      </c>
      <c r="AO1065">
        <v>0</v>
      </c>
      <c r="AP1065">
        <v>0</v>
      </c>
    </row>
    <row r="1066" spans="1:42" x14ac:dyDescent="0.25">
      <c r="A1066">
        <v>1213</v>
      </c>
      <c r="B1066" t="s">
        <v>1969</v>
      </c>
      <c r="C1066" t="s">
        <v>1964</v>
      </c>
      <c r="D1066" t="s">
        <v>133</v>
      </c>
      <c r="E1066" s="4">
        <v>1</v>
      </c>
      <c r="F1066" t="s">
        <v>61</v>
      </c>
      <c r="G1066" t="s">
        <v>61</v>
      </c>
      <c r="H1066" s="3">
        <v>46182</v>
      </c>
      <c r="I1066" s="3">
        <v>46183</v>
      </c>
      <c r="J1066" t="s">
        <v>207</v>
      </c>
      <c r="K1066" s="3">
        <v>46197</v>
      </c>
      <c r="L1066" s="3">
        <v>46197</v>
      </c>
      <c r="M1066" s="3">
        <v>46183</v>
      </c>
      <c r="N1066" s="3">
        <v>46183</v>
      </c>
      <c r="O1066" t="s">
        <v>204</v>
      </c>
      <c r="P1066" t="s">
        <v>55</v>
      </c>
      <c r="Q1066">
        <v>1212</v>
      </c>
      <c r="S1066" t="s">
        <v>124</v>
      </c>
      <c r="T1066" t="s">
        <v>1429</v>
      </c>
      <c r="V1066" t="s">
        <v>61</v>
      </c>
      <c r="W1066">
        <v>13.4</v>
      </c>
      <c r="X1066" t="s">
        <v>57</v>
      </c>
      <c r="Z1066" t="s">
        <v>124</v>
      </c>
      <c r="AA1066" t="s">
        <v>131</v>
      </c>
      <c r="AE1066">
        <v>1</v>
      </c>
      <c r="AF1066">
        <v>0</v>
      </c>
      <c r="AG1066">
        <v>0</v>
      </c>
      <c r="AH1066">
        <v>0</v>
      </c>
      <c r="AI1066">
        <v>1</v>
      </c>
      <c r="AJ1066">
        <v>0</v>
      </c>
      <c r="AK1066">
        <v>0</v>
      </c>
      <c r="AL1066">
        <v>0</v>
      </c>
      <c r="AM1066">
        <v>0</v>
      </c>
      <c r="AN1066">
        <v>1</v>
      </c>
      <c r="AO1066">
        <v>0</v>
      </c>
      <c r="AP1066">
        <v>0</v>
      </c>
    </row>
    <row r="1067" spans="1:42" x14ac:dyDescent="0.25">
      <c r="A1067">
        <v>1214</v>
      </c>
      <c r="B1067" t="s">
        <v>1970</v>
      </c>
      <c r="C1067" t="s">
        <v>1927</v>
      </c>
      <c r="D1067" t="s">
        <v>1971</v>
      </c>
      <c r="E1067" s="4">
        <v>1</v>
      </c>
      <c r="F1067" t="s">
        <v>101</v>
      </c>
      <c r="G1067" t="s">
        <v>101</v>
      </c>
      <c r="H1067" s="3">
        <v>46176</v>
      </c>
      <c r="I1067" s="3">
        <v>46183</v>
      </c>
      <c r="J1067" t="s">
        <v>576</v>
      </c>
      <c r="K1067" s="3">
        <v>46197</v>
      </c>
      <c r="L1067" s="3">
        <v>46189</v>
      </c>
      <c r="M1067" s="3">
        <v>46183</v>
      </c>
      <c r="N1067" s="3">
        <v>46183</v>
      </c>
      <c r="O1067" t="s">
        <v>459</v>
      </c>
      <c r="P1067" t="s">
        <v>55</v>
      </c>
      <c r="T1067" t="s">
        <v>1429</v>
      </c>
      <c r="V1067" t="s">
        <v>175</v>
      </c>
      <c r="X1067" t="s">
        <v>57</v>
      </c>
      <c r="AA1067" t="s">
        <v>50</v>
      </c>
      <c r="AB1067" t="s">
        <v>94</v>
      </c>
      <c r="AE1067">
        <v>1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</row>
    <row r="1068" spans="1:42" x14ac:dyDescent="0.25">
      <c r="A1068">
        <v>1215</v>
      </c>
      <c r="B1068" t="s">
        <v>1972</v>
      </c>
      <c r="C1068" t="s">
        <v>1973</v>
      </c>
      <c r="D1068" t="s">
        <v>117</v>
      </c>
      <c r="E1068" s="4">
        <v>1</v>
      </c>
      <c r="F1068" t="s">
        <v>127</v>
      </c>
      <c r="G1068" t="s">
        <v>127</v>
      </c>
      <c r="H1068" s="3">
        <v>46176</v>
      </c>
      <c r="I1068" s="3">
        <v>46181</v>
      </c>
      <c r="J1068" t="s">
        <v>576</v>
      </c>
      <c r="K1068" s="3">
        <v>46190</v>
      </c>
      <c r="L1068" s="3">
        <v>46189</v>
      </c>
      <c r="M1068" s="3">
        <v>46181</v>
      </c>
      <c r="N1068" s="3">
        <v>46181</v>
      </c>
      <c r="O1068" t="s">
        <v>459</v>
      </c>
      <c r="P1068" t="s">
        <v>55</v>
      </c>
      <c r="Q1068" t="s">
        <v>1974</v>
      </c>
      <c r="S1068" t="s">
        <v>1444</v>
      </c>
      <c r="T1068" t="s">
        <v>1429</v>
      </c>
      <c r="U1068">
        <v>1216</v>
      </c>
      <c r="V1068" t="s">
        <v>127</v>
      </c>
      <c r="W1068">
        <v>13.4</v>
      </c>
      <c r="X1068" t="s">
        <v>57</v>
      </c>
      <c r="Z1068" t="s">
        <v>1444</v>
      </c>
      <c r="AA1068" t="s">
        <v>217</v>
      </c>
      <c r="AE1068">
        <v>1</v>
      </c>
      <c r="AF1068">
        <v>1</v>
      </c>
      <c r="AG1068">
        <v>1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1</v>
      </c>
    </row>
    <row r="1069" spans="1:42" x14ac:dyDescent="0.25">
      <c r="A1069">
        <v>1216</v>
      </c>
      <c r="B1069" t="s">
        <v>1975</v>
      </c>
      <c r="C1069" t="s">
        <v>1973</v>
      </c>
      <c r="D1069" t="s">
        <v>121</v>
      </c>
      <c r="E1069" s="4">
        <v>1</v>
      </c>
      <c r="F1069" t="s">
        <v>127</v>
      </c>
      <c r="G1069" t="s">
        <v>127</v>
      </c>
      <c r="H1069" s="3">
        <v>46181</v>
      </c>
      <c r="I1069" s="3">
        <v>46182</v>
      </c>
      <c r="J1069" t="s">
        <v>480</v>
      </c>
      <c r="K1069" s="3">
        <v>46195</v>
      </c>
      <c r="L1069" s="3">
        <v>46191</v>
      </c>
      <c r="M1069" s="3">
        <v>46182</v>
      </c>
      <c r="N1069" s="3">
        <v>46182</v>
      </c>
      <c r="O1069" t="s">
        <v>201</v>
      </c>
      <c r="P1069" t="s">
        <v>55</v>
      </c>
      <c r="Q1069">
        <v>1215</v>
      </c>
      <c r="S1069" t="s">
        <v>124</v>
      </c>
      <c r="T1069" t="s">
        <v>1429</v>
      </c>
      <c r="U1069">
        <v>1217</v>
      </c>
      <c r="V1069" t="s">
        <v>122</v>
      </c>
      <c r="W1069">
        <v>13.4</v>
      </c>
      <c r="X1069" t="s">
        <v>57</v>
      </c>
      <c r="Z1069" t="s">
        <v>124</v>
      </c>
      <c r="AA1069" t="s">
        <v>217</v>
      </c>
      <c r="AE1069">
        <v>1</v>
      </c>
      <c r="AF1069">
        <v>0</v>
      </c>
      <c r="AG1069">
        <v>0</v>
      </c>
      <c r="AH1069">
        <v>0</v>
      </c>
      <c r="AI1069">
        <v>0</v>
      </c>
      <c r="AJ1069">
        <v>1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</row>
    <row r="1070" spans="1:42" x14ac:dyDescent="0.25">
      <c r="A1070">
        <v>1217</v>
      </c>
      <c r="B1070" t="s">
        <v>1976</v>
      </c>
      <c r="C1070" t="s">
        <v>1973</v>
      </c>
      <c r="D1070" t="s">
        <v>126</v>
      </c>
      <c r="E1070" s="4">
        <v>1</v>
      </c>
      <c r="F1070" t="s">
        <v>61</v>
      </c>
      <c r="G1070" t="s">
        <v>61</v>
      </c>
      <c r="H1070" s="3">
        <v>46182</v>
      </c>
      <c r="I1070" s="3">
        <v>46182</v>
      </c>
      <c r="J1070" t="s">
        <v>212</v>
      </c>
      <c r="K1070" s="3">
        <v>46196</v>
      </c>
      <c r="L1070" s="3">
        <v>46196</v>
      </c>
      <c r="M1070" s="3">
        <v>46182</v>
      </c>
      <c r="N1070" s="3">
        <v>46182</v>
      </c>
      <c r="O1070" t="s">
        <v>204</v>
      </c>
      <c r="P1070" t="s">
        <v>55</v>
      </c>
      <c r="Q1070">
        <v>1216</v>
      </c>
      <c r="S1070" t="s">
        <v>1444</v>
      </c>
      <c r="T1070" t="s">
        <v>1429</v>
      </c>
      <c r="U1070">
        <v>1218</v>
      </c>
      <c r="V1070" t="s">
        <v>61</v>
      </c>
      <c r="W1070">
        <v>13.4</v>
      </c>
      <c r="X1070" t="s">
        <v>57</v>
      </c>
      <c r="Z1070" t="s">
        <v>1444</v>
      </c>
      <c r="AA1070" t="s">
        <v>131</v>
      </c>
      <c r="AE1070">
        <v>1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1</v>
      </c>
      <c r="AM1070">
        <v>0</v>
      </c>
      <c r="AN1070">
        <v>0</v>
      </c>
      <c r="AO1070">
        <v>0</v>
      </c>
      <c r="AP1070">
        <v>0</v>
      </c>
    </row>
    <row r="1071" spans="1:42" x14ac:dyDescent="0.25">
      <c r="A1071">
        <v>1218</v>
      </c>
      <c r="B1071" t="s">
        <v>1977</v>
      </c>
      <c r="C1071" t="s">
        <v>1973</v>
      </c>
      <c r="D1071" t="s">
        <v>133</v>
      </c>
      <c r="E1071" s="4">
        <v>1</v>
      </c>
      <c r="F1071" t="s">
        <v>127</v>
      </c>
      <c r="G1071" t="s">
        <v>127</v>
      </c>
      <c r="H1071" s="3">
        <v>46182</v>
      </c>
      <c r="I1071" s="3">
        <v>46183</v>
      </c>
      <c r="J1071" t="s">
        <v>207</v>
      </c>
      <c r="K1071" s="3">
        <v>46197</v>
      </c>
      <c r="L1071" s="3">
        <v>46197</v>
      </c>
      <c r="M1071" s="3">
        <v>46183</v>
      </c>
      <c r="N1071" s="3">
        <v>46183</v>
      </c>
      <c r="O1071" t="s">
        <v>204</v>
      </c>
      <c r="P1071" t="s">
        <v>55</v>
      </c>
      <c r="Q1071">
        <v>1217</v>
      </c>
      <c r="S1071" t="s">
        <v>124</v>
      </c>
      <c r="T1071" t="s">
        <v>1429</v>
      </c>
      <c r="V1071" t="s">
        <v>61</v>
      </c>
      <c r="W1071">
        <v>13.4</v>
      </c>
      <c r="X1071" t="s">
        <v>57</v>
      </c>
      <c r="Z1071" t="s">
        <v>124</v>
      </c>
      <c r="AA1071" t="s">
        <v>131</v>
      </c>
      <c r="AE1071">
        <v>1</v>
      </c>
      <c r="AF1071">
        <v>0</v>
      </c>
      <c r="AG1071">
        <v>0</v>
      </c>
      <c r="AH1071">
        <v>0</v>
      </c>
      <c r="AI1071">
        <v>1</v>
      </c>
      <c r="AJ1071">
        <v>0</v>
      </c>
      <c r="AK1071">
        <v>0</v>
      </c>
      <c r="AL1071">
        <v>0</v>
      </c>
      <c r="AM1071">
        <v>0</v>
      </c>
      <c r="AN1071">
        <v>1</v>
      </c>
      <c r="AO1071">
        <v>0</v>
      </c>
      <c r="AP1071">
        <v>0</v>
      </c>
    </row>
    <row r="1072" spans="1:42" x14ac:dyDescent="0.25">
      <c r="A1072">
        <v>1219</v>
      </c>
      <c r="B1072" t="s">
        <v>1978</v>
      </c>
      <c r="C1072" t="s">
        <v>1927</v>
      </c>
      <c r="D1072" t="s">
        <v>1979</v>
      </c>
      <c r="E1072" s="4">
        <v>1</v>
      </c>
      <c r="F1072" t="s">
        <v>101</v>
      </c>
      <c r="G1072" t="s">
        <v>101</v>
      </c>
      <c r="H1072" s="3">
        <v>46176</v>
      </c>
      <c r="I1072" s="3">
        <v>46183</v>
      </c>
      <c r="J1072" t="s">
        <v>459</v>
      </c>
      <c r="K1072" s="3">
        <v>46183</v>
      </c>
      <c r="L1072" s="3">
        <v>46176</v>
      </c>
      <c r="M1072" s="3">
        <v>46183</v>
      </c>
      <c r="N1072" s="3">
        <v>46183</v>
      </c>
      <c r="O1072" t="s">
        <v>459</v>
      </c>
      <c r="P1072" t="s">
        <v>55</v>
      </c>
      <c r="T1072" t="s">
        <v>1429</v>
      </c>
      <c r="V1072" t="s">
        <v>210</v>
      </c>
      <c r="X1072" t="s">
        <v>57</v>
      </c>
      <c r="AA1072" t="s">
        <v>50</v>
      </c>
      <c r="AB1072" t="s">
        <v>94</v>
      </c>
      <c r="AE1072">
        <v>1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</row>
    <row r="1073" spans="1:42" x14ac:dyDescent="0.25">
      <c r="A1073">
        <v>1220</v>
      </c>
      <c r="B1073" t="s">
        <v>1980</v>
      </c>
      <c r="C1073" t="s">
        <v>1981</v>
      </c>
      <c r="D1073" t="s">
        <v>117</v>
      </c>
      <c r="E1073" s="4">
        <v>1</v>
      </c>
      <c r="F1073" t="s">
        <v>127</v>
      </c>
      <c r="G1073" t="s">
        <v>127</v>
      </c>
      <c r="H1073" s="3">
        <v>46176</v>
      </c>
      <c r="I1073" s="3">
        <v>46181</v>
      </c>
      <c r="J1073" t="s">
        <v>459</v>
      </c>
      <c r="K1073" s="3">
        <v>46181</v>
      </c>
      <c r="L1073" s="3">
        <v>46176</v>
      </c>
      <c r="M1073" s="3">
        <v>46181</v>
      </c>
      <c r="N1073" s="3">
        <v>46181</v>
      </c>
      <c r="O1073" t="s">
        <v>459</v>
      </c>
      <c r="P1073" t="s">
        <v>55</v>
      </c>
      <c r="Q1073" t="s">
        <v>1965</v>
      </c>
      <c r="S1073" t="s">
        <v>1444</v>
      </c>
      <c r="T1073" t="s">
        <v>1429</v>
      </c>
      <c r="U1073" t="s">
        <v>1982</v>
      </c>
      <c r="V1073" t="s">
        <v>122</v>
      </c>
      <c r="W1073">
        <v>13.4</v>
      </c>
      <c r="X1073" t="s">
        <v>57</v>
      </c>
      <c r="Z1073" t="s">
        <v>1444</v>
      </c>
      <c r="AA1073" t="s">
        <v>217</v>
      </c>
      <c r="AE1073">
        <v>1</v>
      </c>
      <c r="AF1073">
        <v>1</v>
      </c>
      <c r="AG1073">
        <v>1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1</v>
      </c>
    </row>
    <row r="1074" spans="1:42" x14ac:dyDescent="0.25">
      <c r="A1074">
        <v>1221</v>
      </c>
      <c r="B1074" t="s">
        <v>1983</v>
      </c>
      <c r="C1074" t="s">
        <v>1981</v>
      </c>
      <c r="D1074" t="s">
        <v>121</v>
      </c>
      <c r="E1074" s="4">
        <v>1</v>
      </c>
      <c r="F1074" t="s">
        <v>127</v>
      </c>
      <c r="G1074" t="s">
        <v>127</v>
      </c>
      <c r="H1074" s="3">
        <v>46181</v>
      </c>
      <c r="I1074" s="3">
        <v>46182</v>
      </c>
      <c r="J1074" t="s">
        <v>201</v>
      </c>
      <c r="K1074" s="3">
        <v>46182</v>
      </c>
      <c r="L1074" s="3">
        <v>46181</v>
      </c>
      <c r="M1074" s="3">
        <v>46182</v>
      </c>
      <c r="N1074" s="3">
        <v>46182</v>
      </c>
      <c r="O1074" t="s">
        <v>201</v>
      </c>
      <c r="P1074" t="s">
        <v>55</v>
      </c>
      <c r="Q1074">
        <v>1220</v>
      </c>
      <c r="S1074" t="s">
        <v>124</v>
      </c>
      <c r="T1074" t="s">
        <v>1429</v>
      </c>
      <c r="U1074">
        <v>1222</v>
      </c>
      <c r="V1074" t="s">
        <v>122</v>
      </c>
      <c r="W1074">
        <v>13.4</v>
      </c>
      <c r="X1074" t="s">
        <v>57</v>
      </c>
      <c r="Z1074" t="s">
        <v>124</v>
      </c>
      <c r="AA1074" t="s">
        <v>217</v>
      </c>
      <c r="AE1074">
        <v>1</v>
      </c>
      <c r="AF1074">
        <v>0</v>
      </c>
      <c r="AG1074">
        <v>0</v>
      </c>
      <c r="AH1074">
        <v>0</v>
      </c>
      <c r="AI1074">
        <v>0</v>
      </c>
      <c r="AJ1074">
        <v>1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</row>
    <row r="1075" spans="1:42" x14ac:dyDescent="0.25">
      <c r="A1075">
        <v>1222</v>
      </c>
      <c r="B1075" t="s">
        <v>1984</v>
      </c>
      <c r="C1075" t="s">
        <v>1981</v>
      </c>
      <c r="D1075" t="s">
        <v>126</v>
      </c>
      <c r="E1075" s="4">
        <v>1</v>
      </c>
      <c r="F1075" t="s">
        <v>61</v>
      </c>
      <c r="G1075" t="s">
        <v>61</v>
      </c>
      <c r="H1075" s="3">
        <v>46182</v>
      </c>
      <c r="I1075" s="3">
        <v>46182</v>
      </c>
      <c r="J1075" t="s">
        <v>204</v>
      </c>
      <c r="K1075" s="3">
        <v>46182</v>
      </c>
      <c r="L1075" s="3">
        <v>46182</v>
      </c>
      <c r="M1075" s="3">
        <v>46182</v>
      </c>
      <c r="N1075" s="3">
        <v>46182</v>
      </c>
      <c r="O1075" t="s">
        <v>204</v>
      </c>
      <c r="P1075" t="s">
        <v>55</v>
      </c>
      <c r="Q1075">
        <v>1221</v>
      </c>
      <c r="S1075" t="s">
        <v>1444</v>
      </c>
      <c r="T1075" t="s">
        <v>1429</v>
      </c>
      <c r="U1075">
        <v>1223</v>
      </c>
      <c r="V1075" t="s">
        <v>61</v>
      </c>
      <c r="W1075">
        <v>13.4</v>
      </c>
      <c r="X1075" t="s">
        <v>57</v>
      </c>
      <c r="Z1075" t="s">
        <v>1444</v>
      </c>
      <c r="AA1075" t="s">
        <v>131</v>
      </c>
      <c r="AE1075">
        <v>1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1</v>
      </c>
      <c r="AM1075">
        <v>0</v>
      </c>
      <c r="AN1075">
        <v>0</v>
      </c>
      <c r="AO1075">
        <v>0</v>
      </c>
      <c r="AP1075">
        <v>0</v>
      </c>
    </row>
    <row r="1076" spans="1:42" x14ac:dyDescent="0.25">
      <c r="A1076">
        <v>1223</v>
      </c>
      <c r="B1076" t="s">
        <v>1985</v>
      </c>
      <c r="C1076" t="s">
        <v>1981</v>
      </c>
      <c r="D1076" t="s">
        <v>133</v>
      </c>
      <c r="E1076" s="4">
        <v>1</v>
      </c>
      <c r="F1076" t="s">
        <v>127</v>
      </c>
      <c r="G1076" t="s">
        <v>127</v>
      </c>
      <c r="H1076" s="3">
        <v>46182</v>
      </c>
      <c r="I1076" s="3">
        <v>46183</v>
      </c>
      <c r="J1076" t="s">
        <v>204</v>
      </c>
      <c r="K1076" s="3">
        <v>46183</v>
      </c>
      <c r="L1076" s="3">
        <v>46182</v>
      </c>
      <c r="M1076" s="3">
        <v>46183</v>
      </c>
      <c r="N1076" s="3">
        <v>46183</v>
      </c>
      <c r="O1076" t="s">
        <v>204</v>
      </c>
      <c r="P1076" t="s">
        <v>55</v>
      </c>
      <c r="Q1076">
        <v>1222</v>
      </c>
      <c r="S1076" t="s">
        <v>124</v>
      </c>
      <c r="T1076" t="s">
        <v>1429</v>
      </c>
      <c r="V1076" t="s">
        <v>61</v>
      </c>
      <c r="W1076">
        <v>13.4</v>
      </c>
      <c r="X1076" t="s">
        <v>57</v>
      </c>
      <c r="Z1076" t="s">
        <v>124</v>
      </c>
      <c r="AA1076" t="s">
        <v>131</v>
      </c>
      <c r="AE1076">
        <v>1</v>
      </c>
      <c r="AF1076">
        <v>0</v>
      </c>
      <c r="AG1076">
        <v>0</v>
      </c>
      <c r="AH1076">
        <v>0</v>
      </c>
      <c r="AI1076">
        <v>1</v>
      </c>
      <c r="AJ1076">
        <v>0</v>
      </c>
      <c r="AK1076">
        <v>0</v>
      </c>
      <c r="AL1076">
        <v>0</v>
      </c>
      <c r="AM1076">
        <v>0</v>
      </c>
      <c r="AN1076">
        <v>1</v>
      </c>
      <c r="AO1076">
        <v>0</v>
      </c>
      <c r="AP1076">
        <v>0</v>
      </c>
    </row>
    <row r="1077" spans="1:42" x14ac:dyDescent="0.25">
      <c r="A1077">
        <v>1224</v>
      </c>
      <c r="B1077" t="s">
        <v>1986</v>
      </c>
      <c r="C1077" t="s">
        <v>1927</v>
      </c>
      <c r="D1077" t="s">
        <v>1987</v>
      </c>
      <c r="E1077" s="4">
        <v>1</v>
      </c>
      <c r="F1077" t="s">
        <v>101</v>
      </c>
      <c r="G1077" t="s">
        <v>101</v>
      </c>
      <c r="H1077" s="3">
        <v>46176</v>
      </c>
      <c r="I1077" s="3">
        <v>46183</v>
      </c>
      <c r="J1077" t="s">
        <v>459</v>
      </c>
      <c r="K1077" s="3">
        <v>46183</v>
      </c>
      <c r="L1077" s="3">
        <v>46176</v>
      </c>
      <c r="M1077" s="3">
        <v>46183</v>
      </c>
      <c r="N1077" s="3">
        <v>46183</v>
      </c>
      <c r="O1077" t="s">
        <v>459</v>
      </c>
      <c r="P1077" t="s">
        <v>55</v>
      </c>
      <c r="T1077" t="s">
        <v>1429</v>
      </c>
      <c r="V1077" t="s">
        <v>175</v>
      </c>
      <c r="X1077" t="s">
        <v>57</v>
      </c>
      <c r="AA1077" t="s">
        <v>50</v>
      </c>
      <c r="AB1077" t="s">
        <v>94</v>
      </c>
      <c r="AE1077">
        <v>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</row>
    <row r="1078" spans="1:42" x14ac:dyDescent="0.25">
      <c r="A1078">
        <v>1225</v>
      </c>
      <c r="B1078" t="s">
        <v>1988</v>
      </c>
      <c r="C1078" t="s">
        <v>1989</v>
      </c>
      <c r="D1078" t="s">
        <v>117</v>
      </c>
      <c r="E1078" s="4">
        <v>1</v>
      </c>
      <c r="F1078" t="s">
        <v>127</v>
      </c>
      <c r="G1078" t="s">
        <v>127</v>
      </c>
      <c r="H1078" s="3">
        <v>46176</v>
      </c>
      <c r="I1078" s="3">
        <v>46181</v>
      </c>
      <c r="J1078" t="s">
        <v>459</v>
      </c>
      <c r="K1078" s="3">
        <v>46181</v>
      </c>
      <c r="L1078" s="3">
        <v>46176</v>
      </c>
      <c r="M1078" s="3">
        <v>46181</v>
      </c>
      <c r="N1078" s="3">
        <v>46181</v>
      </c>
      <c r="O1078" t="s">
        <v>459</v>
      </c>
      <c r="P1078" t="s">
        <v>55</v>
      </c>
      <c r="Q1078" t="s">
        <v>1990</v>
      </c>
      <c r="S1078" t="s">
        <v>1444</v>
      </c>
      <c r="T1078" t="s">
        <v>1429</v>
      </c>
      <c r="U1078">
        <v>1226</v>
      </c>
      <c r="V1078" t="s">
        <v>127</v>
      </c>
      <c r="W1078">
        <v>13.4</v>
      </c>
      <c r="X1078" t="s">
        <v>57</v>
      </c>
      <c r="Z1078" t="s">
        <v>1444</v>
      </c>
      <c r="AA1078" t="s">
        <v>217</v>
      </c>
      <c r="AE1078">
        <v>1</v>
      </c>
      <c r="AF1078">
        <v>1</v>
      </c>
      <c r="AG1078">
        <v>1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1</v>
      </c>
    </row>
    <row r="1079" spans="1:42" x14ac:dyDescent="0.25">
      <c r="A1079">
        <v>1226</v>
      </c>
      <c r="B1079" t="s">
        <v>1991</v>
      </c>
      <c r="C1079" t="s">
        <v>1989</v>
      </c>
      <c r="D1079" t="s">
        <v>121</v>
      </c>
      <c r="E1079" s="4">
        <v>1</v>
      </c>
      <c r="F1079" t="s">
        <v>127</v>
      </c>
      <c r="G1079" t="s">
        <v>127</v>
      </c>
      <c r="H1079" s="3">
        <v>46181</v>
      </c>
      <c r="I1079" s="3">
        <v>46182</v>
      </c>
      <c r="J1079" t="s">
        <v>201</v>
      </c>
      <c r="K1079" s="3">
        <v>46182</v>
      </c>
      <c r="L1079" s="3">
        <v>46181</v>
      </c>
      <c r="M1079" s="3">
        <v>46182</v>
      </c>
      <c r="N1079" s="3">
        <v>46182</v>
      </c>
      <c r="O1079" t="s">
        <v>201</v>
      </c>
      <c r="P1079" t="s">
        <v>55</v>
      </c>
      <c r="Q1079">
        <v>1225</v>
      </c>
      <c r="S1079" t="s">
        <v>124</v>
      </c>
      <c r="T1079" t="s">
        <v>1429</v>
      </c>
      <c r="U1079">
        <v>1227</v>
      </c>
      <c r="V1079" t="s">
        <v>122</v>
      </c>
      <c r="W1079">
        <v>13.4</v>
      </c>
      <c r="X1079" t="s">
        <v>57</v>
      </c>
      <c r="Z1079" t="s">
        <v>124</v>
      </c>
      <c r="AA1079" t="s">
        <v>217</v>
      </c>
      <c r="AE1079">
        <v>1</v>
      </c>
      <c r="AF1079">
        <v>0</v>
      </c>
      <c r="AG1079">
        <v>0</v>
      </c>
      <c r="AH1079">
        <v>0</v>
      </c>
      <c r="AI1079">
        <v>0</v>
      </c>
      <c r="AJ1079">
        <v>1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</row>
    <row r="1080" spans="1:42" x14ac:dyDescent="0.25">
      <c r="A1080">
        <v>1227</v>
      </c>
      <c r="B1080" t="s">
        <v>1992</v>
      </c>
      <c r="C1080" t="s">
        <v>1989</v>
      </c>
      <c r="D1080" t="s">
        <v>126</v>
      </c>
      <c r="E1080" s="4">
        <v>1</v>
      </c>
      <c r="F1080" t="s">
        <v>61</v>
      </c>
      <c r="G1080" t="s">
        <v>61</v>
      </c>
      <c r="H1080" s="3">
        <v>46182</v>
      </c>
      <c r="I1080" s="3">
        <v>46182</v>
      </c>
      <c r="J1080" t="s">
        <v>204</v>
      </c>
      <c r="K1080" s="3">
        <v>46182</v>
      </c>
      <c r="L1080" s="3">
        <v>46182</v>
      </c>
      <c r="M1080" s="3">
        <v>46182</v>
      </c>
      <c r="N1080" s="3">
        <v>46182</v>
      </c>
      <c r="O1080" t="s">
        <v>204</v>
      </c>
      <c r="P1080" t="s">
        <v>55</v>
      </c>
      <c r="Q1080">
        <v>1226</v>
      </c>
      <c r="S1080" t="s">
        <v>1444</v>
      </c>
      <c r="T1080" t="s">
        <v>1429</v>
      </c>
      <c r="U1080">
        <v>1228</v>
      </c>
      <c r="V1080" t="s">
        <v>61</v>
      </c>
      <c r="W1080">
        <v>13.4</v>
      </c>
      <c r="X1080" t="s">
        <v>57</v>
      </c>
      <c r="Z1080" t="s">
        <v>1444</v>
      </c>
      <c r="AA1080" t="s">
        <v>131</v>
      </c>
      <c r="AE1080">
        <v>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1</v>
      </c>
      <c r="AM1080">
        <v>0</v>
      </c>
      <c r="AN1080">
        <v>0</v>
      </c>
      <c r="AO1080">
        <v>0</v>
      </c>
      <c r="AP1080">
        <v>0</v>
      </c>
    </row>
    <row r="1081" spans="1:42" x14ac:dyDescent="0.25">
      <c r="A1081">
        <v>1228</v>
      </c>
      <c r="B1081" t="s">
        <v>1993</v>
      </c>
      <c r="C1081" t="s">
        <v>1989</v>
      </c>
      <c r="D1081" t="s">
        <v>133</v>
      </c>
      <c r="E1081" s="4">
        <v>1</v>
      </c>
      <c r="F1081" t="s">
        <v>127</v>
      </c>
      <c r="G1081" t="s">
        <v>127</v>
      </c>
      <c r="H1081" s="3">
        <v>46182</v>
      </c>
      <c r="I1081" s="3">
        <v>46183</v>
      </c>
      <c r="J1081" t="s">
        <v>204</v>
      </c>
      <c r="K1081" s="3">
        <v>46183</v>
      </c>
      <c r="L1081" s="3">
        <v>46182</v>
      </c>
      <c r="M1081" s="3">
        <v>46183</v>
      </c>
      <c r="N1081" s="3">
        <v>46183</v>
      </c>
      <c r="O1081" t="s">
        <v>204</v>
      </c>
      <c r="P1081" t="s">
        <v>55</v>
      </c>
      <c r="Q1081">
        <v>1227</v>
      </c>
      <c r="S1081" t="s">
        <v>124</v>
      </c>
      <c r="T1081" t="s">
        <v>1429</v>
      </c>
      <c r="V1081" t="s">
        <v>61</v>
      </c>
      <c r="W1081">
        <v>13.4</v>
      </c>
      <c r="X1081" t="s">
        <v>57</v>
      </c>
      <c r="Z1081" t="s">
        <v>124</v>
      </c>
      <c r="AA1081" t="s">
        <v>131</v>
      </c>
      <c r="AE1081">
        <v>1</v>
      </c>
      <c r="AF1081">
        <v>0</v>
      </c>
      <c r="AG1081">
        <v>0</v>
      </c>
      <c r="AH1081">
        <v>0</v>
      </c>
      <c r="AI1081">
        <v>1</v>
      </c>
      <c r="AJ1081">
        <v>0</v>
      </c>
      <c r="AK1081">
        <v>0</v>
      </c>
      <c r="AL1081">
        <v>0</v>
      </c>
      <c r="AM1081">
        <v>0</v>
      </c>
      <c r="AN1081">
        <v>1</v>
      </c>
      <c r="AO1081">
        <v>0</v>
      </c>
      <c r="AP1081">
        <v>0</v>
      </c>
    </row>
    <row r="1082" spans="1:42" x14ac:dyDescent="0.25">
      <c r="A1082">
        <v>1229</v>
      </c>
      <c r="B1082" t="s">
        <v>1994</v>
      </c>
      <c r="C1082" t="s">
        <v>1927</v>
      </c>
      <c r="D1082" t="s">
        <v>1995</v>
      </c>
      <c r="E1082" s="4">
        <v>1</v>
      </c>
      <c r="F1082" t="s">
        <v>101</v>
      </c>
      <c r="G1082" t="s">
        <v>101</v>
      </c>
      <c r="H1082" s="3">
        <v>46176</v>
      </c>
      <c r="I1082" s="3">
        <v>46183</v>
      </c>
      <c r="J1082" t="s">
        <v>459</v>
      </c>
      <c r="K1082" s="3">
        <v>46183</v>
      </c>
      <c r="L1082" s="3">
        <v>46176</v>
      </c>
      <c r="M1082" s="3">
        <v>46183</v>
      </c>
      <c r="N1082" s="3">
        <v>46183</v>
      </c>
      <c r="O1082" t="s">
        <v>459</v>
      </c>
      <c r="P1082" t="s">
        <v>55</v>
      </c>
      <c r="T1082" t="s">
        <v>1429</v>
      </c>
      <c r="V1082" t="s">
        <v>175</v>
      </c>
      <c r="X1082" t="s">
        <v>57</v>
      </c>
      <c r="AA1082" t="s">
        <v>50</v>
      </c>
      <c r="AB1082" t="s">
        <v>94</v>
      </c>
      <c r="AE1082">
        <v>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</row>
    <row r="1083" spans="1:42" x14ac:dyDescent="0.25">
      <c r="A1083">
        <v>1230</v>
      </c>
      <c r="B1083" t="s">
        <v>1996</v>
      </c>
      <c r="C1083" t="s">
        <v>1997</v>
      </c>
      <c r="D1083" t="s">
        <v>117</v>
      </c>
      <c r="E1083" s="4">
        <v>1</v>
      </c>
      <c r="F1083" t="s">
        <v>127</v>
      </c>
      <c r="G1083" t="s">
        <v>127</v>
      </c>
      <c r="H1083" s="3">
        <v>46176</v>
      </c>
      <c r="I1083" s="3">
        <v>46181</v>
      </c>
      <c r="J1083" t="s">
        <v>459</v>
      </c>
      <c r="K1083" s="3">
        <v>46181</v>
      </c>
      <c r="L1083" s="3">
        <v>46176</v>
      </c>
      <c r="M1083" s="3">
        <v>46181</v>
      </c>
      <c r="N1083" s="3">
        <v>46181</v>
      </c>
      <c r="O1083" t="s">
        <v>459</v>
      </c>
      <c r="P1083" t="s">
        <v>55</v>
      </c>
      <c r="Q1083" t="s">
        <v>1990</v>
      </c>
      <c r="S1083" t="s">
        <v>1444</v>
      </c>
      <c r="T1083" t="s">
        <v>1429</v>
      </c>
      <c r="U1083">
        <v>1231</v>
      </c>
      <c r="V1083" t="s">
        <v>127</v>
      </c>
      <c r="W1083">
        <v>13.4</v>
      </c>
      <c r="X1083" t="s">
        <v>57</v>
      </c>
      <c r="Z1083" t="s">
        <v>1444</v>
      </c>
      <c r="AA1083" t="s">
        <v>217</v>
      </c>
      <c r="AE1083">
        <v>1</v>
      </c>
      <c r="AF1083">
        <v>1</v>
      </c>
      <c r="AG1083">
        <v>1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1</v>
      </c>
    </row>
    <row r="1084" spans="1:42" x14ac:dyDescent="0.25">
      <c r="A1084">
        <v>1231</v>
      </c>
      <c r="B1084" t="s">
        <v>1998</v>
      </c>
      <c r="C1084" t="s">
        <v>1997</v>
      </c>
      <c r="D1084" t="s">
        <v>121</v>
      </c>
      <c r="E1084" s="4">
        <v>1</v>
      </c>
      <c r="F1084" t="s">
        <v>127</v>
      </c>
      <c r="G1084" t="s">
        <v>127</v>
      </c>
      <c r="H1084" s="3">
        <v>46181</v>
      </c>
      <c r="I1084" s="3">
        <v>46182</v>
      </c>
      <c r="J1084" t="s">
        <v>201</v>
      </c>
      <c r="K1084" s="3">
        <v>46182</v>
      </c>
      <c r="L1084" s="3">
        <v>46181</v>
      </c>
      <c r="M1084" s="3">
        <v>46182</v>
      </c>
      <c r="N1084" s="3">
        <v>46182</v>
      </c>
      <c r="O1084" t="s">
        <v>201</v>
      </c>
      <c r="P1084" t="s">
        <v>55</v>
      </c>
      <c r="Q1084">
        <v>1230</v>
      </c>
      <c r="S1084" t="s">
        <v>124</v>
      </c>
      <c r="T1084" t="s">
        <v>1429</v>
      </c>
      <c r="U1084">
        <v>1232</v>
      </c>
      <c r="V1084" t="s">
        <v>122</v>
      </c>
      <c r="W1084">
        <v>13.4</v>
      </c>
      <c r="X1084" t="s">
        <v>57</v>
      </c>
      <c r="Z1084" t="s">
        <v>124</v>
      </c>
      <c r="AA1084" t="s">
        <v>217</v>
      </c>
      <c r="AE1084">
        <v>1</v>
      </c>
      <c r="AF1084">
        <v>0</v>
      </c>
      <c r="AG1084">
        <v>0</v>
      </c>
      <c r="AH1084">
        <v>0</v>
      </c>
      <c r="AI1084">
        <v>0</v>
      </c>
      <c r="AJ1084">
        <v>1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</row>
    <row r="1085" spans="1:42" x14ac:dyDescent="0.25">
      <c r="A1085">
        <v>1232</v>
      </c>
      <c r="B1085" t="s">
        <v>1999</v>
      </c>
      <c r="C1085" t="s">
        <v>1997</v>
      </c>
      <c r="D1085" t="s">
        <v>126</v>
      </c>
      <c r="E1085" s="4">
        <v>1</v>
      </c>
      <c r="F1085" t="s">
        <v>61</v>
      </c>
      <c r="G1085" t="s">
        <v>61</v>
      </c>
      <c r="H1085" s="3">
        <v>46182</v>
      </c>
      <c r="I1085" s="3">
        <v>46182</v>
      </c>
      <c r="J1085" t="s">
        <v>204</v>
      </c>
      <c r="K1085" s="3">
        <v>46182</v>
      </c>
      <c r="L1085" s="3">
        <v>46182</v>
      </c>
      <c r="M1085" s="3">
        <v>46182</v>
      </c>
      <c r="N1085" s="3">
        <v>46182</v>
      </c>
      <c r="O1085" t="s">
        <v>204</v>
      </c>
      <c r="P1085" t="s">
        <v>55</v>
      </c>
      <c r="Q1085">
        <v>1231</v>
      </c>
      <c r="S1085" t="s">
        <v>1444</v>
      </c>
      <c r="T1085" t="s">
        <v>1429</v>
      </c>
      <c r="U1085">
        <v>1233</v>
      </c>
      <c r="V1085" t="s">
        <v>61</v>
      </c>
      <c r="W1085">
        <v>13.4</v>
      </c>
      <c r="X1085" t="s">
        <v>57</v>
      </c>
      <c r="Z1085" t="s">
        <v>1444</v>
      </c>
      <c r="AA1085" t="s">
        <v>131</v>
      </c>
      <c r="AE1085">
        <v>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1</v>
      </c>
      <c r="AM1085">
        <v>0</v>
      </c>
      <c r="AN1085">
        <v>0</v>
      </c>
      <c r="AO1085">
        <v>0</v>
      </c>
      <c r="AP1085">
        <v>0</v>
      </c>
    </row>
    <row r="1086" spans="1:42" x14ac:dyDescent="0.25">
      <c r="A1086">
        <v>1233</v>
      </c>
      <c r="B1086" t="s">
        <v>2000</v>
      </c>
      <c r="C1086" t="s">
        <v>1997</v>
      </c>
      <c r="D1086" t="s">
        <v>133</v>
      </c>
      <c r="E1086" s="4">
        <v>1</v>
      </c>
      <c r="F1086" t="s">
        <v>127</v>
      </c>
      <c r="G1086" t="s">
        <v>127</v>
      </c>
      <c r="H1086" s="3">
        <v>46182</v>
      </c>
      <c r="I1086" s="3">
        <v>46183</v>
      </c>
      <c r="J1086" t="s">
        <v>204</v>
      </c>
      <c r="K1086" s="3">
        <v>46183</v>
      </c>
      <c r="L1086" s="3">
        <v>46182</v>
      </c>
      <c r="M1086" s="3">
        <v>46183</v>
      </c>
      <c r="N1086" s="3">
        <v>46183</v>
      </c>
      <c r="O1086" t="s">
        <v>204</v>
      </c>
      <c r="P1086" t="s">
        <v>55</v>
      </c>
      <c r="Q1086">
        <v>1232</v>
      </c>
      <c r="S1086" t="s">
        <v>124</v>
      </c>
      <c r="T1086" t="s">
        <v>1429</v>
      </c>
      <c r="V1086" t="s">
        <v>61</v>
      </c>
      <c r="W1086">
        <v>13.4</v>
      </c>
      <c r="X1086" t="s">
        <v>57</v>
      </c>
      <c r="Z1086" t="s">
        <v>124</v>
      </c>
      <c r="AA1086" t="s">
        <v>131</v>
      </c>
      <c r="AE1086">
        <v>1</v>
      </c>
      <c r="AF1086">
        <v>0</v>
      </c>
      <c r="AG1086">
        <v>0</v>
      </c>
      <c r="AH1086">
        <v>0</v>
      </c>
      <c r="AI1086">
        <v>1</v>
      </c>
      <c r="AJ1086">
        <v>0</v>
      </c>
      <c r="AK1086">
        <v>0</v>
      </c>
      <c r="AL1086">
        <v>0</v>
      </c>
      <c r="AM1086">
        <v>0</v>
      </c>
      <c r="AN1086">
        <v>1</v>
      </c>
      <c r="AO1086">
        <v>0</v>
      </c>
      <c r="AP1086">
        <v>0</v>
      </c>
    </row>
    <row r="1087" spans="1:42" x14ac:dyDescent="0.25">
      <c r="A1087">
        <v>1265</v>
      </c>
      <c r="B1087" t="s">
        <v>2001</v>
      </c>
      <c r="C1087" t="s">
        <v>1429</v>
      </c>
      <c r="D1087" t="s">
        <v>947</v>
      </c>
      <c r="E1087" s="4">
        <v>1</v>
      </c>
      <c r="F1087" t="s">
        <v>1780</v>
      </c>
      <c r="G1087" t="s">
        <v>1780</v>
      </c>
      <c r="H1087" s="3">
        <v>46168</v>
      </c>
      <c r="I1087" s="3">
        <v>46197</v>
      </c>
      <c r="J1087" t="s">
        <v>185</v>
      </c>
      <c r="K1087" s="3">
        <v>46196</v>
      </c>
      <c r="L1087" s="3">
        <v>46160</v>
      </c>
      <c r="M1087" s="3">
        <v>46197</v>
      </c>
      <c r="N1087" s="3">
        <v>46197</v>
      </c>
      <c r="O1087" t="s">
        <v>206</v>
      </c>
      <c r="P1087" t="s">
        <v>55</v>
      </c>
      <c r="T1087" t="s">
        <v>1429</v>
      </c>
      <c r="V1087" t="s">
        <v>976</v>
      </c>
      <c r="X1087" t="s">
        <v>57</v>
      </c>
      <c r="AA1087" t="s">
        <v>50</v>
      </c>
      <c r="AB1087" t="s">
        <v>94</v>
      </c>
      <c r="AE1087">
        <v>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</row>
    <row r="1088" spans="1:42" x14ac:dyDescent="0.25">
      <c r="A1088">
        <v>1266</v>
      </c>
      <c r="B1088" t="s">
        <v>2002</v>
      </c>
      <c r="C1088" t="s">
        <v>949</v>
      </c>
      <c r="D1088" t="s">
        <v>2003</v>
      </c>
      <c r="E1088" s="4">
        <v>1</v>
      </c>
      <c r="F1088" t="s">
        <v>2004</v>
      </c>
      <c r="G1088" t="s">
        <v>2004</v>
      </c>
      <c r="H1088" s="3">
        <v>46168</v>
      </c>
      <c r="I1088" s="3">
        <v>46188</v>
      </c>
      <c r="J1088" t="s">
        <v>185</v>
      </c>
      <c r="K1088" s="3">
        <v>46182</v>
      </c>
      <c r="L1088" s="3">
        <v>46160</v>
      </c>
      <c r="M1088" s="3">
        <v>46188</v>
      </c>
      <c r="N1088" s="3">
        <v>46188</v>
      </c>
      <c r="O1088" t="s">
        <v>206</v>
      </c>
      <c r="P1088" t="s">
        <v>55</v>
      </c>
      <c r="T1088" t="s">
        <v>1429</v>
      </c>
      <c r="V1088" t="s">
        <v>330</v>
      </c>
      <c r="X1088" t="s">
        <v>57</v>
      </c>
      <c r="AA1088" t="s">
        <v>50</v>
      </c>
      <c r="AB1088" t="s">
        <v>94</v>
      </c>
      <c r="AE1088">
        <v>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</row>
    <row r="1089" spans="1:42" x14ac:dyDescent="0.25">
      <c r="A1089">
        <v>1267</v>
      </c>
      <c r="B1089" t="s">
        <v>2005</v>
      </c>
      <c r="C1089" t="s">
        <v>2006</v>
      </c>
      <c r="D1089" t="s">
        <v>117</v>
      </c>
      <c r="E1089" s="4">
        <v>1</v>
      </c>
      <c r="F1089" t="s">
        <v>690</v>
      </c>
      <c r="G1089" t="s">
        <v>690</v>
      </c>
      <c r="H1089" s="3">
        <v>46168</v>
      </c>
      <c r="I1089" s="3">
        <v>46185</v>
      </c>
      <c r="J1089" t="s">
        <v>185</v>
      </c>
      <c r="K1089" s="3">
        <v>46171</v>
      </c>
      <c r="L1089" s="3">
        <v>46160</v>
      </c>
      <c r="M1089" s="3">
        <v>46185</v>
      </c>
      <c r="N1089" s="3">
        <v>46185</v>
      </c>
      <c r="O1089" t="s">
        <v>206</v>
      </c>
      <c r="P1089" t="s">
        <v>55</v>
      </c>
      <c r="Q1089">
        <v>452</v>
      </c>
      <c r="S1089" t="s">
        <v>1444</v>
      </c>
      <c r="T1089" t="s">
        <v>1429</v>
      </c>
      <c r="U1089" t="s">
        <v>2007</v>
      </c>
      <c r="V1089" t="s">
        <v>151</v>
      </c>
      <c r="W1089">
        <v>13.4</v>
      </c>
      <c r="X1089" t="s">
        <v>57</v>
      </c>
      <c r="Z1089" t="s">
        <v>1444</v>
      </c>
      <c r="AA1089" t="s">
        <v>198</v>
      </c>
      <c r="AE1089">
        <v>1</v>
      </c>
      <c r="AF1089">
        <v>1</v>
      </c>
      <c r="AG1089">
        <v>1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1</v>
      </c>
    </row>
    <row r="1090" spans="1:42" x14ac:dyDescent="0.25">
      <c r="A1090">
        <v>1268</v>
      </c>
      <c r="B1090" t="s">
        <v>2008</v>
      </c>
      <c r="C1090" t="s">
        <v>2006</v>
      </c>
      <c r="D1090" t="s">
        <v>121</v>
      </c>
      <c r="E1090" s="4">
        <v>1</v>
      </c>
      <c r="F1090" t="s">
        <v>138</v>
      </c>
      <c r="G1090" t="s">
        <v>138</v>
      </c>
      <c r="H1090" s="3">
        <v>46181</v>
      </c>
      <c r="I1090" s="3">
        <v>46185</v>
      </c>
      <c r="J1090" t="s">
        <v>193</v>
      </c>
      <c r="K1090" s="3">
        <v>46176</v>
      </c>
      <c r="L1090" s="3">
        <v>46174</v>
      </c>
      <c r="M1090" s="3">
        <v>46185</v>
      </c>
      <c r="N1090" s="3">
        <v>46185</v>
      </c>
      <c r="O1090" t="s">
        <v>201</v>
      </c>
      <c r="P1090" t="s">
        <v>55</v>
      </c>
      <c r="Q1090">
        <v>1267</v>
      </c>
      <c r="S1090" t="s">
        <v>124</v>
      </c>
      <c r="T1090" t="s">
        <v>1429</v>
      </c>
      <c r="U1090">
        <v>1269</v>
      </c>
      <c r="V1090" t="s">
        <v>122</v>
      </c>
      <c r="W1090">
        <v>13.4</v>
      </c>
      <c r="X1090" t="s">
        <v>57</v>
      </c>
      <c r="Z1090" t="s">
        <v>124</v>
      </c>
      <c r="AA1090" t="s">
        <v>460</v>
      </c>
      <c r="AE1090">
        <v>1</v>
      </c>
      <c r="AF1090">
        <v>0</v>
      </c>
      <c r="AG1090">
        <v>0</v>
      </c>
      <c r="AH1090">
        <v>0</v>
      </c>
      <c r="AI1090">
        <v>0</v>
      </c>
      <c r="AJ1090">
        <v>1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</row>
    <row r="1091" spans="1:42" x14ac:dyDescent="0.25">
      <c r="A1091">
        <v>1269</v>
      </c>
      <c r="B1091" t="s">
        <v>2009</v>
      </c>
      <c r="C1091" t="s">
        <v>2006</v>
      </c>
      <c r="D1091" t="s">
        <v>126</v>
      </c>
      <c r="E1091" s="4">
        <v>1</v>
      </c>
      <c r="F1091" t="s">
        <v>61</v>
      </c>
      <c r="G1091" t="s">
        <v>61</v>
      </c>
      <c r="H1091" s="3">
        <v>46184</v>
      </c>
      <c r="I1091" s="3">
        <v>46188</v>
      </c>
      <c r="J1091" t="s">
        <v>201</v>
      </c>
      <c r="K1091" s="3">
        <v>46181</v>
      </c>
      <c r="L1091" s="3">
        <v>46181</v>
      </c>
      <c r="M1091" s="3">
        <v>46188</v>
      </c>
      <c r="N1091" s="3">
        <v>46188</v>
      </c>
      <c r="O1091" t="s">
        <v>476</v>
      </c>
      <c r="P1091" t="s">
        <v>55</v>
      </c>
      <c r="Q1091">
        <v>1268</v>
      </c>
      <c r="S1091" t="s">
        <v>1444</v>
      </c>
      <c r="T1091" t="s">
        <v>1429</v>
      </c>
      <c r="U1091">
        <v>1270</v>
      </c>
      <c r="V1091" t="s">
        <v>61</v>
      </c>
      <c r="W1091">
        <v>13.4</v>
      </c>
      <c r="X1091" t="s">
        <v>57</v>
      </c>
      <c r="Z1091" t="s">
        <v>1444</v>
      </c>
      <c r="AA1091" t="s">
        <v>462</v>
      </c>
      <c r="AE1091">
        <v>1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1</v>
      </c>
      <c r="AM1091">
        <v>0</v>
      </c>
      <c r="AN1091">
        <v>0</v>
      </c>
      <c r="AO1091">
        <v>0</v>
      </c>
      <c r="AP1091">
        <v>0</v>
      </c>
    </row>
    <row r="1092" spans="1:42" x14ac:dyDescent="0.25">
      <c r="A1092">
        <v>1270</v>
      </c>
      <c r="B1092" t="s">
        <v>2010</v>
      </c>
      <c r="C1092" t="s">
        <v>2006</v>
      </c>
      <c r="D1092" t="s">
        <v>133</v>
      </c>
      <c r="E1092" s="4">
        <v>1</v>
      </c>
      <c r="F1092" t="s">
        <v>61</v>
      </c>
      <c r="G1092" t="s">
        <v>61</v>
      </c>
      <c r="H1092" s="3">
        <v>46185</v>
      </c>
      <c r="I1092" s="3">
        <v>46188</v>
      </c>
      <c r="J1092" t="s">
        <v>204</v>
      </c>
      <c r="K1092" s="3">
        <v>46182</v>
      </c>
      <c r="L1092" s="3">
        <v>46182</v>
      </c>
      <c r="M1092" s="3">
        <v>46188</v>
      </c>
      <c r="N1092" s="3">
        <v>46188</v>
      </c>
      <c r="O1092" t="s">
        <v>571</v>
      </c>
      <c r="P1092" t="s">
        <v>55</v>
      </c>
      <c r="Q1092">
        <v>1269</v>
      </c>
      <c r="S1092" t="s">
        <v>124</v>
      </c>
      <c r="T1092" t="s">
        <v>1429</v>
      </c>
      <c r="U1092">
        <v>1287</v>
      </c>
      <c r="V1092" t="s">
        <v>61</v>
      </c>
      <c r="W1092">
        <v>13.4</v>
      </c>
      <c r="X1092" t="s">
        <v>57</v>
      </c>
      <c r="Z1092" t="s">
        <v>124</v>
      </c>
      <c r="AA1092" t="s">
        <v>462</v>
      </c>
      <c r="AE1092">
        <v>1</v>
      </c>
      <c r="AF1092">
        <v>0</v>
      </c>
      <c r="AG1092">
        <v>0</v>
      </c>
      <c r="AH1092">
        <v>0</v>
      </c>
      <c r="AI1092">
        <v>1</v>
      </c>
      <c r="AJ1092">
        <v>0</v>
      </c>
      <c r="AK1092">
        <v>0</v>
      </c>
      <c r="AL1092">
        <v>0</v>
      </c>
      <c r="AM1092">
        <v>0</v>
      </c>
      <c r="AN1092">
        <v>1</v>
      </c>
      <c r="AO1092">
        <v>0</v>
      </c>
      <c r="AP1092">
        <v>0</v>
      </c>
    </row>
    <row r="1093" spans="1:42" x14ac:dyDescent="0.25">
      <c r="A1093">
        <v>1271</v>
      </c>
      <c r="B1093" t="s">
        <v>2011</v>
      </c>
      <c r="C1093" t="s">
        <v>949</v>
      </c>
      <c r="D1093" t="s">
        <v>2012</v>
      </c>
      <c r="E1093" s="4">
        <v>1</v>
      </c>
      <c r="F1093" t="s">
        <v>1038</v>
      </c>
      <c r="G1093" t="s">
        <v>1038</v>
      </c>
      <c r="H1093" s="3">
        <v>46168</v>
      </c>
      <c r="I1093" s="3">
        <v>46188</v>
      </c>
      <c r="J1093" t="s">
        <v>206</v>
      </c>
      <c r="K1093" s="3">
        <v>46188</v>
      </c>
      <c r="L1093" s="3">
        <v>46168</v>
      </c>
      <c r="M1093" s="3">
        <v>46188</v>
      </c>
      <c r="N1093" s="3">
        <v>46188</v>
      </c>
      <c r="O1093" t="s">
        <v>206</v>
      </c>
      <c r="P1093" t="s">
        <v>55</v>
      </c>
      <c r="T1093" t="s">
        <v>1429</v>
      </c>
      <c r="V1093" t="s">
        <v>330</v>
      </c>
      <c r="X1093" t="s">
        <v>57</v>
      </c>
      <c r="AA1093" t="s">
        <v>50</v>
      </c>
      <c r="AB1093" t="s">
        <v>94</v>
      </c>
      <c r="AE1093">
        <v>1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</row>
    <row r="1094" spans="1:42" x14ac:dyDescent="0.25">
      <c r="A1094">
        <v>1272</v>
      </c>
      <c r="B1094" t="s">
        <v>2013</v>
      </c>
      <c r="C1094" t="s">
        <v>2014</v>
      </c>
      <c r="D1094" t="s">
        <v>117</v>
      </c>
      <c r="E1094" s="4">
        <v>1</v>
      </c>
      <c r="F1094" t="s">
        <v>690</v>
      </c>
      <c r="G1094" t="s">
        <v>690</v>
      </c>
      <c r="H1094" s="3">
        <v>46168</v>
      </c>
      <c r="I1094" s="3">
        <v>46185</v>
      </c>
      <c r="J1094" t="s">
        <v>206</v>
      </c>
      <c r="K1094" s="3">
        <v>46185</v>
      </c>
      <c r="L1094" s="3">
        <v>46168</v>
      </c>
      <c r="M1094" s="3">
        <v>46185</v>
      </c>
      <c r="N1094" s="3">
        <v>46185</v>
      </c>
      <c r="O1094" t="s">
        <v>206</v>
      </c>
      <c r="P1094" t="s">
        <v>55</v>
      </c>
      <c r="Q1094">
        <v>452</v>
      </c>
      <c r="S1094" t="s">
        <v>1444</v>
      </c>
      <c r="T1094" t="s">
        <v>1429</v>
      </c>
      <c r="U1094" t="s">
        <v>2015</v>
      </c>
      <c r="V1094" t="s">
        <v>151</v>
      </c>
      <c r="W1094">
        <v>13.4</v>
      </c>
      <c r="X1094" t="s">
        <v>57</v>
      </c>
      <c r="Z1094" t="s">
        <v>1444</v>
      </c>
      <c r="AA1094" t="s">
        <v>198</v>
      </c>
      <c r="AE1094">
        <v>1</v>
      </c>
      <c r="AF1094">
        <v>1</v>
      </c>
      <c r="AG1094">
        <v>1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1</v>
      </c>
    </row>
    <row r="1095" spans="1:42" x14ac:dyDescent="0.25">
      <c r="A1095">
        <v>1273</v>
      </c>
      <c r="B1095" t="s">
        <v>2016</v>
      </c>
      <c r="C1095" t="s">
        <v>2014</v>
      </c>
      <c r="D1095" t="s">
        <v>121</v>
      </c>
      <c r="E1095" s="4">
        <v>1</v>
      </c>
      <c r="F1095" t="s">
        <v>138</v>
      </c>
      <c r="G1095" t="s">
        <v>138</v>
      </c>
      <c r="H1095" s="3">
        <v>46181</v>
      </c>
      <c r="I1095" s="3">
        <v>46185</v>
      </c>
      <c r="J1095" t="s">
        <v>201</v>
      </c>
      <c r="K1095" s="3">
        <v>46185</v>
      </c>
      <c r="L1095" s="3">
        <v>46181</v>
      </c>
      <c r="M1095" s="3">
        <v>46185</v>
      </c>
      <c r="N1095" s="3">
        <v>46185</v>
      </c>
      <c r="O1095" t="s">
        <v>201</v>
      </c>
      <c r="P1095" t="s">
        <v>55</v>
      </c>
      <c r="Q1095">
        <v>1272</v>
      </c>
      <c r="S1095" t="s">
        <v>124</v>
      </c>
      <c r="T1095" t="s">
        <v>1429</v>
      </c>
      <c r="U1095">
        <v>1274</v>
      </c>
      <c r="V1095" t="s">
        <v>122</v>
      </c>
      <c r="W1095">
        <v>13.4</v>
      </c>
      <c r="X1095" t="s">
        <v>57</v>
      </c>
      <c r="Z1095" t="s">
        <v>124</v>
      </c>
      <c r="AA1095" t="s">
        <v>460</v>
      </c>
      <c r="AE1095">
        <v>1</v>
      </c>
      <c r="AF1095">
        <v>0</v>
      </c>
      <c r="AG1095">
        <v>0</v>
      </c>
      <c r="AH1095">
        <v>0</v>
      </c>
      <c r="AI1095">
        <v>0</v>
      </c>
      <c r="AJ1095">
        <v>1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</row>
    <row r="1096" spans="1:42" x14ac:dyDescent="0.25">
      <c r="A1096">
        <v>1274</v>
      </c>
      <c r="B1096" t="s">
        <v>2017</v>
      </c>
      <c r="C1096" t="s">
        <v>2014</v>
      </c>
      <c r="D1096" t="s">
        <v>126</v>
      </c>
      <c r="E1096" s="4">
        <v>1</v>
      </c>
      <c r="F1096" t="s">
        <v>539</v>
      </c>
      <c r="G1096" t="s">
        <v>539</v>
      </c>
      <c r="H1096" s="3">
        <v>46184</v>
      </c>
      <c r="I1096" s="3">
        <v>46188</v>
      </c>
      <c r="J1096" t="s">
        <v>476</v>
      </c>
      <c r="K1096" s="3">
        <v>46188</v>
      </c>
      <c r="L1096" s="3">
        <v>46184</v>
      </c>
      <c r="M1096" s="3">
        <v>46188</v>
      </c>
      <c r="N1096" s="3">
        <v>46188</v>
      </c>
      <c r="O1096" t="s">
        <v>476</v>
      </c>
      <c r="P1096" t="s">
        <v>55</v>
      </c>
      <c r="Q1096">
        <v>1273</v>
      </c>
      <c r="S1096" t="s">
        <v>1444</v>
      </c>
      <c r="T1096" t="s">
        <v>1429</v>
      </c>
      <c r="U1096">
        <v>1275</v>
      </c>
      <c r="V1096" t="s">
        <v>61</v>
      </c>
      <c r="W1096">
        <v>13.4</v>
      </c>
      <c r="X1096" t="s">
        <v>57</v>
      </c>
      <c r="Z1096" t="s">
        <v>1444</v>
      </c>
      <c r="AA1096" t="s">
        <v>462</v>
      </c>
      <c r="AE1096">
        <v>1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1</v>
      </c>
      <c r="AM1096">
        <v>0</v>
      </c>
      <c r="AN1096">
        <v>0</v>
      </c>
      <c r="AO1096">
        <v>0</v>
      </c>
      <c r="AP1096">
        <v>0</v>
      </c>
    </row>
    <row r="1097" spans="1:42" x14ac:dyDescent="0.25">
      <c r="A1097">
        <v>1275</v>
      </c>
      <c r="B1097" t="s">
        <v>2018</v>
      </c>
      <c r="C1097" t="s">
        <v>2014</v>
      </c>
      <c r="D1097" t="s">
        <v>133</v>
      </c>
      <c r="E1097" s="4">
        <v>1</v>
      </c>
      <c r="F1097" t="s">
        <v>61</v>
      </c>
      <c r="G1097" t="s">
        <v>61</v>
      </c>
      <c r="H1097" s="3">
        <v>46185</v>
      </c>
      <c r="I1097" s="3">
        <v>46188</v>
      </c>
      <c r="J1097" t="s">
        <v>571</v>
      </c>
      <c r="K1097" s="3">
        <v>46188</v>
      </c>
      <c r="L1097" s="3">
        <v>46185</v>
      </c>
      <c r="M1097" s="3">
        <v>46188</v>
      </c>
      <c r="N1097" s="3">
        <v>46188</v>
      </c>
      <c r="O1097" t="s">
        <v>571</v>
      </c>
      <c r="P1097" t="s">
        <v>55</v>
      </c>
      <c r="Q1097">
        <v>1274</v>
      </c>
      <c r="S1097" t="s">
        <v>124</v>
      </c>
      <c r="T1097" t="s">
        <v>1429</v>
      </c>
      <c r="U1097">
        <v>1287</v>
      </c>
      <c r="V1097" t="s">
        <v>61</v>
      </c>
      <c r="W1097">
        <v>13.4</v>
      </c>
      <c r="X1097" t="s">
        <v>57</v>
      </c>
      <c r="Z1097" t="s">
        <v>124</v>
      </c>
      <c r="AA1097" t="s">
        <v>462</v>
      </c>
      <c r="AE1097">
        <v>1</v>
      </c>
      <c r="AF1097">
        <v>0</v>
      </c>
      <c r="AG1097">
        <v>0</v>
      </c>
      <c r="AH1097">
        <v>0</v>
      </c>
      <c r="AI1097">
        <v>1</v>
      </c>
      <c r="AJ1097">
        <v>0</v>
      </c>
      <c r="AK1097">
        <v>0</v>
      </c>
      <c r="AL1097">
        <v>0</v>
      </c>
      <c r="AM1097">
        <v>0</v>
      </c>
      <c r="AN1097">
        <v>1</v>
      </c>
      <c r="AO1097">
        <v>0</v>
      </c>
      <c r="AP1097">
        <v>0</v>
      </c>
    </row>
    <row r="1098" spans="1:42" x14ac:dyDescent="0.25">
      <c r="A1098">
        <v>1276</v>
      </c>
      <c r="B1098" t="s">
        <v>2019</v>
      </c>
      <c r="C1098" t="s">
        <v>949</v>
      </c>
      <c r="D1098" t="s">
        <v>2020</v>
      </c>
      <c r="E1098" s="4">
        <v>1</v>
      </c>
      <c r="F1098" t="s">
        <v>365</v>
      </c>
      <c r="G1098" t="s">
        <v>365</v>
      </c>
      <c r="H1098" s="3">
        <v>46168</v>
      </c>
      <c r="I1098" s="3">
        <v>46189</v>
      </c>
      <c r="J1098" t="s">
        <v>206</v>
      </c>
      <c r="K1098" s="3">
        <v>46188</v>
      </c>
      <c r="L1098" s="3">
        <v>46168</v>
      </c>
      <c r="M1098" s="3">
        <v>46189</v>
      </c>
      <c r="N1098" s="3">
        <v>46189</v>
      </c>
      <c r="O1098" t="s">
        <v>206</v>
      </c>
      <c r="P1098" t="s">
        <v>55</v>
      </c>
      <c r="T1098" t="s">
        <v>1429</v>
      </c>
      <c r="V1098" t="s">
        <v>330</v>
      </c>
      <c r="X1098" t="s">
        <v>57</v>
      </c>
      <c r="AA1098" t="s">
        <v>50</v>
      </c>
      <c r="AB1098" t="s">
        <v>94</v>
      </c>
      <c r="AE1098">
        <v>1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</row>
    <row r="1099" spans="1:42" x14ac:dyDescent="0.25">
      <c r="A1099">
        <v>1277</v>
      </c>
      <c r="B1099" t="s">
        <v>2021</v>
      </c>
      <c r="C1099" t="s">
        <v>2022</v>
      </c>
      <c r="D1099" t="s">
        <v>117</v>
      </c>
      <c r="E1099" s="4">
        <v>1</v>
      </c>
      <c r="F1099" t="s">
        <v>690</v>
      </c>
      <c r="G1099" t="s">
        <v>690</v>
      </c>
      <c r="H1099" s="3">
        <v>46168</v>
      </c>
      <c r="I1099" s="3">
        <v>46185</v>
      </c>
      <c r="J1099" t="s">
        <v>206</v>
      </c>
      <c r="K1099" s="3">
        <v>46185</v>
      </c>
      <c r="L1099" s="3">
        <v>46168</v>
      </c>
      <c r="M1099" s="3">
        <v>46185</v>
      </c>
      <c r="N1099" s="3">
        <v>46185</v>
      </c>
      <c r="O1099" t="s">
        <v>206</v>
      </c>
      <c r="P1099" t="s">
        <v>55</v>
      </c>
      <c r="Q1099">
        <v>452</v>
      </c>
      <c r="S1099" t="s">
        <v>1444</v>
      </c>
      <c r="T1099" t="s">
        <v>1429</v>
      </c>
      <c r="U1099" t="s">
        <v>2023</v>
      </c>
      <c r="V1099" t="s">
        <v>151</v>
      </c>
      <c r="W1099">
        <v>13.4</v>
      </c>
      <c r="X1099" t="s">
        <v>57</v>
      </c>
      <c r="Z1099" t="s">
        <v>1444</v>
      </c>
      <c r="AA1099" t="s">
        <v>198</v>
      </c>
      <c r="AE1099">
        <v>1</v>
      </c>
      <c r="AF1099">
        <v>1</v>
      </c>
      <c r="AG1099">
        <v>1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1</v>
      </c>
    </row>
    <row r="1100" spans="1:42" x14ac:dyDescent="0.25">
      <c r="A1100">
        <v>1278</v>
      </c>
      <c r="B1100" t="s">
        <v>2024</v>
      </c>
      <c r="C1100" t="s">
        <v>2022</v>
      </c>
      <c r="D1100" t="s">
        <v>121</v>
      </c>
      <c r="E1100" s="4">
        <v>1</v>
      </c>
      <c r="F1100" t="s">
        <v>138</v>
      </c>
      <c r="G1100" t="s">
        <v>138</v>
      </c>
      <c r="H1100" s="3">
        <v>46181</v>
      </c>
      <c r="I1100" s="3">
        <v>46185</v>
      </c>
      <c r="J1100" t="s">
        <v>201</v>
      </c>
      <c r="K1100" s="3">
        <v>46185</v>
      </c>
      <c r="L1100" s="3">
        <v>46181</v>
      </c>
      <c r="M1100" s="3">
        <v>46185</v>
      </c>
      <c r="N1100" s="3">
        <v>46185</v>
      </c>
      <c r="O1100" t="s">
        <v>201</v>
      </c>
      <c r="P1100" t="s">
        <v>55</v>
      </c>
      <c r="Q1100">
        <v>1277</v>
      </c>
      <c r="S1100" t="s">
        <v>124</v>
      </c>
      <c r="T1100" t="s">
        <v>1429</v>
      </c>
      <c r="U1100">
        <v>1279</v>
      </c>
      <c r="V1100" t="s">
        <v>122</v>
      </c>
      <c r="W1100">
        <v>13.4</v>
      </c>
      <c r="X1100" t="s">
        <v>57</v>
      </c>
      <c r="Z1100" t="s">
        <v>124</v>
      </c>
      <c r="AA1100" t="s">
        <v>460</v>
      </c>
      <c r="AE1100">
        <v>1</v>
      </c>
      <c r="AF1100">
        <v>0</v>
      </c>
      <c r="AG1100">
        <v>0</v>
      </c>
      <c r="AH1100">
        <v>0</v>
      </c>
      <c r="AI1100">
        <v>0</v>
      </c>
      <c r="AJ1100">
        <v>1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</row>
    <row r="1101" spans="1:42" x14ac:dyDescent="0.25">
      <c r="A1101">
        <v>1279</v>
      </c>
      <c r="B1101" t="s">
        <v>2025</v>
      </c>
      <c r="C1101" t="s">
        <v>2022</v>
      </c>
      <c r="D1101" t="s">
        <v>126</v>
      </c>
      <c r="E1101" s="4">
        <v>1</v>
      </c>
      <c r="F1101" t="s">
        <v>539</v>
      </c>
      <c r="G1101" t="s">
        <v>539</v>
      </c>
      <c r="H1101" s="3">
        <v>46184</v>
      </c>
      <c r="I1101" s="3">
        <v>46188</v>
      </c>
      <c r="J1101" t="s">
        <v>476</v>
      </c>
      <c r="K1101" s="3">
        <v>46188</v>
      </c>
      <c r="L1101" s="3">
        <v>46184</v>
      </c>
      <c r="M1101" s="3">
        <v>46188</v>
      </c>
      <c r="N1101" s="3">
        <v>46188</v>
      </c>
      <c r="O1101" t="s">
        <v>476</v>
      </c>
      <c r="P1101" t="s">
        <v>55</v>
      </c>
      <c r="Q1101">
        <v>1278</v>
      </c>
      <c r="S1101" t="s">
        <v>1444</v>
      </c>
      <c r="T1101" t="s">
        <v>1429</v>
      </c>
      <c r="U1101">
        <v>1280</v>
      </c>
      <c r="V1101" t="s">
        <v>61</v>
      </c>
      <c r="W1101">
        <v>13.4</v>
      </c>
      <c r="X1101" t="s">
        <v>57</v>
      </c>
      <c r="Z1101" t="s">
        <v>1444</v>
      </c>
      <c r="AA1101" t="s">
        <v>462</v>
      </c>
      <c r="AE1101">
        <v>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1</v>
      </c>
      <c r="AM1101">
        <v>0</v>
      </c>
      <c r="AN1101">
        <v>0</v>
      </c>
      <c r="AO1101">
        <v>0</v>
      </c>
      <c r="AP1101">
        <v>0</v>
      </c>
    </row>
    <row r="1102" spans="1:42" x14ac:dyDescent="0.25">
      <c r="A1102">
        <v>1280</v>
      </c>
      <c r="B1102" t="s">
        <v>2026</v>
      </c>
      <c r="C1102" t="s">
        <v>2022</v>
      </c>
      <c r="D1102" t="s">
        <v>133</v>
      </c>
      <c r="E1102" s="4">
        <v>1</v>
      </c>
      <c r="F1102" t="s">
        <v>127</v>
      </c>
      <c r="G1102" t="s">
        <v>127</v>
      </c>
      <c r="H1102" s="3">
        <v>46185</v>
      </c>
      <c r="I1102" s="3">
        <v>46189</v>
      </c>
      <c r="J1102" t="s">
        <v>571</v>
      </c>
      <c r="K1102" s="3">
        <v>46189</v>
      </c>
      <c r="L1102" s="3">
        <v>46185</v>
      </c>
      <c r="M1102" s="3">
        <v>46189</v>
      </c>
      <c r="N1102" s="3">
        <v>46189</v>
      </c>
      <c r="O1102" t="s">
        <v>571</v>
      </c>
      <c r="P1102" t="s">
        <v>55</v>
      </c>
      <c r="Q1102">
        <v>1279</v>
      </c>
      <c r="S1102" t="s">
        <v>124</v>
      </c>
      <c r="T1102" t="s">
        <v>1429</v>
      </c>
      <c r="U1102">
        <v>1287</v>
      </c>
      <c r="V1102" t="s">
        <v>61</v>
      </c>
      <c r="W1102">
        <v>13.4</v>
      </c>
      <c r="X1102" t="s">
        <v>57</v>
      </c>
      <c r="Z1102" t="s">
        <v>124</v>
      </c>
      <c r="AA1102" t="s">
        <v>462</v>
      </c>
      <c r="AE1102">
        <v>1</v>
      </c>
      <c r="AF1102">
        <v>0</v>
      </c>
      <c r="AG1102">
        <v>0</v>
      </c>
      <c r="AH1102">
        <v>0</v>
      </c>
      <c r="AI1102">
        <v>1</v>
      </c>
      <c r="AJ1102">
        <v>0</v>
      </c>
      <c r="AK1102">
        <v>0</v>
      </c>
      <c r="AL1102">
        <v>0</v>
      </c>
      <c r="AM1102">
        <v>0</v>
      </c>
      <c r="AN1102">
        <v>1</v>
      </c>
      <c r="AO1102">
        <v>0</v>
      </c>
      <c r="AP1102">
        <v>0</v>
      </c>
    </row>
    <row r="1103" spans="1:42" x14ac:dyDescent="0.25">
      <c r="A1103">
        <v>1281</v>
      </c>
      <c r="B1103" t="s">
        <v>2027</v>
      </c>
      <c r="C1103" t="s">
        <v>949</v>
      </c>
      <c r="D1103" t="s">
        <v>2028</v>
      </c>
      <c r="E1103" s="4">
        <v>1</v>
      </c>
      <c r="F1103" t="s">
        <v>138</v>
      </c>
      <c r="G1103" t="s">
        <v>138</v>
      </c>
      <c r="H1103" s="3">
        <v>46185</v>
      </c>
      <c r="I1103" s="3">
        <v>46192</v>
      </c>
      <c r="J1103" t="s">
        <v>592</v>
      </c>
      <c r="K1103" s="3">
        <v>46196</v>
      </c>
      <c r="L1103" s="3">
        <v>46183</v>
      </c>
      <c r="M1103" s="3">
        <v>46192</v>
      </c>
      <c r="N1103" s="3">
        <v>46192</v>
      </c>
      <c r="O1103" t="s">
        <v>571</v>
      </c>
      <c r="P1103" t="s">
        <v>55</v>
      </c>
      <c r="T1103" t="s">
        <v>1429</v>
      </c>
      <c r="V1103" t="s">
        <v>151</v>
      </c>
      <c r="X1103" t="s">
        <v>57</v>
      </c>
      <c r="AA1103" t="s">
        <v>50</v>
      </c>
      <c r="AB1103" t="s">
        <v>94</v>
      </c>
      <c r="AE1103">
        <v>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</row>
    <row r="1104" spans="1:42" x14ac:dyDescent="0.25">
      <c r="A1104">
        <v>1282</v>
      </c>
      <c r="B1104" t="s">
        <v>2029</v>
      </c>
      <c r="C1104" t="s">
        <v>2030</v>
      </c>
      <c r="D1104" t="s">
        <v>117</v>
      </c>
      <c r="E1104" s="4">
        <v>1</v>
      </c>
      <c r="F1104" t="s">
        <v>63</v>
      </c>
      <c r="G1104" t="s">
        <v>63</v>
      </c>
      <c r="H1104" s="3">
        <v>46185</v>
      </c>
      <c r="I1104" s="3">
        <v>46185</v>
      </c>
      <c r="J1104" t="s">
        <v>592</v>
      </c>
      <c r="K1104" s="3">
        <v>46189</v>
      </c>
      <c r="L1104" s="3">
        <v>46183</v>
      </c>
      <c r="M1104" s="3">
        <v>46185</v>
      </c>
      <c r="N1104" s="3">
        <v>46185</v>
      </c>
      <c r="O1104" t="s">
        <v>571</v>
      </c>
      <c r="P1104" t="s">
        <v>55</v>
      </c>
      <c r="Q1104" t="s">
        <v>2031</v>
      </c>
      <c r="S1104" t="s">
        <v>1433</v>
      </c>
      <c r="T1104" t="s">
        <v>1429</v>
      </c>
      <c r="U1104">
        <v>1283</v>
      </c>
      <c r="V1104" t="s">
        <v>138</v>
      </c>
      <c r="W1104">
        <v>13.4</v>
      </c>
      <c r="X1104" t="s">
        <v>57</v>
      </c>
      <c r="Z1104" t="s">
        <v>1433</v>
      </c>
      <c r="AA1104" t="s">
        <v>462</v>
      </c>
      <c r="AE1104">
        <v>1</v>
      </c>
      <c r="AF1104">
        <v>1</v>
      </c>
      <c r="AG1104">
        <v>1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1</v>
      </c>
    </row>
    <row r="1105" spans="1:42" x14ac:dyDescent="0.25">
      <c r="A1105">
        <v>1283</v>
      </c>
      <c r="B1105" t="s">
        <v>2032</v>
      </c>
      <c r="C1105" t="s">
        <v>2030</v>
      </c>
      <c r="D1105" t="s">
        <v>121</v>
      </c>
      <c r="E1105" s="4">
        <v>1</v>
      </c>
      <c r="F1105" t="s">
        <v>122</v>
      </c>
      <c r="G1105" t="s">
        <v>122</v>
      </c>
      <c r="H1105" s="3">
        <v>46188</v>
      </c>
      <c r="I1105" s="3">
        <v>46190</v>
      </c>
      <c r="J1105" t="s">
        <v>75</v>
      </c>
      <c r="K1105" s="3">
        <v>46192</v>
      </c>
      <c r="L1105" s="3">
        <v>46190</v>
      </c>
      <c r="M1105" s="3">
        <v>46190</v>
      </c>
      <c r="N1105" s="3">
        <v>46190</v>
      </c>
      <c r="O1105" t="s">
        <v>595</v>
      </c>
      <c r="P1105" t="s">
        <v>55</v>
      </c>
      <c r="Q1105">
        <v>1282</v>
      </c>
      <c r="S1105" t="s">
        <v>124</v>
      </c>
      <c r="T1105" t="s">
        <v>1429</v>
      </c>
      <c r="U1105">
        <v>1284</v>
      </c>
      <c r="V1105" t="s">
        <v>122</v>
      </c>
      <c r="W1105">
        <v>13.4</v>
      </c>
      <c r="X1105" t="s">
        <v>57</v>
      </c>
      <c r="Z1105" t="s">
        <v>124</v>
      </c>
      <c r="AA1105" t="s">
        <v>217</v>
      </c>
      <c r="AE1105">
        <v>1</v>
      </c>
      <c r="AF1105">
        <v>0</v>
      </c>
      <c r="AG1105">
        <v>0</v>
      </c>
      <c r="AH1105">
        <v>0</v>
      </c>
      <c r="AI1105">
        <v>0</v>
      </c>
      <c r="AJ1105">
        <v>1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</row>
    <row r="1106" spans="1:42" x14ac:dyDescent="0.25">
      <c r="A1106">
        <v>1284</v>
      </c>
      <c r="B1106" t="s">
        <v>2033</v>
      </c>
      <c r="C1106" t="s">
        <v>2030</v>
      </c>
      <c r="D1106" t="s">
        <v>126</v>
      </c>
      <c r="E1106" s="4">
        <v>1</v>
      </c>
      <c r="F1106" t="s">
        <v>61</v>
      </c>
      <c r="G1106" t="s">
        <v>61</v>
      </c>
      <c r="H1106" s="3">
        <v>46191</v>
      </c>
      <c r="I1106" s="3">
        <v>46191</v>
      </c>
      <c r="J1106" t="s">
        <v>219</v>
      </c>
      <c r="K1106" s="3">
        <v>46195</v>
      </c>
      <c r="L1106" s="3">
        <v>46195</v>
      </c>
      <c r="M1106" s="3">
        <v>46191</v>
      </c>
      <c r="N1106" s="3">
        <v>46191</v>
      </c>
      <c r="O1106" t="s">
        <v>480</v>
      </c>
      <c r="P1106" t="s">
        <v>55</v>
      </c>
      <c r="Q1106">
        <v>1283</v>
      </c>
      <c r="S1106" t="s">
        <v>1433</v>
      </c>
      <c r="T1106" t="s">
        <v>1429</v>
      </c>
      <c r="U1106">
        <v>1285</v>
      </c>
      <c r="V1106" t="s">
        <v>61</v>
      </c>
      <c r="W1106">
        <v>13.4</v>
      </c>
      <c r="X1106" t="s">
        <v>57</v>
      </c>
      <c r="Z1106" t="s">
        <v>1433</v>
      </c>
      <c r="AA1106" t="s">
        <v>131</v>
      </c>
      <c r="AE1106">
        <v>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1</v>
      </c>
      <c r="AM1106">
        <v>0</v>
      </c>
      <c r="AN1106">
        <v>0</v>
      </c>
      <c r="AO1106">
        <v>0</v>
      </c>
      <c r="AP1106">
        <v>0</v>
      </c>
    </row>
    <row r="1107" spans="1:42" x14ac:dyDescent="0.25">
      <c r="A1107">
        <v>1285</v>
      </c>
      <c r="B1107" t="s">
        <v>2034</v>
      </c>
      <c r="C1107" t="s">
        <v>2030</v>
      </c>
      <c r="D1107" t="s">
        <v>133</v>
      </c>
      <c r="E1107" s="4">
        <v>1</v>
      </c>
      <c r="F1107" t="s">
        <v>61</v>
      </c>
      <c r="G1107" t="s">
        <v>61</v>
      </c>
      <c r="H1107" s="3">
        <v>46192</v>
      </c>
      <c r="I1107" s="3">
        <v>46192</v>
      </c>
      <c r="J1107" t="s">
        <v>212</v>
      </c>
      <c r="K1107" s="3">
        <v>46196</v>
      </c>
      <c r="L1107" s="3">
        <v>46196</v>
      </c>
      <c r="M1107" s="3">
        <v>46192</v>
      </c>
      <c r="N1107" s="3">
        <v>46192</v>
      </c>
      <c r="O1107" t="s">
        <v>211</v>
      </c>
      <c r="P1107" t="s">
        <v>55</v>
      </c>
      <c r="Q1107">
        <v>1284</v>
      </c>
      <c r="S1107" t="s">
        <v>124</v>
      </c>
      <c r="T1107" t="s">
        <v>1429</v>
      </c>
      <c r="V1107" t="s">
        <v>61</v>
      </c>
      <c r="W1107">
        <v>13.4</v>
      </c>
      <c r="X1107" t="s">
        <v>57</v>
      </c>
      <c r="Z1107" t="s">
        <v>124</v>
      </c>
      <c r="AA1107" t="s">
        <v>131</v>
      </c>
      <c r="AE1107">
        <v>1</v>
      </c>
      <c r="AF1107">
        <v>0</v>
      </c>
      <c r="AG1107">
        <v>0</v>
      </c>
      <c r="AH1107">
        <v>0</v>
      </c>
      <c r="AI1107">
        <v>1</v>
      </c>
      <c r="AJ1107">
        <v>0</v>
      </c>
      <c r="AK1107">
        <v>0</v>
      </c>
      <c r="AL1107">
        <v>0</v>
      </c>
      <c r="AM1107">
        <v>0</v>
      </c>
      <c r="AN1107">
        <v>1</v>
      </c>
      <c r="AO1107">
        <v>0</v>
      </c>
      <c r="AP1107">
        <v>0</v>
      </c>
    </row>
    <row r="1108" spans="1:42" x14ac:dyDescent="0.25">
      <c r="A1108">
        <v>1286</v>
      </c>
      <c r="B1108" t="s">
        <v>2035</v>
      </c>
      <c r="C1108" t="s">
        <v>949</v>
      </c>
      <c r="D1108" t="s">
        <v>2036</v>
      </c>
      <c r="E1108" s="4">
        <v>1</v>
      </c>
      <c r="F1108" t="s">
        <v>214</v>
      </c>
      <c r="G1108" t="s">
        <v>214</v>
      </c>
      <c r="H1108" s="3">
        <v>46190</v>
      </c>
      <c r="I1108" s="3">
        <v>46197</v>
      </c>
      <c r="J1108" t="s">
        <v>592</v>
      </c>
      <c r="K1108" s="3">
        <v>46188</v>
      </c>
      <c r="L1108" s="3">
        <v>46183</v>
      </c>
      <c r="M1108" s="3">
        <v>46197</v>
      </c>
      <c r="N1108" s="3">
        <v>46197</v>
      </c>
      <c r="O1108" t="s">
        <v>75</v>
      </c>
      <c r="P1108" t="s">
        <v>55</v>
      </c>
      <c r="T1108" t="s">
        <v>1429</v>
      </c>
      <c r="V1108" t="s">
        <v>101</v>
      </c>
      <c r="X1108" t="s">
        <v>57</v>
      </c>
      <c r="AA1108" t="s">
        <v>50</v>
      </c>
      <c r="AB1108" t="s">
        <v>94</v>
      </c>
      <c r="AE1108">
        <v>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</row>
    <row r="1109" spans="1:42" x14ac:dyDescent="0.25">
      <c r="A1109">
        <v>1287</v>
      </c>
      <c r="B1109" t="s">
        <v>2037</v>
      </c>
      <c r="C1109" t="s">
        <v>2038</v>
      </c>
      <c r="D1109" t="s">
        <v>117</v>
      </c>
      <c r="E1109" s="4">
        <v>1</v>
      </c>
      <c r="F1109" t="s">
        <v>122</v>
      </c>
      <c r="G1109" t="s">
        <v>122</v>
      </c>
      <c r="H1109" s="3">
        <v>46190</v>
      </c>
      <c r="I1109" s="3">
        <v>46192</v>
      </c>
      <c r="J1109" t="s">
        <v>592</v>
      </c>
      <c r="K1109" s="3">
        <v>46183</v>
      </c>
      <c r="L1109" s="3">
        <v>46183</v>
      </c>
      <c r="M1109" s="3">
        <v>46192</v>
      </c>
      <c r="N1109" s="3">
        <v>46192</v>
      </c>
      <c r="O1109" t="s">
        <v>75</v>
      </c>
      <c r="P1109" t="s">
        <v>55</v>
      </c>
      <c r="Q1109" t="s">
        <v>2039</v>
      </c>
      <c r="S1109" t="s">
        <v>1444</v>
      </c>
      <c r="T1109" t="s">
        <v>1429</v>
      </c>
      <c r="U1109" t="s">
        <v>2040</v>
      </c>
      <c r="V1109" t="s">
        <v>61</v>
      </c>
      <c r="W1109">
        <v>13.4</v>
      </c>
      <c r="X1109" t="s">
        <v>57</v>
      </c>
      <c r="Z1109" t="s">
        <v>1444</v>
      </c>
      <c r="AA1109" t="s">
        <v>462</v>
      </c>
      <c r="AE1109">
        <v>1</v>
      </c>
      <c r="AF1109">
        <v>1</v>
      </c>
      <c r="AG1109">
        <v>1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1</v>
      </c>
    </row>
    <row r="1110" spans="1:42" x14ac:dyDescent="0.25">
      <c r="A1110">
        <v>1288</v>
      </c>
      <c r="B1110" t="s">
        <v>2041</v>
      </c>
      <c r="C1110" t="s">
        <v>2038</v>
      </c>
      <c r="D1110" t="s">
        <v>121</v>
      </c>
      <c r="E1110" s="4">
        <v>1</v>
      </c>
      <c r="F1110" t="s">
        <v>61</v>
      </c>
      <c r="G1110" t="s">
        <v>61</v>
      </c>
      <c r="H1110" s="3">
        <v>46195</v>
      </c>
      <c r="I1110" s="3">
        <v>46195</v>
      </c>
      <c r="J1110" t="s">
        <v>476</v>
      </c>
      <c r="K1110" s="3">
        <v>46184</v>
      </c>
      <c r="L1110" s="3">
        <v>46184</v>
      </c>
      <c r="M1110" s="3">
        <v>46195</v>
      </c>
      <c r="N1110" s="3">
        <v>46195</v>
      </c>
      <c r="O1110" t="s">
        <v>219</v>
      </c>
      <c r="P1110" t="s">
        <v>55</v>
      </c>
      <c r="Q1110">
        <v>1287</v>
      </c>
      <c r="S1110" t="s">
        <v>124</v>
      </c>
      <c r="T1110" t="s">
        <v>1429</v>
      </c>
      <c r="U1110">
        <v>1289</v>
      </c>
      <c r="V1110" t="s">
        <v>61</v>
      </c>
      <c r="W1110">
        <v>13.4</v>
      </c>
      <c r="X1110" t="s">
        <v>57</v>
      </c>
      <c r="Z1110" t="s">
        <v>124</v>
      </c>
      <c r="AA1110" t="s">
        <v>462</v>
      </c>
      <c r="AE1110">
        <v>1</v>
      </c>
      <c r="AF1110">
        <v>0</v>
      </c>
      <c r="AG1110">
        <v>0</v>
      </c>
      <c r="AH1110">
        <v>0</v>
      </c>
      <c r="AI1110">
        <v>0</v>
      </c>
      <c r="AJ1110">
        <v>1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</row>
    <row r="1111" spans="1:42" x14ac:dyDescent="0.25">
      <c r="A1111">
        <v>1289</v>
      </c>
      <c r="B1111" t="s">
        <v>2042</v>
      </c>
      <c r="C1111" t="s">
        <v>2038</v>
      </c>
      <c r="D1111" t="s">
        <v>126</v>
      </c>
      <c r="E1111" s="4">
        <v>1</v>
      </c>
      <c r="F1111" t="s">
        <v>61</v>
      </c>
      <c r="G1111" t="s">
        <v>61</v>
      </c>
      <c r="H1111" s="3">
        <v>46196</v>
      </c>
      <c r="I1111" s="3">
        <v>46196</v>
      </c>
      <c r="J1111" t="s">
        <v>571</v>
      </c>
      <c r="K1111" s="3">
        <v>46185</v>
      </c>
      <c r="L1111" s="3">
        <v>46185</v>
      </c>
      <c r="M1111" s="3">
        <v>46196</v>
      </c>
      <c r="N1111" s="3">
        <v>46196</v>
      </c>
      <c r="O1111" t="s">
        <v>212</v>
      </c>
      <c r="P1111" t="s">
        <v>55</v>
      </c>
      <c r="Q1111">
        <v>1288</v>
      </c>
      <c r="S1111" t="s">
        <v>1444</v>
      </c>
      <c r="T1111" t="s">
        <v>1429</v>
      </c>
      <c r="U1111">
        <v>1290</v>
      </c>
      <c r="V1111" t="s">
        <v>61</v>
      </c>
      <c r="W1111">
        <v>13.4</v>
      </c>
      <c r="X1111" t="s">
        <v>57</v>
      </c>
      <c r="Z1111" t="s">
        <v>1444</v>
      </c>
      <c r="AA1111" t="s">
        <v>462</v>
      </c>
      <c r="AE1111">
        <v>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1</v>
      </c>
      <c r="AM1111">
        <v>0</v>
      </c>
      <c r="AN1111">
        <v>0</v>
      </c>
      <c r="AO1111">
        <v>0</v>
      </c>
      <c r="AP1111">
        <v>0</v>
      </c>
    </row>
    <row r="1112" spans="1:42" x14ac:dyDescent="0.25">
      <c r="A1112">
        <v>1290</v>
      </c>
      <c r="B1112" t="s">
        <v>2043</v>
      </c>
      <c r="C1112" t="s">
        <v>2038</v>
      </c>
      <c r="D1112" t="s">
        <v>133</v>
      </c>
      <c r="E1112" s="4">
        <v>1</v>
      </c>
      <c r="F1112" t="s">
        <v>61</v>
      </c>
      <c r="G1112" t="s">
        <v>61</v>
      </c>
      <c r="H1112" s="3">
        <v>46197</v>
      </c>
      <c r="I1112" s="3">
        <v>46197</v>
      </c>
      <c r="J1112" t="s">
        <v>595</v>
      </c>
      <c r="K1112" s="3">
        <v>46188</v>
      </c>
      <c r="L1112" s="3">
        <v>46188</v>
      </c>
      <c r="M1112" s="3">
        <v>46197</v>
      </c>
      <c r="N1112" s="3">
        <v>46197</v>
      </c>
      <c r="O1112" t="s">
        <v>207</v>
      </c>
      <c r="P1112" t="s">
        <v>55</v>
      </c>
      <c r="Q1112">
        <v>1289</v>
      </c>
      <c r="S1112" t="s">
        <v>124</v>
      </c>
      <c r="T1112" t="s">
        <v>1429</v>
      </c>
      <c r="V1112" t="s">
        <v>61</v>
      </c>
      <c r="W1112">
        <v>13.4</v>
      </c>
      <c r="X1112" t="s">
        <v>57</v>
      </c>
      <c r="Z1112" t="s">
        <v>124</v>
      </c>
      <c r="AA1112" t="s">
        <v>217</v>
      </c>
      <c r="AE1112">
        <v>1</v>
      </c>
      <c r="AF1112">
        <v>0</v>
      </c>
      <c r="AG1112">
        <v>0</v>
      </c>
      <c r="AH1112">
        <v>0</v>
      </c>
      <c r="AI1112">
        <v>1</v>
      </c>
      <c r="AJ1112">
        <v>0</v>
      </c>
      <c r="AK1112">
        <v>0</v>
      </c>
      <c r="AL1112">
        <v>0</v>
      </c>
      <c r="AM1112">
        <v>0</v>
      </c>
      <c r="AN1112">
        <v>1</v>
      </c>
      <c r="AO1112">
        <v>0</v>
      </c>
      <c r="AP1112">
        <v>0</v>
      </c>
    </row>
    <row r="1113" spans="1:42" x14ac:dyDescent="0.25">
      <c r="A1113">
        <v>1291</v>
      </c>
      <c r="B1113" t="s">
        <v>2044</v>
      </c>
      <c r="C1113" t="s">
        <v>949</v>
      </c>
      <c r="D1113" t="s">
        <v>2045</v>
      </c>
      <c r="E1113" s="4">
        <v>1</v>
      </c>
      <c r="F1113" t="s">
        <v>214</v>
      </c>
      <c r="G1113" t="s">
        <v>214</v>
      </c>
      <c r="H1113" s="3">
        <v>46190</v>
      </c>
      <c r="I1113" s="3">
        <v>46197</v>
      </c>
      <c r="J1113" t="s">
        <v>592</v>
      </c>
      <c r="K1113" s="3">
        <v>46188</v>
      </c>
      <c r="L1113" s="3">
        <v>46183</v>
      </c>
      <c r="M1113" s="3">
        <v>46197</v>
      </c>
      <c r="N1113" s="3">
        <v>46197</v>
      </c>
      <c r="O1113" t="s">
        <v>75</v>
      </c>
      <c r="P1113" t="s">
        <v>55</v>
      </c>
      <c r="T1113" t="s">
        <v>1429</v>
      </c>
      <c r="V1113" t="s">
        <v>101</v>
      </c>
      <c r="X1113" t="s">
        <v>57</v>
      </c>
      <c r="AA1113" t="s">
        <v>50</v>
      </c>
      <c r="AB1113" t="s">
        <v>94</v>
      </c>
      <c r="AE1113">
        <v>1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</row>
    <row r="1114" spans="1:42" x14ac:dyDescent="0.25">
      <c r="A1114">
        <v>1292</v>
      </c>
      <c r="B1114" t="s">
        <v>2046</v>
      </c>
      <c r="C1114" t="s">
        <v>2047</v>
      </c>
      <c r="D1114" t="s">
        <v>117</v>
      </c>
      <c r="E1114" s="4">
        <v>1</v>
      </c>
      <c r="F1114" t="s">
        <v>122</v>
      </c>
      <c r="G1114" t="s">
        <v>122</v>
      </c>
      <c r="H1114" s="3">
        <v>46190</v>
      </c>
      <c r="I1114" s="3">
        <v>46192</v>
      </c>
      <c r="J1114" t="s">
        <v>592</v>
      </c>
      <c r="K1114" s="3">
        <v>46183</v>
      </c>
      <c r="L1114" s="3">
        <v>46183</v>
      </c>
      <c r="M1114" s="3">
        <v>46192</v>
      </c>
      <c r="N1114" s="3">
        <v>46192</v>
      </c>
      <c r="O1114" t="s">
        <v>75</v>
      </c>
      <c r="P1114" t="s">
        <v>55</v>
      </c>
      <c r="Q1114" t="s">
        <v>2048</v>
      </c>
      <c r="S1114" t="s">
        <v>1444</v>
      </c>
      <c r="T1114" t="s">
        <v>1429</v>
      </c>
      <c r="U1114">
        <v>1293</v>
      </c>
      <c r="V1114" t="s">
        <v>61</v>
      </c>
      <c r="W1114">
        <v>13.4</v>
      </c>
      <c r="X1114" t="s">
        <v>57</v>
      </c>
      <c r="Z1114" t="s">
        <v>1444</v>
      </c>
      <c r="AA1114" t="s">
        <v>462</v>
      </c>
      <c r="AE1114">
        <v>1</v>
      </c>
      <c r="AF1114">
        <v>1</v>
      </c>
      <c r="AG1114">
        <v>1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1</v>
      </c>
    </row>
    <row r="1115" spans="1:42" x14ac:dyDescent="0.25">
      <c r="A1115">
        <v>1293</v>
      </c>
      <c r="B1115" t="s">
        <v>2049</v>
      </c>
      <c r="C1115" t="s">
        <v>2047</v>
      </c>
      <c r="D1115" t="s">
        <v>121</v>
      </c>
      <c r="E1115" s="4">
        <v>1</v>
      </c>
      <c r="F1115" t="s">
        <v>61</v>
      </c>
      <c r="G1115" t="s">
        <v>61</v>
      </c>
      <c r="H1115" s="3">
        <v>46195</v>
      </c>
      <c r="I1115" s="3">
        <v>46195</v>
      </c>
      <c r="J1115" t="s">
        <v>476</v>
      </c>
      <c r="K1115" s="3">
        <v>46184</v>
      </c>
      <c r="L1115" s="3">
        <v>46184</v>
      </c>
      <c r="M1115" s="3">
        <v>46195</v>
      </c>
      <c r="N1115" s="3">
        <v>46195</v>
      </c>
      <c r="O1115" t="s">
        <v>219</v>
      </c>
      <c r="P1115" t="s">
        <v>55</v>
      </c>
      <c r="Q1115">
        <v>1292</v>
      </c>
      <c r="S1115" t="s">
        <v>124</v>
      </c>
      <c r="T1115" t="s">
        <v>1429</v>
      </c>
      <c r="U1115">
        <v>1294</v>
      </c>
      <c r="V1115" t="s">
        <v>61</v>
      </c>
      <c r="W1115">
        <v>13.4</v>
      </c>
      <c r="X1115" t="s">
        <v>57</v>
      </c>
      <c r="Z1115" t="s">
        <v>124</v>
      </c>
      <c r="AA1115" t="s">
        <v>462</v>
      </c>
      <c r="AE1115">
        <v>1</v>
      </c>
      <c r="AF1115">
        <v>0</v>
      </c>
      <c r="AG1115">
        <v>0</v>
      </c>
      <c r="AH1115">
        <v>0</v>
      </c>
      <c r="AI1115">
        <v>0</v>
      </c>
      <c r="AJ1115">
        <v>1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</row>
    <row r="1116" spans="1:42" x14ac:dyDescent="0.25">
      <c r="A1116">
        <v>1294</v>
      </c>
      <c r="B1116" t="s">
        <v>2050</v>
      </c>
      <c r="C1116" t="s">
        <v>2047</v>
      </c>
      <c r="D1116" t="s">
        <v>126</v>
      </c>
      <c r="E1116" s="4">
        <v>1</v>
      </c>
      <c r="F1116" t="s">
        <v>61</v>
      </c>
      <c r="G1116" t="s">
        <v>61</v>
      </c>
      <c r="H1116" s="3">
        <v>46196</v>
      </c>
      <c r="I1116" s="3">
        <v>46196</v>
      </c>
      <c r="J1116" t="s">
        <v>571</v>
      </c>
      <c r="K1116" s="3">
        <v>46185</v>
      </c>
      <c r="L1116" s="3">
        <v>46185</v>
      </c>
      <c r="M1116" s="3">
        <v>46196</v>
      </c>
      <c r="N1116" s="3">
        <v>46196</v>
      </c>
      <c r="O1116" t="s">
        <v>212</v>
      </c>
      <c r="P1116" t="s">
        <v>55</v>
      </c>
      <c r="Q1116">
        <v>1293</v>
      </c>
      <c r="S1116" t="s">
        <v>1444</v>
      </c>
      <c r="T1116" t="s">
        <v>1429</v>
      </c>
      <c r="U1116">
        <v>1295</v>
      </c>
      <c r="V1116" t="s">
        <v>61</v>
      </c>
      <c r="W1116">
        <v>13.4</v>
      </c>
      <c r="X1116" t="s">
        <v>57</v>
      </c>
      <c r="Z1116" t="s">
        <v>1444</v>
      </c>
      <c r="AA1116" t="s">
        <v>462</v>
      </c>
      <c r="AE1116">
        <v>1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1</v>
      </c>
      <c r="AM1116">
        <v>0</v>
      </c>
      <c r="AN1116">
        <v>0</v>
      </c>
      <c r="AO1116">
        <v>0</v>
      </c>
      <c r="AP1116">
        <v>0</v>
      </c>
    </row>
    <row r="1117" spans="1:42" x14ac:dyDescent="0.25">
      <c r="A1117">
        <v>1295</v>
      </c>
      <c r="B1117" t="s">
        <v>2051</v>
      </c>
      <c r="C1117" t="s">
        <v>2047</v>
      </c>
      <c r="D1117" t="s">
        <v>133</v>
      </c>
      <c r="E1117" s="4">
        <v>1</v>
      </c>
      <c r="F1117" t="s">
        <v>61</v>
      </c>
      <c r="G1117" t="s">
        <v>61</v>
      </c>
      <c r="H1117" s="3">
        <v>46197</v>
      </c>
      <c r="I1117" s="3">
        <v>46197</v>
      </c>
      <c r="J1117" t="s">
        <v>595</v>
      </c>
      <c r="K1117" s="3">
        <v>46188</v>
      </c>
      <c r="L1117" s="3">
        <v>46188</v>
      </c>
      <c r="M1117" s="3">
        <v>46197</v>
      </c>
      <c r="N1117" s="3">
        <v>46197</v>
      </c>
      <c r="O1117" t="s">
        <v>207</v>
      </c>
      <c r="P1117" t="s">
        <v>55</v>
      </c>
      <c r="Q1117">
        <v>1294</v>
      </c>
      <c r="S1117" t="s">
        <v>124</v>
      </c>
      <c r="T1117" t="s">
        <v>1429</v>
      </c>
      <c r="V1117" t="s">
        <v>61</v>
      </c>
      <c r="W1117">
        <v>13.4</v>
      </c>
      <c r="X1117" t="s">
        <v>57</v>
      </c>
      <c r="Z1117" t="s">
        <v>124</v>
      </c>
      <c r="AA1117" t="s">
        <v>217</v>
      </c>
      <c r="AE1117">
        <v>1</v>
      </c>
      <c r="AF1117">
        <v>0</v>
      </c>
      <c r="AG1117">
        <v>0</v>
      </c>
      <c r="AH1117">
        <v>0</v>
      </c>
      <c r="AI1117">
        <v>1</v>
      </c>
      <c r="AJ1117">
        <v>0</v>
      </c>
      <c r="AK1117">
        <v>0</v>
      </c>
      <c r="AL1117">
        <v>0</v>
      </c>
      <c r="AM1117">
        <v>0</v>
      </c>
      <c r="AN1117">
        <v>1</v>
      </c>
      <c r="AO1117">
        <v>0</v>
      </c>
      <c r="AP1117">
        <v>0</v>
      </c>
    </row>
    <row r="1118" spans="1:42" x14ac:dyDescent="0.25">
      <c r="A1118">
        <v>1296</v>
      </c>
      <c r="B1118" t="s">
        <v>2052</v>
      </c>
      <c r="C1118" t="s">
        <v>949</v>
      </c>
      <c r="D1118" t="s">
        <v>2053</v>
      </c>
      <c r="E1118" s="4">
        <v>1</v>
      </c>
      <c r="F1118" t="s">
        <v>214</v>
      </c>
      <c r="G1118" t="s">
        <v>214</v>
      </c>
      <c r="H1118" s="3">
        <v>46190</v>
      </c>
      <c r="I1118" s="3">
        <v>46197</v>
      </c>
      <c r="J1118" t="s">
        <v>75</v>
      </c>
      <c r="K1118" s="3">
        <v>46197</v>
      </c>
      <c r="L1118" s="3">
        <v>46190</v>
      </c>
      <c r="M1118" s="3">
        <v>46197</v>
      </c>
      <c r="N1118" s="3">
        <v>46197</v>
      </c>
      <c r="O1118" t="s">
        <v>75</v>
      </c>
      <c r="P1118" t="s">
        <v>55</v>
      </c>
      <c r="T1118" t="s">
        <v>1429</v>
      </c>
      <c r="V1118" t="s">
        <v>101</v>
      </c>
      <c r="X1118" t="s">
        <v>57</v>
      </c>
      <c r="AA1118" t="s">
        <v>50</v>
      </c>
      <c r="AB1118" t="s">
        <v>94</v>
      </c>
      <c r="AE1118">
        <v>1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</row>
    <row r="1119" spans="1:42" x14ac:dyDescent="0.25">
      <c r="A1119">
        <v>1297</v>
      </c>
      <c r="B1119" t="s">
        <v>2054</v>
      </c>
      <c r="C1119" t="s">
        <v>2055</v>
      </c>
      <c r="D1119" t="s">
        <v>117</v>
      </c>
      <c r="E1119" s="4">
        <v>1</v>
      </c>
      <c r="F1119" t="s">
        <v>122</v>
      </c>
      <c r="G1119" t="s">
        <v>122</v>
      </c>
      <c r="H1119" s="3">
        <v>46190</v>
      </c>
      <c r="I1119" s="3">
        <v>46192</v>
      </c>
      <c r="J1119" t="s">
        <v>75</v>
      </c>
      <c r="K1119" s="3">
        <v>46192</v>
      </c>
      <c r="L1119" s="3">
        <v>46190</v>
      </c>
      <c r="M1119" s="3">
        <v>46192</v>
      </c>
      <c r="N1119" s="3">
        <v>46192</v>
      </c>
      <c r="O1119" t="s">
        <v>75</v>
      </c>
      <c r="P1119" t="s">
        <v>55</v>
      </c>
      <c r="Q1119" t="s">
        <v>2048</v>
      </c>
      <c r="S1119" t="s">
        <v>1444</v>
      </c>
      <c r="T1119" t="s">
        <v>1429</v>
      </c>
      <c r="U1119">
        <v>1298</v>
      </c>
      <c r="V1119" t="s">
        <v>61</v>
      </c>
      <c r="W1119">
        <v>13.4</v>
      </c>
      <c r="X1119" t="s">
        <v>57</v>
      </c>
      <c r="Z1119" t="s">
        <v>1444</v>
      </c>
      <c r="AA1119" t="s">
        <v>462</v>
      </c>
      <c r="AE1119">
        <v>1</v>
      </c>
      <c r="AF1119">
        <v>1</v>
      </c>
      <c r="AG1119">
        <v>1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1</v>
      </c>
    </row>
    <row r="1120" spans="1:42" x14ac:dyDescent="0.25">
      <c r="A1120">
        <v>1298</v>
      </c>
      <c r="B1120" t="s">
        <v>2056</v>
      </c>
      <c r="C1120" t="s">
        <v>2055</v>
      </c>
      <c r="D1120" t="s">
        <v>121</v>
      </c>
      <c r="E1120" s="4">
        <v>1</v>
      </c>
      <c r="F1120" t="s">
        <v>61</v>
      </c>
      <c r="G1120" t="s">
        <v>61</v>
      </c>
      <c r="H1120" s="3">
        <v>46195</v>
      </c>
      <c r="I1120" s="3">
        <v>46195</v>
      </c>
      <c r="J1120" t="s">
        <v>219</v>
      </c>
      <c r="K1120" s="3">
        <v>46195</v>
      </c>
      <c r="L1120" s="3">
        <v>46195</v>
      </c>
      <c r="M1120" s="3">
        <v>46195</v>
      </c>
      <c r="N1120" s="3">
        <v>46195</v>
      </c>
      <c r="O1120" t="s">
        <v>219</v>
      </c>
      <c r="P1120" t="s">
        <v>55</v>
      </c>
      <c r="Q1120">
        <v>1297</v>
      </c>
      <c r="S1120" t="s">
        <v>124</v>
      </c>
      <c r="T1120" t="s">
        <v>1429</v>
      </c>
      <c r="U1120">
        <v>1299</v>
      </c>
      <c r="V1120" t="s">
        <v>61</v>
      </c>
      <c r="W1120">
        <v>13.4</v>
      </c>
      <c r="X1120" t="s">
        <v>57</v>
      </c>
      <c r="Z1120" t="s">
        <v>124</v>
      </c>
      <c r="AA1120" t="s">
        <v>462</v>
      </c>
      <c r="AE1120">
        <v>1</v>
      </c>
      <c r="AF1120">
        <v>0</v>
      </c>
      <c r="AG1120">
        <v>0</v>
      </c>
      <c r="AH1120">
        <v>0</v>
      </c>
      <c r="AI1120">
        <v>0</v>
      </c>
      <c r="AJ1120">
        <v>1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</row>
    <row r="1121" spans="1:42" x14ac:dyDescent="0.25">
      <c r="A1121">
        <v>1299</v>
      </c>
      <c r="B1121" t="s">
        <v>2057</v>
      </c>
      <c r="C1121" t="s">
        <v>2055</v>
      </c>
      <c r="D1121" t="s">
        <v>126</v>
      </c>
      <c r="E1121" s="4">
        <v>1</v>
      </c>
      <c r="F1121" t="s">
        <v>61</v>
      </c>
      <c r="G1121" t="s">
        <v>61</v>
      </c>
      <c r="H1121" s="3">
        <v>46196</v>
      </c>
      <c r="I1121" s="3">
        <v>46196</v>
      </c>
      <c r="J1121" t="s">
        <v>212</v>
      </c>
      <c r="K1121" s="3">
        <v>46196</v>
      </c>
      <c r="L1121" s="3">
        <v>46196</v>
      </c>
      <c r="M1121" s="3">
        <v>46196</v>
      </c>
      <c r="N1121" s="3">
        <v>46196</v>
      </c>
      <c r="O1121" t="s">
        <v>212</v>
      </c>
      <c r="P1121" t="s">
        <v>55</v>
      </c>
      <c r="Q1121">
        <v>1298</v>
      </c>
      <c r="S1121" t="s">
        <v>1444</v>
      </c>
      <c r="T1121" t="s">
        <v>1429</v>
      </c>
      <c r="U1121">
        <v>1300</v>
      </c>
      <c r="V1121" t="s">
        <v>61</v>
      </c>
      <c r="W1121">
        <v>13.4</v>
      </c>
      <c r="X1121" t="s">
        <v>57</v>
      </c>
      <c r="Z1121" t="s">
        <v>1444</v>
      </c>
      <c r="AA1121" t="s">
        <v>462</v>
      </c>
      <c r="AE1121">
        <v>1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1</v>
      </c>
      <c r="AM1121">
        <v>0</v>
      </c>
      <c r="AN1121">
        <v>0</v>
      </c>
      <c r="AO1121">
        <v>0</v>
      </c>
      <c r="AP1121">
        <v>0</v>
      </c>
    </row>
    <row r="1122" spans="1:42" x14ac:dyDescent="0.25">
      <c r="A1122">
        <v>1300</v>
      </c>
      <c r="B1122" t="s">
        <v>2058</v>
      </c>
      <c r="C1122" t="s">
        <v>2055</v>
      </c>
      <c r="D1122" t="s">
        <v>133</v>
      </c>
      <c r="E1122" s="4">
        <v>1</v>
      </c>
      <c r="F1122" t="s">
        <v>61</v>
      </c>
      <c r="G1122" t="s">
        <v>61</v>
      </c>
      <c r="H1122" s="3">
        <v>46197</v>
      </c>
      <c r="I1122" s="3">
        <v>46197</v>
      </c>
      <c r="J1122" t="s">
        <v>207</v>
      </c>
      <c r="K1122" s="3">
        <v>46197</v>
      </c>
      <c r="L1122" s="3">
        <v>46197</v>
      </c>
      <c r="M1122" s="3">
        <v>46197</v>
      </c>
      <c r="N1122" s="3">
        <v>46197</v>
      </c>
      <c r="O1122" t="s">
        <v>207</v>
      </c>
      <c r="P1122" t="s">
        <v>55</v>
      </c>
      <c r="Q1122">
        <v>1299</v>
      </c>
      <c r="S1122" t="s">
        <v>124</v>
      </c>
      <c r="T1122" t="s">
        <v>1429</v>
      </c>
      <c r="V1122" t="s">
        <v>61</v>
      </c>
      <c r="W1122">
        <v>13.4</v>
      </c>
      <c r="X1122" t="s">
        <v>57</v>
      </c>
      <c r="Z1122" t="s">
        <v>124</v>
      </c>
      <c r="AA1122" t="s">
        <v>217</v>
      </c>
      <c r="AE1122">
        <v>1</v>
      </c>
      <c r="AF1122">
        <v>0</v>
      </c>
      <c r="AG1122">
        <v>0</v>
      </c>
      <c r="AH1122">
        <v>0</v>
      </c>
      <c r="AI1122">
        <v>1</v>
      </c>
      <c r="AJ1122">
        <v>0</v>
      </c>
      <c r="AK1122">
        <v>0</v>
      </c>
      <c r="AL1122">
        <v>0</v>
      </c>
      <c r="AM1122">
        <v>0</v>
      </c>
      <c r="AN1122">
        <v>1</v>
      </c>
      <c r="AO1122">
        <v>0</v>
      </c>
      <c r="AP1122">
        <v>0</v>
      </c>
    </row>
    <row r="1123" spans="1:42" x14ac:dyDescent="0.25">
      <c r="A1123">
        <v>1301</v>
      </c>
      <c r="B1123" t="s">
        <v>2059</v>
      </c>
      <c r="C1123" t="s">
        <v>949</v>
      </c>
      <c r="D1123" t="s">
        <v>2060</v>
      </c>
      <c r="E1123" s="4">
        <v>1</v>
      </c>
      <c r="F1123" t="s">
        <v>214</v>
      </c>
      <c r="G1123" t="s">
        <v>214</v>
      </c>
      <c r="H1123" s="3">
        <v>46190</v>
      </c>
      <c r="I1123" s="3">
        <v>46197</v>
      </c>
      <c r="J1123" t="s">
        <v>75</v>
      </c>
      <c r="K1123" s="3">
        <v>46197</v>
      </c>
      <c r="L1123" s="3">
        <v>46190</v>
      </c>
      <c r="M1123" s="3">
        <v>46197</v>
      </c>
      <c r="N1123" s="3">
        <v>46197</v>
      </c>
      <c r="O1123" t="s">
        <v>75</v>
      </c>
      <c r="P1123" t="s">
        <v>55</v>
      </c>
      <c r="T1123" t="s">
        <v>1429</v>
      </c>
      <c r="V1123" t="s">
        <v>101</v>
      </c>
      <c r="X1123" t="s">
        <v>57</v>
      </c>
      <c r="AA1123" t="s">
        <v>50</v>
      </c>
      <c r="AB1123" t="s">
        <v>94</v>
      </c>
      <c r="AE1123">
        <v>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</row>
    <row r="1124" spans="1:42" x14ac:dyDescent="0.25">
      <c r="A1124">
        <v>1302</v>
      </c>
      <c r="B1124" t="s">
        <v>2061</v>
      </c>
      <c r="C1124" t="s">
        <v>2062</v>
      </c>
      <c r="D1124" t="s">
        <v>117</v>
      </c>
      <c r="E1124" s="4">
        <v>1</v>
      </c>
      <c r="F1124" t="s">
        <v>122</v>
      </c>
      <c r="G1124" t="s">
        <v>122</v>
      </c>
      <c r="H1124" s="3">
        <v>46190</v>
      </c>
      <c r="I1124" s="3">
        <v>46192</v>
      </c>
      <c r="J1124" t="s">
        <v>75</v>
      </c>
      <c r="K1124" s="3">
        <v>46192</v>
      </c>
      <c r="L1124" s="3">
        <v>46190</v>
      </c>
      <c r="M1124" s="3">
        <v>46192</v>
      </c>
      <c r="N1124" s="3">
        <v>46192</v>
      </c>
      <c r="O1124" t="s">
        <v>75</v>
      </c>
      <c r="P1124" t="s">
        <v>55</v>
      </c>
      <c r="Q1124" t="s">
        <v>2048</v>
      </c>
      <c r="S1124" t="s">
        <v>1444</v>
      </c>
      <c r="T1124" t="s">
        <v>1429</v>
      </c>
      <c r="U1124">
        <v>1303</v>
      </c>
      <c r="V1124" t="s">
        <v>61</v>
      </c>
      <c r="W1124">
        <v>13.4</v>
      </c>
      <c r="X1124" t="s">
        <v>57</v>
      </c>
      <c r="Z1124" t="s">
        <v>1444</v>
      </c>
      <c r="AA1124" t="s">
        <v>462</v>
      </c>
      <c r="AE1124">
        <v>1</v>
      </c>
      <c r="AF1124">
        <v>1</v>
      </c>
      <c r="AG1124">
        <v>1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1</v>
      </c>
    </row>
    <row r="1125" spans="1:42" x14ac:dyDescent="0.25">
      <c r="A1125">
        <v>1303</v>
      </c>
      <c r="B1125" t="s">
        <v>2063</v>
      </c>
      <c r="C1125" t="s">
        <v>2062</v>
      </c>
      <c r="D1125" t="s">
        <v>121</v>
      </c>
      <c r="E1125" s="4">
        <v>1</v>
      </c>
      <c r="F1125" t="s">
        <v>61</v>
      </c>
      <c r="G1125" t="s">
        <v>61</v>
      </c>
      <c r="H1125" s="3">
        <v>46195</v>
      </c>
      <c r="I1125" s="3">
        <v>46195</v>
      </c>
      <c r="J1125" t="s">
        <v>219</v>
      </c>
      <c r="K1125" s="3">
        <v>46195</v>
      </c>
      <c r="L1125" s="3">
        <v>46195</v>
      </c>
      <c r="M1125" s="3">
        <v>46195</v>
      </c>
      <c r="N1125" s="3">
        <v>46195</v>
      </c>
      <c r="O1125" t="s">
        <v>219</v>
      </c>
      <c r="P1125" t="s">
        <v>55</v>
      </c>
      <c r="Q1125">
        <v>1302</v>
      </c>
      <c r="S1125" t="s">
        <v>124</v>
      </c>
      <c r="T1125" t="s">
        <v>1429</v>
      </c>
      <c r="U1125">
        <v>1304</v>
      </c>
      <c r="V1125" t="s">
        <v>61</v>
      </c>
      <c r="W1125">
        <v>13.4</v>
      </c>
      <c r="X1125" t="s">
        <v>57</v>
      </c>
      <c r="Z1125" t="s">
        <v>124</v>
      </c>
      <c r="AA1125" t="s">
        <v>462</v>
      </c>
      <c r="AE1125">
        <v>1</v>
      </c>
      <c r="AF1125">
        <v>0</v>
      </c>
      <c r="AG1125">
        <v>0</v>
      </c>
      <c r="AH1125">
        <v>0</v>
      </c>
      <c r="AI1125">
        <v>0</v>
      </c>
      <c r="AJ1125">
        <v>1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</row>
    <row r="1126" spans="1:42" x14ac:dyDescent="0.25">
      <c r="A1126">
        <v>1304</v>
      </c>
      <c r="B1126" t="s">
        <v>2064</v>
      </c>
      <c r="C1126" t="s">
        <v>2062</v>
      </c>
      <c r="D1126" t="s">
        <v>126</v>
      </c>
      <c r="E1126" s="4">
        <v>1</v>
      </c>
      <c r="F1126" t="s">
        <v>61</v>
      </c>
      <c r="G1126" t="s">
        <v>61</v>
      </c>
      <c r="H1126" s="3">
        <v>46196</v>
      </c>
      <c r="I1126" s="3">
        <v>46196</v>
      </c>
      <c r="J1126" t="s">
        <v>212</v>
      </c>
      <c r="K1126" s="3">
        <v>46196</v>
      </c>
      <c r="L1126" s="3">
        <v>46196</v>
      </c>
      <c r="M1126" s="3">
        <v>46196</v>
      </c>
      <c r="N1126" s="3">
        <v>46196</v>
      </c>
      <c r="O1126" t="s">
        <v>212</v>
      </c>
      <c r="P1126" t="s">
        <v>55</v>
      </c>
      <c r="Q1126">
        <v>1303</v>
      </c>
      <c r="S1126" t="s">
        <v>1444</v>
      </c>
      <c r="T1126" t="s">
        <v>1429</v>
      </c>
      <c r="U1126">
        <v>1305</v>
      </c>
      <c r="V1126" t="s">
        <v>61</v>
      </c>
      <c r="W1126">
        <v>13.4</v>
      </c>
      <c r="X1126" t="s">
        <v>57</v>
      </c>
      <c r="Z1126" t="s">
        <v>1444</v>
      </c>
      <c r="AA1126" t="s">
        <v>462</v>
      </c>
      <c r="AE1126">
        <v>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1</v>
      </c>
      <c r="AM1126">
        <v>0</v>
      </c>
      <c r="AN1126">
        <v>0</v>
      </c>
      <c r="AO1126">
        <v>0</v>
      </c>
      <c r="AP1126">
        <v>0</v>
      </c>
    </row>
    <row r="1127" spans="1:42" x14ac:dyDescent="0.25">
      <c r="A1127">
        <v>1305</v>
      </c>
      <c r="B1127" t="s">
        <v>2065</v>
      </c>
      <c r="C1127" t="s">
        <v>2062</v>
      </c>
      <c r="D1127" t="s">
        <v>133</v>
      </c>
      <c r="E1127" s="4">
        <v>1</v>
      </c>
      <c r="F1127" t="s">
        <v>61</v>
      </c>
      <c r="G1127" t="s">
        <v>61</v>
      </c>
      <c r="H1127" s="3">
        <v>46197</v>
      </c>
      <c r="I1127" s="3">
        <v>46197</v>
      </c>
      <c r="J1127" t="s">
        <v>207</v>
      </c>
      <c r="K1127" s="3">
        <v>46197</v>
      </c>
      <c r="L1127" s="3">
        <v>46197</v>
      </c>
      <c r="M1127" s="3">
        <v>46197</v>
      </c>
      <c r="N1127" s="3">
        <v>46197</v>
      </c>
      <c r="O1127" t="s">
        <v>207</v>
      </c>
      <c r="P1127" t="s">
        <v>55</v>
      </c>
      <c r="Q1127">
        <v>1304</v>
      </c>
      <c r="S1127" t="s">
        <v>124</v>
      </c>
      <c r="T1127" t="s">
        <v>1429</v>
      </c>
      <c r="V1127" t="s">
        <v>61</v>
      </c>
      <c r="W1127">
        <v>13.4</v>
      </c>
      <c r="X1127" t="s">
        <v>57</v>
      </c>
      <c r="Z1127" t="s">
        <v>124</v>
      </c>
      <c r="AA1127" t="s">
        <v>217</v>
      </c>
      <c r="AE1127">
        <v>1</v>
      </c>
      <c r="AF1127">
        <v>0</v>
      </c>
      <c r="AG1127">
        <v>0</v>
      </c>
      <c r="AH1127">
        <v>0</v>
      </c>
      <c r="AI1127">
        <v>1</v>
      </c>
      <c r="AJ1127">
        <v>0</v>
      </c>
      <c r="AK1127">
        <v>0</v>
      </c>
      <c r="AL1127">
        <v>0</v>
      </c>
      <c r="AM1127">
        <v>0</v>
      </c>
      <c r="AN1127">
        <v>1</v>
      </c>
      <c r="AO1127">
        <v>0</v>
      </c>
      <c r="AP1127">
        <v>0</v>
      </c>
    </row>
    <row r="1128" spans="1:42" x14ac:dyDescent="0.25">
      <c r="A1128">
        <v>1322</v>
      </c>
      <c r="B1128" t="s">
        <v>2066</v>
      </c>
      <c r="C1128" t="s">
        <v>1429</v>
      </c>
      <c r="D1128" t="s">
        <v>2067</v>
      </c>
      <c r="E1128" s="4">
        <v>1</v>
      </c>
      <c r="F1128" t="s">
        <v>210</v>
      </c>
      <c r="G1128" t="s">
        <v>210</v>
      </c>
      <c r="H1128" s="3">
        <v>46188</v>
      </c>
      <c r="I1128" s="3">
        <v>46197</v>
      </c>
      <c r="J1128" t="s">
        <v>448</v>
      </c>
      <c r="K1128" s="3">
        <v>46192</v>
      </c>
      <c r="L1128" s="3">
        <v>46170</v>
      </c>
      <c r="M1128" s="3">
        <v>46197</v>
      </c>
      <c r="N1128" s="3">
        <v>46197</v>
      </c>
      <c r="O1128" t="s">
        <v>595</v>
      </c>
      <c r="P1128" t="s">
        <v>55</v>
      </c>
      <c r="T1128" t="s">
        <v>1429</v>
      </c>
      <c r="V1128" t="s">
        <v>330</v>
      </c>
      <c r="X1128" t="s">
        <v>57</v>
      </c>
      <c r="AA1128" t="s">
        <v>50</v>
      </c>
      <c r="AB1128" t="s">
        <v>94</v>
      </c>
      <c r="AE1128">
        <v>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</row>
    <row r="1129" spans="1:42" x14ac:dyDescent="0.25">
      <c r="A1129">
        <v>1323</v>
      </c>
      <c r="B1129" t="s">
        <v>2068</v>
      </c>
      <c r="C1129" t="s">
        <v>2069</v>
      </c>
      <c r="D1129" t="s">
        <v>2070</v>
      </c>
      <c r="E1129" s="4">
        <v>1</v>
      </c>
      <c r="F1129" t="s">
        <v>138</v>
      </c>
      <c r="G1129" t="s">
        <v>138</v>
      </c>
      <c r="H1129" s="3">
        <v>46188</v>
      </c>
      <c r="I1129" s="3">
        <v>46192</v>
      </c>
      <c r="J1129" t="s">
        <v>595</v>
      </c>
      <c r="K1129" s="3">
        <v>46192</v>
      </c>
      <c r="L1129" s="3">
        <v>46188</v>
      </c>
      <c r="M1129" s="3">
        <v>46192</v>
      </c>
      <c r="N1129" s="3">
        <v>46192</v>
      </c>
      <c r="O1129" t="s">
        <v>595</v>
      </c>
      <c r="P1129" t="s">
        <v>55</v>
      </c>
      <c r="T1129" t="s">
        <v>1429</v>
      </c>
      <c r="V1129" t="s">
        <v>330</v>
      </c>
      <c r="X1129" t="s">
        <v>57</v>
      </c>
      <c r="AA1129" t="s">
        <v>50</v>
      </c>
      <c r="AB1129" t="s">
        <v>94</v>
      </c>
      <c r="AE1129">
        <v>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</row>
    <row r="1130" spans="1:42" x14ac:dyDescent="0.25">
      <c r="A1130">
        <v>1324</v>
      </c>
      <c r="B1130" t="s">
        <v>2071</v>
      </c>
      <c r="C1130" t="s">
        <v>2072</v>
      </c>
      <c r="D1130" t="s">
        <v>117</v>
      </c>
      <c r="E1130" s="4">
        <v>1</v>
      </c>
      <c r="F1130" t="s">
        <v>127</v>
      </c>
      <c r="G1130" t="s">
        <v>127</v>
      </c>
      <c r="H1130" s="3">
        <v>46188</v>
      </c>
      <c r="I1130" s="3">
        <v>46189</v>
      </c>
      <c r="J1130" t="s">
        <v>595</v>
      </c>
      <c r="K1130" s="3">
        <v>46189</v>
      </c>
      <c r="L1130" s="3">
        <v>46188</v>
      </c>
      <c r="M1130" s="3">
        <v>46189</v>
      </c>
      <c r="N1130" s="3">
        <v>46189</v>
      </c>
      <c r="O1130" t="s">
        <v>595</v>
      </c>
      <c r="P1130" t="s">
        <v>55</v>
      </c>
      <c r="S1130" t="s">
        <v>1444</v>
      </c>
      <c r="T1130" t="s">
        <v>1429</v>
      </c>
      <c r="U1130">
        <v>1325</v>
      </c>
      <c r="V1130" t="s">
        <v>151</v>
      </c>
      <c r="W1130">
        <v>13.4</v>
      </c>
      <c r="X1130" t="s">
        <v>57</v>
      </c>
      <c r="Z1130" t="s">
        <v>1444</v>
      </c>
      <c r="AA1130" t="s">
        <v>77</v>
      </c>
      <c r="AE1130">
        <v>1</v>
      </c>
      <c r="AF1130">
        <v>1</v>
      </c>
      <c r="AG1130">
        <v>1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1</v>
      </c>
    </row>
    <row r="1131" spans="1:42" x14ac:dyDescent="0.25">
      <c r="A1131">
        <v>1325</v>
      </c>
      <c r="B1131" t="s">
        <v>2073</v>
      </c>
      <c r="C1131" t="s">
        <v>2072</v>
      </c>
      <c r="D1131" t="s">
        <v>121</v>
      </c>
      <c r="E1131" s="4">
        <v>1</v>
      </c>
      <c r="F1131" t="s">
        <v>61</v>
      </c>
      <c r="G1131" t="s">
        <v>61</v>
      </c>
      <c r="H1131" s="3">
        <v>46190</v>
      </c>
      <c r="I1131" s="3">
        <v>46190</v>
      </c>
      <c r="J1131" t="s">
        <v>75</v>
      </c>
      <c r="K1131" s="3">
        <v>46190</v>
      </c>
      <c r="L1131" s="3">
        <v>46190</v>
      </c>
      <c r="M1131" s="3">
        <v>46190</v>
      </c>
      <c r="N1131" s="3">
        <v>46190</v>
      </c>
      <c r="O1131" t="s">
        <v>75</v>
      </c>
      <c r="P1131" t="s">
        <v>55</v>
      </c>
      <c r="Q1131">
        <v>1324</v>
      </c>
      <c r="S1131" t="s">
        <v>124</v>
      </c>
      <c r="T1131" t="s">
        <v>1429</v>
      </c>
      <c r="U1131">
        <v>1326</v>
      </c>
      <c r="V1131" t="s">
        <v>122</v>
      </c>
      <c r="W1131">
        <v>13.4</v>
      </c>
      <c r="X1131" t="s">
        <v>57</v>
      </c>
      <c r="Z1131" t="s">
        <v>124</v>
      </c>
      <c r="AA1131" t="s">
        <v>217</v>
      </c>
      <c r="AE1131">
        <v>1</v>
      </c>
      <c r="AF1131">
        <v>0</v>
      </c>
      <c r="AG1131">
        <v>0</v>
      </c>
      <c r="AH1131">
        <v>0</v>
      </c>
      <c r="AI1131">
        <v>0</v>
      </c>
      <c r="AJ1131">
        <v>1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</row>
    <row r="1132" spans="1:42" x14ac:dyDescent="0.25">
      <c r="A1132">
        <v>1326</v>
      </c>
      <c r="B1132" t="s">
        <v>2074</v>
      </c>
      <c r="C1132" t="s">
        <v>2072</v>
      </c>
      <c r="D1132" t="s">
        <v>126</v>
      </c>
      <c r="E1132" s="4">
        <v>1</v>
      </c>
      <c r="F1132" t="s">
        <v>61</v>
      </c>
      <c r="G1132" t="s">
        <v>61</v>
      </c>
      <c r="H1132" s="3">
        <v>46191</v>
      </c>
      <c r="I1132" s="3">
        <v>46191</v>
      </c>
      <c r="J1132" t="s">
        <v>480</v>
      </c>
      <c r="K1132" s="3">
        <v>46191</v>
      </c>
      <c r="L1132" s="3">
        <v>46191</v>
      </c>
      <c r="M1132" s="3">
        <v>46191</v>
      </c>
      <c r="N1132" s="3">
        <v>46191</v>
      </c>
      <c r="O1132" t="s">
        <v>480</v>
      </c>
      <c r="P1132" t="s">
        <v>55</v>
      </c>
      <c r="Q1132">
        <v>1325</v>
      </c>
      <c r="S1132" t="s">
        <v>1444</v>
      </c>
      <c r="T1132" t="s">
        <v>1429</v>
      </c>
      <c r="U1132">
        <v>1327</v>
      </c>
      <c r="V1132" t="s">
        <v>61</v>
      </c>
      <c r="W1132">
        <v>13.4</v>
      </c>
      <c r="X1132" t="s">
        <v>57</v>
      </c>
      <c r="Z1132" t="s">
        <v>1444</v>
      </c>
      <c r="AA1132" t="s">
        <v>217</v>
      </c>
      <c r="AE1132">
        <v>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1</v>
      </c>
      <c r="AM1132">
        <v>0</v>
      </c>
      <c r="AN1132">
        <v>0</v>
      </c>
      <c r="AO1132">
        <v>0</v>
      </c>
      <c r="AP1132">
        <v>0</v>
      </c>
    </row>
    <row r="1133" spans="1:42" x14ac:dyDescent="0.25">
      <c r="A1133">
        <v>1327</v>
      </c>
      <c r="B1133" t="s">
        <v>2075</v>
      </c>
      <c r="C1133" t="s">
        <v>2072</v>
      </c>
      <c r="D1133" t="s">
        <v>133</v>
      </c>
      <c r="E1133" s="4">
        <v>1</v>
      </c>
      <c r="F1133" t="s">
        <v>61</v>
      </c>
      <c r="G1133" t="s">
        <v>61</v>
      </c>
      <c r="H1133" s="3">
        <v>46192</v>
      </c>
      <c r="I1133" s="3">
        <v>46192</v>
      </c>
      <c r="J1133" t="s">
        <v>211</v>
      </c>
      <c r="K1133" s="3">
        <v>46192</v>
      </c>
      <c r="L1133" s="3">
        <v>46192</v>
      </c>
      <c r="M1133" s="3">
        <v>46192</v>
      </c>
      <c r="N1133" s="3">
        <v>46192</v>
      </c>
      <c r="O1133" t="s">
        <v>211</v>
      </c>
      <c r="P1133" t="s">
        <v>55</v>
      </c>
      <c r="Q1133">
        <v>1326</v>
      </c>
      <c r="S1133" t="s">
        <v>124</v>
      </c>
      <c r="T1133" t="s">
        <v>1429</v>
      </c>
      <c r="V1133" t="s">
        <v>61</v>
      </c>
      <c r="W1133">
        <v>13.4</v>
      </c>
      <c r="X1133" t="s">
        <v>57</v>
      </c>
      <c r="Z1133" t="s">
        <v>124</v>
      </c>
      <c r="AA1133" t="s">
        <v>217</v>
      </c>
      <c r="AE1133">
        <v>1</v>
      </c>
      <c r="AF1133">
        <v>0</v>
      </c>
      <c r="AG1133">
        <v>0</v>
      </c>
      <c r="AH1133">
        <v>0</v>
      </c>
      <c r="AI1133">
        <v>1</v>
      </c>
      <c r="AJ1133">
        <v>0</v>
      </c>
      <c r="AK1133">
        <v>0</v>
      </c>
      <c r="AL1133">
        <v>0</v>
      </c>
      <c r="AM1133">
        <v>0</v>
      </c>
      <c r="AN1133">
        <v>1</v>
      </c>
      <c r="AO1133">
        <v>0</v>
      </c>
      <c r="AP1133">
        <v>0</v>
      </c>
    </row>
    <row r="1134" spans="1:42" x14ac:dyDescent="0.25">
      <c r="A1134">
        <v>1328</v>
      </c>
      <c r="B1134" t="s">
        <v>2076</v>
      </c>
      <c r="C1134" t="s">
        <v>2069</v>
      </c>
      <c r="D1134" t="s">
        <v>2077</v>
      </c>
      <c r="E1134" s="4">
        <v>1</v>
      </c>
      <c r="F1134" t="s">
        <v>210</v>
      </c>
      <c r="G1134" t="s">
        <v>210</v>
      </c>
      <c r="H1134" s="3">
        <v>46188</v>
      </c>
      <c r="I1134" s="3">
        <v>46197</v>
      </c>
      <c r="J1134" t="s">
        <v>595</v>
      </c>
      <c r="K1134" s="3">
        <v>46197</v>
      </c>
      <c r="L1134" s="3">
        <v>46188</v>
      </c>
      <c r="M1134" s="3">
        <v>46197</v>
      </c>
      <c r="N1134" s="3">
        <v>46197</v>
      </c>
      <c r="O1134" t="s">
        <v>595</v>
      </c>
      <c r="P1134" t="s">
        <v>55</v>
      </c>
      <c r="T1134" t="s">
        <v>1429</v>
      </c>
      <c r="V1134" t="s">
        <v>330</v>
      </c>
      <c r="X1134" t="s">
        <v>57</v>
      </c>
      <c r="AA1134" t="s">
        <v>50</v>
      </c>
      <c r="AB1134" t="s">
        <v>94</v>
      </c>
      <c r="AE1134">
        <v>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</row>
    <row r="1135" spans="1:42" x14ac:dyDescent="0.25">
      <c r="A1135">
        <v>1329</v>
      </c>
      <c r="B1135" t="s">
        <v>2078</v>
      </c>
      <c r="C1135" t="s">
        <v>2079</v>
      </c>
      <c r="D1135" t="s">
        <v>117</v>
      </c>
      <c r="E1135" s="4">
        <v>1</v>
      </c>
      <c r="F1135" t="s">
        <v>138</v>
      </c>
      <c r="G1135" t="s">
        <v>138</v>
      </c>
      <c r="H1135" s="3">
        <v>46188</v>
      </c>
      <c r="I1135" s="3">
        <v>46192</v>
      </c>
      <c r="J1135" t="s">
        <v>595</v>
      </c>
      <c r="K1135" s="3">
        <v>46192</v>
      </c>
      <c r="L1135" s="3">
        <v>46188</v>
      </c>
      <c r="M1135" s="3">
        <v>46192</v>
      </c>
      <c r="N1135" s="3">
        <v>46192</v>
      </c>
      <c r="O1135" t="s">
        <v>595</v>
      </c>
      <c r="P1135" t="s">
        <v>55</v>
      </c>
      <c r="S1135" t="s">
        <v>1444</v>
      </c>
      <c r="T1135" t="s">
        <v>1429</v>
      </c>
      <c r="U1135">
        <v>1330</v>
      </c>
      <c r="V1135" t="s">
        <v>151</v>
      </c>
      <c r="W1135">
        <v>13.4</v>
      </c>
      <c r="X1135" t="s">
        <v>57</v>
      </c>
      <c r="Z1135" t="s">
        <v>1444</v>
      </c>
      <c r="AA1135" t="s">
        <v>77</v>
      </c>
      <c r="AE1135">
        <v>1</v>
      </c>
      <c r="AF1135">
        <v>1</v>
      </c>
      <c r="AG1135">
        <v>1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1</v>
      </c>
    </row>
    <row r="1136" spans="1:42" x14ac:dyDescent="0.25">
      <c r="A1136">
        <v>1330</v>
      </c>
      <c r="B1136" t="s">
        <v>2080</v>
      </c>
      <c r="C1136" t="s">
        <v>2079</v>
      </c>
      <c r="D1136" t="s">
        <v>121</v>
      </c>
      <c r="E1136" s="4">
        <v>1</v>
      </c>
      <c r="F1136" t="s">
        <v>61</v>
      </c>
      <c r="G1136" t="s">
        <v>61</v>
      </c>
      <c r="H1136" s="3">
        <v>46195</v>
      </c>
      <c r="I1136" s="3">
        <v>46195</v>
      </c>
      <c r="J1136" t="s">
        <v>219</v>
      </c>
      <c r="K1136" s="3">
        <v>46195</v>
      </c>
      <c r="L1136" s="3">
        <v>46195</v>
      </c>
      <c r="M1136" s="3">
        <v>46195</v>
      </c>
      <c r="N1136" s="3">
        <v>46195</v>
      </c>
      <c r="O1136" t="s">
        <v>219</v>
      </c>
      <c r="P1136" t="s">
        <v>55</v>
      </c>
      <c r="Q1136">
        <v>1329</v>
      </c>
      <c r="S1136" t="s">
        <v>124</v>
      </c>
      <c r="T1136" t="s">
        <v>1429</v>
      </c>
      <c r="U1136">
        <v>1331</v>
      </c>
      <c r="V1136" t="s">
        <v>122</v>
      </c>
      <c r="W1136">
        <v>13.4</v>
      </c>
      <c r="X1136" t="s">
        <v>57</v>
      </c>
      <c r="Z1136" t="s">
        <v>124</v>
      </c>
      <c r="AA1136" t="s">
        <v>217</v>
      </c>
      <c r="AE1136">
        <v>1</v>
      </c>
      <c r="AF1136">
        <v>0</v>
      </c>
      <c r="AG1136">
        <v>0</v>
      </c>
      <c r="AH1136">
        <v>0</v>
      </c>
      <c r="AI1136">
        <v>0</v>
      </c>
      <c r="AJ1136">
        <v>1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</row>
    <row r="1137" spans="1:42" x14ac:dyDescent="0.25">
      <c r="A1137">
        <v>1331</v>
      </c>
      <c r="B1137" t="s">
        <v>2081</v>
      </c>
      <c r="C1137" t="s">
        <v>2079</v>
      </c>
      <c r="D1137" t="s">
        <v>126</v>
      </c>
      <c r="E1137" s="4">
        <v>1</v>
      </c>
      <c r="F1137" t="s">
        <v>61</v>
      </c>
      <c r="G1137" t="s">
        <v>61</v>
      </c>
      <c r="H1137" s="3">
        <v>46196</v>
      </c>
      <c r="I1137" s="3">
        <v>46196</v>
      </c>
      <c r="J1137" t="s">
        <v>212</v>
      </c>
      <c r="K1137" s="3">
        <v>46196</v>
      </c>
      <c r="L1137" s="3">
        <v>46196</v>
      </c>
      <c r="M1137" s="3">
        <v>46196</v>
      </c>
      <c r="N1137" s="3">
        <v>46196</v>
      </c>
      <c r="O1137" t="s">
        <v>212</v>
      </c>
      <c r="P1137" t="s">
        <v>55</v>
      </c>
      <c r="Q1137">
        <v>1330</v>
      </c>
      <c r="S1137" t="s">
        <v>1444</v>
      </c>
      <c r="T1137" t="s">
        <v>1429</v>
      </c>
      <c r="U1137">
        <v>1332</v>
      </c>
      <c r="V1137" t="s">
        <v>61</v>
      </c>
      <c r="W1137">
        <v>13.4</v>
      </c>
      <c r="X1137" t="s">
        <v>57</v>
      </c>
      <c r="Z1137" t="s">
        <v>1444</v>
      </c>
      <c r="AA1137" t="s">
        <v>217</v>
      </c>
      <c r="AE1137">
        <v>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1</v>
      </c>
      <c r="AM1137">
        <v>0</v>
      </c>
      <c r="AN1137">
        <v>0</v>
      </c>
      <c r="AO1137">
        <v>0</v>
      </c>
      <c r="AP1137">
        <v>0</v>
      </c>
    </row>
    <row r="1138" spans="1:42" x14ac:dyDescent="0.25">
      <c r="A1138">
        <v>1332</v>
      </c>
      <c r="B1138" t="s">
        <v>2082</v>
      </c>
      <c r="C1138" t="s">
        <v>2079</v>
      </c>
      <c r="D1138" t="s">
        <v>133</v>
      </c>
      <c r="E1138" s="4">
        <v>1</v>
      </c>
      <c r="F1138" t="s">
        <v>61</v>
      </c>
      <c r="G1138" t="s">
        <v>61</v>
      </c>
      <c r="H1138" s="3">
        <v>46197</v>
      </c>
      <c r="I1138" s="3">
        <v>46197</v>
      </c>
      <c r="J1138" t="s">
        <v>207</v>
      </c>
      <c r="K1138" s="3">
        <v>46197</v>
      </c>
      <c r="L1138" s="3">
        <v>46197</v>
      </c>
      <c r="M1138" s="3">
        <v>46197</v>
      </c>
      <c r="N1138" s="3">
        <v>46197</v>
      </c>
      <c r="O1138" t="s">
        <v>207</v>
      </c>
      <c r="P1138" t="s">
        <v>55</v>
      </c>
      <c r="Q1138">
        <v>1331</v>
      </c>
      <c r="S1138" t="s">
        <v>124</v>
      </c>
      <c r="T1138" t="s">
        <v>1429</v>
      </c>
      <c r="V1138" t="s">
        <v>61</v>
      </c>
      <c r="W1138">
        <v>13.4</v>
      </c>
      <c r="X1138" t="s">
        <v>57</v>
      </c>
      <c r="Z1138" t="s">
        <v>124</v>
      </c>
      <c r="AA1138" t="s">
        <v>217</v>
      </c>
      <c r="AE1138">
        <v>1</v>
      </c>
      <c r="AF1138">
        <v>0</v>
      </c>
      <c r="AG1138">
        <v>0</v>
      </c>
      <c r="AH1138">
        <v>0</v>
      </c>
      <c r="AI1138">
        <v>1</v>
      </c>
      <c r="AJ1138">
        <v>0</v>
      </c>
      <c r="AK1138">
        <v>0</v>
      </c>
      <c r="AL1138">
        <v>0</v>
      </c>
      <c r="AM1138">
        <v>0</v>
      </c>
      <c r="AN1138">
        <v>1</v>
      </c>
      <c r="AO1138">
        <v>0</v>
      </c>
      <c r="AP1138">
        <v>0</v>
      </c>
    </row>
    <row r="1139" spans="1:42" x14ac:dyDescent="0.25">
      <c r="A1139">
        <v>1333</v>
      </c>
      <c r="B1139" t="s">
        <v>2083</v>
      </c>
      <c r="C1139" t="s">
        <v>2069</v>
      </c>
      <c r="D1139" t="s">
        <v>2084</v>
      </c>
      <c r="E1139" s="4">
        <v>1</v>
      </c>
      <c r="F1139" t="s">
        <v>214</v>
      </c>
      <c r="G1139" t="s">
        <v>214</v>
      </c>
      <c r="H1139" s="3">
        <v>46190</v>
      </c>
      <c r="I1139" s="3">
        <v>46197</v>
      </c>
      <c r="J1139" t="s">
        <v>75</v>
      </c>
      <c r="K1139" s="3">
        <v>46197</v>
      </c>
      <c r="L1139" s="3">
        <v>46190</v>
      </c>
      <c r="M1139" s="3">
        <v>46197</v>
      </c>
      <c r="N1139" s="3">
        <v>46197</v>
      </c>
      <c r="O1139" t="s">
        <v>75</v>
      </c>
      <c r="P1139" t="s">
        <v>55</v>
      </c>
      <c r="T1139" t="s">
        <v>1429</v>
      </c>
      <c r="V1139" t="s">
        <v>101</v>
      </c>
      <c r="X1139" t="s">
        <v>57</v>
      </c>
      <c r="AA1139" t="s">
        <v>50</v>
      </c>
      <c r="AB1139" t="s">
        <v>94</v>
      </c>
      <c r="AE1139">
        <v>1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</row>
    <row r="1140" spans="1:42" x14ac:dyDescent="0.25">
      <c r="A1140">
        <v>1334</v>
      </c>
      <c r="B1140" t="s">
        <v>2085</v>
      </c>
      <c r="C1140" t="s">
        <v>2086</v>
      </c>
      <c r="D1140" t="s">
        <v>117</v>
      </c>
      <c r="E1140" s="4">
        <v>1</v>
      </c>
      <c r="F1140" t="s">
        <v>122</v>
      </c>
      <c r="G1140" t="s">
        <v>122</v>
      </c>
      <c r="H1140" s="3">
        <v>46190</v>
      </c>
      <c r="I1140" s="3">
        <v>46192</v>
      </c>
      <c r="J1140" t="s">
        <v>75</v>
      </c>
      <c r="K1140" s="3">
        <v>46192</v>
      </c>
      <c r="L1140" s="3">
        <v>46190</v>
      </c>
      <c r="M1140" s="3">
        <v>46192</v>
      </c>
      <c r="N1140" s="3">
        <v>46192</v>
      </c>
      <c r="O1140" t="s">
        <v>75</v>
      </c>
      <c r="P1140" t="s">
        <v>55</v>
      </c>
      <c r="Q1140" t="s">
        <v>2048</v>
      </c>
      <c r="S1140" t="s">
        <v>1444</v>
      </c>
      <c r="T1140" t="s">
        <v>1429</v>
      </c>
      <c r="U1140">
        <v>1335</v>
      </c>
      <c r="V1140" t="s">
        <v>61</v>
      </c>
      <c r="W1140">
        <v>13.4</v>
      </c>
      <c r="X1140" t="s">
        <v>57</v>
      </c>
      <c r="Z1140" t="s">
        <v>1444</v>
      </c>
      <c r="AA1140" t="s">
        <v>462</v>
      </c>
      <c r="AE1140">
        <v>1</v>
      </c>
      <c r="AF1140">
        <v>1</v>
      </c>
      <c r="AG1140">
        <v>1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1</v>
      </c>
    </row>
    <row r="1141" spans="1:42" x14ac:dyDescent="0.25">
      <c r="A1141">
        <v>1335</v>
      </c>
      <c r="B1141" t="s">
        <v>2087</v>
      </c>
      <c r="C1141" t="s">
        <v>2086</v>
      </c>
      <c r="D1141" t="s">
        <v>121</v>
      </c>
      <c r="E1141" s="4">
        <v>1</v>
      </c>
      <c r="F1141" t="s">
        <v>61</v>
      </c>
      <c r="G1141" t="s">
        <v>61</v>
      </c>
      <c r="H1141" s="3">
        <v>46195</v>
      </c>
      <c r="I1141" s="3">
        <v>46195</v>
      </c>
      <c r="J1141" t="s">
        <v>219</v>
      </c>
      <c r="K1141" s="3">
        <v>46195</v>
      </c>
      <c r="L1141" s="3">
        <v>46195</v>
      </c>
      <c r="M1141" s="3">
        <v>46195</v>
      </c>
      <c r="N1141" s="3">
        <v>46195</v>
      </c>
      <c r="O1141" t="s">
        <v>219</v>
      </c>
      <c r="P1141" t="s">
        <v>55</v>
      </c>
      <c r="Q1141">
        <v>1334</v>
      </c>
      <c r="S1141" t="s">
        <v>124</v>
      </c>
      <c r="T1141" t="s">
        <v>1429</v>
      </c>
      <c r="U1141">
        <v>1336</v>
      </c>
      <c r="V1141" t="s">
        <v>61</v>
      </c>
      <c r="W1141">
        <v>13.4</v>
      </c>
      <c r="X1141" t="s">
        <v>57</v>
      </c>
      <c r="Z1141" t="s">
        <v>124</v>
      </c>
      <c r="AA1141" t="s">
        <v>462</v>
      </c>
      <c r="AE1141">
        <v>1</v>
      </c>
      <c r="AF1141">
        <v>0</v>
      </c>
      <c r="AG1141">
        <v>0</v>
      </c>
      <c r="AH1141">
        <v>0</v>
      </c>
      <c r="AI1141">
        <v>0</v>
      </c>
      <c r="AJ1141">
        <v>1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</row>
    <row r="1142" spans="1:42" x14ac:dyDescent="0.25">
      <c r="A1142">
        <v>1336</v>
      </c>
      <c r="B1142" t="s">
        <v>2088</v>
      </c>
      <c r="C1142" t="s">
        <v>2086</v>
      </c>
      <c r="D1142" t="s">
        <v>126</v>
      </c>
      <c r="E1142" s="4">
        <v>1</v>
      </c>
      <c r="F1142" t="s">
        <v>61</v>
      </c>
      <c r="G1142" t="s">
        <v>61</v>
      </c>
      <c r="H1142" s="3">
        <v>46196</v>
      </c>
      <c r="I1142" s="3">
        <v>46196</v>
      </c>
      <c r="J1142" t="s">
        <v>212</v>
      </c>
      <c r="K1142" s="3">
        <v>46196</v>
      </c>
      <c r="L1142" s="3">
        <v>46196</v>
      </c>
      <c r="M1142" s="3">
        <v>46196</v>
      </c>
      <c r="N1142" s="3">
        <v>46196</v>
      </c>
      <c r="O1142" t="s">
        <v>212</v>
      </c>
      <c r="P1142" t="s">
        <v>55</v>
      </c>
      <c r="Q1142">
        <v>1335</v>
      </c>
      <c r="S1142" t="s">
        <v>1444</v>
      </c>
      <c r="T1142" t="s">
        <v>1429</v>
      </c>
      <c r="U1142">
        <v>1337</v>
      </c>
      <c r="V1142" t="s">
        <v>61</v>
      </c>
      <c r="W1142">
        <v>13.4</v>
      </c>
      <c r="X1142" t="s">
        <v>57</v>
      </c>
      <c r="Z1142" t="s">
        <v>1444</v>
      </c>
      <c r="AA1142" t="s">
        <v>462</v>
      </c>
      <c r="AE1142">
        <v>1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1</v>
      </c>
      <c r="AM1142">
        <v>0</v>
      </c>
      <c r="AN1142">
        <v>0</v>
      </c>
      <c r="AO1142">
        <v>0</v>
      </c>
      <c r="AP1142">
        <v>0</v>
      </c>
    </row>
    <row r="1143" spans="1:42" x14ac:dyDescent="0.25">
      <c r="A1143">
        <v>1337</v>
      </c>
      <c r="B1143" t="s">
        <v>2089</v>
      </c>
      <c r="C1143" t="s">
        <v>2086</v>
      </c>
      <c r="D1143" t="s">
        <v>133</v>
      </c>
      <c r="E1143" s="4">
        <v>1</v>
      </c>
      <c r="F1143" t="s">
        <v>61</v>
      </c>
      <c r="G1143" t="s">
        <v>61</v>
      </c>
      <c r="H1143" s="3">
        <v>46197</v>
      </c>
      <c r="I1143" s="3">
        <v>46197</v>
      </c>
      <c r="J1143" t="s">
        <v>207</v>
      </c>
      <c r="K1143" s="3">
        <v>46197</v>
      </c>
      <c r="L1143" s="3">
        <v>46197</v>
      </c>
      <c r="M1143" s="3">
        <v>46197</v>
      </c>
      <c r="N1143" s="3">
        <v>46197</v>
      </c>
      <c r="O1143" t="s">
        <v>207</v>
      </c>
      <c r="P1143" t="s">
        <v>55</v>
      </c>
      <c r="Q1143">
        <v>1336</v>
      </c>
      <c r="S1143" t="s">
        <v>124</v>
      </c>
      <c r="T1143" t="s">
        <v>1429</v>
      </c>
      <c r="V1143" t="s">
        <v>61</v>
      </c>
      <c r="W1143">
        <v>13.4</v>
      </c>
      <c r="X1143" t="s">
        <v>57</v>
      </c>
      <c r="Z1143" t="s">
        <v>124</v>
      </c>
      <c r="AA1143" t="s">
        <v>217</v>
      </c>
      <c r="AE1143">
        <v>1</v>
      </c>
      <c r="AF1143">
        <v>0</v>
      </c>
      <c r="AG1143">
        <v>0</v>
      </c>
      <c r="AH1143">
        <v>0</v>
      </c>
      <c r="AI1143">
        <v>1</v>
      </c>
      <c r="AJ1143">
        <v>0</v>
      </c>
      <c r="AK1143">
        <v>0</v>
      </c>
      <c r="AL1143">
        <v>0</v>
      </c>
      <c r="AM1143">
        <v>0</v>
      </c>
      <c r="AN1143">
        <v>1</v>
      </c>
      <c r="AO1143">
        <v>0</v>
      </c>
      <c r="AP1143">
        <v>0</v>
      </c>
    </row>
    <row r="1144" spans="1:42" x14ac:dyDescent="0.25">
      <c r="A1144">
        <v>1338</v>
      </c>
      <c r="B1144" t="s">
        <v>2090</v>
      </c>
      <c r="C1144" t="s">
        <v>2069</v>
      </c>
      <c r="D1144" t="s">
        <v>2091</v>
      </c>
      <c r="E1144" s="4">
        <v>1</v>
      </c>
      <c r="F1144" t="s">
        <v>214</v>
      </c>
      <c r="G1144" t="s">
        <v>214</v>
      </c>
      <c r="H1144" s="3">
        <v>46190</v>
      </c>
      <c r="I1144" s="3">
        <v>46197</v>
      </c>
      <c r="J1144" t="s">
        <v>75</v>
      </c>
      <c r="K1144" s="3">
        <v>46197</v>
      </c>
      <c r="L1144" s="3">
        <v>46190</v>
      </c>
      <c r="M1144" s="3">
        <v>46197</v>
      </c>
      <c r="N1144" s="3">
        <v>46197</v>
      </c>
      <c r="O1144" t="s">
        <v>75</v>
      </c>
      <c r="P1144" t="s">
        <v>55</v>
      </c>
      <c r="T1144" t="s">
        <v>1429</v>
      </c>
      <c r="V1144" t="s">
        <v>101</v>
      </c>
      <c r="X1144" t="s">
        <v>57</v>
      </c>
      <c r="AA1144" t="s">
        <v>50</v>
      </c>
      <c r="AB1144" t="s">
        <v>94</v>
      </c>
      <c r="AE1144">
        <v>1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</row>
    <row r="1145" spans="1:42" x14ac:dyDescent="0.25">
      <c r="A1145">
        <v>1339</v>
      </c>
      <c r="B1145" t="s">
        <v>2092</v>
      </c>
      <c r="C1145" t="s">
        <v>2093</v>
      </c>
      <c r="D1145" t="s">
        <v>117</v>
      </c>
      <c r="E1145" s="4">
        <v>1</v>
      </c>
      <c r="F1145" t="s">
        <v>122</v>
      </c>
      <c r="G1145" t="s">
        <v>122</v>
      </c>
      <c r="H1145" s="3">
        <v>46190</v>
      </c>
      <c r="I1145" s="3">
        <v>46192</v>
      </c>
      <c r="J1145" t="s">
        <v>75</v>
      </c>
      <c r="K1145" s="3">
        <v>46192</v>
      </c>
      <c r="L1145" s="3">
        <v>46190</v>
      </c>
      <c r="M1145" s="3">
        <v>46192</v>
      </c>
      <c r="N1145" s="3">
        <v>46192</v>
      </c>
      <c r="O1145" t="s">
        <v>75</v>
      </c>
      <c r="P1145" t="s">
        <v>55</v>
      </c>
      <c r="Q1145" t="s">
        <v>2048</v>
      </c>
      <c r="S1145" t="s">
        <v>1444</v>
      </c>
      <c r="T1145" t="s">
        <v>1429</v>
      </c>
      <c r="U1145">
        <v>1340</v>
      </c>
      <c r="V1145" t="s">
        <v>61</v>
      </c>
      <c r="W1145">
        <v>13.4</v>
      </c>
      <c r="X1145" t="s">
        <v>57</v>
      </c>
      <c r="Z1145" t="s">
        <v>1444</v>
      </c>
      <c r="AA1145" t="s">
        <v>462</v>
      </c>
      <c r="AE1145">
        <v>1</v>
      </c>
      <c r="AF1145">
        <v>1</v>
      </c>
      <c r="AG1145">
        <v>1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1</v>
      </c>
    </row>
    <row r="1146" spans="1:42" x14ac:dyDescent="0.25">
      <c r="A1146">
        <v>1340</v>
      </c>
      <c r="B1146" t="s">
        <v>2094</v>
      </c>
      <c r="C1146" t="s">
        <v>2093</v>
      </c>
      <c r="D1146" t="s">
        <v>121</v>
      </c>
      <c r="E1146" s="4">
        <v>1</v>
      </c>
      <c r="F1146" t="s">
        <v>61</v>
      </c>
      <c r="G1146" t="s">
        <v>61</v>
      </c>
      <c r="H1146" s="3">
        <v>46195</v>
      </c>
      <c r="I1146" s="3">
        <v>46195</v>
      </c>
      <c r="J1146" t="s">
        <v>219</v>
      </c>
      <c r="K1146" s="3">
        <v>46195</v>
      </c>
      <c r="L1146" s="3">
        <v>46195</v>
      </c>
      <c r="M1146" s="3">
        <v>46195</v>
      </c>
      <c r="N1146" s="3">
        <v>46195</v>
      </c>
      <c r="O1146" t="s">
        <v>219</v>
      </c>
      <c r="P1146" t="s">
        <v>55</v>
      </c>
      <c r="Q1146">
        <v>1339</v>
      </c>
      <c r="S1146" t="s">
        <v>124</v>
      </c>
      <c r="T1146" t="s">
        <v>1429</v>
      </c>
      <c r="U1146">
        <v>1341</v>
      </c>
      <c r="V1146" t="s">
        <v>61</v>
      </c>
      <c r="W1146">
        <v>13.4</v>
      </c>
      <c r="X1146" t="s">
        <v>57</v>
      </c>
      <c r="Z1146" t="s">
        <v>124</v>
      </c>
      <c r="AA1146" t="s">
        <v>462</v>
      </c>
      <c r="AE1146">
        <v>1</v>
      </c>
      <c r="AF1146">
        <v>0</v>
      </c>
      <c r="AG1146">
        <v>0</v>
      </c>
      <c r="AH1146">
        <v>0</v>
      </c>
      <c r="AI1146">
        <v>0</v>
      </c>
      <c r="AJ1146">
        <v>1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</row>
    <row r="1147" spans="1:42" x14ac:dyDescent="0.25">
      <c r="A1147">
        <v>1341</v>
      </c>
      <c r="B1147" t="s">
        <v>2095</v>
      </c>
      <c r="C1147" t="s">
        <v>2093</v>
      </c>
      <c r="D1147" t="s">
        <v>126</v>
      </c>
      <c r="E1147" s="4">
        <v>1</v>
      </c>
      <c r="F1147" t="s">
        <v>61</v>
      </c>
      <c r="G1147" t="s">
        <v>61</v>
      </c>
      <c r="H1147" s="3">
        <v>46196</v>
      </c>
      <c r="I1147" s="3">
        <v>46196</v>
      </c>
      <c r="J1147" t="s">
        <v>212</v>
      </c>
      <c r="K1147" s="3">
        <v>46196</v>
      </c>
      <c r="L1147" s="3">
        <v>46196</v>
      </c>
      <c r="M1147" s="3">
        <v>46196</v>
      </c>
      <c r="N1147" s="3">
        <v>46196</v>
      </c>
      <c r="O1147" t="s">
        <v>212</v>
      </c>
      <c r="P1147" t="s">
        <v>55</v>
      </c>
      <c r="Q1147">
        <v>1340</v>
      </c>
      <c r="S1147" t="s">
        <v>1444</v>
      </c>
      <c r="T1147" t="s">
        <v>1429</v>
      </c>
      <c r="U1147">
        <v>1342</v>
      </c>
      <c r="V1147" t="s">
        <v>61</v>
      </c>
      <c r="W1147">
        <v>13.4</v>
      </c>
      <c r="X1147" t="s">
        <v>57</v>
      </c>
      <c r="Z1147" t="s">
        <v>1444</v>
      </c>
      <c r="AA1147" t="s">
        <v>462</v>
      </c>
      <c r="AE1147">
        <v>1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1</v>
      </c>
      <c r="AM1147">
        <v>0</v>
      </c>
      <c r="AN1147">
        <v>0</v>
      </c>
      <c r="AO1147">
        <v>0</v>
      </c>
      <c r="AP1147">
        <v>0</v>
      </c>
    </row>
    <row r="1148" spans="1:42" x14ac:dyDescent="0.25">
      <c r="A1148">
        <v>1342</v>
      </c>
      <c r="B1148" t="s">
        <v>2096</v>
      </c>
      <c r="C1148" t="s">
        <v>2093</v>
      </c>
      <c r="D1148" t="s">
        <v>133</v>
      </c>
      <c r="E1148" s="4">
        <v>1</v>
      </c>
      <c r="F1148" t="s">
        <v>61</v>
      </c>
      <c r="G1148" t="s">
        <v>61</v>
      </c>
      <c r="H1148" s="3">
        <v>46197</v>
      </c>
      <c r="I1148" s="3">
        <v>46197</v>
      </c>
      <c r="J1148" t="s">
        <v>207</v>
      </c>
      <c r="K1148" s="3">
        <v>46197</v>
      </c>
      <c r="L1148" s="3">
        <v>46197</v>
      </c>
      <c r="M1148" s="3">
        <v>46197</v>
      </c>
      <c r="N1148" s="3">
        <v>46197</v>
      </c>
      <c r="O1148" t="s">
        <v>207</v>
      </c>
      <c r="P1148" t="s">
        <v>55</v>
      </c>
      <c r="Q1148">
        <v>1341</v>
      </c>
      <c r="S1148" t="s">
        <v>124</v>
      </c>
      <c r="T1148" t="s">
        <v>1429</v>
      </c>
      <c r="V1148" t="s">
        <v>61</v>
      </c>
      <c r="W1148">
        <v>13.4</v>
      </c>
      <c r="X1148" t="s">
        <v>57</v>
      </c>
      <c r="Z1148" t="s">
        <v>124</v>
      </c>
      <c r="AA1148" t="s">
        <v>217</v>
      </c>
      <c r="AE1148">
        <v>1</v>
      </c>
      <c r="AF1148">
        <v>0</v>
      </c>
      <c r="AG1148">
        <v>0</v>
      </c>
      <c r="AH1148">
        <v>0</v>
      </c>
      <c r="AI1148">
        <v>1</v>
      </c>
      <c r="AJ1148">
        <v>0</v>
      </c>
      <c r="AK1148">
        <v>0</v>
      </c>
      <c r="AL1148">
        <v>0</v>
      </c>
      <c r="AM1148">
        <v>0</v>
      </c>
      <c r="AN1148">
        <v>1</v>
      </c>
      <c r="AO1148">
        <v>0</v>
      </c>
      <c r="AP1148">
        <v>0</v>
      </c>
    </row>
    <row r="1149" spans="1:42" x14ac:dyDescent="0.25">
      <c r="A1149">
        <v>1343</v>
      </c>
      <c r="B1149" t="s">
        <v>2097</v>
      </c>
      <c r="C1149" t="s">
        <v>1429</v>
      </c>
      <c r="D1149" t="s">
        <v>984</v>
      </c>
      <c r="E1149" s="4">
        <v>1</v>
      </c>
      <c r="F1149" t="s">
        <v>210</v>
      </c>
      <c r="G1149" t="s">
        <v>210</v>
      </c>
      <c r="H1149" s="3">
        <v>46190</v>
      </c>
      <c r="I1149" s="3">
        <v>46199</v>
      </c>
      <c r="J1149" t="s">
        <v>75</v>
      </c>
      <c r="K1149" s="3">
        <v>46199</v>
      </c>
      <c r="L1149" s="3">
        <v>46190</v>
      </c>
      <c r="M1149" s="3">
        <v>46199</v>
      </c>
      <c r="N1149" s="3">
        <v>46199</v>
      </c>
      <c r="O1149" t="s">
        <v>75</v>
      </c>
      <c r="P1149" t="s">
        <v>55</v>
      </c>
      <c r="T1149" t="s">
        <v>1429</v>
      </c>
      <c r="V1149" t="s">
        <v>330</v>
      </c>
      <c r="X1149" t="s">
        <v>57</v>
      </c>
      <c r="AA1149" t="s">
        <v>50</v>
      </c>
      <c r="AE1149">
        <v>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</row>
    <row r="1150" spans="1:42" x14ac:dyDescent="0.25">
      <c r="A1150">
        <v>1344</v>
      </c>
      <c r="B1150" t="s">
        <v>2098</v>
      </c>
      <c r="C1150" t="s">
        <v>986</v>
      </c>
      <c r="D1150" t="s">
        <v>2099</v>
      </c>
      <c r="E1150" s="4">
        <v>1</v>
      </c>
      <c r="F1150" t="s">
        <v>138</v>
      </c>
      <c r="G1150" t="s">
        <v>138</v>
      </c>
      <c r="H1150" s="3">
        <v>46195</v>
      </c>
      <c r="I1150" s="3">
        <v>46199</v>
      </c>
      <c r="J1150" t="s">
        <v>219</v>
      </c>
      <c r="K1150" s="3">
        <v>46199</v>
      </c>
      <c r="L1150" s="3">
        <v>46195</v>
      </c>
      <c r="M1150" s="3">
        <v>46199</v>
      </c>
      <c r="N1150" s="3">
        <v>46199</v>
      </c>
      <c r="O1150" t="s">
        <v>219</v>
      </c>
      <c r="P1150" t="s">
        <v>55</v>
      </c>
      <c r="T1150" t="s">
        <v>1429</v>
      </c>
      <c r="V1150" t="s">
        <v>330</v>
      </c>
      <c r="X1150" t="s">
        <v>57</v>
      </c>
      <c r="AA1150" t="s">
        <v>50</v>
      </c>
      <c r="AB1150" t="s">
        <v>94</v>
      </c>
      <c r="AE1150">
        <v>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</row>
    <row r="1151" spans="1:42" x14ac:dyDescent="0.25">
      <c r="A1151">
        <v>1345</v>
      </c>
      <c r="B1151" t="s">
        <v>2100</v>
      </c>
      <c r="C1151" t="s">
        <v>2101</v>
      </c>
      <c r="D1151" t="s">
        <v>117</v>
      </c>
      <c r="E1151" s="4">
        <v>1</v>
      </c>
      <c r="F1151" t="s">
        <v>61</v>
      </c>
      <c r="G1151" t="s">
        <v>61</v>
      </c>
      <c r="H1151" s="3">
        <v>46195</v>
      </c>
      <c r="I1151" s="3">
        <v>46195</v>
      </c>
      <c r="J1151" t="s">
        <v>219</v>
      </c>
      <c r="K1151" s="3">
        <v>46195</v>
      </c>
      <c r="L1151" s="3">
        <v>46195</v>
      </c>
      <c r="M1151" s="3">
        <v>46195</v>
      </c>
      <c r="N1151" s="3">
        <v>46195</v>
      </c>
      <c r="O1151" t="s">
        <v>219</v>
      </c>
      <c r="P1151" t="s">
        <v>55</v>
      </c>
      <c r="S1151" t="s">
        <v>1444</v>
      </c>
      <c r="T1151" t="s">
        <v>1429</v>
      </c>
      <c r="U1151">
        <v>1346</v>
      </c>
      <c r="V1151" t="s">
        <v>151</v>
      </c>
      <c r="W1151">
        <v>13.4</v>
      </c>
      <c r="X1151" t="s">
        <v>57</v>
      </c>
      <c r="Z1151" t="s">
        <v>1444</v>
      </c>
      <c r="AA1151" t="s">
        <v>77</v>
      </c>
      <c r="AE1151">
        <v>1</v>
      </c>
      <c r="AF1151">
        <v>1</v>
      </c>
      <c r="AG1151">
        <v>1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1</v>
      </c>
    </row>
    <row r="1152" spans="1:42" x14ac:dyDescent="0.25">
      <c r="A1152">
        <v>1346</v>
      </c>
      <c r="B1152" t="s">
        <v>2102</v>
      </c>
      <c r="C1152" t="s">
        <v>2101</v>
      </c>
      <c r="D1152" t="s">
        <v>121</v>
      </c>
      <c r="E1152" s="4">
        <v>1</v>
      </c>
      <c r="F1152" t="s">
        <v>61</v>
      </c>
      <c r="G1152" t="s">
        <v>61</v>
      </c>
      <c r="H1152" s="3">
        <v>46196</v>
      </c>
      <c r="I1152" s="3">
        <v>46196</v>
      </c>
      <c r="J1152" t="s">
        <v>212</v>
      </c>
      <c r="K1152" s="3">
        <v>46196</v>
      </c>
      <c r="L1152" s="3">
        <v>46196</v>
      </c>
      <c r="M1152" s="3">
        <v>46196</v>
      </c>
      <c r="N1152" s="3">
        <v>46196</v>
      </c>
      <c r="O1152" t="s">
        <v>212</v>
      </c>
      <c r="P1152" t="s">
        <v>55</v>
      </c>
      <c r="Q1152">
        <v>1345</v>
      </c>
      <c r="S1152" t="s">
        <v>124</v>
      </c>
      <c r="T1152" t="s">
        <v>1429</v>
      </c>
      <c r="U1152">
        <v>1347</v>
      </c>
      <c r="V1152" t="s">
        <v>122</v>
      </c>
      <c r="W1152">
        <v>13.4</v>
      </c>
      <c r="X1152" t="s">
        <v>57</v>
      </c>
      <c r="Z1152" t="s">
        <v>124</v>
      </c>
      <c r="AA1152" t="s">
        <v>217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1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</row>
    <row r="1153" spans="1:42" x14ac:dyDescent="0.25">
      <c r="A1153">
        <v>1347</v>
      </c>
      <c r="B1153" t="s">
        <v>2103</v>
      </c>
      <c r="C1153" t="s">
        <v>2101</v>
      </c>
      <c r="D1153" t="s">
        <v>126</v>
      </c>
      <c r="E1153" s="4">
        <v>1</v>
      </c>
      <c r="F1153" t="s">
        <v>61</v>
      </c>
      <c r="G1153" t="s">
        <v>61</v>
      </c>
      <c r="H1153" s="3">
        <v>46197</v>
      </c>
      <c r="I1153" s="3">
        <v>46197</v>
      </c>
      <c r="J1153" t="s">
        <v>207</v>
      </c>
      <c r="K1153" s="3">
        <v>46197</v>
      </c>
      <c r="L1153" s="3">
        <v>46197</v>
      </c>
      <c r="M1153" s="3">
        <v>46197</v>
      </c>
      <c r="N1153" s="3">
        <v>46197</v>
      </c>
      <c r="O1153" t="s">
        <v>207</v>
      </c>
      <c r="P1153" t="s">
        <v>55</v>
      </c>
      <c r="Q1153">
        <v>1346</v>
      </c>
      <c r="S1153" t="s">
        <v>1444</v>
      </c>
      <c r="T1153" t="s">
        <v>1429</v>
      </c>
      <c r="U1153">
        <v>1348</v>
      </c>
      <c r="V1153" t="s">
        <v>61</v>
      </c>
      <c r="W1153">
        <v>13.4</v>
      </c>
      <c r="X1153" t="s">
        <v>57</v>
      </c>
      <c r="Z1153" t="s">
        <v>1444</v>
      </c>
      <c r="AA1153" t="s">
        <v>217</v>
      </c>
      <c r="AE1153">
        <v>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1</v>
      </c>
      <c r="AM1153">
        <v>0</v>
      </c>
      <c r="AN1153">
        <v>0</v>
      </c>
      <c r="AO1153">
        <v>0</v>
      </c>
      <c r="AP1153">
        <v>0</v>
      </c>
    </row>
    <row r="1154" spans="1:42" x14ac:dyDescent="0.25">
      <c r="A1154">
        <v>1348</v>
      </c>
      <c r="B1154" t="s">
        <v>2104</v>
      </c>
      <c r="C1154" t="s">
        <v>2101</v>
      </c>
      <c r="D1154" t="s">
        <v>133</v>
      </c>
      <c r="E1154" s="4">
        <v>1</v>
      </c>
      <c r="F1154" t="s">
        <v>127</v>
      </c>
      <c r="G1154" t="s">
        <v>127</v>
      </c>
      <c r="H1154" s="3">
        <v>46198</v>
      </c>
      <c r="I1154" s="3">
        <v>46199</v>
      </c>
      <c r="J1154" t="s">
        <v>128</v>
      </c>
      <c r="K1154" s="3">
        <v>46199</v>
      </c>
      <c r="L1154" s="3">
        <v>46198</v>
      </c>
      <c r="M1154" s="3">
        <v>46199</v>
      </c>
      <c r="N1154" s="3">
        <v>46199</v>
      </c>
      <c r="O1154" t="s">
        <v>128</v>
      </c>
      <c r="P1154" t="s">
        <v>55</v>
      </c>
      <c r="Q1154">
        <v>1347</v>
      </c>
      <c r="S1154" t="s">
        <v>124</v>
      </c>
      <c r="T1154" t="s">
        <v>1429</v>
      </c>
      <c r="V1154" t="s">
        <v>61</v>
      </c>
      <c r="W1154">
        <v>13.4</v>
      </c>
      <c r="X1154" t="s">
        <v>57</v>
      </c>
      <c r="Z1154" t="s">
        <v>124</v>
      </c>
      <c r="AA1154" t="s">
        <v>217</v>
      </c>
      <c r="AE1154">
        <v>1</v>
      </c>
      <c r="AF1154">
        <v>0</v>
      </c>
      <c r="AG1154">
        <v>0</v>
      </c>
      <c r="AH1154">
        <v>0</v>
      </c>
      <c r="AI1154">
        <v>1</v>
      </c>
      <c r="AJ1154">
        <v>0</v>
      </c>
      <c r="AK1154">
        <v>0</v>
      </c>
      <c r="AL1154">
        <v>0</v>
      </c>
      <c r="AM1154">
        <v>0</v>
      </c>
      <c r="AN1154">
        <v>1</v>
      </c>
      <c r="AO1154">
        <v>0</v>
      </c>
      <c r="AP1154">
        <v>0</v>
      </c>
    </row>
    <row r="1155" spans="1:42" x14ac:dyDescent="0.25">
      <c r="A1155">
        <v>1349</v>
      </c>
      <c r="B1155" t="s">
        <v>2105</v>
      </c>
      <c r="C1155" t="s">
        <v>986</v>
      </c>
      <c r="D1155" t="s">
        <v>2106</v>
      </c>
      <c r="E1155" s="4">
        <v>1</v>
      </c>
      <c r="F1155" t="s">
        <v>101</v>
      </c>
      <c r="G1155" t="s">
        <v>101</v>
      </c>
      <c r="H1155" s="3">
        <v>46195</v>
      </c>
      <c r="I1155" s="3">
        <v>46198</v>
      </c>
      <c r="J1155" t="s">
        <v>219</v>
      </c>
      <c r="K1155" s="3">
        <v>46198</v>
      </c>
      <c r="L1155" s="3">
        <v>46195</v>
      </c>
      <c r="M1155" s="3">
        <v>46198</v>
      </c>
      <c r="N1155" s="3">
        <v>46198</v>
      </c>
      <c r="O1155" t="s">
        <v>219</v>
      </c>
      <c r="P1155" t="s">
        <v>55</v>
      </c>
      <c r="T1155" t="s">
        <v>1429</v>
      </c>
      <c r="V1155" t="s">
        <v>330</v>
      </c>
      <c r="X1155" t="s">
        <v>57</v>
      </c>
      <c r="AA1155" t="s">
        <v>50</v>
      </c>
      <c r="AE1155">
        <v>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</row>
    <row r="1156" spans="1:42" x14ac:dyDescent="0.25">
      <c r="A1156">
        <v>1350</v>
      </c>
      <c r="B1156" t="s">
        <v>2107</v>
      </c>
      <c r="C1156" t="s">
        <v>2108</v>
      </c>
      <c r="D1156" t="s">
        <v>117</v>
      </c>
      <c r="E1156" s="4">
        <v>1</v>
      </c>
      <c r="F1156" t="s">
        <v>61</v>
      </c>
      <c r="G1156" t="s">
        <v>61</v>
      </c>
      <c r="H1156" s="3">
        <v>46195</v>
      </c>
      <c r="I1156" s="3">
        <v>46195</v>
      </c>
      <c r="J1156" t="s">
        <v>219</v>
      </c>
      <c r="K1156" s="3">
        <v>46195</v>
      </c>
      <c r="L1156" s="3">
        <v>46195</v>
      </c>
      <c r="M1156" s="3">
        <v>46195</v>
      </c>
      <c r="N1156" s="3">
        <v>46195</v>
      </c>
      <c r="O1156" t="s">
        <v>219</v>
      </c>
      <c r="P1156" t="s">
        <v>55</v>
      </c>
      <c r="S1156" t="s">
        <v>1444</v>
      </c>
      <c r="T1156" t="s">
        <v>1429</v>
      </c>
      <c r="U1156">
        <v>1351</v>
      </c>
      <c r="V1156" t="s">
        <v>151</v>
      </c>
      <c r="W1156">
        <v>13.4</v>
      </c>
      <c r="X1156" t="s">
        <v>57</v>
      </c>
      <c r="Z1156" t="s">
        <v>1444</v>
      </c>
      <c r="AA1156" t="s">
        <v>77</v>
      </c>
      <c r="AE1156">
        <v>1</v>
      </c>
      <c r="AF1156">
        <v>1</v>
      </c>
      <c r="AG1156">
        <v>1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1</v>
      </c>
    </row>
    <row r="1157" spans="1:42" x14ac:dyDescent="0.25">
      <c r="A1157">
        <v>1351</v>
      </c>
      <c r="B1157" t="s">
        <v>2109</v>
      </c>
      <c r="C1157" t="s">
        <v>2108</v>
      </c>
      <c r="D1157" t="s">
        <v>121</v>
      </c>
      <c r="E1157" s="4">
        <v>1</v>
      </c>
      <c r="F1157" t="s">
        <v>61</v>
      </c>
      <c r="G1157" t="s">
        <v>61</v>
      </c>
      <c r="H1157" s="3">
        <v>46196</v>
      </c>
      <c r="I1157" s="3">
        <v>46196</v>
      </c>
      <c r="J1157" t="s">
        <v>212</v>
      </c>
      <c r="K1157" s="3">
        <v>46196</v>
      </c>
      <c r="L1157" s="3">
        <v>46195</v>
      </c>
      <c r="M1157" s="3">
        <v>46196</v>
      </c>
      <c r="N1157" s="3">
        <v>46196</v>
      </c>
      <c r="O1157" t="s">
        <v>212</v>
      </c>
      <c r="P1157" t="s">
        <v>55</v>
      </c>
      <c r="Q1157">
        <v>1350</v>
      </c>
      <c r="S1157" t="s">
        <v>124</v>
      </c>
      <c r="T1157" t="s">
        <v>1429</v>
      </c>
      <c r="U1157">
        <v>1352</v>
      </c>
      <c r="V1157" t="s">
        <v>122</v>
      </c>
      <c r="W1157">
        <v>13.4</v>
      </c>
      <c r="X1157" t="s">
        <v>57</v>
      </c>
      <c r="Z1157" t="s">
        <v>124</v>
      </c>
      <c r="AA1157" t="s">
        <v>217</v>
      </c>
      <c r="AE1157">
        <v>1</v>
      </c>
      <c r="AF1157">
        <v>0</v>
      </c>
      <c r="AG1157">
        <v>0</v>
      </c>
      <c r="AH1157">
        <v>0</v>
      </c>
      <c r="AI1157">
        <v>0</v>
      </c>
      <c r="AJ1157">
        <v>1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</row>
    <row r="1158" spans="1:42" x14ac:dyDescent="0.25">
      <c r="A1158">
        <v>1352</v>
      </c>
      <c r="B1158" t="s">
        <v>2110</v>
      </c>
      <c r="C1158" t="s">
        <v>2108</v>
      </c>
      <c r="D1158" t="s">
        <v>126</v>
      </c>
      <c r="E1158" s="4">
        <v>1</v>
      </c>
      <c r="F1158" t="s">
        <v>61</v>
      </c>
      <c r="G1158" t="s">
        <v>61</v>
      </c>
      <c r="H1158" s="3">
        <v>46197</v>
      </c>
      <c r="I1158" s="3">
        <v>46197</v>
      </c>
      <c r="J1158" t="s">
        <v>207</v>
      </c>
      <c r="K1158" s="3">
        <v>46197</v>
      </c>
      <c r="L1158" s="3">
        <v>46196</v>
      </c>
      <c r="M1158" s="3">
        <v>46197</v>
      </c>
      <c r="N1158" s="3">
        <v>46197</v>
      </c>
      <c r="O1158" t="s">
        <v>207</v>
      </c>
      <c r="P1158" t="s">
        <v>55</v>
      </c>
      <c r="Q1158">
        <v>1351</v>
      </c>
      <c r="S1158" t="s">
        <v>1444</v>
      </c>
      <c r="T1158" t="s">
        <v>1429</v>
      </c>
      <c r="U1158">
        <v>1353</v>
      </c>
      <c r="V1158" t="s">
        <v>61</v>
      </c>
      <c r="W1158">
        <v>13.4</v>
      </c>
      <c r="X1158" t="s">
        <v>57</v>
      </c>
      <c r="Z1158" t="s">
        <v>1444</v>
      </c>
      <c r="AA1158" t="s">
        <v>217</v>
      </c>
      <c r="AE1158">
        <v>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1</v>
      </c>
      <c r="AM1158">
        <v>0</v>
      </c>
      <c r="AN1158">
        <v>0</v>
      </c>
      <c r="AO1158">
        <v>0</v>
      </c>
      <c r="AP1158">
        <v>0</v>
      </c>
    </row>
    <row r="1159" spans="1:42" x14ac:dyDescent="0.25">
      <c r="A1159">
        <v>1353</v>
      </c>
      <c r="B1159" t="s">
        <v>2111</v>
      </c>
      <c r="C1159" t="s">
        <v>2108</v>
      </c>
      <c r="D1159" t="s">
        <v>133</v>
      </c>
      <c r="E1159" s="4">
        <v>1</v>
      </c>
      <c r="F1159" t="s">
        <v>61</v>
      </c>
      <c r="G1159" t="s">
        <v>61</v>
      </c>
      <c r="H1159" s="3">
        <v>46198</v>
      </c>
      <c r="I1159" s="3">
        <v>46198</v>
      </c>
      <c r="J1159" t="s">
        <v>128</v>
      </c>
      <c r="K1159" s="3">
        <v>46198</v>
      </c>
      <c r="L1159" s="3">
        <v>46197</v>
      </c>
      <c r="M1159" s="3">
        <v>46198</v>
      </c>
      <c r="N1159" s="3">
        <v>46198</v>
      </c>
      <c r="O1159" t="s">
        <v>128</v>
      </c>
      <c r="P1159" t="s">
        <v>55</v>
      </c>
      <c r="Q1159">
        <v>1352</v>
      </c>
      <c r="S1159" t="s">
        <v>124</v>
      </c>
      <c r="T1159" t="s">
        <v>1429</v>
      </c>
      <c r="V1159" t="s">
        <v>61</v>
      </c>
      <c r="W1159">
        <v>13.4</v>
      </c>
      <c r="X1159" t="s">
        <v>57</v>
      </c>
      <c r="Z1159" t="s">
        <v>124</v>
      </c>
      <c r="AA1159" t="s">
        <v>217</v>
      </c>
      <c r="AE1159">
        <v>1</v>
      </c>
      <c r="AF1159">
        <v>0</v>
      </c>
      <c r="AG1159">
        <v>0</v>
      </c>
      <c r="AH1159">
        <v>0</v>
      </c>
      <c r="AI1159">
        <v>1</v>
      </c>
      <c r="AJ1159">
        <v>0</v>
      </c>
      <c r="AK1159">
        <v>0</v>
      </c>
      <c r="AL1159">
        <v>0</v>
      </c>
      <c r="AM1159">
        <v>0</v>
      </c>
      <c r="AN1159">
        <v>1</v>
      </c>
      <c r="AO1159">
        <v>0</v>
      </c>
      <c r="AP1159">
        <v>0</v>
      </c>
    </row>
    <row r="1160" spans="1:42" x14ac:dyDescent="0.25">
      <c r="A1160">
        <v>1354</v>
      </c>
      <c r="B1160" t="s">
        <v>2112</v>
      </c>
      <c r="C1160" t="s">
        <v>986</v>
      </c>
      <c r="D1160" t="s">
        <v>2113</v>
      </c>
      <c r="E1160" s="4">
        <v>1</v>
      </c>
      <c r="F1160" t="s">
        <v>214</v>
      </c>
      <c r="G1160" t="s">
        <v>214</v>
      </c>
      <c r="H1160" s="3">
        <v>46190</v>
      </c>
      <c r="I1160" s="3">
        <v>46197</v>
      </c>
      <c r="J1160" t="s">
        <v>75</v>
      </c>
      <c r="K1160" s="3">
        <v>46197</v>
      </c>
      <c r="L1160" s="3">
        <v>46190</v>
      </c>
      <c r="M1160" s="3">
        <v>46197</v>
      </c>
      <c r="N1160" s="3">
        <v>46197</v>
      </c>
      <c r="O1160" t="s">
        <v>75</v>
      </c>
      <c r="P1160" t="s">
        <v>55</v>
      </c>
      <c r="T1160" t="s">
        <v>1429</v>
      </c>
      <c r="V1160" t="s">
        <v>101</v>
      </c>
      <c r="X1160" t="s">
        <v>57</v>
      </c>
      <c r="AA1160" t="s">
        <v>50</v>
      </c>
      <c r="AE1160">
        <v>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</row>
    <row r="1161" spans="1:42" x14ac:dyDescent="0.25">
      <c r="A1161">
        <v>1355</v>
      </c>
      <c r="B1161" t="s">
        <v>2114</v>
      </c>
      <c r="C1161" t="s">
        <v>2115</v>
      </c>
      <c r="D1161" t="s">
        <v>117</v>
      </c>
      <c r="E1161" s="4">
        <v>1</v>
      </c>
      <c r="F1161" t="s">
        <v>122</v>
      </c>
      <c r="G1161" t="s">
        <v>122</v>
      </c>
      <c r="H1161" s="3">
        <v>46190</v>
      </c>
      <c r="I1161" s="3">
        <v>46192</v>
      </c>
      <c r="J1161" t="s">
        <v>75</v>
      </c>
      <c r="K1161" s="3">
        <v>46192</v>
      </c>
      <c r="L1161" s="3">
        <v>46190</v>
      </c>
      <c r="M1161" s="3">
        <v>46192</v>
      </c>
      <c r="N1161" s="3">
        <v>46192</v>
      </c>
      <c r="O1161" t="s">
        <v>75</v>
      </c>
      <c r="P1161" t="s">
        <v>55</v>
      </c>
      <c r="Q1161" t="s">
        <v>2048</v>
      </c>
      <c r="S1161" t="s">
        <v>1444</v>
      </c>
      <c r="T1161" t="s">
        <v>1429</v>
      </c>
      <c r="U1161">
        <v>1356</v>
      </c>
      <c r="V1161" t="s">
        <v>61</v>
      </c>
      <c r="W1161">
        <v>13.4</v>
      </c>
      <c r="X1161" t="s">
        <v>57</v>
      </c>
      <c r="Z1161" t="s">
        <v>1444</v>
      </c>
      <c r="AA1161" t="s">
        <v>462</v>
      </c>
      <c r="AE1161">
        <v>1</v>
      </c>
      <c r="AF1161">
        <v>1</v>
      </c>
      <c r="AG1161">
        <v>1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1</v>
      </c>
    </row>
    <row r="1162" spans="1:42" x14ac:dyDescent="0.25">
      <c r="A1162">
        <v>1356</v>
      </c>
      <c r="B1162" t="s">
        <v>2116</v>
      </c>
      <c r="C1162" t="s">
        <v>2115</v>
      </c>
      <c r="D1162" t="s">
        <v>121</v>
      </c>
      <c r="E1162" s="4">
        <v>1</v>
      </c>
      <c r="F1162" t="s">
        <v>61</v>
      </c>
      <c r="G1162" t="s">
        <v>61</v>
      </c>
      <c r="H1162" s="3">
        <v>46195</v>
      </c>
      <c r="I1162" s="3">
        <v>46195</v>
      </c>
      <c r="J1162" t="s">
        <v>219</v>
      </c>
      <c r="K1162" s="3">
        <v>46195</v>
      </c>
      <c r="L1162" s="3">
        <v>46195</v>
      </c>
      <c r="M1162" s="3">
        <v>46195</v>
      </c>
      <c r="N1162" s="3">
        <v>46195</v>
      </c>
      <c r="O1162" t="s">
        <v>219</v>
      </c>
      <c r="P1162" t="s">
        <v>55</v>
      </c>
      <c r="Q1162">
        <v>1355</v>
      </c>
      <c r="S1162" t="s">
        <v>124</v>
      </c>
      <c r="T1162" t="s">
        <v>1429</v>
      </c>
      <c r="U1162">
        <v>1357</v>
      </c>
      <c r="V1162" t="s">
        <v>61</v>
      </c>
      <c r="W1162">
        <v>13.4</v>
      </c>
      <c r="X1162" t="s">
        <v>57</v>
      </c>
      <c r="Z1162" t="s">
        <v>124</v>
      </c>
      <c r="AA1162" t="s">
        <v>462</v>
      </c>
      <c r="AE1162">
        <v>1</v>
      </c>
      <c r="AF1162">
        <v>0</v>
      </c>
      <c r="AG1162">
        <v>0</v>
      </c>
      <c r="AH1162">
        <v>0</v>
      </c>
      <c r="AI1162">
        <v>0</v>
      </c>
      <c r="AJ1162">
        <v>1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</row>
    <row r="1163" spans="1:42" x14ac:dyDescent="0.25">
      <c r="A1163">
        <v>1357</v>
      </c>
      <c r="B1163" t="s">
        <v>2117</v>
      </c>
      <c r="C1163" t="s">
        <v>2115</v>
      </c>
      <c r="D1163" t="s">
        <v>126</v>
      </c>
      <c r="E1163" s="4">
        <v>1</v>
      </c>
      <c r="F1163" t="s">
        <v>61</v>
      </c>
      <c r="G1163" t="s">
        <v>61</v>
      </c>
      <c r="H1163" s="3">
        <v>46196</v>
      </c>
      <c r="I1163" s="3">
        <v>46196</v>
      </c>
      <c r="J1163" t="s">
        <v>212</v>
      </c>
      <c r="K1163" s="3">
        <v>46196</v>
      </c>
      <c r="L1163" s="3">
        <v>46196</v>
      </c>
      <c r="M1163" s="3">
        <v>46196</v>
      </c>
      <c r="N1163" s="3">
        <v>46196</v>
      </c>
      <c r="O1163" t="s">
        <v>212</v>
      </c>
      <c r="P1163" t="s">
        <v>55</v>
      </c>
      <c r="Q1163">
        <v>1356</v>
      </c>
      <c r="S1163" t="s">
        <v>1444</v>
      </c>
      <c r="T1163" t="s">
        <v>1429</v>
      </c>
      <c r="U1163">
        <v>1358</v>
      </c>
      <c r="V1163" t="s">
        <v>61</v>
      </c>
      <c r="W1163">
        <v>13.4</v>
      </c>
      <c r="X1163" t="s">
        <v>57</v>
      </c>
      <c r="Z1163" t="s">
        <v>1444</v>
      </c>
      <c r="AA1163" t="s">
        <v>462</v>
      </c>
      <c r="AE1163">
        <v>1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1</v>
      </c>
      <c r="AM1163">
        <v>0</v>
      </c>
      <c r="AN1163">
        <v>0</v>
      </c>
      <c r="AO1163">
        <v>0</v>
      </c>
      <c r="AP1163">
        <v>0</v>
      </c>
    </row>
    <row r="1164" spans="1:42" x14ac:dyDescent="0.25">
      <c r="A1164">
        <v>1358</v>
      </c>
      <c r="B1164" t="s">
        <v>2118</v>
      </c>
      <c r="C1164" t="s">
        <v>2115</v>
      </c>
      <c r="D1164" t="s">
        <v>133</v>
      </c>
      <c r="E1164" s="4">
        <v>1</v>
      </c>
      <c r="F1164" t="s">
        <v>61</v>
      </c>
      <c r="G1164" t="s">
        <v>61</v>
      </c>
      <c r="H1164" s="3">
        <v>46197</v>
      </c>
      <c r="I1164" s="3">
        <v>46197</v>
      </c>
      <c r="J1164" t="s">
        <v>207</v>
      </c>
      <c r="K1164" s="3">
        <v>46197</v>
      </c>
      <c r="L1164" s="3">
        <v>46197</v>
      </c>
      <c r="M1164" s="3">
        <v>46197</v>
      </c>
      <c r="N1164" s="3">
        <v>46197</v>
      </c>
      <c r="O1164" t="s">
        <v>207</v>
      </c>
      <c r="P1164" t="s">
        <v>55</v>
      </c>
      <c r="Q1164">
        <v>1357</v>
      </c>
      <c r="S1164" t="s">
        <v>124</v>
      </c>
      <c r="T1164" t="s">
        <v>1429</v>
      </c>
      <c r="V1164" t="s">
        <v>61</v>
      </c>
      <c r="W1164">
        <v>13.4</v>
      </c>
      <c r="X1164" t="s">
        <v>57</v>
      </c>
      <c r="Z1164" t="s">
        <v>124</v>
      </c>
      <c r="AA1164" t="s">
        <v>217</v>
      </c>
      <c r="AE1164">
        <v>1</v>
      </c>
      <c r="AF1164">
        <v>0</v>
      </c>
      <c r="AG1164">
        <v>0</v>
      </c>
      <c r="AH1164">
        <v>0</v>
      </c>
      <c r="AI1164">
        <v>1</v>
      </c>
      <c r="AJ1164">
        <v>0</v>
      </c>
      <c r="AK1164">
        <v>0</v>
      </c>
      <c r="AL1164">
        <v>0</v>
      </c>
      <c r="AM1164">
        <v>0</v>
      </c>
      <c r="AN1164">
        <v>1</v>
      </c>
      <c r="AO1164">
        <v>0</v>
      </c>
      <c r="AP1164">
        <v>0</v>
      </c>
    </row>
    <row r="1165" spans="1:42" x14ac:dyDescent="0.25">
      <c r="A1165">
        <v>1359</v>
      </c>
      <c r="B1165" t="s">
        <v>2119</v>
      </c>
      <c r="C1165" t="s">
        <v>986</v>
      </c>
      <c r="D1165" t="s">
        <v>2120</v>
      </c>
      <c r="E1165" s="4">
        <v>1</v>
      </c>
      <c r="F1165" t="s">
        <v>214</v>
      </c>
      <c r="G1165" t="s">
        <v>214</v>
      </c>
      <c r="H1165" s="3">
        <v>46190</v>
      </c>
      <c r="I1165" s="3">
        <v>46197</v>
      </c>
      <c r="J1165" t="s">
        <v>75</v>
      </c>
      <c r="K1165" s="3">
        <v>46197</v>
      </c>
      <c r="L1165" s="3">
        <v>46190</v>
      </c>
      <c r="M1165" s="3">
        <v>46197</v>
      </c>
      <c r="N1165" s="3">
        <v>46197</v>
      </c>
      <c r="O1165" t="s">
        <v>75</v>
      </c>
      <c r="P1165" t="s">
        <v>55</v>
      </c>
      <c r="T1165" t="s">
        <v>1429</v>
      </c>
      <c r="V1165" t="s">
        <v>101</v>
      </c>
      <c r="X1165" t="s">
        <v>57</v>
      </c>
      <c r="AA1165" t="s">
        <v>50</v>
      </c>
      <c r="AB1165" t="s">
        <v>94</v>
      </c>
      <c r="AE1165">
        <v>1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</row>
    <row r="1166" spans="1:42" x14ac:dyDescent="0.25">
      <c r="A1166">
        <v>1360</v>
      </c>
      <c r="B1166" t="s">
        <v>2121</v>
      </c>
      <c r="C1166" t="s">
        <v>2122</v>
      </c>
      <c r="D1166" t="s">
        <v>117</v>
      </c>
      <c r="E1166" s="4">
        <v>1</v>
      </c>
      <c r="F1166" t="s">
        <v>122</v>
      </c>
      <c r="G1166" t="s">
        <v>122</v>
      </c>
      <c r="H1166" s="3">
        <v>46190</v>
      </c>
      <c r="I1166" s="3">
        <v>46192</v>
      </c>
      <c r="J1166" t="s">
        <v>75</v>
      </c>
      <c r="K1166" s="3">
        <v>46192</v>
      </c>
      <c r="L1166" s="3">
        <v>46190</v>
      </c>
      <c r="M1166" s="3">
        <v>46192</v>
      </c>
      <c r="N1166" s="3">
        <v>46192</v>
      </c>
      <c r="O1166" t="s">
        <v>75</v>
      </c>
      <c r="P1166" t="s">
        <v>55</v>
      </c>
      <c r="Q1166" t="s">
        <v>2048</v>
      </c>
      <c r="S1166" t="s">
        <v>1444</v>
      </c>
      <c r="T1166" t="s">
        <v>1429</v>
      </c>
      <c r="U1166">
        <v>1361</v>
      </c>
      <c r="V1166" t="s">
        <v>61</v>
      </c>
      <c r="W1166">
        <v>13.4</v>
      </c>
      <c r="X1166" t="s">
        <v>57</v>
      </c>
      <c r="Z1166" t="s">
        <v>1444</v>
      </c>
      <c r="AA1166" t="s">
        <v>462</v>
      </c>
      <c r="AE1166">
        <v>1</v>
      </c>
      <c r="AF1166">
        <v>1</v>
      </c>
      <c r="AG1166">
        <v>1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1</v>
      </c>
    </row>
    <row r="1167" spans="1:42" x14ac:dyDescent="0.25">
      <c r="A1167">
        <v>1361</v>
      </c>
      <c r="B1167" t="s">
        <v>2123</v>
      </c>
      <c r="C1167" t="s">
        <v>2122</v>
      </c>
      <c r="D1167" t="s">
        <v>121</v>
      </c>
      <c r="E1167" s="4">
        <v>1</v>
      </c>
      <c r="F1167" t="s">
        <v>61</v>
      </c>
      <c r="G1167" t="s">
        <v>61</v>
      </c>
      <c r="H1167" s="3">
        <v>46195</v>
      </c>
      <c r="I1167" s="3">
        <v>46195</v>
      </c>
      <c r="J1167" t="s">
        <v>219</v>
      </c>
      <c r="K1167" s="3">
        <v>46195</v>
      </c>
      <c r="L1167" s="3">
        <v>46195</v>
      </c>
      <c r="M1167" s="3">
        <v>46195</v>
      </c>
      <c r="N1167" s="3">
        <v>46195</v>
      </c>
      <c r="O1167" t="s">
        <v>219</v>
      </c>
      <c r="P1167" t="s">
        <v>55</v>
      </c>
      <c r="Q1167">
        <v>1360</v>
      </c>
      <c r="S1167" t="s">
        <v>124</v>
      </c>
      <c r="T1167" t="s">
        <v>1429</v>
      </c>
      <c r="U1167">
        <v>1362</v>
      </c>
      <c r="V1167" t="s">
        <v>61</v>
      </c>
      <c r="W1167">
        <v>13.4</v>
      </c>
      <c r="X1167" t="s">
        <v>57</v>
      </c>
      <c r="Z1167" t="s">
        <v>124</v>
      </c>
      <c r="AA1167" t="s">
        <v>462</v>
      </c>
      <c r="AE1167">
        <v>1</v>
      </c>
      <c r="AF1167">
        <v>0</v>
      </c>
      <c r="AG1167">
        <v>0</v>
      </c>
      <c r="AH1167">
        <v>0</v>
      </c>
      <c r="AI1167">
        <v>0</v>
      </c>
      <c r="AJ1167">
        <v>1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</row>
    <row r="1168" spans="1:42" x14ac:dyDescent="0.25">
      <c r="A1168">
        <v>1362</v>
      </c>
      <c r="B1168" t="s">
        <v>2124</v>
      </c>
      <c r="C1168" t="s">
        <v>2122</v>
      </c>
      <c r="D1168" t="s">
        <v>126</v>
      </c>
      <c r="E1168" s="4">
        <v>1</v>
      </c>
      <c r="F1168" t="s">
        <v>61</v>
      </c>
      <c r="G1168" t="s">
        <v>61</v>
      </c>
      <c r="H1168" s="3">
        <v>46196</v>
      </c>
      <c r="I1168" s="3">
        <v>46196</v>
      </c>
      <c r="J1168" t="s">
        <v>212</v>
      </c>
      <c r="K1168" s="3">
        <v>46196</v>
      </c>
      <c r="L1168" s="3">
        <v>46196</v>
      </c>
      <c r="M1168" s="3">
        <v>46196</v>
      </c>
      <c r="N1168" s="3">
        <v>46196</v>
      </c>
      <c r="O1168" t="s">
        <v>212</v>
      </c>
      <c r="P1168" t="s">
        <v>55</v>
      </c>
      <c r="Q1168">
        <v>1361</v>
      </c>
      <c r="S1168" t="s">
        <v>1444</v>
      </c>
      <c r="T1168" t="s">
        <v>1429</v>
      </c>
      <c r="U1168">
        <v>1363</v>
      </c>
      <c r="V1168" t="s">
        <v>61</v>
      </c>
      <c r="W1168">
        <v>13.4</v>
      </c>
      <c r="X1168" t="s">
        <v>57</v>
      </c>
      <c r="Z1168" t="s">
        <v>1444</v>
      </c>
      <c r="AA1168" t="s">
        <v>462</v>
      </c>
      <c r="AE1168">
        <v>1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1</v>
      </c>
      <c r="AM1168">
        <v>0</v>
      </c>
      <c r="AN1168">
        <v>0</v>
      </c>
      <c r="AO1168">
        <v>0</v>
      </c>
      <c r="AP1168">
        <v>0</v>
      </c>
    </row>
    <row r="1169" spans="1:42" x14ac:dyDescent="0.25">
      <c r="A1169">
        <v>1363</v>
      </c>
      <c r="B1169" t="s">
        <v>2125</v>
      </c>
      <c r="C1169" t="s">
        <v>2122</v>
      </c>
      <c r="D1169" t="s">
        <v>133</v>
      </c>
      <c r="E1169" s="4">
        <v>1</v>
      </c>
      <c r="F1169" t="s">
        <v>61</v>
      </c>
      <c r="G1169" t="s">
        <v>61</v>
      </c>
      <c r="H1169" s="3">
        <v>46197</v>
      </c>
      <c r="I1169" s="3">
        <v>46197</v>
      </c>
      <c r="J1169" t="s">
        <v>207</v>
      </c>
      <c r="K1169" s="3">
        <v>46197</v>
      </c>
      <c r="L1169" s="3">
        <v>46197</v>
      </c>
      <c r="M1169" s="3">
        <v>46197</v>
      </c>
      <c r="N1169" s="3">
        <v>46197</v>
      </c>
      <c r="O1169" t="s">
        <v>207</v>
      </c>
      <c r="P1169" t="s">
        <v>55</v>
      </c>
      <c r="Q1169">
        <v>1362</v>
      </c>
      <c r="S1169" t="s">
        <v>124</v>
      </c>
      <c r="T1169" t="s">
        <v>1429</v>
      </c>
      <c r="V1169" t="s">
        <v>61</v>
      </c>
      <c r="W1169">
        <v>13.4</v>
      </c>
      <c r="X1169" t="s">
        <v>57</v>
      </c>
      <c r="Z1169" t="s">
        <v>124</v>
      </c>
      <c r="AA1169" t="s">
        <v>217</v>
      </c>
      <c r="AE1169">
        <v>1</v>
      </c>
      <c r="AF1169">
        <v>0</v>
      </c>
      <c r="AG1169">
        <v>0</v>
      </c>
      <c r="AH1169">
        <v>0</v>
      </c>
      <c r="AI1169">
        <v>1</v>
      </c>
      <c r="AJ1169">
        <v>0</v>
      </c>
      <c r="AK1169">
        <v>0</v>
      </c>
      <c r="AL1169">
        <v>0</v>
      </c>
      <c r="AM1169">
        <v>0</v>
      </c>
      <c r="AN1169">
        <v>1</v>
      </c>
      <c r="AO1169">
        <v>0</v>
      </c>
      <c r="AP1169">
        <v>0</v>
      </c>
    </row>
    <row r="1170" spans="1:42" x14ac:dyDescent="0.25">
      <c r="A1170">
        <v>1364</v>
      </c>
      <c r="B1170" t="s">
        <v>2126</v>
      </c>
      <c r="C1170" t="s">
        <v>1429</v>
      </c>
      <c r="D1170" t="s">
        <v>2127</v>
      </c>
      <c r="E1170" s="4">
        <v>1</v>
      </c>
      <c r="F1170" t="s">
        <v>122</v>
      </c>
      <c r="G1170" t="s">
        <v>122</v>
      </c>
      <c r="H1170" s="3">
        <v>46198</v>
      </c>
      <c r="I1170" s="3">
        <v>46202</v>
      </c>
      <c r="J1170" t="s">
        <v>211</v>
      </c>
      <c r="K1170" s="3">
        <v>46199</v>
      </c>
      <c r="L1170" s="3">
        <v>46192</v>
      </c>
      <c r="M1170" s="3">
        <v>46202</v>
      </c>
      <c r="N1170" s="3">
        <v>46202</v>
      </c>
      <c r="O1170" t="s">
        <v>128</v>
      </c>
      <c r="P1170" t="s">
        <v>55</v>
      </c>
      <c r="T1170" t="s">
        <v>1429</v>
      </c>
      <c r="V1170" t="s">
        <v>214</v>
      </c>
      <c r="X1170" t="s">
        <v>57</v>
      </c>
      <c r="AA1170" t="s">
        <v>50</v>
      </c>
      <c r="AE1170">
        <v>1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</row>
    <row r="1171" spans="1:42" x14ac:dyDescent="0.25">
      <c r="A1171">
        <v>1365</v>
      </c>
      <c r="B1171" t="s">
        <v>2128</v>
      </c>
      <c r="C1171" t="s">
        <v>2129</v>
      </c>
      <c r="D1171" t="s">
        <v>2130</v>
      </c>
      <c r="E1171" s="4">
        <v>1</v>
      </c>
      <c r="F1171" t="s">
        <v>122</v>
      </c>
      <c r="G1171" t="s">
        <v>122</v>
      </c>
      <c r="H1171" s="3">
        <v>46198</v>
      </c>
      <c r="I1171" s="3">
        <v>46202</v>
      </c>
      <c r="J1171" t="s">
        <v>211</v>
      </c>
      <c r="K1171" s="3">
        <v>46199</v>
      </c>
      <c r="L1171" s="3">
        <v>46192</v>
      </c>
      <c r="M1171" s="3">
        <v>46202</v>
      </c>
      <c r="N1171" s="3">
        <v>46202</v>
      </c>
      <c r="O1171" t="s">
        <v>128</v>
      </c>
      <c r="P1171" t="s">
        <v>55</v>
      </c>
      <c r="T1171" t="s">
        <v>1429</v>
      </c>
      <c r="V1171" t="s">
        <v>214</v>
      </c>
      <c r="X1171" t="s">
        <v>57</v>
      </c>
      <c r="AA1171" t="s">
        <v>50</v>
      </c>
      <c r="AE1171">
        <v>1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</row>
    <row r="1172" spans="1:42" x14ac:dyDescent="0.25">
      <c r="A1172">
        <v>1366</v>
      </c>
      <c r="B1172" t="s">
        <v>2131</v>
      </c>
      <c r="C1172" t="s">
        <v>2132</v>
      </c>
      <c r="D1172" t="s">
        <v>117</v>
      </c>
      <c r="E1172" s="4">
        <v>1</v>
      </c>
      <c r="F1172" t="s">
        <v>127</v>
      </c>
      <c r="G1172" t="s">
        <v>127</v>
      </c>
      <c r="H1172" s="3">
        <v>46198</v>
      </c>
      <c r="I1172" s="3">
        <v>46199</v>
      </c>
      <c r="J1172" t="s">
        <v>211</v>
      </c>
      <c r="K1172" s="3">
        <v>46192</v>
      </c>
      <c r="L1172" s="3">
        <v>46192</v>
      </c>
      <c r="M1172" s="3">
        <v>46199</v>
      </c>
      <c r="N1172" s="3">
        <v>46199</v>
      </c>
      <c r="O1172" t="s">
        <v>128</v>
      </c>
      <c r="P1172" t="s">
        <v>55</v>
      </c>
      <c r="Q1172">
        <v>1313</v>
      </c>
      <c r="S1172" t="s">
        <v>1433</v>
      </c>
      <c r="T1172" t="s">
        <v>1429</v>
      </c>
      <c r="U1172">
        <v>1367</v>
      </c>
      <c r="V1172" t="s">
        <v>61</v>
      </c>
      <c r="W1172">
        <v>13.4</v>
      </c>
      <c r="X1172" t="s">
        <v>57</v>
      </c>
      <c r="Z1172" t="s">
        <v>1433</v>
      </c>
      <c r="AA1172" t="s">
        <v>217</v>
      </c>
      <c r="AE1172">
        <v>1</v>
      </c>
      <c r="AF1172">
        <v>1</v>
      </c>
      <c r="AG1172">
        <v>1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1</v>
      </c>
    </row>
    <row r="1173" spans="1:42" x14ac:dyDescent="0.25">
      <c r="A1173">
        <v>1367</v>
      </c>
      <c r="B1173" t="s">
        <v>2133</v>
      </c>
      <c r="C1173" t="s">
        <v>2132</v>
      </c>
      <c r="D1173" t="s">
        <v>121</v>
      </c>
      <c r="E1173" s="4">
        <v>1</v>
      </c>
      <c r="F1173" t="s">
        <v>61</v>
      </c>
      <c r="G1173" t="s">
        <v>61</v>
      </c>
      <c r="H1173" s="3">
        <v>46202</v>
      </c>
      <c r="I1173" s="3">
        <v>46202</v>
      </c>
      <c r="J1173" t="s">
        <v>219</v>
      </c>
      <c r="K1173" s="3">
        <v>46197</v>
      </c>
      <c r="L1173" s="3">
        <v>46195</v>
      </c>
      <c r="M1173" s="3">
        <v>46202</v>
      </c>
      <c r="N1173" s="3">
        <v>46202</v>
      </c>
      <c r="O1173" t="s">
        <v>2134</v>
      </c>
      <c r="P1173" t="s">
        <v>55</v>
      </c>
      <c r="Q1173">
        <v>1366</v>
      </c>
      <c r="S1173" t="s">
        <v>124</v>
      </c>
      <c r="T1173" t="s">
        <v>1429</v>
      </c>
      <c r="U1173" t="s">
        <v>2135</v>
      </c>
      <c r="V1173" t="s">
        <v>122</v>
      </c>
      <c r="W1173">
        <v>13.4</v>
      </c>
      <c r="X1173" t="s">
        <v>57</v>
      </c>
      <c r="Z1173" t="s">
        <v>124</v>
      </c>
      <c r="AA1173" t="s">
        <v>131</v>
      </c>
      <c r="AE1173">
        <v>1</v>
      </c>
      <c r="AF1173">
        <v>0</v>
      </c>
      <c r="AG1173">
        <v>0</v>
      </c>
      <c r="AH1173">
        <v>0</v>
      </c>
      <c r="AI1173">
        <v>0</v>
      </c>
      <c r="AJ1173">
        <v>1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</row>
    <row r="1174" spans="1:42" x14ac:dyDescent="0.25">
      <c r="A1174">
        <v>1368</v>
      </c>
      <c r="B1174" t="s">
        <v>2136</v>
      </c>
      <c r="C1174" t="s">
        <v>2132</v>
      </c>
      <c r="D1174" t="s">
        <v>126</v>
      </c>
      <c r="E1174" s="4">
        <v>1</v>
      </c>
      <c r="F1174" t="s">
        <v>61</v>
      </c>
      <c r="G1174" t="s">
        <v>61</v>
      </c>
      <c r="H1174" s="3">
        <v>46202</v>
      </c>
      <c r="I1174" s="3">
        <v>46202</v>
      </c>
      <c r="J1174" t="s">
        <v>128</v>
      </c>
      <c r="K1174" s="3">
        <v>46198</v>
      </c>
      <c r="L1174" s="3">
        <v>46198</v>
      </c>
      <c r="M1174" s="3">
        <v>46202</v>
      </c>
      <c r="N1174" s="3">
        <v>46202</v>
      </c>
      <c r="O1174" t="s">
        <v>2134</v>
      </c>
      <c r="P1174" t="s">
        <v>55</v>
      </c>
      <c r="Q1174" t="s">
        <v>2137</v>
      </c>
      <c r="S1174" t="s">
        <v>1433</v>
      </c>
      <c r="T1174" t="s">
        <v>1429</v>
      </c>
      <c r="U1174" t="s">
        <v>2138</v>
      </c>
      <c r="V1174" t="s">
        <v>61</v>
      </c>
      <c r="W1174">
        <v>13.4</v>
      </c>
      <c r="X1174" t="s">
        <v>57</v>
      </c>
      <c r="Z1174" t="s">
        <v>1433</v>
      </c>
      <c r="AA1174" t="s">
        <v>131</v>
      </c>
      <c r="AE1174">
        <v>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1</v>
      </c>
      <c r="AM1174">
        <v>0</v>
      </c>
      <c r="AN1174">
        <v>0</v>
      </c>
      <c r="AO1174">
        <v>0</v>
      </c>
      <c r="AP1174">
        <v>0</v>
      </c>
    </row>
    <row r="1175" spans="1:42" x14ac:dyDescent="0.25">
      <c r="A1175">
        <v>1369</v>
      </c>
      <c r="B1175" t="s">
        <v>2139</v>
      </c>
      <c r="C1175" t="s">
        <v>2132</v>
      </c>
      <c r="D1175" t="s">
        <v>133</v>
      </c>
      <c r="E1175" s="4">
        <v>1</v>
      </c>
      <c r="F1175" t="s">
        <v>61</v>
      </c>
      <c r="G1175" t="s">
        <v>61</v>
      </c>
      <c r="H1175" s="3">
        <v>46202</v>
      </c>
      <c r="I1175" s="3">
        <v>46202</v>
      </c>
      <c r="J1175" t="s">
        <v>134</v>
      </c>
      <c r="K1175" s="3">
        <v>46199</v>
      </c>
      <c r="L1175" s="3">
        <v>46199</v>
      </c>
      <c r="M1175" s="3">
        <v>46202</v>
      </c>
      <c r="N1175" s="3">
        <v>46202</v>
      </c>
      <c r="O1175" t="s">
        <v>2134</v>
      </c>
      <c r="P1175" t="s">
        <v>55</v>
      </c>
      <c r="Q1175" t="s">
        <v>2135</v>
      </c>
      <c r="S1175" t="s">
        <v>124</v>
      </c>
      <c r="T1175" t="s">
        <v>1429</v>
      </c>
      <c r="V1175" t="s">
        <v>61</v>
      </c>
      <c r="W1175">
        <v>13.4</v>
      </c>
      <c r="X1175" t="s">
        <v>57</v>
      </c>
      <c r="Z1175" t="s">
        <v>124</v>
      </c>
      <c r="AA1175" t="s">
        <v>131</v>
      </c>
      <c r="AE1175">
        <v>1</v>
      </c>
      <c r="AF1175">
        <v>0</v>
      </c>
      <c r="AG1175">
        <v>0</v>
      </c>
      <c r="AH1175">
        <v>0</v>
      </c>
      <c r="AI1175">
        <v>1</v>
      </c>
      <c r="AJ1175">
        <v>0</v>
      </c>
      <c r="AK1175">
        <v>0</v>
      </c>
      <c r="AL1175">
        <v>0</v>
      </c>
      <c r="AM1175">
        <v>0</v>
      </c>
      <c r="AN1175">
        <v>1</v>
      </c>
      <c r="AO1175">
        <v>0</v>
      </c>
      <c r="AP1175">
        <v>0</v>
      </c>
    </row>
    <row r="1176" spans="1:42" x14ac:dyDescent="0.25">
      <c r="A1176">
        <v>1375</v>
      </c>
      <c r="B1176" t="s">
        <v>2140</v>
      </c>
      <c r="C1176" t="s">
        <v>52</v>
      </c>
      <c r="D1176" t="s">
        <v>2141</v>
      </c>
      <c r="E1176" s="4">
        <v>1</v>
      </c>
      <c r="F1176" t="s">
        <v>1034</v>
      </c>
      <c r="G1176" t="s">
        <v>1034</v>
      </c>
      <c r="H1176" s="3">
        <v>46106</v>
      </c>
      <c r="I1176" s="3">
        <v>46197</v>
      </c>
      <c r="J1176" t="s">
        <v>123</v>
      </c>
      <c r="K1176" s="3">
        <v>46199</v>
      </c>
      <c r="L1176" s="3">
        <v>46104</v>
      </c>
      <c r="M1176" s="3">
        <v>46197</v>
      </c>
      <c r="N1176" s="3">
        <v>46197</v>
      </c>
      <c r="O1176" t="s">
        <v>431</v>
      </c>
      <c r="P1176" t="s">
        <v>55</v>
      </c>
      <c r="V1176" t="s">
        <v>423</v>
      </c>
      <c r="W1176">
        <v>473.08</v>
      </c>
      <c r="X1176" t="s">
        <v>57</v>
      </c>
      <c r="AA1176" t="s">
        <v>50</v>
      </c>
      <c r="AE1176">
        <v>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</row>
    <row r="1177" spans="1:42" x14ac:dyDescent="0.25">
      <c r="A1177">
        <v>1376</v>
      </c>
      <c r="B1177" t="s">
        <v>2142</v>
      </c>
      <c r="C1177" t="s">
        <v>2143</v>
      </c>
      <c r="D1177" t="s">
        <v>2144</v>
      </c>
      <c r="E1177" s="4">
        <v>1</v>
      </c>
      <c r="F1177" t="s">
        <v>210</v>
      </c>
      <c r="G1177" t="s">
        <v>210</v>
      </c>
      <c r="H1177" s="3">
        <v>46106</v>
      </c>
      <c r="I1177" s="3">
        <v>46119</v>
      </c>
      <c r="J1177" t="s">
        <v>123</v>
      </c>
      <c r="K1177" s="3">
        <v>46119</v>
      </c>
      <c r="L1177" s="3">
        <v>46104</v>
      </c>
      <c r="M1177" s="3">
        <v>46119</v>
      </c>
      <c r="N1177" s="3">
        <v>46119</v>
      </c>
      <c r="O1177" t="s">
        <v>431</v>
      </c>
      <c r="P1177" t="s">
        <v>55</v>
      </c>
      <c r="T1177" t="s">
        <v>2143</v>
      </c>
      <c r="V1177" t="s">
        <v>151</v>
      </c>
      <c r="W1177">
        <v>23.52</v>
      </c>
      <c r="X1177" t="s">
        <v>57</v>
      </c>
      <c r="AA1177" t="s">
        <v>50</v>
      </c>
      <c r="AE1177">
        <v>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</row>
    <row r="1178" spans="1:42" x14ac:dyDescent="0.25">
      <c r="A1178">
        <v>1377</v>
      </c>
      <c r="B1178" t="s">
        <v>2145</v>
      </c>
      <c r="C1178" t="s">
        <v>2146</v>
      </c>
      <c r="D1178" t="s">
        <v>117</v>
      </c>
      <c r="E1178" s="4">
        <v>1</v>
      </c>
      <c r="F1178" t="s">
        <v>138</v>
      </c>
      <c r="G1178" t="s">
        <v>138</v>
      </c>
      <c r="H1178" s="3">
        <v>46106</v>
      </c>
      <c r="I1178" s="3">
        <v>46112</v>
      </c>
      <c r="J1178" t="s">
        <v>123</v>
      </c>
      <c r="K1178" s="3">
        <v>46108</v>
      </c>
      <c r="L1178" s="3">
        <v>46104</v>
      </c>
      <c r="M1178" s="3">
        <v>46112</v>
      </c>
      <c r="N1178" s="3">
        <v>46112</v>
      </c>
      <c r="O1178" t="s">
        <v>431</v>
      </c>
      <c r="P1178" t="s">
        <v>55</v>
      </c>
      <c r="Q1178">
        <v>12</v>
      </c>
      <c r="R1178" s="1">
        <v>46112</v>
      </c>
      <c r="S1178" t="s">
        <v>2147</v>
      </c>
      <c r="T1178" t="s">
        <v>2143</v>
      </c>
      <c r="U1178">
        <v>1378</v>
      </c>
      <c r="V1178" t="s">
        <v>138</v>
      </c>
      <c r="W1178">
        <v>13.4</v>
      </c>
      <c r="X1178" t="s">
        <v>57</v>
      </c>
      <c r="Z1178" t="s">
        <v>2147</v>
      </c>
      <c r="AA1178" t="s">
        <v>64</v>
      </c>
      <c r="AE1178">
        <v>1</v>
      </c>
      <c r="AF1178">
        <v>1</v>
      </c>
      <c r="AG1178">
        <v>1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1</v>
      </c>
    </row>
    <row r="1179" spans="1:42" x14ac:dyDescent="0.25">
      <c r="A1179">
        <v>1378</v>
      </c>
      <c r="B1179" t="s">
        <v>2148</v>
      </c>
      <c r="C1179" t="s">
        <v>2146</v>
      </c>
      <c r="D1179" t="s">
        <v>121</v>
      </c>
      <c r="E1179" s="4">
        <v>1</v>
      </c>
      <c r="F1179" t="s">
        <v>122</v>
      </c>
      <c r="G1179" t="s">
        <v>122</v>
      </c>
      <c r="H1179" s="3">
        <v>46111</v>
      </c>
      <c r="I1179" s="3">
        <v>46113</v>
      </c>
      <c r="J1179" t="s">
        <v>275</v>
      </c>
      <c r="K1179" s="3">
        <v>46113</v>
      </c>
      <c r="L1179" s="3">
        <v>46111</v>
      </c>
      <c r="M1179" s="3">
        <v>46113</v>
      </c>
      <c r="N1179" s="3">
        <v>46113</v>
      </c>
      <c r="O1179" t="s">
        <v>275</v>
      </c>
      <c r="P1179" t="s">
        <v>55</v>
      </c>
      <c r="Q1179">
        <v>1377</v>
      </c>
      <c r="S1179" t="s">
        <v>124</v>
      </c>
      <c r="T1179" t="s">
        <v>2143</v>
      </c>
      <c r="U1179">
        <v>1379</v>
      </c>
      <c r="V1179" t="s">
        <v>122</v>
      </c>
      <c r="W1179">
        <v>13.4</v>
      </c>
      <c r="X1179" t="s">
        <v>57</v>
      </c>
      <c r="Z1179" t="s">
        <v>124</v>
      </c>
      <c r="AA1179" t="s">
        <v>255</v>
      </c>
      <c r="AE1179">
        <v>1</v>
      </c>
      <c r="AF1179">
        <v>0</v>
      </c>
      <c r="AG1179">
        <v>0</v>
      </c>
      <c r="AH1179">
        <v>0</v>
      </c>
      <c r="AI1179">
        <v>0</v>
      </c>
      <c r="AJ1179">
        <v>1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</row>
    <row r="1180" spans="1:42" x14ac:dyDescent="0.25">
      <c r="A1180">
        <v>1379</v>
      </c>
      <c r="B1180" t="s">
        <v>2149</v>
      </c>
      <c r="C1180" t="s">
        <v>2146</v>
      </c>
      <c r="D1180" t="s">
        <v>126</v>
      </c>
      <c r="E1180" s="4">
        <v>1</v>
      </c>
      <c r="F1180" t="s">
        <v>61</v>
      </c>
      <c r="G1180" t="s">
        <v>61</v>
      </c>
      <c r="H1180" s="3">
        <v>46114</v>
      </c>
      <c r="I1180" s="3">
        <v>46114</v>
      </c>
      <c r="J1180" t="s">
        <v>2150</v>
      </c>
      <c r="K1180" s="3">
        <v>46114</v>
      </c>
      <c r="L1180" s="3">
        <v>46114</v>
      </c>
      <c r="M1180" s="3">
        <v>46114</v>
      </c>
      <c r="N1180" s="3">
        <v>46114</v>
      </c>
      <c r="O1180" t="s">
        <v>2150</v>
      </c>
      <c r="P1180" t="s">
        <v>55</v>
      </c>
      <c r="Q1180">
        <v>1378</v>
      </c>
      <c r="S1180" t="s">
        <v>2147</v>
      </c>
      <c r="T1180" t="s">
        <v>2143</v>
      </c>
      <c r="U1180">
        <v>1380</v>
      </c>
      <c r="V1180" t="s">
        <v>61</v>
      </c>
      <c r="W1180">
        <v>13.4</v>
      </c>
      <c r="X1180" t="s">
        <v>57</v>
      </c>
      <c r="Z1180" t="s">
        <v>2147</v>
      </c>
      <c r="AA1180" t="s">
        <v>255</v>
      </c>
      <c r="AE1180">
        <v>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1</v>
      </c>
      <c r="AM1180">
        <v>0</v>
      </c>
      <c r="AN1180">
        <v>0</v>
      </c>
      <c r="AO1180">
        <v>0</v>
      </c>
      <c r="AP1180">
        <v>0</v>
      </c>
    </row>
    <row r="1181" spans="1:42" x14ac:dyDescent="0.25">
      <c r="A1181">
        <v>1380</v>
      </c>
      <c r="B1181" t="s">
        <v>2151</v>
      </c>
      <c r="C1181" t="s">
        <v>2146</v>
      </c>
      <c r="D1181" t="s">
        <v>133</v>
      </c>
      <c r="E1181" s="4">
        <v>1</v>
      </c>
      <c r="F1181" t="s">
        <v>61</v>
      </c>
      <c r="G1181" t="s">
        <v>61</v>
      </c>
      <c r="H1181" s="3">
        <v>46118</v>
      </c>
      <c r="I1181" s="3">
        <v>46119</v>
      </c>
      <c r="J1181" t="s">
        <v>2152</v>
      </c>
      <c r="K1181" s="3">
        <v>46119</v>
      </c>
      <c r="L1181" s="3">
        <v>46119</v>
      </c>
      <c r="M1181" s="3">
        <v>46119</v>
      </c>
      <c r="N1181" s="3">
        <v>46119</v>
      </c>
      <c r="O1181" t="s">
        <v>2153</v>
      </c>
      <c r="P1181" t="s">
        <v>55</v>
      </c>
      <c r="Q1181">
        <v>1379</v>
      </c>
      <c r="S1181" t="s">
        <v>124</v>
      </c>
      <c r="T1181" t="s">
        <v>2143</v>
      </c>
      <c r="V1181" t="s">
        <v>61</v>
      </c>
      <c r="W1181">
        <v>13.4</v>
      </c>
      <c r="X1181" t="s">
        <v>57</v>
      </c>
      <c r="Z1181" t="s">
        <v>124</v>
      </c>
      <c r="AA1181" t="s">
        <v>82</v>
      </c>
      <c r="AE1181">
        <v>1</v>
      </c>
      <c r="AF1181">
        <v>0</v>
      </c>
      <c r="AG1181">
        <v>0</v>
      </c>
      <c r="AH1181">
        <v>0</v>
      </c>
      <c r="AI1181">
        <v>1</v>
      </c>
      <c r="AJ1181">
        <v>0</v>
      </c>
      <c r="AK1181">
        <v>0</v>
      </c>
      <c r="AL1181">
        <v>0</v>
      </c>
      <c r="AM1181">
        <v>0</v>
      </c>
      <c r="AN1181">
        <v>1</v>
      </c>
      <c r="AO1181">
        <v>0</v>
      </c>
      <c r="AP1181">
        <v>0</v>
      </c>
    </row>
    <row r="1182" spans="1:42" x14ac:dyDescent="0.25">
      <c r="A1182">
        <v>1381</v>
      </c>
      <c r="B1182" t="s">
        <v>2154</v>
      </c>
      <c r="C1182" t="s">
        <v>2143</v>
      </c>
      <c r="D1182" t="s">
        <v>2155</v>
      </c>
      <c r="E1182" s="4">
        <v>1</v>
      </c>
      <c r="F1182" t="s">
        <v>214</v>
      </c>
      <c r="G1182" t="s">
        <v>214</v>
      </c>
      <c r="H1182" s="3">
        <v>46167</v>
      </c>
      <c r="I1182" s="3">
        <v>46174</v>
      </c>
      <c r="J1182" t="s">
        <v>459</v>
      </c>
      <c r="K1182" s="3">
        <v>46190</v>
      </c>
      <c r="L1182" s="3">
        <v>46176</v>
      </c>
      <c r="M1182" s="3">
        <v>46174</v>
      </c>
      <c r="N1182" s="3">
        <v>46174</v>
      </c>
      <c r="O1182" t="s">
        <v>74</v>
      </c>
      <c r="P1182" t="s">
        <v>55</v>
      </c>
      <c r="T1182" t="s">
        <v>2143</v>
      </c>
      <c r="V1182" t="s">
        <v>114</v>
      </c>
      <c r="W1182">
        <v>40.799999999999997</v>
      </c>
      <c r="X1182" t="s">
        <v>57</v>
      </c>
      <c r="AA1182" t="s">
        <v>50</v>
      </c>
      <c r="AE1182">
        <v>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</row>
    <row r="1183" spans="1:42" x14ac:dyDescent="0.25">
      <c r="A1183">
        <v>1382</v>
      </c>
      <c r="B1183" t="s">
        <v>2156</v>
      </c>
      <c r="C1183" t="s">
        <v>2157</v>
      </c>
      <c r="D1183" t="s">
        <v>117</v>
      </c>
      <c r="E1183" s="4">
        <v>1</v>
      </c>
      <c r="F1183" t="s">
        <v>122</v>
      </c>
      <c r="G1183" t="s">
        <v>122</v>
      </c>
      <c r="H1183" s="3">
        <v>46167</v>
      </c>
      <c r="I1183" s="3">
        <v>46169</v>
      </c>
      <c r="J1183" t="s">
        <v>459</v>
      </c>
      <c r="K1183" s="3">
        <v>46183</v>
      </c>
      <c r="L1183" s="3">
        <v>46176</v>
      </c>
      <c r="M1183" s="3">
        <v>46169</v>
      </c>
      <c r="N1183" s="3">
        <v>46169</v>
      </c>
      <c r="O1183" t="s">
        <v>74</v>
      </c>
      <c r="P1183" t="s">
        <v>55</v>
      </c>
      <c r="Q1183" t="s">
        <v>442</v>
      </c>
      <c r="S1183" t="s">
        <v>2147</v>
      </c>
      <c r="T1183" t="s">
        <v>2143</v>
      </c>
      <c r="U1183">
        <v>1383</v>
      </c>
      <c r="V1183" t="s">
        <v>101</v>
      </c>
      <c r="W1183">
        <v>13.4</v>
      </c>
      <c r="X1183" t="s">
        <v>57</v>
      </c>
      <c r="Z1183" t="s">
        <v>2147</v>
      </c>
      <c r="AA1183" t="s">
        <v>460</v>
      </c>
      <c r="AE1183">
        <v>1</v>
      </c>
      <c r="AF1183">
        <v>1</v>
      </c>
      <c r="AG1183">
        <v>1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1</v>
      </c>
    </row>
    <row r="1184" spans="1:42" x14ac:dyDescent="0.25">
      <c r="A1184">
        <v>1383</v>
      </c>
      <c r="B1184" t="s">
        <v>2158</v>
      </c>
      <c r="C1184" t="s">
        <v>2157</v>
      </c>
      <c r="D1184" t="s">
        <v>121</v>
      </c>
      <c r="E1184" s="4">
        <v>1</v>
      </c>
      <c r="F1184" t="s">
        <v>61</v>
      </c>
      <c r="G1184" t="s">
        <v>61</v>
      </c>
      <c r="H1184" s="3">
        <v>46169</v>
      </c>
      <c r="I1184" s="3">
        <v>46170</v>
      </c>
      <c r="J1184" t="s">
        <v>476</v>
      </c>
      <c r="K1184" s="3">
        <v>46188</v>
      </c>
      <c r="L1184" s="3">
        <v>46184</v>
      </c>
      <c r="M1184" s="3">
        <v>46170</v>
      </c>
      <c r="N1184" s="3">
        <v>46170</v>
      </c>
      <c r="O1184" t="s">
        <v>97</v>
      </c>
      <c r="P1184" t="s">
        <v>55</v>
      </c>
      <c r="Q1184">
        <v>1382</v>
      </c>
      <c r="S1184" t="s">
        <v>124</v>
      </c>
      <c r="T1184" t="s">
        <v>2143</v>
      </c>
      <c r="U1184">
        <v>1384</v>
      </c>
      <c r="V1184" t="s">
        <v>122</v>
      </c>
      <c r="W1184">
        <v>13.4</v>
      </c>
      <c r="X1184" t="s">
        <v>57</v>
      </c>
      <c r="Z1184" t="s">
        <v>124</v>
      </c>
      <c r="AA1184" t="s">
        <v>462</v>
      </c>
      <c r="AE1184">
        <v>1</v>
      </c>
      <c r="AF1184">
        <v>0</v>
      </c>
      <c r="AG1184">
        <v>0</v>
      </c>
      <c r="AH1184">
        <v>0</v>
      </c>
      <c r="AI1184">
        <v>0</v>
      </c>
      <c r="AJ1184">
        <v>1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</row>
    <row r="1185" spans="1:42" x14ac:dyDescent="0.25">
      <c r="A1185">
        <v>1384</v>
      </c>
      <c r="B1185" t="s">
        <v>2159</v>
      </c>
      <c r="C1185" t="s">
        <v>2157</v>
      </c>
      <c r="D1185" t="s">
        <v>126</v>
      </c>
      <c r="E1185" s="4">
        <v>1</v>
      </c>
      <c r="F1185" t="s">
        <v>61</v>
      </c>
      <c r="G1185" t="s">
        <v>61</v>
      </c>
      <c r="H1185" s="3">
        <v>46171</v>
      </c>
      <c r="I1185" s="3">
        <v>46171</v>
      </c>
      <c r="J1185" t="s">
        <v>576</v>
      </c>
      <c r="K1185" s="3">
        <v>46189</v>
      </c>
      <c r="L1185" s="3">
        <v>46189</v>
      </c>
      <c r="M1185" s="3">
        <v>46171</v>
      </c>
      <c r="N1185" s="3">
        <v>46171</v>
      </c>
      <c r="O1185" t="s">
        <v>189</v>
      </c>
      <c r="P1185" t="s">
        <v>55</v>
      </c>
      <c r="Q1185">
        <v>1383</v>
      </c>
      <c r="S1185" t="s">
        <v>2147</v>
      </c>
      <c r="T1185" t="s">
        <v>2143</v>
      </c>
      <c r="U1185">
        <v>1385</v>
      </c>
      <c r="V1185" t="s">
        <v>61</v>
      </c>
      <c r="W1185">
        <v>13.4</v>
      </c>
      <c r="X1185" t="s">
        <v>57</v>
      </c>
      <c r="Z1185" t="s">
        <v>2147</v>
      </c>
      <c r="AA1185" t="s">
        <v>217</v>
      </c>
      <c r="AE1185">
        <v>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1</v>
      </c>
      <c r="AM1185">
        <v>0</v>
      </c>
      <c r="AN1185">
        <v>0</v>
      </c>
      <c r="AO1185">
        <v>0</v>
      </c>
      <c r="AP1185">
        <v>0</v>
      </c>
    </row>
    <row r="1186" spans="1:42" x14ac:dyDescent="0.25">
      <c r="A1186">
        <v>1385</v>
      </c>
      <c r="B1186" t="s">
        <v>2160</v>
      </c>
      <c r="C1186" t="s">
        <v>2157</v>
      </c>
      <c r="D1186" t="s">
        <v>133</v>
      </c>
      <c r="E1186" s="4">
        <v>1</v>
      </c>
      <c r="F1186" t="s">
        <v>61</v>
      </c>
      <c r="G1186" t="s">
        <v>61</v>
      </c>
      <c r="H1186" s="3">
        <v>46174</v>
      </c>
      <c r="I1186" s="3">
        <v>46174</v>
      </c>
      <c r="J1186" t="s">
        <v>75</v>
      </c>
      <c r="K1186" s="3">
        <v>46190</v>
      </c>
      <c r="L1186" s="3">
        <v>46190</v>
      </c>
      <c r="M1186" s="3">
        <v>46174</v>
      </c>
      <c r="N1186" s="3">
        <v>46174</v>
      </c>
      <c r="O1186" t="s">
        <v>193</v>
      </c>
      <c r="P1186" t="s">
        <v>55</v>
      </c>
      <c r="Q1186">
        <v>1384</v>
      </c>
      <c r="S1186" t="s">
        <v>124</v>
      </c>
      <c r="T1186" t="s">
        <v>2143</v>
      </c>
      <c r="U1186">
        <v>1417</v>
      </c>
      <c r="V1186" t="s">
        <v>61</v>
      </c>
      <c r="W1186">
        <v>13.4</v>
      </c>
      <c r="X1186" t="s">
        <v>57</v>
      </c>
      <c r="Z1186" t="s">
        <v>124</v>
      </c>
      <c r="AA1186" t="s">
        <v>217</v>
      </c>
      <c r="AE1186">
        <v>1</v>
      </c>
      <c r="AF1186">
        <v>0</v>
      </c>
      <c r="AG1186">
        <v>0</v>
      </c>
      <c r="AH1186">
        <v>0</v>
      </c>
      <c r="AI1186">
        <v>1</v>
      </c>
      <c r="AJ1186">
        <v>0</v>
      </c>
      <c r="AK1186">
        <v>0</v>
      </c>
      <c r="AL1186">
        <v>0</v>
      </c>
      <c r="AM1186">
        <v>0</v>
      </c>
      <c r="AN1186">
        <v>1</v>
      </c>
      <c r="AO1186">
        <v>0</v>
      </c>
      <c r="AP1186">
        <v>0</v>
      </c>
    </row>
    <row r="1187" spans="1:42" x14ac:dyDescent="0.25">
      <c r="A1187">
        <v>1386</v>
      </c>
      <c r="B1187" t="s">
        <v>2161</v>
      </c>
      <c r="C1187" t="s">
        <v>2143</v>
      </c>
      <c r="D1187" t="s">
        <v>2162</v>
      </c>
      <c r="E1187" s="4">
        <v>1</v>
      </c>
      <c r="F1187" t="s">
        <v>138</v>
      </c>
      <c r="G1187" t="s">
        <v>138</v>
      </c>
      <c r="H1187" s="3">
        <v>46189</v>
      </c>
      <c r="I1187" s="3">
        <v>46196</v>
      </c>
      <c r="J1187" t="s">
        <v>204</v>
      </c>
      <c r="K1187" s="3">
        <v>46190</v>
      </c>
      <c r="L1187" s="3">
        <v>46182</v>
      </c>
      <c r="M1187" s="3">
        <v>46196</v>
      </c>
      <c r="N1187" s="3">
        <v>46196</v>
      </c>
      <c r="O1187" t="s">
        <v>576</v>
      </c>
      <c r="P1187" t="s">
        <v>55</v>
      </c>
      <c r="T1187" t="s">
        <v>2143</v>
      </c>
      <c r="V1187" t="s">
        <v>175</v>
      </c>
      <c r="W1187">
        <v>23.52</v>
      </c>
      <c r="X1187" t="s">
        <v>57</v>
      </c>
      <c r="AA1187" t="s">
        <v>50</v>
      </c>
      <c r="AE1187">
        <v>1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</row>
    <row r="1188" spans="1:42" x14ac:dyDescent="0.25">
      <c r="A1188">
        <v>1387</v>
      </c>
      <c r="B1188" t="s">
        <v>2163</v>
      </c>
      <c r="C1188" t="s">
        <v>2164</v>
      </c>
      <c r="D1188" t="s">
        <v>117</v>
      </c>
      <c r="E1188" s="4">
        <v>1</v>
      </c>
      <c r="F1188" t="s">
        <v>61</v>
      </c>
      <c r="G1188" t="s">
        <v>61</v>
      </c>
      <c r="H1188" s="3">
        <v>46189</v>
      </c>
      <c r="I1188" s="3">
        <v>46190</v>
      </c>
      <c r="J1188" t="s">
        <v>204</v>
      </c>
      <c r="K1188" s="3">
        <v>46183</v>
      </c>
      <c r="L1188" s="3">
        <v>46182</v>
      </c>
      <c r="M1188" s="3">
        <v>46190</v>
      </c>
      <c r="N1188" s="3">
        <v>46190</v>
      </c>
      <c r="O1188" t="s">
        <v>576</v>
      </c>
      <c r="P1188" t="s">
        <v>55</v>
      </c>
      <c r="Q1188">
        <v>1392</v>
      </c>
      <c r="S1188" t="s">
        <v>2147</v>
      </c>
      <c r="T1188" t="s">
        <v>2143</v>
      </c>
      <c r="U1188" t="s">
        <v>2165</v>
      </c>
      <c r="V1188" t="s">
        <v>127</v>
      </c>
      <c r="W1188">
        <v>13.4</v>
      </c>
      <c r="X1188" t="s">
        <v>57</v>
      </c>
      <c r="Z1188" t="s">
        <v>2147</v>
      </c>
      <c r="AA1188" t="s">
        <v>462</v>
      </c>
      <c r="AE1188">
        <v>1</v>
      </c>
      <c r="AF1188">
        <v>1</v>
      </c>
      <c r="AG1188">
        <v>1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1</v>
      </c>
    </row>
    <row r="1189" spans="1:42" x14ac:dyDescent="0.25">
      <c r="A1189">
        <v>1388</v>
      </c>
      <c r="B1189" t="s">
        <v>2166</v>
      </c>
      <c r="C1189" t="s">
        <v>2164</v>
      </c>
      <c r="D1189" t="s">
        <v>121</v>
      </c>
      <c r="E1189" s="4">
        <v>1</v>
      </c>
      <c r="F1189" t="s">
        <v>127</v>
      </c>
      <c r="G1189" t="s">
        <v>127</v>
      </c>
      <c r="H1189" s="3">
        <v>46190</v>
      </c>
      <c r="I1189" s="3">
        <v>46192</v>
      </c>
      <c r="J1189" t="s">
        <v>476</v>
      </c>
      <c r="K1189" s="3">
        <v>46188</v>
      </c>
      <c r="L1189" s="3">
        <v>46184</v>
      </c>
      <c r="M1189" s="3">
        <v>46192</v>
      </c>
      <c r="N1189" s="3">
        <v>46192</v>
      </c>
      <c r="O1189" t="s">
        <v>75</v>
      </c>
      <c r="P1189" t="s">
        <v>55</v>
      </c>
      <c r="Q1189">
        <v>1387</v>
      </c>
      <c r="S1189" t="s">
        <v>124</v>
      </c>
      <c r="T1189" t="s">
        <v>2143</v>
      </c>
      <c r="U1189">
        <v>1389</v>
      </c>
      <c r="V1189" t="s">
        <v>122</v>
      </c>
      <c r="W1189">
        <v>13.4</v>
      </c>
      <c r="X1189" t="s">
        <v>57</v>
      </c>
      <c r="Z1189" t="s">
        <v>124</v>
      </c>
      <c r="AA1189" t="s">
        <v>462</v>
      </c>
      <c r="AE1189">
        <v>1</v>
      </c>
      <c r="AF1189">
        <v>0</v>
      </c>
      <c r="AG1189">
        <v>0</v>
      </c>
      <c r="AH1189">
        <v>0</v>
      </c>
      <c r="AI1189">
        <v>0</v>
      </c>
      <c r="AJ1189">
        <v>1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</row>
    <row r="1190" spans="1:42" x14ac:dyDescent="0.25">
      <c r="A1190">
        <v>1389</v>
      </c>
      <c r="B1190" t="s">
        <v>2167</v>
      </c>
      <c r="C1190" t="s">
        <v>2164</v>
      </c>
      <c r="D1190" t="s">
        <v>126</v>
      </c>
      <c r="E1190" s="4">
        <v>1</v>
      </c>
      <c r="F1190" t="s">
        <v>61</v>
      </c>
      <c r="G1190" t="s">
        <v>61</v>
      </c>
      <c r="H1190" s="3">
        <v>46192</v>
      </c>
      <c r="I1190" s="3">
        <v>46195</v>
      </c>
      <c r="J1190" t="s">
        <v>576</v>
      </c>
      <c r="K1190" s="3">
        <v>46189</v>
      </c>
      <c r="L1190" s="3">
        <v>46189</v>
      </c>
      <c r="M1190" s="3">
        <v>46195</v>
      </c>
      <c r="N1190" s="3">
        <v>46195</v>
      </c>
      <c r="O1190" t="s">
        <v>211</v>
      </c>
      <c r="P1190" t="s">
        <v>55</v>
      </c>
      <c r="Q1190">
        <v>1388</v>
      </c>
      <c r="S1190" t="s">
        <v>2147</v>
      </c>
      <c r="T1190" t="s">
        <v>2143</v>
      </c>
      <c r="U1190">
        <v>1390</v>
      </c>
      <c r="V1190" t="s">
        <v>61</v>
      </c>
      <c r="W1190">
        <v>13.4</v>
      </c>
      <c r="X1190" t="s">
        <v>57</v>
      </c>
      <c r="Z1190" t="s">
        <v>2147</v>
      </c>
      <c r="AA1190" t="s">
        <v>217</v>
      </c>
      <c r="AE1190">
        <v>1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1</v>
      </c>
      <c r="AM1190">
        <v>0</v>
      </c>
      <c r="AN1190">
        <v>0</v>
      </c>
      <c r="AO1190">
        <v>0</v>
      </c>
      <c r="AP1190">
        <v>0</v>
      </c>
    </row>
    <row r="1191" spans="1:42" x14ac:dyDescent="0.25">
      <c r="A1191">
        <v>1390</v>
      </c>
      <c r="B1191" t="s">
        <v>2168</v>
      </c>
      <c r="C1191" t="s">
        <v>2164</v>
      </c>
      <c r="D1191" t="s">
        <v>133</v>
      </c>
      <c r="E1191" s="4">
        <v>1</v>
      </c>
      <c r="F1191" t="s">
        <v>61</v>
      </c>
      <c r="G1191" t="s">
        <v>61</v>
      </c>
      <c r="H1191" s="3">
        <v>46195</v>
      </c>
      <c r="I1191" s="3">
        <v>46196</v>
      </c>
      <c r="J1191" t="s">
        <v>75</v>
      </c>
      <c r="K1191" s="3">
        <v>46190</v>
      </c>
      <c r="L1191" s="3">
        <v>46190</v>
      </c>
      <c r="M1191" s="3">
        <v>46196</v>
      </c>
      <c r="N1191" s="3">
        <v>46196</v>
      </c>
      <c r="O1191" t="s">
        <v>219</v>
      </c>
      <c r="P1191" t="s">
        <v>55</v>
      </c>
      <c r="Q1191">
        <v>1389</v>
      </c>
      <c r="S1191" t="s">
        <v>124</v>
      </c>
      <c r="T1191" t="s">
        <v>2143</v>
      </c>
      <c r="V1191" t="s">
        <v>61</v>
      </c>
      <c r="W1191">
        <v>13.4</v>
      </c>
      <c r="X1191" t="s">
        <v>57</v>
      </c>
      <c r="Z1191" t="s">
        <v>124</v>
      </c>
      <c r="AA1191" t="s">
        <v>217</v>
      </c>
      <c r="AE1191">
        <v>1</v>
      </c>
      <c r="AF1191">
        <v>0</v>
      </c>
      <c r="AG1191">
        <v>0</v>
      </c>
      <c r="AH1191">
        <v>0</v>
      </c>
      <c r="AI1191">
        <v>1</v>
      </c>
      <c r="AJ1191">
        <v>0</v>
      </c>
      <c r="AK1191">
        <v>0</v>
      </c>
      <c r="AL1191">
        <v>0</v>
      </c>
      <c r="AM1191">
        <v>0</v>
      </c>
      <c r="AN1191">
        <v>1</v>
      </c>
      <c r="AO1191">
        <v>0</v>
      </c>
      <c r="AP1191">
        <v>0</v>
      </c>
    </row>
    <row r="1192" spans="1:42" x14ac:dyDescent="0.25">
      <c r="A1192">
        <v>1391</v>
      </c>
      <c r="B1192" t="s">
        <v>2169</v>
      </c>
      <c r="C1192" t="s">
        <v>2143</v>
      </c>
      <c r="D1192" t="s">
        <v>2170</v>
      </c>
      <c r="E1192" s="4">
        <v>1</v>
      </c>
      <c r="F1192" t="s">
        <v>175</v>
      </c>
      <c r="G1192" t="s">
        <v>175</v>
      </c>
      <c r="H1192" s="3">
        <v>46176</v>
      </c>
      <c r="I1192" s="3">
        <v>46188</v>
      </c>
      <c r="J1192" t="s">
        <v>459</v>
      </c>
      <c r="K1192" s="3">
        <v>46188</v>
      </c>
      <c r="L1192" s="3">
        <v>46176</v>
      </c>
      <c r="M1192" s="3">
        <v>46188</v>
      </c>
      <c r="N1192" s="3">
        <v>46188</v>
      </c>
      <c r="O1192" t="s">
        <v>459</v>
      </c>
      <c r="P1192" t="s">
        <v>55</v>
      </c>
      <c r="T1192" t="s">
        <v>2143</v>
      </c>
      <c r="V1192" t="s">
        <v>175</v>
      </c>
      <c r="W1192">
        <v>23.52</v>
      </c>
      <c r="X1192" t="s">
        <v>57</v>
      </c>
      <c r="AA1192" t="s">
        <v>50</v>
      </c>
      <c r="AE1192">
        <v>1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</row>
    <row r="1193" spans="1:42" x14ac:dyDescent="0.25">
      <c r="A1193">
        <v>1392</v>
      </c>
      <c r="B1193" t="s">
        <v>2171</v>
      </c>
      <c r="C1193" t="s">
        <v>2172</v>
      </c>
      <c r="D1193" t="s">
        <v>117</v>
      </c>
      <c r="E1193" s="4">
        <v>1</v>
      </c>
      <c r="F1193" t="s">
        <v>127</v>
      </c>
      <c r="G1193" t="s">
        <v>127</v>
      </c>
      <c r="H1193" s="3">
        <v>46176</v>
      </c>
      <c r="I1193" s="3">
        <v>46181</v>
      </c>
      <c r="J1193" t="s">
        <v>459</v>
      </c>
      <c r="K1193" s="3">
        <v>46181</v>
      </c>
      <c r="L1193" s="3">
        <v>46176</v>
      </c>
      <c r="M1193" s="3">
        <v>46181</v>
      </c>
      <c r="N1193" s="3">
        <v>46181</v>
      </c>
      <c r="O1193" t="s">
        <v>459</v>
      </c>
      <c r="P1193" t="s">
        <v>55</v>
      </c>
      <c r="Q1193">
        <v>1412</v>
      </c>
      <c r="S1193" t="s">
        <v>2147</v>
      </c>
      <c r="T1193" t="s">
        <v>2143</v>
      </c>
      <c r="U1193" t="s">
        <v>2173</v>
      </c>
      <c r="V1193" t="s">
        <v>127</v>
      </c>
      <c r="W1193">
        <v>13.4</v>
      </c>
      <c r="X1193" t="s">
        <v>57</v>
      </c>
      <c r="Z1193" t="s">
        <v>2147</v>
      </c>
      <c r="AA1193" t="s">
        <v>460</v>
      </c>
      <c r="AE1193">
        <v>1</v>
      </c>
      <c r="AF1193">
        <v>1</v>
      </c>
      <c r="AG1193">
        <v>1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1</v>
      </c>
    </row>
    <row r="1194" spans="1:42" x14ac:dyDescent="0.25">
      <c r="A1194">
        <v>1393</v>
      </c>
      <c r="B1194" t="s">
        <v>2174</v>
      </c>
      <c r="C1194" t="s">
        <v>2172</v>
      </c>
      <c r="D1194" t="s">
        <v>121</v>
      </c>
      <c r="E1194" s="4">
        <v>1</v>
      </c>
      <c r="F1194" t="s">
        <v>122</v>
      </c>
      <c r="G1194" t="s">
        <v>122</v>
      </c>
      <c r="H1194" s="3">
        <v>46182</v>
      </c>
      <c r="I1194" s="3">
        <v>46184</v>
      </c>
      <c r="J1194" t="s">
        <v>204</v>
      </c>
      <c r="K1194" s="3">
        <v>46184</v>
      </c>
      <c r="L1194" s="3">
        <v>46182</v>
      </c>
      <c r="M1194" s="3">
        <v>46184</v>
      </c>
      <c r="N1194" s="3">
        <v>46184</v>
      </c>
      <c r="O1194" t="s">
        <v>204</v>
      </c>
      <c r="P1194" t="s">
        <v>55</v>
      </c>
      <c r="Q1194">
        <v>1392</v>
      </c>
      <c r="S1194" t="s">
        <v>124</v>
      </c>
      <c r="T1194" t="s">
        <v>2143</v>
      </c>
      <c r="U1194">
        <v>1394</v>
      </c>
      <c r="V1194" t="s">
        <v>122</v>
      </c>
      <c r="W1194">
        <v>13.4</v>
      </c>
      <c r="X1194" t="s">
        <v>57</v>
      </c>
      <c r="Z1194" t="s">
        <v>124</v>
      </c>
      <c r="AA1194" t="s">
        <v>462</v>
      </c>
      <c r="AE1194">
        <v>1</v>
      </c>
      <c r="AF1194">
        <v>0</v>
      </c>
      <c r="AG1194">
        <v>0</v>
      </c>
      <c r="AH1194">
        <v>0</v>
      </c>
      <c r="AI1194">
        <v>0</v>
      </c>
      <c r="AJ1194">
        <v>1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</row>
    <row r="1195" spans="1:42" x14ac:dyDescent="0.25">
      <c r="A1195">
        <v>1394</v>
      </c>
      <c r="B1195" t="s">
        <v>2175</v>
      </c>
      <c r="C1195" t="s">
        <v>2172</v>
      </c>
      <c r="D1195" t="s">
        <v>126</v>
      </c>
      <c r="E1195" s="4">
        <v>1</v>
      </c>
      <c r="F1195" t="s">
        <v>61</v>
      </c>
      <c r="G1195" t="s">
        <v>61</v>
      </c>
      <c r="H1195" s="3">
        <v>46185</v>
      </c>
      <c r="I1195" s="3">
        <v>46185</v>
      </c>
      <c r="J1195" t="s">
        <v>571</v>
      </c>
      <c r="K1195" s="3">
        <v>46185</v>
      </c>
      <c r="L1195" s="3">
        <v>46185</v>
      </c>
      <c r="M1195" s="3">
        <v>46185</v>
      </c>
      <c r="N1195" s="3">
        <v>46185</v>
      </c>
      <c r="O1195" t="s">
        <v>571</v>
      </c>
      <c r="P1195" t="s">
        <v>55</v>
      </c>
      <c r="Q1195">
        <v>1393</v>
      </c>
      <c r="S1195" t="s">
        <v>2147</v>
      </c>
      <c r="T1195" t="s">
        <v>2143</v>
      </c>
      <c r="U1195">
        <v>1395</v>
      </c>
      <c r="V1195" t="s">
        <v>61</v>
      </c>
      <c r="W1195">
        <v>13.4</v>
      </c>
      <c r="X1195" t="s">
        <v>57</v>
      </c>
      <c r="Z1195" t="s">
        <v>2147</v>
      </c>
      <c r="AA1195" t="s">
        <v>462</v>
      </c>
      <c r="AE1195">
        <v>1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1</v>
      </c>
      <c r="AM1195">
        <v>0</v>
      </c>
      <c r="AN1195">
        <v>0</v>
      </c>
      <c r="AO1195">
        <v>0</v>
      </c>
      <c r="AP1195">
        <v>0</v>
      </c>
    </row>
    <row r="1196" spans="1:42" x14ac:dyDescent="0.25">
      <c r="A1196">
        <v>1395</v>
      </c>
      <c r="B1196" t="s">
        <v>2176</v>
      </c>
      <c r="C1196" t="s">
        <v>2172</v>
      </c>
      <c r="D1196" t="s">
        <v>133</v>
      </c>
      <c r="E1196" s="4">
        <v>1</v>
      </c>
      <c r="F1196" t="s">
        <v>61</v>
      </c>
      <c r="G1196" t="s">
        <v>61</v>
      </c>
      <c r="H1196" s="3">
        <v>46188</v>
      </c>
      <c r="I1196" s="3">
        <v>46188</v>
      </c>
      <c r="J1196" t="s">
        <v>595</v>
      </c>
      <c r="K1196" s="3">
        <v>46188</v>
      </c>
      <c r="L1196" s="3">
        <v>46188</v>
      </c>
      <c r="M1196" s="3">
        <v>46188</v>
      </c>
      <c r="N1196" s="3">
        <v>46188</v>
      </c>
      <c r="O1196" t="s">
        <v>595</v>
      </c>
      <c r="P1196" t="s">
        <v>55</v>
      </c>
      <c r="Q1196">
        <v>1394</v>
      </c>
      <c r="S1196" t="s">
        <v>124</v>
      </c>
      <c r="T1196" t="s">
        <v>2143</v>
      </c>
      <c r="V1196" t="s">
        <v>61</v>
      </c>
      <c r="W1196">
        <v>13.4</v>
      </c>
      <c r="X1196" t="s">
        <v>57</v>
      </c>
      <c r="Z1196" t="s">
        <v>124</v>
      </c>
      <c r="AA1196" t="s">
        <v>217</v>
      </c>
      <c r="AE1196">
        <v>1</v>
      </c>
      <c r="AF1196">
        <v>0</v>
      </c>
      <c r="AG1196">
        <v>0</v>
      </c>
      <c r="AH1196">
        <v>0</v>
      </c>
      <c r="AI1196">
        <v>1</v>
      </c>
      <c r="AJ1196">
        <v>0</v>
      </c>
      <c r="AK1196">
        <v>0</v>
      </c>
      <c r="AL1196">
        <v>0</v>
      </c>
      <c r="AM1196">
        <v>0</v>
      </c>
      <c r="AN1196">
        <v>1</v>
      </c>
      <c r="AO1196">
        <v>0</v>
      </c>
      <c r="AP1196">
        <v>0</v>
      </c>
    </row>
    <row r="1197" spans="1:42" x14ac:dyDescent="0.25">
      <c r="A1197">
        <v>1396</v>
      </c>
      <c r="B1197" t="s">
        <v>2177</v>
      </c>
      <c r="C1197" t="s">
        <v>2143</v>
      </c>
      <c r="D1197" t="s">
        <v>2178</v>
      </c>
      <c r="E1197" s="4">
        <v>1</v>
      </c>
      <c r="F1197" t="s">
        <v>982</v>
      </c>
      <c r="G1197" t="s">
        <v>982</v>
      </c>
      <c r="H1197" s="3">
        <v>46149</v>
      </c>
      <c r="I1197" s="3">
        <v>46171</v>
      </c>
      <c r="J1197" t="s">
        <v>471</v>
      </c>
      <c r="K1197" s="3">
        <v>46174</v>
      </c>
      <c r="L1197" s="3">
        <v>46164</v>
      </c>
      <c r="M1197" s="3">
        <v>46171</v>
      </c>
      <c r="N1197" s="3">
        <v>46171</v>
      </c>
      <c r="O1197" t="s">
        <v>416</v>
      </c>
      <c r="P1197" t="s">
        <v>55</v>
      </c>
      <c r="T1197" t="s">
        <v>2143</v>
      </c>
      <c r="V1197" t="s">
        <v>175</v>
      </c>
      <c r="W1197">
        <v>23.52</v>
      </c>
      <c r="X1197" t="s">
        <v>57</v>
      </c>
      <c r="AA1197" t="s">
        <v>50</v>
      </c>
      <c r="AE1197">
        <v>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</row>
    <row r="1198" spans="1:42" x14ac:dyDescent="0.25">
      <c r="A1198">
        <v>1397</v>
      </c>
      <c r="B1198" t="s">
        <v>2179</v>
      </c>
      <c r="C1198" t="s">
        <v>2180</v>
      </c>
      <c r="D1198" t="s">
        <v>117</v>
      </c>
      <c r="E1198" s="4">
        <v>1</v>
      </c>
      <c r="F1198" t="s">
        <v>2181</v>
      </c>
      <c r="G1198" t="s">
        <v>2181</v>
      </c>
      <c r="H1198" s="3">
        <v>46149</v>
      </c>
      <c r="I1198" s="3">
        <v>46153</v>
      </c>
      <c r="J1198" t="s">
        <v>471</v>
      </c>
      <c r="K1198" s="3">
        <v>46167</v>
      </c>
      <c r="L1198" s="3">
        <v>46164</v>
      </c>
      <c r="M1198" s="3">
        <v>46153</v>
      </c>
      <c r="N1198" s="3">
        <v>46153</v>
      </c>
      <c r="O1198" t="s">
        <v>416</v>
      </c>
      <c r="P1198" t="s">
        <v>55</v>
      </c>
      <c r="Q1198">
        <v>183</v>
      </c>
      <c r="S1198" t="s">
        <v>2147</v>
      </c>
      <c r="T1198" t="s">
        <v>2143</v>
      </c>
      <c r="U1198" t="s">
        <v>2182</v>
      </c>
      <c r="V1198" t="s">
        <v>127</v>
      </c>
      <c r="W1198">
        <v>13.4</v>
      </c>
      <c r="X1198" t="s">
        <v>57</v>
      </c>
      <c r="Z1198" t="s">
        <v>2147</v>
      </c>
      <c r="AA1198" t="s">
        <v>198</v>
      </c>
      <c r="AE1198">
        <v>1</v>
      </c>
      <c r="AF1198">
        <v>1</v>
      </c>
      <c r="AG1198">
        <v>1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1</v>
      </c>
    </row>
    <row r="1199" spans="1:42" x14ac:dyDescent="0.25">
      <c r="A1199">
        <v>1398</v>
      </c>
      <c r="B1199" t="s">
        <v>2183</v>
      </c>
      <c r="C1199" t="s">
        <v>2180</v>
      </c>
      <c r="D1199" t="s">
        <v>121</v>
      </c>
      <c r="E1199" s="4">
        <v>1</v>
      </c>
      <c r="F1199" t="s">
        <v>122</v>
      </c>
      <c r="G1199" t="s">
        <v>122</v>
      </c>
      <c r="H1199" s="3">
        <v>46167</v>
      </c>
      <c r="I1199" s="3">
        <v>46169</v>
      </c>
      <c r="J1199" t="s">
        <v>206</v>
      </c>
      <c r="K1199" s="3">
        <v>46170</v>
      </c>
      <c r="L1199" s="3">
        <v>46168</v>
      </c>
      <c r="M1199" s="3">
        <v>46169</v>
      </c>
      <c r="N1199" s="3">
        <v>46169</v>
      </c>
      <c r="O1199" t="s">
        <v>74</v>
      </c>
      <c r="P1199" t="s">
        <v>55</v>
      </c>
      <c r="Q1199">
        <v>1397</v>
      </c>
      <c r="S1199" t="s">
        <v>124</v>
      </c>
      <c r="T1199" t="s">
        <v>2143</v>
      </c>
      <c r="U1199">
        <v>1399</v>
      </c>
      <c r="V1199" t="s">
        <v>122</v>
      </c>
      <c r="W1199">
        <v>13.4</v>
      </c>
      <c r="X1199" t="s">
        <v>57</v>
      </c>
      <c r="Z1199" t="s">
        <v>124</v>
      </c>
      <c r="AA1199" t="s">
        <v>77</v>
      </c>
      <c r="AE1199">
        <v>1</v>
      </c>
      <c r="AF1199">
        <v>0</v>
      </c>
      <c r="AG1199">
        <v>0</v>
      </c>
      <c r="AH1199">
        <v>0</v>
      </c>
      <c r="AI1199">
        <v>0</v>
      </c>
      <c r="AJ1199">
        <v>1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</row>
    <row r="1200" spans="1:42" x14ac:dyDescent="0.25">
      <c r="A1200">
        <v>1399</v>
      </c>
      <c r="B1200" t="s">
        <v>2184</v>
      </c>
      <c r="C1200" t="s">
        <v>2180</v>
      </c>
      <c r="D1200" t="s">
        <v>126</v>
      </c>
      <c r="E1200" s="4">
        <v>1</v>
      </c>
      <c r="F1200" t="s">
        <v>61</v>
      </c>
      <c r="G1200" t="s">
        <v>61</v>
      </c>
      <c r="H1200" s="3">
        <v>46169</v>
      </c>
      <c r="I1200" s="3">
        <v>46170</v>
      </c>
      <c r="J1200" t="s">
        <v>189</v>
      </c>
      <c r="K1200" s="3">
        <v>46171</v>
      </c>
      <c r="L1200" s="3">
        <v>46171</v>
      </c>
      <c r="M1200" s="3">
        <v>46170</v>
      </c>
      <c r="N1200" s="3">
        <v>46170</v>
      </c>
      <c r="O1200" t="s">
        <v>97</v>
      </c>
      <c r="P1200" t="s">
        <v>55</v>
      </c>
      <c r="Q1200">
        <v>1398</v>
      </c>
      <c r="S1200" t="s">
        <v>2147</v>
      </c>
      <c r="T1200" t="s">
        <v>2143</v>
      </c>
      <c r="U1200">
        <v>1400</v>
      </c>
      <c r="V1200" t="s">
        <v>61</v>
      </c>
      <c r="W1200">
        <v>13.4</v>
      </c>
      <c r="X1200" t="s">
        <v>57</v>
      </c>
      <c r="Z1200" t="s">
        <v>2147</v>
      </c>
      <c r="AA1200" t="s">
        <v>77</v>
      </c>
      <c r="AE1200">
        <v>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1</v>
      </c>
      <c r="AM1200">
        <v>0</v>
      </c>
      <c r="AN1200">
        <v>0</v>
      </c>
      <c r="AO1200">
        <v>0</v>
      </c>
      <c r="AP1200">
        <v>0</v>
      </c>
    </row>
    <row r="1201" spans="1:42" x14ac:dyDescent="0.25">
      <c r="A1201">
        <v>1400</v>
      </c>
      <c r="B1201" t="s">
        <v>2185</v>
      </c>
      <c r="C1201" t="s">
        <v>2180</v>
      </c>
      <c r="D1201" t="s">
        <v>133</v>
      </c>
      <c r="E1201" s="4">
        <v>1</v>
      </c>
      <c r="F1201" t="s">
        <v>61</v>
      </c>
      <c r="G1201" t="s">
        <v>61</v>
      </c>
      <c r="H1201" s="3">
        <v>46171</v>
      </c>
      <c r="I1201" s="3">
        <v>46171</v>
      </c>
      <c r="J1201" t="s">
        <v>193</v>
      </c>
      <c r="K1201" s="3">
        <v>46174</v>
      </c>
      <c r="L1201" s="3">
        <v>46174</v>
      </c>
      <c r="M1201" s="3">
        <v>46171</v>
      </c>
      <c r="N1201" s="3">
        <v>46171</v>
      </c>
      <c r="O1201" t="s">
        <v>189</v>
      </c>
      <c r="P1201" t="s">
        <v>55</v>
      </c>
      <c r="Q1201">
        <v>1399</v>
      </c>
      <c r="S1201" t="s">
        <v>124</v>
      </c>
      <c r="T1201" t="s">
        <v>2143</v>
      </c>
      <c r="V1201" t="s">
        <v>61</v>
      </c>
      <c r="W1201">
        <v>13.4</v>
      </c>
      <c r="X1201" t="s">
        <v>57</v>
      </c>
      <c r="Z1201" t="s">
        <v>124</v>
      </c>
      <c r="AA1201" t="s">
        <v>460</v>
      </c>
      <c r="AE1201">
        <v>1</v>
      </c>
      <c r="AF1201">
        <v>0</v>
      </c>
      <c r="AG1201">
        <v>0</v>
      </c>
      <c r="AH1201">
        <v>0</v>
      </c>
      <c r="AI1201">
        <v>1</v>
      </c>
      <c r="AJ1201">
        <v>0</v>
      </c>
      <c r="AK1201">
        <v>0</v>
      </c>
      <c r="AL1201">
        <v>0</v>
      </c>
      <c r="AM1201">
        <v>0</v>
      </c>
      <c r="AN1201">
        <v>1</v>
      </c>
      <c r="AO1201">
        <v>0</v>
      </c>
      <c r="AP1201">
        <v>0</v>
      </c>
    </row>
    <row r="1202" spans="1:42" x14ac:dyDescent="0.25">
      <c r="A1202">
        <v>1401</v>
      </c>
      <c r="B1202" t="s">
        <v>2186</v>
      </c>
      <c r="C1202" t="s">
        <v>2143</v>
      </c>
      <c r="D1202" t="s">
        <v>2187</v>
      </c>
      <c r="E1202" s="4">
        <v>1</v>
      </c>
      <c r="F1202" t="s">
        <v>101</v>
      </c>
      <c r="G1202" t="s">
        <v>101</v>
      </c>
      <c r="H1202" s="3">
        <v>46192</v>
      </c>
      <c r="I1202" s="3">
        <v>46197</v>
      </c>
      <c r="J1202" t="s">
        <v>480</v>
      </c>
      <c r="K1202" s="3">
        <v>46199</v>
      </c>
      <c r="L1202" s="3">
        <v>46191</v>
      </c>
      <c r="M1202" s="3">
        <v>46197</v>
      </c>
      <c r="N1202" s="3">
        <v>46197</v>
      </c>
      <c r="O1202" t="s">
        <v>211</v>
      </c>
      <c r="P1202" t="s">
        <v>55</v>
      </c>
      <c r="T1202" t="s">
        <v>2143</v>
      </c>
      <c r="V1202" t="s">
        <v>175</v>
      </c>
      <c r="W1202">
        <v>29.28</v>
      </c>
      <c r="X1202" t="s">
        <v>57</v>
      </c>
      <c r="AA1202" t="s">
        <v>50</v>
      </c>
      <c r="AE1202">
        <v>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</row>
    <row r="1203" spans="1:42" x14ac:dyDescent="0.25">
      <c r="A1203">
        <v>1402</v>
      </c>
      <c r="B1203" t="s">
        <v>2188</v>
      </c>
      <c r="C1203" t="s">
        <v>2189</v>
      </c>
      <c r="D1203" t="s">
        <v>117</v>
      </c>
      <c r="E1203" s="4">
        <v>1</v>
      </c>
      <c r="F1203" t="s">
        <v>127</v>
      </c>
      <c r="G1203" t="s">
        <v>127</v>
      </c>
      <c r="H1203" s="3">
        <v>46192</v>
      </c>
      <c r="I1203" s="3">
        <v>46195</v>
      </c>
      <c r="J1203" t="s">
        <v>480</v>
      </c>
      <c r="K1203" s="3">
        <v>46192</v>
      </c>
      <c r="L1203" s="3">
        <v>46191</v>
      </c>
      <c r="M1203" s="3">
        <v>46195</v>
      </c>
      <c r="N1203" s="3">
        <v>46195</v>
      </c>
      <c r="O1203" t="s">
        <v>211</v>
      </c>
      <c r="P1203" t="s">
        <v>55</v>
      </c>
      <c r="Q1203" t="s">
        <v>2190</v>
      </c>
      <c r="S1203" t="s">
        <v>2147</v>
      </c>
      <c r="T1203" t="s">
        <v>2143</v>
      </c>
      <c r="U1203">
        <v>1403</v>
      </c>
      <c r="V1203" t="s">
        <v>127</v>
      </c>
      <c r="W1203">
        <v>13.4</v>
      </c>
      <c r="X1203" t="s">
        <v>57</v>
      </c>
      <c r="Z1203" t="s">
        <v>2147</v>
      </c>
      <c r="AA1203" t="s">
        <v>217</v>
      </c>
      <c r="AE1203">
        <v>1</v>
      </c>
      <c r="AF1203">
        <v>1</v>
      </c>
      <c r="AG1203">
        <v>1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1</v>
      </c>
    </row>
    <row r="1204" spans="1:42" x14ac:dyDescent="0.25">
      <c r="A1204">
        <v>1403</v>
      </c>
      <c r="B1204" t="s">
        <v>2191</v>
      </c>
      <c r="C1204" t="s">
        <v>2189</v>
      </c>
      <c r="D1204" t="s">
        <v>121</v>
      </c>
      <c r="E1204" s="4">
        <v>1</v>
      </c>
      <c r="F1204" t="s">
        <v>61</v>
      </c>
      <c r="G1204" t="s">
        <v>61</v>
      </c>
      <c r="H1204" s="3">
        <v>46196</v>
      </c>
      <c r="I1204" s="3">
        <v>46196</v>
      </c>
      <c r="J1204" t="s">
        <v>219</v>
      </c>
      <c r="K1204" s="3">
        <v>46197</v>
      </c>
      <c r="L1204" s="3">
        <v>46195</v>
      </c>
      <c r="M1204" s="3">
        <v>46196</v>
      </c>
      <c r="N1204" s="3">
        <v>46196</v>
      </c>
      <c r="O1204" t="s">
        <v>212</v>
      </c>
      <c r="P1204" t="s">
        <v>55</v>
      </c>
      <c r="Q1204">
        <v>1402</v>
      </c>
      <c r="S1204" t="s">
        <v>124</v>
      </c>
      <c r="T1204" t="s">
        <v>2143</v>
      </c>
      <c r="U1204">
        <v>1404</v>
      </c>
      <c r="V1204" t="s">
        <v>122</v>
      </c>
      <c r="W1204">
        <v>13.4</v>
      </c>
      <c r="X1204" t="s">
        <v>57</v>
      </c>
      <c r="Z1204" t="s">
        <v>124</v>
      </c>
      <c r="AA1204" t="s">
        <v>131</v>
      </c>
      <c r="AE1204">
        <v>1</v>
      </c>
      <c r="AF1204">
        <v>0</v>
      </c>
      <c r="AG1204">
        <v>0</v>
      </c>
      <c r="AH1204">
        <v>0</v>
      </c>
      <c r="AI1204">
        <v>0</v>
      </c>
      <c r="AJ1204">
        <v>1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</row>
    <row r="1205" spans="1:42" x14ac:dyDescent="0.25">
      <c r="A1205">
        <v>1404</v>
      </c>
      <c r="B1205" t="s">
        <v>2192</v>
      </c>
      <c r="C1205" t="s">
        <v>2189</v>
      </c>
      <c r="D1205" t="s">
        <v>126</v>
      </c>
      <c r="E1205" s="4">
        <v>1</v>
      </c>
      <c r="F1205" t="s">
        <v>61</v>
      </c>
      <c r="G1205" t="s">
        <v>61</v>
      </c>
      <c r="H1205" s="3">
        <v>46197</v>
      </c>
      <c r="I1205" s="3">
        <v>46197</v>
      </c>
      <c r="J1205" t="s">
        <v>128</v>
      </c>
      <c r="K1205" s="3">
        <v>46198</v>
      </c>
      <c r="L1205" s="3">
        <v>46198</v>
      </c>
      <c r="M1205" s="3">
        <v>46197</v>
      </c>
      <c r="N1205" s="3">
        <v>46197</v>
      </c>
      <c r="O1205" t="s">
        <v>207</v>
      </c>
      <c r="P1205" t="s">
        <v>55</v>
      </c>
      <c r="Q1205">
        <v>1403</v>
      </c>
      <c r="S1205" t="s">
        <v>2147</v>
      </c>
      <c r="T1205" t="s">
        <v>2143</v>
      </c>
      <c r="U1205" t="s">
        <v>2193</v>
      </c>
      <c r="V1205" t="s">
        <v>61</v>
      </c>
      <c r="W1205">
        <v>13.4</v>
      </c>
      <c r="X1205" t="s">
        <v>57</v>
      </c>
      <c r="Z1205" t="s">
        <v>2147</v>
      </c>
      <c r="AA1205" t="s">
        <v>131</v>
      </c>
      <c r="AE1205">
        <v>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1</v>
      </c>
      <c r="AM1205">
        <v>0</v>
      </c>
      <c r="AN1205">
        <v>0</v>
      </c>
      <c r="AO1205">
        <v>0</v>
      </c>
      <c r="AP1205">
        <v>0</v>
      </c>
    </row>
    <row r="1206" spans="1:42" x14ac:dyDescent="0.25">
      <c r="A1206">
        <v>1405</v>
      </c>
      <c r="B1206" t="s">
        <v>2194</v>
      </c>
      <c r="C1206" t="s">
        <v>2189</v>
      </c>
      <c r="D1206" t="s">
        <v>133</v>
      </c>
      <c r="E1206" s="4">
        <v>1</v>
      </c>
      <c r="F1206" t="s">
        <v>61</v>
      </c>
      <c r="G1206" t="s">
        <v>61</v>
      </c>
      <c r="H1206" s="3">
        <v>46197</v>
      </c>
      <c r="I1206" s="3">
        <v>46197</v>
      </c>
      <c r="J1206" t="s">
        <v>134</v>
      </c>
      <c r="K1206" s="3">
        <v>46199</v>
      </c>
      <c r="L1206" s="3">
        <v>46199</v>
      </c>
      <c r="M1206" s="3">
        <v>46197</v>
      </c>
      <c r="N1206" s="3">
        <v>46197</v>
      </c>
      <c r="O1206" t="s">
        <v>207</v>
      </c>
      <c r="P1206" t="s">
        <v>55</v>
      </c>
      <c r="Q1206" t="s">
        <v>2195</v>
      </c>
      <c r="S1206" t="s">
        <v>124</v>
      </c>
      <c r="T1206" t="s">
        <v>2143</v>
      </c>
      <c r="V1206" t="s">
        <v>61</v>
      </c>
      <c r="W1206">
        <v>13.4</v>
      </c>
      <c r="X1206" t="s">
        <v>57</v>
      </c>
      <c r="Z1206" t="s">
        <v>124</v>
      </c>
      <c r="AA1206" t="s">
        <v>131</v>
      </c>
      <c r="AE1206">
        <v>1</v>
      </c>
      <c r="AF1206">
        <v>0</v>
      </c>
      <c r="AG1206">
        <v>0</v>
      </c>
      <c r="AH1206">
        <v>0</v>
      </c>
      <c r="AI1206">
        <v>1</v>
      </c>
      <c r="AJ1206">
        <v>0</v>
      </c>
      <c r="AK1206">
        <v>0</v>
      </c>
      <c r="AL1206">
        <v>0</v>
      </c>
      <c r="AM1206">
        <v>0</v>
      </c>
      <c r="AN1206">
        <v>1</v>
      </c>
      <c r="AO1206">
        <v>0</v>
      </c>
      <c r="AP1206">
        <v>0</v>
      </c>
    </row>
    <row r="1207" spans="1:42" x14ac:dyDescent="0.25">
      <c r="A1207">
        <v>1406</v>
      </c>
      <c r="B1207" t="s">
        <v>2196</v>
      </c>
      <c r="C1207" t="s">
        <v>2143</v>
      </c>
      <c r="D1207" t="s">
        <v>2197</v>
      </c>
      <c r="E1207" s="4">
        <v>1</v>
      </c>
      <c r="F1207" t="s">
        <v>101</v>
      </c>
      <c r="G1207" t="s">
        <v>101</v>
      </c>
      <c r="H1207" s="3">
        <v>46189</v>
      </c>
      <c r="I1207" s="3">
        <v>46195</v>
      </c>
      <c r="J1207" t="s">
        <v>480</v>
      </c>
      <c r="K1207" s="3">
        <v>46199</v>
      </c>
      <c r="L1207" s="3">
        <v>46191</v>
      </c>
      <c r="M1207" s="3">
        <v>46195</v>
      </c>
      <c r="N1207" s="3">
        <v>46195</v>
      </c>
      <c r="O1207" t="s">
        <v>576</v>
      </c>
      <c r="P1207" t="s">
        <v>55</v>
      </c>
      <c r="T1207" t="s">
        <v>2143</v>
      </c>
      <c r="V1207" t="s">
        <v>175</v>
      </c>
      <c r="W1207">
        <v>35.04</v>
      </c>
      <c r="X1207" t="s">
        <v>57</v>
      </c>
      <c r="AA1207" t="s">
        <v>50</v>
      </c>
      <c r="AE1207">
        <v>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</row>
    <row r="1208" spans="1:42" x14ac:dyDescent="0.25">
      <c r="A1208">
        <v>1407</v>
      </c>
      <c r="B1208" t="s">
        <v>2198</v>
      </c>
      <c r="C1208" t="s">
        <v>2199</v>
      </c>
      <c r="D1208" t="s">
        <v>117</v>
      </c>
      <c r="E1208" s="4">
        <v>1</v>
      </c>
      <c r="F1208" t="s">
        <v>127</v>
      </c>
      <c r="G1208" t="s">
        <v>127</v>
      </c>
      <c r="H1208" s="3">
        <v>46189</v>
      </c>
      <c r="I1208" s="3">
        <v>46191</v>
      </c>
      <c r="J1208" t="s">
        <v>480</v>
      </c>
      <c r="K1208" s="3">
        <v>46192</v>
      </c>
      <c r="L1208" s="3">
        <v>46191</v>
      </c>
      <c r="M1208" s="3">
        <v>46191</v>
      </c>
      <c r="N1208" s="3">
        <v>46191</v>
      </c>
      <c r="O1208" t="s">
        <v>576</v>
      </c>
      <c r="P1208" t="s">
        <v>55</v>
      </c>
      <c r="Q1208" t="s">
        <v>2190</v>
      </c>
      <c r="S1208" t="s">
        <v>2147</v>
      </c>
      <c r="T1208" t="s">
        <v>2143</v>
      </c>
      <c r="U1208">
        <v>1408</v>
      </c>
      <c r="V1208" t="s">
        <v>127</v>
      </c>
      <c r="W1208">
        <v>13.4</v>
      </c>
      <c r="X1208" t="s">
        <v>57</v>
      </c>
      <c r="Z1208" t="s">
        <v>2147</v>
      </c>
      <c r="AA1208" t="s">
        <v>217</v>
      </c>
      <c r="AE1208">
        <v>1</v>
      </c>
      <c r="AF1208">
        <v>1</v>
      </c>
      <c r="AG1208">
        <v>1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1</v>
      </c>
    </row>
    <row r="1209" spans="1:42" x14ac:dyDescent="0.25">
      <c r="A1209">
        <v>1408</v>
      </c>
      <c r="B1209" t="s">
        <v>2200</v>
      </c>
      <c r="C1209" t="s">
        <v>2199</v>
      </c>
      <c r="D1209" t="s">
        <v>121</v>
      </c>
      <c r="E1209" s="4">
        <v>1</v>
      </c>
      <c r="F1209" t="s">
        <v>61</v>
      </c>
      <c r="G1209" t="s">
        <v>61</v>
      </c>
      <c r="H1209" s="3">
        <v>46191</v>
      </c>
      <c r="I1209" s="3">
        <v>46192</v>
      </c>
      <c r="J1209" t="s">
        <v>219</v>
      </c>
      <c r="K1209" s="3">
        <v>46197</v>
      </c>
      <c r="L1209" s="3">
        <v>46195</v>
      </c>
      <c r="M1209" s="3">
        <v>46192</v>
      </c>
      <c r="N1209" s="3">
        <v>46192</v>
      </c>
      <c r="O1209" t="s">
        <v>480</v>
      </c>
      <c r="P1209" t="s">
        <v>55</v>
      </c>
      <c r="Q1209">
        <v>1407</v>
      </c>
      <c r="S1209" t="s">
        <v>124</v>
      </c>
      <c r="T1209" t="s">
        <v>2143</v>
      </c>
      <c r="U1209">
        <v>1409</v>
      </c>
      <c r="V1209" t="s">
        <v>122</v>
      </c>
      <c r="W1209">
        <v>13.4</v>
      </c>
      <c r="X1209" t="s">
        <v>57</v>
      </c>
      <c r="Z1209" t="s">
        <v>124</v>
      </c>
      <c r="AA1209" t="s">
        <v>131</v>
      </c>
      <c r="AE1209">
        <v>1</v>
      </c>
      <c r="AF1209">
        <v>0</v>
      </c>
      <c r="AG1209">
        <v>0</v>
      </c>
      <c r="AH1209">
        <v>0</v>
      </c>
      <c r="AI1209">
        <v>0</v>
      </c>
      <c r="AJ1209">
        <v>1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</row>
    <row r="1210" spans="1:42" x14ac:dyDescent="0.25">
      <c r="A1210">
        <v>1409</v>
      </c>
      <c r="B1210" t="s">
        <v>2201</v>
      </c>
      <c r="C1210" t="s">
        <v>2199</v>
      </c>
      <c r="D1210" t="s">
        <v>126</v>
      </c>
      <c r="E1210" s="4">
        <v>1</v>
      </c>
      <c r="F1210" t="s">
        <v>61</v>
      </c>
      <c r="G1210" t="s">
        <v>61</v>
      </c>
      <c r="H1210" s="3">
        <v>46192</v>
      </c>
      <c r="I1210" s="3">
        <v>46195</v>
      </c>
      <c r="J1210" t="s">
        <v>128</v>
      </c>
      <c r="K1210" s="3">
        <v>46198</v>
      </c>
      <c r="L1210" s="3">
        <v>46198</v>
      </c>
      <c r="M1210" s="3">
        <v>46195</v>
      </c>
      <c r="N1210" s="3">
        <v>46195</v>
      </c>
      <c r="O1210" t="s">
        <v>211</v>
      </c>
      <c r="P1210" t="s">
        <v>55</v>
      </c>
      <c r="Q1210">
        <v>1408</v>
      </c>
      <c r="S1210" t="s">
        <v>2147</v>
      </c>
      <c r="T1210" t="s">
        <v>2143</v>
      </c>
      <c r="U1210" t="s">
        <v>2202</v>
      </c>
      <c r="V1210" t="s">
        <v>61</v>
      </c>
      <c r="W1210">
        <v>13.4</v>
      </c>
      <c r="X1210" t="s">
        <v>57</v>
      </c>
      <c r="Z1210" t="s">
        <v>2147</v>
      </c>
      <c r="AA1210" t="s">
        <v>131</v>
      </c>
      <c r="AE1210">
        <v>1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1</v>
      </c>
      <c r="AM1210">
        <v>0</v>
      </c>
      <c r="AN1210">
        <v>0</v>
      </c>
      <c r="AO1210">
        <v>0</v>
      </c>
      <c r="AP1210">
        <v>0</v>
      </c>
    </row>
    <row r="1211" spans="1:42" x14ac:dyDescent="0.25">
      <c r="A1211">
        <v>1410</v>
      </c>
      <c r="B1211" t="s">
        <v>2203</v>
      </c>
      <c r="C1211" t="s">
        <v>2199</v>
      </c>
      <c r="D1211" t="s">
        <v>133</v>
      </c>
      <c r="E1211" s="4">
        <v>1</v>
      </c>
      <c r="F1211" t="s">
        <v>61</v>
      </c>
      <c r="G1211" t="s">
        <v>61</v>
      </c>
      <c r="H1211" s="3">
        <v>46192</v>
      </c>
      <c r="I1211" s="3">
        <v>46195</v>
      </c>
      <c r="J1211" t="s">
        <v>134</v>
      </c>
      <c r="K1211" s="3">
        <v>46199</v>
      </c>
      <c r="L1211" s="3">
        <v>46199</v>
      </c>
      <c r="M1211" s="3">
        <v>46195</v>
      </c>
      <c r="N1211" s="3">
        <v>46195</v>
      </c>
      <c r="O1211" t="s">
        <v>211</v>
      </c>
      <c r="P1211" t="s">
        <v>55</v>
      </c>
      <c r="Q1211" t="s">
        <v>2204</v>
      </c>
      <c r="S1211" t="s">
        <v>124</v>
      </c>
      <c r="T1211" t="s">
        <v>2143</v>
      </c>
      <c r="V1211" t="s">
        <v>61</v>
      </c>
      <c r="W1211">
        <v>13.4</v>
      </c>
      <c r="X1211" t="s">
        <v>57</v>
      </c>
      <c r="Z1211" t="s">
        <v>124</v>
      </c>
      <c r="AA1211" t="s">
        <v>131</v>
      </c>
      <c r="AE1211">
        <v>1</v>
      </c>
      <c r="AF1211">
        <v>0</v>
      </c>
      <c r="AG1211">
        <v>0</v>
      </c>
      <c r="AH1211">
        <v>0</v>
      </c>
      <c r="AI1211">
        <v>1</v>
      </c>
      <c r="AJ1211">
        <v>0</v>
      </c>
      <c r="AK1211">
        <v>0</v>
      </c>
      <c r="AL1211">
        <v>0</v>
      </c>
      <c r="AM1211">
        <v>0</v>
      </c>
      <c r="AN1211">
        <v>1</v>
      </c>
      <c r="AO1211">
        <v>0</v>
      </c>
      <c r="AP1211">
        <v>0</v>
      </c>
    </row>
    <row r="1212" spans="1:42" x14ac:dyDescent="0.25">
      <c r="A1212">
        <v>1411</v>
      </c>
      <c r="B1212" t="s">
        <v>2205</v>
      </c>
      <c r="C1212" t="s">
        <v>2143</v>
      </c>
      <c r="D1212" t="s">
        <v>2206</v>
      </c>
      <c r="E1212" s="4">
        <v>1</v>
      </c>
      <c r="F1212" t="s">
        <v>2207</v>
      </c>
      <c r="G1212" t="s">
        <v>2207</v>
      </c>
      <c r="H1212" s="3">
        <v>46157</v>
      </c>
      <c r="I1212" s="3">
        <v>46183</v>
      </c>
      <c r="J1212" t="s">
        <v>193</v>
      </c>
      <c r="K1212" s="3">
        <v>46184</v>
      </c>
      <c r="L1212" s="3">
        <v>46174</v>
      </c>
      <c r="M1212" s="3">
        <v>46183</v>
      </c>
      <c r="N1212" s="3">
        <v>46183</v>
      </c>
      <c r="O1212" t="s">
        <v>444</v>
      </c>
      <c r="P1212" t="s">
        <v>55</v>
      </c>
      <c r="T1212" t="s">
        <v>2143</v>
      </c>
      <c r="V1212" t="s">
        <v>175</v>
      </c>
      <c r="W1212">
        <v>29.28</v>
      </c>
      <c r="X1212" t="s">
        <v>57</v>
      </c>
      <c r="AA1212" t="s">
        <v>50</v>
      </c>
      <c r="AE1212">
        <v>1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</row>
    <row r="1213" spans="1:42" x14ac:dyDescent="0.25">
      <c r="A1213">
        <v>1412</v>
      </c>
      <c r="B1213" t="s">
        <v>2208</v>
      </c>
      <c r="C1213" t="s">
        <v>2209</v>
      </c>
      <c r="D1213" t="s">
        <v>117</v>
      </c>
      <c r="E1213" s="4">
        <v>1</v>
      </c>
      <c r="F1213" t="s">
        <v>2210</v>
      </c>
      <c r="G1213" t="s">
        <v>2210</v>
      </c>
      <c r="H1213" s="3">
        <v>46157</v>
      </c>
      <c r="I1213" s="3">
        <v>46175</v>
      </c>
      <c r="J1213" t="s">
        <v>193</v>
      </c>
      <c r="K1213" s="3">
        <v>46175</v>
      </c>
      <c r="L1213" s="3">
        <v>46174</v>
      </c>
      <c r="M1213" s="3">
        <v>46175</v>
      </c>
      <c r="N1213" s="3">
        <v>46175</v>
      </c>
      <c r="O1213" t="s">
        <v>444</v>
      </c>
      <c r="P1213" t="s">
        <v>55</v>
      </c>
      <c r="Q1213">
        <v>1422</v>
      </c>
      <c r="S1213" t="s">
        <v>2211</v>
      </c>
      <c r="T1213" t="s">
        <v>2143</v>
      </c>
      <c r="U1213" t="s">
        <v>2212</v>
      </c>
      <c r="V1213" t="s">
        <v>127</v>
      </c>
      <c r="W1213">
        <v>13.4</v>
      </c>
      <c r="X1213" t="s">
        <v>57</v>
      </c>
      <c r="Z1213" t="s">
        <v>2211</v>
      </c>
      <c r="AA1213" t="s">
        <v>460</v>
      </c>
      <c r="AE1213">
        <v>1</v>
      </c>
      <c r="AF1213">
        <v>1</v>
      </c>
      <c r="AG1213">
        <v>1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1</v>
      </c>
    </row>
    <row r="1214" spans="1:42" x14ac:dyDescent="0.25">
      <c r="A1214">
        <v>1413</v>
      </c>
      <c r="B1214" t="s">
        <v>2213</v>
      </c>
      <c r="C1214" t="s">
        <v>2209</v>
      </c>
      <c r="D1214" t="s">
        <v>121</v>
      </c>
      <c r="E1214" s="4">
        <v>1</v>
      </c>
      <c r="F1214" t="s">
        <v>127</v>
      </c>
      <c r="G1214" t="s">
        <v>127</v>
      </c>
      <c r="H1214" s="3">
        <v>46176</v>
      </c>
      <c r="I1214" s="3">
        <v>46181</v>
      </c>
      <c r="J1214" t="s">
        <v>459</v>
      </c>
      <c r="K1214" s="3">
        <v>46182</v>
      </c>
      <c r="L1214" s="3">
        <v>46176</v>
      </c>
      <c r="M1214" s="3">
        <v>46181</v>
      </c>
      <c r="N1214" s="3">
        <v>46181</v>
      </c>
      <c r="O1214" t="s">
        <v>459</v>
      </c>
      <c r="P1214" t="s">
        <v>55</v>
      </c>
      <c r="Q1214">
        <v>1412</v>
      </c>
      <c r="S1214" t="s">
        <v>124</v>
      </c>
      <c r="T1214" t="s">
        <v>2143</v>
      </c>
      <c r="U1214">
        <v>1414</v>
      </c>
      <c r="V1214" t="s">
        <v>122</v>
      </c>
      <c r="W1214">
        <v>13.4</v>
      </c>
      <c r="X1214" t="s">
        <v>57</v>
      </c>
      <c r="Z1214" t="s">
        <v>124</v>
      </c>
      <c r="AA1214" t="s">
        <v>460</v>
      </c>
      <c r="AE1214">
        <v>1</v>
      </c>
      <c r="AF1214">
        <v>0</v>
      </c>
      <c r="AG1214">
        <v>0</v>
      </c>
      <c r="AH1214">
        <v>0</v>
      </c>
      <c r="AI1214">
        <v>0</v>
      </c>
      <c r="AJ1214">
        <v>1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</row>
    <row r="1215" spans="1:42" x14ac:dyDescent="0.25">
      <c r="A1215">
        <v>1414</v>
      </c>
      <c r="B1215" t="s">
        <v>2214</v>
      </c>
      <c r="C1215" t="s">
        <v>2209</v>
      </c>
      <c r="D1215" t="s">
        <v>126</v>
      </c>
      <c r="E1215" s="4">
        <v>1</v>
      </c>
      <c r="F1215" t="s">
        <v>61</v>
      </c>
      <c r="G1215" t="s">
        <v>61</v>
      </c>
      <c r="H1215" s="3">
        <v>46182</v>
      </c>
      <c r="I1215" s="3">
        <v>46182</v>
      </c>
      <c r="J1215" t="s">
        <v>592</v>
      </c>
      <c r="K1215" s="3">
        <v>46183</v>
      </c>
      <c r="L1215" s="3">
        <v>46183</v>
      </c>
      <c r="M1215" s="3">
        <v>46182</v>
      </c>
      <c r="N1215" s="3">
        <v>46182</v>
      </c>
      <c r="O1215" t="s">
        <v>204</v>
      </c>
      <c r="P1215" t="s">
        <v>55</v>
      </c>
      <c r="Q1215">
        <v>1413</v>
      </c>
      <c r="S1215" t="s">
        <v>2211</v>
      </c>
      <c r="T1215" t="s">
        <v>2143</v>
      </c>
      <c r="U1215">
        <v>1415</v>
      </c>
      <c r="V1215" t="s">
        <v>61</v>
      </c>
      <c r="W1215">
        <v>13.4</v>
      </c>
      <c r="X1215" t="s">
        <v>57</v>
      </c>
      <c r="Z1215" t="s">
        <v>2211</v>
      </c>
      <c r="AA1215" t="s">
        <v>462</v>
      </c>
      <c r="AE1215">
        <v>1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1</v>
      </c>
      <c r="AM1215">
        <v>0</v>
      </c>
      <c r="AN1215">
        <v>0</v>
      </c>
      <c r="AO1215">
        <v>0</v>
      </c>
      <c r="AP1215">
        <v>0</v>
      </c>
    </row>
    <row r="1216" spans="1:42" x14ac:dyDescent="0.25">
      <c r="A1216">
        <v>1415</v>
      </c>
      <c r="B1216" t="s">
        <v>2215</v>
      </c>
      <c r="C1216" t="s">
        <v>2209</v>
      </c>
      <c r="D1216" t="s">
        <v>133</v>
      </c>
      <c r="E1216" s="4">
        <v>1</v>
      </c>
      <c r="F1216" t="s">
        <v>63</v>
      </c>
      <c r="G1216" t="s">
        <v>63</v>
      </c>
      <c r="H1216" s="3">
        <v>46182</v>
      </c>
      <c r="I1216" s="3">
        <v>46183</v>
      </c>
      <c r="J1216" t="s">
        <v>476</v>
      </c>
      <c r="K1216" s="3">
        <v>46184</v>
      </c>
      <c r="L1216" s="3">
        <v>46184</v>
      </c>
      <c r="M1216" s="3">
        <v>46183</v>
      </c>
      <c r="N1216" s="3">
        <v>46183</v>
      </c>
      <c r="O1216" t="s">
        <v>204</v>
      </c>
      <c r="P1216" t="s">
        <v>55</v>
      </c>
      <c r="Q1216">
        <v>1414</v>
      </c>
      <c r="S1216" t="s">
        <v>124</v>
      </c>
      <c r="T1216" t="s">
        <v>2143</v>
      </c>
      <c r="V1216" t="s">
        <v>61</v>
      </c>
      <c r="W1216">
        <v>13.4</v>
      </c>
      <c r="X1216" t="s">
        <v>57</v>
      </c>
      <c r="Z1216" t="s">
        <v>124</v>
      </c>
      <c r="AA1216" t="s">
        <v>462</v>
      </c>
      <c r="AE1216">
        <v>1</v>
      </c>
      <c r="AF1216">
        <v>0</v>
      </c>
      <c r="AG1216">
        <v>0</v>
      </c>
      <c r="AH1216">
        <v>0</v>
      </c>
      <c r="AI1216">
        <v>1</v>
      </c>
      <c r="AJ1216">
        <v>0</v>
      </c>
      <c r="AK1216">
        <v>0</v>
      </c>
      <c r="AL1216">
        <v>0</v>
      </c>
      <c r="AM1216">
        <v>0</v>
      </c>
      <c r="AN1216">
        <v>1</v>
      </c>
      <c r="AO1216">
        <v>0</v>
      </c>
      <c r="AP1216">
        <v>0</v>
      </c>
    </row>
    <row r="1217" spans="1:42" x14ac:dyDescent="0.25">
      <c r="A1217">
        <v>1416</v>
      </c>
      <c r="B1217" t="s">
        <v>2216</v>
      </c>
      <c r="C1217" t="s">
        <v>2143</v>
      </c>
      <c r="D1217" t="s">
        <v>2217</v>
      </c>
      <c r="E1217" s="4">
        <v>1</v>
      </c>
      <c r="F1217" t="s">
        <v>210</v>
      </c>
      <c r="G1217" t="s">
        <v>210</v>
      </c>
      <c r="H1217" s="3">
        <v>46167</v>
      </c>
      <c r="I1217" s="3">
        <v>46176</v>
      </c>
      <c r="J1217" t="s">
        <v>480</v>
      </c>
      <c r="K1217" s="3">
        <v>46199</v>
      </c>
      <c r="L1217" s="3">
        <v>46191</v>
      </c>
      <c r="M1217" s="3">
        <v>46176</v>
      </c>
      <c r="N1217" s="3">
        <v>46176</v>
      </c>
      <c r="O1217" t="s">
        <v>74</v>
      </c>
      <c r="P1217" t="s">
        <v>55</v>
      </c>
      <c r="T1217" t="s">
        <v>2143</v>
      </c>
      <c r="V1217" t="s">
        <v>175</v>
      </c>
      <c r="W1217">
        <v>23.52</v>
      </c>
      <c r="X1217" t="s">
        <v>57</v>
      </c>
      <c r="AA1217" t="s">
        <v>50</v>
      </c>
      <c r="AE1217">
        <v>1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</row>
    <row r="1218" spans="1:42" x14ac:dyDescent="0.25">
      <c r="A1218">
        <v>1417</v>
      </c>
      <c r="B1218" t="s">
        <v>2218</v>
      </c>
      <c r="C1218" t="s">
        <v>2219</v>
      </c>
      <c r="D1218" t="s">
        <v>117</v>
      </c>
      <c r="E1218" s="4">
        <v>1</v>
      </c>
      <c r="F1218" t="s">
        <v>127</v>
      </c>
      <c r="G1218" t="s">
        <v>127</v>
      </c>
      <c r="H1218" s="3">
        <v>46167</v>
      </c>
      <c r="I1218" s="3">
        <v>46168</v>
      </c>
      <c r="J1218" t="s">
        <v>480</v>
      </c>
      <c r="K1218" s="3">
        <v>46192</v>
      </c>
      <c r="L1218" s="3">
        <v>46191</v>
      </c>
      <c r="M1218" s="3">
        <v>46168</v>
      </c>
      <c r="N1218" s="3">
        <v>46168</v>
      </c>
      <c r="O1218" t="s">
        <v>74</v>
      </c>
      <c r="P1218" t="s">
        <v>55</v>
      </c>
      <c r="Q1218">
        <v>1385</v>
      </c>
      <c r="S1218" t="s">
        <v>2211</v>
      </c>
      <c r="T1218" t="s">
        <v>2143</v>
      </c>
      <c r="U1218">
        <v>1418</v>
      </c>
      <c r="V1218" t="s">
        <v>127</v>
      </c>
      <c r="W1218">
        <v>13.4</v>
      </c>
      <c r="X1218" t="s">
        <v>57</v>
      </c>
      <c r="Z1218" t="s">
        <v>2211</v>
      </c>
      <c r="AA1218" t="s">
        <v>217</v>
      </c>
      <c r="AE1218">
        <v>1</v>
      </c>
      <c r="AF1218">
        <v>1</v>
      </c>
      <c r="AG1218">
        <v>1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1</v>
      </c>
    </row>
    <row r="1219" spans="1:42" x14ac:dyDescent="0.25">
      <c r="A1219">
        <v>1418</v>
      </c>
      <c r="B1219" t="s">
        <v>2220</v>
      </c>
      <c r="C1219" t="s">
        <v>2219</v>
      </c>
      <c r="D1219" t="s">
        <v>121</v>
      </c>
      <c r="E1219" s="4">
        <v>1</v>
      </c>
      <c r="F1219" t="s">
        <v>127</v>
      </c>
      <c r="G1219" t="s">
        <v>127</v>
      </c>
      <c r="H1219" s="3">
        <v>46169</v>
      </c>
      <c r="I1219" s="3">
        <v>46170</v>
      </c>
      <c r="J1219" t="s">
        <v>219</v>
      </c>
      <c r="K1219" s="3">
        <v>46197</v>
      </c>
      <c r="L1219" s="3">
        <v>46195</v>
      </c>
      <c r="M1219" s="3">
        <v>46170</v>
      </c>
      <c r="N1219" s="3">
        <v>46170</v>
      </c>
      <c r="O1219" t="s">
        <v>97</v>
      </c>
      <c r="P1219" t="s">
        <v>55</v>
      </c>
      <c r="Q1219">
        <v>1417</v>
      </c>
      <c r="S1219" t="s">
        <v>124</v>
      </c>
      <c r="T1219" t="s">
        <v>2143</v>
      </c>
      <c r="U1219">
        <v>1419</v>
      </c>
      <c r="V1219" t="s">
        <v>122</v>
      </c>
      <c r="W1219">
        <v>13.4</v>
      </c>
      <c r="X1219" t="s">
        <v>57</v>
      </c>
      <c r="Z1219" t="s">
        <v>124</v>
      </c>
      <c r="AA1219" t="s">
        <v>131</v>
      </c>
      <c r="AE1219">
        <v>1</v>
      </c>
      <c r="AF1219">
        <v>0</v>
      </c>
      <c r="AG1219">
        <v>0</v>
      </c>
      <c r="AH1219">
        <v>0</v>
      </c>
      <c r="AI1219">
        <v>0</v>
      </c>
      <c r="AJ1219">
        <v>1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</row>
    <row r="1220" spans="1:42" x14ac:dyDescent="0.25">
      <c r="A1220">
        <v>1419</v>
      </c>
      <c r="B1220" t="s">
        <v>2221</v>
      </c>
      <c r="C1220" t="s">
        <v>2219</v>
      </c>
      <c r="D1220" t="s">
        <v>126</v>
      </c>
      <c r="E1220" s="4">
        <v>1</v>
      </c>
      <c r="F1220" t="s">
        <v>127</v>
      </c>
      <c r="G1220" t="s">
        <v>127</v>
      </c>
      <c r="H1220" s="3">
        <v>46171</v>
      </c>
      <c r="I1220" s="3">
        <v>46174</v>
      </c>
      <c r="J1220" t="s">
        <v>128</v>
      </c>
      <c r="K1220" s="3">
        <v>46198</v>
      </c>
      <c r="L1220" s="3">
        <v>46198</v>
      </c>
      <c r="M1220" s="3">
        <v>46174</v>
      </c>
      <c r="N1220" s="3">
        <v>46174</v>
      </c>
      <c r="O1220" t="s">
        <v>189</v>
      </c>
      <c r="P1220" t="s">
        <v>55</v>
      </c>
      <c r="Q1220">
        <v>1418</v>
      </c>
      <c r="S1220" t="s">
        <v>2211</v>
      </c>
      <c r="T1220" t="s">
        <v>2143</v>
      </c>
      <c r="U1220">
        <v>1420</v>
      </c>
      <c r="V1220" t="s">
        <v>61</v>
      </c>
      <c r="W1220">
        <v>13.4</v>
      </c>
      <c r="X1220" t="s">
        <v>57</v>
      </c>
      <c r="Z1220" t="s">
        <v>2211</v>
      </c>
      <c r="AA1220" t="s">
        <v>131</v>
      </c>
      <c r="AE1220">
        <v>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1</v>
      </c>
      <c r="AM1220">
        <v>0</v>
      </c>
      <c r="AN1220">
        <v>0</v>
      </c>
      <c r="AO1220">
        <v>0</v>
      </c>
      <c r="AP1220">
        <v>0</v>
      </c>
    </row>
    <row r="1221" spans="1:42" x14ac:dyDescent="0.25">
      <c r="A1221">
        <v>1420</v>
      </c>
      <c r="B1221" t="s">
        <v>2222</v>
      </c>
      <c r="C1221" t="s">
        <v>2219</v>
      </c>
      <c r="D1221" t="s">
        <v>133</v>
      </c>
      <c r="E1221" s="4">
        <v>1</v>
      </c>
      <c r="F1221" t="s">
        <v>127</v>
      </c>
      <c r="G1221" t="s">
        <v>127</v>
      </c>
      <c r="H1221" s="3">
        <v>46175</v>
      </c>
      <c r="I1221" s="3">
        <v>46176</v>
      </c>
      <c r="J1221" t="s">
        <v>134</v>
      </c>
      <c r="K1221" s="3">
        <v>46199</v>
      </c>
      <c r="L1221" s="3">
        <v>46199</v>
      </c>
      <c r="M1221" s="3">
        <v>46176</v>
      </c>
      <c r="N1221" s="3">
        <v>46176</v>
      </c>
      <c r="O1221" t="s">
        <v>472</v>
      </c>
      <c r="P1221" t="s">
        <v>55</v>
      </c>
      <c r="Q1221">
        <v>1419</v>
      </c>
      <c r="S1221" t="s">
        <v>124</v>
      </c>
      <c r="T1221" t="s">
        <v>2143</v>
      </c>
      <c r="V1221" t="s">
        <v>61</v>
      </c>
      <c r="W1221">
        <v>13.4</v>
      </c>
      <c r="X1221" t="s">
        <v>57</v>
      </c>
      <c r="Z1221" t="s">
        <v>124</v>
      </c>
      <c r="AA1221" t="s">
        <v>131</v>
      </c>
      <c r="AE1221">
        <v>1</v>
      </c>
      <c r="AF1221">
        <v>0</v>
      </c>
      <c r="AG1221">
        <v>0</v>
      </c>
      <c r="AH1221">
        <v>0</v>
      </c>
      <c r="AI1221">
        <v>1</v>
      </c>
      <c r="AJ1221">
        <v>0</v>
      </c>
      <c r="AK1221">
        <v>0</v>
      </c>
      <c r="AL1221">
        <v>0</v>
      </c>
      <c r="AM1221">
        <v>0</v>
      </c>
      <c r="AN1221">
        <v>1</v>
      </c>
      <c r="AO1221">
        <v>0</v>
      </c>
      <c r="AP1221">
        <v>0</v>
      </c>
    </row>
    <row r="1222" spans="1:42" x14ac:dyDescent="0.25">
      <c r="A1222">
        <v>1421</v>
      </c>
      <c r="B1222" t="s">
        <v>2223</v>
      </c>
      <c r="C1222" t="s">
        <v>2143</v>
      </c>
      <c r="D1222" t="s">
        <v>2224</v>
      </c>
      <c r="E1222" s="4">
        <v>1</v>
      </c>
      <c r="F1222" t="s">
        <v>2225</v>
      </c>
      <c r="G1222" t="s">
        <v>2225</v>
      </c>
      <c r="H1222" s="3">
        <v>46153</v>
      </c>
      <c r="I1222" s="3">
        <v>46164</v>
      </c>
      <c r="J1222" t="s">
        <v>206</v>
      </c>
      <c r="K1222" s="3">
        <v>46182</v>
      </c>
      <c r="L1222" s="3">
        <v>46168</v>
      </c>
      <c r="M1222" s="3">
        <v>46164</v>
      </c>
      <c r="N1222" s="3">
        <v>46164</v>
      </c>
      <c r="O1222" t="s">
        <v>418</v>
      </c>
      <c r="P1222" t="s">
        <v>55</v>
      </c>
      <c r="T1222" t="s">
        <v>2143</v>
      </c>
      <c r="V1222" t="s">
        <v>114</v>
      </c>
      <c r="W1222">
        <v>23.52</v>
      </c>
      <c r="X1222" t="s">
        <v>57</v>
      </c>
      <c r="AA1222" t="s">
        <v>50</v>
      </c>
      <c r="AE1222">
        <v>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</row>
    <row r="1223" spans="1:42" x14ac:dyDescent="0.25">
      <c r="A1223">
        <v>1422</v>
      </c>
      <c r="B1223" t="s">
        <v>2226</v>
      </c>
      <c r="C1223" t="s">
        <v>2227</v>
      </c>
      <c r="D1223" t="s">
        <v>117</v>
      </c>
      <c r="E1223" s="4">
        <v>1</v>
      </c>
      <c r="F1223" t="s">
        <v>101</v>
      </c>
      <c r="G1223" t="s">
        <v>101</v>
      </c>
      <c r="H1223" s="3">
        <v>46153</v>
      </c>
      <c r="I1223" s="3">
        <v>46157</v>
      </c>
      <c r="J1223" t="s">
        <v>206</v>
      </c>
      <c r="K1223" s="3">
        <v>46171</v>
      </c>
      <c r="L1223" s="3">
        <v>46168</v>
      </c>
      <c r="M1223" s="3">
        <v>46157</v>
      </c>
      <c r="N1223" s="3">
        <v>46157</v>
      </c>
      <c r="O1223" t="s">
        <v>418</v>
      </c>
      <c r="P1223" t="s">
        <v>55</v>
      </c>
      <c r="Q1223">
        <v>1397</v>
      </c>
      <c r="S1223" t="s">
        <v>2211</v>
      </c>
      <c r="T1223" t="s">
        <v>2143</v>
      </c>
      <c r="U1223" t="s">
        <v>2228</v>
      </c>
      <c r="V1223" t="s">
        <v>101</v>
      </c>
      <c r="W1223">
        <v>13.4</v>
      </c>
      <c r="X1223" t="s">
        <v>57</v>
      </c>
      <c r="Z1223" t="s">
        <v>2211</v>
      </c>
      <c r="AA1223" t="s">
        <v>77</v>
      </c>
      <c r="AE1223">
        <v>1</v>
      </c>
      <c r="AF1223">
        <v>1</v>
      </c>
      <c r="AG1223">
        <v>1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1</v>
      </c>
    </row>
    <row r="1224" spans="1:42" x14ac:dyDescent="0.25">
      <c r="A1224">
        <v>1423</v>
      </c>
      <c r="B1224" t="s">
        <v>2229</v>
      </c>
      <c r="C1224" t="s">
        <v>2227</v>
      </c>
      <c r="D1224" t="s">
        <v>121</v>
      </c>
      <c r="E1224" s="4">
        <v>1</v>
      </c>
      <c r="F1224" t="s">
        <v>122</v>
      </c>
      <c r="G1224" t="s">
        <v>122</v>
      </c>
      <c r="H1224" s="3">
        <v>46157</v>
      </c>
      <c r="I1224" s="3">
        <v>46162</v>
      </c>
      <c r="J1224" t="s">
        <v>193</v>
      </c>
      <c r="K1224" s="3">
        <v>46176</v>
      </c>
      <c r="L1224" s="3">
        <v>46174</v>
      </c>
      <c r="M1224" s="3">
        <v>46162</v>
      </c>
      <c r="N1224" s="3">
        <v>46162</v>
      </c>
      <c r="O1224" t="s">
        <v>444</v>
      </c>
      <c r="P1224" t="s">
        <v>55</v>
      </c>
      <c r="Q1224">
        <v>1422</v>
      </c>
      <c r="S1224" t="s">
        <v>124</v>
      </c>
      <c r="T1224" t="s">
        <v>2143</v>
      </c>
      <c r="U1224">
        <v>1424</v>
      </c>
      <c r="V1224" t="s">
        <v>122</v>
      </c>
      <c r="W1224">
        <v>13.4</v>
      </c>
      <c r="X1224" t="s">
        <v>57</v>
      </c>
      <c r="Z1224" t="s">
        <v>124</v>
      </c>
      <c r="AA1224" t="s">
        <v>460</v>
      </c>
      <c r="AE1224">
        <v>1</v>
      </c>
      <c r="AF1224">
        <v>0</v>
      </c>
      <c r="AG1224">
        <v>0</v>
      </c>
      <c r="AH1224">
        <v>0</v>
      </c>
      <c r="AI1224">
        <v>0</v>
      </c>
      <c r="AJ1224">
        <v>1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</row>
    <row r="1225" spans="1:42" x14ac:dyDescent="0.25">
      <c r="A1225">
        <v>1424</v>
      </c>
      <c r="B1225" t="s">
        <v>2230</v>
      </c>
      <c r="C1225" t="s">
        <v>2227</v>
      </c>
      <c r="D1225" t="s">
        <v>126</v>
      </c>
      <c r="E1225" s="4">
        <v>1</v>
      </c>
      <c r="F1225" t="s">
        <v>61</v>
      </c>
      <c r="G1225" t="s">
        <v>61</v>
      </c>
      <c r="H1225" s="3">
        <v>46162</v>
      </c>
      <c r="I1225" s="3">
        <v>46163</v>
      </c>
      <c r="J1225" t="s">
        <v>201</v>
      </c>
      <c r="K1225" s="3">
        <v>46181</v>
      </c>
      <c r="L1225" s="3">
        <v>46181</v>
      </c>
      <c r="M1225" s="3">
        <v>46163</v>
      </c>
      <c r="N1225" s="3">
        <v>46163</v>
      </c>
      <c r="O1225" t="s">
        <v>200</v>
      </c>
      <c r="P1225" t="s">
        <v>55</v>
      </c>
      <c r="Q1225">
        <v>1423</v>
      </c>
      <c r="S1225" t="s">
        <v>2211</v>
      </c>
      <c r="T1225" t="s">
        <v>2143</v>
      </c>
      <c r="U1225">
        <v>1425</v>
      </c>
      <c r="V1225" t="s">
        <v>61</v>
      </c>
      <c r="W1225">
        <v>13.4</v>
      </c>
      <c r="X1225" t="s">
        <v>57</v>
      </c>
      <c r="Z1225" t="s">
        <v>2211</v>
      </c>
      <c r="AA1225" t="s">
        <v>462</v>
      </c>
      <c r="AE1225">
        <v>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1</v>
      </c>
      <c r="AM1225">
        <v>0</v>
      </c>
      <c r="AN1225">
        <v>0</v>
      </c>
      <c r="AO1225">
        <v>0</v>
      </c>
      <c r="AP1225">
        <v>0</v>
      </c>
    </row>
    <row r="1226" spans="1:42" x14ac:dyDescent="0.25">
      <c r="A1226">
        <v>1425</v>
      </c>
      <c r="B1226" t="s">
        <v>2231</v>
      </c>
      <c r="C1226" t="s">
        <v>2227</v>
      </c>
      <c r="D1226" t="s">
        <v>133</v>
      </c>
      <c r="E1226" s="4">
        <v>1</v>
      </c>
      <c r="F1226" t="s">
        <v>61</v>
      </c>
      <c r="G1226" t="s">
        <v>61</v>
      </c>
      <c r="H1226" s="3">
        <v>46163</v>
      </c>
      <c r="I1226" s="3">
        <v>46164</v>
      </c>
      <c r="J1226" t="s">
        <v>204</v>
      </c>
      <c r="K1226" s="3">
        <v>46182</v>
      </c>
      <c r="L1226" s="3">
        <v>46182</v>
      </c>
      <c r="M1226" s="3">
        <v>46164</v>
      </c>
      <c r="N1226" s="3">
        <v>46164</v>
      </c>
      <c r="O1226" t="s">
        <v>491</v>
      </c>
      <c r="P1226" t="s">
        <v>55</v>
      </c>
      <c r="Q1226">
        <v>1424</v>
      </c>
      <c r="S1226" t="s">
        <v>124</v>
      </c>
      <c r="T1226" t="s">
        <v>2143</v>
      </c>
      <c r="V1226" t="s">
        <v>61</v>
      </c>
      <c r="W1226">
        <v>13.4</v>
      </c>
      <c r="X1226" t="s">
        <v>57</v>
      </c>
      <c r="Z1226" t="s">
        <v>124</v>
      </c>
      <c r="AA1226" t="s">
        <v>462</v>
      </c>
      <c r="AE1226">
        <v>1</v>
      </c>
      <c r="AF1226">
        <v>0</v>
      </c>
      <c r="AG1226">
        <v>0</v>
      </c>
      <c r="AH1226">
        <v>0</v>
      </c>
      <c r="AI1226">
        <v>1</v>
      </c>
      <c r="AJ1226">
        <v>0</v>
      </c>
      <c r="AK1226">
        <v>0</v>
      </c>
      <c r="AL1226">
        <v>0</v>
      </c>
      <c r="AM1226">
        <v>0</v>
      </c>
      <c r="AN1226">
        <v>1</v>
      </c>
      <c r="AO1226">
        <v>0</v>
      </c>
      <c r="AP1226">
        <v>0</v>
      </c>
    </row>
    <row r="1227" spans="1:42" x14ac:dyDescent="0.25">
      <c r="A1227">
        <v>1426</v>
      </c>
      <c r="B1227" t="s">
        <v>2232</v>
      </c>
      <c r="C1227" t="s">
        <v>2143</v>
      </c>
      <c r="D1227" t="s">
        <v>2233</v>
      </c>
      <c r="E1227" s="4">
        <v>1</v>
      </c>
      <c r="F1227" t="s">
        <v>101</v>
      </c>
      <c r="G1227" t="s">
        <v>101</v>
      </c>
      <c r="H1227" s="3">
        <v>46192</v>
      </c>
      <c r="I1227" s="3">
        <v>46197</v>
      </c>
      <c r="J1227" t="s">
        <v>480</v>
      </c>
      <c r="K1227" s="3">
        <v>46199</v>
      </c>
      <c r="L1227" s="3">
        <v>46191</v>
      </c>
      <c r="M1227" s="3">
        <v>46197</v>
      </c>
      <c r="N1227" s="3">
        <v>46197</v>
      </c>
      <c r="O1227" t="s">
        <v>211</v>
      </c>
      <c r="P1227" t="s">
        <v>55</v>
      </c>
      <c r="T1227" t="s">
        <v>2143</v>
      </c>
      <c r="V1227" t="s">
        <v>175</v>
      </c>
      <c r="W1227">
        <v>23.52</v>
      </c>
      <c r="X1227" t="s">
        <v>57</v>
      </c>
      <c r="AA1227" t="s">
        <v>50</v>
      </c>
      <c r="AE1227">
        <v>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</row>
    <row r="1228" spans="1:42" x14ac:dyDescent="0.25">
      <c r="A1228">
        <v>1427</v>
      </c>
      <c r="B1228" t="s">
        <v>2234</v>
      </c>
      <c r="C1228" t="s">
        <v>2235</v>
      </c>
      <c r="D1228" t="s">
        <v>117</v>
      </c>
      <c r="E1228" s="4">
        <v>1</v>
      </c>
      <c r="F1228" t="s">
        <v>127</v>
      </c>
      <c r="G1228" t="s">
        <v>127</v>
      </c>
      <c r="H1228" s="3">
        <v>46192</v>
      </c>
      <c r="I1228" s="3">
        <v>46195</v>
      </c>
      <c r="J1228" t="s">
        <v>480</v>
      </c>
      <c r="K1228" s="3">
        <v>46192</v>
      </c>
      <c r="L1228" s="3">
        <v>46191</v>
      </c>
      <c r="M1228" s="3">
        <v>46195</v>
      </c>
      <c r="N1228" s="3">
        <v>46195</v>
      </c>
      <c r="O1228" t="s">
        <v>211</v>
      </c>
      <c r="P1228" t="s">
        <v>55</v>
      </c>
      <c r="Q1228" t="s">
        <v>2190</v>
      </c>
      <c r="S1228" t="s">
        <v>2211</v>
      </c>
      <c r="T1228" t="s">
        <v>2143</v>
      </c>
      <c r="U1228">
        <v>1428</v>
      </c>
      <c r="V1228" t="s">
        <v>127</v>
      </c>
      <c r="W1228">
        <v>13.4</v>
      </c>
      <c r="X1228" t="s">
        <v>57</v>
      </c>
      <c r="Z1228" t="s">
        <v>2211</v>
      </c>
      <c r="AA1228" t="s">
        <v>217</v>
      </c>
      <c r="AE1228">
        <v>1</v>
      </c>
      <c r="AF1228">
        <v>1</v>
      </c>
      <c r="AG1228">
        <v>1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1</v>
      </c>
    </row>
    <row r="1229" spans="1:42" x14ac:dyDescent="0.25">
      <c r="A1229">
        <v>1428</v>
      </c>
      <c r="B1229" t="s">
        <v>2236</v>
      </c>
      <c r="C1229" t="s">
        <v>2235</v>
      </c>
      <c r="D1229" t="s">
        <v>121</v>
      </c>
      <c r="E1229" s="4">
        <v>1</v>
      </c>
      <c r="F1229" t="s">
        <v>61</v>
      </c>
      <c r="G1229" t="s">
        <v>61</v>
      </c>
      <c r="H1229" s="3">
        <v>46196</v>
      </c>
      <c r="I1229" s="3">
        <v>46196</v>
      </c>
      <c r="J1229" t="s">
        <v>219</v>
      </c>
      <c r="K1229" s="3">
        <v>46197</v>
      </c>
      <c r="L1229" s="3">
        <v>46195</v>
      </c>
      <c r="M1229" s="3">
        <v>46196</v>
      </c>
      <c r="N1229" s="3">
        <v>46196</v>
      </c>
      <c r="O1229" t="s">
        <v>212</v>
      </c>
      <c r="P1229" t="s">
        <v>55</v>
      </c>
      <c r="Q1229">
        <v>1427</v>
      </c>
      <c r="S1229" t="s">
        <v>124</v>
      </c>
      <c r="T1229" t="s">
        <v>2143</v>
      </c>
      <c r="U1229">
        <v>1429</v>
      </c>
      <c r="V1229" t="s">
        <v>122</v>
      </c>
      <c r="W1229">
        <v>13.4</v>
      </c>
      <c r="X1229" t="s">
        <v>57</v>
      </c>
      <c r="Z1229" t="s">
        <v>124</v>
      </c>
      <c r="AA1229" t="s">
        <v>131</v>
      </c>
      <c r="AE1229">
        <v>1</v>
      </c>
      <c r="AF1229">
        <v>0</v>
      </c>
      <c r="AG1229">
        <v>0</v>
      </c>
      <c r="AH1229">
        <v>0</v>
      </c>
      <c r="AI1229">
        <v>0</v>
      </c>
      <c r="AJ1229">
        <v>1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</row>
    <row r="1230" spans="1:42" x14ac:dyDescent="0.25">
      <c r="A1230">
        <v>1429</v>
      </c>
      <c r="B1230" t="s">
        <v>2237</v>
      </c>
      <c r="C1230" t="s">
        <v>2235</v>
      </c>
      <c r="D1230" t="s">
        <v>126</v>
      </c>
      <c r="E1230" s="4">
        <v>1</v>
      </c>
      <c r="F1230" t="s">
        <v>61</v>
      </c>
      <c r="G1230" t="s">
        <v>61</v>
      </c>
      <c r="H1230" s="3">
        <v>46197</v>
      </c>
      <c r="I1230" s="3">
        <v>46197</v>
      </c>
      <c r="J1230" t="s">
        <v>128</v>
      </c>
      <c r="K1230" s="3">
        <v>46198</v>
      </c>
      <c r="L1230" s="3">
        <v>46198</v>
      </c>
      <c r="M1230" s="3">
        <v>46197</v>
      </c>
      <c r="N1230" s="3">
        <v>46197</v>
      </c>
      <c r="O1230" t="s">
        <v>207</v>
      </c>
      <c r="P1230" t="s">
        <v>55</v>
      </c>
      <c r="Q1230">
        <v>1428</v>
      </c>
      <c r="S1230" t="s">
        <v>2211</v>
      </c>
      <c r="T1230" t="s">
        <v>2143</v>
      </c>
      <c r="U1230" t="s">
        <v>2238</v>
      </c>
      <c r="V1230" t="s">
        <v>61</v>
      </c>
      <c r="W1230">
        <v>13.4</v>
      </c>
      <c r="X1230" t="s">
        <v>57</v>
      </c>
      <c r="Z1230" t="s">
        <v>2211</v>
      </c>
      <c r="AA1230" t="s">
        <v>131</v>
      </c>
      <c r="AE1230">
        <v>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1</v>
      </c>
      <c r="AM1230">
        <v>0</v>
      </c>
      <c r="AN1230">
        <v>0</v>
      </c>
      <c r="AO1230">
        <v>0</v>
      </c>
      <c r="AP1230">
        <v>0</v>
      </c>
    </row>
    <row r="1231" spans="1:42" x14ac:dyDescent="0.25">
      <c r="A1231">
        <v>1430</v>
      </c>
      <c r="B1231" t="s">
        <v>2239</v>
      </c>
      <c r="C1231" t="s">
        <v>2235</v>
      </c>
      <c r="D1231" t="s">
        <v>133</v>
      </c>
      <c r="E1231" s="4">
        <v>1</v>
      </c>
      <c r="F1231" t="s">
        <v>61</v>
      </c>
      <c r="G1231" t="s">
        <v>61</v>
      </c>
      <c r="H1231" s="3">
        <v>46197</v>
      </c>
      <c r="I1231" s="3">
        <v>46197</v>
      </c>
      <c r="J1231" t="s">
        <v>134</v>
      </c>
      <c r="K1231" s="3">
        <v>46199</v>
      </c>
      <c r="L1231" s="3">
        <v>46199</v>
      </c>
      <c r="M1231" s="3">
        <v>46197</v>
      </c>
      <c r="N1231" s="3">
        <v>46197</v>
      </c>
      <c r="O1231" t="s">
        <v>207</v>
      </c>
      <c r="P1231" t="s">
        <v>55</v>
      </c>
      <c r="Q1231" t="s">
        <v>2240</v>
      </c>
      <c r="S1231" t="s">
        <v>124</v>
      </c>
      <c r="T1231" t="s">
        <v>2143</v>
      </c>
      <c r="V1231" t="s">
        <v>61</v>
      </c>
      <c r="W1231">
        <v>13.4</v>
      </c>
      <c r="X1231" t="s">
        <v>57</v>
      </c>
      <c r="Z1231" t="s">
        <v>124</v>
      </c>
      <c r="AA1231" t="s">
        <v>131</v>
      </c>
      <c r="AE1231">
        <v>1</v>
      </c>
      <c r="AF1231">
        <v>0</v>
      </c>
      <c r="AG1231">
        <v>0</v>
      </c>
      <c r="AH1231">
        <v>0</v>
      </c>
      <c r="AI1231">
        <v>1</v>
      </c>
      <c r="AJ1231">
        <v>0</v>
      </c>
      <c r="AK1231">
        <v>0</v>
      </c>
      <c r="AL1231">
        <v>0</v>
      </c>
      <c r="AM1231">
        <v>0</v>
      </c>
      <c r="AN1231">
        <v>1</v>
      </c>
      <c r="AO1231">
        <v>0</v>
      </c>
      <c r="AP1231">
        <v>0</v>
      </c>
    </row>
    <row r="1232" spans="1:42" x14ac:dyDescent="0.25">
      <c r="A1232">
        <v>1431</v>
      </c>
      <c r="B1232" t="s">
        <v>2241</v>
      </c>
      <c r="C1232" t="s">
        <v>52</v>
      </c>
      <c r="D1232" t="s">
        <v>2242</v>
      </c>
      <c r="E1232" s="4">
        <v>1</v>
      </c>
      <c r="F1232" t="s">
        <v>2243</v>
      </c>
      <c r="G1232" t="s">
        <v>2243</v>
      </c>
      <c r="H1232" s="3">
        <v>46120</v>
      </c>
      <c r="I1232" s="3">
        <v>46198</v>
      </c>
      <c r="J1232" t="s">
        <v>123</v>
      </c>
      <c r="K1232" s="3">
        <v>46198</v>
      </c>
      <c r="L1232" s="3">
        <v>46104</v>
      </c>
      <c r="M1232" s="3">
        <v>46198</v>
      </c>
      <c r="N1232" s="3">
        <v>46198</v>
      </c>
      <c r="O1232" t="s">
        <v>685</v>
      </c>
      <c r="P1232" t="s">
        <v>55</v>
      </c>
      <c r="V1232" t="s">
        <v>2244</v>
      </c>
      <c r="W1232">
        <v>163.36000000000001</v>
      </c>
      <c r="X1232" t="s">
        <v>57</v>
      </c>
      <c r="AA1232" t="s">
        <v>50</v>
      </c>
      <c r="AE1232">
        <v>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</row>
    <row r="1233" spans="1:42" x14ac:dyDescent="0.25">
      <c r="A1233">
        <v>1432</v>
      </c>
      <c r="B1233" t="s">
        <v>2245</v>
      </c>
      <c r="C1233" t="s">
        <v>2246</v>
      </c>
      <c r="D1233" t="s">
        <v>2247</v>
      </c>
      <c r="E1233" s="4">
        <v>1</v>
      </c>
      <c r="F1233" t="s">
        <v>976</v>
      </c>
      <c r="G1233" t="s">
        <v>976</v>
      </c>
      <c r="H1233" s="3">
        <v>46120</v>
      </c>
      <c r="I1233" s="3">
        <v>46157</v>
      </c>
      <c r="J1233" t="s">
        <v>123</v>
      </c>
      <c r="K1233" s="3">
        <v>46119</v>
      </c>
      <c r="L1233" s="3">
        <v>46104</v>
      </c>
      <c r="M1233" s="3">
        <v>46157</v>
      </c>
      <c r="N1233" s="3">
        <v>46157</v>
      </c>
      <c r="O1233" t="s">
        <v>685</v>
      </c>
      <c r="P1233" t="s">
        <v>55</v>
      </c>
      <c r="T1233" t="s">
        <v>2246</v>
      </c>
      <c r="V1233" t="s">
        <v>151</v>
      </c>
      <c r="W1233">
        <v>23.52</v>
      </c>
      <c r="X1233" t="s">
        <v>57</v>
      </c>
      <c r="AA1233" t="s">
        <v>50</v>
      </c>
      <c r="AE1233">
        <v>1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</row>
    <row r="1234" spans="1:42" x14ac:dyDescent="0.25">
      <c r="A1234">
        <v>1433</v>
      </c>
      <c r="B1234" t="s">
        <v>2248</v>
      </c>
      <c r="C1234" t="s">
        <v>2249</v>
      </c>
      <c r="D1234" t="s">
        <v>117</v>
      </c>
      <c r="E1234" s="4">
        <v>1</v>
      </c>
      <c r="F1234" t="s">
        <v>138</v>
      </c>
      <c r="G1234" t="s">
        <v>138</v>
      </c>
      <c r="H1234" s="3">
        <v>46120</v>
      </c>
      <c r="I1234" s="3">
        <v>46126</v>
      </c>
      <c r="J1234" t="s">
        <v>123</v>
      </c>
      <c r="K1234" s="3">
        <v>46108</v>
      </c>
      <c r="L1234" s="3">
        <v>46104</v>
      </c>
      <c r="M1234" s="3">
        <v>46126</v>
      </c>
      <c r="N1234" s="3">
        <v>46126</v>
      </c>
      <c r="O1234" t="s">
        <v>685</v>
      </c>
      <c r="P1234" t="s">
        <v>55</v>
      </c>
      <c r="Q1234" t="s">
        <v>2250</v>
      </c>
      <c r="R1234" s="1">
        <v>46129.727083333331</v>
      </c>
      <c r="S1234" t="s">
        <v>2251</v>
      </c>
      <c r="T1234" t="s">
        <v>2246</v>
      </c>
      <c r="U1234">
        <v>1434</v>
      </c>
      <c r="V1234" t="s">
        <v>138</v>
      </c>
      <c r="W1234">
        <v>13.4</v>
      </c>
      <c r="X1234" t="s">
        <v>57</v>
      </c>
      <c r="Z1234" t="s">
        <v>2251</v>
      </c>
      <c r="AA1234" t="s">
        <v>64</v>
      </c>
      <c r="AE1234">
        <v>1</v>
      </c>
      <c r="AF1234">
        <v>1</v>
      </c>
      <c r="AG1234">
        <v>1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1</v>
      </c>
    </row>
    <row r="1235" spans="1:42" x14ac:dyDescent="0.25">
      <c r="A1235">
        <v>1434</v>
      </c>
      <c r="B1235" t="s">
        <v>2252</v>
      </c>
      <c r="C1235" t="s">
        <v>2249</v>
      </c>
      <c r="D1235" t="s">
        <v>121</v>
      </c>
      <c r="E1235" s="4">
        <v>1</v>
      </c>
      <c r="F1235" t="s">
        <v>122</v>
      </c>
      <c r="G1235" t="s">
        <v>122</v>
      </c>
      <c r="H1235" s="3">
        <v>46127</v>
      </c>
      <c r="I1235" s="3">
        <v>46129</v>
      </c>
      <c r="J1235" t="s">
        <v>275</v>
      </c>
      <c r="K1235" s="3">
        <v>46113</v>
      </c>
      <c r="L1235" s="3">
        <v>46111</v>
      </c>
      <c r="M1235" s="3">
        <v>46129</v>
      </c>
      <c r="N1235" s="3">
        <v>46129</v>
      </c>
      <c r="O1235" t="s">
        <v>146</v>
      </c>
      <c r="P1235" t="s">
        <v>55</v>
      </c>
      <c r="Q1235">
        <v>1433</v>
      </c>
      <c r="R1235" s="1">
        <v>46140.618055555547</v>
      </c>
      <c r="S1235" t="s">
        <v>124</v>
      </c>
      <c r="T1235" t="s">
        <v>2246</v>
      </c>
      <c r="U1235">
        <v>1435</v>
      </c>
      <c r="V1235" t="s">
        <v>122</v>
      </c>
      <c r="W1235">
        <v>13.4</v>
      </c>
      <c r="X1235" t="s">
        <v>57</v>
      </c>
      <c r="Z1235" t="s">
        <v>124</v>
      </c>
      <c r="AA1235" t="s">
        <v>255</v>
      </c>
      <c r="AE1235">
        <v>1</v>
      </c>
      <c r="AF1235">
        <v>0</v>
      </c>
      <c r="AG1235">
        <v>0</v>
      </c>
      <c r="AH1235">
        <v>0</v>
      </c>
      <c r="AI1235">
        <v>0</v>
      </c>
      <c r="AJ1235">
        <v>1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</row>
    <row r="1236" spans="1:42" x14ac:dyDescent="0.25">
      <c r="A1236">
        <v>1435</v>
      </c>
      <c r="B1236" t="s">
        <v>2253</v>
      </c>
      <c r="C1236" t="s">
        <v>2249</v>
      </c>
      <c r="D1236" t="s">
        <v>126</v>
      </c>
      <c r="E1236" s="4">
        <v>1</v>
      </c>
      <c r="F1236" t="s">
        <v>295</v>
      </c>
      <c r="G1236" t="s">
        <v>295</v>
      </c>
      <c r="H1236" s="3">
        <v>46134</v>
      </c>
      <c r="I1236" s="3">
        <v>46156</v>
      </c>
      <c r="J1236" t="s">
        <v>2150</v>
      </c>
      <c r="K1236" s="3">
        <v>46114</v>
      </c>
      <c r="L1236" s="3">
        <v>46114</v>
      </c>
      <c r="M1236" s="3">
        <v>46156</v>
      </c>
      <c r="N1236" s="3">
        <v>46156</v>
      </c>
      <c r="O1236" t="s">
        <v>337</v>
      </c>
      <c r="P1236" t="s">
        <v>55</v>
      </c>
      <c r="Q1236">
        <v>1434</v>
      </c>
      <c r="R1236" s="1">
        <v>46140.618055555547</v>
      </c>
      <c r="S1236" t="s">
        <v>2251</v>
      </c>
      <c r="T1236" t="s">
        <v>2246</v>
      </c>
      <c r="U1236">
        <v>1436</v>
      </c>
      <c r="V1236" t="s">
        <v>61</v>
      </c>
      <c r="W1236">
        <v>13.4</v>
      </c>
      <c r="X1236" t="s">
        <v>57</v>
      </c>
      <c r="Z1236" t="s">
        <v>2251</v>
      </c>
      <c r="AA1236" t="s">
        <v>255</v>
      </c>
      <c r="AE1236">
        <v>1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1</v>
      </c>
      <c r="AM1236">
        <v>0</v>
      </c>
      <c r="AN1236">
        <v>0</v>
      </c>
      <c r="AO1236">
        <v>0</v>
      </c>
      <c r="AP1236">
        <v>0</v>
      </c>
    </row>
    <row r="1237" spans="1:42" x14ac:dyDescent="0.25">
      <c r="A1237">
        <v>1436</v>
      </c>
      <c r="B1237" t="s">
        <v>2254</v>
      </c>
      <c r="C1237" t="s">
        <v>2249</v>
      </c>
      <c r="D1237" t="s">
        <v>133</v>
      </c>
      <c r="E1237" s="4">
        <v>1</v>
      </c>
      <c r="F1237" t="s">
        <v>539</v>
      </c>
      <c r="G1237" t="s">
        <v>539</v>
      </c>
      <c r="H1237" s="3">
        <v>46135</v>
      </c>
      <c r="I1237" s="3">
        <v>46157</v>
      </c>
      <c r="J1237" t="s">
        <v>2152</v>
      </c>
      <c r="K1237" s="3">
        <v>46119</v>
      </c>
      <c r="L1237" s="3">
        <v>46119</v>
      </c>
      <c r="M1237" s="3">
        <v>46157</v>
      </c>
      <c r="N1237" s="3">
        <v>46157</v>
      </c>
      <c r="O1237" t="s">
        <v>371</v>
      </c>
      <c r="P1237" t="s">
        <v>55</v>
      </c>
      <c r="Q1237">
        <v>1435</v>
      </c>
      <c r="R1237" s="1">
        <v>46140.618055555547</v>
      </c>
      <c r="S1237" t="s">
        <v>124</v>
      </c>
      <c r="T1237" t="s">
        <v>2246</v>
      </c>
      <c r="V1237" t="s">
        <v>61</v>
      </c>
      <c r="W1237">
        <v>13.4</v>
      </c>
      <c r="X1237" t="s">
        <v>57</v>
      </c>
      <c r="Z1237" t="s">
        <v>124</v>
      </c>
      <c r="AA1237" t="s">
        <v>82</v>
      </c>
      <c r="AE1237">
        <v>1</v>
      </c>
      <c r="AF1237">
        <v>0</v>
      </c>
      <c r="AG1237">
        <v>0</v>
      </c>
      <c r="AH1237">
        <v>0</v>
      </c>
      <c r="AI1237">
        <v>1</v>
      </c>
      <c r="AJ1237">
        <v>0</v>
      </c>
      <c r="AK1237">
        <v>0</v>
      </c>
      <c r="AL1237">
        <v>0</v>
      </c>
      <c r="AM1237">
        <v>0</v>
      </c>
      <c r="AN1237">
        <v>1</v>
      </c>
      <c r="AO1237">
        <v>0</v>
      </c>
      <c r="AP1237">
        <v>0</v>
      </c>
    </row>
    <row r="1238" spans="1:42" x14ac:dyDescent="0.25">
      <c r="A1238">
        <v>1437</v>
      </c>
      <c r="B1238" t="s">
        <v>2255</v>
      </c>
      <c r="C1238" t="s">
        <v>2246</v>
      </c>
      <c r="D1238" t="s">
        <v>2256</v>
      </c>
      <c r="E1238" s="4">
        <v>1</v>
      </c>
      <c r="F1238" t="s">
        <v>976</v>
      </c>
      <c r="G1238" t="s">
        <v>976</v>
      </c>
      <c r="H1238" s="3">
        <v>46120</v>
      </c>
      <c r="I1238" s="3">
        <v>46157</v>
      </c>
      <c r="J1238" t="s">
        <v>123</v>
      </c>
      <c r="K1238" s="3">
        <v>46119</v>
      </c>
      <c r="L1238" s="3">
        <v>46104</v>
      </c>
      <c r="M1238" s="3">
        <v>46157</v>
      </c>
      <c r="N1238" s="3">
        <v>46157</v>
      </c>
      <c r="O1238" t="s">
        <v>685</v>
      </c>
      <c r="P1238" t="s">
        <v>55</v>
      </c>
      <c r="T1238" t="s">
        <v>2246</v>
      </c>
      <c r="V1238" t="s">
        <v>151</v>
      </c>
      <c r="W1238">
        <v>23.52</v>
      </c>
      <c r="X1238" t="s">
        <v>57</v>
      </c>
      <c r="AA1238" t="s">
        <v>50</v>
      </c>
      <c r="AE1238">
        <v>1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</row>
    <row r="1239" spans="1:42" x14ac:dyDescent="0.25">
      <c r="A1239">
        <v>1438</v>
      </c>
      <c r="B1239" t="s">
        <v>2257</v>
      </c>
      <c r="C1239" t="s">
        <v>2258</v>
      </c>
      <c r="D1239" t="s">
        <v>117</v>
      </c>
      <c r="E1239" s="4">
        <v>1</v>
      </c>
      <c r="F1239" t="s">
        <v>138</v>
      </c>
      <c r="G1239" t="s">
        <v>138</v>
      </c>
      <c r="H1239" s="3">
        <v>46120</v>
      </c>
      <c r="I1239" s="3">
        <v>46126</v>
      </c>
      <c r="J1239" t="s">
        <v>123</v>
      </c>
      <c r="K1239" s="3">
        <v>46108</v>
      </c>
      <c r="L1239" s="3">
        <v>46104</v>
      </c>
      <c r="M1239" s="3">
        <v>46126</v>
      </c>
      <c r="N1239" s="3">
        <v>46126</v>
      </c>
      <c r="O1239" t="s">
        <v>685</v>
      </c>
      <c r="P1239" t="s">
        <v>55</v>
      </c>
      <c r="Q1239" t="s">
        <v>2250</v>
      </c>
      <c r="R1239" s="1">
        <v>46129.727083333331</v>
      </c>
      <c r="S1239" t="s">
        <v>2251</v>
      </c>
      <c r="T1239" t="s">
        <v>2246</v>
      </c>
      <c r="U1239">
        <v>1439</v>
      </c>
      <c r="V1239" t="s">
        <v>138</v>
      </c>
      <c r="W1239">
        <v>13.4</v>
      </c>
      <c r="X1239" t="s">
        <v>57</v>
      </c>
      <c r="Z1239" t="s">
        <v>2251</v>
      </c>
      <c r="AA1239" t="s">
        <v>64</v>
      </c>
      <c r="AE1239">
        <v>1</v>
      </c>
      <c r="AF1239">
        <v>1</v>
      </c>
      <c r="AG1239">
        <v>1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1</v>
      </c>
    </row>
    <row r="1240" spans="1:42" x14ac:dyDescent="0.25">
      <c r="A1240">
        <v>1439</v>
      </c>
      <c r="B1240" t="s">
        <v>2259</v>
      </c>
      <c r="C1240" t="s">
        <v>2258</v>
      </c>
      <c r="D1240" t="s">
        <v>121</v>
      </c>
      <c r="E1240" s="4">
        <v>1</v>
      </c>
      <c r="F1240" t="s">
        <v>122</v>
      </c>
      <c r="G1240" t="s">
        <v>122</v>
      </c>
      <c r="H1240" s="3">
        <v>46127</v>
      </c>
      <c r="I1240" s="3">
        <v>46129</v>
      </c>
      <c r="J1240" t="s">
        <v>275</v>
      </c>
      <c r="K1240" s="3">
        <v>46113</v>
      </c>
      <c r="L1240" s="3">
        <v>46111</v>
      </c>
      <c r="M1240" s="3">
        <v>46129</v>
      </c>
      <c r="N1240" s="3">
        <v>46129</v>
      </c>
      <c r="O1240" t="s">
        <v>146</v>
      </c>
      <c r="P1240" t="s">
        <v>55</v>
      </c>
      <c r="Q1240">
        <v>1438</v>
      </c>
      <c r="R1240" s="1">
        <v>46140.618055555547</v>
      </c>
      <c r="S1240" t="s">
        <v>124</v>
      </c>
      <c r="T1240" t="s">
        <v>2246</v>
      </c>
      <c r="U1240">
        <v>1440</v>
      </c>
      <c r="V1240" t="s">
        <v>122</v>
      </c>
      <c r="W1240">
        <v>13.4</v>
      </c>
      <c r="X1240" t="s">
        <v>57</v>
      </c>
      <c r="Z1240" t="s">
        <v>124</v>
      </c>
      <c r="AA1240" t="s">
        <v>255</v>
      </c>
      <c r="AE1240">
        <v>1</v>
      </c>
      <c r="AF1240">
        <v>0</v>
      </c>
      <c r="AG1240">
        <v>0</v>
      </c>
      <c r="AH1240">
        <v>0</v>
      </c>
      <c r="AI1240">
        <v>0</v>
      </c>
      <c r="AJ1240">
        <v>1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</row>
    <row r="1241" spans="1:42" x14ac:dyDescent="0.25">
      <c r="A1241">
        <v>1440</v>
      </c>
      <c r="B1241" t="s">
        <v>2260</v>
      </c>
      <c r="C1241" t="s">
        <v>2258</v>
      </c>
      <c r="D1241" t="s">
        <v>126</v>
      </c>
      <c r="E1241" s="4">
        <v>1</v>
      </c>
      <c r="F1241" t="s">
        <v>295</v>
      </c>
      <c r="G1241" t="s">
        <v>295</v>
      </c>
      <c r="H1241" s="3">
        <v>46134</v>
      </c>
      <c r="I1241" s="3">
        <v>46156</v>
      </c>
      <c r="J1241" t="s">
        <v>2150</v>
      </c>
      <c r="K1241" s="3">
        <v>46114</v>
      </c>
      <c r="L1241" s="3">
        <v>46114</v>
      </c>
      <c r="M1241" s="3">
        <v>46156</v>
      </c>
      <c r="N1241" s="3">
        <v>46156</v>
      </c>
      <c r="O1241" t="s">
        <v>337</v>
      </c>
      <c r="P1241" t="s">
        <v>55</v>
      </c>
      <c r="Q1241">
        <v>1439</v>
      </c>
      <c r="R1241" s="1">
        <v>46140.618055555547</v>
      </c>
      <c r="S1241" t="s">
        <v>2251</v>
      </c>
      <c r="T1241" t="s">
        <v>2246</v>
      </c>
      <c r="U1241">
        <v>1441</v>
      </c>
      <c r="V1241" t="s">
        <v>61</v>
      </c>
      <c r="W1241">
        <v>13.4</v>
      </c>
      <c r="X1241" t="s">
        <v>57</v>
      </c>
      <c r="Z1241" t="s">
        <v>2251</v>
      </c>
      <c r="AA1241" t="s">
        <v>255</v>
      </c>
      <c r="AE1241">
        <v>1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1</v>
      </c>
      <c r="AM1241">
        <v>0</v>
      </c>
      <c r="AN1241">
        <v>0</v>
      </c>
      <c r="AO1241">
        <v>0</v>
      </c>
      <c r="AP1241">
        <v>0</v>
      </c>
    </row>
    <row r="1242" spans="1:42" x14ac:dyDescent="0.25">
      <c r="A1242">
        <v>1441</v>
      </c>
      <c r="B1242" t="s">
        <v>2261</v>
      </c>
      <c r="C1242" t="s">
        <v>2258</v>
      </c>
      <c r="D1242" t="s">
        <v>133</v>
      </c>
      <c r="E1242" s="4">
        <v>1</v>
      </c>
      <c r="F1242" t="s">
        <v>295</v>
      </c>
      <c r="G1242" t="s">
        <v>295</v>
      </c>
      <c r="H1242" s="3">
        <v>46135</v>
      </c>
      <c r="I1242" s="3">
        <v>46157</v>
      </c>
      <c r="J1242" t="s">
        <v>2152</v>
      </c>
      <c r="K1242" s="3">
        <v>46119</v>
      </c>
      <c r="L1242" s="3">
        <v>46119</v>
      </c>
      <c r="M1242" s="3">
        <v>46157</v>
      </c>
      <c r="N1242" s="3">
        <v>46157</v>
      </c>
      <c r="O1242" t="s">
        <v>371</v>
      </c>
      <c r="P1242" t="s">
        <v>55</v>
      </c>
      <c r="Q1242">
        <v>1440</v>
      </c>
      <c r="R1242" s="1">
        <v>46140.618055555547</v>
      </c>
      <c r="S1242" t="s">
        <v>124</v>
      </c>
      <c r="T1242" t="s">
        <v>2246</v>
      </c>
      <c r="U1242">
        <v>1443</v>
      </c>
      <c r="V1242" t="s">
        <v>61</v>
      </c>
      <c r="W1242">
        <v>13.4</v>
      </c>
      <c r="X1242" t="s">
        <v>57</v>
      </c>
      <c r="Z1242" t="s">
        <v>124</v>
      </c>
      <c r="AA1242" t="s">
        <v>82</v>
      </c>
      <c r="AE1242">
        <v>1</v>
      </c>
      <c r="AF1242">
        <v>0</v>
      </c>
      <c r="AG1242">
        <v>0</v>
      </c>
      <c r="AH1242">
        <v>0</v>
      </c>
      <c r="AI1242">
        <v>1</v>
      </c>
      <c r="AJ1242">
        <v>0</v>
      </c>
      <c r="AK1242">
        <v>0</v>
      </c>
      <c r="AL1242">
        <v>0</v>
      </c>
      <c r="AM1242">
        <v>0</v>
      </c>
      <c r="AN1242">
        <v>1</v>
      </c>
      <c r="AO1242">
        <v>0</v>
      </c>
      <c r="AP1242">
        <v>0</v>
      </c>
    </row>
    <row r="1243" spans="1:42" x14ac:dyDescent="0.25">
      <c r="A1243">
        <v>1442</v>
      </c>
      <c r="B1243" t="s">
        <v>2262</v>
      </c>
      <c r="C1243" t="s">
        <v>2246</v>
      </c>
      <c r="D1243" t="s">
        <v>2263</v>
      </c>
      <c r="E1243" s="4">
        <v>1</v>
      </c>
      <c r="F1243" t="s">
        <v>110</v>
      </c>
      <c r="G1243" t="s">
        <v>110</v>
      </c>
      <c r="H1243" s="3">
        <v>46134</v>
      </c>
      <c r="I1243" s="3">
        <v>46163</v>
      </c>
      <c r="J1243" t="s">
        <v>685</v>
      </c>
      <c r="K1243" s="3">
        <v>46128</v>
      </c>
      <c r="L1243" s="3">
        <v>46120</v>
      </c>
      <c r="M1243" s="3">
        <v>46163</v>
      </c>
      <c r="N1243" s="3">
        <v>46163</v>
      </c>
      <c r="O1243" t="s">
        <v>337</v>
      </c>
      <c r="P1243" t="s">
        <v>55</v>
      </c>
      <c r="T1243" t="s">
        <v>2246</v>
      </c>
      <c r="V1243" t="s">
        <v>175</v>
      </c>
      <c r="W1243">
        <v>17.760000000000002</v>
      </c>
      <c r="X1243" t="s">
        <v>57</v>
      </c>
      <c r="AA1243" t="s">
        <v>50</v>
      </c>
      <c r="AE1243">
        <v>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</row>
    <row r="1244" spans="1:42" x14ac:dyDescent="0.25">
      <c r="A1244">
        <v>1443</v>
      </c>
      <c r="B1244" t="s">
        <v>2264</v>
      </c>
      <c r="C1244" t="s">
        <v>2265</v>
      </c>
      <c r="D1244" t="s">
        <v>117</v>
      </c>
      <c r="E1244" s="4">
        <v>1</v>
      </c>
      <c r="F1244" t="s">
        <v>122</v>
      </c>
      <c r="G1244" t="s">
        <v>122</v>
      </c>
      <c r="H1244" s="3">
        <v>46134</v>
      </c>
      <c r="I1244" s="3">
        <v>46136</v>
      </c>
      <c r="J1244" t="s">
        <v>685</v>
      </c>
      <c r="K1244" s="3">
        <v>46121</v>
      </c>
      <c r="L1244" s="3">
        <v>46120</v>
      </c>
      <c r="M1244" s="3">
        <v>46136</v>
      </c>
      <c r="N1244" s="3">
        <v>46136</v>
      </c>
      <c r="O1244" t="s">
        <v>337</v>
      </c>
      <c r="P1244" t="s">
        <v>55</v>
      </c>
      <c r="Q1244">
        <v>1441</v>
      </c>
      <c r="S1244" t="s">
        <v>2251</v>
      </c>
      <c r="T1244" t="s">
        <v>2246</v>
      </c>
      <c r="U1244">
        <v>1444</v>
      </c>
      <c r="V1244" t="s">
        <v>127</v>
      </c>
      <c r="W1244">
        <v>13.4</v>
      </c>
      <c r="X1244" t="s">
        <v>57</v>
      </c>
      <c r="Z1244" t="s">
        <v>2251</v>
      </c>
      <c r="AA1244" t="s">
        <v>82</v>
      </c>
      <c r="AE1244">
        <v>1</v>
      </c>
      <c r="AF1244">
        <v>1</v>
      </c>
      <c r="AG1244">
        <v>1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1</v>
      </c>
    </row>
    <row r="1245" spans="1:42" x14ac:dyDescent="0.25">
      <c r="A1245">
        <v>1444</v>
      </c>
      <c r="B1245" t="s">
        <v>2266</v>
      </c>
      <c r="C1245" t="s">
        <v>2265</v>
      </c>
      <c r="D1245" t="s">
        <v>121</v>
      </c>
      <c r="E1245" s="4">
        <v>1</v>
      </c>
      <c r="F1245" t="s">
        <v>61</v>
      </c>
      <c r="G1245" t="s">
        <v>61</v>
      </c>
      <c r="H1245" s="3">
        <v>46139</v>
      </c>
      <c r="I1245" s="3">
        <v>46139</v>
      </c>
      <c r="J1245" t="s">
        <v>80</v>
      </c>
      <c r="K1245" s="3">
        <v>46126</v>
      </c>
      <c r="L1245" s="3">
        <v>46122</v>
      </c>
      <c r="M1245" s="3">
        <v>46139</v>
      </c>
      <c r="N1245" s="3">
        <v>46139</v>
      </c>
      <c r="O1245" t="s">
        <v>188</v>
      </c>
      <c r="P1245" t="s">
        <v>55</v>
      </c>
      <c r="Q1245">
        <v>1443</v>
      </c>
      <c r="S1245" t="s">
        <v>124</v>
      </c>
      <c r="T1245" t="s">
        <v>2246</v>
      </c>
      <c r="U1245">
        <v>1445</v>
      </c>
      <c r="V1245" t="s">
        <v>122</v>
      </c>
      <c r="W1245">
        <v>13.4</v>
      </c>
      <c r="X1245" t="s">
        <v>57</v>
      </c>
      <c r="Z1245" t="s">
        <v>124</v>
      </c>
      <c r="AA1245" t="s">
        <v>82</v>
      </c>
      <c r="AE1245">
        <v>1</v>
      </c>
      <c r="AF1245">
        <v>0</v>
      </c>
      <c r="AG1245">
        <v>0</v>
      </c>
      <c r="AH1245">
        <v>0</v>
      </c>
      <c r="AI1245">
        <v>0</v>
      </c>
      <c r="AJ1245">
        <v>1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</row>
    <row r="1246" spans="1:42" x14ac:dyDescent="0.25">
      <c r="A1246">
        <v>1445</v>
      </c>
      <c r="B1246" t="s">
        <v>2267</v>
      </c>
      <c r="C1246" t="s">
        <v>2265</v>
      </c>
      <c r="D1246" t="s">
        <v>126</v>
      </c>
      <c r="E1246" s="4">
        <v>1</v>
      </c>
      <c r="F1246" t="s">
        <v>982</v>
      </c>
      <c r="G1246" t="s">
        <v>982</v>
      </c>
      <c r="H1246" s="3">
        <v>46140</v>
      </c>
      <c r="I1246" s="3">
        <v>46163</v>
      </c>
      <c r="J1246" t="s">
        <v>146</v>
      </c>
      <c r="K1246" s="3">
        <v>46127</v>
      </c>
      <c r="L1246" s="3">
        <v>46127</v>
      </c>
      <c r="M1246" s="3">
        <v>46163</v>
      </c>
      <c r="N1246" s="3">
        <v>46163</v>
      </c>
      <c r="O1246" t="s">
        <v>85</v>
      </c>
      <c r="P1246" t="s">
        <v>55</v>
      </c>
      <c r="Q1246">
        <v>1444</v>
      </c>
      <c r="S1246" t="s">
        <v>2251</v>
      </c>
      <c r="T1246" t="s">
        <v>2246</v>
      </c>
      <c r="U1246">
        <v>1446</v>
      </c>
      <c r="V1246" t="s">
        <v>61</v>
      </c>
      <c r="W1246">
        <v>13.4</v>
      </c>
      <c r="X1246" t="s">
        <v>57</v>
      </c>
      <c r="Z1246" t="s">
        <v>2251</v>
      </c>
      <c r="AA1246" t="s">
        <v>180</v>
      </c>
      <c r="AE1246">
        <v>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1</v>
      </c>
      <c r="AM1246">
        <v>0</v>
      </c>
      <c r="AN1246">
        <v>0</v>
      </c>
      <c r="AO1246">
        <v>0</v>
      </c>
      <c r="AP1246">
        <v>0</v>
      </c>
    </row>
    <row r="1247" spans="1:42" x14ac:dyDescent="0.25">
      <c r="A1247">
        <v>1446</v>
      </c>
      <c r="B1247" t="s">
        <v>2268</v>
      </c>
      <c r="C1247" t="s">
        <v>2265</v>
      </c>
      <c r="D1247" t="s">
        <v>133</v>
      </c>
      <c r="E1247" s="4">
        <v>1</v>
      </c>
      <c r="F1247" t="s">
        <v>788</v>
      </c>
      <c r="G1247" t="s">
        <v>788</v>
      </c>
      <c r="H1247" s="3">
        <v>46141</v>
      </c>
      <c r="I1247" s="3">
        <v>46163</v>
      </c>
      <c r="J1247" t="s">
        <v>148</v>
      </c>
      <c r="K1247" s="3">
        <v>46128</v>
      </c>
      <c r="L1247" s="3">
        <v>46128</v>
      </c>
      <c r="M1247" s="3">
        <v>46163</v>
      </c>
      <c r="N1247" s="3">
        <v>46163</v>
      </c>
      <c r="O1247" t="s">
        <v>415</v>
      </c>
      <c r="P1247" t="s">
        <v>55</v>
      </c>
      <c r="Q1247">
        <v>1445</v>
      </c>
      <c r="S1247" t="s">
        <v>124</v>
      </c>
      <c r="T1247" t="s">
        <v>2246</v>
      </c>
      <c r="V1247" t="s">
        <v>61</v>
      </c>
      <c r="W1247">
        <v>13.4</v>
      </c>
      <c r="X1247" t="s">
        <v>57</v>
      </c>
      <c r="Z1247" t="s">
        <v>124</v>
      </c>
      <c r="AA1247" t="s">
        <v>180</v>
      </c>
      <c r="AE1247">
        <v>1</v>
      </c>
      <c r="AF1247">
        <v>0</v>
      </c>
      <c r="AG1247">
        <v>0</v>
      </c>
      <c r="AH1247">
        <v>0</v>
      </c>
      <c r="AI1247">
        <v>1</v>
      </c>
      <c r="AJ1247">
        <v>0</v>
      </c>
      <c r="AK1247">
        <v>0</v>
      </c>
      <c r="AL1247">
        <v>0</v>
      </c>
      <c r="AM1247">
        <v>0</v>
      </c>
      <c r="AN1247">
        <v>1</v>
      </c>
      <c r="AO1247">
        <v>0</v>
      </c>
      <c r="AP1247">
        <v>0</v>
      </c>
    </row>
    <row r="1248" spans="1:42" x14ac:dyDescent="0.25">
      <c r="A1248">
        <v>1447</v>
      </c>
      <c r="B1248" t="s">
        <v>2269</v>
      </c>
      <c r="C1248" t="s">
        <v>2246</v>
      </c>
      <c r="D1248" t="s">
        <v>2270</v>
      </c>
      <c r="E1248" s="4">
        <v>1</v>
      </c>
      <c r="F1248" t="s">
        <v>1038</v>
      </c>
      <c r="G1248" t="s">
        <v>1038</v>
      </c>
      <c r="H1248" s="3">
        <v>46154</v>
      </c>
      <c r="I1248" s="3">
        <v>46170</v>
      </c>
      <c r="J1248" t="s">
        <v>206</v>
      </c>
      <c r="K1248" s="3">
        <v>46176</v>
      </c>
      <c r="L1248" s="3">
        <v>46168</v>
      </c>
      <c r="M1248" s="3">
        <v>46170</v>
      </c>
      <c r="N1248" s="3">
        <v>46170</v>
      </c>
      <c r="O1248" t="s">
        <v>741</v>
      </c>
      <c r="P1248" t="s">
        <v>55</v>
      </c>
      <c r="T1248" t="s">
        <v>2246</v>
      </c>
      <c r="V1248" t="s">
        <v>175</v>
      </c>
      <c r="W1248">
        <v>23.52</v>
      </c>
      <c r="X1248" t="s">
        <v>57</v>
      </c>
      <c r="AA1248" t="s">
        <v>50</v>
      </c>
      <c r="AE1248">
        <v>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</row>
    <row r="1249" spans="1:42" x14ac:dyDescent="0.25">
      <c r="A1249">
        <v>1448</v>
      </c>
      <c r="B1249" t="s">
        <v>2271</v>
      </c>
      <c r="C1249" t="s">
        <v>2272</v>
      </c>
      <c r="D1249" t="s">
        <v>117</v>
      </c>
      <c r="E1249" s="4">
        <v>1</v>
      </c>
      <c r="F1249" t="s">
        <v>138</v>
      </c>
      <c r="G1249" t="s">
        <v>138</v>
      </c>
      <c r="H1249" s="3">
        <v>46154</v>
      </c>
      <c r="I1249" s="3">
        <v>46160</v>
      </c>
      <c r="J1249" t="s">
        <v>206</v>
      </c>
      <c r="K1249" s="3">
        <v>46170</v>
      </c>
      <c r="L1249" s="3">
        <v>46168</v>
      </c>
      <c r="M1249" s="3">
        <v>46160</v>
      </c>
      <c r="N1249" s="3">
        <v>46160</v>
      </c>
      <c r="O1249" t="s">
        <v>741</v>
      </c>
      <c r="P1249" t="s">
        <v>55</v>
      </c>
      <c r="Q1249" t="s">
        <v>2273</v>
      </c>
      <c r="S1249" t="s">
        <v>2251</v>
      </c>
      <c r="T1249" t="s">
        <v>2246</v>
      </c>
      <c r="U1249" t="s">
        <v>2274</v>
      </c>
      <c r="V1249" t="s">
        <v>122</v>
      </c>
      <c r="W1249">
        <v>13.4</v>
      </c>
      <c r="X1249" t="s">
        <v>57</v>
      </c>
      <c r="Z1249" t="s">
        <v>2251</v>
      </c>
      <c r="AA1249" t="s">
        <v>77</v>
      </c>
      <c r="AE1249">
        <v>1</v>
      </c>
      <c r="AF1249">
        <v>1</v>
      </c>
      <c r="AG1249">
        <v>1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1</v>
      </c>
    </row>
    <row r="1250" spans="1:42" x14ac:dyDescent="0.25">
      <c r="A1250">
        <v>1449</v>
      </c>
      <c r="B1250" t="s">
        <v>2275</v>
      </c>
      <c r="C1250" t="s">
        <v>2272</v>
      </c>
      <c r="D1250" t="s">
        <v>121</v>
      </c>
      <c r="E1250" s="4">
        <v>1</v>
      </c>
      <c r="F1250" t="s">
        <v>127</v>
      </c>
      <c r="G1250" t="s">
        <v>127</v>
      </c>
      <c r="H1250" s="3">
        <v>46160</v>
      </c>
      <c r="I1250" s="3">
        <v>46162</v>
      </c>
      <c r="J1250" t="s">
        <v>189</v>
      </c>
      <c r="K1250" s="3">
        <v>46174</v>
      </c>
      <c r="L1250" s="3">
        <v>46171</v>
      </c>
      <c r="M1250" s="3">
        <v>46162</v>
      </c>
      <c r="N1250" s="3">
        <v>46162</v>
      </c>
      <c r="O1250" t="s">
        <v>185</v>
      </c>
      <c r="P1250" t="s">
        <v>55</v>
      </c>
      <c r="Q1250">
        <v>1448</v>
      </c>
      <c r="S1250" t="s">
        <v>124</v>
      </c>
      <c r="T1250" t="s">
        <v>2246</v>
      </c>
      <c r="U1250">
        <v>1450</v>
      </c>
      <c r="V1250" t="s">
        <v>127</v>
      </c>
      <c r="W1250">
        <v>13.4</v>
      </c>
      <c r="X1250" t="s">
        <v>57</v>
      </c>
      <c r="Z1250" t="s">
        <v>124</v>
      </c>
      <c r="AA1250" t="s">
        <v>77</v>
      </c>
      <c r="AE1250">
        <v>1</v>
      </c>
      <c r="AF1250">
        <v>0</v>
      </c>
      <c r="AG1250">
        <v>0</v>
      </c>
      <c r="AH1250">
        <v>0</v>
      </c>
      <c r="AI1250">
        <v>0</v>
      </c>
      <c r="AJ1250">
        <v>1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</row>
    <row r="1251" spans="1:42" x14ac:dyDescent="0.25">
      <c r="A1251">
        <v>1450</v>
      </c>
      <c r="B1251" t="s">
        <v>2276</v>
      </c>
      <c r="C1251" t="s">
        <v>2272</v>
      </c>
      <c r="D1251" t="s">
        <v>126</v>
      </c>
      <c r="E1251" s="4">
        <v>1</v>
      </c>
      <c r="F1251" t="s">
        <v>122</v>
      </c>
      <c r="G1251" t="s">
        <v>122</v>
      </c>
      <c r="H1251" s="3">
        <v>46163</v>
      </c>
      <c r="I1251" s="3">
        <v>46167</v>
      </c>
      <c r="J1251" t="s">
        <v>472</v>
      </c>
      <c r="K1251" s="3">
        <v>46175</v>
      </c>
      <c r="L1251" s="3">
        <v>46175</v>
      </c>
      <c r="M1251" s="3">
        <v>46167</v>
      </c>
      <c r="N1251" s="3">
        <v>46167</v>
      </c>
      <c r="O1251" t="s">
        <v>491</v>
      </c>
      <c r="P1251" t="s">
        <v>55</v>
      </c>
      <c r="Q1251">
        <v>1449</v>
      </c>
      <c r="S1251" t="s">
        <v>2251</v>
      </c>
      <c r="T1251" t="s">
        <v>2246</v>
      </c>
      <c r="U1251">
        <v>1451</v>
      </c>
      <c r="V1251" t="s">
        <v>61</v>
      </c>
      <c r="W1251">
        <v>13.4</v>
      </c>
      <c r="X1251" t="s">
        <v>57</v>
      </c>
      <c r="Z1251" t="s">
        <v>2251</v>
      </c>
      <c r="AA1251" t="s">
        <v>460</v>
      </c>
      <c r="AE1251">
        <v>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1</v>
      </c>
      <c r="AM1251">
        <v>0</v>
      </c>
      <c r="AN1251">
        <v>0</v>
      </c>
      <c r="AO1251">
        <v>0</v>
      </c>
      <c r="AP1251">
        <v>0</v>
      </c>
    </row>
    <row r="1252" spans="1:42" x14ac:dyDescent="0.25">
      <c r="A1252">
        <v>1451</v>
      </c>
      <c r="B1252" t="s">
        <v>2277</v>
      </c>
      <c r="C1252" t="s">
        <v>2272</v>
      </c>
      <c r="D1252" t="s">
        <v>133</v>
      </c>
      <c r="E1252" s="4">
        <v>1</v>
      </c>
      <c r="F1252" t="s">
        <v>840</v>
      </c>
      <c r="G1252" t="s">
        <v>840</v>
      </c>
      <c r="H1252" s="3">
        <v>46167</v>
      </c>
      <c r="I1252" s="3">
        <v>46170</v>
      </c>
      <c r="J1252" t="s">
        <v>459</v>
      </c>
      <c r="K1252" s="3">
        <v>46176</v>
      </c>
      <c r="L1252" s="3">
        <v>46176</v>
      </c>
      <c r="M1252" s="3">
        <v>46170</v>
      </c>
      <c r="N1252" s="3">
        <v>46170</v>
      </c>
      <c r="O1252" t="s">
        <v>74</v>
      </c>
      <c r="P1252" t="s">
        <v>55</v>
      </c>
      <c r="Q1252">
        <v>1450</v>
      </c>
      <c r="S1252" t="s">
        <v>124</v>
      </c>
      <c r="T1252" t="s">
        <v>2246</v>
      </c>
      <c r="V1252" t="s">
        <v>61</v>
      </c>
      <c r="W1252">
        <v>13.4</v>
      </c>
      <c r="X1252" t="s">
        <v>57</v>
      </c>
      <c r="Z1252" t="s">
        <v>124</v>
      </c>
      <c r="AA1252" t="s">
        <v>460</v>
      </c>
      <c r="AE1252">
        <v>1</v>
      </c>
      <c r="AF1252">
        <v>0</v>
      </c>
      <c r="AG1252">
        <v>0</v>
      </c>
      <c r="AH1252">
        <v>0</v>
      </c>
      <c r="AI1252">
        <v>1</v>
      </c>
      <c r="AJ1252">
        <v>0</v>
      </c>
      <c r="AK1252">
        <v>0</v>
      </c>
      <c r="AL1252">
        <v>0</v>
      </c>
      <c r="AM1252">
        <v>0</v>
      </c>
      <c r="AN1252">
        <v>1</v>
      </c>
      <c r="AO1252">
        <v>0</v>
      </c>
      <c r="AP1252">
        <v>0</v>
      </c>
    </row>
    <row r="1253" spans="1:42" x14ac:dyDescent="0.25">
      <c r="A1253">
        <v>1452</v>
      </c>
      <c r="B1253" t="s">
        <v>2278</v>
      </c>
      <c r="C1253" t="s">
        <v>2246</v>
      </c>
      <c r="D1253" t="s">
        <v>2279</v>
      </c>
      <c r="E1253" s="4">
        <v>1</v>
      </c>
      <c r="F1253" t="s">
        <v>1780</v>
      </c>
      <c r="G1253" t="s">
        <v>1780</v>
      </c>
      <c r="H1253" s="3">
        <v>46161</v>
      </c>
      <c r="I1253" s="3">
        <v>46190</v>
      </c>
      <c r="J1253" t="s">
        <v>189</v>
      </c>
      <c r="K1253" s="3">
        <v>46183</v>
      </c>
      <c r="L1253" s="3">
        <v>46171</v>
      </c>
      <c r="M1253" s="3">
        <v>46190</v>
      </c>
      <c r="N1253" s="3">
        <v>46190</v>
      </c>
      <c r="O1253" t="s">
        <v>90</v>
      </c>
      <c r="P1253" t="s">
        <v>55</v>
      </c>
      <c r="T1253" t="s">
        <v>2246</v>
      </c>
      <c r="V1253" t="s">
        <v>175</v>
      </c>
      <c r="W1253">
        <v>23.52</v>
      </c>
      <c r="X1253" t="s">
        <v>57</v>
      </c>
      <c r="AA1253" t="s">
        <v>50</v>
      </c>
      <c r="AB1253" t="s">
        <v>94</v>
      </c>
      <c r="AE1253">
        <v>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</row>
    <row r="1254" spans="1:42" x14ac:dyDescent="0.25">
      <c r="A1254">
        <v>1453</v>
      </c>
      <c r="B1254" t="s">
        <v>2280</v>
      </c>
      <c r="C1254" t="s">
        <v>2281</v>
      </c>
      <c r="D1254" t="s">
        <v>117</v>
      </c>
      <c r="E1254" s="4">
        <v>1</v>
      </c>
      <c r="F1254" t="s">
        <v>127</v>
      </c>
      <c r="G1254" t="s">
        <v>127</v>
      </c>
      <c r="H1254" s="3">
        <v>46161</v>
      </c>
      <c r="I1254" s="3">
        <v>46162</v>
      </c>
      <c r="J1254" t="s">
        <v>189</v>
      </c>
      <c r="K1254" s="3">
        <v>46174</v>
      </c>
      <c r="L1254" s="3">
        <v>46171</v>
      </c>
      <c r="M1254" s="3">
        <v>46162</v>
      </c>
      <c r="N1254" s="3">
        <v>46162</v>
      </c>
      <c r="O1254" t="s">
        <v>90</v>
      </c>
      <c r="P1254" t="s">
        <v>55</v>
      </c>
      <c r="Q1254">
        <v>1448</v>
      </c>
      <c r="S1254" t="s">
        <v>2251</v>
      </c>
      <c r="T1254" t="s">
        <v>2246</v>
      </c>
      <c r="U1254" t="s">
        <v>2282</v>
      </c>
      <c r="V1254" t="s">
        <v>127</v>
      </c>
      <c r="W1254">
        <v>13.4</v>
      </c>
      <c r="X1254" t="s">
        <v>57</v>
      </c>
      <c r="Z1254" t="s">
        <v>2251</v>
      </c>
      <c r="AA1254" t="s">
        <v>77</v>
      </c>
      <c r="AE1254">
        <v>1</v>
      </c>
      <c r="AF1254">
        <v>1</v>
      </c>
      <c r="AG1254">
        <v>1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1</v>
      </c>
    </row>
    <row r="1255" spans="1:42" x14ac:dyDescent="0.25">
      <c r="A1255">
        <v>1454</v>
      </c>
      <c r="B1255" t="s">
        <v>2283</v>
      </c>
      <c r="C1255" t="s">
        <v>2281</v>
      </c>
      <c r="D1255" t="s">
        <v>121</v>
      </c>
      <c r="E1255" s="4">
        <v>1</v>
      </c>
      <c r="F1255" t="s">
        <v>61</v>
      </c>
      <c r="G1255" t="s">
        <v>61</v>
      </c>
      <c r="H1255" s="3">
        <v>46162</v>
      </c>
      <c r="I1255" s="3">
        <v>46163</v>
      </c>
      <c r="J1255" t="s">
        <v>472</v>
      </c>
      <c r="K1255" s="3">
        <v>46181</v>
      </c>
      <c r="L1255" s="3">
        <v>46175</v>
      </c>
      <c r="M1255" s="3">
        <v>46163</v>
      </c>
      <c r="N1255" s="3">
        <v>46163</v>
      </c>
      <c r="O1255" t="s">
        <v>200</v>
      </c>
      <c r="P1255" t="s">
        <v>55</v>
      </c>
      <c r="Q1255">
        <v>1453</v>
      </c>
      <c r="S1255" t="s">
        <v>124</v>
      </c>
      <c r="T1255" t="s">
        <v>2246</v>
      </c>
      <c r="U1255">
        <v>1455</v>
      </c>
      <c r="V1255" t="s">
        <v>122</v>
      </c>
      <c r="W1255">
        <v>13.4</v>
      </c>
      <c r="X1255" t="s">
        <v>57</v>
      </c>
      <c r="Z1255" t="s">
        <v>124</v>
      </c>
      <c r="AA1255" t="s">
        <v>460</v>
      </c>
      <c r="AE1255">
        <v>1</v>
      </c>
      <c r="AF1255">
        <v>0</v>
      </c>
      <c r="AG1255">
        <v>0</v>
      </c>
      <c r="AH1255">
        <v>0</v>
      </c>
      <c r="AI1255">
        <v>0</v>
      </c>
      <c r="AJ1255">
        <v>1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</row>
    <row r="1256" spans="1:42" x14ac:dyDescent="0.25">
      <c r="A1256">
        <v>1455</v>
      </c>
      <c r="B1256" t="s">
        <v>2284</v>
      </c>
      <c r="C1256" t="s">
        <v>2281</v>
      </c>
      <c r="D1256" t="s">
        <v>126</v>
      </c>
      <c r="E1256" s="4">
        <v>1</v>
      </c>
      <c r="F1256" t="s">
        <v>61</v>
      </c>
      <c r="G1256" t="s">
        <v>61</v>
      </c>
      <c r="H1256" s="3">
        <v>46163</v>
      </c>
      <c r="I1256" s="3">
        <v>46164</v>
      </c>
      <c r="J1256" t="s">
        <v>204</v>
      </c>
      <c r="K1256" s="3">
        <v>46182</v>
      </c>
      <c r="L1256" s="3">
        <v>46182</v>
      </c>
      <c r="M1256" s="3">
        <v>46164</v>
      </c>
      <c r="N1256" s="3">
        <v>46164</v>
      </c>
      <c r="O1256" t="s">
        <v>491</v>
      </c>
      <c r="P1256" t="s">
        <v>55</v>
      </c>
      <c r="Q1256">
        <v>1454</v>
      </c>
      <c r="S1256" t="s">
        <v>2251</v>
      </c>
      <c r="T1256" t="s">
        <v>2246</v>
      </c>
      <c r="U1256">
        <v>1456</v>
      </c>
      <c r="V1256" t="s">
        <v>61</v>
      </c>
      <c r="W1256">
        <v>13.4</v>
      </c>
      <c r="X1256" t="s">
        <v>57</v>
      </c>
      <c r="Z1256" t="s">
        <v>2251</v>
      </c>
      <c r="AA1256" t="s">
        <v>462</v>
      </c>
      <c r="AE1256">
        <v>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1</v>
      </c>
      <c r="AM1256">
        <v>0</v>
      </c>
      <c r="AN1256">
        <v>0</v>
      </c>
      <c r="AO1256">
        <v>0</v>
      </c>
      <c r="AP1256">
        <v>0</v>
      </c>
    </row>
    <row r="1257" spans="1:42" x14ac:dyDescent="0.25">
      <c r="A1257">
        <v>1456</v>
      </c>
      <c r="B1257" t="s">
        <v>2285</v>
      </c>
      <c r="C1257" t="s">
        <v>2281</v>
      </c>
      <c r="D1257" t="s">
        <v>133</v>
      </c>
      <c r="E1257" s="4">
        <v>1</v>
      </c>
      <c r="F1257" t="s">
        <v>295</v>
      </c>
      <c r="G1257" t="s">
        <v>295</v>
      </c>
      <c r="H1257" s="3">
        <v>46167</v>
      </c>
      <c r="I1257" s="3">
        <v>46190</v>
      </c>
      <c r="J1257" t="s">
        <v>592</v>
      </c>
      <c r="K1257" s="3">
        <v>46183</v>
      </c>
      <c r="L1257" s="3">
        <v>46183</v>
      </c>
      <c r="M1257" s="3">
        <v>46190</v>
      </c>
      <c r="N1257" s="3">
        <v>46190</v>
      </c>
      <c r="O1257" t="s">
        <v>74</v>
      </c>
      <c r="P1257" t="s">
        <v>55</v>
      </c>
      <c r="Q1257">
        <v>1455</v>
      </c>
      <c r="S1257" t="s">
        <v>124</v>
      </c>
      <c r="T1257" t="s">
        <v>2246</v>
      </c>
      <c r="V1257" t="s">
        <v>61</v>
      </c>
      <c r="W1257">
        <v>13.4</v>
      </c>
      <c r="X1257" t="s">
        <v>57</v>
      </c>
      <c r="Z1257" t="s">
        <v>124</v>
      </c>
      <c r="AA1257" t="s">
        <v>462</v>
      </c>
      <c r="AE1257">
        <v>1</v>
      </c>
      <c r="AF1257">
        <v>0</v>
      </c>
      <c r="AG1257">
        <v>0</v>
      </c>
      <c r="AH1257">
        <v>0</v>
      </c>
      <c r="AI1257">
        <v>1</v>
      </c>
      <c r="AJ1257">
        <v>0</v>
      </c>
      <c r="AK1257">
        <v>0</v>
      </c>
      <c r="AL1257">
        <v>0</v>
      </c>
      <c r="AM1257">
        <v>0</v>
      </c>
      <c r="AN1257">
        <v>1</v>
      </c>
      <c r="AO1257">
        <v>0</v>
      </c>
      <c r="AP1257">
        <v>0</v>
      </c>
    </row>
    <row r="1258" spans="1:42" x14ac:dyDescent="0.25">
      <c r="A1258">
        <v>1457</v>
      </c>
      <c r="B1258" t="s">
        <v>2286</v>
      </c>
      <c r="C1258" t="s">
        <v>2246</v>
      </c>
      <c r="D1258" t="s">
        <v>2287</v>
      </c>
      <c r="E1258" s="4">
        <v>1</v>
      </c>
      <c r="F1258" t="s">
        <v>187</v>
      </c>
      <c r="G1258" t="s">
        <v>187</v>
      </c>
      <c r="H1258" s="3">
        <v>46162</v>
      </c>
      <c r="I1258" s="3">
        <v>46190</v>
      </c>
      <c r="J1258" t="s">
        <v>200</v>
      </c>
      <c r="K1258" s="3">
        <v>46190</v>
      </c>
      <c r="L1258" s="3">
        <v>46162</v>
      </c>
      <c r="M1258" s="3">
        <v>46190</v>
      </c>
      <c r="N1258" s="3">
        <v>46190</v>
      </c>
      <c r="O1258" t="s">
        <v>200</v>
      </c>
      <c r="P1258" t="s">
        <v>55</v>
      </c>
      <c r="T1258" t="s">
        <v>2246</v>
      </c>
      <c r="V1258" t="s">
        <v>175</v>
      </c>
      <c r="W1258">
        <v>23.52</v>
      </c>
      <c r="X1258" t="s">
        <v>57</v>
      </c>
      <c r="AA1258" t="s">
        <v>50</v>
      </c>
      <c r="AB1258" t="s">
        <v>94</v>
      </c>
      <c r="AE1258">
        <v>1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</row>
    <row r="1259" spans="1:42" x14ac:dyDescent="0.25">
      <c r="A1259">
        <v>1458</v>
      </c>
      <c r="B1259" t="s">
        <v>2288</v>
      </c>
      <c r="C1259" t="s">
        <v>2289</v>
      </c>
      <c r="D1259" t="s">
        <v>117</v>
      </c>
      <c r="E1259" s="4">
        <v>1</v>
      </c>
      <c r="F1259" t="s">
        <v>101</v>
      </c>
      <c r="G1259" t="s">
        <v>101</v>
      </c>
      <c r="H1259" s="3">
        <v>46162</v>
      </c>
      <c r="I1259" s="3">
        <v>46167</v>
      </c>
      <c r="J1259" t="s">
        <v>200</v>
      </c>
      <c r="K1259" s="3">
        <v>46167</v>
      </c>
      <c r="L1259" s="3">
        <v>46162</v>
      </c>
      <c r="M1259" s="3">
        <v>46167</v>
      </c>
      <c r="N1259" s="3">
        <v>46167</v>
      </c>
      <c r="O1259" t="s">
        <v>200</v>
      </c>
      <c r="P1259" t="s">
        <v>55</v>
      </c>
      <c r="Q1259">
        <v>1453</v>
      </c>
      <c r="S1259" t="s">
        <v>2251</v>
      </c>
      <c r="T1259" t="s">
        <v>2246</v>
      </c>
      <c r="U1259" t="s">
        <v>2290</v>
      </c>
      <c r="V1259" t="s">
        <v>127</v>
      </c>
      <c r="W1259">
        <v>13.4</v>
      </c>
      <c r="X1259" t="s">
        <v>57</v>
      </c>
      <c r="Z1259" t="s">
        <v>2251</v>
      </c>
      <c r="AA1259" t="s">
        <v>460</v>
      </c>
      <c r="AE1259">
        <v>1</v>
      </c>
      <c r="AF1259">
        <v>1</v>
      </c>
      <c r="AG1259">
        <v>1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1</v>
      </c>
    </row>
    <row r="1260" spans="1:42" x14ac:dyDescent="0.25">
      <c r="A1260">
        <v>1459</v>
      </c>
      <c r="B1260" t="s">
        <v>2291</v>
      </c>
      <c r="C1260" t="s">
        <v>2289</v>
      </c>
      <c r="D1260" t="s">
        <v>121</v>
      </c>
      <c r="E1260" s="4">
        <v>1</v>
      </c>
      <c r="F1260" t="s">
        <v>63</v>
      </c>
      <c r="G1260" t="s">
        <v>63</v>
      </c>
      <c r="H1260" s="3">
        <v>46167</v>
      </c>
      <c r="I1260" s="3">
        <v>46167</v>
      </c>
      <c r="J1260" t="s">
        <v>74</v>
      </c>
      <c r="K1260" s="3">
        <v>46167</v>
      </c>
      <c r="L1260" s="3">
        <v>46167</v>
      </c>
      <c r="M1260" s="3">
        <v>46167</v>
      </c>
      <c r="N1260" s="3">
        <v>46167</v>
      </c>
      <c r="O1260" t="s">
        <v>74</v>
      </c>
      <c r="P1260" t="s">
        <v>55</v>
      </c>
      <c r="Q1260">
        <v>1458</v>
      </c>
      <c r="S1260" t="s">
        <v>124</v>
      </c>
      <c r="T1260" t="s">
        <v>2246</v>
      </c>
      <c r="U1260">
        <v>1460</v>
      </c>
      <c r="V1260" t="s">
        <v>122</v>
      </c>
      <c r="W1260">
        <v>13.4</v>
      </c>
      <c r="X1260" t="s">
        <v>57</v>
      </c>
      <c r="Z1260" t="s">
        <v>124</v>
      </c>
      <c r="AA1260" t="s">
        <v>462</v>
      </c>
      <c r="AE1260">
        <v>1</v>
      </c>
      <c r="AF1260">
        <v>0</v>
      </c>
      <c r="AG1260">
        <v>0</v>
      </c>
      <c r="AH1260">
        <v>0</v>
      </c>
      <c r="AI1260">
        <v>0</v>
      </c>
      <c r="AJ1260">
        <v>1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</row>
    <row r="1261" spans="1:42" x14ac:dyDescent="0.25">
      <c r="A1261">
        <v>1460</v>
      </c>
      <c r="B1261" t="s">
        <v>2292</v>
      </c>
      <c r="C1261" t="s">
        <v>2289</v>
      </c>
      <c r="D1261" t="s">
        <v>126</v>
      </c>
      <c r="E1261" s="4">
        <v>1</v>
      </c>
      <c r="F1261" t="s">
        <v>61</v>
      </c>
      <c r="G1261" t="s">
        <v>61</v>
      </c>
      <c r="H1261" s="3">
        <v>46168</v>
      </c>
      <c r="I1261" s="3">
        <v>46168</v>
      </c>
      <c r="J1261" t="s">
        <v>206</v>
      </c>
      <c r="K1261" s="3">
        <v>46168</v>
      </c>
      <c r="L1261" s="3">
        <v>46168</v>
      </c>
      <c r="M1261" s="3">
        <v>46168</v>
      </c>
      <c r="N1261" s="3">
        <v>46168</v>
      </c>
      <c r="O1261" t="s">
        <v>206</v>
      </c>
      <c r="P1261" t="s">
        <v>55</v>
      </c>
      <c r="Q1261">
        <v>1459</v>
      </c>
      <c r="S1261" t="s">
        <v>2251</v>
      </c>
      <c r="T1261" t="s">
        <v>2246</v>
      </c>
      <c r="U1261">
        <v>1461</v>
      </c>
      <c r="V1261" t="s">
        <v>61</v>
      </c>
      <c r="W1261">
        <v>13.4</v>
      </c>
      <c r="X1261" t="s">
        <v>57</v>
      </c>
      <c r="Z1261" t="s">
        <v>2251</v>
      </c>
      <c r="AA1261" t="s">
        <v>462</v>
      </c>
      <c r="AE1261">
        <v>1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1</v>
      </c>
      <c r="AM1261">
        <v>0</v>
      </c>
      <c r="AN1261">
        <v>0</v>
      </c>
      <c r="AO1261">
        <v>0</v>
      </c>
      <c r="AP1261">
        <v>0</v>
      </c>
    </row>
    <row r="1262" spans="1:42" x14ac:dyDescent="0.25">
      <c r="A1262">
        <v>1461</v>
      </c>
      <c r="B1262" t="s">
        <v>2293</v>
      </c>
      <c r="C1262" t="s">
        <v>2289</v>
      </c>
      <c r="D1262" t="s">
        <v>133</v>
      </c>
      <c r="E1262" s="4">
        <v>1</v>
      </c>
      <c r="F1262" t="s">
        <v>365</v>
      </c>
      <c r="G1262" t="s">
        <v>365</v>
      </c>
      <c r="H1262" s="3">
        <v>46169</v>
      </c>
      <c r="I1262" s="3">
        <v>46190</v>
      </c>
      <c r="J1262" t="s">
        <v>97</v>
      </c>
      <c r="K1262" s="3">
        <v>46190</v>
      </c>
      <c r="L1262" s="3">
        <v>46169</v>
      </c>
      <c r="M1262" s="3">
        <v>46190</v>
      </c>
      <c r="N1262" s="3">
        <v>46190</v>
      </c>
      <c r="O1262" t="s">
        <v>97</v>
      </c>
      <c r="P1262" t="s">
        <v>55</v>
      </c>
      <c r="Q1262">
        <v>1460</v>
      </c>
      <c r="S1262" t="s">
        <v>124</v>
      </c>
      <c r="T1262" t="s">
        <v>2246</v>
      </c>
      <c r="V1262" t="s">
        <v>61</v>
      </c>
      <c r="W1262">
        <v>13.4</v>
      </c>
      <c r="X1262" t="s">
        <v>57</v>
      </c>
      <c r="Z1262" t="s">
        <v>124</v>
      </c>
      <c r="AA1262" t="s">
        <v>462</v>
      </c>
      <c r="AE1262">
        <v>1</v>
      </c>
      <c r="AF1262">
        <v>0</v>
      </c>
      <c r="AG1262">
        <v>0</v>
      </c>
      <c r="AH1262">
        <v>0</v>
      </c>
      <c r="AI1262">
        <v>1</v>
      </c>
      <c r="AJ1262">
        <v>0</v>
      </c>
      <c r="AK1262">
        <v>0</v>
      </c>
      <c r="AL1262">
        <v>0</v>
      </c>
      <c r="AM1262">
        <v>0</v>
      </c>
      <c r="AN1262">
        <v>1</v>
      </c>
      <c r="AO1262">
        <v>0</v>
      </c>
      <c r="AP1262">
        <v>0</v>
      </c>
    </row>
    <row r="1263" spans="1:42" x14ac:dyDescent="0.25">
      <c r="A1263">
        <v>1467</v>
      </c>
      <c r="B1263" t="s">
        <v>2294</v>
      </c>
      <c r="C1263" t="s">
        <v>2246</v>
      </c>
      <c r="D1263" t="s">
        <v>2295</v>
      </c>
      <c r="E1263" s="4">
        <v>1</v>
      </c>
      <c r="F1263" t="s">
        <v>101</v>
      </c>
      <c r="G1263" t="s">
        <v>101</v>
      </c>
      <c r="H1263" s="3">
        <v>46195</v>
      </c>
      <c r="I1263" s="3">
        <v>46198</v>
      </c>
      <c r="J1263" t="s">
        <v>576</v>
      </c>
      <c r="K1263" s="3">
        <v>46198</v>
      </c>
      <c r="L1263" s="3">
        <v>46189</v>
      </c>
      <c r="M1263" s="3">
        <v>46198</v>
      </c>
      <c r="N1263" s="3">
        <v>46198</v>
      </c>
      <c r="O1263" t="s">
        <v>219</v>
      </c>
      <c r="P1263" t="s">
        <v>55</v>
      </c>
      <c r="T1263" t="s">
        <v>2246</v>
      </c>
      <c r="V1263" t="s">
        <v>210</v>
      </c>
      <c r="W1263">
        <v>35.04</v>
      </c>
      <c r="X1263" t="s">
        <v>57</v>
      </c>
      <c r="AA1263" t="s">
        <v>50</v>
      </c>
      <c r="AE1263">
        <v>1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</row>
    <row r="1264" spans="1:42" x14ac:dyDescent="0.25">
      <c r="A1264">
        <v>1468</v>
      </c>
      <c r="B1264" t="s">
        <v>2296</v>
      </c>
      <c r="C1264" t="s">
        <v>2297</v>
      </c>
      <c r="D1264" t="s">
        <v>117</v>
      </c>
      <c r="E1264" s="4">
        <v>1</v>
      </c>
      <c r="F1264" t="s">
        <v>61</v>
      </c>
      <c r="G1264" t="s">
        <v>61</v>
      </c>
      <c r="H1264" s="3">
        <v>46195</v>
      </c>
      <c r="I1264" s="3">
        <v>46195</v>
      </c>
      <c r="J1264" t="s">
        <v>576</v>
      </c>
      <c r="K1264" s="3">
        <v>46191</v>
      </c>
      <c r="L1264" s="3">
        <v>46189</v>
      </c>
      <c r="M1264" s="3">
        <v>46195</v>
      </c>
      <c r="N1264" s="3">
        <v>46195</v>
      </c>
      <c r="O1264" t="s">
        <v>219</v>
      </c>
      <c r="P1264" t="s">
        <v>55</v>
      </c>
      <c r="Q1264" t="s">
        <v>2298</v>
      </c>
      <c r="S1264" t="s">
        <v>2251</v>
      </c>
      <c r="T1264" t="s">
        <v>2246</v>
      </c>
      <c r="U1264">
        <v>1469</v>
      </c>
      <c r="V1264" t="s">
        <v>122</v>
      </c>
      <c r="W1264">
        <v>13.4</v>
      </c>
      <c r="X1264" t="s">
        <v>57</v>
      </c>
      <c r="Z1264" t="s">
        <v>2251</v>
      </c>
      <c r="AA1264" t="s">
        <v>217</v>
      </c>
      <c r="AE1264">
        <v>1</v>
      </c>
      <c r="AF1264">
        <v>1</v>
      </c>
      <c r="AG1264">
        <v>1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1</v>
      </c>
    </row>
    <row r="1265" spans="1:42" x14ac:dyDescent="0.25">
      <c r="A1265">
        <v>1469</v>
      </c>
      <c r="B1265" t="s">
        <v>2299</v>
      </c>
      <c r="C1265" t="s">
        <v>2297</v>
      </c>
      <c r="D1265" t="s">
        <v>121</v>
      </c>
      <c r="E1265" s="4">
        <v>1</v>
      </c>
      <c r="F1265" t="s">
        <v>61</v>
      </c>
      <c r="G1265" t="s">
        <v>61</v>
      </c>
      <c r="H1265" s="3">
        <v>46196</v>
      </c>
      <c r="I1265" s="3">
        <v>46196</v>
      </c>
      <c r="J1265" t="s">
        <v>211</v>
      </c>
      <c r="K1265" s="3">
        <v>46196</v>
      </c>
      <c r="L1265" s="3">
        <v>46192</v>
      </c>
      <c r="M1265" s="3">
        <v>46196</v>
      </c>
      <c r="N1265" s="3">
        <v>46196</v>
      </c>
      <c r="O1265" t="s">
        <v>212</v>
      </c>
      <c r="P1265" t="s">
        <v>55</v>
      </c>
      <c r="Q1265">
        <v>1468</v>
      </c>
      <c r="S1265" t="s">
        <v>124</v>
      </c>
      <c r="T1265" t="s">
        <v>2246</v>
      </c>
      <c r="U1265">
        <v>1470</v>
      </c>
      <c r="V1265" t="s">
        <v>122</v>
      </c>
      <c r="W1265">
        <v>13.4</v>
      </c>
      <c r="X1265" t="s">
        <v>57</v>
      </c>
      <c r="Z1265" t="s">
        <v>124</v>
      </c>
      <c r="AA1265" t="s">
        <v>217</v>
      </c>
      <c r="AE1265">
        <v>1</v>
      </c>
      <c r="AF1265">
        <v>0</v>
      </c>
      <c r="AG1265">
        <v>0</v>
      </c>
      <c r="AH1265">
        <v>0</v>
      </c>
      <c r="AI1265">
        <v>0</v>
      </c>
      <c r="AJ1265">
        <v>1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</row>
    <row r="1266" spans="1:42" x14ac:dyDescent="0.25">
      <c r="A1266">
        <v>1470</v>
      </c>
      <c r="B1266" t="s">
        <v>2300</v>
      </c>
      <c r="C1266" t="s">
        <v>2297</v>
      </c>
      <c r="D1266" t="s">
        <v>126</v>
      </c>
      <c r="E1266" s="4">
        <v>1</v>
      </c>
      <c r="F1266" t="s">
        <v>61</v>
      </c>
      <c r="G1266" t="s">
        <v>61</v>
      </c>
      <c r="H1266" s="3">
        <v>46197</v>
      </c>
      <c r="I1266" s="3">
        <v>46197</v>
      </c>
      <c r="J1266" t="s">
        <v>207</v>
      </c>
      <c r="K1266" s="3">
        <v>46197</v>
      </c>
      <c r="L1266" s="3">
        <v>46197</v>
      </c>
      <c r="M1266" s="3">
        <v>46197</v>
      </c>
      <c r="N1266" s="3">
        <v>46197</v>
      </c>
      <c r="O1266" t="s">
        <v>207</v>
      </c>
      <c r="P1266" t="s">
        <v>55</v>
      </c>
      <c r="Q1266">
        <v>1469</v>
      </c>
      <c r="S1266" t="s">
        <v>2251</v>
      </c>
      <c r="T1266" t="s">
        <v>2246</v>
      </c>
      <c r="U1266">
        <v>1471</v>
      </c>
      <c r="V1266" t="s">
        <v>61</v>
      </c>
      <c r="W1266">
        <v>13.4</v>
      </c>
      <c r="X1266" t="s">
        <v>57</v>
      </c>
      <c r="Z1266" t="s">
        <v>2251</v>
      </c>
      <c r="AA1266" t="s">
        <v>131</v>
      </c>
      <c r="AE1266">
        <v>1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1</v>
      </c>
      <c r="AM1266">
        <v>0</v>
      </c>
      <c r="AN1266">
        <v>0</v>
      </c>
      <c r="AO1266">
        <v>0</v>
      </c>
      <c r="AP1266">
        <v>0</v>
      </c>
    </row>
    <row r="1267" spans="1:42" x14ac:dyDescent="0.25">
      <c r="A1267">
        <v>1471</v>
      </c>
      <c r="B1267" t="s">
        <v>2301</v>
      </c>
      <c r="C1267" t="s">
        <v>2297</v>
      </c>
      <c r="D1267" t="s">
        <v>133</v>
      </c>
      <c r="E1267" s="4">
        <v>1</v>
      </c>
      <c r="F1267" t="s">
        <v>61</v>
      </c>
      <c r="G1267" t="s">
        <v>61</v>
      </c>
      <c r="H1267" s="3">
        <v>46198</v>
      </c>
      <c r="I1267" s="3">
        <v>46198</v>
      </c>
      <c r="J1267" t="s">
        <v>128</v>
      </c>
      <c r="K1267" s="3">
        <v>46198</v>
      </c>
      <c r="L1267" s="3">
        <v>46198</v>
      </c>
      <c r="M1267" s="3">
        <v>46198</v>
      </c>
      <c r="N1267" s="3">
        <v>46198</v>
      </c>
      <c r="O1267" t="s">
        <v>128</v>
      </c>
      <c r="P1267" t="s">
        <v>55</v>
      </c>
      <c r="Q1267">
        <v>1470</v>
      </c>
      <c r="S1267" t="s">
        <v>124</v>
      </c>
      <c r="T1267" t="s">
        <v>2246</v>
      </c>
      <c r="V1267" t="s">
        <v>61</v>
      </c>
      <c r="W1267">
        <v>13.4</v>
      </c>
      <c r="X1267" t="s">
        <v>57</v>
      </c>
      <c r="Z1267" t="s">
        <v>124</v>
      </c>
      <c r="AA1267" t="s">
        <v>131</v>
      </c>
      <c r="AE1267">
        <v>1</v>
      </c>
      <c r="AF1267">
        <v>0</v>
      </c>
      <c r="AG1267">
        <v>0</v>
      </c>
      <c r="AH1267">
        <v>0</v>
      </c>
      <c r="AI1267">
        <v>1</v>
      </c>
      <c r="AJ1267">
        <v>0</v>
      </c>
      <c r="AK1267">
        <v>0</v>
      </c>
      <c r="AL1267">
        <v>0</v>
      </c>
      <c r="AM1267">
        <v>0</v>
      </c>
      <c r="AN1267">
        <v>1</v>
      </c>
      <c r="AO1267">
        <v>0</v>
      </c>
      <c r="AP1267">
        <v>0</v>
      </c>
    </row>
    <row r="1268" spans="1:42" x14ac:dyDescent="0.25">
      <c r="A1268">
        <v>1477</v>
      </c>
      <c r="B1268" t="s">
        <v>2302</v>
      </c>
      <c r="C1268" t="s">
        <v>2246</v>
      </c>
      <c r="D1268" t="s">
        <v>2303</v>
      </c>
      <c r="E1268" s="4">
        <v>1</v>
      </c>
      <c r="F1268" t="s">
        <v>138</v>
      </c>
      <c r="G1268" t="s">
        <v>138</v>
      </c>
      <c r="H1268" s="3">
        <v>46188</v>
      </c>
      <c r="I1268" s="3">
        <v>46192</v>
      </c>
      <c r="J1268" t="s">
        <v>576</v>
      </c>
      <c r="K1268" s="3">
        <v>46198</v>
      </c>
      <c r="L1268" s="3">
        <v>46189</v>
      </c>
      <c r="M1268" s="3">
        <v>46192</v>
      </c>
      <c r="N1268" s="3">
        <v>46192</v>
      </c>
      <c r="O1268" t="s">
        <v>595</v>
      </c>
      <c r="P1268" t="s">
        <v>55</v>
      </c>
      <c r="T1268" t="s">
        <v>2246</v>
      </c>
      <c r="V1268" t="s">
        <v>210</v>
      </c>
      <c r="W1268">
        <v>29.28</v>
      </c>
      <c r="X1268" t="s">
        <v>57</v>
      </c>
      <c r="AA1268" t="s">
        <v>50</v>
      </c>
      <c r="AE1268">
        <v>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</row>
    <row r="1269" spans="1:42" x14ac:dyDescent="0.25">
      <c r="A1269">
        <v>1478</v>
      </c>
      <c r="B1269" t="s">
        <v>2304</v>
      </c>
      <c r="C1269" t="s">
        <v>2305</v>
      </c>
      <c r="D1269" t="s">
        <v>117</v>
      </c>
      <c r="E1269" s="4">
        <v>1</v>
      </c>
      <c r="F1269" t="s">
        <v>61</v>
      </c>
      <c r="G1269" t="s">
        <v>61</v>
      </c>
      <c r="H1269" s="3">
        <v>46188</v>
      </c>
      <c r="I1269" s="3">
        <v>46188</v>
      </c>
      <c r="J1269" t="s">
        <v>576</v>
      </c>
      <c r="K1269" s="3">
        <v>46191</v>
      </c>
      <c r="L1269" s="3">
        <v>46189</v>
      </c>
      <c r="M1269" s="3">
        <v>46188</v>
      </c>
      <c r="N1269" s="3">
        <v>46188</v>
      </c>
      <c r="O1269" t="s">
        <v>595</v>
      </c>
      <c r="P1269" t="s">
        <v>55</v>
      </c>
      <c r="Q1269" t="s">
        <v>2298</v>
      </c>
      <c r="S1269" t="s">
        <v>2306</v>
      </c>
      <c r="T1269" t="s">
        <v>2246</v>
      </c>
      <c r="U1269">
        <v>1479</v>
      </c>
      <c r="V1269" t="s">
        <v>122</v>
      </c>
      <c r="W1269">
        <v>13.4</v>
      </c>
      <c r="X1269" t="s">
        <v>57</v>
      </c>
      <c r="Z1269" t="s">
        <v>2306</v>
      </c>
      <c r="AA1269" t="s">
        <v>217</v>
      </c>
      <c r="AE1269">
        <v>1</v>
      </c>
      <c r="AF1269">
        <v>1</v>
      </c>
      <c r="AG1269">
        <v>1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1</v>
      </c>
    </row>
    <row r="1270" spans="1:42" x14ac:dyDescent="0.25">
      <c r="A1270">
        <v>1479</v>
      </c>
      <c r="B1270" t="s">
        <v>2307</v>
      </c>
      <c r="C1270" t="s">
        <v>2305</v>
      </c>
      <c r="D1270" t="s">
        <v>121</v>
      </c>
      <c r="E1270" s="4">
        <v>1</v>
      </c>
      <c r="F1270" t="s">
        <v>122</v>
      </c>
      <c r="G1270" t="s">
        <v>122</v>
      </c>
      <c r="H1270" s="3">
        <v>46189</v>
      </c>
      <c r="I1270" s="3">
        <v>46191</v>
      </c>
      <c r="J1270" t="s">
        <v>211</v>
      </c>
      <c r="K1270" s="3">
        <v>46196</v>
      </c>
      <c r="L1270" s="3">
        <v>46192</v>
      </c>
      <c r="M1270" s="3">
        <v>46191</v>
      </c>
      <c r="N1270" s="3">
        <v>46191</v>
      </c>
      <c r="O1270" t="s">
        <v>576</v>
      </c>
      <c r="P1270" t="s">
        <v>55</v>
      </c>
      <c r="Q1270">
        <v>1478</v>
      </c>
      <c r="S1270" t="s">
        <v>124</v>
      </c>
      <c r="T1270" t="s">
        <v>2246</v>
      </c>
      <c r="U1270">
        <v>1480</v>
      </c>
      <c r="V1270" t="s">
        <v>122</v>
      </c>
      <c r="W1270">
        <v>13.4</v>
      </c>
      <c r="X1270" t="s">
        <v>57</v>
      </c>
      <c r="Z1270" t="s">
        <v>124</v>
      </c>
      <c r="AA1270" t="s">
        <v>217</v>
      </c>
      <c r="AE1270">
        <v>1</v>
      </c>
      <c r="AF1270">
        <v>0</v>
      </c>
      <c r="AG1270">
        <v>0</v>
      </c>
      <c r="AH1270">
        <v>0</v>
      </c>
      <c r="AI1270">
        <v>0</v>
      </c>
      <c r="AJ1270">
        <v>1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</row>
    <row r="1271" spans="1:42" x14ac:dyDescent="0.25">
      <c r="A1271">
        <v>1480</v>
      </c>
      <c r="B1271" t="s">
        <v>2308</v>
      </c>
      <c r="C1271" t="s">
        <v>2305</v>
      </c>
      <c r="D1271" t="s">
        <v>126</v>
      </c>
      <c r="E1271" s="4">
        <v>1</v>
      </c>
      <c r="F1271" t="s">
        <v>61</v>
      </c>
      <c r="G1271" t="s">
        <v>61</v>
      </c>
      <c r="H1271" s="3">
        <v>46192</v>
      </c>
      <c r="I1271" s="3">
        <v>46192</v>
      </c>
      <c r="J1271" t="s">
        <v>207</v>
      </c>
      <c r="K1271" s="3">
        <v>46197</v>
      </c>
      <c r="L1271" s="3">
        <v>46197</v>
      </c>
      <c r="M1271" s="3">
        <v>46192</v>
      </c>
      <c r="N1271" s="3">
        <v>46192</v>
      </c>
      <c r="O1271" t="s">
        <v>211</v>
      </c>
      <c r="P1271" t="s">
        <v>55</v>
      </c>
      <c r="Q1271">
        <v>1479</v>
      </c>
      <c r="S1271" t="s">
        <v>2306</v>
      </c>
      <c r="T1271" t="s">
        <v>2246</v>
      </c>
      <c r="U1271">
        <v>1481</v>
      </c>
      <c r="V1271" t="s">
        <v>61</v>
      </c>
      <c r="W1271">
        <v>13.4</v>
      </c>
      <c r="X1271" t="s">
        <v>57</v>
      </c>
      <c r="Z1271" t="s">
        <v>2306</v>
      </c>
      <c r="AA1271" t="s">
        <v>131</v>
      </c>
      <c r="AE1271">
        <v>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1</v>
      </c>
      <c r="AM1271">
        <v>0</v>
      </c>
      <c r="AN1271">
        <v>0</v>
      </c>
      <c r="AO1271">
        <v>0</v>
      </c>
      <c r="AP1271">
        <v>0</v>
      </c>
    </row>
    <row r="1272" spans="1:42" x14ac:dyDescent="0.25">
      <c r="A1272">
        <v>1481</v>
      </c>
      <c r="B1272" t="s">
        <v>2309</v>
      </c>
      <c r="C1272" t="s">
        <v>2305</v>
      </c>
      <c r="D1272" t="s">
        <v>133</v>
      </c>
      <c r="E1272" s="4">
        <v>1</v>
      </c>
      <c r="F1272" t="s">
        <v>63</v>
      </c>
      <c r="G1272" t="s">
        <v>63</v>
      </c>
      <c r="H1272" s="3">
        <v>46190</v>
      </c>
      <c r="I1272" s="3">
        <v>46190</v>
      </c>
      <c r="J1272" t="s">
        <v>128</v>
      </c>
      <c r="K1272" s="3">
        <v>46198</v>
      </c>
      <c r="L1272" s="3">
        <v>46198</v>
      </c>
      <c r="M1272" s="3">
        <v>46190</v>
      </c>
      <c r="N1272" s="3">
        <v>46190</v>
      </c>
      <c r="O1272" t="s">
        <v>75</v>
      </c>
      <c r="P1272" t="s">
        <v>55</v>
      </c>
      <c r="Q1272">
        <v>1480</v>
      </c>
      <c r="S1272" t="s">
        <v>124</v>
      </c>
      <c r="T1272" t="s">
        <v>2246</v>
      </c>
      <c r="V1272" t="s">
        <v>61</v>
      </c>
      <c r="W1272">
        <v>13.4</v>
      </c>
      <c r="X1272" t="s">
        <v>57</v>
      </c>
      <c r="Z1272" t="s">
        <v>124</v>
      </c>
      <c r="AA1272" t="s">
        <v>131</v>
      </c>
      <c r="AE1272">
        <v>1</v>
      </c>
      <c r="AF1272">
        <v>0</v>
      </c>
      <c r="AG1272">
        <v>0</v>
      </c>
      <c r="AH1272">
        <v>0</v>
      </c>
      <c r="AI1272">
        <v>1</v>
      </c>
      <c r="AJ1272">
        <v>0</v>
      </c>
      <c r="AK1272">
        <v>0</v>
      </c>
      <c r="AL1272">
        <v>0</v>
      </c>
      <c r="AM1272">
        <v>0</v>
      </c>
      <c r="AN1272">
        <v>1</v>
      </c>
      <c r="AO1272">
        <v>0</v>
      </c>
      <c r="AP1272">
        <v>0</v>
      </c>
    </row>
    <row r="1273" spans="1:42" x14ac:dyDescent="0.25">
      <c r="A1273">
        <v>1482</v>
      </c>
      <c r="B1273" t="s">
        <v>2310</v>
      </c>
      <c r="C1273" t="s">
        <v>2246</v>
      </c>
      <c r="D1273" t="s">
        <v>2311</v>
      </c>
      <c r="E1273" s="4">
        <v>1</v>
      </c>
      <c r="F1273" t="s">
        <v>295</v>
      </c>
      <c r="G1273" t="s">
        <v>295</v>
      </c>
      <c r="H1273" s="3">
        <v>46134</v>
      </c>
      <c r="I1273" s="3">
        <v>46156</v>
      </c>
      <c r="J1273" t="s">
        <v>337</v>
      </c>
      <c r="K1273" s="3">
        <v>46142</v>
      </c>
      <c r="L1273" s="3">
        <v>46134</v>
      </c>
      <c r="M1273" s="3">
        <v>46156</v>
      </c>
      <c r="N1273" s="3">
        <v>46156</v>
      </c>
      <c r="O1273" t="s">
        <v>337</v>
      </c>
      <c r="P1273" t="s">
        <v>55</v>
      </c>
      <c r="T1273" t="s">
        <v>2246</v>
      </c>
      <c r="U1273">
        <v>1448</v>
      </c>
      <c r="V1273" t="s">
        <v>175</v>
      </c>
      <c r="W1273">
        <v>14.88</v>
      </c>
      <c r="X1273" t="s">
        <v>57</v>
      </c>
      <c r="AA1273" t="s">
        <v>50</v>
      </c>
      <c r="AE1273">
        <v>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</row>
    <row r="1274" spans="1:42" x14ac:dyDescent="0.25">
      <c r="A1274">
        <v>1483</v>
      </c>
      <c r="B1274" t="s">
        <v>2312</v>
      </c>
      <c r="C1274" t="s">
        <v>2313</v>
      </c>
      <c r="D1274" t="s">
        <v>117</v>
      </c>
      <c r="E1274" s="4">
        <v>1</v>
      </c>
      <c r="F1274" t="s">
        <v>127</v>
      </c>
      <c r="G1274" t="s">
        <v>127</v>
      </c>
      <c r="H1274" s="3">
        <v>46134</v>
      </c>
      <c r="I1274" s="3">
        <v>46135</v>
      </c>
      <c r="J1274" t="s">
        <v>337</v>
      </c>
      <c r="K1274" s="3">
        <v>46135</v>
      </c>
      <c r="L1274" s="3">
        <v>46134</v>
      </c>
      <c r="M1274" s="3">
        <v>46135</v>
      </c>
      <c r="N1274" s="3">
        <v>46135</v>
      </c>
      <c r="O1274" t="s">
        <v>337</v>
      </c>
      <c r="P1274" t="s">
        <v>55</v>
      </c>
      <c r="Q1274">
        <v>102</v>
      </c>
      <c r="S1274" t="s">
        <v>2306</v>
      </c>
      <c r="T1274" t="s">
        <v>2246</v>
      </c>
      <c r="U1274" t="s">
        <v>2314</v>
      </c>
      <c r="V1274" t="s">
        <v>127</v>
      </c>
      <c r="W1274">
        <v>13.4</v>
      </c>
      <c r="X1274" t="s">
        <v>57</v>
      </c>
      <c r="Z1274" t="s">
        <v>2306</v>
      </c>
      <c r="AA1274" t="s">
        <v>71</v>
      </c>
      <c r="AE1274">
        <v>1</v>
      </c>
      <c r="AF1274">
        <v>1</v>
      </c>
      <c r="AG1274">
        <v>1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1</v>
      </c>
    </row>
    <row r="1275" spans="1:42" x14ac:dyDescent="0.25">
      <c r="A1275">
        <v>1484</v>
      </c>
      <c r="B1275" t="s">
        <v>2315</v>
      </c>
      <c r="C1275" t="s">
        <v>2313</v>
      </c>
      <c r="D1275" t="s">
        <v>121</v>
      </c>
      <c r="E1275" s="4">
        <v>1</v>
      </c>
      <c r="F1275" t="s">
        <v>122</v>
      </c>
      <c r="G1275" t="s">
        <v>122</v>
      </c>
      <c r="H1275" s="3">
        <v>46136</v>
      </c>
      <c r="I1275" s="3">
        <v>46140</v>
      </c>
      <c r="J1275" t="s">
        <v>67</v>
      </c>
      <c r="K1275" s="3">
        <v>46140</v>
      </c>
      <c r="L1275" s="3">
        <v>46136</v>
      </c>
      <c r="M1275" s="3">
        <v>46140</v>
      </c>
      <c r="N1275" s="3">
        <v>46140</v>
      </c>
      <c r="O1275" t="s">
        <v>67</v>
      </c>
      <c r="P1275" t="s">
        <v>55</v>
      </c>
      <c r="Q1275">
        <v>1483</v>
      </c>
      <c r="S1275" t="s">
        <v>124</v>
      </c>
      <c r="T1275" t="s">
        <v>2246</v>
      </c>
      <c r="U1275">
        <v>1485</v>
      </c>
      <c r="V1275" t="s">
        <v>122</v>
      </c>
      <c r="W1275">
        <v>13.4</v>
      </c>
      <c r="X1275" t="s">
        <v>57</v>
      </c>
      <c r="Z1275" t="s">
        <v>124</v>
      </c>
      <c r="AA1275" t="s">
        <v>71</v>
      </c>
      <c r="AE1275">
        <v>1</v>
      </c>
      <c r="AF1275">
        <v>0</v>
      </c>
      <c r="AG1275">
        <v>0</v>
      </c>
      <c r="AH1275">
        <v>0</v>
      </c>
      <c r="AI1275">
        <v>0</v>
      </c>
      <c r="AJ1275">
        <v>1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</row>
    <row r="1276" spans="1:42" x14ac:dyDescent="0.25">
      <c r="A1276">
        <v>1485</v>
      </c>
      <c r="B1276" t="s">
        <v>2316</v>
      </c>
      <c r="C1276" t="s">
        <v>2313</v>
      </c>
      <c r="D1276" t="s">
        <v>126</v>
      </c>
      <c r="E1276" s="4">
        <v>1</v>
      </c>
      <c r="F1276" t="s">
        <v>203</v>
      </c>
      <c r="G1276" t="s">
        <v>203</v>
      </c>
      <c r="H1276" s="3">
        <v>46141</v>
      </c>
      <c r="I1276" s="3">
        <v>46156</v>
      </c>
      <c r="J1276" t="s">
        <v>415</v>
      </c>
      <c r="K1276" s="3">
        <v>46141</v>
      </c>
      <c r="L1276" s="3">
        <v>46141</v>
      </c>
      <c r="M1276" s="3">
        <v>46156</v>
      </c>
      <c r="N1276" s="3">
        <v>46156</v>
      </c>
      <c r="O1276" t="s">
        <v>415</v>
      </c>
      <c r="P1276" t="s">
        <v>55</v>
      </c>
      <c r="Q1276">
        <v>1484</v>
      </c>
      <c r="S1276" t="s">
        <v>2306</v>
      </c>
      <c r="T1276" t="s">
        <v>2246</v>
      </c>
      <c r="U1276">
        <v>1486</v>
      </c>
      <c r="V1276" t="s">
        <v>61</v>
      </c>
      <c r="W1276">
        <v>13.4</v>
      </c>
      <c r="X1276" t="s">
        <v>57</v>
      </c>
      <c r="Z1276" t="s">
        <v>2306</v>
      </c>
      <c r="AA1276" t="s">
        <v>71</v>
      </c>
      <c r="AE1276">
        <v>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1</v>
      </c>
      <c r="AM1276">
        <v>0</v>
      </c>
      <c r="AN1276">
        <v>0</v>
      </c>
      <c r="AO1276">
        <v>0</v>
      </c>
      <c r="AP1276">
        <v>0</v>
      </c>
    </row>
    <row r="1277" spans="1:42" x14ac:dyDescent="0.25">
      <c r="A1277">
        <v>1486</v>
      </c>
      <c r="B1277" t="s">
        <v>2317</v>
      </c>
      <c r="C1277" t="s">
        <v>2313</v>
      </c>
      <c r="D1277" t="s">
        <v>133</v>
      </c>
      <c r="E1277" s="4">
        <v>1</v>
      </c>
      <c r="F1277" t="s">
        <v>63</v>
      </c>
      <c r="G1277" t="s">
        <v>63</v>
      </c>
      <c r="H1277" s="3">
        <v>46141</v>
      </c>
      <c r="I1277" s="3">
        <v>46156</v>
      </c>
      <c r="J1277" t="s">
        <v>527</v>
      </c>
      <c r="K1277" s="3">
        <v>46142</v>
      </c>
      <c r="L1277" s="3">
        <v>46142</v>
      </c>
      <c r="M1277" s="3">
        <v>46156</v>
      </c>
      <c r="N1277" s="3">
        <v>46156</v>
      </c>
      <c r="O1277" t="s">
        <v>415</v>
      </c>
      <c r="P1277" t="s">
        <v>55</v>
      </c>
      <c r="Q1277">
        <v>1485</v>
      </c>
      <c r="S1277" t="s">
        <v>124</v>
      </c>
      <c r="T1277" t="s">
        <v>2246</v>
      </c>
      <c r="V1277" t="s">
        <v>61</v>
      </c>
      <c r="W1277">
        <v>13.4</v>
      </c>
      <c r="X1277" t="s">
        <v>57</v>
      </c>
      <c r="Z1277" t="s">
        <v>124</v>
      </c>
      <c r="AA1277" t="s">
        <v>71</v>
      </c>
      <c r="AE1277">
        <v>1</v>
      </c>
      <c r="AF1277">
        <v>0</v>
      </c>
      <c r="AG1277">
        <v>0</v>
      </c>
      <c r="AH1277">
        <v>0</v>
      </c>
      <c r="AI1277">
        <v>1</v>
      </c>
      <c r="AJ1277">
        <v>0</v>
      </c>
      <c r="AK1277">
        <v>0</v>
      </c>
      <c r="AL1277">
        <v>0</v>
      </c>
      <c r="AM1277">
        <v>0</v>
      </c>
      <c r="AN1277">
        <v>1</v>
      </c>
      <c r="AO1277">
        <v>0</v>
      </c>
      <c r="AP1277">
        <v>0</v>
      </c>
    </row>
    <row r="1278" spans="1:42" x14ac:dyDescent="0.25">
      <c r="A1278">
        <v>1487</v>
      </c>
      <c r="B1278" t="s">
        <v>2318</v>
      </c>
      <c r="C1278" t="s">
        <v>2246</v>
      </c>
      <c r="D1278" t="s">
        <v>2319</v>
      </c>
      <c r="E1278" s="4">
        <v>1</v>
      </c>
      <c r="F1278" t="s">
        <v>203</v>
      </c>
      <c r="G1278" t="s">
        <v>203</v>
      </c>
      <c r="H1278" s="3">
        <v>46150</v>
      </c>
      <c r="I1278" s="3">
        <v>46164</v>
      </c>
      <c r="J1278" t="s">
        <v>67</v>
      </c>
      <c r="K1278" s="3">
        <v>46147</v>
      </c>
      <c r="L1278" s="3">
        <v>46136</v>
      </c>
      <c r="M1278" s="3">
        <v>46164</v>
      </c>
      <c r="N1278" s="3">
        <v>46164</v>
      </c>
      <c r="O1278" t="s">
        <v>403</v>
      </c>
      <c r="P1278" t="s">
        <v>55</v>
      </c>
      <c r="T1278" t="s">
        <v>2246</v>
      </c>
      <c r="U1278">
        <v>1448</v>
      </c>
      <c r="V1278" t="s">
        <v>175</v>
      </c>
      <c r="W1278">
        <v>35.04</v>
      </c>
      <c r="X1278" t="s">
        <v>57</v>
      </c>
      <c r="AA1278" t="s">
        <v>50</v>
      </c>
      <c r="AE1278">
        <v>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</row>
    <row r="1279" spans="1:42" x14ac:dyDescent="0.25">
      <c r="A1279">
        <v>1488</v>
      </c>
      <c r="B1279" t="s">
        <v>2320</v>
      </c>
      <c r="C1279" t="s">
        <v>2321</v>
      </c>
      <c r="D1279" t="s">
        <v>117</v>
      </c>
      <c r="E1279" s="4">
        <v>1</v>
      </c>
      <c r="F1279" t="s">
        <v>127</v>
      </c>
      <c r="G1279" t="s">
        <v>127</v>
      </c>
      <c r="H1279" s="3">
        <v>46150</v>
      </c>
      <c r="I1279" s="3">
        <v>46153</v>
      </c>
      <c r="J1279" t="s">
        <v>67</v>
      </c>
      <c r="K1279" s="3">
        <v>46139</v>
      </c>
      <c r="L1279" s="3">
        <v>46136</v>
      </c>
      <c r="M1279" s="3">
        <v>46153</v>
      </c>
      <c r="N1279" s="3">
        <v>46153</v>
      </c>
      <c r="O1279" t="s">
        <v>403</v>
      </c>
      <c r="P1279" t="s">
        <v>55</v>
      </c>
      <c r="Q1279" t="s">
        <v>2322</v>
      </c>
      <c r="S1279" t="s">
        <v>2306</v>
      </c>
      <c r="T1279" t="s">
        <v>2246</v>
      </c>
      <c r="U1279" t="s">
        <v>2323</v>
      </c>
      <c r="V1279" t="s">
        <v>127</v>
      </c>
      <c r="W1279">
        <v>13.4</v>
      </c>
      <c r="X1279" t="s">
        <v>57</v>
      </c>
      <c r="Z1279" t="s">
        <v>2306</v>
      </c>
      <c r="AA1279" t="s">
        <v>71</v>
      </c>
      <c r="AE1279">
        <v>1</v>
      </c>
      <c r="AF1279">
        <v>1</v>
      </c>
      <c r="AG1279">
        <v>1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1</v>
      </c>
    </row>
    <row r="1280" spans="1:42" x14ac:dyDescent="0.25">
      <c r="A1280">
        <v>1489</v>
      </c>
      <c r="B1280" t="s">
        <v>2324</v>
      </c>
      <c r="C1280" t="s">
        <v>2321</v>
      </c>
      <c r="D1280" t="s">
        <v>121</v>
      </c>
      <c r="E1280" s="4">
        <v>1</v>
      </c>
      <c r="F1280" t="s">
        <v>61</v>
      </c>
      <c r="G1280" t="s">
        <v>61</v>
      </c>
      <c r="H1280" s="3">
        <v>46153</v>
      </c>
      <c r="I1280" s="3">
        <v>46154</v>
      </c>
      <c r="J1280" t="s">
        <v>85</v>
      </c>
      <c r="K1280" s="3">
        <v>46142</v>
      </c>
      <c r="L1280" s="3">
        <v>46140</v>
      </c>
      <c r="M1280" s="3">
        <v>46154</v>
      </c>
      <c r="N1280" s="3">
        <v>46154</v>
      </c>
      <c r="O1280" t="s">
        <v>418</v>
      </c>
      <c r="P1280" t="s">
        <v>55</v>
      </c>
      <c r="Q1280">
        <v>1488</v>
      </c>
      <c r="S1280" t="s">
        <v>124</v>
      </c>
      <c r="T1280" t="s">
        <v>2246</v>
      </c>
      <c r="U1280">
        <v>1490</v>
      </c>
      <c r="V1280" t="s">
        <v>122</v>
      </c>
      <c r="W1280">
        <v>13.4</v>
      </c>
      <c r="X1280" t="s">
        <v>57</v>
      </c>
      <c r="Z1280" t="s">
        <v>124</v>
      </c>
      <c r="AA1280" t="s">
        <v>71</v>
      </c>
      <c r="AE1280">
        <v>1</v>
      </c>
      <c r="AF1280">
        <v>0</v>
      </c>
      <c r="AG1280">
        <v>0</v>
      </c>
      <c r="AH1280">
        <v>0</v>
      </c>
      <c r="AI1280">
        <v>0</v>
      </c>
      <c r="AJ1280">
        <v>1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</row>
    <row r="1281" spans="1:42" x14ac:dyDescent="0.25">
      <c r="A1281">
        <v>1490</v>
      </c>
      <c r="B1281" t="s">
        <v>2325</v>
      </c>
      <c r="C1281" t="s">
        <v>2321</v>
      </c>
      <c r="D1281" t="s">
        <v>126</v>
      </c>
      <c r="E1281" s="4">
        <v>1</v>
      </c>
      <c r="F1281" t="s">
        <v>210</v>
      </c>
      <c r="G1281" t="s">
        <v>210</v>
      </c>
      <c r="H1281" s="3">
        <v>46155</v>
      </c>
      <c r="I1281" s="3">
        <v>46164</v>
      </c>
      <c r="J1281" t="s">
        <v>409</v>
      </c>
      <c r="K1281" s="3">
        <v>46146</v>
      </c>
      <c r="L1281" s="3">
        <v>46146</v>
      </c>
      <c r="M1281" s="3">
        <v>46164</v>
      </c>
      <c r="N1281" s="3">
        <v>46164</v>
      </c>
      <c r="O1281" t="s">
        <v>68</v>
      </c>
      <c r="P1281" t="s">
        <v>55</v>
      </c>
      <c r="Q1281">
        <v>1489</v>
      </c>
      <c r="S1281" t="s">
        <v>2306</v>
      </c>
      <c r="T1281" t="s">
        <v>2246</v>
      </c>
      <c r="U1281">
        <v>1491</v>
      </c>
      <c r="V1281" t="s">
        <v>61</v>
      </c>
      <c r="W1281">
        <v>13.4</v>
      </c>
      <c r="X1281" t="s">
        <v>57</v>
      </c>
      <c r="Z1281" t="s">
        <v>2306</v>
      </c>
      <c r="AA1281" t="s">
        <v>401</v>
      </c>
      <c r="AE1281">
        <v>1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1</v>
      </c>
      <c r="AM1281">
        <v>0</v>
      </c>
      <c r="AN1281">
        <v>0</v>
      </c>
      <c r="AO1281">
        <v>0</v>
      </c>
      <c r="AP1281">
        <v>0</v>
      </c>
    </row>
    <row r="1282" spans="1:42" x14ac:dyDescent="0.25">
      <c r="A1282">
        <v>1491</v>
      </c>
      <c r="B1282" t="s">
        <v>2326</v>
      </c>
      <c r="C1282" t="s">
        <v>2321</v>
      </c>
      <c r="D1282" t="s">
        <v>133</v>
      </c>
      <c r="E1282" s="4">
        <v>1</v>
      </c>
      <c r="F1282" t="s">
        <v>494</v>
      </c>
      <c r="G1282" t="s">
        <v>494</v>
      </c>
      <c r="H1282" s="3">
        <v>46155</v>
      </c>
      <c r="I1282" s="3">
        <v>46164</v>
      </c>
      <c r="J1282" t="s">
        <v>183</v>
      </c>
      <c r="K1282" s="3">
        <v>46147</v>
      </c>
      <c r="L1282" s="3">
        <v>46147</v>
      </c>
      <c r="M1282" s="3">
        <v>46164</v>
      </c>
      <c r="N1282" s="3">
        <v>46164</v>
      </c>
      <c r="O1282" t="s">
        <v>68</v>
      </c>
      <c r="P1282" t="s">
        <v>55</v>
      </c>
      <c r="Q1282">
        <v>1490</v>
      </c>
      <c r="S1282" t="s">
        <v>124</v>
      </c>
      <c r="T1282" t="s">
        <v>2246</v>
      </c>
      <c r="V1282" t="s">
        <v>61</v>
      </c>
      <c r="W1282">
        <v>13.4</v>
      </c>
      <c r="X1282" t="s">
        <v>57</v>
      </c>
      <c r="Z1282" t="s">
        <v>124</v>
      </c>
      <c r="AA1282" t="s">
        <v>401</v>
      </c>
      <c r="AE1282">
        <v>1</v>
      </c>
      <c r="AF1282">
        <v>0</v>
      </c>
      <c r="AG1282">
        <v>0</v>
      </c>
      <c r="AH1282">
        <v>0</v>
      </c>
      <c r="AI1282">
        <v>1</v>
      </c>
      <c r="AJ1282">
        <v>0</v>
      </c>
      <c r="AK1282">
        <v>0</v>
      </c>
      <c r="AL1282">
        <v>0</v>
      </c>
      <c r="AM1282">
        <v>0</v>
      </c>
      <c r="AN1282">
        <v>1</v>
      </c>
      <c r="AO1282">
        <v>0</v>
      </c>
      <c r="AP1282">
        <v>0</v>
      </c>
    </row>
    <row r="1283" spans="1:42" x14ac:dyDescent="0.25">
      <c r="A1283">
        <v>1492</v>
      </c>
      <c r="B1283" t="s">
        <v>2327</v>
      </c>
      <c r="C1283" t="s">
        <v>2246</v>
      </c>
      <c r="D1283" t="s">
        <v>2328</v>
      </c>
      <c r="E1283" s="4">
        <v>1</v>
      </c>
      <c r="F1283" t="s">
        <v>187</v>
      </c>
      <c r="G1283" t="s">
        <v>187</v>
      </c>
      <c r="H1283" s="3">
        <v>46139</v>
      </c>
      <c r="I1283" s="3">
        <v>46164</v>
      </c>
      <c r="J1283" t="s">
        <v>85</v>
      </c>
      <c r="K1283" s="3">
        <v>46149</v>
      </c>
      <c r="L1283" s="3">
        <v>46140</v>
      </c>
      <c r="M1283" s="3">
        <v>46164</v>
      </c>
      <c r="N1283" s="3">
        <v>46164</v>
      </c>
      <c r="O1283" t="s">
        <v>188</v>
      </c>
      <c r="P1283" t="s">
        <v>55</v>
      </c>
      <c r="T1283" t="s">
        <v>2246</v>
      </c>
      <c r="U1283">
        <v>1448</v>
      </c>
      <c r="V1283" t="s">
        <v>175</v>
      </c>
      <c r="W1283">
        <v>14.88</v>
      </c>
      <c r="X1283" t="s">
        <v>57</v>
      </c>
      <c r="AA1283" t="s">
        <v>50</v>
      </c>
      <c r="AE1283">
        <v>1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</row>
    <row r="1284" spans="1:42" x14ac:dyDescent="0.25">
      <c r="A1284">
        <v>1493</v>
      </c>
      <c r="B1284" t="s">
        <v>2329</v>
      </c>
      <c r="C1284" t="s">
        <v>2330</v>
      </c>
      <c r="D1284" t="s">
        <v>117</v>
      </c>
      <c r="E1284" s="4">
        <v>1</v>
      </c>
      <c r="F1284" t="s">
        <v>101</v>
      </c>
      <c r="G1284" t="s">
        <v>101</v>
      </c>
      <c r="H1284" s="3">
        <v>46139</v>
      </c>
      <c r="I1284" s="3">
        <v>46142</v>
      </c>
      <c r="J1284" t="s">
        <v>85</v>
      </c>
      <c r="K1284" s="3">
        <v>46141</v>
      </c>
      <c r="L1284" s="3">
        <v>46140</v>
      </c>
      <c r="M1284" s="3">
        <v>46142</v>
      </c>
      <c r="N1284" s="3">
        <v>46142</v>
      </c>
      <c r="O1284" t="s">
        <v>188</v>
      </c>
      <c r="P1284" t="s">
        <v>55</v>
      </c>
      <c r="Q1284" t="s">
        <v>2331</v>
      </c>
      <c r="S1284" t="s">
        <v>2306</v>
      </c>
      <c r="T1284" t="s">
        <v>2246</v>
      </c>
      <c r="U1284" t="s">
        <v>2332</v>
      </c>
      <c r="V1284" t="s">
        <v>127</v>
      </c>
      <c r="W1284">
        <v>13.4</v>
      </c>
      <c r="X1284" t="s">
        <v>57</v>
      </c>
      <c r="Z1284" t="s">
        <v>2306</v>
      </c>
      <c r="AA1284" t="s">
        <v>71</v>
      </c>
      <c r="AE1284">
        <v>1</v>
      </c>
      <c r="AF1284">
        <v>1</v>
      </c>
      <c r="AG1284">
        <v>1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1</v>
      </c>
    </row>
    <row r="1285" spans="1:42" x14ac:dyDescent="0.25">
      <c r="A1285">
        <v>1494</v>
      </c>
      <c r="B1285" t="s">
        <v>2333</v>
      </c>
      <c r="C1285" t="s">
        <v>2330</v>
      </c>
      <c r="D1285" t="s">
        <v>121</v>
      </c>
      <c r="E1285" s="4">
        <v>1</v>
      </c>
      <c r="F1285" t="s">
        <v>61</v>
      </c>
      <c r="G1285" t="s">
        <v>61</v>
      </c>
      <c r="H1285" s="3">
        <v>46147</v>
      </c>
      <c r="I1285" s="3">
        <v>46147</v>
      </c>
      <c r="J1285" t="s">
        <v>527</v>
      </c>
      <c r="K1285" s="3">
        <v>46147</v>
      </c>
      <c r="L1285" s="3">
        <v>46142</v>
      </c>
      <c r="M1285" s="3">
        <v>46147</v>
      </c>
      <c r="N1285" s="3">
        <v>46147</v>
      </c>
      <c r="O1285" t="s">
        <v>183</v>
      </c>
      <c r="P1285" t="s">
        <v>55</v>
      </c>
      <c r="Q1285">
        <v>1493</v>
      </c>
      <c r="S1285" t="s">
        <v>124</v>
      </c>
      <c r="T1285" t="s">
        <v>2246</v>
      </c>
      <c r="U1285">
        <v>1495</v>
      </c>
      <c r="V1285" t="s">
        <v>122</v>
      </c>
      <c r="W1285">
        <v>13.4</v>
      </c>
      <c r="X1285" t="s">
        <v>57</v>
      </c>
      <c r="Z1285" t="s">
        <v>124</v>
      </c>
      <c r="AA1285" t="s">
        <v>71</v>
      </c>
      <c r="AE1285">
        <v>1</v>
      </c>
      <c r="AF1285">
        <v>0</v>
      </c>
      <c r="AG1285">
        <v>0</v>
      </c>
      <c r="AH1285">
        <v>0</v>
      </c>
      <c r="AI1285">
        <v>0</v>
      </c>
      <c r="AJ1285">
        <v>1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</row>
    <row r="1286" spans="1:42" x14ac:dyDescent="0.25">
      <c r="A1286">
        <v>1495</v>
      </c>
      <c r="B1286" t="s">
        <v>2334</v>
      </c>
      <c r="C1286" t="s">
        <v>2330</v>
      </c>
      <c r="D1286" t="s">
        <v>126</v>
      </c>
      <c r="E1286" s="4">
        <v>1</v>
      </c>
      <c r="F1286" t="s">
        <v>1038</v>
      </c>
      <c r="G1286" t="s">
        <v>1038</v>
      </c>
      <c r="H1286" s="3">
        <v>46148</v>
      </c>
      <c r="I1286" s="3">
        <v>46164</v>
      </c>
      <c r="J1286" t="s">
        <v>304</v>
      </c>
      <c r="K1286" s="3">
        <v>46148</v>
      </c>
      <c r="L1286" s="3">
        <v>46148</v>
      </c>
      <c r="M1286" s="3">
        <v>46164</v>
      </c>
      <c r="N1286" s="3">
        <v>46164</v>
      </c>
      <c r="O1286" t="s">
        <v>304</v>
      </c>
      <c r="P1286" t="s">
        <v>55</v>
      </c>
      <c r="Q1286">
        <v>1494</v>
      </c>
      <c r="S1286" t="s">
        <v>2306</v>
      </c>
      <c r="T1286" t="s">
        <v>2246</v>
      </c>
      <c r="U1286">
        <v>1496</v>
      </c>
      <c r="V1286" t="s">
        <v>61</v>
      </c>
      <c r="W1286">
        <v>13.4</v>
      </c>
      <c r="X1286" t="s">
        <v>57</v>
      </c>
      <c r="Z1286" t="s">
        <v>2306</v>
      </c>
      <c r="AA1286" t="s">
        <v>401</v>
      </c>
      <c r="AE1286">
        <v>1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1</v>
      </c>
      <c r="AM1286">
        <v>0</v>
      </c>
      <c r="AN1286">
        <v>0</v>
      </c>
      <c r="AO1286">
        <v>0</v>
      </c>
      <c r="AP1286">
        <v>0</v>
      </c>
    </row>
    <row r="1287" spans="1:42" x14ac:dyDescent="0.25">
      <c r="A1287">
        <v>1496</v>
      </c>
      <c r="B1287" t="s">
        <v>2335</v>
      </c>
      <c r="C1287" t="s">
        <v>2330</v>
      </c>
      <c r="D1287" t="s">
        <v>133</v>
      </c>
      <c r="E1287" s="4">
        <v>1</v>
      </c>
      <c r="F1287" t="s">
        <v>690</v>
      </c>
      <c r="G1287" t="s">
        <v>690</v>
      </c>
      <c r="H1287" s="3">
        <v>46149</v>
      </c>
      <c r="I1287" s="3">
        <v>46164</v>
      </c>
      <c r="J1287" t="s">
        <v>416</v>
      </c>
      <c r="K1287" s="3">
        <v>46149</v>
      </c>
      <c r="L1287" s="3">
        <v>46149</v>
      </c>
      <c r="M1287" s="3">
        <v>46164</v>
      </c>
      <c r="N1287" s="3">
        <v>46164</v>
      </c>
      <c r="O1287" t="s">
        <v>416</v>
      </c>
      <c r="P1287" t="s">
        <v>55</v>
      </c>
      <c r="Q1287">
        <v>1495</v>
      </c>
      <c r="S1287" t="s">
        <v>124</v>
      </c>
      <c r="T1287" t="s">
        <v>2246</v>
      </c>
      <c r="V1287" t="s">
        <v>61</v>
      </c>
      <c r="W1287">
        <v>13.4</v>
      </c>
      <c r="X1287" t="s">
        <v>57</v>
      </c>
      <c r="Z1287" t="s">
        <v>124</v>
      </c>
      <c r="AA1287" t="s">
        <v>401</v>
      </c>
      <c r="AE1287">
        <v>1</v>
      </c>
      <c r="AF1287">
        <v>0</v>
      </c>
      <c r="AG1287">
        <v>0</v>
      </c>
      <c r="AH1287">
        <v>0</v>
      </c>
      <c r="AI1287">
        <v>1</v>
      </c>
      <c r="AJ1287">
        <v>0</v>
      </c>
      <c r="AK1287">
        <v>0</v>
      </c>
      <c r="AL1287">
        <v>0</v>
      </c>
      <c r="AM1287">
        <v>0</v>
      </c>
      <c r="AN1287">
        <v>1</v>
      </c>
      <c r="AO1287">
        <v>0</v>
      </c>
      <c r="AP1287">
        <v>0</v>
      </c>
    </row>
    <row r="1288" spans="1:42" x14ac:dyDescent="0.25">
      <c r="A1288">
        <v>1497</v>
      </c>
      <c r="B1288" t="s">
        <v>2336</v>
      </c>
      <c r="C1288" t="s">
        <v>2246</v>
      </c>
      <c r="D1288" t="s">
        <v>2337</v>
      </c>
      <c r="E1288" s="4">
        <v>1</v>
      </c>
      <c r="F1288" t="s">
        <v>295</v>
      </c>
      <c r="G1288" t="s">
        <v>295</v>
      </c>
      <c r="H1288" s="3">
        <v>46142</v>
      </c>
      <c r="I1288" s="3">
        <v>46164</v>
      </c>
      <c r="J1288" t="s">
        <v>527</v>
      </c>
      <c r="K1288" s="3">
        <v>46153</v>
      </c>
      <c r="L1288" s="3">
        <v>46142</v>
      </c>
      <c r="M1288" s="3">
        <v>46164</v>
      </c>
      <c r="N1288" s="3">
        <v>46164</v>
      </c>
      <c r="O1288" t="s">
        <v>527</v>
      </c>
      <c r="P1288" t="s">
        <v>55</v>
      </c>
      <c r="T1288" t="s">
        <v>2246</v>
      </c>
      <c r="U1288">
        <v>1448</v>
      </c>
      <c r="V1288" t="s">
        <v>175</v>
      </c>
      <c r="W1288">
        <v>14.88</v>
      </c>
      <c r="X1288" t="s">
        <v>57</v>
      </c>
      <c r="AA1288" t="s">
        <v>50</v>
      </c>
      <c r="AE1288">
        <v>1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</row>
    <row r="1289" spans="1:42" x14ac:dyDescent="0.25">
      <c r="A1289">
        <v>1498</v>
      </c>
      <c r="B1289" t="s">
        <v>2338</v>
      </c>
      <c r="C1289" t="s">
        <v>2339</v>
      </c>
      <c r="D1289" t="s">
        <v>117</v>
      </c>
      <c r="E1289" s="4">
        <v>1</v>
      </c>
      <c r="F1289" t="s">
        <v>127</v>
      </c>
      <c r="G1289" t="s">
        <v>127</v>
      </c>
      <c r="H1289" s="3">
        <v>46142</v>
      </c>
      <c r="I1289" s="3">
        <v>46146</v>
      </c>
      <c r="J1289" t="s">
        <v>527</v>
      </c>
      <c r="K1289" s="3">
        <v>46146</v>
      </c>
      <c r="L1289" s="3">
        <v>46142</v>
      </c>
      <c r="M1289" s="3">
        <v>46146</v>
      </c>
      <c r="N1289" s="3">
        <v>46146</v>
      </c>
      <c r="O1289" t="s">
        <v>527</v>
      </c>
      <c r="P1289" t="s">
        <v>55</v>
      </c>
      <c r="Q1289" t="s">
        <v>2340</v>
      </c>
      <c r="S1289" t="s">
        <v>2306</v>
      </c>
      <c r="T1289" t="s">
        <v>2246</v>
      </c>
      <c r="U1289" t="s">
        <v>2341</v>
      </c>
      <c r="V1289" t="s">
        <v>127</v>
      </c>
      <c r="W1289">
        <v>13.4</v>
      </c>
      <c r="X1289" t="s">
        <v>57</v>
      </c>
      <c r="Z1289" t="s">
        <v>2306</v>
      </c>
      <c r="AA1289" t="s">
        <v>71</v>
      </c>
      <c r="AE1289">
        <v>1</v>
      </c>
      <c r="AF1289">
        <v>1</v>
      </c>
      <c r="AG1289">
        <v>1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1</v>
      </c>
    </row>
    <row r="1290" spans="1:42" x14ac:dyDescent="0.25">
      <c r="A1290">
        <v>1499</v>
      </c>
      <c r="B1290" t="s">
        <v>2342</v>
      </c>
      <c r="C1290" t="s">
        <v>2339</v>
      </c>
      <c r="D1290" t="s">
        <v>121</v>
      </c>
      <c r="E1290" s="4">
        <v>1</v>
      </c>
      <c r="F1290" t="s">
        <v>122</v>
      </c>
      <c r="G1290" t="s">
        <v>122</v>
      </c>
      <c r="H1290" s="3">
        <v>46147</v>
      </c>
      <c r="I1290" s="3">
        <v>46149</v>
      </c>
      <c r="J1290" t="s">
        <v>183</v>
      </c>
      <c r="K1290" s="3">
        <v>46149</v>
      </c>
      <c r="L1290" s="3">
        <v>46147</v>
      </c>
      <c r="M1290" s="3">
        <v>46149</v>
      </c>
      <c r="N1290" s="3">
        <v>46149</v>
      </c>
      <c r="O1290" t="s">
        <v>183</v>
      </c>
      <c r="P1290" t="s">
        <v>55</v>
      </c>
      <c r="Q1290">
        <v>1498</v>
      </c>
      <c r="S1290" t="s">
        <v>124</v>
      </c>
      <c r="T1290" t="s">
        <v>2246</v>
      </c>
      <c r="U1290">
        <v>1500</v>
      </c>
      <c r="V1290" t="s">
        <v>122</v>
      </c>
      <c r="W1290">
        <v>13.4</v>
      </c>
      <c r="X1290" t="s">
        <v>57</v>
      </c>
      <c r="Z1290" t="s">
        <v>124</v>
      </c>
      <c r="AA1290" t="s">
        <v>401</v>
      </c>
      <c r="AE1290">
        <v>1</v>
      </c>
      <c r="AF1290">
        <v>0</v>
      </c>
      <c r="AG1290">
        <v>0</v>
      </c>
      <c r="AH1290">
        <v>0</v>
      </c>
      <c r="AI1290">
        <v>0</v>
      </c>
      <c r="AJ1290">
        <v>1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</row>
    <row r="1291" spans="1:42" x14ac:dyDescent="0.25">
      <c r="A1291">
        <v>1500</v>
      </c>
      <c r="B1291" t="s">
        <v>2343</v>
      </c>
      <c r="C1291" t="s">
        <v>2339</v>
      </c>
      <c r="D1291" t="s">
        <v>126</v>
      </c>
      <c r="E1291" s="4">
        <v>1</v>
      </c>
      <c r="F1291" t="s">
        <v>122</v>
      </c>
      <c r="G1291" t="s">
        <v>122</v>
      </c>
      <c r="H1291" s="3">
        <v>46150</v>
      </c>
      <c r="I1291" s="3">
        <v>46154</v>
      </c>
      <c r="J1291" t="s">
        <v>403</v>
      </c>
      <c r="K1291" s="3">
        <v>46150</v>
      </c>
      <c r="L1291" s="3">
        <v>46150</v>
      </c>
      <c r="M1291" s="3">
        <v>46154</v>
      </c>
      <c r="N1291" s="3">
        <v>46154</v>
      </c>
      <c r="O1291" t="s">
        <v>403</v>
      </c>
      <c r="P1291" t="s">
        <v>55</v>
      </c>
      <c r="Q1291">
        <v>1499</v>
      </c>
      <c r="S1291" t="s">
        <v>2306</v>
      </c>
      <c r="T1291" t="s">
        <v>2246</v>
      </c>
      <c r="U1291">
        <v>1501</v>
      </c>
      <c r="V1291" t="s">
        <v>61</v>
      </c>
      <c r="W1291">
        <v>13.4</v>
      </c>
      <c r="X1291" t="s">
        <v>57</v>
      </c>
      <c r="Z1291" t="s">
        <v>2306</v>
      </c>
      <c r="AA1291" t="s">
        <v>401</v>
      </c>
      <c r="AE1291">
        <v>1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1</v>
      </c>
      <c r="AM1291">
        <v>0</v>
      </c>
      <c r="AN1291">
        <v>0</v>
      </c>
      <c r="AO1291">
        <v>0</v>
      </c>
      <c r="AP1291">
        <v>0</v>
      </c>
    </row>
    <row r="1292" spans="1:42" x14ac:dyDescent="0.25">
      <c r="A1292">
        <v>1501</v>
      </c>
      <c r="B1292" t="s">
        <v>2344</v>
      </c>
      <c r="C1292" t="s">
        <v>2339</v>
      </c>
      <c r="D1292" t="s">
        <v>133</v>
      </c>
      <c r="E1292" s="4">
        <v>1</v>
      </c>
      <c r="F1292" t="s">
        <v>210</v>
      </c>
      <c r="G1292" t="s">
        <v>210</v>
      </c>
      <c r="H1292" s="3">
        <v>46155</v>
      </c>
      <c r="I1292" s="3">
        <v>46164</v>
      </c>
      <c r="J1292" t="s">
        <v>418</v>
      </c>
      <c r="K1292" s="3">
        <v>46153</v>
      </c>
      <c r="L1292" s="3">
        <v>46153</v>
      </c>
      <c r="M1292" s="3">
        <v>46164</v>
      </c>
      <c r="N1292" s="3">
        <v>46164</v>
      </c>
      <c r="O1292" t="s">
        <v>68</v>
      </c>
      <c r="P1292" t="s">
        <v>55</v>
      </c>
      <c r="Q1292">
        <v>1500</v>
      </c>
      <c r="S1292" t="s">
        <v>124</v>
      </c>
      <c r="T1292" t="s">
        <v>2246</v>
      </c>
      <c r="V1292" t="s">
        <v>61</v>
      </c>
      <c r="W1292">
        <v>13.4</v>
      </c>
      <c r="X1292" t="s">
        <v>57</v>
      </c>
      <c r="Z1292" t="s">
        <v>124</v>
      </c>
      <c r="AA1292" t="s">
        <v>93</v>
      </c>
      <c r="AE1292">
        <v>1</v>
      </c>
      <c r="AF1292">
        <v>0</v>
      </c>
      <c r="AG1292">
        <v>0</v>
      </c>
      <c r="AH1292">
        <v>0</v>
      </c>
      <c r="AI1292">
        <v>1</v>
      </c>
      <c r="AJ1292">
        <v>0</v>
      </c>
      <c r="AK1292">
        <v>0</v>
      </c>
      <c r="AL1292">
        <v>0</v>
      </c>
      <c r="AM1292">
        <v>0</v>
      </c>
      <c r="AN1292">
        <v>1</v>
      </c>
      <c r="AO1292">
        <v>0</v>
      </c>
      <c r="AP1292">
        <v>0</v>
      </c>
    </row>
    <row r="1293" spans="1:42" x14ac:dyDescent="0.25">
      <c r="A1293">
        <v>1502</v>
      </c>
      <c r="B1293" t="s">
        <v>2345</v>
      </c>
      <c r="C1293" t="s">
        <v>2246</v>
      </c>
      <c r="D1293" t="s">
        <v>2346</v>
      </c>
      <c r="E1293" s="4">
        <v>1</v>
      </c>
      <c r="F1293" t="s">
        <v>365</v>
      </c>
      <c r="G1293" t="s">
        <v>365</v>
      </c>
      <c r="H1293" s="3">
        <v>46147</v>
      </c>
      <c r="I1293" s="3">
        <v>46164</v>
      </c>
      <c r="J1293" t="s">
        <v>183</v>
      </c>
      <c r="K1293" s="3">
        <v>46155</v>
      </c>
      <c r="L1293" s="3">
        <v>46147</v>
      </c>
      <c r="M1293" s="3">
        <v>46164</v>
      </c>
      <c r="N1293" s="3">
        <v>46164</v>
      </c>
      <c r="O1293" t="s">
        <v>183</v>
      </c>
      <c r="P1293" t="s">
        <v>55</v>
      </c>
      <c r="T1293" t="s">
        <v>2246</v>
      </c>
      <c r="U1293">
        <v>1448</v>
      </c>
      <c r="V1293" t="s">
        <v>175</v>
      </c>
      <c r="W1293">
        <v>14.88</v>
      </c>
      <c r="X1293" t="s">
        <v>57</v>
      </c>
      <c r="AA1293" t="s">
        <v>50</v>
      </c>
      <c r="AE1293">
        <v>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</row>
    <row r="1294" spans="1:42" x14ac:dyDescent="0.25">
      <c r="A1294">
        <v>1503</v>
      </c>
      <c r="B1294" t="s">
        <v>2347</v>
      </c>
      <c r="C1294" t="s">
        <v>2348</v>
      </c>
      <c r="D1294" t="s">
        <v>117</v>
      </c>
      <c r="E1294" s="4">
        <v>1</v>
      </c>
      <c r="F1294" t="s">
        <v>127</v>
      </c>
      <c r="G1294" t="s">
        <v>127</v>
      </c>
      <c r="H1294" s="3">
        <v>46147</v>
      </c>
      <c r="I1294" s="3">
        <v>46148</v>
      </c>
      <c r="J1294" t="s">
        <v>183</v>
      </c>
      <c r="K1294" s="3">
        <v>46148</v>
      </c>
      <c r="L1294" s="3">
        <v>46147</v>
      </c>
      <c r="M1294" s="3">
        <v>46148</v>
      </c>
      <c r="N1294" s="3">
        <v>46148</v>
      </c>
      <c r="O1294" t="s">
        <v>183</v>
      </c>
      <c r="P1294" t="s">
        <v>55</v>
      </c>
      <c r="Q1294" t="s">
        <v>2349</v>
      </c>
      <c r="S1294" t="s">
        <v>2306</v>
      </c>
      <c r="T1294" t="s">
        <v>2246</v>
      </c>
      <c r="U1294" t="s">
        <v>2350</v>
      </c>
      <c r="V1294" t="s">
        <v>127</v>
      </c>
      <c r="W1294">
        <v>13.4</v>
      </c>
      <c r="X1294" t="s">
        <v>57</v>
      </c>
      <c r="Z1294" t="s">
        <v>2306</v>
      </c>
      <c r="AA1294" t="s">
        <v>401</v>
      </c>
      <c r="AE1294">
        <v>1</v>
      </c>
      <c r="AF1294">
        <v>1</v>
      </c>
      <c r="AG1294">
        <v>1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1</v>
      </c>
    </row>
    <row r="1295" spans="1:42" x14ac:dyDescent="0.25">
      <c r="A1295">
        <v>1504</v>
      </c>
      <c r="B1295" t="s">
        <v>2351</v>
      </c>
      <c r="C1295" t="s">
        <v>2348</v>
      </c>
      <c r="D1295" t="s">
        <v>121</v>
      </c>
      <c r="E1295" s="4">
        <v>1</v>
      </c>
      <c r="F1295" t="s">
        <v>122</v>
      </c>
      <c r="G1295" t="s">
        <v>122</v>
      </c>
      <c r="H1295" s="3">
        <v>46149</v>
      </c>
      <c r="I1295" s="3">
        <v>46153</v>
      </c>
      <c r="J1295" t="s">
        <v>416</v>
      </c>
      <c r="K1295" s="3">
        <v>46153</v>
      </c>
      <c r="L1295" s="3">
        <v>46149</v>
      </c>
      <c r="M1295" s="3">
        <v>46153</v>
      </c>
      <c r="N1295" s="3">
        <v>46153</v>
      </c>
      <c r="O1295" t="s">
        <v>416</v>
      </c>
      <c r="P1295" t="s">
        <v>55</v>
      </c>
      <c r="Q1295">
        <v>1503</v>
      </c>
      <c r="S1295" t="s">
        <v>124</v>
      </c>
      <c r="T1295" t="s">
        <v>2246</v>
      </c>
      <c r="U1295">
        <v>1505</v>
      </c>
      <c r="V1295" t="s">
        <v>122</v>
      </c>
      <c r="W1295">
        <v>13.4</v>
      </c>
      <c r="X1295" t="s">
        <v>57</v>
      </c>
      <c r="Z1295" t="s">
        <v>124</v>
      </c>
      <c r="AA1295" t="s">
        <v>401</v>
      </c>
      <c r="AE1295">
        <v>1</v>
      </c>
      <c r="AF1295">
        <v>0</v>
      </c>
      <c r="AG1295">
        <v>0</v>
      </c>
      <c r="AH1295">
        <v>0</v>
      </c>
      <c r="AI1295">
        <v>0</v>
      </c>
      <c r="AJ1295">
        <v>1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</row>
    <row r="1296" spans="1:42" x14ac:dyDescent="0.25">
      <c r="A1296">
        <v>1505</v>
      </c>
      <c r="B1296" t="s">
        <v>2352</v>
      </c>
      <c r="C1296" t="s">
        <v>2348</v>
      </c>
      <c r="D1296" t="s">
        <v>126</v>
      </c>
      <c r="E1296" s="4">
        <v>1</v>
      </c>
      <c r="F1296" t="s">
        <v>2353</v>
      </c>
      <c r="G1296" t="s">
        <v>2353</v>
      </c>
      <c r="H1296" s="3">
        <v>46153</v>
      </c>
      <c r="I1296" s="3">
        <v>46164</v>
      </c>
      <c r="J1296" t="s">
        <v>741</v>
      </c>
      <c r="K1296" s="3">
        <v>46154</v>
      </c>
      <c r="L1296" s="3">
        <v>46154</v>
      </c>
      <c r="M1296" s="3">
        <v>46164</v>
      </c>
      <c r="N1296" s="3">
        <v>46164</v>
      </c>
      <c r="O1296" t="s">
        <v>418</v>
      </c>
      <c r="P1296" t="s">
        <v>55</v>
      </c>
      <c r="Q1296">
        <v>1504</v>
      </c>
      <c r="S1296" t="s">
        <v>2306</v>
      </c>
      <c r="T1296" t="s">
        <v>2246</v>
      </c>
      <c r="U1296">
        <v>1506</v>
      </c>
      <c r="V1296" t="s">
        <v>61</v>
      </c>
      <c r="W1296">
        <v>13.4</v>
      </c>
      <c r="X1296" t="s">
        <v>57</v>
      </c>
      <c r="Z1296" t="s">
        <v>2306</v>
      </c>
      <c r="AA1296" t="s">
        <v>93</v>
      </c>
      <c r="AE1296">
        <v>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1</v>
      </c>
      <c r="AM1296">
        <v>0</v>
      </c>
      <c r="AN1296">
        <v>0</v>
      </c>
      <c r="AO1296">
        <v>0</v>
      </c>
      <c r="AP1296">
        <v>0</v>
      </c>
    </row>
    <row r="1297" spans="1:42" x14ac:dyDescent="0.25">
      <c r="A1297">
        <v>1506</v>
      </c>
      <c r="B1297" t="s">
        <v>2354</v>
      </c>
      <c r="C1297" t="s">
        <v>2348</v>
      </c>
      <c r="D1297" t="s">
        <v>133</v>
      </c>
      <c r="E1297" s="4">
        <v>1</v>
      </c>
      <c r="F1297" t="s">
        <v>210</v>
      </c>
      <c r="G1297" t="s">
        <v>210</v>
      </c>
      <c r="H1297" s="3">
        <v>46155</v>
      </c>
      <c r="I1297" s="3">
        <v>46164</v>
      </c>
      <c r="J1297" t="s">
        <v>68</v>
      </c>
      <c r="K1297" s="3">
        <v>46155</v>
      </c>
      <c r="L1297" s="3">
        <v>46155</v>
      </c>
      <c r="M1297" s="3">
        <v>46164</v>
      </c>
      <c r="N1297" s="3">
        <v>46164</v>
      </c>
      <c r="O1297" t="s">
        <v>68</v>
      </c>
      <c r="P1297" t="s">
        <v>55</v>
      </c>
      <c r="Q1297">
        <v>1505</v>
      </c>
      <c r="S1297" t="s">
        <v>124</v>
      </c>
      <c r="T1297" t="s">
        <v>2246</v>
      </c>
      <c r="V1297" t="s">
        <v>61</v>
      </c>
      <c r="W1297">
        <v>13.4</v>
      </c>
      <c r="X1297" t="s">
        <v>57</v>
      </c>
      <c r="Z1297" t="s">
        <v>124</v>
      </c>
      <c r="AA1297" t="s">
        <v>93</v>
      </c>
      <c r="AE1297">
        <v>1</v>
      </c>
      <c r="AF1297">
        <v>0</v>
      </c>
      <c r="AG1297">
        <v>0</v>
      </c>
      <c r="AH1297">
        <v>0</v>
      </c>
      <c r="AI1297">
        <v>1</v>
      </c>
      <c r="AJ1297">
        <v>0</v>
      </c>
      <c r="AK1297">
        <v>0</v>
      </c>
      <c r="AL1297">
        <v>0</v>
      </c>
      <c r="AM1297">
        <v>0</v>
      </c>
      <c r="AN1297">
        <v>1</v>
      </c>
      <c r="AO1297">
        <v>0</v>
      </c>
      <c r="AP1297">
        <v>0</v>
      </c>
    </row>
    <row r="1298" spans="1:42" x14ac:dyDescent="0.25">
      <c r="A1298">
        <v>1507</v>
      </c>
      <c r="B1298" t="s">
        <v>2355</v>
      </c>
      <c r="C1298" t="s">
        <v>2246</v>
      </c>
      <c r="D1298" t="s">
        <v>2356</v>
      </c>
      <c r="E1298" s="4">
        <v>1</v>
      </c>
      <c r="F1298" t="s">
        <v>690</v>
      </c>
      <c r="G1298" t="s">
        <v>690</v>
      </c>
      <c r="H1298" s="3">
        <v>46149</v>
      </c>
      <c r="I1298" s="3">
        <v>46164</v>
      </c>
      <c r="J1298" t="s">
        <v>416</v>
      </c>
      <c r="K1298" s="3">
        <v>46157</v>
      </c>
      <c r="L1298" s="3">
        <v>46149</v>
      </c>
      <c r="M1298" s="3">
        <v>46164</v>
      </c>
      <c r="N1298" s="3">
        <v>46164</v>
      </c>
      <c r="O1298" t="s">
        <v>416</v>
      </c>
      <c r="P1298" t="s">
        <v>55</v>
      </c>
      <c r="T1298" t="s">
        <v>2246</v>
      </c>
      <c r="U1298">
        <v>1448</v>
      </c>
      <c r="V1298" t="s">
        <v>175</v>
      </c>
      <c r="W1298">
        <v>14.88</v>
      </c>
      <c r="X1298" t="s">
        <v>57</v>
      </c>
      <c r="AA1298" t="s">
        <v>50</v>
      </c>
      <c r="AE1298">
        <v>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</row>
    <row r="1299" spans="1:42" x14ac:dyDescent="0.25">
      <c r="A1299">
        <v>1508</v>
      </c>
      <c r="B1299" t="s">
        <v>2357</v>
      </c>
      <c r="C1299" t="s">
        <v>2358</v>
      </c>
      <c r="D1299" t="s">
        <v>117</v>
      </c>
      <c r="E1299" s="4">
        <v>1</v>
      </c>
      <c r="F1299" t="s">
        <v>127</v>
      </c>
      <c r="G1299" t="s">
        <v>127</v>
      </c>
      <c r="H1299" s="3">
        <v>46149</v>
      </c>
      <c r="I1299" s="3">
        <v>46150</v>
      </c>
      <c r="J1299" t="s">
        <v>416</v>
      </c>
      <c r="K1299" s="3">
        <v>46150</v>
      </c>
      <c r="L1299" s="3">
        <v>46149</v>
      </c>
      <c r="M1299" s="3">
        <v>46150</v>
      </c>
      <c r="N1299" s="3">
        <v>46150</v>
      </c>
      <c r="O1299" t="s">
        <v>416</v>
      </c>
      <c r="P1299" t="s">
        <v>55</v>
      </c>
      <c r="Q1299" t="s">
        <v>2359</v>
      </c>
      <c r="S1299" t="s">
        <v>2306</v>
      </c>
      <c r="T1299" t="s">
        <v>2246</v>
      </c>
      <c r="U1299" t="s">
        <v>2360</v>
      </c>
      <c r="V1299" t="s">
        <v>127</v>
      </c>
      <c r="W1299">
        <v>13.4</v>
      </c>
      <c r="X1299" t="s">
        <v>57</v>
      </c>
      <c r="Z1299" t="s">
        <v>2306</v>
      </c>
      <c r="AA1299" t="s">
        <v>401</v>
      </c>
      <c r="AE1299">
        <v>1</v>
      </c>
      <c r="AF1299">
        <v>1</v>
      </c>
      <c r="AG1299">
        <v>1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1</v>
      </c>
    </row>
    <row r="1300" spans="1:42" x14ac:dyDescent="0.25">
      <c r="A1300">
        <v>1509</v>
      </c>
      <c r="B1300" t="s">
        <v>2361</v>
      </c>
      <c r="C1300" t="s">
        <v>2358</v>
      </c>
      <c r="D1300" t="s">
        <v>121</v>
      </c>
      <c r="E1300" s="4">
        <v>1</v>
      </c>
      <c r="F1300" t="s">
        <v>61</v>
      </c>
      <c r="G1300" t="s">
        <v>61</v>
      </c>
      <c r="H1300" s="3">
        <v>46153</v>
      </c>
      <c r="I1300" s="3">
        <v>46153</v>
      </c>
      <c r="J1300" t="s">
        <v>418</v>
      </c>
      <c r="K1300" s="3">
        <v>46155</v>
      </c>
      <c r="L1300" s="3">
        <v>46153</v>
      </c>
      <c r="M1300" s="3">
        <v>46153</v>
      </c>
      <c r="N1300" s="3">
        <v>46153</v>
      </c>
      <c r="O1300" t="s">
        <v>418</v>
      </c>
      <c r="P1300" t="s">
        <v>55</v>
      </c>
      <c r="Q1300">
        <v>1508</v>
      </c>
      <c r="S1300" t="s">
        <v>124</v>
      </c>
      <c r="T1300" t="s">
        <v>2246</v>
      </c>
      <c r="U1300">
        <v>1510</v>
      </c>
      <c r="V1300" t="s">
        <v>122</v>
      </c>
      <c r="W1300">
        <v>13.4</v>
      </c>
      <c r="X1300" t="s">
        <v>57</v>
      </c>
      <c r="Z1300" t="s">
        <v>124</v>
      </c>
      <c r="AA1300" t="s">
        <v>93</v>
      </c>
      <c r="AE1300">
        <v>1</v>
      </c>
      <c r="AF1300">
        <v>0</v>
      </c>
      <c r="AG1300">
        <v>0</v>
      </c>
      <c r="AH1300">
        <v>0</v>
      </c>
      <c r="AI1300">
        <v>0</v>
      </c>
      <c r="AJ1300">
        <v>1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</row>
    <row r="1301" spans="1:42" x14ac:dyDescent="0.25">
      <c r="A1301">
        <v>1510</v>
      </c>
      <c r="B1301" t="s">
        <v>2362</v>
      </c>
      <c r="C1301" t="s">
        <v>2358</v>
      </c>
      <c r="D1301" t="s">
        <v>126</v>
      </c>
      <c r="E1301" s="4">
        <v>1</v>
      </c>
      <c r="F1301" t="s">
        <v>151</v>
      </c>
      <c r="G1301" t="s">
        <v>151</v>
      </c>
      <c r="H1301" s="3">
        <v>46153</v>
      </c>
      <c r="I1301" s="3">
        <v>46164</v>
      </c>
      <c r="J1301" t="s">
        <v>406</v>
      </c>
      <c r="K1301" s="3">
        <v>46156</v>
      </c>
      <c r="L1301" s="3">
        <v>46156</v>
      </c>
      <c r="M1301" s="3">
        <v>46164</v>
      </c>
      <c r="N1301" s="3">
        <v>46164</v>
      </c>
      <c r="O1301" t="s">
        <v>418</v>
      </c>
      <c r="P1301" t="s">
        <v>55</v>
      </c>
      <c r="Q1301">
        <v>1509</v>
      </c>
      <c r="S1301" t="s">
        <v>2306</v>
      </c>
      <c r="T1301" t="s">
        <v>2246</v>
      </c>
      <c r="U1301">
        <v>1511</v>
      </c>
      <c r="V1301" t="s">
        <v>61</v>
      </c>
      <c r="W1301">
        <v>13.4</v>
      </c>
      <c r="X1301" t="s">
        <v>57</v>
      </c>
      <c r="Z1301" t="s">
        <v>2306</v>
      </c>
      <c r="AA1301" t="s">
        <v>93</v>
      </c>
      <c r="AE1301">
        <v>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1</v>
      </c>
      <c r="AM1301">
        <v>0</v>
      </c>
      <c r="AN1301">
        <v>0</v>
      </c>
      <c r="AO1301">
        <v>0</v>
      </c>
      <c r="AP1301">
        <v>0</v>
      </c>
    </row>
    <row r="1302" spans="1:42" x14ac:dyDescent="0.25">
      <c r="A1302">
        <v>1511</v>
      </c>
      <c r="B1302" t="s">
        <v>2363</v>
      </c>
      <c r="C1302" t="s">
        <v>2358</v>
      </c>
      <c r="D1302" t="s">
        <v>133</v>
      </c>
      <c r="E1302" s="4">
        <v>1</v>
      </c>
      <c r="F1302" t="s">
        <v>210</v>
      </c>
      <c r="G1302" t="s">
        <v>210</v>
      </c>
      <c r="H1302" s="3">
        <v>46155</v>
      </c>
      <c r="I1302" s="3">
        <v>46164</v>
      </c>
      <c r="J1302" t="s">
        <v>444</v>
      </c>
      <c r="K1302" s="3">
        <v>46157</v>
      </c>
      <c r="L1302" s="3">
        <v>46157</v>
      </c>
      <c r="M1302" s="3">
        <v>46164</v>
      </c>
      <c r="N1302" s="3">
        <v>46164</v>
      </c>
      <c r="O1302" t="s">
        <v>68</v>
      </c>
      <c r="P1302" t="s">
        <v>55</v>
      </c>
      <c r="Q1302">
        <v>1510</v>
      </c>
      <c r="S1302" t="s">
        <v>124</v>
      </c>
      <c r="T1302" t="s">
        <v>2246</v>
      </c>
      <c r="V1302" t="s">
        <v>61</v>
      </c>
      <c r="W1302">
        <v>13.4</v>
      </c>
      <c r="X1302" t="s">
        <v>57</v>
      </c>
      <c r="Z1302" t="s">
        <v>124</v>
      </c>
      <c r="AA1302" t="s">
        <v>93</v>
      </c>
      <c r="AE1302">
        <v>1</v>
      </c>
      <c r="AF1302">
        <v>0</v>
      </c>
      <c r="AG1302">
        <v>0</v>
      </c>
      <c r="AH1302">
        <v>0</v>
      </c>
      <c r="AI1302">
        <v>1</v>
      </c>
      <c r="AJ1302">
        <v>0</v>
      </c>
      <c r="AK1302">
        <v>0</v>
      </c>
      <c r="AL1302">
        <v>0</v>
      </c>
      <c r="AM1302">
        <v>0</v>
      </c>
      <c r="AN1302">
        <v>1</v>
      </c>
      <c r="AO1302">
        <v>0</v>
      </c>
      <c r="AP1302">
        <v>0</v>
      </c>
    </row>
    <row r="1303" spans="1:42" x14ac:dyDescent="0.25">
      <c r="A1303">
        <v>1512</v>
      </c>
      <c r="B1303" t="s">
        <v>2364</v>
      </c>
      <c r="C1303" t="s">
        <v>2246</v>
      </c>
      <c r="D1303" t="s">
        <v>2365</v>
      </c>
      <c r="E1303" s="4">
        <v>1</v>
      </c>
      <c r="F1303" t="s">
        <v>330</v>
      </c>
      <c r="G1303" t="s">
        <v>330</v>
      </c>
      <c r="H1303" s="3">
        <v>46146</v>
      </c>
      <c r="I1303" s="3">
        <v>46164</v>
      </c>
      <c r="J1303" t="s">
        <v>418</v>
      </c>
      <c r="K1303" s="3">
        <v>46161</v>
      </c>
      <c r="L1303" s="3">
        <v>46153</v>
      </c>
      <c r="M1303" s="3">
        <v>46164</v>
      </c>
      <c r="N1303" s="3">
        <v>46164</v>
      </c>
      <c r="O1303" t="s">
        <v>409</v>
      </c>
      <c r="P1303" t="s">
        <v>55</v>
      </c>
      <c r="T1303" t="s">
        <v>2246</v>
      </c>
      <c r="U1303">
        <v>1448</v>
      </c>
      <c r="V1303" t="s">
        <v>175</v>
      </c>
      <c r="W1303">
        <v>14.88</v>
      </c>
      <c r="X1303" t="s">
        <v>57</v>
      </c>
      <c r="AA1303" t="s">
        <v>50</v>
      </c>
      <c r="AE1303">
        <v>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</row>
    <row r="1304" spans="1:42" x14ac:dyDescent="0.25">
      <c r="A1304">
        <v>1513</v>
      </c>
      <c r="B1304" t="s">
        <v>2366</v>
      </c>
      <c r="C1304" t="s">
        <v>2367</v>
      </c>
      <c r="D1304" t="s">
        <v>117</v>
      </c>
      <c r="E1304" s="4">
        <v>1</v>
      </c>
      <c r="F1304" t="s">
        <v>101</v>
      </c>
      <c r="G1304" t="s">
        <v>101</v>
      </c>
      <c r="H1304" s="3">
        <v>46146</v>
      </c>
      <c r="I1304" s="3">
        <v>46149</v>
      </c>
      <c r="J1304" t="s">
        <v>418</v>
      </c>
      <c r="K1304" s="3">
        <v>46154</v>
      </c>
      <c r="L1304" s="3">
        <v>46153</v>
      </c>
      <c r="M1304" s="3">
        <v>46149</v>
      </c>
      <c r="N1304" s="3">
        <v>46149</v>
      </c>
      <c r="O1304" t="s">
        <v>409</v>
      </c>
      <c r="P1304" t="s">
        <v>55</v>
      </c>
      <c r="Q1304" t="s">
        <v>2368</v>
      </c>
      <c r="S1304" t="s">
        <v>2306</v>
      </c>
      <c r="T1304" t="s">
        <v>2246</v>
      </c>
      <c r="U1304" t="s">
        <v>2369</v>
      </c>
      <c r="V1304" t="s">
        <v>127</v>
      </c>
      <c r="W1304">
        <v>13.4</v>
      </c>
      <c r="X1304" t="s">
        <v>57</v>
      </c>
      <c r="Z1304" t="s">
        <v>2306</v>
      </c>
      <c r="AA1304" t="s">
        <v>93</v>
      </c>
      <c r="AE1304">
        <v>1</v>
      </c>
      <c r="AF1304">
        <v>1</v>
      </c>
      <c r="AG1304">
        <v>1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1</v>
      </c>
    </row>
    <row r="1305" spans="1:42" x14ac:dyDescent="0.25">
      <c r="A1305">
        <v>1514</v>
      </c>
      <c r="B1305" t="s">
        <v>2370</v>
      </c>
      <c r="C1305" t="s">
        <v>2367</v>
      </c>
      <c r="D1305" t="s">
        <v>121</v>
      </c>
      <c r="E1305" s="4">
        <v>1</v>
      </c>
      <c r="F1305" t="s">
        <v>61</v>
      </c>
      <c r="G1305" t="s">
        <v>61</v>
      </c>
      <c r="H1305" s="3">
        <v>46149</v>
      </c>
      <c r="I1305" s="3">
        <v>46149</v>
      </c>
      <c r="J1305" t="s">
        <v>68</v>
      </c>
      <c r="K1305" s="3">
        <v>46157</v>
      </c>
      <c r="L1305" s="3">
        <v>46155</v>
      </c>
      <c r="M1305" s="3">
        <v>46149</v>
      </c>
      <c r="N1305" s="3">
        <v>46149</v>
      </c>
      <c r="O1305" t="s">
        <v>416</v>
      </c>
      <c r="P1305" t="s">
        <v>55</v>
      </c>
      <c r="Q1305">
        <v>1513</v>
      </c>
      <c r="S1305" t="s">
        <v>124</v>
      </c>
      <c r="T1305" t="s">
        <v>2246</v>
      </c>
      <c r="U1305">
        <v>1515</v>
      </c>
      <c r="V1305" t="s">
        <v>122</v>
      </c>
      <c r="W1305">
        <v>13.4</v>
      </c>
      <c r="X1305" t="s">
        <v>57</v>
      </c>
      <c r="Z1305" t="s">
        <v>124</v>
      </c>
      <c r="AA1305" t="s">
        <v>93</v>
      </c>
      <c r="AE1305">
        <v>1</v>
      </c>
      <c r="AF1305">
        <v>0</v>
      </c>
      <c r="AG1305">
        <v>0</v>
      </c>
      <c r="AH1305">
        <v>0</v>
      </c>
      <c r="AI1305">
        <v>0</v>
      </c>
      <c r="AJ1305">
        <v>1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</row>
    <row r="1306" spans="1:42" x14ac:dyDescent="0.25">
      <c r="A1306">
        <v>1515</v>
      </c>
      <c r="B1306" t="s">
        <v>2371</v>
      </c>
      <c r="C1306" t="s">
        <v>2367</v>
      </c>
      <c r="D1306" t="s">
        <v>126</v>
      </c>
      <c r="E1306" s="4">
        <v>1</v>
      </c>
      <c r="F1306" t="s">
        <v>122</v>
      </c>
      <c r="G1306" t="s">
        <v>122</v>
      </c>
      <c r="H1306" s="3">
        <v>46150</v>
      </c>
      <c r="I1306" s="3">
        <v>46154</v>
      </c>
      <c r="J1306" t="s">
        <v>185</v>
      </c>
      <c r="K1306" s="3">
        <v>46160</v>
      </c>
      <c r="L1306" s="3">
        <v>46160</v>
      </c>
      <c r="M1306" s="3">
        <v>46154</v>
      </c>
      <c r="N1306" s="3">
        <v>46154</v>
      </c>
      <c r="O1306" t="s">
        <v>403</v>
      </c>
      <c r="P1306" t="s">
        <v>55</v>
      </c>
      <c r="Q1306">
        <v>1514</v>
      </c>
      <c r="S1306" t="s">
        <v>2306</v>
      </c>
      <c r="T1306" t="s">
        <v>2246</v>
      </c>
      <c r="U1306">
        <v>1516</v>
      </c>
      <c r="V1306" t="s">
        <v>61</v>
      </c>
      <c r="W1306">
        <v>13.4</v>
      </c>
      <c r="X1306" t="s">
        <v>57</v>
      </c>
      <c r="Z1306" t="s">
        <v>2306</v>
      </c>
      <c r="AA1306" t="s">
        <v>198</v>
      </c>
      <c r="AE1306">
        <v>1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1</v>
      </c>
      <c r="AM1306">
        <v>0</v>
      </c>
      <c r="AN1306">
        <v>0</v>
      </c>
      <c r="AO1306">
        <v>0</v>
      </c>
      <c r="AP1306">
        <v>0</v>
      </c>
    </row>
    <row r="1307" spans="1:42" x14ac:dyDescent="0.25">
      <c r="A1307">
        <v>1516</v>
      </c>
      <c r="B1307" t="s">
        <v>2372</v>
      </c>
      <c r="C1307" t="s">
        <v>2367</v>
      </c>
      <c r="D1307" t="s">
        <v>133</v>
      </c>
      <c r="E1307" s="4">
        <v>1</v>
      </c>
      <c r="F1307" t="s">
        <v>210</v>
      </c>
      <c r="G1307" t="s">
        <v>210</v>
      </c>
      <c r="H1307" s="3">
        <v>46155</v>
      </c>
      <c r="I1307" s="3">
        <v>46164</v>
      </c>
      <c r="J1307" t="s">
        <v>90</v>
      </c>
      <c r="K1307" s="3">
        <v>46161</v>
      </c>
      <c r="L1307" s="3">
        <v>46161</v>
      </c>
      <c r="M1307" s="3">
        <v>46164</v>
      </c>
      <c r="N1307" s="3">
        <v>46164</v>
      </c>
      <c r="O1307" t="s">
        <v>68</v>
      </c>
      <c r="P1307" t="s">
        <v>55</v>
      </c>
      <c r="Q1307">
        <v>1515</v>
      </c>
      <c r="S1307" t="s">
        <v>124</v>
      </c>
      <c r="T1307" t="s">
        <v>2246</v>
      </c>
      <c r="V1307" t="s">
        <v>61</v>
      </c>
      <c r="W1307">
        <v>13.4</v>
      </c>
      <c r="X1307" t="s">
        <v>57</v>
      </c>
      <c r="Z1307" t="s">
        <v>124</v>
      </c>
      <c r="AA1307" t="s">
        <v>198</v>
      </c>
      <c r="AE1307">
        <v>1</v>
      </c>
      <c r="AF1307">
        <v>0</v>
      </c>
      <c r="AG1307">
        <v>0</v>
      </c>
      <c r="AH1307">
        <v>0</v>
      </c>
      <c r="AI1307">
        <v>1</v>
      </c>
      <c r="AJ1307">
        <v>0</v>
      </c>
      <c r="AK1307">
        <v>0</v>
      </c>
      <c r="AL1307">
        <v>0</v>
      </c>
      <c r="AM1307">
        <v>0</v>
      </c>
      <c r="AN1307">
        <v>1</v>
      </c>
      <c r="AO1307">
        <v>0</v>
      </c>
      <c r="AP1307">
        <v>0</v>
      </c>
    </row>
    <row r="1308" spans="1:42" x14ac:dyDescent="0.25">
      <c r="A1308">
        <v>1522</v>
      </c>
      <c r="B1308" t="s">
        <v>2373</v>
      </c>
      <c r="C1308" t="s">
        <v>2246</v>
      </c>
      <c r="D1308" t="s">
        <v>2374</v>
      </c>
      <c r="E1308" s="4">
        <v>1</v>
      </c>
      <c r="F1308" t="s">
        <v>214</v>
      </c>
      <c r="G1308" t="s">
        <v>214</v>
      </c>
      <c r="H1308" s="3">
        <v>46174</v>
      </c>
      <c r="I1308" s="3">
        <v>46183</v>
      </c>
      <c r="J1308" t="s">
        <v>444</v>
      </c>
      <c r="K1308" s="3">
        <v>46167</v>
      </c>
      <c r="L1308" s="3">
        <v>46157</v>
      </c>
      <c r="M1308" s="3">
        <v>46183</v>
      </c>
      <c r="N1308" s="3">
        <v>46183</v>
      </c>
      <c r="O1308" t="s">
        <v>193</v>
      </c>
      <c r="P1308" t="s">
        <v>55</v>
      </c>
      <c r="T1308" t="s">
        <v>2246</v>
      </c>
      <c r="U1308" t="s">
        <v>2375</v>
      </c>
      <c r="V1308" t="s">
        <v>175</v>
      </c>
      <c r="W1308">
        <v>14.88</v>
      </c>
      <c r="X1308" t="s">
        <v>57</v>
      </c>
      <c r="AA1308" t="s">
        <v>50</v>
      </c>
      <c r="AE1308">
        <v>1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</row>
    <row r="1309" spans="1:42" x14ac:dyDescent="0.25">
      <c r="A1309">
        <v>1523</v>
      </c>
      <c r="B1309" t="s">
        <v>2376</v>
      </c>
      <c r="C1309" t="s">
        <v>2377</v>
      </c>
      <c r="D1309" t="s">
        <v>117</v>
      </c>
      <c r="E1309" s="4">
        <v>1</v>
      </c>
      <c r="F1309" t="s">
        <v>127</v>
      </c>
      <c r="G1309" t="s">
        <v>127</v>
      </c>
      <c r="H1309" s="3">
        <v>46174</v>
      </c>
      <c r="I1309" s="3">
        <v>46175</v>
      </c>
      <c r="J1309" t="s">
        <v>444</v>
      </c>
      <c r="K1309" s="3">
        <v>46160</v>
      </c>
      <c r="L1309" s="3">
        <v>46157</v>
      </c>
      <c r="M1309" s="3">
        <v>46175</v>
      </c>
      <c r="N1309" s="3">
        <v>46175</v>
      </c>
      <c r="O1309" t="s">
        <v>193</v>
      </c>
      <c r="P1309" t="s">
        <v>55</v>
      </c>
      <c r="Q1309" t="s">
        <v>2378</v>
      </c>
      <c r="S1309" t="s">
        <v>2306</v>
      </c>
      <c r="T1309" t="s">
        <v>2246</v>
      </c>
      <c r="U1309">
        <v>1524</v>
      </c>
      <c r="V1309" t="s">
        <v>127</v>
      </c>
      <c r="W1309">
        <v>13.4</v>
      </c>
      <c r="X1309" t="s">
        <v>57</v>
      </c>
      <c r="Z1309" t="s">
        <v>2306</v>
      </c>
      <c r="AA1309" t="s">
        <v>93</v>
      </c>
      <c r="AE1309">
        <v>1</v>
      </c>
      <c r="AF1309">
        <v>1</v>
      </c>
      <c r="AG1309">
        <v>1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1</v>
      </c>
    </row>
    <row r="1310" spans="1:42" x14ac:dyDescent="0.25">
      <c r="A1310">
        <v>1524</v>
      </c>
      <c r="B1310" t="s">
        <v>2379</v>
      </c>
      <c r="C1310" t="s">
        <v>2377</v>
      </c>
      <c r="D1310" t="s">
        <v>121</v>
      </c>
      <c r="E1310" s="4">
        <v>1</v>
      </c>
      <c r="F1310" t="s">
        <v>61</v>
      </c>
      <c r="G1310" t="s">
        <v>61</v>
      </c>
      <c r="H1310" s="3">
        <v>46175</v>
      </c>
      <c r="I1310" s="3">
        <v>46176</v>
      </c>
      <c r="J1310" t="s">
        <v>90</v>
      </c>
      <c r="K1310" s="3">
        <v>46163</v>
      </c>
      <c r="L1310" s="3">
        <v>46161</v>
      </c>
      <c r="M1310" s="3">
        <v>46176</v>
      </c>
      <c r="N1310" s="3">
        <v>46176</v>
      </c>
      <c r="O1310" t="s">
        <v>472</v>
      </c>
      <c r="P1310" t="s">
        <v>55</v>
      </c>
      <c r="Q1310">
        <v>1523</v>
      </c>
      <c r="S1310" t="s">
        <v>124</v>
      </c>
      <c r="T1310" t="s">
        <v>2246</v>
      </c>
      <c r="U1310">
        <v>1525</v>
      </c>
      <c r="V1310" t="s">
        <v>122</v>
      </c>
      <c r="W1310">
        <v>13.4</v>
      </c>
      <c r="X1310" t="s">
        <v>57</v>
      </c>
      <c r="Z1310" t="s">
        <v>124</v>
      </c>
      <c r="AA1310" t="s">
        <v>198</v>
      </c>
      <c r="AE1310">
        <v>1</v>
      </c>
      <c r="AF1310">
        <v>0</v>
      </c>
      <c r="AG1310">
        <v>0</v>
      </c>
      <c r="AH1310">
        <v>0</v>
      </c>
      <c r="AI1310">
        <v>0</v>
      </c>
      <c r="AJ1310">
        <v>1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</row>
    <row r="1311" spans="1:42" x14ac:dyDescent="0.25">
      <c r="A1311">
        <v>1525</v>
      </c>
      <c r="B1311" t="s">
        <v>2380</v>
      </c>
      <c r="C1311" t="s">
        <v>2377</v>
      </c>
      <c r="D1311" t="s">
        <v>126</v>
      </c>
      <c r="E1311" s="4">
        <v>1</v>
      </c>
      <c r="F1311" t="s">
        <v>127</v>
      </c>
      <c r="G1311" t="s">
        <v>127</v>
      </c>
      <c r="H1311" s="3">
        <v>46181</v>
      </c>
      <c r="I1311" s="3">
        <v>46182</v>
      </c>
      <c r="J1311" t="s">
        <v>471</v>
      </c>
      <c r="K1311" s="3">
        <v>46164</v>
      </c>
      <c r="L1311" s="3">
        <v>46164</v>
      </c>
      <c r="M1311" s="3">
        <v>46182</v>
      </c>
      <c r="N1311" s="3">
        <v>46182</v>
      </c>
      <c r="O1311" t="s">
        <v>201</v>
      </c>
      <c r="P1311" t="s">
        <v>55</v>
      </c>
      <c r="Q1311">
        <v>1524</v>
      </c>
      <c r="S1311" t="s">
        <v>2306</v>
      </c>
      <c r="T1311" t="s">
        <v>2246</v>
      </c>
      <c r="U1311">
        <v>1526</v>
      </c>
      <c r="V1311" t="s">
        <v>61</v>
      </c>
      <c r="W1311">
        <v>13.4</v>
      </c>
      <c r="X1311" t="s">
        <v>57</v>
      </c>
      <c r="Z1311" t="s">
        <v>2306</v>
      </c>
      <c r="AA1311" t="s">
        <v>198</v>
      </c>
      <c r="AE1311">
        <v>1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1</v>
      </c>
      <c r="AM1311">
        <v>0</v>
      </c>
      <c r="AN1311">
        <v>0</v>
      </c>
      <c r="AO1311">
        <v>0</v>
      </c>
      <c r="AP1311">
        <v>0</v>
      </c>
    </row>
    <row r="1312" spans="1:42" x14ac:dyDescent="0.25">
      <c r="A1312">
        <v>1526</v>
      </c>
      <c r="B1312" t="s">
        <v>2381</v>
      </c>
      <c r="C1312" t="s">
        <v>2377</v>
      </c>
      <c r="D1312" t="s">
        <v>133</v>
      </c>
      <c r="E1312" s="4">
        <v>1</v>
      </c>
      <c r="F1312" t="s">
        <v>61</v>
      </c>
      <c r="G1312" t="s">
        <v>61</v>
      </c>
      <c r="H1312" s="3">
        <v>46182</v>
      </c>
      <c r="I1312" s="3">
        <v>46183</v>
      </c>
      <c r="J1312" t="s">
        <v>74</v>
      </c>
      <c r="K1312" s="3">
        <v>46167</v>
      </c>
      <c r="L1312" s="3">
        <v>46167</v>
      </c>
      <c r="M1312" s="3">
        <v>46183</v>
      </c>
      <c r="N1312" s="3">
        <v>46183</v>
      </c>
      <c r="O1312" t="s">
        <v>204</v>
      </c>
      <c r="P1312" t="s">
        <v>55</v>
      </c>
      <c r="Q1312">
        <v>1525</v>
      </c>
      <c r="S1312" t="s">
        <v>124</v>
      </c>
      <c r="T1312" t="s">
        <v>2246</v>
      </c>
      <c r="U1312" t="s">
        <v>2382</v>
      </c>
      <c r="V1312" t="s">
        <v>61</v>
      </c>
      <c r="W1312">
        <v>13.4</v>
      </c>
      <c r="X1312" t="s">
        <v>57</v>
      </c>
      <c r="Z1312" t="s">
        <v>124</v>
      </c>
      <c r="AA1312" t="s">
        <v>77</v>
      </c>
      <c r="AE1312">
        <v>1</v>
      </c>
      <c r="AF1312">
        <v>0</v>
      </c>
      <c r="AG1312">
        <v>0</v>
      </c>
      <c r="AH1312">
        <v>0</v>
      </c>
      <c r="AI1312">
        <v>1</v>
      </c>
      <c r="AJ1312">
        <v>0</v>
      </c>
      <c r="AK1312">
        <v>0</v>
      </c>
      <c r="AL1312">
        <v>0</v>
      </c>
      <c r="AM1312">
        <v>0</v>
      </c>
      <c r="AN1312">
        <v>1</v>
      </c>
      <c r="AO1312">
        <v>0</v>
      </c>
      <c r="AP1312">
        <v>0</v>
      </c>
    </row>
    <row r="1313" spans="1:42" x14ac:dyDescent="0.25">
      <c r="A1313">
        <v>1527</v>
      </c>
      <c r="B1313" t="s">
        <v>2383</v>
      </c>
      <c r="C1313" t="s">
        <v>2246</v>
      </c>
      <c r="D1313" t="s">
        <v>2384</v>
      </c>
      <c r="E1313" s="4">
        <v>1</v>
      </c>
      <c r="F1313" t="s">
        <v>210</v>
      </c>
      <c r="G1313" t="s">
        <v>210</v>
      </c>
      <c r="H1313" s="3">
        <v>46176</v>
      </c>
      <c r="I1313" s="3">
        <v>46189</v>
      </c>
      <c r="J1313" t="s">
        <v>459</v>
      </c>
      <c r="K1313" s="3">
        <v>46189</v>
      </c>
      <c r="L1313" s="3">
        <v>46176</v>
      </c>
      <c r="M1313" s="3">
        <v>46189</v>
      </c>
      <c r="N1313" s="3">
        <v>46189</v>
      </c>
      <c r="O1313" t="s">
        <v>459</v>
      </c>
      <c r="P1313" t="s">
        <v>55</v>
      </c>
      <c r="T1313" t="s">
        <v>2246</v>
      </c>
      <c r="U1313" t="s">
        <v>2375</v>
      </c>
      <c r="V1313" t="s">
        <v>175</v>
      </c>
      <c r="W1313">
        <v>14.88</v>
      </c>
      <c r="X1313" t="s">
        <v>57</v>
      </c>
      <c r="AA1313" t="s">
        <v>50</v>
      </c>
      <c r="AB1313" t="s">
        <v>94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</row>
    <row r="1314" spans="1:42" x14ac:dyDescent="0.25">
      <c r="A1314">
        <v>1528</v>
      </c>
      <c r="B1314" t="s">
        <v>2385</v>
      </c>
      <c r="C1314" t="s">
        <v>2386</v>
      </c>
      <c r="D1314" t="s">
        <v>117</v>
      </c>
      <c r="E1314" s="4">
        <v>1</v>
      </c>
      <c r="F1314" t="s">
        <v>127</v>
      </c>
      <c r="G1314" t="s">
        <v>127</v>
      </c>
      <c r="H1314" s="3">
        <v>46176</v>
      </c>
      <c r="I1314" s="3">
        <v>46181</v>
      </c>
      <c r="J1314" t="s">
        <v>459</v>
      </c>
      <c r="K1314" s="3">
        <v>46181</v>
      </c>
      <c r="L1314" s="3">
        <v>46176</v>
      </c>
      <c r="M1314" s="3">
        <v>46181</v>
      </c>
      <c r="N1314" s="3">
        <v>46181</v>
      </c>
      <c r="O1314" t="s">
        <v>459</v>
      </c>
      <c r="P1314" t="s">
        <v>55</v>
      </c>
      <c r="Q1314" t="s">
        <v>2378</v>
      </c>
      <c r="S1314" t="s">
        <v>2306</v>
      </c>
      <c r="T1314" t="s">
        <v>2246</v>
      </c>
      <c r="U1314">
        <v>1529</v>
      </c>
      <c r="V1314" t="s">
        <v>127</v>
      </c>
      <c r="W1314">
        <v>13.4</v>
      </c>
      <c r="X1314" t="s">
        <v>57</v>
      </c>
      <c r="Z1314" t="s">
        <v>2306</v>
      </c>
      <c r="AA1314" t="s">
        <v>93</v>
      </c>
      <c r="AE1314">
        <v>1</v>
      </c>
      <c r="AF1314">
        <v>1</v>
      </c>
      <c r="AG1314">
        <v>1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1</v>
      </c>
    </row>
    <row r="1315" spans="1:42" x14ac:dyDescent="0.25">
      <c r="A1315">
        <v>1529</v>
      </c>
      <c r="B1315" t="s">
        <v>2387</v>
      </c>
      <c r="C1315" t="s">
        <v>2386</v>
      </c>
      <c r="D1315" t="s">
        <v>121</v>
      </c>
      <c r="E1315" s="4">
        <v>1</v>
      </c>
      <c r="F1315" t="s">
        <v>61</v>
      </c>
      <c r="G1315" t="s">
        <v>61</v>
      </c>
      <c r="H1315" s="3">
        <v>46181</v>
      </c>
      <c r="I1315" s="3">
        <v>46182</v>
      </c>
      <c r="J1315" t="s">
        <v>201</v>
      </c>
      <c r="K1315" s="3">
        <v>46182</v>
      </c>
      <c r="L1315" s="3">
        <v>46181</v>
      </c>
      <c r="M1315" s="3">
        <v>46182</v>
      </c>
      <c r="N1315" s="3">
        <v>46182</v>
      </c>
      <c r="O1315" t="s">
        <v>201</v>
      </c>
      <c r="P1315" t="s">
        <v>55</v>
      </c>
      <c r="Q1315">
        <v>1528</v>
      </c>
      <c r="S1315" t="s">
        <v>124</v>
      </c>
      <c r="T1315" t="s">
        <v>2246</v>
      </c>
      <c r="U1315">
        <v>1530</v>
      </c>
      <c r="V1315" t="s">
        <v>122</v>
      </c>
      <c r="W1315">
        <v>13.4</v>
      </c>
      <c r="X1315" t="s">
        <v>57</v>
      </c>
      <c r="Z1315" t="s">
        <v>124</v>
      </c>
      <c r="AA1315" t="s">
        <v>198</v>
      </c>
      <c r="AE1315">
        <v>1</v>
      </c>
      <c r="AF1315">
        <v>0</v>
      </c>
      <c r="AG1315">
        <v>0</v>
      </c>
      <c r="AH1315">
        <v>0</v>
      </c>
      <c r="AI1315">
        <v>0</v>
      </c>
      <c r="AJ1315">
        <v>1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</row>
    <row r="1316" spans="1:42" x14ac:dyDescent="0.25">
      <c r="A1316">
        <v>1530</v>
      </c>
      <c r="B1316" t="s">
        <v>2388</v>
      </c>
      <c r="C1316" t="s">
        <v>2386</v>
      </c>
      <c r="D1316" t="s">
        <v>126</v>
      </c>
      <c r="E1316" s="4">
        <v>1</v>
      </c>
      <c r="F1316" t="s">
        <v>61</v>
      </c>
      <c r="G1316" t="s">
        <v>61</v>
      </c>
      <c r="H1316" s="3">
        <v>46182</v>
      </c>
      <c r="I1316" s="3">
        <v>46183</v>
      </c>
      <c r="J1316" t="s">
        <v>204</v>
      </c>
      <c r="K1316" s="3">
        <v>46183</v>
      </c>
      <c r="L1316" s="3">
        <v>46182</v>
      </c>
      <c r="M1316" s="3">
        <v>46183</v>
      </c>
      <c r="N1316" s="3">
        <v>46183</v>
      </c>
      <c r="O1316" t="s">
        <v>204</v>
      </c>
      <c r="P1316" t="s">
        <v>55</v>
      </c>
      <c r="Q1316">
        <v>1529</v>
      </c>
      <c r="S1316" t="s">
        <v>2306</v>
      </c>
      <c r="T1316" t="s">
        <v>2246</v>
      </c>
      <c r="U1316">
        <v>1531</v>
      </c>
      <c r="V1316" t="s">
        <v>61</v>
      </c>
      <c r="W1316">
        <v>13.4</v>
      </c>
      <c r="X1316" t="s">
        <v>57</v>
      </c>
      <c r="Z1316" t="s">
        <v>2306</v>
      </c>
      <c r="AA1316" t="s">
        <v>198</v>
      </c>
      <c r="AE1316">
        <v>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1</v>
      </c>
      <c r="AM1316">
        <v>0</v>
      </c>
      <c r="AN1316">
        <v>0</v>
      </c>
      <c r="AO1316">
        <v>0</v>
      </c>
      <c r="AP1316">
        <v>0</v>
      </c>
    </row>
    <row r="1317" spans="1:42" x14ac:dyDescent="0.25">
      <c r="A1317">
        <v>1531</v>
      </c>
      <c r="B1317" t="s">
        <v>2389</v>
      </c>
      <c r="C1317" t="s">
        <v>2386</v>
      </c>
      <c r="D1317" t="s">
        <v>133</v>
      </c>
      <c r="E1317" s="4">
        <v>1</v>
      </c>
      <c r="F1317" t="s">
        <v>101</v>
      </c>
      <c r="G1317" t="s">
        <v>101</v>
      </c>
      <c r="H1317" s="3">
        <v>46184</v>
      </c>
      <c r="I1317" s="3">
        <v>46189</v>
      </c>
      <c r="J1317" t="s">
        <v>476</v>
      </c>
      <c r="K1317" s="3">
        <v>46189</v>
      </c>
      <c r="L1317" s="3">
        <v>46184</v>
      </c>
      <c r="M1317" s="3">
        <v>46189</v>
      </c>
      <c r="N1317" s="3">
        <v>46189</v>
      </c>
      <c r="O1317" t="s">
        <v>476</v>
      </c>
      <c r="P1317" t="s">
        <v>55</v>
      </c>
      <c r="Q1317">
        <v>1530</v>
      </c>
      <c r="S1317" t="s">
        <v>124</v>
      </c>
      <c r="T1317" t="s">
        <v>2246</v>
      </c>
      <c r="U1317" t="s">
        <v>2382</v>
      </c>
      <c r="V1317" t="s">
        <v>61</v>
      </c>
      <c r="W1317">
        <v>13.4</v>
      </c>
      <c r="X1317" t="s">
        <v>57</v>
      </c>
      <c r="Z1317" t="s">
        <v>124</v>
      </c>
      <c r="AA1317" t="s">
        <v>77</v>
      </c>
      <c r="AE1317">
        <v>1</v>
      </c>
      <c r="AF1317">
        <v>0</v>
      </c>
      <c r="AG1317">
        <v>0</v>
      </c>
      <c r="AH1317">
        <v>0</v>
      </c>
      <c r="AI1317">
        <v>1</v>
      </c>
      <c r="AJ1317">
        <v>0</v>
      </c>
      <c r="AK1317">
        <v>0</v>
      </c>
      <c r="AL1317">
        <v>0</v>
      </c>
      <c r="AM1317">
        <v>0</v>
      </c>
      <c r="AN1317">
        <v>1</v>
      </c>
      <c r="AO1317">
        <v>0</v>
      </c>
      <c r="AP1317">
        <v>0</v>
      </c>
    </row>
    <row r="1318" spans="1:42" x14ac:dyDescent="0.25">
      <c r="A1318">
        <v>1537</v>
      </c>
      <c r="B1318" t="s">
        <v>2390</v>
      </c>
      <c r="C1318" t="s">
        <v>2246</v>
      </c>
      <c r="D1318" t="s">
        <v>2391</v>
      </c>
      <c r="E1318" s="4">
        <v>1</v>
      </c>
      <c r="F1318" t="s">
        <v>175</v>
      </c>
      <c r="G1318" t="s">
        <v>175</v>
      </c>
      <c r="H1318" s="3">
        <v>46174</v>
      </c>
      <c r="I1318" s="3">
        <v>46184</v>
      </c>
      <c r="J1318" t="s">
        <v>193</v>
      </c>
      <c r="K1318" s="3">
        <v>46184</v>
      </c>
      <c r="L1318" s="3">
        <v>46174</v>
      </c>
      <c r="M1318" s="3">
        <v>46184</v>
      </c>
      <c r="N1318" s="3">
        <v>46184</v>
      </c>
      <c r="O1318" t="s">
        <v>193</v>
      </c>
      <c r="P1318" t="s">
        <v>55</v>
      </c>
      <c r="T1318" t="s">
        <v>2246</v>
      </c>
      <c r="U1318" t="s">
        <v>2375</v>
      </c>
      <c r="V1318" t="s">
        <v>175</v>
      </c>
      <c r="W1318">
        <v>14.88</v>
      </c>
      <c r="X1318" t="s">
        <v>57</v>
      </c>
      <c r="AA1318" t="s">
        <v>50</v>
      </c>
      <c r="AB1318" t="s">
        <v>94</v>
      </c>
      <c r="AE1318">
        <v>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</row>
    <row r="1319" spans="1:42" x14ac:dyDescent="0.25">
      <c r="A1319">
        <v>1538</v>
      </c>
      <c r="B1319" t="s">
        <v>2392</v>
      </c>
      <c r="C1319" t="s">
        <v>2393</v>
      </c>
      <c r="D1319" t="s">
        <v>117</v>
      </c>
      <c r="E1319" s="4">
        <v>1</v>
      </c>
      <c r="F1319" t="s">
        <v>122</v>
      </c>
      <c r="G1319" t="s">
        <v>122</v>
      </c>
      <c r="H1319" s="3">
        <v>46174</v>
      </c>
      <c r="I1319" s="3">
        <v>46176</v>
      </c>
      <c r="J1319" t="s">
        <v>193</v>
      </c>
      <c r="K1319" s="3">
        <v>46176</v>
      </c>
      <c r="L1319" s="3">
        <v>46174</v>
      </c>
      <c r="M1319" s="3">
        <v>46176</v>
      </c>
      <c r="N1319" s="3">
        <v>46176</v>
      </c>
      <c r="O1319" t="s">
        <v>193</v>
      </c>
      <c r="P1319" t="s">
        <v>55</v>
      </c>
      <c r="Q1319" t="s">
        <v>2394</v>
      </c>
      <c r="S1319" t="s">
        <v>2306</v>
      </c>
      <c r="T1319" t="s">
        <v>2246</v>
      </c>
      <c r="U1319">
        <v>1539</v>
      </c>
      <c r="V1319" t="s">
        <v>127</v>
      </c>
      <c r="W1319">
        <v>13.4</v>
      </c>
      <c r="X1319" t="s">
        <v>57</v>
      </c>
      <c r="Z1319" t="s">
        <v>2306</v>
      </c>
      <c r="AA1319" t="s">
        <v>93</v>
      </c>
      <c r="AE1319">
        <v>1</v>
      </c>
      <c r="AF1319">
        <v>1</v>
      </c>
      <c r="AG1319">
        <v>1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1</v>
      </c>
    </row>
    <row r="1320" spans="1:42" x14ac:dyDescent="0.25">
      <c r="A1320">
        <v>1539</v>
      </c>
      <c r="B1320" t="s">
        <v>2395</v>
      </c>
      <c r="C1320" t="s">
        <v>2393</v>
      </c>
      <c r="D1320" t="s">
        <v>121</v>
      </c>
      <c r="E1320" s="4">
        <v>1</v>
      </c>
      <c r="F1320" t="s">
        <v>61</v>
      </c>
      <c r="G1320" t="s">
        <v>61</v>
      </c>
      <c r="H1320" s="3">
        <v>46176</v>
      </c>
      <c r="I1320" s="3">
        <v>46176</v>
      </c>
      <c r="J1320" t="s">
        <v>459</v>
      </c>
      <c r="K1320" s="3">
        <v>46176</v>
      </c>
      <c r="L1320" s="3">
        <v>46176</v>
      </c>
      <c r="M1320" s="3">
        <v>46176</v>
      </c>
      <c r="N1320" s="3">
        <v>46176</v>
      </c>
      <c r="O1320" t="s">
        <v>459</v>
      </c>
      <c r="P1320" t="s">
        <v>55</v>
      </c>
      <c r="Q1320">
        <v>1538</v>
      </c>
      <c r="S1320" t="s">
        <v>124</v>
      </c>
      <c r="T1320" t="s">
        <v>2246</v>
      </c>
      <c r="U1320">
        <v>1540</v>
      </c>
      <c r="V1320" t="s">
        <v>122</v>
      </c>
      <c r="W1320">
        <v>13.4</v>
      </c>
      <c r="X1320" t="s">
        <v>57</v>
      </c>
      <c r="Z1320" t="s">
        <v>124</v>
      </c>
      <c r="AA1320" t="s">
        <v>198</v>
      </c>
      <c r="AE1320">
        <v>1</v>
      </c>
      <c r="AF1320">
        <v>0</v>
      </c>
      <c r="AG1320">
        <v>0</v>
      </c>
      <c r="AH1320">
        <v>0</v>
      </c>
      <c r="AI1320">
        <v>0</v>
      </c>
      <c r="AJ1320">
        <v>1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</row>
    <row r="1321" spans="1:42" x14ac:dyDescent="0.25">
      <c r="A1321">
        <v>1540</v>
      </c>
      <c r="B1321" t="s">
        <v>2396</v>
      </c>
      <c r="C1321" t="s">
        <v>2393</v>
      </c>
      <c r="D1321" t="s">
        <v>126</v>
      </c>
      <c r="E1321" s="4">
        <v>1</v>
      </c>
      <c r="F1321" t="s">
        <v>61</v>
      </c>
      <c r="G1321" t="s">
        <v>61</v>
      </c>
      <c r="H1321" s="3">
        <v>46181</v>
      </c>
      <c r="I1321" s="3">
        <v>46181</v>
      </c>
      <c r="J1321" t="s">
        <v>201</v>
      </c>
      <c r="K1321" s="3">
        <v>46181</v>
      </c>
      <c r="L1321" s="3">
        <v>46181</v>
      </c>
      <c r="M1321" s="3">
        <v>46181</v>
      </c>
      <c r="N1321" s="3">
        <v>46181</v>
      </c>
      <c r="O1321" t="s">
        <v>201</v>
      </c>
      <c r="P1321" t="s">
        <v>55</v>
      </c>
      <c r="Q1321">
        <v>1539</v>
      </c>
      <c r="S1321" t="s">
        <v>2306</v>
      </c>
      <c r="T1321" t="s">
        <v>2246</v>
      </c>
      <c r="U1321">
        <v>1541</v>
      </c>
      <c r="V1321" t="s">
        <v>61</v>
      </c>
      <c r="W1321">
        <v>13.4</v>
      </c>
      <c r="X1321" t="s">
        <v>57</v>
      </c>
      <c r="Z1321" t="s">
        <v>2306</v>
      </c>
      <c r="AA1321" t="s">
        <v>198</v>
      </c>
      <c r="AE1321">
        <v>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1</v>
      </c>
      <c r="AM1321">
        <v>0</v>
      </c>
      <c r="AN1321">
        <v>0</v>
      </c>
      <c r="AO1321">
        <v>0</v>
      </c>
      <c r="AP1321">
        <v>0</v>
      </c>
    </row>
    <row r="1322" spans="1:42" x14ac:dyDescent="0.25">
      <c r="A1322">
        <v>1541</v>
      </c>
      <c r="B1322" t="s">
        <v>2397</v>
      </c>
      <c r="C1322" t="s">
        <v>2393</v>
      </c>
      <c r="D1322" t="s">
        <v>133</v>
      </c>
      <c r="E1322" s="4">
        <v>1</v>
      </c>
      <c r="F1322" t="s">
        <v>122</v>
      </c>
      <c r="G1322" t="s">
        <v>122</v>
      </c>
      <c r="H1322" s="3">
        <v>46182</v>
      </c>
      <c r="I1322" s="3">
        <v>46184</v>
      </c>
      <c r="J1322" t="s">
        <v>204</v>
      </c>
      <c r="K1322" s="3">
        <v>46184</v>
      </c>
      <c r="L1322" s="3">
        <v>46182</v>
      </c>
      <c r="M1322" s="3">
        <v>46184</v>
      </c>
      <c r="N1322" s="3">
        <v>46184</v>
      </c>
      <c r="O1322" t="s">
        <v>204</v>
      </c>
      <c r="P1322" t="s">
        <v>55</v>
      </c>
      <c r="Q1322">
        <v>1540</v>
      </c>
      <c r="S1322" t="s">
        <v>124</v>
      </c>
      <c r="T1322" t="s">
        <v>2246</v>
      </c>
      <c r="U1322" t="s">
        <v>2398</v>
      </c>
      <c r="V1322" t="s">
        <v>61</v>
      </c>
      <c r="W1322">
        <v>13.4</v>
      </c>
      <c r="X1322" t="s">
        <v>57</v>
      </c>
      <c r="Z1322" t="s">
        <v>124</v>
      </c>
      <c r="AA1322" t="s">
        <v>77</v>
      </c>
      <c r="AE1322">
        <v>1</v>
      </c>
      <c r="AF1322">
        <v>0</v>
      </c>
      <c r="AG1322">
        <v>0</v>
      </c>
      <c r="AH1322">
        <v>0</v>
      </c>
      <c r="AI1322">
        <v>1</v>
      </c>
      <c r="AJ1322">
        <v>0</v>
      </c>
      <c r="AK1322">
        <v>0</v>
      </c>
      <c r="AL1322">
        <v>0</v>
      </c>
      <c r="AM1322">
        <v>0</v>
      </c>
      <c r="AN1322">
        <v>1</v>
      </c>
      <c r="AO1322">
        <v>0</v>
      </c>
      <c r="AP1322">
        <v>0</v>
      </c>
    </row>
    <row r="1323" spans="1:42" x14ac:dyDescent="0.25">
      <c r="A1323">
        <v>1542</v>
      </c>
      <c r="B1323" t="s">
        <v>2399</v>
      </c>
      <c r="C1323" t="s">
        <v>2246</v>
      </c>
      <c r="D1323" t="s">
        <v>2400</v>
      </c>
      <c r="E1323" s="4">
        <v>1</v>
      </c>
      <c r="F1323" t="s">
        <v>203</v>
      </c>
      <c r="G1323" t="s">
        <v>203</v>
      </c>
      <c r="H1323" s="3">
        <v>46174</v>
      </c>
      <c r="I1323" s="3">
        <v>46190</v>
      </c>
      <c r="J1323" t="s">
        <v>193</v>
      </c>
      <c r="K1323" s="3">
        <v>46190</v>
      </c>
      <c r="L1323" s="3">
        <v>46174</v>
      </c>
      <c r="M1323" s="3">
        <v>46190</v>
      </c>
      <c r="N1323" s="3">
        <v>46190</v>
      </c>
      <c r="O1323" t="s">
        <v>193</v>
      </c>
      <c r="P1323" t="s">
        <v>55</v>
      </c>
      <c r="T1323" t="s">
        <v>2246</v>
      </c>
      <c r="U1323" t="s">
        <v>2375</v>
      </c>
      <c r="V1323" t="s">
        <v>175</v>
      </c>
      <c r="W1323">
        <v>14.88</v>
      </c>
      <c r="X1323" t="s">
        <v>57</v>
      </c>
      <c r="AA1323" t="s">
        <v>50</v>
      </c>
      <c r="AB1323" t="s">
        <v>94</v>
      </c>
      <c r="AE1323">
        <v>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</row>
    <row r="1324" spans="1:42" x14ac:dyDescent="0.25">
      <c r="A1324">
        <v>1543</v>
      </c>
      <c r="B1324" t="s">
        <v>2401</v>
      </c>
      <c r="C1324" t="s">
        <v>2402</v>
      </c>
      <c r="D1324" t="s">
        <v>117</v>
      </c>
      <c r="E1324" s="4">
        <v>1</v>
      </c>
      <c r="F1324" t="s">
        <v>122</v>
      </c>
      <c r="G1324" t="s">
        <v>122</v>
      </c>
      <c r="H1324" s="3">
        <v>46174</v>
      </c>
      <c r="I1324" s="3">
        <v>46176</v>
      </c>
      <c r="J1324" t="s">
        <v>193</v>
      </c>
      <c r="K1324" s="3">
        <v>46176</v>
      </c>
      <c r="L1324" s="3">
        <v>46174</v>
      </c>
      <c r="M1324" s="3">
        <v>46176</v>
      </c>
      <c r="N1324" s="3">
        <v>46176</v>
      </c>
      <c r="O1324" t="s">
        <v>193</v>
      </c>
      <c r="P1324" t="s">
        <v>55</v>
      </c>
      <c r="Q1324" t="s">
        <v>2403</v>
      </c>
      <c r="S1324" t="s">
        <v>2306</v>
      </c>
      <c r="T1324" t="s">
        <v>2246</v>
      </c>
      <c r="U1324">
        <v>1544</v>
      </c>
      <c r="V1324" t="s">
        <v>127</v>
      </c>
      <c r="W1324">
        <v>13.4</v>
      </c>
      <c r="X1324" t="s">
        <v>57</v>
      </c>
      <c r="Z1324" t="s">
        <v>2306</v>
      </c>
      <c r="AA1324" t="s">
        <v>93</v>
      </c>
      <c r="AE1324">
        <v>1</v>
      </c>
      <c r="AF1324">
        <v>1</v>
      </c>
      <c r="AG1324">
        <v>1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1</v>
      </c>
    </row>
    <row r="1325" spans="1:42" x14ac:dyDescent="0.25">
      <c r="A1325">
        <v>1544</v>
      </c>
      <c r="B1325" t="s">
        <v>2404</v>
      </c>
      <c r="C1325" t="s">
        <v>2402</v>
      </c>
      <c r="D1325" t="s">
        <v>121</v>
      </c>
      <c r="E1325" s="4">
        <v>1</v>
      </c>
      <c r="F1325" t="s">
        <v>61</v>
      </c>
      <c r="G1325" t="s">
        <v>61</v>
      </c>
      <c r="H1325" s="3">
        <v>46176</v>
      </c>
      <c r="I1325" s="3">
        <v>46176</v>
      </c>
      <c r="J1325" t="s">
        <v>459</v>
      </c>
      <c r="K1325" s="3">
        <v>46176</v>
      </c>
      <c r="L1325" s="3">
        <v>46176</v>
      </c>
      <c r="M1325" s="3">
        <v>46176</v>
      </c>
      <c r="N1325" s="3">
        <v>46176</v>
      </c>
      <c r="O1325" t="s">
        <v>459</v>
      </c>
      <c r="P1325" t="s">
        <v>55</v>
      </c>
      <c r="Q1325">
        <v>1543</v>
      </c>
      <c r="S1325" t="s">
        <v>124</v>
      </c>
      <c r="T1325" t="s">
        <v>2246</v>
      </c>
      <c r="U1325">
        <v>1545</v>
      </c>
      <c r="V1325" t="s">
        <v>122</v>
      </c>
      <c r="W1325">
        <v>13.4</v>
      </c>
      <c r="X1325" t="s">
        <v>57</v>
      </c>
      <c r="Z1325" t="s">
        <v>124</v>
      </c>
      <c r="AA1325" t="s">
        <v>198</v>
      </c>
      <c r="AE1325">
        <v>1</v>
      </c>
      <c r="AF1325">
        <v>0</v>
      </c>
      <c r="AG1325">
        <v>0</v>
      </c>
      <c r="AH1325">
        <v>0</v>
      </c>
      <c r="AI1325">
        <v>0</v>
      </c>
      <c r="AJ1325">
        <v>1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</row>
    <row r="1326" spans="1:42" x14ac:dyDescent="0.25">
      <c r="A1326">
        <v>1545</v>
      </c>
      <c r="B1326" t="s">
        <v>2405</v>
      </c>
      <c r="C1326" t="s">
        <v>2402</v>
      </c>
      <c r="D1326" t="s">
        <v>126</v>
      </c>
      <c r="E1326" s="4">
        <v>1</v>
      </c>
      <c r="F1326" t="s">
        <v>61</v>
      </c>
      <c r="G1326" t="s">
        <v>61</v>
      </c>
      <c r="H1326" s="3">
        <v>46181</v>
      </c>
      <c r="I1326" s="3">
        <v>46181</v>
      </c>
      <c r="J1326" t="s">
        <v>201</v>
      </c>
      <c r="K1326" s="3">
        <v>46181</v>
      </c>
      <c r="L1326" s="3">
        <v>46181</v>
      </c>
      <c r="M1326" s="3">
        <v>46181</v>
      </c>
      <c r="N1326" s="3">
        <v>46181</v>
      </c>
      <c r="O1326" t="s">
        <v>201</v>
      </c>
      <c r="P1326" t="s">
        <v>55</v>
      </c>
      <c r="Q1326">
        <v>1544</v>
      </c>
      <c r="S1326" t="s">
        <v>2306</v>
      </c>
      <c r="T1326" t="s">
        <v>2246</v>
      </c>
      <c r="U1326">
        <v>1546</v>
      </c>
      <c r="V1326" t="s">
        <v>61</v>
      </c>
      <c r="W1326">
        <v>13.4</v>
      </c>
      <c r="X1326" t="s">
        <v>57</v>
      </c>
      <c r="Z1326" t="s">
        <v>2306</v>
      </c>
      <c r="AA1326" t="s">
        <v>198</v>
      </c>
      <c r="AE1326">
        <v>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1</v>
      </c>
      <c r="AM1326">
        <v>0</v>
      </c>
      <c r="AN1326">
        <v>0</v>
      </c>
      <c r="AO1326">
        <v>0</v>
      </c>
      <c r="AP1326">
        <v>0</v>
      </c>
    </row>
    <row r="1327" spans="1:42" x14ac:dyDescent="0.25">
      <c r="A1327">
        <v>1546</v>
      </c>
      <c r="B1327" t="s">
        <v>2406</v>
      </c>
      <c r="C1327" t="s">
        <v>2402</v>
      </c>
      <c r="D1327" t="s">
        <v>133</v>
      </c>
      <c r="E1327" s="4">
        <v>1</v>
      </c>
      <c r="F1327" t="s">
        <v>175</v>
      </c>
      <c r="G1327" t="s">
        <v>175</v>
      </c>
      <c r="H1327" s="3">
        <v>46182</v>
      </c>
      <c r="I1327" s="3">
        <v>46190</v>
      </c>
      <c r="J1327" t="s">
        <v>204</v>
      </c>
      <c r="K1327" s="3">
        <v>46190</v>
      </c>
      <c r="L1327" s="3">
        <v>46182</v>
      </c>
      <c r="M1327" s="3">
        <v>46190</v>
      </c>
      <c r="N1327" s="3">
        <v>46190</v>
      </c>
      <c r="O1327" t="s">
        <v>204</v>
      </c>
      <c r="P1327" t="s">
        <v>55</v>
      </c>
      <c r="Q1327">
        <v>1545</v>
      </c>
      <c r="S1327" t="s">
        <v>124</v>
      </c>
      <c r="T1327" t="s">
        <v>2246</v>
      </c>
      <c r="U1327" t="s">
        <v>2382</v>
      </c>
      <c r="V1327" t="s">
        <v>61</v>
      </c>
      <c r="W1327">
        <v>13.4</v>
      </c>
      <c r="X1327" t="s">
        <v>57</v>
      </c>
      <c r="Z1327" t="s">
        <v>124</v>
      </c>
      <c r="AA1327" t="s">
        <v>77</v>
      </c>
      <c r="AE1327">
        <v>1</v>
      </c>
      <c r="AF1327">
        <v>0</v>
      </c>
      <c r="AG1327">
        <v>0</v>
      </c>
      <c r="AH1327">
        <v>0</v>
      </c>
      <c r="AI1327">
        <v>1</v>
      </c>
      <c r="AJ1327">
        <v>0</v>
      </c>
      <c r="AK1327">
        <v>0</v>
      </c>
      <c r="AL1327">
        <v>0</v>
      </c>
      <c r="AM1327">
        <v>0</v>
      </c>
      <c r="AN1327">
        <v>1</v>
      </c>
      <c r="AO1327">
        <v>0</v>
      </c>
      <c r="AP1327">
        <v>0</v>
      </c>
    </row>
    <row r="1328" spans="1:42" x14ac:dyDescent="0.25">
      <c r="A1328">
        <v>1547</v>
      </c>
      <c r="B1328" t="s">
        <v>2407</v>
      </c>
      <c r="C1328" t="s">
        <v>2246</v>
      </c>
      <c r="D1328" t="s">
        <v>2408</v>
      </c>
      <c r="E1328" s="4">
        <v>1</v>
      </c>
      <c r="F1328" t="s">
        <v>175</v>
      </c>
      <c r="G1328" t="s">
        <v>175</v>
      </c>
      <c r="H1328" s="3">
        <v>46174</v>
      </c>
      <c r="I1328" s="3">
        <v>46184</v>
      </c>
      <c r="J1328" t="s">
        <v>193</v>
      </c>
      <c r="K1328" s="3">
        <v>46184</v>
      </c>
      <c r="L1328" s="3">
        <v>46174</v>
      </c>
      <c r="M1328" s="3">
        <v>46184</v>
      </c>
      <c r="N1328" s="3">
        <v>46184</v>
      </c>
      <c r="O1328" t="s">
        <v>193</v>
      </c>
      <c r="P1328" t="s">
        <v>55</v>
      </c>
      <c r="T1328" t="s">
        <v>2246</v>
      </c>
      <c r="U1328" t="s">
        <v>2375</v>
      </c>
      <c r="V1328" t="s">
        <v>175</v>
      </c>
      <c r="W1328">
        <v>14.88</v>
      </c>
      <c r="X1328" t="s">
        <v>57</v>
      </c>
      <c r="AA1328" t="s">
        <v>50</v>
      </c>
      <c r="AB1328" t="s">
        <v>94</v>
      </c>
      <c r="AE1328">
        <v>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</row>
    <row r="1329" spans="1:42" x14ac:dyDescent="0.25">
      <c r="A1329">
        <v>1548</v>
      </c>
      <c r="B1329" t="s">
        <v>2409</v>
      </c>
      <c r="C1329" t="s">
        <v>2410</v>
      </c>
      <c r="D1329" t="s">
        <v>117</v>
      </c>
      <c r="E1329" s="4">
        <v>1</v>
      </c>
      <c r="F1329" t="s">
        <v>804</v>
      </c>
      <c r="G1329" t="s">
        <v>804</v>
      </c>
      <c r="H1329" s="3">
        <v>46174</v>
      </c>
      <c r="I1329" s="3">
        <v>46176</v>
      </c>
      <c r="J1329" t="s">
        <v>193</v>
      </c>
      <c r="K1329" s="3">
        <v>46176</v>
      </c>
      <c r="L1329" s="3">
        <v>46174</v>
      </c>
      <c r="M1329" s="3">
        <v>46176</v>
      </c>
      <c r="N1329" s="3">
        <v>46176</v>
      </c>
      <c r="O1329" t="s">
        <v>193</v>
      </c>
      <c r="P1329" t="s">
        <v>55</v>
      </c>
      <c r="Q1329" t="s">
        <v>2411</v>
      </c>
      <c r="S1329" t="s">
        <v>2306</v>
      </c>
      <c r="T1329" t="s">
        <v>2246</v>
      </c>
      <c r="U1329">
        <v>1549</v>
      </c>
      <c r="V1329" t="s">
        <v>127</v>
      </c>
      <c r="W1329">
        <v>13.4</v>
      </c>
      <c r="X1329" t="s">
        <v>57</v>
      </c>
      <c r="Z1329" t="s">
        <v>2306</v>
      </c>
      <c r="AA1329" t="s">
        <v>93</v>
      </c>
      <c r="AE1329">
        <v>1</v>
      </c>
      <c r="AF1329">
        <v>1</v>
      </c>
      <c r="AG1329">
        <v>1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1</v>
      </c>
    </row>
    <row r="1330" spans="1:42" x14ac:dyDescent="0.25">
      <c r="A1330">
        <v>1549</v>
      </c>
      <c r="B1330" t="s">
        <v>2412</v>
      </c>
      <c r="C1330" t="s">
        <v>2410</v>
      </c>
      <c r="D1330" t="s">
        <v>121</v>
      </c>
      <c r="E1330" s="4">
        <v>1</v>
      </c>
      <c r="F1330" t="s">
        <v>61</v>
      </c>
      <c r="G1330" t="s">
        <v>61</v>
      </c>
      <c r="H1330" s="3">
        <v>46176</v>
      </c>
      <c r="I1330" s="3">
        <v>46176</v>
      </c>
      <c r="J1330" t="s">
        <v>459</v>
      </c>
      <c r="K1330" s="3">
        <v>46176</v>
      </c>
      <c r="L1330" s="3">
        <v>46176</v>
      </c>
      <c r="M1330" s="3">
        <v>46176</v>
      </c>
      <c r="N1330" s="3">
        <v>46176</v>
      </c>
      <c r="O1330" t="s">
        <v>459</v>
      </c>
      <c r="P1330" t="s">
        <v>55</v>
      </c>
      <c r="Q1330">
        <v>1548</v>
      </c>
      <c r="S1330" t="s">
        <v>124</v>
      </c>
      <c r="T1330" t="s">
        <v>2246</v>
      </c>
      <c r="U1330">
        <v>1550</v>
      </c>
      <c r="V1330" t="s">
        <v>122</v>
      </c>
      <c r="W1330">
        <v>13.4</v>
      </c>
      <c r="X1330" t="s">
        <v>57</v>
      </c>
      <c r="Z1330" t="s">
        <v>124</v>
      </c>
      <c r="AA1330" t="s">
        <v>198</v>
      </c>
      <c r="AE1330">
        <v>1</v>
      </c>
      <c r="AF1330">
        <v>0</v>
      </c>
      <c r="AG1330">
        <v>0</v>
      </c>
      <c r="AH1330">
        <v>0</v>
      </c>
      <c r="AI1330">
        <v>0</v>
      </c>
      <c r="AJ1330">
        <v>1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</row>
    <row r="1331" spans="1:42" x14ac:dyDescent="0.25">
      <c r="A1331">
        <v>1550</v>
      </c>
      <c r="B1331" t="s">
        <v>2413</v>
      </c>
      <c r="C1331" t="s">
        <v>2410</v>
      </c>
      <c r="D1331" t="s">
        <v>126</v>
      </c>
      <c r="E1331" s="4">
        <v>1</v>
      </c>
      <c r="F1331" t="s">
        <v>61</v>
      </c>
      <c r="G1331" t="s">
        <v>61</v>
      </c>
      <c r="H1331" s="3">
        <v>46181</v>
      </c>
      <c r="I1331" s="3">
        <v>46181</v>
      </c>
      <c r="J1331" t="s">
        <v>201</v>
      </c>
      <c r="K1331" s="3">
        <v>46181</v>
      </c>
      <c r="L1331" s="3">
        <v>46181</v>
      </c>
      <c r="M1331" s="3">
        <v>46181</v>
      </c>
      <c r="N1331" s="3">
        <v>46181</v>
      </c>
      <c r="O1331" t="s">
        <v>201</v>
      </c>
      <c r="P1331" t="s">
        <v>55</v>
      </c>
      <c r="Q1331">
        <v>1549</v>
      </c>
      <c r="S1331" t="s">
        <v>2306</v>
      </c>
      <c r="T1331" t="s">
        <v>2246</v>
      </c>
      <c r="U1331">
        <v>1551</v>
      </c>
      <c r="V1331" t="s">
        <v>61</v>
      </c>
      <c r="W1331">
        <v>13.4</v>
      </c>
      <c r="X1331" t="s">
        <v>57</v>
      </c>
      <c r="Z1331" t="s">
        <v>2306</v>
      </c>
      <c r="AA1331" t="s">
        <v>198</v>
      </c>
      <c r="AE1331">
        <v>1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1</v>
      </c>
      <c r="AM1331">
        <v>0</v>
      </c>
      <c r="AN1331">
        <v>0</v>
      </c>
      <c r="AO1331">
        <v>0</v>
      </c>
      <c r="AP1331">
        <v>0</v>
      </c>
    </row>
    <row r="1332" spans="1:42" x14ac:dyDescent="0.25">
      <c r="A1332">
        <v>1551</v>
      </c>
      <c r="B1332" t="s">
        <v>2414</v>
      </c>
      <c r="C1332" t="s">
        <v>2410</v>
      </c>
      <c r="D1332" t="s">
        <v>133</v>
      </c>
      <c r="E1332" s="4">
        <v>1</v>
      </c>
      <c r="F1332" t="s">
        <v>122</v>
      </c>
      <c r="G1332" t="s">
        <v>122</v>
      </c>
      <c r="H1332" s="3">
        <v>46182</v>
      </c>
      <c r="I1332" s="3">
        <v>46184</v>
      </c>
      <c r="J1332" t="s">
        <v>204</v>
      </c>
      <c r="K1332" s="3">
        <v>46184</v>
      </c>
      <c r="L1332" s="3">
        <v>46182</v>
      </c>
      <c r="M1332" s="3">
        <v>46184</v>
      </c>
      <c r="N1332" s="3">
        <v>46184</v>
      </c>
      <c r="O1332" t="s">
        <v>204</v>
      </c>
      <c r="P1332" t="s">
        <v>55</v>
      </c>
      <c r="Q1332">
        <v>1550</v>
      </c>
      <c r="S1332" t="s">
        <v>124</v>
      </c>
      <c r="T1332" t="s">
        <v>2246</v>
      </c>
      <c r="U1332" t="s">
        <v>2382</v>
      </c>
      <c r="V1332" t="s">
        <v>61</v>
      </c>
      <c r="W1332">
        <v>13.4</v>
      </c>
      <c r="X1332" t="s">
        <v>57</v>
      </c>
      <c r="Z1332" t="s">
        <v>124</v>
      </c>
      <c r="AA1332" t="s">
        <v>77</v>
      </c>
      <c r="AE1332">
        <v>1</v>
      </c>
      <c r="AF1332">
        <v>0</v>
      </c>
      <c r="AG1332">
        <v>0</v>
      </c>
      <c r="AH1332">
        <v>0</v>
      </c>
      <c r="AI1332">
        <v>1</v>
      </c>
      <c r="AJ1332">
        <v>0</v>
      </c>
      <c r="AK1332">
        <v>0</v>
      </c>
      <c r="AL1332">
        <v>0</v>
      </c>
      <c r="AM1332">
        <v>0</v>
      </c>
      <c r="AN1332">
        <v>1</v>
      </c>
      <c r="AO1332">
        <v>0</v>
      </c>
      <c r="AP1332">
        <v>0</v>
      </c>
    </row>
    <row r="1333" spans="1:42" x14ac:dyDescent="0.25">
      <c r="A1333">
        <v>1552</v>
      </c>
      <c r="B1333" t="s">
        <v>2415</v>
      </c>
      <c r="C1333" t="s">
        <v>2246</v>
      </c>
      <c r="D1333" t="s">
        <v>2416</v>
      </c>
      <c r="E1333" s="4">
        <v>1</v>
      </c>
      <c r="F1333" t="s">
        <v>214</v>
      </c>
      <c r="G1333" t="s">
        <v>214</v>
      </c>
      <c r="H1333" s="3">
        <v>46174</v>
      </c>
      <c r="I1333" s="3">
        <v>46183</v>
      </c>
      <c r="J1333" t="s">
        <v>193</v>
      </c>
      <c r="K1333" s="3">
        <v>46183</v>
      </c>
      <c r="L1333" s="3">
        <v>46174</v>
      </c>
      <c r="M1333" s="3">
        <v>46183</v>
      </c>
      <c r="N1333" s="3">
        <v>46183</v>
      </c>
      <c r="O1333" t="s">
        <v>193</v>
      </c>
      <c r="P1333" t="s">
        <v>55</v>
      </c>
      <c r="T1333" t="s">
        <v>2246</v>
      </c>
      <c r="U1333" t="s">
        <v>2375</v>
      </c>
      <c r="V1333" t="s">
        <v>175</v>
      </c>
      <c r="W1333">
        <v>14.88</v>
      </c>
      <c r="X1333" t="s">
        <v>57</v>
      </c>
      <c r="AA1333" t="s">
        <v>50</v>
      </c>
      <c r="AB1333" t="s">
        <v>94</v>
      </c>
      <c r="AE1333">
        <v>1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</row>
    <row r="1334" spans="1:42" x14ac:dyDescent="0.25">
      <c r="A1334">
        <v>1553</v>
      </c>
      <c r="B1334" t="s">
        <v>2417</v>
      </c>
      <c r="C1334" t="s">
        <v>2418</v>
      </c>
      <c r="D1334" t="s">
        <v>117</v>
      </c>
      <c r="E1334" s="4">
        <v>1</v>
      </c>
      <c r="F1334" t="s">
        <v>122</v>
      </c>
      <c r="G1334" t="s">
        <v>122</v>
      </c>
      <c r="H1334" s="3">
        <v>46174</v>
      </c>
      <c r="I1334" s="3">
        <v>46176</v>
      </c>
      <c r="J1334" t="s">
        <v>193</v>
      </c>
      <c r="K1334" s="3">
        <v>46176</v>
      </c>
      <c r="L1334" s="3">
        <v>46174</v>
      </c>
      <c r="M1334" s="3">
        <v>46176</v>
      </c>
      <c r="N1334" s="3">
        <v>46176</v>
      </c>
      <c r="O1334" t="s">
        <v>193</v>
      </c>
      <c r="P1334" t="s">
        <v>55</v>
      </c>
      <c r="Q1334" t="s">
        <v>2419</v>
      </c>
      <c r="S1334" t="s">
        <v>2306</v>
      </c>
      <c r="T1334" t="s">
        <v>2246</v>
      </c>
      <c r="U1334">
        <v>1554</v>
      </c>
      <c r="V1334" t="s">
        <v>127</v>
      </c>
      <c r="W1334">
        <v>13.4</v>
      </c>
      <c r="X1334" t="s">
        <v>57</v>
      </c>
      <c r="Z1334" t="s">
        <v>2306</v>
      </c>
      <c r="AA1334" t="s">
        <v>93</v>
      </c>
      <c r="AE1334">
        <v>1</v>
      </c>
      <c r="AF1334">
        <v>1</v>
      </c>
      <c r="AG1334">
        <v>1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1</v>
      </c>
    </row>
    <row r="1335" spans="1:42" x14ac:dyDescent="0.25">
      <c r="A1335">
        <v>1554</v>
      </c>
      <c r="B1335" t="s">
        <v>2420</v>
      </c>
      <c r="C1335" t="s">
        <v>2418</v>
      </c>
      <c r="D1335" t="s">
        <v>121</v>
      </c>
      <c r="E1335" s="4">
        <v>1</v>
      </c>
      <c r="F1335" t="s">
        <v>63</v>
      </c>
      <c r="G1335" t="s">
        <v>63</v>
      </c>
      <c r="H1335" s="3">
        <v>46176</v>
      </c>
      <c r="I1335" s="3">
        <v>46176</v>
      </c>
      <c r="J1335" t="s">
        <v>459</v>
      </c>
      <c r="K1335" s="3">
        <v>46176</v>
      </c>
      <c r="L1335" s="3">
        <v>46176</v>
      </c>
      <c r="M1335" s="3">
        <v>46176</v>
      </c>
      <c r="N1335" s="3">
        <v>46176</v>
      </c>
      <c r="O1335" t="s">
        <v>459</v>
      </c>
      <c r="P1335" t="s">
        <v>55</v>
      </c>
      <c r="Q1335">
        <v>1553</v>
      </c>
      <c r="S1335" t="s">
        <v>124</v>
      </c>
      <c r="T1335" t="s">
        <v>2246</v>
      </c>
      <c r="U1335">
        <v>1555</v>
      </c>
      <c r="V1335" t="s">
        <v>122</v>
      </c>
      <c r="W1335">
        <v>13.4</v>
      </c>
      <c r="X1335" t="s">
        <v>57</v>
      </c>
      <c r="Z1335" t="s">
        <v>124</v>
      </c>
      <c r="AA1335" t="s">
        <v>198</v>
      </c>
      <c r="AE1335">
        <v>1</v>
      </c>
      <c r="AF1335">
        <v>0</v>
      </c>
      <c r="AG1335">
        <v>0</v>
      </c>
      <c r="AH1335">
        <v>0</v>
      </c>
      <c r="AI1335">
        <v>0</v>
      </c>
      <c r="AJ1335">
        <v>1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</row>
    <row r="1336" spans="1:42" x14ac:dyDescent="0.25">
      <c r="A1336">
        <v>1555</v>
      </c>
      <c r="B1336" t="s">
        <v>2421</v>
      </c>
      <c r="C1336" t="s">
        <v>2418</v>
      </c>
      <c r="D1336" t="s">
        <v>126</v>
      </c>
      <c r="E1336" s="4">
        <v>1</v>
      </c>
      <c r="F1336" t="s">
        <v>127</v>
      </c>
      <c r="G1336" t="s">
        <v>127</v>
      </c>
      <c r="H1336" s="3">
        <v>46181</v>
      </c>
      <c r="I1336" s="3">
        <v>46182</v>
      </c>
      <c r="J1336" t="s">
        <v>201</v>
      </c>
      <c r="K1336" s="3">
        <v>46182</v>
      </c>
      <c r="L1336" s="3">
        <v>46181</v>
      </c>
      <c r="M1336" s="3">
        <v>46182</v>
      </c>
      <c r="N1336" s="3">
        <v>46182</v>
      </c>
      <c r="O1336" t="s">
        <v>201</v>
      </c>
      <c r="P1336" t="s">
        <v>55</v>
      </c>
      <c r="Q1336">
        <v>1554</v>
      </c>
      <c r="S1336" t="s">
        <v>2306</v>
      </c>
      <c r="T1336" t="s">
        <v>2246</v>
      </c>
      <c r="U1336">
        <v>1556</v>
      </c>
      <c r="V1336" t="s">
        <v>61</v>
      </c>
      <c r="W1336">
        <v>13.4</v>
      </c>
      <c r="X1336" t="s">
        <v>57</v>
      </c>
      <c r="Z1336" t="s">
        <v>2306</v>
      </c>
      <c r="AA1336" t="s">
        <v>198</v>
      </c>
      <c r="AE1336">
        <v>1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1</v>
      </c>
      <c r="AM1336">
        <v>0</v>
      </c>
      <c r="AN1336">
        <v>0</v>
      </c>
      <c r="AO1336">
        <v>0</v>
      </c>
      <c r="AP1336">
        <v>0</v>
      </c>
    </row>
    <row r="1337" spans="1:42" x14ac:dyDescent="0.25">
      <c r="A1337">
        <v>1556</v>
      </c>
      <c r="B1337" t="s">
        <v>2422</v>
      </c>
      <c r="C1337" t="s">
        <v>2418</v>
      </c>
      <c r="D1337" t="s">
        <v>133</v>
      </c>
      <c r="E1337" s="4">
        <v>1</v>
      </c>
      <c r="F1337" t="s">
        <v>61</v>
      </c>
      <c r="G1337" t="s">
        <v>61</v>
      </c>
      <c r="H1337" s="3">
        <v>46182</v>
      </c>
      <c r="I1337" s="3">
        <v>46183</v>
      </c>
      <c r="J1337" t="s">
        <v>204</v>
      </c>
      <c r="K1337" s="3">
        <v>46183</v>
      </c>
      <c r="L1337" s="3">
        <v>46182</v>
      </c>
      <c r="M1337" s="3">
        <v>46183</v>
      </c>
      <c r="N1337" s="3">
        <v>46183</v>
      </c>
      <c r="O1337" t="s">
        <v>204</v>
      </c>
      <c r="P1337" t="s">
        <v>55</v>
      </c>
      <c r="Q1337">
        <v>1555</v>
      </c>
      <c r="S1337" t="s">
        <v>124</v>
      </c>
      <c r="T1337" t="s">
        <v>2246</v>
      </c>
      <c r="U1337" t="s">
        <v>2382</v>
      </c>
      <c r="V1337" t="s">
        <v>61</v>
      </c>
      <c r="W1337">
        <v>13.4</v>
      </c>
      <c r="X1337" t="s">
        <v>57</v>
      </c>
      <c r="Z1337" t="s">
        <v>124</v>
      </c>
      <c r="AA1337" t="s">
        <v>77</v>
      </c>
      <c r="AE1337">
        <v>1</v>
      </c>
      <c r="AF1337">
        <v>0</v>
      </c>
      <c r="AG1337">
        <v>0</v>
      </c>
      <c r="AH1337">
        <v>0</v>
      </c>
      <c r="AI1337">
        <v>1</v>
      </c>
      <c r="AJ1337">
        <v>0</v>
      </c>
      <c r="AK1337">
        <v>0</v>
      </c>
      <c r="AL1337">
        <v>0</v>
      </c>
      <c r="AM1337">
        <v>0</v>
      </c>
      <c r="AN1337">
        <v>1</v>
      </c>
      <c r="AO1337">
        <v>0</v>
      </c>
      <c r="AP1337">
        <v>0</v>
      </c>
    </row>
    <row r="1338" spans="1:42" x14ac:dyDescent="0.25">
      <c r="A1338">
        <v>1562</v>
      </c>
      <c r="B1338" t="s">
        <v>2423</v>
      </c>
      <c r="C1338" t="s">
        <v>52</v>
      </c>
      <c r="D1338" t="s">
        <v>2424</v>
      </c>
      <c r="E1338" s="4">
        <v>1</v>
      </c>
      <c r="F1338" t="s">
        <v>982</v>
      </c>
      <c r="G1338" t="s">
        <v>982</v>
      </c>
      <c r="H1338" s="3">
        <v>46164</v>
      </c>
      <c r="I1338" s="3">
        <v>46190</v>
      </c>
      <c r="J1338" t="s">
        <v>67</v>
      </c>
      <c r="K1338" s="3">
        <v>46198</v>
      </c>
      <c r="L1338" s="3">
        <v>46136</v>
      </c>
      <c r="M1338" s="3">
        <v>46190</v>
      </c>
      <c r="N1338" s="3">
        <v>46190</v>
      </c>
      <c r="O1338" t="s">
        <v>471</v>
      </c>
      <c r="P1338" t="s">
        <v>55</v>
      </c>
      <c r="V1338" t="s">
        <v>487</v>
      </c>
      <c r="W1338">
        <v>232.24</v>
      </c>
      <c r="X1338" t="s">
        <v>57</v>
      </c>
      <c r="AA1338" t="s">
        <v>50</v>
      </c>
      <c r="AE1338">
        <v>1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</row>
    <row r="1339" spans="1:42" x14ac:dyDescent="0.25">
      <c r="A1339">
        <v>1563</v>
      </c>
      <c r="B1339" t="s">
        <v>2425</v>
      </c>
      <c r="C1339" t="s">
        <v>2426</v>
      </c>
      <c r="D1339" t="s">
        <v>2427</v>
      </c>
      <c r="E1339" s="4">
        <v>1</v>
      </c>
      <c r="F1339" t="s">
        <v>175</v>
      </c>
      <c r="G1339" t="s">
        <v>175</v>
      </c>
      <c r="H1339" s="3">
        <v>46164</v>
      </c>
      <c r="I1339" s="3">
        <v>46174</v>
      </c>
      <c r="J1339" t="s">
        <v>67</v>
      </c>
      <c r="K1339" s="3">
        <v>46148</v>
      </c>
      <c r="L1339" s="3">
        <v>46136</v>
      </c>
      <c r="M1339" s="3">
        <v>46174</v>
      </c>
      <c r="N1339" s="3">
        <v>46174</v>
      </c>
      <c r="O1339" t="s">
        <v>471</v>
      </c>
      <c r="P1339" t="s">
        <v>55</v>
      </c>
      <c r="T1339" t="s">
        <v>2426</v>
      </c>
      <c r="V1339" t="s">
        <v>210</v>
      </c>
      <c r="W1339">
        <v>23.52</v>
      </c>
      <c r="X1339" t="s">
        <v>57</v>
      </c>
      <c r="AA1339" t="s">
        <v>50</v>
      </c>
      <c r="AE1339">
        <v>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</row>
    <row r="1340" spans="1:42" x14ac:dyDescent="0.25">
      <c r="A1340">
        <v>1564</v>
      </c>
      <c r="B1340" t="s">
        <v>2428</v>
      </c>
      <c r="C1340" t="s">
        <v>2429</v>
      </c>
      <c r="D1340" t="s">
        <v>117</v>
      </c>
      <c r="E1340" s="4">
        <v>1</v>
      </c>
      <c r="F1340" t="s">
        <v>127</v>
      </c>
      <c r="G1340" t="s">
        <v>127</v>
      </c>
      <c r="H1340" s="3">
        <v>46164</v>
      </c>
      <c r="I1340" s="3">
        <v>46168</v>
      </c>
      <c r="J1340" t="s">
        <v>67</v>
      </c>
      <c r="K1340" s="3">
        <v>46140</v>
      </c>
      <c r="L1340" s="3">
        <v>46136</v>
      </c>
      <c r="M1340" s="3">
        <v>46168</v>
      </c>
      <c r="N1340" s="3">
        <v>46168</v>
      </c>
      <c r="O1340" t="s">
        <v>471</v>
      </c>
      <c r="P1340" t="s">
        <v>55</v>
      </c>
      <c r="Q1340" t="s">
        <v>2430</v>
      </c>
      <c r="S1340" t="s">
        <v>2147</v>
      </c>
      <c r="T1340" t="s">
        <v>2426</v>
      </c>
      <c r="U1340">
        <v>1565</v>
      </c>
      <c r="V1340" t="s">
        <v>122</v>
      </c>
      <c r="W1340">
        <v>13.4</v>
      </c>
      <c r="X1340" t="s">
        <v>57</v>
      </c>
      <c r="Z1340" t="s">
        <v>2147</v>
      </c>
      <c r="AA1340" t="s">
        <v>71</v>
      </c>
      <c r="AE1340">
        <v>1</v>
      </c>
      <c r="AF1340">
        <v>1</v>
      </c>
      <c r="AG1340">
        <v>1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1</v>
      </c>
    </row>
    <row r="1341" spans="1:42" x14ac:dyDescent="0.25">
      <c r="A1341">
        <v>1565</v>
      </c>
      <c r="B1341" t="s">
        <v>2431</v>
      </c>
      <c r="C1341" t="s">
        <v>2429</v>
      </c>
      <c r="D1341" t="s">
        <v>121</v>
      </c>
      <c r="E1341" s="4">
        <v>1</v>
      </c>
      <c r="F1341" t="s">
        <v>61</v>
      </c>
      <c r="G1341" t="s">
        <v>61</v>
      </c>
      <c r="H1341" s="3">
        <v>46169</v>
      </c>
      <c r="I1341" s="3">
        <v>46169</v>
      </c>
      <c r="J1341" t="s">
        <v>415</v>
      </c>
      <c r="K1341" s="3">
        <v>46146</v>
      </c>
      <c r="L1341" s="3">
        <v>46141</v>
      </c>
      <c r="M1341" s="3">
        <v>46169</v>
      </c>
      <c r="N1341" s="3">
        <v>46169</v>
      </c>
      <c r="O1341" t="s">
        <v>97</v>
      </c>
      <c r="P1341" t="s">
        <v>55</v>
      </c>
      <c r="Q1341">
        <v>1564</v>
      </c>
      <c r="S1341" t="s">
        <v>124</v>
      </c>
      <c r="T1341" t="s">
        <v>2426</v>
      </c>
      <c r="U1341">
        <v>1566</v>
      </c>
      <c r="V1341" t="s">
        <v>122</v>
      </c>
      <c r="W1341">
        <v>13.4</v>
      </c>
      <c r="X1341" t="s">
        <v>57</v>
      </c>
      <c r="Z1341" t="s">
        <v>124</v>
      </c>
      <c r="AA1341" t="s">
        <v>71</v>
      </c>
      <c r="AE1341">
        <v>1</v>
      </c>
      <c r="AF1341">
        <v>0</v>
      </c>
      <c r="AG1341">
        <v>0</v>
      </c>
      <c r="AH1341">
        <v>0</v>
      </c>
      <c r="AI1341">
        <v>0</v>
      </c>
      <c r="AJ1341">
        <v>1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</row>
    <row r="1342" spans="1:42" x14ac:dyDescent="0.25">
      <c r="A1342">
        <v>1566</v>
      </c>
      <c r="B1342" t="s">
        <v>2432</v>
      </c>
      <c r="C1342" t="s">
        <v>2429</v>
      </c>
      <c r="D1342" t="s">
        <v>126</v>
      </c>
      <c r="E1342" s="4">
        <v>1</v>
      </c>
      <c r="F1342" t="s">
        <v>127</v>
      </c>
      <c r="G1342" t="s">
        <v>127</v>
      </c>
      <c r="H1342" s="3">
        <v>46170</v>
      </c>
      <c r="I1342" s="3">
        <v>46171</v>
      </c>
      <c r="J1342" t="s">
        <v>183</v>
      </c>
      <c r="K1342" s="3">
        <v>46147</v>
      </c>
      <c r="L1342" s="3">
        <v>46147</v>
      </c>
      <c r="M1342" s="3">
        <v>46171</v>
      </c>
      <c r="N1342" s="3">
        <v>46171</v>
      </c>
      <c r="O1342" t="s">
        <v>448</v>
      </c>
      <c r="P1342" t="s">
        <v>55</v>
      </c>
      <c r="Q1342">
        <v>1565</v>
      </c>
      <c r="S1342" t="s">
        <v>2147</v>
      </c>
      <c r="T1342" t="s">
        <v>2426</v>
      </c>
      <c r="U1342">
        <v>1567</v>
      </c>
      <c r="V1342" t="s">
        <v>61</v>
      </c>
      <c r="W1342">
        <v>13.4</v>
      </c>
      <c r="X1342" t="s">
        <v>57</v>
      </c>
      <c r="Z1342" t="s">
        <v>2147</v>
      </c>
      <c r="AA1342" t="s">
        <v>401</v>
      </c>
      <c r="AE1342">
        <v>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1</v>
      </c>
      <c r="AM1342">
        <v>0</v>
      </c>
      <c r="AN1342">
        <v>0</v>
      </c>
      <c r="AO1342">
        <v>0</v>
      </c>
      <c r="AP1342">
        <v>0</v>
      </c>
    </row>
    <row r="1343" spans="1:42" x14ac:dyDescent="0.25">
      <c r="A1343">
        <v>1567</v>
      </c>
      <c r="B1343" t="s">
        <v>2433</v>
      </c>
      <c r="C1343" t="s">
        <v>2429</v>
      </c>
      <c r="D1343" t="s">
        <v>133</v>
      </c>
      <c r="E1343" s="4">
        <v>1</v>
      </c>
      <c r="F1343" t="s">
        <v>61</v>
      </c>
      <c r="G1343" t="s">
        <v>61</v>
      </c>
      <c r="H1343" s="3">
        <v>46171</v>
      </c>
      <c r="I1343" s="3">
        <v>46174</v>
      </c>
      <c r="J1343" t="s">
        <v>304</v>
      </c>
      <c r="K1343" s="3">
        <v>46148</v>
      </c>
      <c r="L1343" s="3">
        <v>46148</v>
      </c>
      <c r="M1343" s="3">
        <v>46174</v>
      </c>
      <c r="N1343" s="3">
        <v>46174</v>
      </c>
      <c r="O1343" t="s">
        <v>189</v>
      </c>
      <c r="P1343" t="s">
        <v>55</v>
      </c>
      <c r="Q1343">
        <v>1566</v>
      </c>
      <c r="S1343" t="s">
        <v>124</v>
      </c>
      <c r="T1343" t="s">
        <v>2426</v>
      </c>
      <c r="V1343" t="s">
        <v>61</v>
      </c>
      <c r="W1343">
        <v>13.4</v>
      </c>
      <c r="X1343" t="s">
        <v>57</v>
      </c>
      <c r="Z1343" t="s">
        <v>124</v>
      </c>
      <c r="AA1343" t="s">
        <v>401</v>
      </c>
      <c r="AE1343">
        <v>1</v>
      </c>
      <c r="AF1343">
        <v>0</v>
      </c>
      <c r="AG1343">
        <v>0</v>
      </c>
      <c r="AH1343">
        <v>0</v>
      </c>
      <c r="AI1343">
        <v>1</v>
      </c>
      <c r="AJ1343">
        <v>0</v>
      </c>
      <c r="AK1343">
        <v>0</v>
      </c>
      <c r="AL1343">
        <v>0</v>
      </c>
      <c r="AM1343">
        <v>0</v>
      </c>
      <c r="AN1343">
        <v>1</v>
      </c>
      <c r="AO1343">
        <v>0</v>
      </c>
      <c r="AP1343">
        <v>0</v>
      </c>
    </row>
    <row r="1344" spans="1:42" x14ac:dyDescent="0.25">
      <c r="A1344">
        <v>1568</v>
      </c>
      <c r="B1344" t="s">
        <v>2434</v>
      </c>
      <c r="C1344" t="s">
        <v>2426</v>
      </c>
      <c r="D1344" t="s">
        <v>2435</v>
      </c>
      <c r="E1344" s="4">
        <v>1</v>
      </c>
      <c r="F1344" t="s">
        <v>203</v>
      </c>
      <c r="G1344" t="s">
        <v>203</v>
      </c>
      <c r="H1344" s="3">
        <v>46174</v>
      </c>
      <c r="I1344" s="3">
        <v>46190</v>
      </c>
      <c r="J1344" t="s">
        <v>193</v>
      </c>
      <c r="K1344" s="3">
        <v>46190</v>
      </c>
      <c r="L1344" s="3">
        <v>46174</v>
      </c>
      <c r="M1344" s="3">
        <v>46190</v>
      </c>
      <c r="N1344" s="3">
        <v>46190</v>
      </c>
      <c r="O1344" t="s">
        <v>193</v>
      </c>
      <c r="P1344" t="s">
        <v>55</v>
      </c>
      <c r="T1344" t="s">
        <v>2426</v>
      </c>
      <c r="V1344" t="s">
        <v>175</v>
      </c>
      <c r="W1344">
        <v>17.760000000000002</v>
      </c>
      <c r="X1344" t="s">
        <v>57</v>
      </c>
      <c r="AA1344" t="s">
        <v>50</v>
      </c>
      <c r="AE1344">
        <v>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</row>
    <row r="1345" spans="1:42" x14ac:dyDescent="0.25">
      <c r="A1345">
        <v>1569</v>
      </c>
      <c r="B1345" t="s">
        <v>2436</v>
      </c>
      <c r="C1345" t="s">
        <v>2437</v>
      </c>
      <c r="D1345" t="s">
        <v>117</v>
      </c>
      <c r="E1345" s="4">
        <v>1</v>
      </c>
      <c r="F1345" t="s">
        <v>804</v>
      </c>
      <c r="G1345" t="s">
        <v>804</v>
      </c>
      <c r="H1345" s="3">
        <v>46174</v>
      </c>
      <c r="I1345" s="3">
        <v>46176</v>
      </c>
      <c r="J1345" t="s">
        <v>193</v>
      </c>
      <c r="K1345" s="3">
        <v>46176</v>
      </c>
      <c r="L1345" s="3">
        <v>46174</v>
      </c>
      <c r="M1345" s="3">
        <v>46176</v>
      </c>
      <c r="N1345" s="3">
        <v>46176</v>
      </c>
      <c r="O1345" t="s">
        <v>193</v>
      </c>
      <c r="P1345" t="s">
        <v>55</v>
      </c>
      <c r="Q1345" t="s">
        <v>2438</v>
      </c>
      <c r="S1345" t="s">
        <v>2147</v>
      </c>
      <c r="T1345" t="s">
        <v>2426</v>
      </c>
      <c r="U1345" t="s">
        <v>2439</v>
      </c>
      <c r="V1345" t="s">
        <v>127</v>
      </c>
      <c r="W1345">
        <v>13.4</v>
      </c>
      <c r="X1345" t="s">
        <v>57</v>
      </c>
      <c r="Z1345" t="s">
        <v>2147</v>
      </c>
      <c r="AA1345" t="s">
        <v>93</v>
      </c>
      <c r="AE1345">
        <v>1</v>
      </c>
      <c r="AF1345">
        <v>1</v>
      </c>
      <c r="AG1345">
        <v>1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1</v>
      </c>
    </row>
    <row r="1346" spans="1:42" x14ac:dyDescent="0.25">
      <c r="A1346">
        <v>1570</v>
      </c>
      <c r="B1346" t="s">
        <v>2440</v>
      </c>
      <c r="C1346" t="s">
        <v>2437</v>
      </c>
      <c r="D1346" t="s">
        <v>121</v>
      </c>
      <c r="E1346" s="4">
        <v>1</v>
      </c>
      <c r="F1346" t="s">
        <v>63</v>
      </c>
      <c r="G1346" t="s">
        <v>63</v>
      </c>
      <c r="H1346" s="3">
        <v>46176</v>
      </c>
      <c r="I1346" s="3">
        <v>46176</v>
      </c>
      <c r="J1346" t="s">
        <v>459</v>
      </c>
      <c r="K1346" s="3">
        <v>46176</v>
      </c>
      <c r="L1346" s="3">
        <v>46176</v>
      </c>
      <c r="M1346" s="3">
        <v>46176</v>
      </c>
      <c r="N1346" s="3">
        <v>46176</v>
      </c>
      <c r="O1346" t="s">
        <v>459</v>
      </c>
      <c r="P1346" t="s">
        <v>55</v>
      </c>
      <c r="Q1346">
        <v>1569</v>
      </c>
      <c r="S1346" t="s">
        <v>124</v>
      </c>
      <c r="T1346" t="s">
        <v>2426</v>
      </c>
      <c r="U1346">
        <v>1571</v>
      </c>
      <c r="V1346" t="s">
        <v>122</v>
      </c>
      <c r="W1346">
        <v>13.4</v>
      </c>
      <c r="X1346" t="s">
        <v>57</v>
      </c>
      <c r="Z1346" t="s">
        <v>124</v>
      </c>
      <c r="AA1346" t="s">
        <v>198</v>
      </c>
      <c r="AE1346">
        <v>1</v>
      </c>
      <c r="AF1346">
        <v>0</v>
      </c>
      <c r="AG1346">
        <v>0</v>
      </c>
      <c r="AH1346">
        <v>0</v>
      </c>
      <c r="AI1346">
        <v>0</v>
      </c>
      <c r="AJ1346">
        <v>1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</row>
    <row r="1347" spans="1:42" x14ac:dyDescent="0.25">
      <c r="A1347">
        <v>1571</v>
      </c>
      <c r="B1347" t="s">
        <v>2441</v>
      </c>
      <c r="C1347" t="s">
        <v>2437</v>
      </c>
      <c r="D1347" t="s">
        <v>126</v>
      </c>
      <c r="E1347" s="4">
        <v>1</v>
      </c>
      <c r="F1347" t="s">
        <v>61</v>
      </c>
      <c r="G1347" t="s">
        <v>61</v>
      </c>
      <c r="H1347" s="3">
        <v>46176</v>
      </c>
      <c r="I1347" s="3">
        <v>46181</v>
      </c>
      <c r="J1347" t="s">
        <v>459</v>
      </c>
      <c r="K1347" s="3">
        <v>46181</v>
      </c>
      <c r="L1347" s="3">
        <v>46176</v>
      </c>
      <c r="M1347" s="3">
        <v>46181</v>
      </c>
      <c r="N1347" s="3">
        <v>46181</v>
      </c>
      <c r="O1347" t="s">
        <v>459</v>
      </c>
      <c r="P1347" t="s">
        <v>55</v>
      </c>
      <c r="Q1347">
        <v>1570</v>
      </c>
      <c r="S1347" t="s">
        <v>2147</v>
      </c>
      <c r="T1347" t="s">
        <v>2426</v>
      </c>
      <c r="U1347">
        <v>1572</v>
      </c>
      <c r="V1347" t="s">
        <v>61</v>
      </c>
      <c r="W1347">
        <v>13.4</v>
      </c>
      <c r="X1347" t="s">
        <v>57</v>
      </c>
      <c r="Z1347" t="s">
        <v>2147</v>
      </c>
      <c r="AA1347" t="s">
        <v>198</v>
      </c>
      <c r="AE1347">
        <v>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1</v>
      </c>
      <c r="AM1347">
        <v>0</v>
      </c>
      <c r="AN1347">
        <v>0</v>
      </c>
      <c r="AO1347">
        <v>0</v>
      </c>
      <c r="AP1347">
        <v>0</v>
      </c>
    </row>
    <row r="1348" spans="1:42" x14ac:dyDescent="0.25">
      <c r="A1348">
        <v>1572</v>
      </c>
      <c r="B1348" t="s">
        <v>2442</v>
      </c>
      <c r="C1348" t="s">
        <v>2437</v>
      </c>
      <c r="D1348" t="s">
        <v>133</v>
      </c>
      <c r="E1348" s="4">
        <v>1</v>
      </c>
      <c r="F1348" t="s">
        <v>175</v>
      </c>
      <c r="G1348" t="s">
        <v>175</v>
      </c>
      <c r="H1348" s="3">
        <v>46182</v>
      </c>
      <c r="I1348" s="3">
        <v>46190</v>
      </c>
      <c r="J1348" t="s">
        <v>204</v>
      </c>
      <c r="K1348" s="3">
        <v>46190</v>
      </c>
      <c r="L1348" s="3">
        <v>46182</v>
      </c>
      <c r="M1348" s="3">
        <v>46190</v>
      </c>
      <c r="N1348" s="3">
        <v>46190</v>
      </c>
      <c r="O1348" t="s">
        <v>204</v>
      </c>
      <c r="P1348" t="s">
        <v>55</v>
      </c>
      <c r="Q1348">
        <v>1571</v>
      </c>
      <c r="S1348" t="s">
        <v>124</v>
      </c>
      <c r="T1348" t="s">
        <v>2426</v>
      </c>
      <c r="V1348" t="s">
        <v>61</v>
      </c>
      <c r="W1348">
        <v>13.4</v>
      </c>
      <c r="X1348" t="s">
        <v>57</v>
      </c>
      <c r="Z1348" t="s">
        <v>124</v>
      </c>
      <c r="AA1348" t="s">
        <v>77</v>
      </c>
      <c r="AE1348">
        <v>1</v>
      </c>
      <c r="AF1348">
        <v>0</v>
      </c>
      <c r="AG1348">
        <v>0</v>
      </c>
      <c r="AH1348">
        <v>0</v>
      </c>
      <c r="AI1348">
        <v>1</v>
      </c>
      <c r="AJ1348">
        <v>0</v>
      </c>
      <c r="AK1348">
        <v>0</v>
      </c>
      <c r="AL1348">
        <v>0</v>
      </c>
      <c r="AM1348">
        <v>0</v>
      </c>
      <c r="AN1348">
        <v>1</v>
      </c>
      <c r="AO1348">
        <v>0</v>
      </c>
      <c r="AP1348">
        <v>0</v>
      </c>
    </row>
    <row r="1349" spans="1:42" x14ac:dyDescent="0.25">
      <c r="A1349">
        <v>1588</v>
      </c>
      <c r="B1349" t="s">
        <v>2443</v>
      </c>
      <c r="C1349" t="s">
        <v>2426</v>
      </c>
      <c r="D1349" t="s">
        <v>2444</v>
      </c>
      <c r="E1349" s="4">
        <v>1</v>
      </c>
      <c r="F1349" t="s">
        <v>203</v>
      </c>
      <c r="G1349" t="s">
        <v>203</v>
      </c>
      <c r="H1349" s="3">
        <v>46174</v>
      </c>
      <c r="I1349" s="3">
        <v>46190</v>
      </c>
      <c r="J1349" t="s">
        <v>193</v>
      </c>
      <c r="K1349" s="3">
        <v>46190</v>
      </c>
      <c r="L1349" s="3">
        <v>46174</v>
      </c>
      <c r="M1349" s="3">
        <v>46190</v>
      </c>
      <c r="N1349" s="3">
        <v>46190</v>
      </c>
      <c r="O1349" t="s">
        <v>193</v>
      </c>
      <c r="P1349" t="s">
        <v>55</v>
      </c>
      <c r="T1349" t="s">
        <v>2426</v>
      </c>
      <c r="V1349" t="s">
        <v>175</v>
      </c>
      <c r="W1349">
        <v>29.28</v>
      </c>
      <c r="X1349" t="s">
        <v>57</v>
      </c>
      <c r="AA1349" t="s">
        <v>50</v>
      </c>
      <c r="AB1349" t="s">
        <v>94</v>
      </c>
      <c r="AE1349">
        <v>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</row>
    <row r="1350" spans="1:42" x14ac:dyDescent="0.25">
      <c r="A1350">
        <v>1589</v>
      </c>
      <c r="B1350" t="s">
        <v>2445</v>
      </c>
      <c r="C1350" t="s">
        <v>2446</v>
      </c>
      <c r="D1350" t="s">
        <v>117</v>
      </c>
      <c r="E1350" s="4">
        <v>1</v>
      </c>
      <c r="F1350" t="s">
        <v>122</v>
      </c>
      <c r="G1350" t="s">
        <v>122</v>
      </c>
      <c r="H1350" s="3">
        <v>46174</v>
      </c>
      <c r="I1350" s="3">
        <v>46176</v>
      </c>
      <c r="J1350" t="s">
        <v>193</v>
      </c>
      <c r="K1350" s="3">
        <v>46176</v>
      </c>
      <c r="L1350" s="3">
        <v>46174</v>
      </c>
      <c r="M1350" s="3">
        <v>46176</v>
      </c>
      <c r="N1350" s="3">
        <v>46176</v>
      </c>
      <c r="O1350" t="s">
        <v>193</v>
      </c>
      <c r="P1350" t="s">
        <v>55</v>
      </c>
      <c r="Q1350">
        <v>1560</v>
      </c>
      <c r="S1350" t="s">
        <v>2211</v>
      </c>
      <c r="T1350" t="s">
        <v>2426</v>
      </c>
      <c r="U1350" t="s">
        <v>2447</v>
      </c>
      <c r="V1350" t="s">
        <v>127</v>
      </c>
      <c r="W1350">
        <v>13.4</v>
      </c>
      <c r="X1350" t="s">
        <v>57</v>
      </c>
      <c r="Z1350" t="s">
        <v>2211</v>
      </c>
      <c r="AA1350" t="s">
        <v>217</v>
      </c>
      <c r="AE1350">
        <v>1</v>
      </c>
      <c r="AF1350">
        <v>1</v>
      </c>
      <c r="AG1350">
        <v>1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1</v>
      </c>
    </row>
    <row r="1351" spans="1:42" x14ac:dyDescent="0.25">
      <c r="A1351">
        <v>1590</v>
      </c>
      <c r="B1351" t="s">
        <v>2448</v>
      </c>
      <c r="C1351" t="s">
        <v>2446</v>
      </c>
      <c r="D1351" t="s">
        <v>121</v>
      </c>
      <c r="E1351" s="4">
        <v>1</v>
      </c>
      <c r="F1351" t="s">
        <v>61</v>
      </c>
      <c r="G1351" t="s">
        <v>61</v>
      </c>
      <c r="H1351" s="3">
        <v>46181</v>
      </c>
      <c r="I1351" s="3">
        <v>46181</v>
      </c>
      <c r="J1351" t="s">
        <v>201</v>
      </c>
      <c r="K1351" s="3">
        <v>46181</v>
      </c>
      <c r="L1351" s="3">
        <v>46181</v>
      </c>
      <c r="M1351" s="3">
        <v>46181</v>
      </c>
      <c r="N1351" s="3">
        <v>46181</v>
      </c>
      <c r="O1351" t="s">
        <v>201</v>
      </c>
      <c r="P1351" t="s">
        <v>55</v>
      </c>
      <c r="Q1351">
        <v>1589</v>
      </c>
      <c r="S1351" t="s">
        <v>124</v>
      </c>
      <c r="T1351" t="s">
        <v>2426</v>
      </c>
      <c r="U1351">
        <v>1591</v>
      </c>
      <c r="V1351" t="s">
        <v>122</v>
      </c>
      <c r="W1351">
        <v>13.4</v>
      </c>
      <c r="X1351" t="s">
        <v>57</v>
      </c>
      <c r="Z1351" t="s">
        <v>124</v>
      </c>
      <c r="AA1351" t="s">
        <v>217</v>
      </c>
      <c r="AE1351">
        <v>1</v>
      </c>
      <c r="AF1351">
        <v>0</v>
      </c>
      <c r="AG1351">
        <v>0</v>
      </c>
      <c r="AH1351">
        <v>0</v>
      </c>
      <c r="AI1351">
        <v>0</v>
      </c>
      <c r="AJ1351">
        <v>1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</row>
    <row r="1352" spans="1:42" x14ac:dyDescent="0.25">
      <c r="A1352">
        <v>1591</v>
      </c>
      <c r="B1352" t="s">
        <v>2449</v>
      </c>
      <c r="C1352" t="s">
        <v>2446</v>
      </c>
      <c r="D1352" t="s">
        <v>126</v>
      </c>
      <c r="E1352" s="4">
        <v>1</v>
      </c>
      <c r="F1352" t="s">
        <v>61</v>
      </c>
      <c r="G1352" t="s">
        <v>61</v>
      </c>
      <c r="H1352" s="3">
        <v>46182</v>
      </c>
      <c r="I1352" s="3">
        <v>46182</v>
      </c>
      <c r="J1352" t="s">
        <v>204</v>
      </c>
      <c r="K1352" s="3">
        <v>46182</v>
      </c>
      <c r="L1352" s="3">
        <v>46182</v>
      </c>
      <c r="M1352" s="3">
        <v>46182</v>
      </c>
      <c r="N1352" s="3">
        <v>46182</v>
      </c>
      <c r="O1352" t="s">
        <v>204</v>
      </c>
      <c r="P1352" t="s">
        <v>55</v>
      </c>
      <c r="Q1352">
        <v>1590</v>
      </c>
      <c r="S1352" t="s">
        <v>2211</v>
      </c>
      <c r="T1352" t="s">
        <v>2426</v>
      </c>
      <c r="U1352">
        <v>1592</v>
      </c>
      <c r="V1352" t="s">
        <v>61</v>
      </c>
      <c r="W1352">
        <v>13.4</v>
      </c>
      <c r="X1352" t="s">
        <v>57</v>
      </c>
      <c r="Z1352" t="s">
        <v>2211</v>
      </c>
      <c r="AA1352" t="s">
        <v>131</v>
      </c>
      <c r="AE1352">
        <v>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1</v>
      </c>
      <c r="AM1352">
        <v>0</v>
      </c>
      <c r="AN1352">
        <v>0</v>
      </c>
      <c r="AO1352">
        <v>0</v>
      </c>
      <c r="AP1352">
        <v>0</v>
      </c>
    </row>
    <row r="1353" spans="1:42" x14ac:dyDescent="0.25">
      <c r="A1353">
        <v>1592</v>
      </c>
      <c r="B1353" t="s">
        <v>2450</v>
      </c>
      <c r="C1353" t="s">
        <v>2446</v>
      </c>
      <c r="D1353" t="s">
        <v>133</v>
      </c>
      <c r="E1353" s="4">
        <v>1</v>
      </c>
      <c r="F1353" t="s">
        <v>214</v>
      </c>
      <c r="G1353" t="s">
        <v>214</v>
      </c>
      <c r="H1353" s="3">
        <v>46183</v>
      </c>
      <c r="I1353" s="3">
        <v>46190</v>
      </c>
      <c r="J1353" t="s">
        <v>592</v>
      </c>
      <c r="K1353" s="3">
        <v>46190</v>
      </c>
      <c r="L1353" s="3">
        <v>46183</v>
      </c>
      <c r="M1353" s="3">
        <v>46190</v>
      </c>
      <c r="N1353" s="3">
        <v>46190</v>
      </c>
      <c r="O1353" t="s">
        <v>592</v>
      </c>
      <c r="P1353" t="s">
        <v>55</v>
      </c>
      <c r="Q1353">
        <v>1591</v>
      </c>
      <c r="S1353" t="s">
        <v>124</v>
      </c>
      <c r="T1353" t="s">
        <v>2426</v>
      </c>
      <c r="V1353" t="s">
        <v>61</v>
      </c>
      <c r="W1353">
        <v>13.4</v>
      </c>
      <c r="X1353" t="s">
        <v>57</v>
      </c>
      <c r="Z1353" t="s">
        <v>124</v>
      </c>
      <c r="AA1353" t="s">
        <v>131</v>
      </c>
      <c r="AE1353">
        <v>1</v>
      </c>
      <c r="AF1353">
        <v>0</v>
      </c>
      <c r="AG1353">
        <v>0</v>
      </c>
      <c r="AH1353">
        <v>0</v>
      </c>
      <c r="AI1353">
        <v>1</v>
      </c>
      <c r="AJ1353">
        <v>0</v>
      </c>
      <c r="AK1353">
        <v>0</v>
      </c>
      <c r="AL1353">
        <v>0</v>
      </c>
      <c r="AM1353">
        <v>0</v>
      </c>
      <c r="AN1353">
        <v>1</v>
      </c>
      <c r="AO1353">
        <v>0</v>
      </c>
      <c r="AP1353">
        <v>0</v>
      </c>
    </row>
    <row r="1354" spans="1:42" x14ac:dyDescent="0.25">
      <c r="A1354">
        <v>1593</v>
      </c>
      <c r="B1354" t="s">
        <v>2451</v>
      </c>
      <c r="C1354" t="s">
        <v>2426</v>
      </c>
      <c r="D1354" t="s">
        <v>2452</v>
      </c>
      <c r="E1354" s="4">
        <v>1</v>
      </c>
      <c r="F1354" t="s">
        <v>138</v>
      </c>
      <c r="G1354" t="s">
        <v>138</v>
      </c>
      <c r="H1354" s="3">
        <v>46167</v>
      </c>
      <c r="I1354" s="3">
        <v>46171</v>
      </c>
      <c r="J1354" t="s">
        <v>576</v>
      </c>
      <c r="K1354" s="3">
        <v>46198</v>
      </c>
      <c r="L1354" s="3">
        <v>46189</v>
      </c>
      <c r="M1354" s="3">
        <v>46171</v>
      </c>
      <c r="N1354" s="3">
        <v>46171</v>
      </c>
      <c r="O1354" t="s">
        <v>74</v>
      </c>
      <c r="P1354" t="s">
        <v>55</v>
      </c>
      <c r="T1354" t="s">
        <v>2426</v>
      </c>
      <c r="V1354" t="s">
        <v>210</v>
      </c>
      <c r="W1354">
        <v>35.04</v>
      </c>
      <c r="X1354" t="s">
        <v>57</v>
      </c>
      <c r="AA1354" t="s">
        <v>50</v>
      </c>
      <c r="AE1354">
        <v>1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</row>
    <row r="1355" spans="1:42" x14ac:dyDescent="0.25">
      <c r="A1355">
        <v>1594</v>
      </c>
      <c r="B1355" t="s">
        <v>2453</v>
      </c>
      <c r="C1355" t="s">
        <v>2454</v>
      </c>
      <c r="D1355" t="s">
        <v>117</v>
      </c>
      <c r="E1355" s="4">
        <v>1</v>
      </c>
      <c r="F1355" t="s">
        <v>122</v>
      </c>
      <c r="G1355" t="s">
        <v>122</v>
      </c>
      <c r="H1355" s="3">
        <v>46167</v>
      </c>
      <c r="I1355" s="3">
        <v>46169</v>
      </c>
      <c r="J1355" t="s">
        <v>576</v>
      </c>
      <c r="K1355" s="3">
        <v>46191</v>
      </c>
      <c r="L1355" s="3">
        <v>46189</v>
      </c>
      <c r="M1355" s="3">
        <v>46169</v>
      </c>
      <c r="N1355" s="3">
        <v>46169</v>
      </c>
      <c r="O1355" t="s">
        <v>74</v>
      </c>
      <c r="P1355" t="s">
        <v>55</v>
      </c>
      <c r="Q1355" t="s">
        <v>2455</v>
      </c>
      <c r="S1355" t="s">
        <v>2211</v>
      </c>
      <c r="T1355" t="s">
        <v>2426</v>
      </c>
      <c r="U1355">
        <v>1595</v>
      </c>
      <c r="V1355" t="s">
        <v>122</v>
      </c>
      <c r="W1355">
        <v>13.4</v>
      </c>
      <c r="X1355" t="s">
        <v>57</v>
      </c>
      <c r="Z1355" t="s">
        <v>2211</v>
      </c>
      <c r="AA1355" t="s">
        <v>217</v>
      </c>
      <c r="AE1355">
        <v>1</v>
      </c>
      <c r="AF1355">
        <v>1</v>
      </c>
      <c r="AG1355">
        <v>1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1</v>
      </c>
    </row>
    <row r="1356" spans="1:42" x14ac:dyDescent="0.25">
      <c r="A1356">
        <v>1595</v>
      </c>
      <c r="B1356" t="s">
        <v>2456</v>
      </c>
      <c r="C1356" t="s">
        <v>2454</v>
      </c>
      <c r="D1356" t="s">
        <v>121</v>
      </c>
      <c r="E1356" s="4">
        <v>1</v>
      </c>
      <c r="F1356" t="s">
        <v>61</v>
      </c>
      <c r="G1356" t="s">
        <v>61</v>
      </c>
      <c r="H1356" s="3">
        <v>46170</v>
      </c>
      <c r="I1356" s="3">
        <v>46170</v>
      </c>
      <c r="J1356" t="s">
        <v>211</v>
      </c>
      <c r="K1356" s="3">
        <v>46196</v>
      </c>
      <c r="L1356" s="3">
        <v>46192</v>
      </c>
      <c r="M1356" s="3">
        <v>46170</v>
      </c>
      <c r="N1356" s="3">
        <v>46170</v>
      </c>
      <c r="O1356" t="s">
        <v>448</v>
      </c>
      <c r="P1356" t="s">
        <v>55</v>
      </c>
      <c r="Q1356">
        <v>1594</v>
      </c>
      <c r="S1356" t="s">
        <v>124</v>
      </c>
      <c r="T1356" t="s">
        <v>2426</v>
      </c>
      <c r="U1356">
        <v>1596</v>
      </c>
      <c r="V1356" t="s">
        <v>122</v>
      </c>
      <c r="W1356">
        <v>13.4</v>
      </c>
      <c r="X1356" t="s">
        <v>57</v>
      </c>
      <c r="Z1356" t="s">
        <v>124</v>
      </c>
      <c r="AA1356" t="s">
        <v>217</v>
      </c>
      <c r="AE1356">
        <v>1</v>
      </c>
      <c r="AF1356">
        <v>0</v>
      </c>
      <c r="AG1356">
        <v>0</v>
      </c>
      <c r="AH1356">
        <v>0</v>
      </c>
      <c r="AI1356">
        <v>0</v>
      </c>
      <c r="AJ1356">
        <v>1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</row>
    <row r="1357" spans="1:42" x14ac:dyDescent="0.25">
      <c r="A1357">
        <v>1596</v>
      </c>
      <c r="B1357" t="s">
        <v>2457</v>
      </c>
      <c r="C1357" t="s">
        <v>2454</v>
      </c>
      <c r="D1357" t="s">
        <v>126</v>
      </c>
      <c r="E1357" s="4">
        <v>1</v>
      </c>
      <c r="F1357" t="s">
        <v>61</v>
      </c>
      <c r="G1357" t="s">
        <v>61</v>
      </c>
      <c r="H1357" s="3">
        <v>46170</v>
      </c>
      <c r="I1357" s="3">
        <v>46171</v>
      </c>
      <c r="J1357" t="s">
        <v>207</v>
      </c>
      <c r="K1357" s="3">
        <v>46197</v>
      </c>
      <c r="L1357" s="3">
        <v>46197</v>
      </c>
      <c r="M1357" s="3">
        <v>46171</v>
      </c>
      <c r="N1357" s="3">
        <v>46171</v>
      </c>
      <c r="O1357" t="s">
        <v>448</v>
      </c>
      <c r="P1357" t="s">
        <v>55</v>
      </c>
      <c r="Q1357">
        <v>1595</v>
      </c>
      <c r="S1357" t="s">
        <v>2211</v>
      </c>
      <c r="T1357" t="s">
        <v>2426</v>
      </c>
      <c r="U1357">
        <v>1597</v>
      </c>
      <c r="V1357" t="s">
        <v>61</v>
      </c>
      <c r="W1357">
        <v>13.4</v>
      </c>
      <c r="X1357" t="s">
        <v>57</v>
      </c>
      <c r="Z1357" t="s">
        <v>2211</v>
      </c>
      <c r="AA1357" t="s">
        <v>131</v>
      </c>
      <c r="AE1357">
        <v>1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1</v>
      </c>
      <c r="AM1357">
        <v>0</v>
      </c>
      <c r="AN1357">
        <v>0</v>
      </c>
      <c r="AO1357">
        <v>0</v>
      </c>
      <c r="AP1357">
        <v>0</v>
      </c>
    </row>
    <row r="1358" spans="1:42" x14ac:dyDescent="0.25">
      <c r="A1358">
        <v>1597</v>
      </c>
      <c r="B1358" t="s">
        <v>2458</v>
      </c>
      <c r="C1358" t="s">
        <v>2454</v>
      </c>
      <c r="D1358" t="s">
        <v>133</v>
      </c>
      <c r="E1358" s="4">
        <v>1</v>
      </c>
      <c r="F1358" t="s">
        <v>63</v>
      </c>
      <c r="G1358" t="s">
        <v>63</v>
      </c>
      <c r="H1358" s="3">
        <v>46171</v>
      </c>
      <c r="I1358" s="3">
        <v>46171</v>
      </c>
      <c r="J1358" t="s">
        <v>128</v>
      </c>
      <c r="K1358" s="3">
        <v>46198</v>
      </c>
      <c r="L1358" s="3">
        <v>46198</v>
      </c>
      <c r="M1358" s="3">
        <v>46171</v>
      </c>
      <c r="N1358" s="3">
        <v>46171</v>
      </c>
      <c r="O1358" t="s">
        <v>189</v>
      </c>
      <c r="P1358" t="s">
        <v>55</v>
      </c>
      <c r="Q1358">
        <v>1596</v>
      </c>
      <c r="S1358" t="s">
        <v>124</v>
      </c>
      <c r="T1358" t="s">
        <v>2426</v>
      </c>
      <c r="V1358" t="s">
        <v>61</v>
      </c>
      <c r="W1358">
        <v>13.4</v>
      </c>
      <c r="X1358" t="s">
        <v>57</v>
      </c>
      <c r="Z1358" t="s">
        <v>124</v>
      </c>
      <c r="AA1358" t="s">
        <v>131</v>
      </c>
      <c r="AE1358">
        <v>1</v>
      </c>
      <c r="AF1358">
        <v>0</v>
      </c>
      <c r="AG1358">
        <v>0</v>
      </c>
      <c r="AH1358">
        <v>0</v>
      </c>
      <c r="AI1358">
        <v>1</v>
      </c>
      <c r="AJ1358">
        <v>0</v>
      </c>
      <c r="AK1358">
        <v>0</v>
      </c>
      <c r="AL1358">
        <v>0</v>
      </c>
      <c r="AM1358">
        <v>0</v>
      </c>
      <c r="AN1358">
        <v>1</v>
      </c>
      <c r="AO1358">
        <v>0</v>
      </c>
      <c r="AP1358">
        <v>0</v>
      </c>
    </row>
    <row r="1359" spans="1:42" x14ac:dyDescent="0.25">
      <c r="A1359">
        <v>1598</v>
      </c>
      <c r="B1359" t="s">
        <v>2459</v>
      </c>
      <c r="C1359" t="s">
        <v>2426</v>
      </c>
      <c r="D1359" t="s">
        <v>2460</v>
      </c>
      <c r="E1359" s="4">
        <v>1</v>
      </c>
      <c r="F1359" t="s">
        <v>214</v>
      </c>
      <c r="G1359" t="s">
        <v>214</v>
      </c>
      <c r="H1359" s="3">
        <v>46164</v>
      </c>
      <c r="I1359" s="3">
        <v>46171</v>
      </c>
      <c r="J1359" t="s">
        <v>68</v>
      </c>
      <c r="K1359" s="3">
        <v>46167</v>
      </c>
      <c r="L1359" s="3">
        <v>46155</v>
      </c>
      <c r="M1359" s="3">
        <v>46171</v>
      </c>
      <c r="N1359" s="3">
        <v>46171</v>
      </c>
      <c r="O1359" t="s">
        <v>471</v>
      </c>
      <c r="P1359" t="s">
        <v>55</v>
      </c>
      <c r="T1359" t="s">
        <v>2426</v>
      </c>
      <c r="V1359" t="s">
        <v>114</v>
      </c>
      <c r="W1359">
        <v>23.52</v>
      </c>
      <c r="X1359" t="s">
        <v>57</v>
      </c>
      <c r="AA1359" t="s">
        <v>50</v>
      </c>
      <c r="AB1359" t="s">
        <v>94</v>
      </c>
      <c r="AE1359">
        <v>1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</row>
    <row r="1360" spans="1:42" x14ac:dyDescent="0.25">
      <c r="A1360">
        <v>1599</v>
      </c>
      <c r="B1360" t="s">
        <v>2461</v>
      </c>
      <c r="C1360" t="s">
        <v>2462</v>
      </c>
      <c r="D1360" t="s">
        <v>117</v>
      </c>
      <c r="E1360" s="4">
        <v>1</v>
      </c>
      <c r="F1360" t="s">
        <v>101</v>
      </c>
      <c r="G1360" t="s">
        <v>101</v>
      </c>
      <c r="H1360" s="3">
        <v>46164</v>
      </c>
      <c r="I1360" s="3">
        <v>46169</v>
      </c>
      <c r="J1360" t="s">
        <v>68</v>
      </c>
      <c r="K1360" s="3">
        <v>46160</v>
      </c>
      <c r="L1360" s="3">
        <v>46155</v>
      </c>
      <c r="M1360" s="3">
        <v>46169</v>
      </c>
      <c r="N1360" s="3">
        <v>46169</v>
      </c>
      <c r="O1360" t="s">
        <v>471</v>
      </c>
      <c r="P1360" t="s">
        <v>55</v>
      </c>
      <c r="Q1360" t="s">
        <v>2463</v>
      </c>
      <c r="S1360" t="s">
        <v>2211</v>
      </c>
      <c r="T1360" t="s">
        <v>2426</v>
      </c>
      <c r="U1360">
        <v>1600</v>
      </c>
      <c r="V1360" t="s">
        <v>101</v>
      </c>
      <c r="W1360">
        <v>13.4</v>
      </c>
      <c r="X1360" t="s">
        <v>57</v>
      </c>
      <c r="Z1360" t="s">
        <v>2211</v>
      </c>
      <c r="AA1360" t="s">
        <v>93</v>
      </c>
      <c r="AE1360">
        <v>1</v>
      </c>
      <c r="AF1360">
        <v>1</v>
      </c>
      <c r="AG1360">
        <v>1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1</v>
      </c>
    </row>
    <row r="1361" spans="1:42" x14ac:dyDescent="0.25">
      <c r="A1361">
        <v>1600</v>
      </c>
      <c r="B1361" t="s">
        <v>2464</v>
      </c>
      <c r="C1361" t="s">
        <v>2462</v>
      </c>
      <c r="D1361" t="s">
        <v>121</v>
      </c>
      <c r="E1361" s="4">
        <v>1</v>
      </c>
      <c r="F1361" t="s">
        <v>63</v>
      </c>
      <c r="G1361" t="s">
        <v>63</v>
      </c>
      <c r="H1361" s="3">
        <v>46169</v>
      </c>
      <c r="I1361" s="3">
        <v>46169</v>
      </c>
      <c r="J1361" t="s">
        <v>90</v>
      </c>
      <c r="K1361" s="3">
        <v>46163</v>
      </c>
      <c r="L1361" s="3">
        <v>46161</v>
      </c>
      <c r="M1361" s="3">
        <v>46169</v>
      </c>
      <c r="N1361" s="3">
        <v>46169</v>
      </c>
      <c r="O1361" t="s">
        <v>97</v>
      </c>
      <c r="P1361" t="s">
        <v>55</v>
      </c>
      <c r="Q1361">
        <v>1599</v>
      </c>
      <c r="S1361" t="s">
        <v>124</v>
      </c>
      <c r="T1361" t="s">
        <v>2426</v>
      </c>
      <c r="U1361">
        <v>1601</v>
      </c>
      <c r="V1361" t="s">
        <v>122</v>
      </c>
      <c r="W1361">
        <v>13.4</v>
      </c>
      <c r="X1361" t="s">
        <v>57</v>
      </c>
      <c r="Z1361" t="s">
        <v>124</v>
      </c>
      <c r="AA1361" t="s">
        <v>198</v>
      </c>
      <c r="AE1361">
        <v>1</v>
      </c>
      <c r="AF1361">
        <v>0</v>
      </c>
      <c r="AG1361">
        <v>0</v>
      </c>
      <c r="AH1361">
        <v>0</v>
      </c>
      <c r="AI1361">
        <v>0</v>
      </c>
      <c r="AJ1361">
        <v>1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</row>
    <row r="1362" spans="1:42" x14ac:dyDescent="0.25">
      <c r="A1362">
        <v>1601</v>
      </c>
      <c r="B1362" t="s">
        <v>2465</v>
      </c>
      <c r="C1362" t="s">
        <v>2462</v>
      </c>
      <c r="D1362" t="s">
        <v>126</v>
      </c>
      <c r="E1362" s="4">
        <v>1</v>
      </c>
      <c r="F1362" t="s">
        <v>61</v>
      </c>
      <c r="G1362" t="s">
        <v>61</v>
      </c>
      <c r="H1362" s="3">
        <v>46169</v>
      </c>
      <c r="I1362" s="3">
        <v>46170</v>
      </c>
      <c r="J1362" t="s">
        <v>471</v>
      </c>
      <c r="K1362" s="3">
        <v>46164</v>
      </c>
      <c r="L1362" s="3">
        <v>46164</v>
      </c>
      <c r="M1362" s="3">
        <v>46170</v>
      </c>
      <c r="N1362" s="3">
        <v>46170</v>
      </c>
      <c r="O1362" t="s">
        <v>97</v>
      </c>
      <c r="P1362" t="s">
        <v>55</v>
      </c>
      <c r="Q1362">
        <v>1600</v>
      </c>
      <c r="S1362" t="s">
        <v>2211</v>
      </c>
      <c r="T1362" t="s">
        <v>2426</v>
      </c>
      <c r="U1362">
        <v>1602</v>
      </c>
      <c r="V1362" t="s">
        <v>61</v>
      </c>
      <c r="W1362">
        <v>13.4</v>
      </c>
      <c r="X1362" t="s">
        <v>57</v>
      </c>
      <c r="Z1362" t="s">
        <v>2211</v>
      </c>
      <c r="AA1362" t="s">
        <v>198</v>
      </c>
      <c r="AE1362">
        <v>1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1</v>
      </c>
      <c r="AM1362">
        <v>0</v>
      </c>
      <c r="AN1362">
        <v>0</v>
      </c>
      <c r="AO1362">
        <v>0</v>
      </c>
      <c r="AP1362">
        <v>0</v>
      </c>
    </row>
    <row r="1363" spans="1:42" x14ac:dyDescent="0.25">
      <c r="A1363">
        <v>1602</v>
      </c>
      <c r="B1363" t="s">
        <v>2466</v>
      </c>
      <c r="C1363" t="s">
        <v>2462</v>
      </c>
      <c r="D1363" t="s">
        <v>133</v>
      </c>
      <c r="E1363" s="4">
        <v>1</v>
      </c>
      <c r="F1363" t="s">
        <v>61</v>
      </c>
      <c r="G1363" t="s">
        <v>61</v>
      </c>
      <c r="H1363" s="3">
        <v>46170</v>
      </c>
      <c r="I1363" s="3">
        <v>46171</v>
      </c>
      <c r="J1363" t="s">
        <v>74</v>
      </c>
      <c r="K1363" s="3">
        <v>46167</v>
      </c>
      <c r="L1363" s="3">
        <v>46167</v>
      </c>
      <c r="M1363" s="3">
        <v>46171</v>
      </c>
      <c r="N1363" s="3">
        <v>46171</v>
      </c>
      <c r="O1363" t="s">
        <v>448</v>
      </c>
      <c r="P1363" t="s">
        <v>55</v>
      </c>
      <c r="Q1363">
        <v>1601</v>
      </c>
      <c r="S1363" t="s">
        <v>124</v>
      </c>
      <c r="T1363" t="s">
        <v>2426</v>
      </c>
      <c r="V1363" t="s">
        <v>61</v>
      </c>
      <c r="W1363">
        <v>13.4</v>
      </c>
      <c r="X1363" t="s">
        <v>57</v>
      </c>
      <c r="Z1363" t="s">
        <v>124</v>
      </c>
      <c r="AA1363" t="s">
        <v>77</v>
      </c>
      <c r="AE1363">
        <v>1</v>
      </c>
      <c r="AF1363">
        <v>0</v>
      </c>
      <c r="AG1363">
        <v>0</v>
      </c>
      <c r="AH1363">
        <v>0</v>
      </c>
      <c r="AI1363">
        <v>1</v>
      </c>
      <c r="AJ1363">
        <v>0</v>
      </c>
      <c r="AK1363">
        <v>0</v>
      </c>
      <c r="AL1363">
        <v>0</v>
      </c>
      <c r="AM1363">
        <v>0</v>
      </c>
      <c r="AN1363">
        <v>1</v>
      </c>
      <c r="AO1363">
        <v>0</v>
      </c>
      <c r="AP1363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P113"/>
  <sheetViews>
    <sheetView workbookViewId="0">
      <selection activeCell="H11" sqref="H11"/>
    </sheetView>
  </sheetViews>
  <sheetFormatPr defaultRowHeight="15" x14ac:dyDescent="0.25"/>
  <cols>
    <col min="1" max="1" width="5" bestFit="1" customWidth="1"/>
    <col min="2" max="2" width="8.7109375" bestFit="1" customWidth="1"/>
    <col min="3" max="3" width="37.7109375" bestFit="1" customWidth="1"/>
    <col min="4" max="4" width="33.42578125" bestFit="1" customWidth="1"/>
    <col min="5" max="5" width="13.7109375" style="4" bestFit="1" customWidth="1"/>
    <col min="6" max="6" width="10.42578125" bestFit="1" customWidth="1"/>
    <col min="7" max="7" width="14.28515625" bestFit="1" customWidth="1"/>
    <col min="8" max="9" width="10.7109375" style="3" bestFit="1" customWidth="1"/>
    <col min="10" max="10" width="23.42578125" bestFit="1" customWidth="1"/>
    <col min="11" max="11" width="25.85546875" style="3" bestFit="1" customWidth="1"/>
    <col min="12" max="12" width="14.28515625" style="3" bestFit="1" customWidth="1"/>
    <col min="13" max="13" width="17" style="3" bestFit="1" customWidth="1"/>
    <col min="14" max="14" width="14.5703125" bestFit="1" customWidth="1"/>
    <col min="15" max="15" width="12.28515625" bestFit="1" customWidth="1"/>
    <col min="16" max="16" width="12.42578125" bestFit="1" customWidth="1"/>
    <col min="17" max="17" width="16.140625" bestFit="1" customWidth="1"/>
    <col min="18" max="18" width="26.140625" bestFit="1" customWidth="1"/>
    <col min="19" max="19" width="21.28515625" bestFit="1" customWidth="1"/>
    <col min="20" max="20" width="33.140625" bestFit="1" customWidth="1"/>
    <col min="21" max="21" width="14.28515625" bestFit="1" customWidth="1"/>
    <col min="22" max="22" width="16.7109375" bestFit="1" customWidth="1"/>
    <col min="23" max="23" width="24.140625" bestFit="1" customWidth="1"/>
    <col min="24" max="24" width="8.85546875" bestFit="1" customWidth="1"/>
    <col min="25" max="25" width="21" bestFit="1" customWidth="1"/>
    <col min="26" max="26" width="22.85546875" bestFit="1" customWidth="1"/>
    <col min="27" max="27" width="14.5703125" bestFit="1" customWidth="1"/>
    <col min="28" max="29" width="14.28515625" bestFit="1" customWidth="1"/>
    <col min="30" max="30" width="17.42578125" bestFit="1" customWidth="1"/>
    <col min="31" max="31" width="9.5703125" bestFit="1" customWidth="1"/>
    <col min="32" max="32" width="21" bestFit="1" customWidth="1"/>
    <col min="33" max="33" width="25.42578125" bestFit="1" customWidth="1"/>
    <col min="34" max="34" width="24.7109375" bestFit="1" customWidth="1"/>
    <col min="35" max="35" width="17.28515625" bestFit="1" customWidth="1"/>
    <col min="36" max="36" width="30.42578125" bestFit="1" customWidth="1"/>
    <col min="37" max="37" width="27.140625" bestFit="1" customWidth="1"/>
    <col min="38" max="38" width="38.28515625" bestFit="1" customWidth="1"/>
    <col min="39" max="39" width="23.85546875" bestFit="1" customWidth="1"/>
    <col min="40" max="40" width="21.7109375" bestFit="1" customWidth="1"/>
    <col min="41" max="41" width="21" bestFit="1" customWidth="1"/>
    <col min="42" max="42" width="12.28515625" bestFit="1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s="4" t="s">
        <v>4</v>
      </c>
      <c r="F1" t="s">
        <v>5</v>
      </c>
      <c r="G1" t="s">
        <v>6</v>
      </c>
      <c r="H1" s="3" t="s">
        <v>7</v>
      </c>
      <c r="I1" s="3" t="s">
        <v>8</v>
      </c>
      <c r="J1" t="s">
        <v>9</v>
      </c>
      <c r="K1" s="3" t="s">
        <v>10</v>
      </c>
      <c r="L1" s="3" t="s">
        <v>11</v>
      </c>
      <c r="M1" s="3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>
        <v>1</v>
      </c>
      <c r="B2">
        <v>1</v>
      </c>
      <c r="D2" t="s">
        <v>42</v>
      </c>
      <c r="E2" s="4">
        <v>0.99</v>
      </c>
      <c r="F2" t="s">
        <v>43</v>
      </c>
      <c r="G2" t="s">
        <v>44</v>
      </c>
      <c r="H2" s="3">
        <v>46098</v>
      </c>
      <c r="I2" s="3">
        <v>46205</v>
      </c>
      <c r="J2" t="s">
        <v>45</v>
      </c>
      <c r="K2" s="3">
        <v>46199</v>
      </c>
      <c r="L2" s="3">
        <v>46098</v>
      </c>
      <c r="M2" s="3">
        <v>46205</v>
      </c>
      <c r="O2" t="s">
        <v>45</v>
      </c>
      <c r="P2" t="s">
        <v>46</v>
      </c>
      <c r="S2" t="s">
        <v>47</v>
      </c>
      <c r="V2" t="s">
        <v>48</v>
      </c>
      <c r="W2">
        <v>562</v>
      </c>
      <c r="X2" t="s">
        <v>49</v>
      </c>
      <c r="Z2" t="s">
        <v>47</v>
      </c>
      <c r="AA2" t="s">
        <v>50</v>
      </c>
      <c r="AE2">
        <v>0.99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>
        <v>30</v>
      </c>
      <c r="B3" t="s">
        <v>160</v>
      </c>
      <c r="C3" t="s">
        <v>52</v>
      </c>
      <c r="D3" t="s">
        <v>161</v>
      </c>
      <c r="E3" s="4">
        <v>0.91</v>
      </c>
      <c r="F3" t="s">
        <v>43</v>
      </c>
      <c r="G3" t="s">
        <v>162</v>
      </c>
      <c r="H3" s="3">
        <v>46098</v>
      </c>
      <c r="I3" s="3">
        <v>46205</v>
      </c>
      <c r="J3" t="s">
        <v>45</v>
      </c>
      <c r="K3" s="3">
        <v>46199</v>
      </c>
      <c r="L3" s="3">
        <v>46098</v>
      </c>
      <c r="M3" s="3">
        <v>46205</v>
      </c>
      <c r="O3" t="s">
        <v>45</v>
      </c>
      <c r="P3" t="s">
        <v>46</v>
      </c>
      <c r="V3" t="s">
        <v>48</v>
      </c>
      <c r="W3">
        <v>539.20000000000005</v>
      </c>
      <c r="X3" t="s">
        <v>49</v>
      </c>
      <c r="AA3" t="s">
        <v>50</v>
      </c>
      <c r="AE3">
        <v>0.91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>
        <v>51</v>
      </c>
      <c r="B4" t="s">
        <v>208</v>
      </c>
      <c r="C4" t="s">
        <v>164</v>
      </c>
      <c r="D4" t="s">
        <v>209</v>
      </c>
      <c r="E4" s="4">
        <v>0.13</v>
      </c>
      <c r="F4" t="s">
        <v>210</v>
      </c>
      <c r="G4" t="s">
        <v>61</v>
      </c>
      <c r="H4" s="3">
        <v>46196</v>
      </c>
      <c r="I4" s="3">
        <v>46205</v>
      </c>
      <c r="J4" t="s">
        <v>211</v>
      </c>
      <c r="K4" s="3">
        <v>46199</v>
      </c>
      <c r="L4" s="3">
        <v>46192</v>
      </c>
      <c r="M4" s="3">
        <v>46205</v>
      </c>
      <c r="O4" t="s">
        <v>212</v>
      </c>
      <c r="P4" t="s">
        <v>213</v>
      </c>
      <c r="T4" t="s">
        <v>164</v>
      </c>
      <c r="V4" t="s">
        <v>214</v>
      </c>
      <c r="W4">
        <v>16.8</v>
      </c>
      <c r="X4" t="s">
        <v>49</v>
      </c>
      <c r="AA4" t="s">
        <v>50</v>
      </c>
      <c r="AE4">
        <v>0.13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>
        <v>53</v>
      </c>
      <c r="B5" t="s">
        <v>218</v>
      </c>
      <c r="C5" t="s">
        <v>216</v>
      </c>
      <c r="D5" t="s">
        <v>121</v>
      </c>
      <c r="E5" s="4">
        <v>0</v>
      </c>
      <c r="F5" t="s">
        <v>61</v>
      </c>
      <c r="G5" t="s">
        <v>63</v>
      </c>
      <c r="H5" s="3">
        <v>46197</v>
      </c>
      <c r="I5" s="3">
        <v>46197</v>
      </c>
      <c r="J5" t="s">
        <v>219</v>
      </c>
      <c r="K5" s="3">
        <v>46197</v>
      </c>
      <c r="L5" s="3">
        <v>46195</v>
      </c>
      <c r="M5" s="3">
        <v>46197</v>
      </c>
      <c r="O5" t="s">
        <v>220</v>
      </c>
      <c r="P5" t="s">
        <v>213</v>
      </c>
      <c r="Q5">
        <v>52</v>
      </c>
      <c r="S5" t="s">
        <v>124</v>
      </c>
      <c r="T5" t="s">
        <v>164</v>
      </c>
      <c r="U5">
        <v>54</v>
      </c>
      <c r="V5" t="s">
        <v>122</v>
      </c>
      <c r="W5">
        <v>13.4</v>
      </c>
      <c r="X5" t="s">
        <v>49</v>
      </c>
      <c r="Z5" t="s">
        <v>124</v>
      </c>
      <c r="AA5" t="s">
        <v>131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1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>
        <v>54</v>
      </c>
      <c r="B6" t="s">
        <v>221</v>
      </c>
      <c r="C6" t="s">
        <v>216</v>
      </c>
      <c r="D6" t="s">
        <v>126</v>
      </c>
      <c r="E6" s="4">
        <v>0</v>
      </c>
      <c r="F6" t="s">
        <v>61</v>
      </c>
      <c r="G6" t="s">
        <v>63</v>
      </c>
      <c r="H6" s="3">
        <v>46198</v>
      </c>
      <c r="I6" s="3">
        <v>46198</v>
      </c>
      <c r="J6" t="s">
        <v>128</v>
      </c>
      <c r="K6" s="3">
        <v>46198</v>
      </c>
      <c r="L6" s="3">
        <v>46198</v>
      </c>
      <c r="M6" s="3">
        <v>46198</v>
      </c>
      <c r="O6" t="s">
        <v>220</v>
      </c>
      <c r="P6" t="s">
        <v>213</v>
      </c>
      <c r="Q6">
        <v>53</v>
      </c>
      <c r="S6" t="s">
        <v>168</v>
      </c>
      <c r="T6" t="s">
        <v>164</v>
      </c>
      <c r="U6" t="s">
        <v>222</v>
      </c>
      <c r="V6" t="s">
        <v>61</v>
      </c>
      <c r="W6">
        <v>13.4</v>
      </c>
      <c r="X6" t="s">
        <v>49</v>
      </c>
      <c r="Z6" t="s">
        <v>168</v>
      </c>
      <c r="AA6" t="s">
        <v>131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0</v>
      </c>
      <c r="AP6">
        <v>0</v>
      </c>
    </row>
    <row r="7" spans="1:42" x14ac:dyDescent="0.25">
      <c r="A7">
        <v>55</v>
      </c>
      <c r="B7" t="s">
        <v>223</v>
      </c>
      <c r="C7" t="s">
        <v>216</v>
      </c>
      <c r="D7" t="s">
        <v>133</v>
      </c>
      <c r="E7" s="4">
        <v>0</v>
      </c>
      <c r="F7" t="s">
        <v>138</v>
      </c>
      <c r="G7" t="s">
        <v>63</v>
      </c>
      <c r="H7" s="3">
        <v>46199</v>
      </c>
      <c r="I7" s="3">
        <v>46205</v>
      </c>
      <c r="J7" t="s">
        <v>134</v>
      </c>
      <c r="K7" s="3">
        <v>46199</v>
      </c>
      <c r="L7" s="3">
        <v>46199</v>
      </c>
      <c r="M7" s="3">
        <v>46205</v>
      </c>
      <c r="O7" t="s">
        <v>220</v>
      </c>
      <c r="P7" t="s">
        <v>46</v>
      </c>
      <c r="Q7">
        <v>54</v>
      </c>
      <c r="S7" t="s">
        <v>124</v>
      </c>
      <c r="T7" t="s">
        <v>164</v>
      </c>
      <c r="V7" t="s">
        <v>61</v>
      </c>
      <c r="W7">
        <v>13.4</v>
      </c>
      <c r="X7" t="s">
        <v>49</v>
      </c>
      <c r="Z7" t="s">
        <v>124</v>
      </c>
      <c r="AA7" t="s">
        <v>131</v>
      </c>
      <c r="AE7">
        <v>0</v>
      </c>
      <c r="AF7">
        <v>0</v>
      </c>
      <c r="AG7">
        <v>0</v>
      </c>
      <c r="AH7">
        <v>0</v>
      </c>
      <c r="AI7">
        <v>1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>
        <v>76</v>
      </c>
      <c r="B8" t="s">
        <v>241</v>
      </c>
      <c r="C8" t="s">
        <v>52</v>
      </c>
      <c r="D8" t="s">
        <v>242</v>
      </c>
      <c r="E8" s="4">
        <v>0.99</v>
      </c>
      <c r="F8" t="s">
        <v>48</v>
      </c>
      <c r="G8" t="s">
        <v>243</v>
      </c>
      <c r="H8" s="3">
        <v>46104</v>
      </c>
      <c r="I8" s="3">
        <v>46205</v>
      </c>
      <c r="J8" t="s">
        <v>123</v>
      </c>
      <c r="K8" s="3">
        <v>46156</v>
      </c>
      <c r="L8" s="3">
        <v>46104</v>
      </c>
      <c r="M8" s="3">
        <v>46205</v>
      </c>
      <c r="O8" t="s">
        <v>123</v>
      </c>
      <c r="P8" t="s">
        <v>46</v>
      </c>
      <c r="V8" t="s">
        <v>244</v>
      </c>
      <c r="W8">
        <v>105.4</v>
      </c>
      <c r="X8" t="s">
        <v>49</v>
      </c>
      <c r="AA8" t="s">
        <v>50</v>
      </c>
      <c r="AE8">
        <v>0.99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>
        <v>162</v>
      </c>
      <c r="B9" t="s">
        <v>396</v>
      </c>
      <c r="C9" t="s">
        <v>246</v>
      </c>
      <c r="D9" t="s">
        <v>397</v>
      </c>
      <c r="E9" s="4">
        <v>0</v>
      </c>
      <c r="F9" t="s">
        <v>61</v>
      </c>
      <c r="G9" t="s">
        <v>63</v>
      </c>
      <c r="H9" s="3">
        <v>46205</v>
      </c>
      <c r="I9" s="3">
        <v>46205</v>
      </c>
      <c r="J9" t="s">
        <v>183</v>
      </c>
      <c r="K9" s="3">
        <v>46156</v>
      </c>
      <c r="L9" s="3">
        <v>46147</v>
      </c>
      <c r="M9" s="3">
        <v>46205</v>
      </c>
      <c r="O9" t="s">
        <v>220</v>
      </c>
      <c r="P9" t="s">
        <v>398</v>
      </c>
      <c r="T9" t="s">
        <v>246</v>
      </c>
      <c r="V9" t="s">
        <v>210</v>
      </c>
      <c r="W9">
        <v>40.799999999999997</v>
      </c>
      <c r="X9" t="s">
        <v>49</v>
      </c>
      <c r="AA9" t="s">
        <v>50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>
        <v>163</v>
      </c>
      <c r="B10" t="s">
        <v>399</v>
      </c>
      <c r="C10" t="s">
        <v>400</v>
      </c>
      <c r="D10" t="s">
        <v>117</v>
      </c>
      <c r="E10" s="4">
        <v>0</v>
      </c>
      <c r="F10" t="s">
        <v>61</v>
      </c>
      <c r="G10" t="s">
        <v>63</v>
      </c>
      <c r="H10" s="3">
        <v>46205</v>
      </c>
      <c r="I10" s="3">
        <v>46205</v>
      </c>
      <c r="J10" t="s">
        <v>183</v>
      </c>
      <c r="K10" s="3">
        <v>46149</v>
      </c>
      <c r="L10" s="3">
        <v>46147</v>
      </c>
      <c r="M10" s="3">
        <v>46205</v>
      </c>
      <c r="O10" t="s">
        <v>220</v>
      </c>
      <c r="P10" t="s">
        <v>398</v>
      </c>
      <c r="Q10">
        <v>173</v>
      </c>
      <c r="S10" t="s">
        <v>124</v>
      </c>
      <c r="T10" t="s">
        <v>246</v>
      </c>
      <c r="U10">
        <v>164</v>
      </c>
      <c r="V10" t="s">
        <v>122</v>
      </c>
      <c r="W10">
        <v>13.4</v>
      </c>
      <c r="X10" t="s">
        <v>49</v>
      </c>
      <c r="Z10" t="s">
        <v>124</v>
      </c>
      <c r="AA10" t="s">
        <v>401</v>
      </c>
      <c r="AE10">
        <v>0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>
        <v>164</v>
      </c>
      <c r="B11" t="s">
        <v>402</v>
      </c>
      <c r="C11" t="s">
        <v>400</v>
      </c>
      <c r="D11" t="s">
        <v>121</v>
      </c>
      <c r="E11" s="4">
        <v>0</v>
      </c>
      <c r="F11" t="s">
        <v>63</v>
      </c>
      <c r="G11" t="s">
        <v>63</v>
      </c>
      <c r="H11" s="3">
        <v>46205</v>
      </c>
      <c r="I11" s="3">
        <v>46205</v>
      </c>
      <c r="J11" t="s">
        <v>403</v>
      </c>
      <c r="K11" s="3">
        <v>46154</v>
      </c>
      <c r="L11" s="3">
        <v>46150</v>
      </c>
      <c r="M11" s="3">
        <v>46205</v>
      </c>
      <c r="O11" t="s">
        <v>220</v>
      </c>
      <c r="P11" t="s">
        <v>398</v>
      </c>
      <c r="Q11">
        <v>163</v>
      </c>
      <c r="S11" t="s">
        <v>124</v>
      </c>
      <c r="T11" t="s">
        <v>246</v>
      </c>
      <c r="U11">
        <v>165</v>
      </c>
      <c r="V11" t="s">
        <v>122</v>
      </c>
      <c r="W11">
        <v>13.4</v>
      </c>
      <c r="X11" t="s">
        <v>49</v>
      </c>
      <c r="Z11" t="s">
        <v>124</v>
      </c>
      <c r="AA11" t="s">
        <v>401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>
        <v>165</v>
      </c>
      <c r="B12" t="s">
        <v>404</v>
      </c>
      <c r="C12" t="s">
        <v>400</v>
      </c>
      <c r="D12" t="s">
        <v>126</v>
      </c>
      <c r="E12" s="4">
        <v>0</v>
      </c>
      <c r="F12" t="s">
        <v>63</v>
      </c>
      <c r="G12" t="s">
        <v>63</v>
      </c>
      <c r="H12" s="3">
        <v>46205</v>
      </c>
      <c r="I12" s="3">
        <v>46205</v>
      </c>
      <c r="J12" t="s">
        <v>68</v>
      </c>
      <c r="K12" s="3">
        <v>46155</v>
      </c>
      <c r="L12" s="3">
        <v>46155</v>
      </c>
      <c r="M12" s="3">
        <v>46205</v>
      </c>
      <c r="O12" t="s">
        <v>220</v>
      </c>
      <c r="P12" t="s">
        <v>398</v>
      </c>
      <c r="Q12">
        <v>164</v>
      </c>
      <c r="S12" t="s">
        <v>264</v>
      </c>
      <c r="T12" t="s">
        <v>246</v>
      </c>
      <c r="U12">
        <v>166</v>
      </c>
      <c r="V12" t="s">
        <v>61</v>
      </c>
      <c r="W12">
        <v>13.4</v>
      </c>
      <c r="X12" t="s">
        <v>49</v>
      </c>
      <c r="Z12" t="s">
        <v>264</v>
      </c>
      <c r="AA12" t="s">
        <v>93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>
        <v>166</v>
      </c>
      <c r="B13" t="s">
        <v>405</v>
      </c>
      <c r="C13" t="s">
        <v>400</v>
      </c>
      <c r="D13" t="s">
        <v>133</v>
      </c>
      <c r="E13" s="4">
        <v>0</v>
      </c>
      <c r="F13" t="s">
        <v>63</v>
      </c>
      <c r="G13" t="s">
        <v>63</v>
      </c>
      <c r="H13" s="3">
        <v>46205</v>
      </c>
      <c r="I13" s="3">
        <v>46205</v>
      </c>
      <c r="J13" t="s">
        <v>406</v>
      </c>
      <c r="K13" s="3">
        <v>46156</v>
      </c>
      <c r="L13" s="3">
        <v>46156</v>
      </c>
      <c r="M13" s="3">
        <v>46205</v>
      </c>
      <c r="O13" t="s">
        <v>220</v>
      </c>
      <c r="P13" t="s">
        <v>398</v>
      </c>
      <c r="Q13">
        <v>165</v>
      </c>
      <c r="S13" t="s">
        <v>124</v>
      </c>
      <c r="T13" t="s">
        <v>246</v>
      </c>
      <c r="V13" t="s">
        <v>61</v>
      </c>
      <c r="W13">
        <v>13.4</v>
      </c>
      <c r="X13" t="s">
        <v>49</v>
      </c>
      <c r="Z13" t="s">
        <v>124</v>
      </c>
      <c r="AA13" t="s">
        <v>93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>
        <v>177</v>
      </c>
      <c r="B14" t="s">
        <v>420</v>
      </c>
      <c r="C14" t="s">
        <v>52</v>
      </c>
      <c r="D14" t="s">
        <v>421</v>
      </c>
      <c r="E14" s="4">
        <v>0.99</v>
      </c>
      <c r="F14" t="s">
        <v>48</v>
      </c>
      <c r="G14" t="s">
        <v>422</v>
      </c>
      <c r="H14" s="3">
        <v>46104</v>
      </c>
      <c r="I14" s="3">
        <v>46205</v>
      </c>
      <c r="J14" t="s">
        <v>123</v>
      </c>
      <c r="K14" s="3">
        <v>46199</v>
      </c>
      <c r="L14" s="3">
        <v>46104</v>
      </c>
      <c r="M14" s="3">
        <v>46205</v>
      </c>
      <c r="O14" t="s">
        <v>123</v>
      </c>
      <c r="P14" t="s">
        <v>213</v>
      </c>
      <c r="V14" t="s">
        <v>423</v>
      </c>
      <c r="W14">
        <v>459.68</v>
      </c>
      <c r="X14" t="s">
        <v>49</v>
      </c>
      <c r="AA14" t="s">
        <v>50</v>
      </c>
      <c r="AE14">
        <v>0.99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>
        <v>188</v>
      </c>
      <c r="B15" t="s">
        <v>452</v>
      </c>
      <c r="C15" t="s">
        <v>425</v>
      </c>
      <c r="D15" t="s">
        <v>453</v>
      </c>
      <c r="E15" s="4">
        <v>0.11</v>
      </c>
      <c r="F15" t="s">
        <v>114</v>
      </c>
      <c r="G15" t="s">
        <v>61</v>
      </c>
      <c r="H15" s="3">
        <v>46195</v>
      </c>
      <c r="I15" s="3">
        <v>46205</v>
      </c>
      <c r="J15" t="s">
        <v>206</v>
      </c>
      <c r="K15" s="3">
        <v>46181</v>
      </c>
      <c r="L15" s="3">
        <v>46168</v>
      </c>
      <c r="M15" s="3">
        <v>46205</v>
      </c>
      <c r="O15" t="s">
        <v>219</v>
      </c>
      <c r="P15" t="s">
        <v>213</v>
      </c>
      <c r="T15" t="s">
        <v>425</v>
      </c>
      <c r="V15" t="s">
        <v>210</v>
      </c>
      <c r="W15">
        <v>33.96</v>
      </c>
      <c r="X15" t="s">
        <v>49</v>
      </c>
      <c r="AA15" t="s">
        <v>50</v>
      </c>
      <c r="AE15">
        <v>0.11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>
        <v>190</v>
      </c>
      <c r="B16" t="s">
        <v>457</v>
      </c>
      <c r="C16" t="s">
        <v>455</v>
      </c>
      <c r="D16" t="s">
        <v>121</v>
      </c>
      <c r="E16" s="4">
        <v>0</v>
      </c>
      <c r="F16" t="s">
        <v>61</v>
      </c>
      <c r="G16" t="s">
        <v>63</v>
      </c>
      <c r="H16" s="3">
        <v>46196</v>
      </c>
      <c r="I16" s="3">
        <v>46196</v>
      </c>
      <c r="J16" t="s">
        <v>189</v>
      </c>
      <c r="K16" s="3">
        <v>46175</v>
      </c>
      <c r="L16" s="3">
        <v>46171</v>
      </c>
      <c r="M16" s="3">
        <v>46196</v>
      </c>
      <c r="O16" t="s">
        <v>220</v>
      </c>
      <c r="P16" t="s">
        <v>213</v>
      </c>
      <c r="Q16">
        <v>189</v>
      </c>
      <c r="S16" t="s">
        <v>124</v>
      </c>
      <c r="T16" t="s">
        <v>425</v>
      </c>
      <c r="U16">
        <v>191</v>
      </c>
      <c r="V16" t="s">
        <v>122</v>
      </c>
      <c r="W16">
        <v>13.4</v>
      </c>
      <c r="X16" t="s">
        <v>49</v>
      </c>
      <c r="Z16" t="s">
        <v>124</v>
      </c>
      <c r="AA16" t="s">
        <v>77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>
        <v>191</v>
      </c>
      <c r="B17" t="s">
        <v>458</v>
      </c>
      <c r="C17" t="s">
        <v>455</v>
      </c>
      <c r="D17" t="s">
        <v>126</v>
      </c>
      <c r="E17" s="4">
        <v>0</v>
      </c>
      <c r="F17" t="s">
        <v>61</v>
      </c>
      <c r="G17" t="s">
        <v>63</v>
      </c>
      <c r="H17" s="3">
        <v>46197</v>
      </c>
      <c r="I17" s="3">
        <v>46197</v>
      </c>
      <c r="J17" t="s">
        <v>459</v>
      </c>
      <c r="K17" s="3">
        <v>46176</v>
      </c>
      <c r="L17" s="3">
        <v>46176</v>
      </c>
      <c r="M17" s="3">
        <v>46197</v>
      </c>
      <c r="O17" t="s">
        <v>220</v>
      </c>
      <c r="P17" t="s">
        <v>213</v>
      </c>
      <c r="Q17">
        <v>190</v>
      </c>
      <c r="S17" t="s">
        <v>142</v>
      </c>
      <c r="T17" t="s">
        <v>425</v>
      </c>
      <c r="U17">
        <v>192</v>
      </c>
      <c r="V17" t="s">
        <v>61</v>
      </c>
      <c r="W17">
        <v>13.4</v>
      </c>
      <c r="X17" t="s">
        <v>49</v>
      </c>
      <c r="Z17" t="s">
        <v>142</v>
      </c>
      <c r="AA17" t="s">
        <v>460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1</v>
      </c>
      <c r="AN17">
        <v>0</v>
      </c>
      <c r="AO17">
        <v>0</v>
      </c>
      <c r="AP17">
        <v>0</v>
      </c>
    </row>
    <row r="18" spans="1:42" x14ac:dyDescent="0.25">
      <c r="A18">
        <v>192</v>
      </c>
      <c r="B18" t="s">
        <v>461</v>
      </c>
      <c r="C18" t="s">
        <v>455</v>
      </c>
      <c r="D18" t="s">
        <v>133</v>
      </c>
      <c r="E18" s="4">
        <v>0</v>
      </c>
      <c r="F18" t="s">
        <v>214</v>
      </c>
      <c r="G18" t="s">
        <v>63</v>
      </c>
      <c r="H18" s="3">
        <v>46198</v>
      </c>
      <c r="I18" s="3">
        <v>46205</v>
      </c>
      <c r="J18" t="s">
        <v>201</v>
      </c>
      <c r="K18" s="3">
        <v>46181</v>
      </c>
      <c r="L18" s="3">
        <v>46181</v>
      </c>
      <c r="M18" s="3">
        <v>46205</v>
      </c>
      <c r="O18" t="s">
        <v>220</v>
      </c>
      <c r="P18" t="s">
        <v>213</v>
      </c>
      <c r="Q18">
        <v>191</v>
      </c>
      <c r="S18" t="s">
        <v>124</v>
      </c>
      <c r="T18" t="s">
        <v>425</v>
      </c>
      <c r="V18" t="s">
        <v>61</v>
      </c>
      <c r="W18">
        <v>13.4</v>
      </c>
      <c r="X18" t="s">
        <v>49</v>
      </c>
      <c r="Z18" t="s">
        <v>124</v>
      </c>
      <c r="AA18" t="s">
        <v>462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1</v>
      </c>
      <c r="AP18">
        <v>0</v>
      </c>
    </row>
    <row r="19" spans="1:42" x14ac:dyDescent="0.25">
      <c r="A19">
        <v>529</v>
      </c>
      <c r="B19" t="s">
        <v>1023</v>
      </c>
      <c r="C19" t="s">
        <v>425</v>
      </c>
      <c r="D19" t="s">
        <v>1024</v>
      </c>
      <c r="E19" s="4">
        <v>0.5</v>
      </c>
      <c r="F19" t="s">
        <v>122</v>
      </c>
      <c r="G19" t="s">
        <v>804</v>
      </c>
      <c r="H19" s="3">
        <v>46203</v>
      </c>
      <c r="I19" s="3">
        <v>46205</v>
      </c>
      <c r="J19" t="s">
        <v>406</v>
      </c>
      <c r="K19" s="3">
        <v>46161</v>
      </c>
      <c r="L19" s="3">
        <v>46156</v>
      </c>
      <c r="M19" s="3">
        <v>46205</v>
      </c>
      <c r="O19" t="s">
        <v>1025</v>
      </c>
      <c r="P19" t="s">
        <v>398</v>
      </c>
      <c r="T19" t="s">
        <v>425</v>
      </c>
      <c r="V19" t="s">
        <v>101</v>
      </c>
      <c r="W19">
        <v>15.24</v>
      </c>
      <c r="X19" t="s">
        <v>49</v>
      </c>
      <c r="AA19" t="s">
        <v>50</v>
      </c>
      <c r="AE19">
        <v>0.5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>
        <v>531</v>
      </c>
      <c r="B20" t="s">
        <v>1028</v>
      </c>
      <c r="C20" t="s">
        <v>1027</v>
      </c>
      <c r="D20" t="s">
        <v>121</v>
      </c>
      <c r="E20" s="4">
        <v>0</v>
      </c>
      <c r="F20" t="s">
        <v>63</v>
      </c>
      <c r="G20" t="s">
        <v>63</v>
      </c>
      <c r="H20" s="3">
        <v>46203</v>
      </c>
      <c r="I20" s="3">
        <v>46203</v>
      </c>
      <c r="J20" t="s">
        <v>444</v>
      </c>
      <c r="K20" s="3">
        <v>46157</v>
      </c>
      <c r="L20" s="3">
        <v>46157</v>
      </c>
      <c r="M20" s="3">
        <v>46203</v>
      </c>
      <c r="O20" t="s">
        <v>220</v>
      </c>
      <c r="P20" t="s">
        <v>398</v>
      </c>
      <c r="Q20">
        <v>530</v>
      </c>
      <c r="S20" t="s">
        <v>124</v>
      </c>
      <c r="T20" t="s">
        <v>425</v>
      </c>
      <c r="U20">
        <v>532</v>
      </c>
      <c r="V20" t="s">
        <v>61</v>
      </c>
      <c r="W20">
        <v>13.4</v>
      </c>
      <c r="X20" t="s">
        <v>57</v>
      </c>
      <c r="Z20" t="s">
        <v>124</v>
      </c>
      <c r="AA20" t="s">
        <v>93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>
        <v>532</v>
      </c>
      <c r="B21" t="s">
        <v>1029</v>
      </c>
      <c r="C21" t="s">
        <v>1027</v>
      </c>
      <c r="D21" t="s">
        <v>126</v>
      </c>
      <c r="E21" s="4">
        <v>0</v>
      </c>
      <c r="F21" t="s">
        <v>63</v>
      </c>
      <c r="G21" t="s">
        <v>63</v>
      </c>
      <c r="H21" s="3">
        <v>46203</v>
      </c>
      <c r="I21" s="3">
        <v>46203</v>
      </c>
      <c r="J21" t="s">
        <v>185</v>
      </c>
      <c r="K21" s="3">
        <v>46160</v>
      </c>
      <c r="L21" s="3">
        <v>46160</v>
      </c>
      <c r="M21" s="3">
        <v>46203</v>
      </c>
      <c r="O21" t="s">
        <v>220</v>
      </c>
      <c r="P21" t="s">
        <v>398</v>
      </c>
      <c r="Q21">
        <v>531</v>
      </c>
      <c r="S21" t="s">
        <v>142</v>
      </c>
      <c r="T21" t="s">
        <v>425</v>
      </c>
      <c r="U21">
        <v>533</v>
      </c>
      <c r="V21" t="s">
        <v>61</v>
      </c>
      <c r="W21">
        <v>13.4</v>
      </c>
      <c r="X21" t="s">
        <v>57</v>
      </c>
      <c r="Z21" t="s">
        <v>142</v>
      </c>
      <c r="AA21" t="s">
        <v>198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>
        <v>533</v>
      </c>
      <c r="B22" t="s">
        <v>1030</v>
      </c>
      <c r="C22" t="s">
        <v>1027</v>
      </c>
      <c r="D22" t="s">
        <v>133</v>
      </c>
      <c r="E22" s="4">
        <v>0</v>
      </c>
      <c r="F22" t="s">
        <v>61</v>
      </c>
      <c r="G22" t="s">
        <v>63</v>
      </c>
      <c r="H22" s="3">
        <v>46205</v>
      </c>
      <c r="I22" s="3">
        <v>46205</v>
      </c>
      <c r="J22" t="s">
        <v>90</v>
      </c>
      <c r="K22" s="3">
        <v>46161</v>
      </c>
      <c r="L22" s="3">
        <v>46161</v>
      </c>
      <c r="M22" s="3">
        <v>46205</v>
      </c>
      <c r="O22" t="s">
        <v>220</v>
      </c>
      <c r="P22" t="s">
        <v>398</v>
      </c>
      <c r="Q22">
        <v>532</v>
      </c>
      <c r="S22" t="s">
        <v>124</v>
      </c>
      <c r="T22" t="s">
        <v>425</v>
      </c>
      <c r="V22" t="s">
        <v>61</v>
      </c>
      <c r="W22">
        <v>13.4</v>
      </c>
      <c r="X22" t="s">
        <v>49</v>
      </c>
      <c r="Z22" t="s">
        <v>124</v>
      </c>
      <c r="AA22" t="s">
        <v>198</v>
      </c>
      <c r="AE22">
        <v>0</v>
      </c>
      <c r="AF22">
        <v>0</v>
      </c>
      <c r="AG22">
        <v>0</v>
      </c>
      <c r="AH22">
        <v>0</v>
      </c>
      <c r="AI22">
        <v>1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>
        <v>8</v>
      </c>
      <c r="B23" t="s">
        <v>88</v>
      </c>
      <c r="D23" t="s">
        <v>2467</v>
      </c>
      <c r="E23" s="4">
        <v>0</v>
      </c>
      <c r="F23" t="s">
        <v>63</v>
      </c>
      <c r="H23" s="3">
        <v>46155</v>
      </c>
      <c r="I23" s="3">
        <v>46155</v>
      </c>
      <c r="P23" t="s">
        <v>398</v>
      </c>
      <c r="Q23" t="s">
        <v>91</v>
      </c>
      <c r="U23" t="s">
        <v>2468</v>
      </c>
      <c r="V23" t="s">
        <v>63</v>
      </c>
      <c r="AB23" t="s">
        <v>2469</v>
      </c>
      <c r="AC23" t="s">
        <v>68</v>
      </c>
      <c r="AD23" t="s">
        <v>68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>
        <v>40</v>
      </c>
      <c r="B24" t="s">
        <v>2470</v>
      </c>
      <c r="D24" t="s">
        <v>2471</v>
      </c>
      <c r="E24" s="4">
        <v>0</v>
      </c>
      <c r="F24" t="s">
        <v>175</v>
      </c>
      <c r="H24" s="3">
        <v>46190</v>
      </c>
      <c r="I24" s="3">
        <v>46198</v>
      </c>
      <c r="P24" t="s">
        <v>398</v>
      </c>
      <c r="T24" t="s">
        <v>164</v>
      </c>
      <c r="V24" t="s">
        <v>175</v>
      </c>
      <c r="AB24" t="s">
        <v>2469</v>
      </c>
      <c r="AC24" t="s">
        <v>75</v>
      </c>
      <c r="AD24" t="s">
        <v>128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>
        <v>50</v>
      </c>
      <c r="B25" t="s">
        <v>2472</v>
      </c>
      <c r="D25" t="s">
        <v>2473</v>
      </c>
      <c r="E25" s="4">
        <v>0</v>
      </c>
      <c r="F25" t="s">
        <v>175</v>
      </c>
      <c r="H25" s="3">
        <v>46189</v>
      </c>
      <c r="I25" s="3">
        <v>46197</v>
      </c>
      <c r="P25" t="s">
        <v>398</v>
      </c>
      <c r="T25" t="s">
        <v>164</v>
      </c>
      <c r="V25" t="s">
        <v>175</v>
      </c>
      <c r="AB25" t="s">
        <v>2469</v>
      </c>
      <c r="AC25" t="s">
        <v>576</v>
      </c>
      <c r="AD25" t="s">
        <v>207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>
        <v>55</v>
      </c>
      <c r="B26" t="s">
        <v>2474</v>
      </c>
      <c r="D26" t="s">
        <v>2475</v>
      </c>
      <c r="E26" s="4">
        <v>0</v>
      </c>
      <c r="F26" t="s">
        <v>175</v>
      </c>
      <c r="H26" s="3">
        <v>46189</v>
      </c>
      <c r="I26" s="3">
        <v>46197</v>
      </c>
      <c r="P26" t="s">
        <v>398</v>
      </c>
      <c r="T26" t="s">
        <v>164</v>
      </c>
      <c r="V26" t="s">
        <v>175</v>
      </c>
      <c r="AB26" t="s">
        <v>2469</v>
      </c>
      <c r="AC26" t="s">
        <v>576</v>
      </c>
      <c r="AD26" t="s">
        <v>207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>
        <v>141</v>
      </c>
      <c r="B27" t="s">
        <v>372</v>
      </c>
      <c r="D27" t="s">
        <v>2476</v>
      </c>
      <c r="E27" s="4">
        <v>0</v>
      </c>
      <c r="F27" t="s">
        <v>210</v>
      </c>
      <c r="H27" s="3">
        <v>46141</v>
      </c>
      <c r="I27" s="3">
        <v>46153</v>
      </c>
      <c r="P27" t="s">
        <v>398</v>
      </c>
      <c r="T27" t="s">
        <v>246</v>
      </c>
      <c r="V27" t="s">
        <v>210</v>
      </c>
      <c r="AB27" t="s">
        <v>2469</v>
      </c>
      <c r="AC27" t="s">
        <v>415</v>
      </c>
      <c r="AD27" t="s">
        <v>418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>
        <v>203</v>
      </c>
      <c r="B28" t="s">
        <v>549</v>
      </c>
      <c r="D28" t="s">
        <v>2477</v>
      </c>
      <c r="E28" s="4">
        <v>0</v>
      </c>
      <c r="F28" t="s">
        <v>175</v>
      </c>
      <c r="H28" s="3">
        <v>46169</v>
      </c>
      <c r="I28" s="3">
        <v>46181</v>
      </c>
      <c r="P28" t="s">
        <v>398</v>
      </c>
      <c r="T28" t="s">
        <v>425</v>
      </c>
      <c r="V28" t="s">
        <v>175</v>
      </c>
      <c r="AB28" t="s">
        <v>2469</v>
      </c>
      <c r="AC28" t="s">
        <v>97</v>
      </c>
      <c r="AD28" t="s">
        <v>201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>
        <v>224</v>
      </c>
      <c r="B29" t="s">
        <v>587</v>
      </c>
      <c r="D29" t="s">
        <v>2478</v>
      </c>
      <c r="E29" s="4">
        <v>0</v>
      </c>
      <c r="F29" t="s">
        <v>175</v>
      </c>
      <c r="H29" s="3">
        <v>46189</v>
      </c>
      <c r="I29" s="3">
        <v>46197</v>
      </c>
      <c r="P29" t="s">
        <v>398</v>
      </c>
      <c r="T29" t="s">
        <v>425</v>
      </c>
      <c r="V29" t="s">
        <v>175</v>
      </c>
      <c r="AB29" t="s">
        <v>2469</v>
      </c>
      <c r="AC29" t="s">
        <v>576</v>
      </c>
      <c r="AD29" t="s">
        <v>207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>
        <v>277</v>
      </c>
      <c r="B30" t="s">
        <v>2479</v>
      </c>
      <c r="D30" t="s">
        <v>2480</v>
      </c>
      <c r="E30" s="4">
        <v>0</v>
      </c>
      <c r="F30" t="s">
        <v>175</v>
      </c>
      <c r="H30" s="3">
        <v>46189</v>
      </c>
      <c r="I30" s="3">
        <v>46197</v>
      </c>
      <c r="P30" t="s">
        <v>398</v>
      </c>
      <c r="T30" t="s">
        <v>425</v>
      </c>
      <c r="V30" t="s">
        <v>175</v>
      </c>
      <c r="AB30" t="s">
        <v>2469</v>
      </c>
      <c r="AC30" t="s">
        <v>576</v>
      </c>
      <c r="AD30" t="s">
        <v>207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>
        <v>314</v>
      </c>
      <c r="B31" t="s">
        <v>2481</v>
      </c>
      <c r="D31" t="s">
        <v>2482</v>
      </c>
      <c r="E31" s="4">
        <v>0</v>
      </c>
      <c r="F31" t="s">
        <v>2483</v>
      </c>
      <c r="H31" s="3">
        <v>46148</v>
      </c>
      <c r="I31" s="3">
        <v>46199</v>
      </c>
      <c r="P31" t="s">
        <v>398</v>
      </c>
      <c r="T31" t="s">
        <v>425</v>
      </c>
      <c r="V31" t="s">
        <v>2483</v>
      </c>
      <c r="AB31" t="s">
        <v>2469</v>
      </c>
      <c r="AC31" t="s">
        <v>304</v>
      </c>
      <c r="AD31" t="s">
        <v>134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>
        <v>315</v>
      </c>
      <c r="B32" t="s">
        <v>2484</v>
      </c>
      <c r="D32" t="s">
        <v>2485</v>
      </c>
      <c r="E32" s="4">
        <v>0</v>
      </c>
      <c r="F32" t="s">
        <v>203</v>
      </c>
      <c r="H32" s="3">
        <v>46148</v>
      </c>
      <c r="I32" s="3">
        <v>46162</v>
      </c>
      <c r="P32" t="s">
        <v>398</v>
      </c>
      <c r="T32" t="s">
        <v>425</v>
      </c>
      <c r="U32">
        <v>789</v>
      </c>
      <c r="V32" t="s">
        <v>203</v>
      </c>
      <c r="AB32" t="s">
        <v>2469</v>
      </c>
      <c r="AC32" t="s">
        <v>304</v>
      </c>
      <c r="AD32" t="s">
        <v>200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>
        <v>320</v>
      </c>
      <c r="B33" t="s">
        <v>2486</v>
      </c>
      <c r="D33" t="s">
        <v>2487</v>
      </c>
      <c r="E33" s="4">
        <v>0</v>
      </c>
      <c r="F33" t="s">
        <v>203</v>
      </c>
      <c r="H33" s="3">
        <v>46185</v>
      </c>
      <c r="I33" s="3">
        <v>46199</v>
      </c>
      <c r="P33" t="s">
        <v>398</v>
      </c>
      <c r="T33" t="s">
        <v>425</v>
      </c>
      <c r="V33" t="s">
        <v>203</v>
      </c>
      <c r="AB33" t="s">
        <v>2469</v>
      </c>
      <c r="AC33" t="s">
        <v>571</v>
      </c>
      <c r="AD33" t="s">
        <v>134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>
        <v>325</v>
      </c>
      <c r="B34" t="s">
        <v>2488</v>
      </c>
      <c r="D34" t="s">
        <v>2489</v>
      </c>
      <c r="E34" s="4">
        <v>0</v>
      </c>
      <c r="F34" t="s">
        <v>203</v>
      </c>
      <c r="H34" s="3">
        <v>46185</v>
      </c>
      <c r="I34" s="3">
        <v>46199</v>
      </c>
      <c r="P34" t="s">
        <v>398</v>
      </c>
      <c r="T34" t="s">
        <v>425</v>
      </c>
      <c r="V34" t="s">
        <v>203</v>
      </c>
      <c r="AB34" t="s">
        <v>2469</v>
      </c>
      <c r="AC34" t="s">
        <v>571</v>
      </c>
      <c r="AD34" t="s">
        <v>134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>
        <v>330</v>
      </c>
      <c r="B35" t="s">
        <v>2490</v>
      </c>
      <c r="D35" t="s">
        <v>2491</v>
      </c>
      <c r="E35" s="4">
        <v>0</v>
      </c>
      <c r="F35" t="s">
        <v>203</v>
      </c>
      <c r="H35" s="3">
        <v>46185</v>
      </c>
      <c r="I35" s="3">
        <v>46199</v>
      </c>
      <c r="P35" t="s">
        <v>398</v>
      </c>
      <c r="T35" t="s">
        <v>425</v>
      </c>
      <c r="V35" t="s">
        <v>203</v>
      </c>
      <c r="AB35" t="s">
        <v>2469</v>
      </c>
      <c r="AC35" t="s">
        <v>571</v>
      </c>
      <c r="AD35" t="s">
        <v>134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>
        <v>371</v>
      </c>
      <c r="B36" t="s">
        <v>1009</v>
      </c>
      <c r="D36" t="s">
        <v>2492</v>
      </c>
      <c r="E36" s="4">
        <v>0</v>
      </c>
      <c r="F36" t="s">
        <v>101</v>
      </c>
      <c r="H36" s="3">
        <v>46170</v>
      </c>
      <c r="I36" s="3">
        <v>46175</v>
      </c>
      <c r="P36" t="s">
        <v>398</v>
      </c>
      <c r="T36" t="s">
        <v>425</v>
      </c>
      <c r="V36" t="s">
        <v>101</v>
      </c>
      <c r="AB36" t="s">
        <v>2469</v>
      </c>
      <c r="AC36" t="s">
        <v>448</v>
      </c>
      <c r="AD36" t="s">
        <v>472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>
        <v>387</v>
      </c>
      <c r="B37" t="s">
        <v>2493</v>
      </c>
      <c r="D37" t="s">
        <v>2494</v>
      </c>
      <c r="E37" s="4">
        <v>0</v>
      </c>
      <c r="F37" t="s">
        <v>203</v>
      </c>
      <c r="H37" s="3">
        <v>46175</v>
      </c>
      <c r="I37" s="3">
        <v>46191</v>
      </c>
      <c r="P37" t="s">
        <v>398</v>
      </c>
      <c r="T37" t="s">
        <v>1036</v>
      </c>
      <c r="V37" t="s">
        <v>203</v>
      </c>
      <c r="AB37" t="s">
        <v>2469</v>
      </c>
      <c r="AC37" t="s">
        <v>472</v>
      </c>
      <c r="AD37" t="s">
        <v>480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>
        <v>392</v>
      </c>
      <c r="B38" t="s">
        <v>2495</v>
      </c>
      <c r="D38" t="s">
        <v>2496</v>
      </c>
      <c r="E38" s="4">
        <v>0</v>
      </c>
      <c r="F38" t="s">
        <v>1038</v>
      </c>
      <c r="H38" s="3">
        <v>46175</v>
      </c>
      <c r="I38" s="3">
        <v>46195</v>
      </c>
      <c r="P38" t="s">
        <v>398</v>
      </c>
      <c r="T38" t="s">
        <v>1036</v>
      </c>
      <c r="V38" t="s">
        <v>1038</v>
      </c>
      <c r="AB38" t="s">
        <v>2469</v>
      </c>
      <c r="AC38" t="s">
        <v>472</v>
      </c>
      <c r="AD38" t="s">
        <v>219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>
        <v>397</v>
      </c>
      <c r="B39" t="s">
        <v>2497</v>
      </c>
      <c r="D39" t="s">
        <v>2498</v>
      </c>
      <c r="E39" s="4">
        <v>0</v>
      </c>
      <c r="F39" t="s">
        <v>1038</v>
      </c>
      <c r="H39" s="3">
        <v>46175</v>
      </c>
      <c r="I39" s="3">
        <v>46195</v>
      </c>
      <c r="P39" t="s">
        <v>398</v>
      </c>
      <c r="T39" t="s">
        <v>1036</v>
      </c>
      <c r="V39" t="s">
        <v>1038</v>
      </c>
      <c r="AB39" t="s">
        <v>2469</v>
      </c>
      <c r="AC39" t="s">
        <v>472</v>
      </c>
      <c r="AD39" t="s">
        <v>219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>
        <v>402</v>
      </c>
      <c r="B40" t="s">
        <v>2499</v>
      </c>
      <c r="D40" t="s">
        <v>2500</v>
      </c>
      <c r="E40" s="4">
        <v>0</v>
      </c>
      <c r="F40" t="s">
        <v>1038</v>
      </c>
      <c r="H40" s="3">
        <v>46175</v>
      </c>
      <c r="I40" s="3">
        <v>46195</v>
      </c>
      <c r="P40" t="s">
        <v>398</v>
      </c>
      <c r="T40" t="s">
        <v>1036</v>
      </c>
      <c r="V40" t="s">
        <v>1038</v>
      </c>
      <c r="AB40" t="s">
        <v>2469</v>
      </c>
      <c r="AC40" t="s">
        <v>472</v>
      </c>
      <c r="AD40" t="s">
        <v>219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>
        <v>448</v>
      </c>
      <c r="B41" t="s">
        <v>2501</v>
      </c>
      <c r="D41" t="s">
        <v>2502</v>
      </c>
      <c r="E41" s="4">
        <v>0</v>
      </c>
      <c r="F41" t="s">
        <v>175</v>
      </c>
      <c r="H41" s="3">
        <v>46183</v>
      </c>
      <c r="I41" s="3">
        <v>46191</v>
      </c>
      <c r="P41" t="s">
        <v>398</v>
      </c>
      <c r="T41" t="s">
        <v>1109</v>
      </c>
      <c r="V41" t="s">
        <v>175</v>
      </c>
      <c r="AB41" t="s">
        <v>2469</v>
      </c>
      <c r="AC41" t="s">
        <v>592</v>
      </c>
      <c r="AD41" t="s">
        <v>480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>
        <v>458</v>
      </c>
      <c r="B42" t="s">
        <v>2503</v>
      </c>
      <c r="D42" t="s">
        <v>2504</v>
      </c>
      <c r="E42" s="4">
        <v>0</v>
      </c>
      <c r="F42" t="s">
        <v>2505</v>
      </c>
      <c r="H42" s="3">
        <v>46139</v>
      </c>
      <c r="I42" s="3">
        <v>46182</v>
      </c>
      <c r="P42" t="s">
        <v>398</v>
      </c>
      <c r="T42" t="s">
        <v>1109</v>
      </c>
      <c r="U42">
        <v>444</v>
      </c>
      <c r="V42" t="s">
        <v>2505</v>
      </c>
      <c r="AB42" t="s">
        <v>2469</v>
      </c>
      <c r="AC42" t="s">
        <v>188</v>
      </c>
      <c r="AD42" t="s">
        <v>204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>
        <v>468</v>
      </c>
      <c r="B43" t="s">
        <v>2506</v>
      </c>
      <c r="D43" t="s">
        <v>2507</v>
      </c>
      <c r="E43" s="4">
        <v>0</v>
      </c>
      <c r="F43" t="s">
        <v>151</v>
      </c>
      <c r="H43" s="3">
        <v>46147</v>
      </c>
      <c r="I43" s="3">
        <v>46160</v>
      </c>
      <c r="P43" t="s">
        <v>398</v>
      </c>
      <c r="T43" t="s">
        <v>1109</v>
      </c>
      <c r="V43" t="s">
        <v>151</v>
      </c>
      <c r="AB43" t="s">
        <v>2469</v>
      </c>
      <c r="AC43" t="s">
        <v>183</v>
      </c>
      <c r="AD43" t="s">
        <v>185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>
        <v>483</v>
      </c>
      <c r="B44" t="s">
        <v>1165</v>
      </c>
      <c r="D44" t="s">
        <v>2508</v>
      </c>
      <c r="E44" s="4">
        <v>0</v>
      </c>
      <c r="F44" t="s">
        <v>151</v>
      </c>
      <c r="H44" s="3">
        <v>46147</v>
      </c>
      <c r="I44" s="3">
        <v>46160</v>
      </c>
      <c r="P44" t="s">
        <v>398</v>
      </c>
      <c r="T44" t="s">
        <v>1109</v>
      </c>
      <c r="V44" t="s">
        <v>151</v>
      </c>
      <c r="AB44" t="s">
        <v>2469</v>
      </c>
      <c r="AC44" t="s">
        <v>183</v>
      </c>
      <c r="AD44" t="s">
        <v>185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>
        <v>498</v>
      </c>
      <c r="B45" t="s">
        <v>1187</v>
      </c>
      <c r="D45" t="s">
        <v>2509</v>
      </c>
      <c r="E45" s="4">
        <v>0</v>
      </c>
      <c r="F45" t="s">
        <v>151</v>
      </c>
      <c r="H45" s="3">
        <v>46147</v>
      </c>
      <c r="I45" s="3">
        <v>46160</v>
      </c>
      <c r="P45" t="s">
        <v>398</v>
      </c>
      <c r="T45" t="s">
        <v>1109</v>
      </c>
      <c r="V45" t="s">
        <v>151</v>
      </c>
      <c r="AB45" t="s">
        <v>2469</v>
      </c>
      <c r="AC45" t="s">
        <v>183</v>
      </c>
      <c r="AD45" t="s">
        <v>185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>
        <v>543</v>
      </c>
      <c r="B46" t="s">
        <v>1238</v>
      </c>
      <c r="D46" t="s">
        <v>2510</v>
      </c>
      <c r="E46" s="4">
        <v>0</v>
      </c>
      <c r="F46" t="s">
        <v>330</v>
      </c>
      <c r="H46" s="3">
        <v>46181</v>
      </c>
      <c r="I46" s="3">
        <v>46199</v>
      </c>
      <c r="P46" t="s">
        <v>398</v>
      </c>
      <c r="T46" t="s">
        <v>1109</v>
      </c>
      <c r="V46" t="s">
        <v>330</v>
      </c>
      <c r="AB46" t="s">
        <v>2469</v>
      </c>
      <c r="AC46" t="s">
        <v>201</v>
      </c>
      <c r="AD46" t="s">
        <v>134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>
        <v>558</v>
      </c>
      <c r="B47" t="s">
        <v>1259</v>
      </c>
      <c r="D47" t="s">
        <v>2511</v>
      </c>
      <c r="E47" s="4">
        <v>0</v>
      </c>
      <c r="F47" t="s">
        <v>1038</v>
      </c>
      <c r="H47" s="3">
        <v>46170</v>
      </c>
      <c r="I47" s="3">
        <v>46190</v>
      </c>
      <c r="P47" t="s">
        <v>398</v>
      </c>
      <c r="T47" t="s">
        <v>1109</v>
      </c>
      <c r="V47" t="s">
        <v>1038</v>
      </c>
      <c r="AB47" t="s">
        <v>2469</v>
      </c>
      <c r="AC47" t="s">
        <v>448</v>
      </c>
      <c r="AD47" t="s">
        <v>75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>
        <v>563</v>
      </c>
      <c r="B48" t="s">
        <v>1425</v>
      </c>
      <c r="D48" t="s">
        <v>2512</v>
      </c>
      <c r="E48" s="4">
        <v>0</v>
      </c>
      <c r="F48" t="s">
        <v>676</v>
      </c>
      <c r="H48" s="3">
        <v>46153</v>
      </c>
      <c r="I48" s="3">
        <v>46196</v>
      </c>
      <c r="P48" t="s">
        <v>398</v>
      </c>
      <c r="V48" t="s">
        <v>676</v>
      </c>
      <c r="AB48" t="s">
        <v>2469</v>
      </c>
      <c r="AC48" t="s">
        <v>418</v>
      </c>
      <c r="AD48" t="s">
        <v>212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>
        <v>564</v>
      </c>
      <c r="B49" t="s">
        <v>1428</v>
      </c>
      <c r="D49" t="s">
        <v>2513</v>
      </c>
      <c r="E49" s="4">
        <v>0</v>
      </c>
      <c r="F49" t="s">
        <v>151</v>
      </c>
      <c r="H49" s="3">
        <v>46167</v>
      </c>
      <c r="I49" s="3">
        <v>46182</v>
      </c>
      <c r="P49" t="s">
        <v>398</v>
      </c>
      <c r="T49" t="s">
        <v>2514</v>
      </c>
      <c r="V49" t="s">
        <v>151</v>
      </c>
      <c r="AB49" t="s">
        <v>2469</v>
      </c>
      <c r="AC49" t="s">
        <v>74</v>
      </c>
      <c r="AD49" t="s">
        <v>204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>
        <v>569</v>
      </c>
      <c r="B50" t="s">
        <v>1437</v>
      </c>
      <c r="D50" t="s">
        <v>2515</v>
      </c>
      <c r="E50" s="4">
        <v>0</v>
      </c>
      <c r="F50" t="s">
        <v>151</v>
      </c>
      <c r="H50" s="3">
        <v>46153</v>
      </c>
      <c r="I50" s="3">
        <v>46164</v>
      </c>
      <c r="P50" t="s">
        <v>398</v>
      </c>
      <c r="T50" t="s">
        <v>2514</v>
      </c>
      <c r="V50" t="s">
        <v>151</v>
      </c>
      <c r="AB50" t="s">
        <v>2469</v>
      </c>
      <c r="AC50" t="s">
        <v>418</v>
      </c>
      <c r="AD50" t="s">
        <v>471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>
        <v>574</v>
      </c>
      <c r="B51" t="s">
        <v>1488</v>
      </c>
      <c r="D51" t="s">
        <v>2516</v>
      </c>
      <c r="E51" s="4">
        <v>0</v>
      </c>
      <c r="F51" t="s">
        <v>151</v>
      </c>
      <c r="H51" s="3">
        <v>46183</v>
      </c>
      <c r="I51" s="3">
        <v>46196</v>
      </c>
      <c r="P51" t="s">
        <v>398</v>
      </c>
      <c r="T51" t="s">
        <v>2514</v>
      </c>
      <c r="V51" t="s">
        <v>151</v>
      </c>
      <c r="AB51" t="s">
        <v>2469</v>
      </c>
      <c r="AC51" t="s">
        <v>592</v>
      </c>
      <c r="AD51" t="s">
        <v>212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>
        <v>579</v>
      </c>
      <c r="B52" t="s">
        <v>1565</v>
      </c>
      <c r="D52" t="s">
        <v>2517</v>
      </c>
      <c r="E52" s="4">
        <v>0</v>
      </c>
      <c r="F52" t="s">
        <v>210</v>
      </c>
      <c r="H52" s="3">
        <v>46183</v>
      </c>
      <c r="I52" s="3">
        <v>46192</v>
      </c>
      <c r="P52" t="s">
        <v>398</v>
      </c>
      <c r="T52" t="s">
        <v>2514</v>
      </c>
      <c r="V52" t="s">
        <v>210</v>
      </c>
      <c r="AB52" t="s">
        <v>2469</v>
      </c>
      <c r="AC52" t="s">
        <v>592</v>
      </c>
      <c r="AD52" t="s">
        <v>211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>
        <v>584</v>
      </c>
      <c r="B53" t="s">
        <v>1652</v>
      </c>
      <c r="D53" t="s">
        <v>2518</v>
      </c>
      <c r="E53" s="4">
        <v>0</v>
      </c>
      <c r="F53" t="s">
        <v>210</v>
      </c>
      <c r="H53" s="3">
        <v>46164</v>
      </c>
      <c r="I53" s="3">
        <v>46175</v>
      </c>
      <c r="P53" t="s">
        <v>398</v>
      </c>
      <c r="T53" t="s">
        <v>2514</v>
      </c>
      <c r="V53" t="s">
        <v>210</v>
      </c>
      <c r="AB53" t="s">
        <v>2469</v>
      </c>
      <c r="AC53" t="s">
        <v>471</v>
      </c>
      <c r="AD53" t="s">
        <v>472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>
        <v>589</v>
      </c>
      <c r="B54" t="s">
        <v>1778</v>
      </c>
      <c r="D54" t="s">
        <v>2519</v>
      </c>
      <c r="E54" s="4">
        <v>0</v>
      </c>
      <c r="F54" t="s">
        <v>151</v>
      </c>
      <c r="H54" s="3">
        <v>46167</v>
      </c>
      <c r="I54" s="3">
        <v>46182</v>
      </c>
      <c r="P54" t="s">
        <v>398</v>
      </c>
      <c r="T54" t="s">
        <v>2514</v>
      </c>
      <c r="V54" t="s">
        <v>151</v>
      </c>
      <c r="AB54" t="s">
        <v>2469</v>
      </c>
      <c r="AC54" t="s">
        <v>74</v>
      </c>
      <c r="AD54" t="s">
        <v>204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>
        <v>594</v>
      </c>
      <c r="B55" t="s">
        <v>1851</v>
      </c>
      <c r="D55" t="s">
        <v>2520</v>
      </c>
      <c r="E55" s="4">
        <v>0</v>
      </c>
      <c r="F55" t="s">
        <v>210</v>
      </c>
      <c r="H55" s="3">
        <v>46183</v>
      </c>
      <c r="I55" s="3">
        <v>46192</v>
      </c>
      <c r="P55" t="s">
        <v>398</v>
      </c>
      <c r="T55" t="s">
        <v>2514</v>
      </c>
      <c r="V55" t="s">
        <v>210</v>
      </c>
      <c r="AB55" t="s">
        <v>2469</v>
      </c>
      <c r="AC55" t="s">
        <v>592</v>
      </c>
      <c r="AD55" t="s">
        <v>211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>
        <v>599</v>
      </c>
      <c r="B56" t="s">
        <v>1924</v>
      </c>
      <c r="D56" t="s">
        <v>2521</v>
      </c>
      <c r="E56" s="4">
        <v>0</v>
      </c>
      <c r="F56" t="s">
        <v>210</v>
      </c>
      <c r="H56" s="3">
        <v>46183</v>
      </c>
      <c r="I56" s="3">
        <v>46192</v>
      </c>
      <c r="P56" t="s">
        <v>398</v>
      </c>
      <c r="T56" t="s">
        <v>2514</v>
      </c>
      <c r="V56" t="s">
        <v>210</v>
      </c>
      <c r="AB56" t="s">
        <v>2469</v>
      </c>
      <c r="AC56" t="s">
        <v>592</v>
      </c>
      <c r="AD56" t="s">
        <v>211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>
        <v>611</v>
      </c>
      <c r="B57" t="s">
        <v>2156</v>
      </c>
      <c r="D57" t="s">
        <v>2522</v>
      </c>
      <c r="E57" s="4">
        <v>0</v>
      </c>
      <c r="F57" t="s">
        <v>330</v>
      </c>
      <c r="H57" s="3">
        <v>46147</v>
      </c>
      <c r="I57" s="3">
        <v>46167</v>
      </c>
      <c r="P57" t="s">
        <v>398</v>
      </c>
      <c r="T57" t="s">
        <v>1429</v>
      </c>
      <c r="V57" t="s">
        <v>330</v>
      </c>
      <c r="AB57" t="s">
        <v>2469</v>
      </c>
      <c r="AC57" t="s">
        <v>183</v>
      </c>
      <c r="AD57" t="s">
        <v>74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>
        <v>621</v>
      </c>
      <c r="B58" t="s">
        <v>2159</v>
      </c>
      <c r="D58" t="s">
        <v>2523</v>
      </c>
      <c r="E58" s="4">
        <v>0</v>
      </c>
      <c r="F58" t="s">
        <v>175</v>
      </c>
      <c r="H58" s="3">
        <v>46168</v>
      </c>
      <c r="I58" s="3">
        <v>46176</v>
      </c>
      <c r="P58" t="s">
        <v>398</v>
      </c>
      <c r="T58" t="s">
        <v>1429</v>
      </c>
      <c r="V58" t="s">
        <v>175</v>
      </c>
      <c r="AB58" t="s">
        <v>2469</v>
      </c>
      <c r="AC58" t="s">
        <v>206</v>
      </c>
      <c r="AD58" t="s">
        <v>459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>
        <v>626</v>
      </c>
      <c r="B59" t="s">
        <v>2160</v>
      </c>
      <c r="D59" t="s">
        <v>2524</v>
      </c>
      <c r="E59" s="4">
        <v>0</v>
      </c>
      <c r="F59" t="s">
        <v>175</v>
      </c>
      <c r="H59" s="3">
        <v>46168</v>
      </c>
      <c r="I59" s="3">
        <v>46176</v>
      </c>
      <c r="P59" t="s">
        <v>398</v>
      </c>
      <c r="T59" t="s">
        <v>1429</v>
      </c>
      <c r="V59" t="s">
        <v>175</v>
      </c>
      <c r="AB59" t="s">
        <v>2469</v>
      </c>
      <c r="AC59" t="s">
        <v>206</v>
      </c>
      <c r="AD59" t="s">
        <v>459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>
        <v>632</v>
      </c>
      <c r="B60" t="s">
        <v>2163</v>
      </c>
      <c r="D60" t="s">
        <v>2525</v>
      </c>
      <c r="E60" s="4">
        <v>0</v>
      </c>
      <c r="F60" t="s">
        <v>1038</v>
      </c>
      <c r="H60" s="3">
        <v>46161</v>
      </c>
      <c r="I60" s="3">
        <v>46181</v>
      </c>
      <c r="P60" t="s">
        <v>398</v>
      </c>
      <c r="T60" t="s">
        <v>1429</v>
      </c>
      <c r="V60" t="s">
        <v>1038</v>
      </c>
      <c r="AB60" t="s">
        <v>2469</v>
      </c>
      <c r="AC60" t="s">
        <v>90</v>
      </c>
      <c r="AD60" t="s">
        <v>201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>
        <v>637</v>
      </c>
      <c r="B61" t="s">
        <v>2166</v>
      </c>
      <c r="D61" t="s">
        <v>2526</v>
      </c>
      <c r="E61" s="4">
        <v>0</v>
      </c>
      <c r="F61" t="s">
        <v>1038</v>
      </c>
      <c r="H61" s="3">
        <v>46175</v>
      </c>
      <c r="I61" s="3">
        <v>46195</v>
      </c>
      <c r="P61" t="s">
        <v>398</v>
      </c>
      <c r="T61" t="s">
        <v>1429</v>
      </c>
      <c r="V61" t="s">
        <v>1038</v>
      </c>
      <c r="AB61" t="s">
        <v>2469</v>
      </c>
      <c r="AC61" t="s">
        <v>472</v>
      </c>
      <c r="AD61" t="s">
        <v>219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  <row r="62" spans="1:42" x14ac:dyDescent="0.25">
      <c r="A62">
        <v>642</v>
      </c>
      <c r="B62" t="s">
        <v>2167</v>
      </c>
      <c r="D62" t="s">
        <v>2527</v>
      </c>
      <c r="E62" s="4">
        <v>0</v>
      </c>
      <c r="F62" t="s">
        <v>151</v>
      </c>
      <c r="H62" s="3">
        <v>46182</v>
      </c>
      <c r="I62" s="3">
        <v>46195</v>
      </c>
      <c r="P62" t="s">
        <v>398</v>
      </c>
      <c r="T62" t="s">
        <v>1429</v>
      </c>
      <c r="V62" t="s">
        <v>151</v>
      </c>
      <c r="AB62" t="s">
        <v>2469</v>
      </c>
      <c r="AC62" t="s">
        <v>204</v>
      </c>
      <c r="AD62" t="s">
        <v>219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</row>
    <row r="63" spans="1:42" x14ac:dyDescent="0.25">
      <c r="A63">
        <v>647</v>
      </c>
      <c r="B63" t="s">
        <v>2168</v>
      </c>
      <c r="D63" t="s">
        <v>2528</v>
      </c>
      <c r="E63" s="4">
        <v>0</v>
      </c>
      <c r="F63" t="s">
        <v>151</v>
      </c>
      <c r="H63" s="3">
        <v>46182</v>
      </c>
      <c r="I63" s="3">
        <v>46195</v>
      </c>
      <c r="P63" t="s">
        <v>398</v>
      </c>
      <c r="T63" t="s">
        <v>1429</v>
      </c>
      <c r="V63" t="s">
        <v>151</v>
      </c>
      <c r="AB63" t="s">
        <v>2469</v>
      </c>
      <c r="AC63" t="s">
        <v>204</v>
      </c>
      <c r="AD63" t="s">
        <v>219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</row>
    <row r="64" spans="1:42" x14ac:dyDescent="0.25">
      <c r="A64">
        <v>652</v>
      </c>
      <c r="B64" t="s">
        <v>2529</v>
      </c>
      <c r="D64" t="s">
        <v>2530</v>
      </c>
      <c r="E64" s="4">
        <v>0</v>
      </c>
      <c r="F64" t="s">
        <v>151</v>
      </c>
      <c r="H64" s="3">
        <v>46182</v>
      </c>
      <c r="I64" s="3">
        <v>46195</v>
      </c>
      <c r="P64" t="s">
        <v>398</v>
      </c>
      <c r="T64" t="s">
        <v>1429</v>
      </c>
      <c r="V64" t="s">
        <v>151</v>
      </c>
      <c r="AB64" t="s">
        <v>2469</v>
      </c>
      <c r="AC64" t="s">
        <v>204</v>
      </c>
      <c r="AD64" t="s">
        <v>219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</row>
    <row r="65" spans="1:42" x14ac:dyDescent="0.25">
      <c r="A65">
        <v>657</v>
      </c>
      <c r="B65" t="s">
        <v>2531</v>
      </c>
      <c r="D65" t="s">
        <v>2532</v>
      </c>
      <c r="E65" s="4">
        <v>0</v>
      </c>
      <c r="F65" t="s">
        <v>151</v>
      </c>
      <c r="H65" s="3">
        <v>46182</v>
      </c>
      <c r="I65" s="3">
        <v>46195</v>
      </c>
      <c r="P65" t="s">
        <v>398</v>
      </c>
      <c r="T65" t="s">
        <v>1429</v>
      </c>
      <c r="V65" t="s">
        <v>151</v>
      </c>
      <c r="AB65" t="s">
        <v>2469</v>
      </c>
      <c r="AC65" t="s">
        <v>204</v>
      </c>
      <c r="AD65" t="s">
        <v>219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</row>
    <row r="66" spans="1:42" x14ac:dyDescent="0.25">
      <c r="A66">
        <v>662</v>
      </c>
      <c r="B66" t="s">
        <v>2533</v>
      </c>
      <c r="D66" t="s">
        <v>2534</v>
      </c>
      <c r="E66" s="4">
        <v>0</v>
      </c>
      <c r="F66" t="s">
        <v>151</v>
      </c>
      <c r="H66" s="3">
        <v>46182</v>
      </c>
      <c r="I66" s="3">
        <v>46195</v>
      </c>
      <c r="P66" t="s">
        <v>398</v>
      </c>
      <c r="T66" t="s">
        <v>1429</v>
      </c>
      <c r="V66" t="s">
        <v>151</v>
      </c>
      <c r="AB66" t="s">
        <v>2469</v>
      </c>
      <c r="AC66" t="s">
        <v>204</v>
      </c>
      <c r="AD66" t="s">
        <v>219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</row>
    <row r="67" spans="1:42" x14ac:dyDescent="0.25">
      <c r="A67">
        <v>668</v>
      </c>
      <c r="B67" t="s">
        <v>2171</v>
      </c>
      <c r="D67" t="s">
        <v>2535</v>
      </c>
      <c r="E67" s="4">
        <v>0</v>
      </c>
      <c r="F67" t="s">
        <v>1038</v>
      </c>
      <c r="H67" s="3">
        <v>46148</v>
      </c>
      <c r="I67" s="3">
        <v>46164</v>
      </c>
      <c r="P67" t="s">
        <v>398</v>
      </c>
      <c r="T67" t="s">
        <v>1429</v>
      </c>
      <c r="V67" t="s">
        <v>1038</v>
      </c>
      <c r="AB67" t="s">
        <v>2469</v>
      </c>
      <c r="AC67" t="s">
        <v>304</v>
      </c>
      <c r="AD67" t="s">
        <v>471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</row>
    <row r="68" spans="1:42" x14ac:dyDescent="0.25">
      <c r="A68">
        <v>673</v>
      </c>
      <c r="B68" t="s">
        <v>2174</v>
      </c>
      <c r="D68" t="s">
        <v>2536</v>
      </c>
      <c r="E68" s="4">
        <v>0</v>
      </c>
      <c r="F68" t="s">
        <v>330</v>
      </c>
      <c r="H68" s="3">
        <v>46162</v>
      </c>
      <c r="I68" s="3">
        <v>46184</v>
      </c>
      <c r="P68" t="s">
        <v>398</v>
      </c>
      <c r="T68" t="s">
        <v>1429</v>
      </c>
      <c r="U68">
        <v>773</v>
      </c>
      <c r="V68" t="s">
        <v>330</v>
      </c>
      <c r="AB68" t="s">
        <v>2469</v>
      </c>
      <c r="AC68" t="s">
        <v>200</v>
      </c>
      <c r="AD68" t="s">
        <v>476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</row>
    <row r="69" spans="1:42" x14ac:dyDescent="0.25">
      <c r="A69">
        <v>678</v>
      </c>
      <c r="B69" t="s">
        <v>2175</v>
      </c>
      <c r="D69" t="s">
        <v>2537</v>
      </c>
      <c r="E69" s="4">
        <v>0</v>
      </c>
      <c r="F69" t="s">
        <v>175</v>
      </c>
      <c r="H69" s="3">
        <v>46167</v>
      </c>
      <c r="I69" s="3">
        <v>46175</v>
      </c>
      <c r="P69" t="s">
        <v>398</v>
      </c>
      <c r="T69" t="s">
        <v>1429</v>
      </c>
      <c r="V69" t="s">
        <v>175</v>
      </c>
      <c r="AB69" t="s">
        <v>2469</v>
      </c>
      <c r="AC69" t="s">
        <v>74</v>
      </c>
      <c r="AD69" t="s">
        <v>472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</row>
    <row r="70" spans="1:42" x14ac:dyDescent="0.25">
      <c r="A70">
        <v>683</v>
      </c>
      <c r="B70" t="s">
        <v>2176</v>
      </c>
      <c r="D70" t="s">
        <v>2538</v>
      </c>
      <c r="E70" s="4">
        <v>0</v>
      </c>
      <c r="F70" t="s">
        <v>175</v>
      </c>
      <c r="H70" s="3">
        <v>46167</v>
      </c>
      <c r="I70" s="3">
        <v>46175</v>
      </c>
      <c r="P70" t="s">
        <v>398</v>
      </c>
      <c r="T70" t="s">
        <v>1429</v>
      </c>
      <c r="V70" t="s">
        <v>175</v>
      </c>
      <c r="AB70" t="s">
        <v>2469</v>
      </c>
      <c r="AC70" t="s">
        <v>74</v>
      </c>
      <c r="AD70" t="s">
        <v>472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</row>
    <row r="71" spans="1:42" x14ac:dyDescent="0.25">
      <c r="A71">
        <v>689</v>
      </c>
      <c r="B71" t="s">
        <v>2179</v>
      </c>
      <c r="D71" t="s">
        <v>2539</v>
      </c>
      <c r="E71" s="4">
        <v>0</v>
      </c>
      <c r="F71" t="s">
        <v>330</v>
      </c>
      <c r="H71" s="3">
        <v>46161</v>
      </c>
      <c r="I71" s="3">
        <v>46183</v>
      </c>
      <c r="P71" t="s">
        <v>398</v>
      </c>
      <c r="T71" t="s">
        <v>1429</v>
      </c>
      <c r="V71" t="s">
        <v>330</v>
      </c>
      <c r="AB71" t="s">
        <v>2469</v>
      </c>
      <c r="AC71" t="s">
        <v>90</v>
      </c>
      <c r="AD71" t="s">
        <v>592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</row>
    <row r="72" spans="1:42" x14ac:dyDescent="0.25">
      <c r="A72">
        <v>694</v>
      </c>
      <c r="B72" t="s">
        <v>2183</v>
      </c>
      <c r="D72" t="s">
        <v>2540</v>
      </c>
      <c r="E72" s="4">
        <v>0</v>
      </c>
      <c r="F72" t="s">
        <v>330</v>
      </c>
      <c r="H72" s="3">
        <v>46175</v>
      </c>
      <c r="I72" s="3">
        <v>46197</v>
      </c>
      <c r="P72" t="s">
        <v>398</v>
      </c>
      <c r="T72" t="s">
        <v>1429</v>
      </c>
      <c r="V72" t="s">
        <v>330</v>
      </c>
      <c r="AB72" t="s">
        <v>2469</v>
      </c>
      <c r="AC72" t="s">
        <v>472</v>
      </c>
      <c r="AD72" t="s">
        <v>207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</row>
    <row r="73" spans="1:42" x14ac:dyDescent="0.25">
      <c r="A73">
        <v>699</v>
      </c>
      <c r="B73" t="s">
        <v>2184</v>
      </c>
      <c r="D73" t="s">
        <v>2541</v>
      </c>
      <c r="E73" s="4">
        <v>0</v>
      </c>
      <c r="F73" t="s">
        <v>175</v>
      </c>
      <c r="H73" s="3">
        <v>46184</v>
      </c>
      <c r="I73" s="3">
        <v>46192</v>
      </c>
      <c r="P73" t="s">
        <v>398</v>
      </c>
      <c r="T73" t="s">
        <v>1429</v>
      </c>
      <c r="V73" t="s">
        <v>175</v>
      </c>
      <c r="AB73" t="s">
        <v>2469</v>
      </c>
      <c r="AC73" t="s">
        <v>476</v>
      </c>
      <c r="AD73" t="s">
        <v>211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</row>
    <row r="74" spans="1:42" x14ac:dyDescent="0.25">
      <c r="A74">
        <v>704</v>
      </c>
      <c r="B74" t="s">
        <v>2185</v>
      </c>
      <c r="D74" t="s">
        <v>2542</v>
      </c>
      <c r="E74" s="4">
        <v>0</v>
      </c>
      <c r="F74" t="s">
        <v>175</v>
      </c>
      <c r="H74" s="3">
        <v>46184</v>
      </c>
      <c r="I74" s="3">
        <v>46192</v>
      </c>
      <c r="P74" t="s">
        <v>398</v>
      </c>
      <c r="T74" t="s">
        <v>1429</v>
      </c>
      <c r="V74" t="s">
        <v>175</v>
      </c>
      <c r="AB74" t="s">
        <v>2469</v>
      </c>
      <c r="AC74" t="s">
        <v>476</v>
      </c>
      <c r="AD74" t="s">
        <v>211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</row>
    <row r="75" spans="1:42" x14ac:dyDescent="0.25">
      <c r="A75">
        <v>710</v>
      </c>
      <c r="B75" t="s">
        <v>2188</v>
      </c>
      <c r="D75" t="s">
        <v>2543</v>
      </c>
      <c r="E75" s="4">
        <v>0</v>
      </c>
      <c r="F75" t="s">
        <v>203</v>
      </c>
      <c r="H75" s="3">
        <v>46170</v>
      </c>
      <c r="I75" s="3">
        <v>46188</v>
      </c>
      <c r="P75" t="s">
        <v>398</v>
      </c>
      <c r="T75" t="s">
        <v>1429</v>
      </c>
      <c r="V75" t="s">
        <v>203</v>
      </c>
      <c r="AB75" t="s">
        <v>2469</v>
      </c>
      <c r="AC75" t="s">
        <v>448</v>
      </c>
      <c r="AD75" t="s">
        <v>595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</row>
    <row r="76" spans="1:42" x14ac:dyDescent="0.25">
      <c r="A76">
        <v>715</v>
      </c>
      <c r="B76" t="s">
        <v>2191</v>
      </c>
      <c r="D76" t="s">
        <v>2544</v>
      </c>
      <c r="E76" s="4">
        <v>0</v>
      </c>
      <c r="F76" t="s">
        <v>114</v>
      </c>
      <c r="H76" s="3">
        <v>46182</v>
      </c>
      <c r="I76" s="3">
        <v>46192</v>
      </c>
      <c r="P76" t="s">
        <v>398</v>
      </c>
      <c r="T76" t="s">
        <v>1429</v>
      </c>
      <c r="V76" t="s">
        <v>114</v>
      </c>
      <c r="AB76" t="s">
        <v>2469</v>
      </c>
      <c r="AC76" t="s">
        <v>204</v>
      </c>
      <c r="AD76" t="s">
        <v>211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</row>
    <row r="77" spans="1:42" x14ac:dyDescent="0.25">
      <c r="A77">
        <v>720</v>
      </c>
      <c r="B77" t="s">
        <v>2192</v>
      </c>
      <c r="D77" t="s">
        <v>2545</v>
      </c>
      <c r="E77" s="4">
        <v>0</v>
      </c>
      <c r="F77" t="s">
        <v>114</v>
      </c>
      <c r="H77" s="3">
        <v>46189</v>
      </c>
      <c r="I77" s="3">
        <v>46199</v>
      </c>
      <c r="P77" t="s">
        <v>398</v>
      </c>
      <c r="T77" t="s">
        <v>1429</v>
      </c>
      <c r="V77" t="s">
        <v>114</v>
      </c>
      <c r="AB77" t="s">
        <v>2469</v>
      </c>
      <c r="AC77" t="s">
        <v>576</v>
      </c>
      <c r="AD77" t="s">
        <v>134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</row>
    <row r="78" spans="1:42" x14ac:dyDescent="0.25">
      <c r="A78">
        <v>725</v>
      </c>
      <c r="B78" t="s">
        <v>2194</v>
      </c>
      <c r="D78" t="s">
        <v>2546</v>
      </c>
      <c r="E78" s="4">
        <v>0</v>
      </c>
      <c r="F78" t="s">
        <v>114</v>
      </c>
      <c r="H78" s="3">
        <v>46189</v>
      </c>
      <c r="I78" s="3">
        <v>46199</v>
      </c>
      <c r="P78" t="s">
        <v>398</v>
      </c>
      <c r="T78" t="s">
        <v>1429</v>
      </c>
      <c r="V78" t="s">
        <v>114</v>
      </c>
      <c r="AB78" t="s">
        <v>2469</v>
      </c>
      <c r="AC78" t="s">
        <v>576</v>
      </c>
      <c r="AD78" t="s">
        <v>134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</row>
    <row r="79" spans="1:42" x14ac:dyDescent="0.25">
      <c r="A79">
        <v>730</v>
      </c>
      <c r="B79" t="s">
        <v>2547</v>
      </c>
      <c r="D79" t="s">
        <v>2548</v>
      </c>
      <c r="E79" s="4">
        <v>0</v>
      </c>
      <c r="F79" t="s">
        <v>114</v>
      </c>
      <c r="H79" s="3">
        <v>46189</v>
      </c>
      <c r="I79" s="3">
        <v>46199</v>
      </c>
      <c r="P79" t="s">
        <v>398</v>
      </c>
      <c r="T79" t="s">
        <v>1429</v>
      </c>
      <c r="V79" t="s">
        <v>114</v>
      </c>
      <c r="AB79" t="s">
        <v>2469</v>
      </c>
      <c r="AC79" t="s">
        <v>576</v>
      </c>
      <c r="AD79" t="s">
        <v>134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</row>
    <row r="80" spans="1:42" x14ac:dyDescent="0.25">
      <c r="A80">
        <v>735</v>
      </c>
      <c r="B80" t="s">
        <v>2549</v>
      </c>
      <c r="D80" t="s">
        <v>2550</v>
      </c>
      <c r="E80" s="4">
        <v>0</v>
      </c>
      <c r="F80" t="s">
        <v>114</v>
      </c>
      <c r="H80" s="3">
        <v>46189</v>
      </c>
      <c r="I80" s="3">
        <v>46199</v>
      </c>
      <c r="P80" t="s">
        <v>398</v>
      </c>
      <c r="T80" t="s">
        <v>1429</v>
      </c>
      <c r="V80" t="s">
        <v>114</v>
      </c>
      <c r="AB80" t="s">
        <v>2469</v>
      </c>
      <c r="AC80" t="s">
        <v>576</v>
      </c>
      <c r="AD80" t="s">
        <v>134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</row>
    <row r="81" spans="1:42" x14ac:dyDescent="0.25">
      <c r="A81">
        <v>741</v>
      </c>
      <c r="B81" t="s">
        <v>2198</v>
      </c>
      <c r="D81" t="s">
        <v>2551</v>
      </c>
      <c r="E81" s="4">
        <v>0</v>
      </c>
      <c r="F81" t="s">
        <v>1038</v>
      </c>
      <c r="H81" s="3">
        <v>46154</v>
      </c>
      <c r="I81" s="3">
        <v>46170</v>
      </c>
      <c r="P81" t="s">
        <v>398</v>
      </c>
      <c r="T81" t="s">
        <v>1429</v>
      </c>
      <c r="V81" t="s">
        <v>1038</v>
      </c>
      <c r="AB81" t="s">
        <v>2469</v>
      </c>
      <c r="AC81" t="s">
        <v>741</v>
      </c>
      <c r="AD81" t="s">
        <v>448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</row>
    <row r="82" spans="1:42" x14ac:dyDescent="0.25">
      <c r="A82">
        <v>746</v>
      </c>
      <c r="B82" t="s">
        <v>2200</v>
      </c>
      <c r="D82" t="s">
        <v>2552</v>
      </c>
      <c r="E82" s="4">
        <v>0</v>
      </c>
      <c r="F82" t="s">
        <v>175</v>
      </c>
      <c r="H82" s="3">
        <v>46191</v>
      </c>
      <c r="I82" s="3">
        <v>46199</v>
      </c>
      <c r="P82" t="s">
        <v>398</v>
      </c>
      <c r="T82" t="s">
        <v>1429</v>
      </c>
      <c r="V82" t="s">
        <v>175</v>
      </c>
      <c r="AB82" t="s">
        <v>2469</v>
      </c>
      <c r="AC82" t="s">
        <v>480</v>
      </c>
      <c r="AD82" t="s">
        <v>134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</row>
    <row r="83" spans="1:42" x14ac:dyDescent="0.25">
      <c r="A83">
        <v>751</v>
      </c>
      <c r="B83" t="s">
        <v>2201</v>
      </c>
      <c r="D83" t="s">
        <v>2553</v>
      </c>
      <c r="E83" s="4">
        <v>0</v>
      </c>
      <c r="F83" t="s">
        <v>175</v>
      </c>
      <c r="H83" s="3">
        <v>46171</v>
      </c>
      <c r="I83" s="3">
        <v>46183</v>
      </c>
      <c r="P83" t="s">
        <v>398</v>
      </c>
      <c r="T83" t="s">
        <v>1429</v>
      </c>
      <c r="V83" t="s">
        <v>175</v>
      </c>
      <c r="AB83" t="s">
        <v>2469</v>
      </c>
      <c r="AC83" t="s">
        <v>189</v>
      </c>
      <c r="AD83" t="s">
        <v>592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</row>
    <row r="84" spans="1:42" x14ac:dyDescent="0.25">
      <c r="A84">
        <v>756</v>
      </c>
      <c r="B84" t="s">
        <v>2203</v>
      </c>
      <c r="D84" t="s">
        <v>2554</v>
      </c>
      <c r="E84" s="4">
        <v>0</v>
      </c>
      <c r="F84" t="s">
        <v>175</v>
      </c>
      <c r="H84" s="3">
        <v>46171</v>
      </c>
      <c r="I84" s="3">
        <v>46183</v>
      </c>
      <c r="P84" t="s">
        <v>398</v>
      </c>
      <c r="T84" t="s">
        <v>1429</v>
      </c>
      <c r="V84" t="s">
        <v>175</v>
      </c>
      <c r="AB84" t="s">
        <v>2469</v>
      </c>
      <c r="AC84" t="s">
        <v>189</v>
      </c>
      <c r="AD84" t="s">
        <v>592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</row>
    <row r="85" spans="1:42" x14ac:dyDescent="0.25">
      <c r="A85">
        <v>761</v>
      </c>
      <c r="B85" t="s">
        <v>2555</v>
      </c>
      <c r="D85" t="s">
        <v>2556</v>
      </c>
      <c r="E85" s="4">
        <v>0</v>
      </c>
      <c r="F85" t="s">
        <v>175</v>
      </c>
      <c r="H85" s="3">
        <v>46171</v>
      </c>
      <c r="I85" s="3">
        <v>46183</v>
      </c>
      <c r="P85" t="s">
        <v>398</v>
      </c>
      <c r="T85" t="s">
        <v>1429</v>
      </c>
      <c r="V85" t="s">
        <v>175</v>
      </c>
      <c r="AB85" t="s">
        <v>2469</v>
      </c>
      <c r="AC85" t="s">
        <v>189</v>
      </c>
      <c r="AD85" t="s">
        <v>592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</row>
    <row r="86" spans="1:42" x14ac:dyDescent="0.25">
      <c r="A86">
        <v>767</v>
      </c>
      <c r="B86" t="s">
        <v>2208</v>
      </c>
      <c r="D86" t="s">
        <v>2557</v>
      </c>
      <c r="E86" s="4">
        <v>0</v>
      </c>
      <c r="F86" t="s">
        <v>330</v>
      </c>
      <c r="H86" s="3">
        <v>46163</v>
      </c>
      <c r="I86" s="3">
        <v>46185</v>
      </c>
      <c r="P86" t="s">
        <v>398</v>
      </c>
      <c r="T86" t="s">
        <v>1429</v>
      </c>
      <c r="V86" t="s">
        <v>330</v>
      </c>
      <c r="AB86" t="s">
        <v>2469</v>
      </c>
      <c r="AC86" t="s">
        <v>491</v>
      </c>
      <c r="AD86" t="s">
        <v>571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</row>
    <row r="87" spans="1:42" x14ac:dyDescent="0.25">
      <c r="A87">
        <v>772</v>
      </c>
      <c r="B87" t="s">
        <v>2213</v>
      </c>
      <c r="D87" t="s">
        <v>2558</v>
      </c>
      <c r="E87" s="4">
        <v>0</v>
      </c>
      <c r="F87" t="s">
        <v>210</v>
      </c>
      <c r="H87" s="3">
        <v>46185</v>
      </c>
      <c r="I87" s="3">
        <v>46196</v>
      </c>
      <c r="P87" t="s">
        <v>398</v>
      </c>
      <c r="T87" t="s">
        <v>1429</v>
      </c>
      <c r="V87" t="s">
        <v>210</v>
      </c>
      <c r="AB87" t="s">
        <v>2469</v>
      </c>
      <c r="AC87" t="s">
        <v>571</v>
      </c>
      <c r="AD87" t="s">
        <v>212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</row>
    <row r="88" spans="1:42" x14ac:dyDescent="0.25">
      <c r="A88">
        <v>777</v>
      </c>
      <c r="B88" t="s">
        <v>2214</v>
      </c>
      <c r="D88" t="s">
        <v>2559</v>
      </c>
      <c r="E88" s="4">
        <v>0</v>
      </c>
      <c r="F88" t="s">
        <v>210</v>
      </c>
      <c r="H88" s="3">
        <v>46188</v>
      </c>
      <c r="I88" s="3">
        <v>46197</v>
      </c>
      <c r="P88" t="s">
        <v>398</v>
      </c>
      <c r="T88" t="s">
        <v>1429</v>
      </c>
      <c r="V88" t="s">
        <v>210</v>
      </c>
      <c r="AB88" t="s">
        <v>2469</v>
      </c>
      <c r="AC88" t="s">
        <v>595</v>
      </c>
      <c r="AD88" t="s">
        <v>207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</row>
    <row r="89" spans="1:42" x14ac:dyDescent="0.25">
      <c r="A89">
        <v>782</v>
      </c>
      <c r="B89" t="s">
        <v>2215</v>
      </c>
      <c r="D89" t="s">
        <v>2560</v>
      </c>
      <c r="E89" s="4">
        <v>0</v>
      </c>
      <c r="F89" t="s">
        <v>175</v>
      </c>
      <c r="H89" s="3">
        <v>46189</v>
      </c>
      <c r="I89" s="3">
        <v>46197</v>
      </c>
      <c r="P89" t="s">
        <v>398</v>
      </c>
      <c r="T89" t="s">
        <v>1429</v>
      </c>
      <c r="V89" t="s">
        <v>175</v>
      </c>
      <c r="AB89" t="s">
        <v>2469</v>
      </c>
      <c r="AC89" t="s">
        <v>576</v>
      </c>
      <c r="AD89" t="s">
        <v>207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</row>
    <row r="90" spans="1:42" x14ac:dyDescent="0.25">
      <c r="A90">
        <v>787</v>
      </c>
      <c r="B90" t="s">
        <v>2216</v>
      </c>
      <c r="D90" t="s">
        <v>2482</v>
      </c>
      <c r="E90" s="4">
        <v>0</v>
      </c>
      <c r="F90" t="s">
        <v>2561</v>
      </c>
      <c r="H90" s="3">
        <v>46163</v>
      </c>
      <c r="I90" s="3">
        <v>46198</v>
      </c>
      <c r="P90" t="s">
        <v>398</v>
      </c>
      <c r="T90" t="s">
        <v>1429</v>
      </c>
      <c r="V90" t="s">
        <v>2561</v>
      </c>
      <c r="AB90" t="s">
        <v>2469</v>
      </c>
      <c r="AC90" t="s">
        <v>491</v>
      </c>
      <c r="AD90" t="s">
        <v>128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</row>
    <row r="91" spans="1:42" x14ac:dyDescent="0.25">
      <c r="A91">
        <v>788</v>
      </c>
      <c r="B91" t="s">
        <v>2218</v>
      </c>
      <c r="D91" t="s">
        <v>2562</v>
      </c>
      <c r="E91" s="4">
        <v>0</v>
      </c>
      <c r="F91" t="s">
        <v>365</v>
      </c>
      <c r="H91" s="3">
        <v>46163</v>
      </c>
      <c r="I91" s="3">
        <v>46184</v>
      </c>
      <c r="P91" t="s">
        <v>398</v>
      </c>
      <c r="T91" t="s">
        <v>1429</v>
      </c>
      <c r="V91" t="s">
        <v>365</v>
      </c>
      <c r="AB91" t="s">
        <v>2469</v>
      </c>
      <c r="AC91" t="s">
        <v>491</v>
      </c>
      <c r="AD91" t="s">
        <v>476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</row>
    <row r="92" spans="1:42" x14ac:dyDescent="0.25">
      <c r="A92">
        <v>793</v>
      </c>
      <c r="B92" t="s">
        <v>2220</v>
      </c>
      <c r="D92" t="s">
        <v>2563</v>
      </c>
      <c r="E92" s="4">
        <v>0</v>
      </c>
      <c r="F92" t="s">
        <v>151</v>
      </c>
      <c r="H92" s="3">
        <v>46176</v>
      </c>
      <c r="I92" s="3">
        <v>46191</v>
      </c>
      <c r="P92" t="s">
        <v>398</v>
      </c>
      <c r="T92" t="s">
        <v>1429</v>
      </c>
      <c r="V92" t="s">
        <v>151</v>
      </c>
      <c r="AB92" t="s">
        <v>2469</v>
      </c>
      <c r="AC92" t="s">
        <v>459</v>
      </c>
      <c r="AD92" t="s">
        <v>480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</row>
    <row r="93" spans="1:42" x14ac:dyDescent="0.25">
      <c r="A93">
        <v>798</v>
      </c>
      <c r="B93" t="s">
        <v>2221</v>
      </c>
      <c r="D93" t="s">
        <v>2564</v>
      </c>
      <c r="E93" s="4">
        <v>0</v>
      </c>
      <c r="F93" t="s">
        <v>151</v>
      </c>
      <c r="H93" s="3">
        <v>46185</v>
      </c>
      <c r="I93" s="3">
        <v>46198</v>
      </c>
      <c r="P93" t="s">
        <v>398</v>
      </c>
      <c r="T93" t="s">
        <v>1429</v>
      </c>
      <c r="V93" t="s">
        <v>151</v>
      </c>
      <c r="AB93" t="s">
        <v>2469</v>
      </c>
      <c r="AC93" t="s">
        <v>571</v>
      </c>
      <c r="AD93" t="s">
        <v>128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</row>
    <row r="94" spans="1:42" x14ac:dyDescent="0.25">
      <c r="A94">
        <v>803</v>
      </c>
      <c r="B94" t="s">
        <v>2222</v>
      </c>
      <c r="D94" t="s">
        <v>2565</v>
      </c>
      <c r="E94" s="4">
        <v>0</v>
      </c>
      <c r="F94" t="s">
        <v>151</v>
      </c>
      <c r="H94" s="3">
        <v>46185</v>
      </c>
      <c r="I94" s="3">
        <v>46198</v>
      </c>
      <c r="P94" t="s">
        <v>398</v>
      </c>
      <c r="T94" t="s">
        <v>1429</v>
      </c>
      <c r="V94" t="s">
        <v>151</v>
      </c>
      <c r="AB94" t="s">
        <v>2469</v>
      </c>
      <c r="AC94" t="s">
        <v>571</v>
      </c>
      <c r="AD94" t="s">
        <v>128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</row>
    <row r="95" spans="1:42" x14ac:dyDescent="0.25">
      <c r="A95">
        <v>808</v>
      </c>
      <c r="B95" t="s">
        <v>2566</v>
      </c>
      <c r="D95" t="s">
        <v>2567</v>
      </c>
      <c r="E95" s="4">
        <v>0</v>
      </c>
      <c r="F95" t="s">
        <v>151</v>
      </c>
      <c r="H95" s="3">
        <v>46185</v>
      </c>
      <c r="I95" s="3">
        <v>46198</v>
      </c>
      <c r="P95" t="s">
        <v>398</v>
      </c>
      <c r="T95" t="s">
        <v>1429</v>
      </c>
      <c r="V95" t="s">
        <v>151</v>
      </c>
      <c r="AB95" t="s">
        <v>2469</v>
      </c>
      <c r="AC95" t="s">
        <v>571</v>
      </c>
      <c r="AD95" t="s">
        <v>128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</row>
    <row r="96" spans="1:42" x14ac:dyDescent="0.25">
      <c r="A96">
        <v>813</v>
      </c>
      <c r="B96" t="s">
        <v>2568</v>
      </c>
      <c r="D96" t="s">
        <v>2569</v>
      </c>
      <c r="E96" s="4">
        <v>0</v>
      </c>
      <c r="F96" t="s">
        <v>151</v>
      </c>
      <c r="H96" s="3">
        <v>46185</v>
      </c>
      <c r="I96" s="3">
        <v>46198</v>
      </c>
      <c r="P96" t="s">
        <v>398</v>
      </c>
      <c r="T96" t="s">
        <v>1429</v>
      </c>
      <c r="V96" t="s">
        <v>151</v>
      </c>
      <c r="AB96" t="s">
        <v>2469</v>
      </c>
      <c r="AC96" t="s">
        <v>571</v>
      </c>
      <c r="AD96" t="s">
        <v>128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</row>
    <row r="97" spans="1:42" x14ac:dyDescent="0.25">
      <c r="A97">
        <v>819</v>
      </c>
      <c r="B97" t="s">
        <v>2226</v>
      </c>
      <c r="D97" t="s">
        <v>2570</v>
      </c>
      <c r="E97" s="4">
        <v>0</v>
      </c>
      <c r="F97" t="s">
        <v>330</v>
      </c>
      <c r="H97" s="3">
        <v>46160</v>
      </c>
      <c r="I97" s="3">
        <v>46182</v>
      </c>
      <c r="P97" t="s">
        <v>398</v>
      </c>
      <c r="T97" t="s">
        <v>1429</v>
      </c>
      <c r="V97" t="s">
        <v>330</v>
      </c>
      <c r="AB97" t="s">
        <v>2469</v>
      </c>
      <c r="AC97" t="s">
        <v>185</v>
      </c>
      <c r="AD97" t="s">
        <v>204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</row>
    <row r="98" spans="1:42" x14ac:dyDescent="0.25">
      <c r="A98">
        <v>824</v>
      </c>
      <c r="B98" t="s">
        <v>2229</v>
      </c>
      <c r="D98" t="s">
        <v>2571</v>
      </c>
      <c r="E98" s="4">
        <v>0</v>
      </c>
      <c r="F98" t="s">
        <v>151</v>
      </c>
      <c r="H98" s="3">
        <v>46183</v>
      </c>
      <c r="I98" s="3">
        <v>46196</v>
      </c>
      <c r="P98" t="s">
        <v>398</v>
      </c>
      <c r="T98" t="s">
        <v>1429</v>
      </c>
      <c r="V98" t="s">
        <v>151</v>
      </c>
      <c r="AB98" t="s">
        <v>2469</v>
      </c>
      <c r="AC98" t="s">
        <v>592</v>
      </c>
      <c r="AD98" t="s">
        <v>212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</row>
    <row r="99" spans="1:42" x14ac:dyDescent="0.25">
      <c r="A99">
        <v>829</v>
      </c>
      <c r="B99" t="s">
        <v>2230</v>
      </c>
      <c r="D99" t="s">
        <v>2572</v>
      </c>
      <c r="E99" s="4">
        <v>0</v>
      </c>
      <c r="F99" t="s">
        <v>101</v>
      </c>
      <c r="H99" s="3">
        <v>46183</v>
      </c>
      <c r="I99" s="3">
        <v>46188</v>
      </c>
      <c r="P99" t="s">
        <v>398</v>
      </c>
      <c r="T99" t="s">
        <v>1429</v>
      </c>
      <c r="V99" t="s">
        <v>101</v>
      </c>
      <c r="AB99" t="s">
        <v>2469</v>
      </c>
      <c r="AC99" t="s">
        <v>592</v>
      </c>
      <c r="AD99" t="s">
        <v>595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</row>
    <row r="100" spans="1:42" x14ac:dyDescent="0.25">
      <c r="A100">
        <v>834</v>
      </c>
      <c r="B100" t="s">
        <v>2231</v>
      </c>
      <c r="D100" t="s">
        <v>2573</v>
      </c>
      <c r="E100" s="4">
        <v>0</v>
      </c>
      <c r="F100" t="s">
        <v>101</v>
      </c>
      <c r="H100" s="3">
        <v>46183</v>
      </c>
      <c r="I100" s="3">
        <v>46188</v>
      </c>
      <c r="P100" t="s">
        <v>398</v>
      </c>
      <c r="T100" t="s">
        <v>1429</v>
      </c>
      <c r="V100" t="s">
        <v>101</v>
      </c>
      <c r="AB100" t="s">
        <v>2469</v>
      </c>
      <c r="AC100" t="s">
        <v>592</v>
      </c>
      <c r="AD100" t="s">
        <v>595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</row>
    <row r="101" spans="1:42" x14ac:dyDescent="0.25">
      <c r="A101">
        <v>845</v>
      </c>
      <c r="B101" t="s">
        <v>2236</v>
      </c>
      <c r="D101" t="s">
        <v>2574</v>
      </c>
      <c r="E101" s="4">
        <v>0</v>
      </c>
      <c r="F101" t="s">
        <v>330</v>
      </c>
      <c r="H101" s="3">
        <v>46170</v>
      </c>
      <c r="I101" s="3">
        <v>46192</v>
      </c>
      <c r="P101" t="s">
        <v>398</v>
      </c>
      <c r="T101" t="s">
        <v>1429</v>
      </c>
      <c r="V101" t="s">
        <v>330</v>
      </c>
      <c r="AB101" t="s">
        <v>2469</v>
      </c>
      <c r="AC101" t="s">
        <v>448</v>
      </c>
      <c r="AD101" t="s">
        <v>211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</row>
    <row r="102" spans="1:42" x14ac:dyDescent="0.25">
      <c r="A102">
        <v>850</v>
      </c>
      <c r="B102" t="s">
        <v>2237</v>
      </c>
      <c r="D102" t="s">
        <v>2575</v>
      </c>
      <c r="E102" s="4">
        <v>0</v>
      </c>
      <c r="F102" t="s">
        <v>330</v>
      </c>
      <c r="H102" s="3">
        <v>46170</v>
      </c>
      <c r="I102" s="3">
        <v>46192</v>
      </c>
      <c r="P102" t="s">
        <v>398</v>
      </c>
      <c r="T102" t="s">
        <v>1429</v>
      </c>
      <c r="V102" t="s">
        <v>330</v>
      </c>
      <c r="AB102" t="s">
        <v>2469</v>
      </c>
      <c r="AC102" t="s">
        <v>448</v>
      </c>
      <c r="AD102" t="s">
        <v>211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</row>
    <row r="103" spans="1:42" x14ac:dyDescent="0.25">
      <c r="A103">
        <v>861</v>
      </c>
      <c r="B103" t="s">
        <v>2576</v>
      </c>
      <c r="D103" t="s">
        <v>2577</v>
      </c>
      <c r="E103" s="4">
        <v>0</v>
      </c>
      <c r="F103" t="s">
        <v>214</v>
      </c>
      <c r="H103" s="3">
        <v>46192</v>
      </c>
      <c r="I103" s="3">
        <v>46199</v>
      </c>
      <c r="P103" t="s">
        <v>398</v>
      </c>
      <c r="T103" t="s">
        <v>1429</v>
      </c>
      <c r="V103" t="s">
        <v>214</v>
      </c>
      <c r="AB103" t="s">
        <v>2469</v>
      </c>
      <c r="AC103" t="s">
        <v>211</v>
      </c>
      <c r="AD103" t="s">
        <v>134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</row>
    <row r="104" spans="1:42" x14ac:dyDescent="0.25">
      <c r="A104">
        <v>943</v>
      </c>
      <c r="B104" t="s">
        <v>2578</v>
      </c>
      <c r="D104" t="s">
        <v>2579</v>
      </c>
      <c r="E104" s="4">
        <v>0</v>
      </c>
      <c r="F104" t="s">
        <v>175</v>
      </c>
      <c r="H104" s="3">
        <v>46171</v>
      </c>
      <c r="I104" s="3">
        <v>46183</v>
      </c>
      <c r="P104" t="s">
        <v>398</v>
      </c>
      <c r="T104" t="s">
        <v>2246</v>
      </c>
      <c r="V104" t="s">
        <v>175</v>
      </c>
      <c r="AB104" t="s">
        <v>2469</v>
      </c>
      <c r="AC104" t="s">
        <v>189</v>
      </c>
      <c r="AD104" t="s">
        <v>592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</row>
    <row r="105" spans="1:42" x14ac:dyDescent="0.25">
      <c r="A105">
        <v>948</v>
      </c>
      <c r="B105" t="s">
        <v>2443</v>
      </c>
      <c r="D105" t="s">
        <v>2580</v>
      </c>
      <c r="E105" s="4">
        <v>0</v>
      </c>
      <c r="F105" t="s">
        <v>175</v>
      </c>
      <c r="H105" s="3">
        <v>46175</v>
      </c>
      <c r="I105" s="3">
        <v>46185</v>
      </c>
      <c r="P105" t="s">
        <v>398</v>
      </c>
      <c r="T105" t="s">
        <v>2246</v>
      </c>
      <c r="V105" t="s">
        <v>175</v>
      </c>
      <c r="AB105" t="s">
        <v>2469</v>
      </c>
      <c r="AC105" t="s">
        <v>472</v>
      </c>
      <c r="AD105" t="s">
        <v>571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</row>
    <row r="106" spans="1:42" x14ac:dyDescent="0.25">
      <c r="A106">
        <v>953</v>
      </c>
      <c r="B106" t="s">
        <v>2451</v>
      </c>
      <c r="D106" t="s">
        <v>2581</v>
      </c>
      <c r="E106" s="4">
        <v>0</v>
      </c>
      <c r="F106" t="s">
        <v>175</v>
      </c>
      <c r="H106" s="3">
        <v>46181</v>
      </c>
      <c r="I106" s="3">
        <v>46189</v>
      </c>
      <c r="P106" t="s">
        <v>398</v>
      </c>
      <c r="T106" t="s">
        <v>2246</v>
      </c>
      <c r="V106" t="s">
        <v>175</v>
      </c>
      <c r="AB106" t="s">
        <v>2469</v>
      </c>
      <c r="AC106" t="s">
        <v>201</v>
      </c>
      <c r="AD106" t="s">
        <v>576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</row>
    <row r="107" spans="1:42" x14ac:dyDescent="0.25">
      <c r="A107">
        <v>963</v>
      </c>
      <c r="B107" t="s">
        <v>2582</v>
      </c>
      <c r="D107" t="s">
        <v>2583</v>
      </c>
      <c r="E107" s="4">
        <v>0</v>
      </c>
      <c r="F107" t="s">
        <v>210</v>
      </c>
      <c r="H107" s="3">
        <v>46189</v>
      </c>
      <c r="I107" s="3">
        <v>46198</v>
      </c>
      <c r="P107" t="s">
        <v>398</v>
      </c>
      <c r="T107" t="s">
        <v>2246</v>
      </c>
      <c r="V107" t="s">
        <v>210</v>
      </c>
      <c r="AB107" t="s">
        <v>2469</v>
      </c>
      <c r="AC107" t="s">
        <v>576</v>
      </c>
      <c r="AD107" t="s">
        <v>128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</row>
    <row r="108" spans="1:42" x14ac:dyDescent="0.25">
      <c r="A108">
        <v>1008</v>
      </c>
      <c r="B108" t="s">
        <v>2584</v>
      </c>
      <c r="D108" t="s">
        <v>2585</v>
      </c>
      <c r="E108" s="4">
        <v>0</v>
      </c>
      <c r="F108" t="s">
        <v>175</v>
      </c>
      <c r="H108" s="3">
        <v>46155</v>
      </c>
      <c r="I108" s="3">
        <v>46163</v>
      </c>
      <c r="P108" t="s">
        <v>398</v>
      </c>
      <c r="T108" t="s">
        <v>2246</v>
      </c>
      <c r="U108">
        <v>939</v>
      </c>
      <c r="V108" t="s">
        <v>175</v>
      </c>
      <c r="AB108" t="s">
        <v>2469</v>
      </c>
      <c r="AC108" t="s">
        <v>68</v>
      </c>
      <c r="AD108" t="s">
        <v>491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</row>
    <row r="109" spans="1:42" x14ac:dyDescent="0.25">
      <c r="A109">
        <v>1029</v>
      </c>
      <c r="B109" t="s">
        <v>2586</v>
      </c>
      <c r="D109" t="s">
        <v>2587</v>
      </c>
      <c r="E109" s="4">
        <v>0</v>
      </c>
      <c r="F109" t="s">
        <v>175</v>
      </c>
      <c r="H109" s="3">
        <v>46157</v>
      </c>
      <c r="I109" s="3">
        <v>46167</v>
      </c>
      <c r="P109" t="s">
        <v>398</v>
      </c>
      <c r="T109" t="s">
        <v>2426</v>
      </c>
      <c r="V109" t="s">
        <v>175</v>
      </c>
      <c r="AB109" t="s">
        <v>2469</v>
      </c>
      <c r="AC109" t="s">
        <v>444</v>
      </c>
      <c r="AD109" t="s">
        <v>74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</row>
    <row r="110" spans="1:42" x14ac:dyDescent="0.25">
      <c r="A110">
        <v>1034</v>
      </c>
      <c r="B110" t="s">
        <v>2588</v>
      </c>
      <c r="D110" t="s">
        <v>2589</v>
      </c>
      <c r="E110" s="4">
        <v>0</v>
      </c>
      <c r="F110" t="s">
        <v>175</v>
      </c>
      <c r="H110" s="3">
        <v>46168</v>
      </c>
      <c r="I110" s="3">
        <v>46176</v>
      </c>
      <c r="P110" t="s">
        <v>398</v>
      </c>
      <c r="T110" t="s">
        <v>2426</v>
      </c>
      <c r="V110" t="s">
        <v>175</v>
      </c>
      <c r="AB110" t="s">
        <v>2469</v>
      </c>
      <c r="AC110" t="s">
        <v>206</v>
      </c>
      <c r="AD110" t="s">
        <v>459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</row>
    <row r="111" spans="1:42" x14ac:dyDescent="0.25">
      <c r="A111">
        <v>1039</v>
      </c>
      <c r="B111" t="s">
        <v>2590</v>
      </c>
      <c r="D111" t="s">
        <v>2591</v>
      </c>
      <c r="E111" s="4">
        <v>0</v>
      </c>
      <c r="F111" t="s">
        <v>175</v>
      </c>
      <c r="H111" s="3">
        <v>46181</v>
      </c>
      <c r="I111" s="3">
        <v>46189</v>
      </c>
      <c r="P111" t="s">
        <v>398</v>
      </c>
      <c r="T111" t="s">
        <v>2426</v>
      </c>
      <c r="V111" t="s">
        <v>175</v>
      </c>
      <c r="AB111" t="s">
        <v>2469</v>
      </c>
      <c r="AC111" t="s">
        <v>201</v>
      </c>
      <c r="AD111" t="s">
        <v>576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</row>
    <row r="112" spans="1:42" x14ac:dyDescent="0.25">
      <c r="A112">
        <v>1044</v>
      </c>
      <c r="B112" t="s">
        <v>2592</v>
      </c>
      <c r="D112" t="s">
        <v>2593</v>
      </c>
      <c r="E112" s="4">
        <v>0</v>
      </c>
      <c r="F112" t="s">
        <v>175</v>
      </c>
      <c r="H112" s="3">
        <v>46190</v>
      </c>
      <c r="I112" s="3">
        <v>46198</v>
      </c>
      <c r="P112" t="s">
        <v>398</v>
      </c>
      <c r="T112" t="s">
        <v>2426</v>
      </c>
      <c r="V112" t="s">
        <v>175</v>
      </c>
      <c r="AB112" t="s">
        <v>2469</v>
      </c>
      <c r="AC112" t="s">
        <v>75</v>
      </c>
      <c r="AD112" t="s">
        <v>128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</row>
    <row r="113" spans="1:42" x14ac:dyDescent="0.25">
      <c r="A113">
        <v>1054</v>
      </c>
      <c r="B113" t="s">
        <v>2594</v>
      </c>
      <c r="D113" t="s">
        <v>2595</v>
      </c>
      <c r="E113" s="4">
        <v>0</v>
      </c>
      <c r="F113" t="s">
        <v>114</v>
      </c>
      <c r="H113" s="3">
        <v>46155</v>
      </c>
      <c r="I113" s="3">
        <v>46167</v>
      </c>
      <c r="P113" t="s">
        <v>398</v>
      </c>
      <c r="T113" t="s">
        <v>2426</v>
      </c>
      <c r="V113" t="s">
        <v>114</v>
      </c>
      <c r="AB113" t="s">
        <v>2469</v>
      </c>
      <c r="AC113" t="s">
        <v>68</v>
      </c>
      <c r="AD113" t="s">
        <v>74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13"/>
  <sheetViews>
    <sheetView workbookViewId="0">
      <selection activeCell="H12" sqref="H12"/>
    </sheetView>
  </sheetViews>
  <sheetFormatPr defaultRowHeight="15" x14ac:dyDescent="0.25"/>
  <cols>
    <col min="1" max="1" width="14.5703125" bestFit="1" customWidth="1"/>
    <col min="2" max="2" width="5" bestFit="1" customWidth="1"/>
    <col min="3" max="3" width="8.7109375" bestFit="1" customWidth="1"/>
    <col min="4" max="4" width="37.7109375" bestFit="1" customWidth="1"/>
    <col min="5" max="5" width="33.42578125" bestFit="1" customWidth="1"/>
    <col min="6" max="6" width="12.42578125" bestFit="1" customWidth="1"/>
    <col min="7" max="7" width="13.7109375" style="4" bestFit="1" customWidth="1"/>
    <col min="8" max="8" width="21.28515625" bestFit="1" customWidth="1"/>
    <col min="9" max="9" width="33.140625" bestFit="1" customWidth="1"/>
    <col min="10" max="10" width="8.85546875" bestFit="1" customWidth="1"/>
  </cols>
  <sheetData>
    <row r="1" spans="1:10" x14ac:dyDescent="0.25">
      <c r="A1" t="s">
        <v>26</v>
      </c>
      <c r="B1" t="s">
        <v>0</v>
      </c>
      <c r="C1" t="s">
        <v>1</v>
      </c>
      <c r="D1" t="s">
        <v>2</v>
      </c>
      <c r="E1" t="s">
        <v>3</v>
      </c>
      <c r="F1" t="s">
        <v>15</v>
      </c>
      <c r="G1" s="4" t="s">
        <v>4</v>
      </c>
      <c r="H1" t="s">
        <v>18</v>
      </c>
      <c r="I1" t="s">
        <v>19</v>
      </c>
      <c r="J1" t="s">
        <v>23</v>
      </c>
    </row>
    <row r="2" spans="1:10" x14ac:dyDescent="0.25">
      <c r="A2" t="s">
        <v>50</v>
      </c>
      <c r="B2">
        <v>1</v>
      </c>
      <c r="C2">
        <v>1</v>
      </c>
      <c r="E2" t="s">
        <v>42</v>
      </c>
      <c r="F2" t="s">
        <v>46</v>
      </c>
      <c r="G2" s="4">
        <v>0.99</v>
      </c>
      <c r="H2" t="s">
        <v>47</v>
      </c>
      <c r="J2" t="s">
        <v>49</v>
      </c>
    </row>
    <row r="3" spans="1:10" x14ac:dyDescent="0.25">
      <c r="A3" t="s">
        <v>50</v>
      </c>
      <c r="B3">
        <v>30</v>
      </c>
      <c r="C3" t="s">
        <v>160</v>
      </c>
      <c r="D3" t="s">
        <v>52</v>
      </c>
      <c r="E3" t="s">
        <v>161</v>
      </c>
      <c r="F3" t="s">
        <v>46</v>
      </c>
      <c r="G3" s="4">
        <v>0.91</v>
      </c>
      <c r="J3" t="s">
        <v>49</v>
      </c>
    </row>
    <row r="4" spans="1:10" x14ac:dyDescent="0.25">
      <c r="A4" t="s">
        <v>50</v>
      </c>
      <c r="B4">
        <v>51</v>
      </c>
      <c r="C4" t="s">
        <v>208</v>
      </c>
      <c r="D4" t="s">
        <v>164</v>
      </c>
      <c r="E4" t="s">
        <v>209</v>
      </c>
      <c r="F4" t="s">
        <v>213</v>
      </c>
      <c r="G4" s="4">
        <v>0.13</v>
      </c>
      <c r="I4" t="s">
        <v>164</v>
      </c>
      <c r="J4" t="s">
        <v>49</v>
      </c>
    </row>
    <row r="5" spans="1:10" x14ac:dyDescent="0.25">
      <c r="A5" t="s">
        <v>131</v>
      </c>
      <c r="B5">
        <v>53</v>
      </c>
      <c r="C5" t="s">
        <v>218</v>
      </c>
      <c r="D5" t="s">
        <v>216</v>
      </c>
      <c r="E5" t="s">
        <v>121</v>
      </c>
      <c r="F5" t="s">
        <v>213</v>
      </c>
      <c r="G5" s="4">
        <v>0</v>
      </c>
      <c r="H5" t="s">
        <v>124</v>
      </c>
      <c r="I5" t="s">
        <v>164</v>
      </c>
      <c r="J5" t="s">
        <v>49</v>
      </c>
    </row>
    <row r="6" spans="1:10" x14ac:dyDescent="0.25">
      <c r="A6" t="s">
        <v>131</v>
      </c>
      <c r="B6">
        <v>54</v>
      </c>
      <c r="C6" t="s">
        <v>221</v>
      </c>
      <c r="D6" t="s">
        <v>216</v>
      </c>
      <c r="E6" t="s">
        <v>126</v>
      </c>
      <c r="F6" t="s">
        <v>213</v>
      </c>
      <c r="G6" s="4">
        <v>0</v>
      </c>
      <c r="H6" t="s">
        <v>168</v>
      </c>
      <c r="I6" t="s">
        <v>164</v>
      </c>
      <c r="J6" t="s">
        <v>49</v>
      </c>
    </row>
    <row r="7" spans="1:10" x14ac:dyDescent="0.25">
      <c r="A7" t="s">
        <v>131</v>
      </c>
      <c r="B7">
        <v>55</v>
      </c>
      <c r="C7" t="s">
        <v>223</v>
      </c>
      <c r="D7" t="s">
        <v>216</v>
      </c>
      <c r="E7" t="s">
        <v>133</v>
      </c>
      <c r="F7" t="s">
        <v>46</v>
      </c>
      <c r="G7" s="4">
        <v>0</v>
      </c>
      <c r="H7" t="s">
        <v>124</v>
      </c>
      <c r="I7" t="s">
        <v>164</v>
      </c>
      <c r="J7" t="s">
        <v>49</v>
      </c>
    </row>
    <row r="8" spans="1:10" x14ac:dyDescent="0.25">
      <c r="A8" t="s">
        <v>50</v>
      </c>
      <c r="B8">
        <v>76</v>
      </c>
      <c r="C8" t="s">
        <v>241</v>
      </c>
      <c r="D8" t="s">
        <v>52</v>
      </c>
      <c r="E8" t="s">
        <v>242</v>
      </c>
      <c r="F8" t="s">
        <v>46</v>
      </c>
      <c r="G8" s="4">
        <v>0.99</v>
      </c>
      <c r="J8" t="s">
        <v>49</v>
      </c>
    </row>
    <row r="9" spans="1:10" x14ac:dyDescent="0.25">
      <c r="A9" t="s">
        <v>50</v>
      </c>
      <c r="B9">
        <v>162</v>
      </c>
      <c r="C9" t="s">
        <v>396</v>
      </c>
      <c r="D9" t="s">
        <v>246</v>
      </c>
      <c r="E9" t="s">
        <v>397</v>
      </c>
      <c r="F9" t="s">
        <v>398</v>
      </c>
      <c r="G9" s="4">
        <v>0</v>
      </c>
      <c r="I9" t="s">
        <v>246</v>
      </c>
      <c r="J9" t="s">
        <v>49</v>
      </c>
    </row>
    <row r="10" spans="1:10" x14ac:dyDescent="0.25">
      <c r="A10" t="s">
        <v>401</v>
      </c>
      <c r="B10">
        <v>163</v>
      </c>
      <c r="C10" t="s">
        <v>399</v>
      </c>
      <c r="D10" t="s">
        <v>400</v>
      </c>
      <c r="E10" t="s">
        <v>117</v>
      </c>
      <c r="F10" t="s">
        <v>398</v>
      </c>
      <c r="G10" s="4">
        <v>0</v>
      </c>
      <c r="H10" t="s">
        <v>124</v>
      </c>
      <c r="I10" t="s">
        <v>246</v>
      </c>
      <c r="J10" t="s">
        <v>49</v>
      </c>
    </row>
    <row r="11" spans="1:10" x14ac:dyDescent="0.25">
      <c r="A11" t="s">
        <v>401</v>
      </c>
      <c r="B11">
        <v>164</v>
      </c>
      <c r="C11" t="s">
        <v>402</v>
      </c>
      <c r="D11" t="s">
        <v>400</v>
      </c>
      <c r="E11" t="s">
        <v>121</v>
      </c>
      <c r="F11" t="s">
        <v>398</v>
      </c>
      <c r="G11" s="4">
        <v>0</v>
      </c>
      <c r="H11" t="s">
        <v>124</v>
      </c>
      <c r="I11" t="s">
        <v>246</v>
      </c>
      <c r="J11" t="s">
        <v>49</v>
      </c>
    </row>
    <row r="12" spans="1:10" x14ac:dyDescent="0.25">
      <c r="A12" t="s">
        <v>93</v>
      </c>
      <c r="B12">
        <v>165</v>
      </c>
      <c r="C12" t="s">
        <v>404</v>
      </c>
      <c r="D12" t="s">
        <v>400</v>
      </c>
      <c r="E12" t="s">
        <v>126</v>
      </c>
      <c r="F12" t="s">
        <v>398</v>
      </c>
      <c r="G12" s="4">
        <v>0</v>
      </c>
      <c r="H12" t="s">
        <v>264</v>
      </c>
      <c r="I12" t="s">
        <v>246</v>
      </c>
      <c r="J12" t="s">
        <v>49</v>
      </c>
    </row>
    <row r="13" spans="1:10" x14ac:dyDescent="0.25">
      <c r="A13" t="s">
        <v>93</v>
      </c>
      <c r="B13">
        <v>166</v>
      </c>
      <c r="C13" t="s">
        <v>405</v>
      </c>
      <c r="D13" t="s">
        <v>400</v>
      </c>
      <c r="E13" t="s">
        <v>133</v>
      </c>
      <c r="F13" t="s">
        <v>398</v>
      </c>
      <c r="G13" s="4">
        <v>0</v>
      </c>
      <c r="H13" t="s">
        <v>124</v>
      </c>
      <c r="I13" t="s">
        <v>246</v>
      </c>
      <c r="J13" t="s">
        <v>49</v>
      </c>
    </row>
    <row r="14" spans="1:10" x14ac:dyDescent="0.25">
      <c r="A14" t="s">
        <v>50</v>
      </c>
      <c r="B14">
        <v>177</v>
      </c>
      <c r="C14" t="s">
        <v>420</v>
      </c>
      <c r="D14" t="s">
        <v>52</v>
      </c>
      <c r="E14" t="s">
        <v>421</v>
      </c>
      <c r="F14" t="s">
        <v>213</v>
      </c>
      <c r="G14" s="4">
        <v>0.99</v>
      </c>
      <c r="J14" t="s">
        <v>49</v>
      </c>
    </row>
    <row r="15" spans="1:10" x14ac:dyDescent="0.25">
      <c r="A15" t="s">
        <v>50</v>
      </c>
      <c r="B15">
        <v>188</v>
      </c>
      <c r="C15" t="s">
        <v>452</v>
      </c>
      <c r="D15" t="s">
        <v>425</v>
      </c>
      <c r="E15" t="s">
        <v>453</v>
      </c>
      <c r="F15" t="s">
        <v>213</v>
      </c>
      <c r="G15" s="4">
        <v>0.11</v>
      </c>
      <c r="I15" t="s">
        <v>425</v>
      </c>
      <c r="J15" t="s">
        <v>49</v>
      </c>
    </row>
    <row r="16" spans="1:10" x14ac:dyDescent="0.25">
      <c r="A16" t="s">
        <v>77</v>
      </c>
      <c r="B16">
        <v>190</v>
      </c>
      <c r="C16" t="s">
        <v>457</v>
      </c>
      <c r="D16" t="s">
        <v>455</v>
      </c>
      <c r="E16" t="s">
        <v>121</v>
      </c>
      <c r="F16" t="s">
        <v>213</v>
      </c>
      <c r="G16" s="4">
        <v>0</v>
      </c>
      <c r="H16" t="s">
        <v>124</v>
      </c>
      <c r="I16" t="s">
        <v>425</v>
      </c>
      <c r="J16" t="s">
        <v>49</v>
      </c>
    </row>
    <row r="17" spans="1:10" x14ac:dyDescent="0.25">
      <c r="A17" t="s">
        <v>460</v>
      </c>
      <c r="B17">
        <v>191</v>
      </c>
      <c r="C17" t="s">
        <v>458</v>
      </c>
      <c r="D17" t="s">
        <v>455</v>
      </c>
      <c r="E17" t="s">
        <v>126</v>
      </c>
      <c r="F17" t="s">
        <v>213</v>
      </c>
      <c r="G17" s="4">
        <v>0</v>
      </c>
      <c r="H17" t="s">
        <v>142</v>
      </c>
      <c r="I17" t="s">
        <v>425</v>
      </c>
      <c r="J17" t="s">
        <v>49</v>
      </c>
    </row>
    <row r="18" spans="1:10" x14ac:dyDescent="0.25">
      <c r="A18" t="s">
        <v>462</v>
      </c>
      <c r="B18">
        <v>192</v>
      </c>
      <c r="C18" t="s">
        <v>461</v>
      </c>
      <c r="D18" t="s">
        <v>455</v>
      </c>
      <c r="E18" t="s">
        <v>133</v>
      </c>
      <c r="F18" t="s">
        <v>213</v>
      </c>
      <c r="G18" s="4">
        <v>0</v>
      </c>
      <c r="H18" t="s">
        <v>124</v>
      </c>
      <c r="I18" t="s">
        <v>425</v>
      </c>
      <c r="J18" t="s">
        <v>49</v>
      </c>
    </row>
    <row r="19" spans="1:10" x14ac:dyDescent="0.25">
      <c r="A19" t="s">
        <v>50</v>
      </c>
      <c r="B19">
        <v>529</v>
      </c>
      <c r="C19" t="s">
        <v>1023</v>
      </c>
      <c r="D19" t="s">
        <v>425</v>
      </c>
      <c r="E19" t="s">
        <v>1024</v>
      </c>
      <c r="F19" t="s">
        <v>398</v>
      </c>
      <c r="G19" s="4">
        <v>0.5</v>
      </c>
      <c r="I19" t="s">
        <v>425</v>
      </c>
      <c r="J19" t="s">
        <v>49</v>
      </c>
    </row>
    <row r="20" spans="1:10" x14ac:dyDescent="0.25">
      <c r="A20" t="s">
        <v>93</v>
      </c>
      <c r="B20">
        <v>531</v>
      </c>
      <c r="C20" t="s">
        <v>1028</v>
      </c>
      <c r="D20" t="s">
        <v>1027</v>
      </c>
      <c r="E20" t="s">
        <v>121</v>
      </c>
      <c r="F20" t="s">
        <v>398</v>
      </c>
      <c r="G20" s="4">
        <v>0</v>
      </c>
      <c r="H20" t="s">
        <v>124</v>
      </c>
      <c r="I20" t="s">
        <v>425</v>
      </c>
      <c r="J20" t="s">
        <v>57</v>
      </c>
    </row>
    <row r="21" spans="1:10" x14ac:dyDescent="0.25">
      <c r="A21" t="s">
        <v>198</v>
      </c>
      <c r="B21">
        <v>532</v>
      </c>
      <c r="C21" t="s">
        <v>1029</v>
      </c>
      <c r="D21" t="s">
        <v>1027</v>
      </c>
      <c r="E21" t="s">
        <v>126</v>
      </c>
      <c r="F21" t="s">
        <v>398</v>
      </c>
      <c r="G21" s="4">
        <v>0</v>
      </c>
      <c r="H21" t="s">
        <v>142</v>
      </c>
      <c r="I21" t="s">
        <v>425</v>
      </c>
      <c r="J21" t="s">
        <v>57</v>
      </c>
    </row>
    <row r="22" spans="1:10" x14ac:dyDescent="0.25">
      <c r="A22" t="s">
        <v>198</v>
      </c>
      <c r="B22">
        <v>533</v>
      </c>
      <c r="C22" t="s">
        <v>1030</v>
      </c>
      <c r="D22" t="s">
        <v>1027</v>
      </c>
      <c r="E22" t="s">
        <v>133</v>
      </c>
      <c r="F22" t="s">
        <v>398</v>
      </c>
      <c r="G22" s="4">
        <v>0</v>
      </c>
      <c r="H22" t="s">
        <v>124</v>
      </c>
      <c r="I22" t="s">
        <v>425</v>
      </c>
      <c r="J22" t="s">
        <v>49</v>
      </c>
    </row>
    <row r="23" spans="1:10" x14ac:dyDescent="0.25">
      <c r="B23">
        <v>8</v>
      </c>
      <c r="C23" t="s">
        <v>88</v>
      </c>
      <c r="E23" t="s">
        <v>2467</v>
      </c>
      <c r="F23" t="s">
        <v>398</v>
      </c>
      <c r="G23" s="4">
        <v>0</v>
      </c>
    </row>
    <row r="24" spans="1:10" x14ac:dyDescent="0.25">
      <c r="B24">
        <v>40</v>
      </c>
      <c r="C24" t="s">
        <v>2470</v>
      </c>
      <c r="E24" t="s">
        <v>2471</v>
      </c>
      <c r="F24" t="s">
        <v>398</v>
      </c>
      <c r="G24" s="4">
        <v>0</v>
      </c>
      <c r="I24" t="s">
        <v>164</v>
      </c>
    </row>
    <row r="25" spans="1:10" x14ac:dyDescent="0.25">
      <c r="B25">
        <v>50</v>
      </c>
      <c r="C25" t="s">
        <v>2472</v>
      </c>
      <c r="E25" t="s">
        <v>2473</v>
      </c>
      <c r="F25" t="s">
        <v>398</v>
      </c>
      <c r="G25" s="4">
        <v>0</v>
      </c>
      <c r="I25" t="s">
        <v>164</v>
      </c>
    </row>
    <row r="26" spans="1:10" x14ac:dyDescent="0.25">
      <c r="B26">
        <v>55</v>
      </c>
      <c r="C26" t="s">
        <v>2474</v>
      </c>
      <c r="E26" t="s">
        <v>2475</v>
      </c>
      <c r="F26" t="s">
        <v>398</v>
      </c>
      <c r="G26" s="4">
        <v>0</v>
      </c>
      <c r="I26" t="s">
        <v>164</v>
      </c>
    </row>
    <row r="27" spans="1:10" x14ac:dyDescent="0.25">
      <c r="B27">
        <v>141</v>
      </c>
      <c r="C27" t="s">
        <v>372</v>
      </c>
      <c r="E27" t="s">
        <v>2476</v>
      </c>
      <c r="F27" t="s">
        <v>398</v>
      </c>
      <c r="G27" s="4">
        <v>0</v>
      </c>
      <c r="I27" t="s">
        <v>246</v>
      </c>
    </row>
    <row r="28" spans="1:10" x14ac:dyDescent="0.25">
      <c r="B28">
        <v>203</v>
      </c>
      <c r="C28" t="s">
        <v>549</v>
      </c>
      <c r="E28" t="s">
        <v>2477</v>
      </c>
      <c r="F28" t="s">
        <v>398</v>
      </c>
      <c r="G28" s="4">
        <v>0</v>
      </c>
      <c r="I28" t="s">
        <v>425</v>
      </c>
    </row>
    <row r="29" spans="1:10" x14ac:dyDescent="0.25">
      <c r="B29">
        <v>224</v>
      </c>
      <c r="C29" t="s">
        <v>587</v>
      </c>
      <c r="E29" t="s">
        <v>2478</v>
      </c>
      <c r="F29" t="s">
        <v>398</v>
      </c>
      <c r="G29" s="4">
        <v>0</v>
      </c>
      <c r="I29" t="s">
        <v>425</v>
      </c>
    </row>
    <row r="30" spans="1:10" x14ac:dyDescent="0.25">
      <c r="B30">
        <v>277</v>
      </c>
      <c r="C30" t="s">
        <v>2479</v>
      </c>
      <c r="E30" t="s">
        <v>2480</v>
      </c>
      <c r="F30" t="s">
        <v>398</v>
      </c>
      <c r="G30" s="4">
        <v>0</v>
      </c>
      <c r="I30" t="s">
        <v>425</v>
      </c>
    </row>
    <row r="31" spans="1:10" x14ac:dyDescent="0.25">
      <c r="B31">
        <v>314</v>
      </c>
      <c r="C31" t="s">
        <v>2481</v>
      </c>
      <c r="E31" t="s">
        <v>2482</v>
      </c>
      <c r="F31" t="s">
        <v>398</v>
      </c>
      <c r="G31" s="4">
        <v>0</v>
      </c>
      <c r="I31" t="s">
        <v>425</v>
      </c>
    </row>
    <row r="32" spans="1:10" x14ac:dyDescent="0.25">
      <c r="B32">
        <v>315</v>
      </c>
      <c r="C32" t="s">
        <v>2484</v>
      </c>
      <c r="E32" t="s">
        <v>2485</v>
      </c>
      <c r="F32" t="s">
        <v>398</v>
      </c>
      <c r="G32" s="4">
        <v>0</v>
      </c>
      <c r="I32" t="s">
        <v>425</v>
      </c>
    </row>
    <row r="33" spans="2:9" x14ac:dyDescent="0.25">
      <c r="B33">
        <v>320</v>
      </c>
      <c r="C33" t="s">
        <v>2486</v>
      </c>
      <c r="E33" t="s">
        <v>2487</v>
      </c>
      <c r="F33" t="s">
        <v>398</v>
      </c>
      <c r="G33" s="4">
        <v>0</v>
      </c>
      <c r="I33" t="s">
        <v>425</v>
      </c>
    </row>
    <row r="34" spans="2:9" x14ac:dyDescent="0.25">
      <c r="B34">
        <v>325</v>
      </c>
      <c r="C34" t="s">
        <v>2488</v>
      </c>
      <c r="E34" t="s">
        <v>2489</v>
      </c>
      <c r="F34" t="s">
        <v>398</v>
      </c>
      <c r="G34" s="4">
        <v>0</v>
      </c>
      <c r="I34" t="s">
        <v>425</v>
      </c>
    </row>
    <row r="35" spans="2:9" x14ac:dyDescent="0.25">
      <c r="B35">
        <v>330</v>
      </c>
      <c r="C35" t="s">
        <v>2490</v>
      </c>
      <c r="E35" t="s">
        <v>2491</v>
      </c>
      <c r="F35" t="s">
        <v>398</v>
      </c>
      <c r="G35" s="4">
        <v>0</v>
      </c>
      <c r="I35" t="s">
        <v>425</v>
      </c>
    </row>
    <row r="36" spans="2:9" x14ac:dyDescent="0.25">
      <c r="B36">
        <v>371</v>
      </c>
      <c r="C36" t="s">
        <v>1009</v>
      </c>
      <c r="E36" t="s">
        <v>2492</v>
      </c>
      <c r="F36" t="s">
        <v>398</v>
      </c>
      <c r="G36" s="4">
        <v>0</v>
      </c>
      <c r="I36" t="s">
        <v>425</v>
      </c>
    </row>
    <row r="37" spans="2:9" x14ac:dyDescent="0.25">
      <c r="B37">
        <v>387</v>
      </c>
      <c r="C37" t="s">
        <v>2493</v>
      </c>
      <c r="E37" t="s">
        <v>2494</v>
      </c>
      <c r="F37" t="s">
        <v>398</v>
      </c>
      <c r="G37" s="4">
        <v>0</v>
      </c>
      <c r="I37" t="s">
        <v>1036</v>
      </c>
    </row>
    <row r="38" spans="2:9" x14ac:dyDescent="0.25">
      <c r="B38">
        <v>392</v>
      </c>
      <c r="C38" t="s">
        <v>2495</v>
      </c>
      <c r="E38" t="s">
        <v>2496</v>
      </c>
      <c r="F38" t="s">
        <v>398</v>
      </c>
      <c r="G38" s="4">
        <v>0</v>
      </c>
      <c r="I38" t="s">
        <v>1036</v>
      </c>
    </row>
    <row r="39" spans="2:9" x14ac:dyDescent="0.25">
      <c r="B39">
        <v>397</v>
      </c>
      <c r="C39" t="s">
        <v>2497</v>
      </c>
      <c r="E39" t="s">
        <v>2498</v>
      </c>
      <c r="F39" t="s">
        <v>398</v>
      </c>
      <c r="G39" s="4">
        <v>0</v>
      </c>
      <c r="I39" t="s">
        <v>1036</v>
      </c>
    </row>
    <row r="40" spans="2:9" x14ac:dyDescent="0.25">
      <c r="B40">
        <v>402</v>
      </c>
      <c r="C40" t="s">
        <v>2499</v>
      </c>
      <c r="E40" t="s">
        <v>2500</v>
      </c>
      <c r="F40" t="s">
        <v>398</v>
      </c>
      <c r="G40" s="4">
        <v>0</v>
      </c>
      <c r="I40" t="s">
        <v>1036</v>
      </c>
    </row>
    <row r="41" spans="2:9" x14ac:dyDescent="0.25">
      <c r="B41">
        <v>448</v>
      </c>
      <c r="C41" t="s">
        <v>2501</v>
      </c>
      <c r="E41" t="s">
        <v>2502</v>
      </c>
      <c r="F41" t="s">
        <v>398</v>
      </c>
      <c r="G41" s="4">
        <v>0</v>
      </c>
      <c r="I41" t="s">
        <v>1109</v>
      </c>
    </row>
    <row r="42" spans="2:9" x14ac:dyDescent="0.25">
      <c r="B42">
        <v>458</v>
      </c>
      <c r="C42" t="s">
        <v>2503</v>
      </c>
      <c r="E42" t="s">
        <v>2504</v>
      </c>
      <c r="F42" t="s">
        <v>398</v>
      </c>
      <c r="G42" s="4">
        <v>0</v>
      </c>
      <c r="I42" t="s">
        <v>1109</v>
      </c>
    </row>
    <row r="43" spans="2:9" x14ac:dyDescent="0.25">
      <c r="B43">
        <v>468</v>
      </c>
      <c r="C43" t="s">
        <v>2506</v>
      </c>
      <c r="E43" t="s">
        <v>2507</v>
      </c>
      <c r="F43" t="s">
        <v>398</v>
      </c>
      <c r="G43" s="4">
        <v>0</v>
      </c>
      <c r="I43" t="s">
        <v>1109</v>
      </c>
    </row>
    <row r="44" spans="2:9" x14ac:dyDescent="0.25">
      <c r="B44">
        <v>483</v>
      </c>
      <c r="C44" t="s">
        <v>1165</v>
      </c>
      <c r="E44" t="s">
        <v>2508</v>
      </c>
      <c r="F44" t="s">
        <v>398</v>
      </c>
      <c r="G44" s="4">
        <v>0</v>
      </c>
      <c r="I44" t="s">
        <v>1109</v>
      </c>
    </row>
    <row r="45" spans="2:9" x14ac:dyDescent="0.25">
      <c r="B45">
        <v>498</v>
      </c>
      <c r="C45" t="s">
        <v>1187</v>
      </c>
      <c r="E45" t="s">
        <v>2509</v>
      </c>
      <c r="F45" t="s">
        <v>398</v>
      </c>
      <c r="G45" s="4">
        <v>0</v>
      </c>
      <c r="I45" t="s">
        <v>1109</v>
      </c>
    </row>
    <row r="46" spans="2:9" x14ac:dyDescent="0.25">
      <c r="B46">
        <v>543</v>
      </c>
      <c r="C46" t="s">
        <v>1238</v>
      </c>
      <c r="E46" t="s">
        <v>2510</v>
      </c>
      <c r="F46" t="s">
        <v>398</v>
      </c>
      <c r="G46" s="4">
        <v>0</v>
      </c>
      <c r="I46" t="s">
        <v>1109</v>
      </c>
    </row>
    <row r="47" spans="2:9" x14ac:dyDescent="0.25">
      <c r="B47">
        <v>558</v>
      </c>
      <c r="C47" t="s">
        <v>1259</v>
      </c>
      <c r="E47" t="s">
        <v>2511</v>
      </c>
      <c r="F47" t="s">
        <v>398</v>
      </c>
      <c r="G47" s="4">
        <v>0</v>
      </c>
      <c r="I47" t="s">
        <v>1109</v>
      </c>
    </row>
    <row r="48" spans="2:9" x14ac:dyDescent="0.25">
      <c r="B48">
        <v>563</v>
      </c>
      <c r="C48" t="s">
        <v>1425</v>
      </c>
      <c r="E48" t="s">
        <v>2512</v>
      </c>
      <c r="F48" t="s">
        <v>398</v>
      </c>
      <c r="G48" s="4">
        <v>0</v>
      </c>
    </row>
    <row r="49" spans="2:9" x14ac:dyDescent="0.25">
      <c r="B49">
        <v>564</v>
      </c>
      <c r="C49" t="s">
        <v>1428</v>
      </c>
      <c r="E49" t="s">
        <v>2513</v>
      </c>
      <c r="F49" t="s">
        <v>398</v>
      </c>
      <c r="G49" s="4">
        <v>0</v>
      </c>
      <c r="I49" t="s">
        <v>2514</v>
      </c>
    </row>
    <row r="50" spans="2:9" x14ac:dyDescent="0.25">
      <c r="B50">
        <v>569</v>
      </c>
      <c r="C50" t="s">
        <v>1437</v>
      </c>
      <c r="E50" t="s">
        <v>2515</v>
      </c>
      <c r="F50" t="s">
        <v>398</v>
      </c>
      <c r="G50" s="4">
        <v>0</v>
      </c>
      <c r="I50" t="s">
        <v>2514</v>
      </c>
    </row>
    <row r="51" spans="2:9" x14ac:dyDescent="0.25">
      <c r="B51">
        <v>574</v>
      </c>
      <c r="C51" t="s">
        <v>1488</v>
      </c>
      <c r="E51" t="s">
        <v>2516</v>
      </c>
      <c r="F51" t="s">
        <v>398</v>
      </c>
      <c r="G51" s="4">
        <v>0</v>
      </c>
      <c r="I51" t="s">
        <v>2514</v>
      </c>
    </row>
    <row r="52" spans="2:9" x14ac:dyDescent="0.25">
      <c r="B52">
        <v>579</v>
      </c>
      <c r="C52" t="s">
        <v>1565</v>
      </c>
      <c r="E52" t="s">
        <v>2517</v>
      </c>
      <c r="F52" t="s">
        <v>398</v>
      </c>
      <c r="G52" s="4">
        <v>0</v>
      </c>
      <c r="I52" t="s">
        <v>2514</v>
      </c>
    </row>
    <row r="53" spans="2:9" x14ac:dyDescent="0.25">
      <c r="B53">
        <v>584</v>
      </c>
      <c r="C53" t="s">
        <v>1652</v>
      </c>
      <c r="E53" t="s">
        <v>2518</v>
      </c>
      <c r="F53" t="s">
        <v>398</v>
      </c>
      <c r="G53" s="4">
        <v>0</v>
      </c>
      <c r="I53" t="s">
        <v>2514</v>
      </c>
    </row>
    <row r="54" spans="2:9" x14ac:dyDescent="0.25">
      <c r="B54">
        <v>589</v>
      </c>
      <c r="C54" t="s">
        <v>1778</v>
      </c>
      <c r="E54" t="s">
        <v>2519</v>
      </c>
      <c r="F54" t="s">
        <v>398</v>
      </c>
      <c r="G54" s="4">
        <v>0</v>
      </c>
      <c r="I54" t="s">
        <v>2514</v>
      </c>
    </row>
    <row r="55" spans="2:9" x14ac:dyDescent="0.25">
      <c r="B55">
        <v>594</v>
      </c>
      <c r="C55" t="s">
        <v>1851</v>
      </c>
      <c r="E55" t="s">
        <v>2520</v>
      </c>
      <c r="F55" t="s">
        <v>398</v>
      </c>
      <c r="G55" s="4">
        <v>0</v>
      </c>
      <c r="I55" t="s">
        <v>2514</v>
      </c>
    </row>
    <row r="56" spans="2:9" x14ac:dyDescent="0.25">
      <c r="B56">
        <v>599</v>
      </c>
      <c r="C56" t="s">
        <v>1924</v>
      </c>
      <c r="E56" t="s">
        <v>2521</v>
      </c>
      <c r="F56" t="s">
        <v>398</v>
      </c>
      <c r="G56" s="4">
        <v>0</v>
      </c>
      <c r="I56" t="s">
        <v>2514</v>
      </c>
    </row>
    <row r="57" spans="2:9" x14ac:dyDescent="0.25">
      <c r="B57">
        <v>611</v>
      </c>
      <c r="C57" t="s">
        <v>2156</v>
      </c>
      <c r="E57" t="s">
        <v>2522</v>
      </c>
      <c r="F57" t="s">
        <v>398</v>
      </c>
      <c r="G57" s="4">
        <v>0</v>
      </c>
      <c r="I57" t="s">
        <v>1429</v>
      </c>
    </row>
    <row r="58" spans="2:9" x14ac:dyDescent="0.25">
      <c r="B58">
        <v>621</v>
      </c>
      <c r="C58" t="s">
        <v>2159</v>
      </c>
      <c r="E58" t="s">
        <v>2523</v>
      </c>
      <c r="F58" t="s">
        <v>398</v>
      </c>
      <c r="G58" s="4">
        <v>0</v>
      </c>
      <c r="I58" t="s">
        <v>1429</v>
      </c>
    </row>
    <row r="59" spans="2:9" x14ac:dyDescent="0.25">
      <c r="B59">
        <v>626</v>
      </c>
      <c r="C59" t="s">
        <v>2160</v>
      </c>
      <c r="E59" t="s">
        <v>2524</v>
      </c>
      <c r="F59" t="s">
        <v>398</v>
      </c>
      <c r="G59" s="4">
        <v>0</v>
      </c>
      <c r="I59" t="s">
        <v>1429</v>
      </c>
    </row>
    <row r="60" spans="2:9" x14ac:dyDescent="0.25">
      <c r="B60">
        <v>632</v>
      </c>
      <c r="C60" t="s">
        <v>2163</v>
      </c>
      <c r="E60" t="s">
        <v>2525</v>
      </c>
      <c r="F60" t="s">
        <v>398</v>
      </c>
      <c r="G60" s="4">
        <v>0</v>
      </c>
      <c r="I60" t="s">
        <v>1429</v>
      </c>
    </row>
    <row r="61" spans="2:9" x14ac:dyDescent="0.25">
      <c r="B61">
        <v>637</v>
      </c>
      <c r="C61" t="s">
        <v>2166</v>
      </c>
      <c r="E61" t="s">
        <v>2526</v>
      </c>
      <c r="F61" t="s">
        <v>398</v>
      </c>
      <c r="G61" s="4">
        <v>0</v>
      </c>
      <c r="I61" t="s">
        <v>1429</v>
      </c>
    </row>
    <row r="62" spans="2:9" x14ac:dyDescent="0.25">
      <c r="B62">
        <v>642</v>
      </c>
      <c r="C62" t="s">
        <v>2167</v>
      </c>
      <c r="E62" t="s">
        <v>2527</v>
      </c>
      <c r="F62" t="s">
        <v>398</v>
      </c>
      <c r="G62" s="4">
        <v>0</v>
      </c>
      <c r="I62" t="s">
        <v>1429</v>
      </c>
    </row>
    <row r="63" spans="2:9" x14ac:dyDescent="0.25">
      <c r="B63">
        <v>647</v>
      </c>
      <c r="C63" t="s">
        <v>2168</v>
      </c>
      <c r="E63" t="s">
        <v>2528</v>
      </c>
      <c r="F63" t="s">
        <v>398</v>
      </c>
      <c r="G63" s="4">
        <v>0</v>
      </c>
      <c r="I63" t="s">
        <v>1429</v>
      </c>
    </row>
    <row r="64" spans="2:9" x14ac:dyDescent="0.25">
      <c r="B64">
        <v>652</v>
      </c>
      <c r="C64" t="s">
        <v>2529</v>
      </c>
      <c r="E64" t="s">
        <v>2530</v>
      </c>
      <c r="F64" t="s">
        <v>398</v>
      </c>
      <c r="G64" s="4">
        <v>0</v>
      </c>
      <c r="I64" t="s">
        <v>1429</v>
      </c>
    </row>
    <row r="65" spans="2:9" x14ac:dyDescent="0.25">
      <c r="B65">
        <v>657</v>
      </c>
      <c r="C65" t="s">
        <v>2531</v>
      </c>
      <c r="E65" t="s">
        <v>2532</v>
      </c>
      <c r="F65" t="s">
        <v>398</v>
      </c>
      <c r="G65" s="4">
        <v>0</v>
      </c>
      <c r="I65" t="s">
        <v>1429</v>
      </c>
    </row>
    <row r="66" spans="2:9" x14ac:dyDescent="0.25">
      <c r="B66">
        <v>662</v>
      </c>
      <c r="C66" t="s">
        <v>2533</v>
      </c>
      <c r="E66" t="s">
        <v>2534</v>
      </c>
      <c r="F66" t="s">
        <v>398</v>
      </c>
      <c r="G66" s="4">
        <v>0</v>
      </c>
      <c r="I66" t="s">
        <v>1429</v>
      </c>
    </row>
    <row r="67" spans="2:9" x14ac:dyDescent="0.25">
      <c r="B67">
        <v>668</v>
      </c>
      <c r="C67" t="s">
        <v>2171</v>
      </c>
      <c r="E67" t="s">
        <v>2535</v>
      </c>
      <c r="F67" t="s">
        <v>398</v>
      </c>
      <c r="G67" s="4">
        <v>0</v>
      </c>
      <c r="I67" t="s">
        <v>1429</v>
      </c>
    </row>
    <row r="68" spans="2:9" x14ac:dyDescent="0.25">
      <c r="B68">
        <v>673</v>
      </c>
      <c r="C68" t="s">
        <v>2174</v>
      </c>
      <c r="E68" t="s">
        <v>2536</v>
      </c>
      <c r="F68" t="s">
        <v>398</v>
      </c>
      <c r="G68" s="4">
        <v>0</v>
      </c>
      <c r="I68" t="s">
        <v>1429</v>
      </c>
    </row>
    <row r="69" spans="2:9" x14ac:dyDescent="0.25">
      <c r="B69">
        <v>678</v>
      </c>
      <c r="C69" t="s">
        <v>2175</v>
      </c>
      <c r="E69" t="s">
        <v>2537</v>
      </c>
      <c r="F69" t="s">
        <v>398</v>
      </c>
      <c r="G69" s="4">
        <v>0</v>
      </c>
      <c r="I69" t="s">
        <v>1429</v>
      </c>
    </row>
    <row r="70" spans="2:9" x14ac:dyDescent="0.25">
      <c r="B70">
        <v>683</v>
      </c>
      <c r="C70" t="s">
        <v>2176</v>
      </c>
      <c r="E70" t="s">
        <v>2538</v>
      </c>
      <c r="F70" t="s">
        <v>398</v>
      </c>
      <c r="G70" s="4">
        <v>0</v>
      </c>
      <c r="I70" t="s">
        <v>1429</v>
      </c>
    </row>
    <row r="71" spans="2:9" x14ac:dyDescent="0.25">
      <c r="B71">
        <v>689</v>
      </c>
      <c r="C71" t="s">
        <v>2179</v>
      </c>
      <c r="E71" t="s">
        <v>2539</v>
      </c>
      <c r="F71" t="s">
        <v>398</v>
      </c>
      <c r="G71" s="4">
        <v>0</v>
      </c>
      <c r="I71" t="s">
        <v>1429</v>
      </c>
    </row>
    <row r="72" spans="2:9" x14ac:dyDescent="0.25">
      <c r="B72">
        <v>694</v>
      </c>
      <c r="C72" t="s">
        <v>2183</v>
      </c>
      <c r="E72" t="s">
        <v>2540</v>
      </c>
      <c r="F72" t="s">
        <v>398</v>
      </c>
      <c r="G72" s="4">
        <v>0</v>
      </c>
      <c r="I72" t="s">
        <v>1429</v>
      </c>
    </row>
    <row r="73" spans="2:9" x14ac:dyDescent="0.25">
      <c r="B73">
        <v>699</v>
      </c>
      <c r="C73" t="s">
        <v>2184</v>
      </c>
      <c r="E73" t="s">
        <v>2541</v>
      </c>
      <c r="F73" t="s">
        <v>398</v>
      </c>
      <c r="G73" s="4">
        <v>0</v>
      </c>
      <c r="I73" t="s">
        <v>1429</v>
      </c>
    </row>
    <row r="74" spans="2:9" x14ac:dyDescent="0.25">
      <c r="B74">
        <v>704</v>
      </c>
      <c r="C74" t="s">
        <v>2185</v>
      </c>
      <c r="E74" t="s">
        <v>2542</v>
      </c>
      <c r="F74" t="s">
        <v>398</v>
      </c>
      <c r="G74" s="4">
        <v>0</v>
      </c>
      <c r="I74" t="s">
        <v>1429</v>
      </c>
    </row>
    <row r="75" spans="2:9" x14ac:dyDescent="0.25">
      <c r="B75">
        <v>710</v>
      </c>
      <c r="C75" t="s">
        <v>2188</v>
      </c>
      <c r="E75" t="s">
        <v>2543</v>
      </c>
      <c r="F75" t="s">
        <v>398</v>
      </c>
      <c r="G75" s="4">
        <v>0</v>
      </c>
      <c r="I75" t="s">
        <v>1429</v>
      </c>
    </row>
    <row r="76" spans="2:9" x14ac:dyDescent="0.25">
      <c r="B76">
        <v>715</v>
      </c>
      <c r="C76" t="s">
        <v>2191</v>
      </c>
      <c r="E76" t="s">
        <v>2544</v>
      </c>
      <c r="F76" t="s">
        <v>398</v>
      </c>
      <c r="G76" s="4">
        <v>0</v>
      </c>
      <c r="I76" t="s">
        <v>1429</v>
      </c>
    </row>
    <row r="77" spans="2:9" x14ac:dyDescent="0.25">
      <c r="B77">
        <v>720</v>
      </c>
      <c r="C77" t="s">
        <v>2192</v>
      </c>
      <c r="E77" t="s">
        <v>2545</v>
      </c>
      <c r="F77" t="s">
        <v>398</v>
      </c>
      <c r="G77" s="4">
        <v>0</v>
      </c>
      <c r="I77" t="s">
        <v>1429</v>
      </c>
    </row>
    <row r="78" spans="2:9" x14ac:dyDescent="0.25">
      <c r="B78">
        <v>725</v>
      </c>
      <c r="C78" t="s">
        <v>2194</v>
      </c>
      <c r="E78" t="s">
        <v>2546</v>
      </c>
      <c r="F78" t="s">
        <v>398</v>
      </c>
      <c r="G78" s="4">
        <v>0</v>
      </c>
      <c r="I78" t="s">
        <v>1429</v>
      </c>
    </row>
    <row r="79" spans="2:9" x14ac:dyDescent="0.25">
      <c r="B79">
        <v>730</v>
      </c>
      <c r="C79" t="s">
        <v>2547</v>
      </c>
      <c r="E79" t="s">
        <v>2548</v>
      </c>
      <c r="F79" t="s">
        <v>398</v>
      </c>
      <c r="G79" s="4">
        <v>0</v>
      </c>
      <c r="I79" t="s">
        <v>1429</v>
      </c>
    </row>
    <row r="80" spans="2:9" x14ac:dyDescent="0.25">
      <c r="B80">
        <v>735</v>
      </c>
      <c r="C80" t="s">
        <v>2549</v>
      </c>
      <c r="E80" t="s">
        <v>2550</v>
      </c>
      <c r="F80" t="s">
        <v>398</v>
      </c>
      <c r="G80" s="4">
        <v>0</v>
      </c>
      <c r="I80" t="s">
        <v>1429</v>
      </c>
    </row>
    <row r="81" spans="2:9" x14ac:dyDescent="0.25">
      <c r="B81">
        <v>741</v>
      </c>
      <c r="C81" t="s">
        <v>2198</v>
      </c>
      <c r="E81" t="s">
        <v>2551</v>
      </c>
      <c r="F81" t="s">
        <v>398</v>
      </c>
      <c r="G81" s="4">
        <v>0</v>
      </c>
      <c r="I81" t="s">
        <v>1429</v>
      </c>
    </row>
    <row r="82" spans="2:9" x14ac:dyDescent="0.25">
      <c r="B82">
        <v>746</v>
      </c>
      <c r="C82" t="s">
        <v>2200</v>
      </c>
      <c r="E82" t="s">
        <v>2552</v>
      </c>
      <c r="F82" t="s">
        <v>398</v>
      </c>
      <c r="G82" s="4">
        <v>0</v>
      </c>
      <c r="I82" t="s">
        <v>1429</v>
      </c>
    </row>
    <row r="83" spans="2:9" x14ac:dyDescent="0.25">
      <c r="B83">
        <v>751</v>
      </c>
      <c r="C83" t="s">
        <v>2201</v>
      </c>
      <c r="E83" t="s">
        <v>2553</v>
      </c>
      <c r="F83" t="s">
        <v>398</v>
      </c>
      <c r="G83" s="4">
        <v>0</v>
      </c>
      <c r="I83" t="s">
        <v>1429</v>
      </c>
    </row>
    <row r="84" spans="2:9" x14ac:dyDescent="0.25">
      <c r="B84">
        <v>756</v>
      </c>
      <c r="C84" t="s">
        <v>2203</v>
      </c>
      <c r="E84" t="s">
        <v>2554</v>
      </c>
      <c r="F84" t="s">
        <v>398</v>
      </c>
      <c r="G84" s="4">
        <v>0</v>
      </c>
      <c r="I84" t="s">
        <v>1429</v>
      </c>
    </row>
    <row r="85" spans="2:9" x14ac:dyDescent="0.25">
      <c r="B85">
        <v>761</v>
      </c>
      <c r="C85" t="s">
        <v>2555</v>
      </c>
      <c r="E85" t="s">
        <v>2556</v>
      </c>
      <c r="F85" t="s">
        <v>398</v>
      </c>
      <c r="G85" s="4">
        <v>0</v>
      </c>
      <c r="I85" t="s">
        <v>1429</v>
      </c>
    </row>
    <row r="86" spans="2:9" x14ac:dyDescent="0.25">
      <c r="B86">
        <v>767</v>
      </c>
      <c r="C86" t="s">
        <v>2208</v>
      </c>
      <c r="E86" t="s">
        <v>2557</v>
      </c>
      <c r="F86" t="s">
        <v>398</v>
      </c>
      <c r="G86" s="4">
        <v>0</v>
      </c>
      <c r="I86" t="s">
        <v>1429</v>
      </c>
    </row>
    <row r="87" spans="2:9" x14ac:dyDescent="0.25">
      <c r="B87">
        <v>772</v>
      </c>
      <c r="C87" t="s">
        <v>2213</v>
      </c>
      <c r="E87" t="s">
        <v>2558</v>
      </c>
      <c r="F87" t="s">
        <v>398</v>
      </c>
      <c r="G87" s="4">
        <v>0</v>
      </c>
      <c r="I87" t="s">
        <v>1429</v>
      </c>
    </row>
    <row r="88" spans="2:9" x14ac:dyDescent="0.25">
      <c r="B88">
        <v>777</v>
      </c>
      <c r="C88" t="s">
        <v>2214</v>
      </c>
      <c r="E88" t="s">
        <v>2559</v>
      </c>
      <c r="F88" t="s">
        <v>398</v>
      </c>
      <c r="G88" s="4">
        <v>0</v>
      </c>
      <c r="I88" t="s">
        <v>1429</v>
      </c>
    </row>
    <row r="89" spans="2:9" x14ac:dyDescent="0.25">
      <c r="B89">
        <v>782</v>
      </c>
      <c r="C89" t="s">
        <v>2215</v>
      </c>
      <c r="E89" t="s">
        <v>2560</v>
      </c>
      <c r="F89" t="s">
        <v>398</v>
      </c>
      <c r="G89" s="4">
        <v>0</v>
      </c>
      <c r="I89" t="s">
        <v>1429</v>
      </c>
    </row>
    <row r="90" spans="2:9" x14ac:dyDescent="0.25">
      <c r="B90">
        <v>787</v>
      </c>
      <c r="C90" t="s">
        <v>2216</v>
      </c>
      <c r="E90" t="s">
        <v>2482</v>
      </c>
      <c r="F90" t="s">
        <v>398</v>
      </c>
      <c r="G90" s="4">
        <v>0</v>
      </c>
      <c r="I90" t="s">
        <v>1429</v>
      </c>
    </row>
    <row r="91" spans="2:9" x14ac:dyDescent="0.25">
      <c r="B91">
        <v>788</v>
      </c>
      <c r="C91" t="s">
        <v>2218</v>
      </c>
      <c r="E91" t="s">
        <v>2562</v>
      </c>
      <c r="F91" t="s">
        <v>398</v>
      </c>
      <c r="G91" s="4">
        <v>0</v>
      </c>
      <c r="I91" t="s">
        <v>1429</v>
      </c>
    </row>
    <row r="92" spans="2:9" x14ac:dyDescent="0.25">
      <c r="B92">
        <v>793</v>
      </c>
      <c r="C92" t="s">
        <v>2220</v>
      </c>
      <c r="E92" t="s">
        <v>2563</v>
      </c>
      <c r="F92" t="s">
        <v>398</v>
      </c>
      <c r="G92" s="4">
        <v>0</v>
      </c>
      <c r="I92" t="s">
        <v>1429</v>
      </c>
    </row>
    <row r="93" spans="2:9" x14ac:dyDescent="0.25">
      <c r="B93">
        <v>798</v>
      </c>
      <c r="C93" t="s">
        <v>2221</v>
      </c>
      <c r="E93" t="s">
        <v>2564</v>
      </c>
      <c r="F93" t="s">
        <v>398</v>
      </c>
      <c r="G93" s="4">
        <v>0</v>
      </c>
      <c r="I93" t="s">
        <v>1429</v>
      </c>
    </row>
    <row r="94" spans="2:9" x14ac:dyDescent="0.25">
      <c r="B94">
        <v>803</v>
      </c>
      <c r="C94" t="s">
        <v>2222</v>
      </c>
      <c r="E94" t="s">
        <v>2565</v>
      </c>
      <c r="F94" t="s">
        <v>398</v>
      </c>
      <c r="G94" s="4">
        <v>0</v>
      </c>
      <c r="I94" t="s">
        <v>1429</v>
      </c>
    </row>
    <row r="95" spans="2:9" x14ac:dyDescent="0.25">
      <c r="B95">
        <v>808</v>
      </c>
      <c r="C95" t="s">
        <v>2566</v>
      </c>
      <c r="E95" t="s">
        <v>2567</v>
      </c>
      <c r="F95" t="s">
        <v>398</v>
      </c>
      <c r="G95" s="4">
        <v>0</v>
      </c>
      <c r="I95" t="s">
        <v>1429</v>
      </c>
    </row>
    <row r="96" spans="2:9" x14ac:dyDescent="0.25">
      <c r="B96">
        <v>813</v>
      </c>
      <c r="C96" t="s">
        <v>2568</v>
      </c>
      <c r="E96" t="s">
        <v>2569</v>
      </c>
      <c r="F96" t="s">
        <v>398</v>
      </c>
      <c r="G96" s="4">
        <v>0</v>
      </c>
      <c r="I96" t="s">
        <v>1429</v>
      </c>
    </row>
    <row r="97" spans="2:9" x14ac:dyDescent="0.25">
      <c r="B97">
        <v>819</v>
      </c>
      <c r="C97" t="s">
        <v>2226</v>
      </c>
      <c r="E97" t="s">
        <v>2570</v>
      </c>
      <c r="F97" t="s">
        <v>398</v>
      </c>
      <c r="G97" s="4">
        <v>0</v>
      </c>
      <c r="I97" t="s">
        <v>1429</v>
      </c>
    </row>
    <row r="98" spans="2:9" x14ac:dyDescent="0.25">
      <c r="B98">
        <v>824</v>
      </c>
      <c r="C98" t="s">
        <v>2229</v>
      </c>
      <c r="E98" t="s">
        <v>2571</v>
      </c>
      <c r="F98" t="s">
        <v>398</v>
      </c>
      <c r="G98" s="4">
        <v>0</v>
      </c>
      <c r="I98" t="s">
        <v>1429</v>
      </c>
    </row>
    <row r="99" spans="2:9" x14ac:dyDescent="0.25">
      <c r="B99">
        <v>829</v>
      </c>
      <c r="C99" t="s">
        <v>2230</v>
      </c>
      <c r="E99" t="s">
        <v>2572</v>
      </c>
      <c r="F99" t="s">
        <v>398</v>
      </c>
      <c r="G99" s="4">
        <v>0</v>
      </c>
      <c r="I99" t="s">
        <v>1429</v>
      </c>
    </row>
    <row r="100" spans="2:9" x14ac:dyDescent="0.25">
      <c r="B100">
        <v>834</v>
      </c>
      <c r="C100" t="s">
        <v>2231</v>
      </c>
      <c r="E100" t="s">
        <v>2573</v>
      </c>
      <c r="F100" t="s">
        <v>398</v>
      </c>
      <c r="G100" s="4">
        <v>0</v>
      </c>
      <c r="I100" t="s">
        <v>1429</v>
      </c>
    </row>
    <row r="101" spans="2:9" x14ac:dyDescent="0.25">
      <c r="B101">
        <v>845</v>
      </c>
      <c r="C101" t="s">
        <v>2236</v>
      </c>
      <c r="E101" t="s">
        <v>2574</v>
      </c>
      <c r="F101" t="s">
        <v>398</v>
      </c>
      <c r="G101" s="4">
        <v>0</v>
      </c>
      <c r="I101" t="s">
        <v>1429</v>
      </c>
    </row>
    <row r="102" spans="2:9" x14ac:dyDescent="0.25">
      <c r="B102">
        <v>850</v>
      </c>
      <c r="C102" t="s">
        <v>2237</v>
      </c>
      <c r="E102" t="s">
        <v>2575</v>
      </c>
      <c r="F102" t="s">
        <v>398</v>
      </c>
      <c r="G102" s="4">
        <v>0</v>
      </c>
      <c r="I102" t="s">
        <v>1429</v>
      </c>
    </row>
    <row r="103" spans="2:9" x14ac:dyDescent="0.25">
      <c r="B103">
        <v>861</v>
      </c>
      <c r="C103" t="s">
        <v>2576</v>
      </c>
      <c r="E103" t="s">
        <v>2577</v>
      </c>
      <c r="F103" t="s">
        <v>398</v>
      </c>
      <c r="G103" s="4">
        <v>0</v>
      </c>
      <c r="I103" t="s">
        <v>1429</v>
      </c>
    </row>
    <row r="104" spans="2:9" x14ac:dyDescent="0.25">
      <c r="B104">
        <v>943</v>
      </c>
      <c r="C104" t="s">
        <v>2578</v>
      </c>
      <c r="E104" t="s">
        <v>2579</v>
      </c>
      <c r="F104" t="s">
        <v>398</v>
      </c>
      <c r="G104" s="4">
        <v>0</v>
      </c>
      <c r="I104" t="s">
        <v>2246</v>
      </c>
    </row>
    <row r="105" spans="2:9" x14ac:dyDescent="0.25">
      <c r="B105">
        <v>948</v>
      </c>
      <c r="C105" t="s">
        <v>2443</v>
      </c>
      <c r="E105" t="s">
        <v>2580</v>
      </c>
      <c r="F105" t="s">
        <v>398</v>
      </c>
      <c r="G105" s="4">
        <v>0</v>
      </c>
      <c r="I105" t="s">
        <v>2246</v>
      </c>
    </row>
    <row r="106" spans="2:9" x14ac:dyDescent="0.25">
      <c r="B106">
        <v>953</v>
      </c>
      <c r="C106" t="s">
        <v>2451</v>
      </c>
      <c r="E106" t="s">
        <v>2581</v>
      </c>
      <c r="F106" t="s">
        <v>398</v>
      </c>
      <c r="G106" s="4">
        <v>0</v>
      </c>
      <c r="I106" t="s">
        <v>2246</v>
      </c>
    </row>
    <row r="107" spans="2:9" x14ac:dyDescent="0.25">
      <c r="B107">
        <v>963</v>
      </c>
      <c r="C107" t="s">
        <v>2582</v>
      </c>
      <c r="E107" t="s">
        <v>2583</v>
      </c>
      <c r="F107" t="s">
        <v>398</v>
      </c>
      <c r="G107" s="4">
        <v>0</v>
      </c>
      <c r="I107" t="s">
        <v>2246</v>
      </c>
    </row>
    <row r="108" spans="2:9" x14ac:dyDescent="0.25">
      <c r="B108">
        <v>1008</v>
      </c>
      <c r="C108" t="s">
        <v>2584</v>
      </c>
      <c r="E108" t="s">
        <v>2585</v>
      </c>
      <c r="F108" t="s">
        <v>398</v>
      </c>
      <c r="G108" s="4">
        <v>0</v>
      </c>
      <c r="I108" t="s">
        <v>2246</v>
      </c>
    </row>
    <row r="109" spans="2:9" x14ac:dyDescent="0.25">
      <c r="B109">
        <v>1029</v>
      </c>
      <c r="C109" t="s">
        <v>2586</v>
      </c>
      <c r="E109" t="s">
        <v>2587</v>
      </c>
      <c r="F109" t="s">
        <v>398</v>
      </c>
      <c r="G109" s="4">
        <v>0</v>
      </c>
      <c r="I109" t="s">
        <v>2426</v>
      </c>
    </row>
    <row r="110" spans="2:9" x14ac:dyDescent="0.25">
      <c r="B110">
        <v>1034</v>
      </c>
      <c r="C110" t="s">
        <v>2588</v>
      </c>
      <c r="E110" t="s">
        <v>2589</v>
      </c>
      <c r="F110" t="s">
        <v>398</v>
      </c>
      <c r="G110" s="4">
        <v>0</v>
      </c>
      <c r="I110" t="s">
        <v>2426</v>
      </c>
    </row>
    <row r="111" spans="2:9" x14ac:dyDescent="0.25">
      <c r="B111">
        <v>1039</v>
      </c>
      <c r="C111" t="s">
        <v>2590</v>
      </c>
      <c r="E111" t="s">
        <v>2591</v>
      </c>
      <c r="F111" t="s">
        <v>398</v>
      </c>
      <c r="G111" s="4">
        <v>0</v>
      </c>
      <c r="I111" t="s">
        <v>2426</v>
      </c>
    </row>
    <row r="112" spans="2:9" x14ac:dyDescent="0.25">
      <c r="B112">
        <v>1044</v>
      </c>
      <c r="C112" t="s">
        <v>2592</v>
      </c>
      <c r="E112" t="s">
        <v>2593</v>
      </c>
      <c r="F112" t="s">
        <v>398</v>
      </c>
      <c r="G112" s="4">
        <v>0</v>
      </c>
      <c r="I112" t="s">
        <v>2426</v>
      </c>
    </row>
    <row r="113" spans="2:9" x14ac:dyDescent="0.25">
      <c r="B113">
        <v>1054</v>
      </c>
      <c r="C113" t="s">
        <v>2594</v>
      </c>
      <c r="E113" t="s">
        <v>2595</v>
      </c>
      <c r="F113" t="s">
        <v>398</v>
      </c>
      <c r="G113" s="4">
        <v>0</v>
      </c>
      <c r="I113" t="s">
        <v>2426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"/>
  <sheetViews>
    <sheetView workbookViewId="0"/>
  </sheetViews>
  <sheetFormatPr defaultRowHeight="15" x14ac:dyDescent="0.25"/>
  <sheetData>
    <row r="1" spans="1:10" x14ac:dyDescent="0.25">
      <c r="A1" t="s">
        <v>26</v>
      </c>
      <c r="B1" t="s">
        <v>0</v>
      </c>
      <c r="C1" t="s">
        <v>1</v>
      </c>
      <c r="D1" t="s">
        <v>2</v>
      </c>
      <c r="E1" t="s">
        <v>3</v>
      </c>
      <c r="F1" t="s">
        <v>15</v>
      </c>
      <c r="G1" t="s">
        <v>4</v>
      </c>
      <c r="H1" t="s">
        <v>18</v>
      </c>
      <c r="I1" t="s">
        <v>19</v>
      </c>
      <c r="J1" t="s">
        <v>23</v>
      </c>
    </row>
  </sheetData>
  <pageMargins left="0.75" right="0.75" top="1" bottom="1" header="0.5" footer="0.5"/>
  <headerFooter>
    <oddFooter>&amp;C_x000D_&amp;1#&amp;"Aptos"&amp;11&amp;K000000 BV_C2_Internal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D4ECE8-7234-4831-9276-0CDE9F287A9D}">
  <ds:schemaRefs>
    <ds:schemaRef ds:uri="http://schemas.microsoft.com/office/2006/metadata/properties"/>
    <ds:schemaRef ds:uri="http://schemas.microsoft.com/office/infopath/2007/PartnerControls"/>
    <ds:schemaRef ds:uri="c6385d03-c98b-47a8-b084-660309c480c9"/>
    <ds:schemaRef ds:uri="1dad954f-e29e-48a7-b9b8-f0523de1045f"/>
  </ds:schemaRefs>
</ds:datastoreItem>
</file>

<file path=customXml/itemProps2.xml><?xml version="1.0" encoding="utf-8"?>
<ds:datastoreItem xmlns:ds="http://schemas.openxmlformats.org/officeDocument/2006/customXml" ds:itemID="{846E2DEB-9195-4A1B-9D3C-4F71B66CB0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385d03-c98b-47a8-b084-660309c480c9"/>
    <ds:schemaRef ds:uri="1dad954f-e29e-48a7-b9b8-f0523de104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D453EE1-0E17-41A9-A79C-619D7DD74D2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Base</vt:lpstr>
      <vt:lpstr>Resumo</vt:lpstr>
      <vt:lpstr>Curva S</vt:lpstr>
      <vt:lpstr>Concluídas</vt:lpstr>
      <vt:lpstr>Atrasadas</vt:lpstr>
      <vt:lpstr>Sprint Atual</vt:lpstr>
      <vt:lpstr>Próximo Sprint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JOAO Santos</cp:lastModifiedBy>
  <dcterms:created xsi:type="dcterms:W3CDTF">2026-07-16T12:23:40Z</dcterms:created>
  <dcterms:modified xsi:type="dcterms:W3CDTF">2026-07-16T13:20:39Z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  <property fmtid="{D5CDD505-2E9C-101B-9397-08002B2CF9AE}" pid="3" name="MSIP_Label_c80bb4b1-c353-4a8c-aa94-59f555332b5a_Enabled">
    <vt:lpwstr>true</vt:lpwstr>
  </property>
  <property fmtid="{D5CDD505-2E9C-101B-9397-08002B2CF9AE}" pid="4" name="MSIP_Label_c80bb4b1-c353-4a8c-aa94-59f555332b5a_SetDate">
    <vt:lpwstr>2026-07-16T12:56:28Z</vt:lpwstr>
  </property>
  <property fmtid="{D5CDD505-2E9C-101B-9397-08002B2CF9AE}" pid="5" name="MSIP_Label_c80bb4b1-c353-4a8c-aa94-59f555332b5a_Method">
    <vt:lpwstr>Standard</vt:lpwstr>
  </property>
  <property fmtid="{D5CDD505-2E9C-101B-9397-08002B2CF9AE}" pid="6" name="MSIP_Label_c80bb4b1-c353-4a8c-aa94-59f555332b5a_Name">
    <vt:lpwstr>C2 - Internal</vt:lpwstr>
  </property>
  <property fmtid="{D5CDD505-2E9C-101B-9397-08002B2CF9AE}" pid="7" name="MSIP_Label_c80bb4b1-c353-4a8c-aa94-59f555332b5a_SiteId">
    <vt:lpwstr>fffad414-b6a3-4f32-a9bd-42d28fc811f1</vt:lpwstr>
  </property>
  <property fmtid="{D5CDD505-2E9C-101B-9397-08002B2CF9AE}" pid="8" name="MSIP_Label_c80bb4b1-c353-4a8c-aa94-59f555332b5a_ActionId">
    <vt:lpwstr>2aaaa22c-cbf9-44ee-a437-b94149017a15</vt:lpwstr>
  </property>
  <property fmtid="{D5CDD505-2E9C-101B-9397-08002B2CF9AE}" pid="9" name="MSIP_Label_c80bb4b1-c353-4a8c-aa94-59f555332b5a_ContentBits">
    <vt:lpwstr>2</vt:lpwstr>
  </property>
  <property fmtid="{D5CDD505-2E9C-101B-9397-08002B2CF9AE}" pid="10" name="MSIP_Label_c80bb4b1-c353-4a8c-aa94-59f555332b5a_Tag">
    <vt:lpwstr>10, 3, 0, 1</vt:lpwstr>
  </property>
  <property fmtid="{D5CDD505-2E9C-101B-9397-08002B2CF9AE}" pid="11" name="MediaServiceImageTags">
    <vt:lpwstr/>
  </property>
</Properties>
</file>