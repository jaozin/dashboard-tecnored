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000/"/>
    </mc:Choice>
  </mc:AlternateContent>
  <xr:revisionPtr revIDLastSave="63" documentId="11_7C7A9EED4FE3D79E0DAF04C5ECA5D641285EC2D4" xr6:coauthVersionLast="47" xr6:coauthVersionMax="47" xr10:uidLastSave="{BC1EE043-EB1A-48AB-9C2B-566A9CED79E8}"/>
  <bookViews>
    <workbookView xWindow="28680" yWindow="-120" windowWidth="29040" windowHeight="15720" activeTab="4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2" i="2"/>
  <c r="D32" i="2"/>
  <c r="E32" i="2"/>
  <c r="B15" i="2"/>
  <c r="C15" i="2"/>
  <c r="E15" i="2"/>
  <c r="F15" i="2"/>
  <c r="G15" i="2"/>
</calcChain>
</file>

<file path=xl/sharedStrings.xml><?xml version="1.0" encoding="utf-8"?>
<sst xmlns="http://schemas.openxmlformats.org/spreadsheetml/2006/main" count="1790" uniqueCount="327">
  <si>
    <t>Id</t>
  </si>
  <si>
    <t>EDT</t>
  </si>
  <si>
    <t>Nome da Tarefa</t>
  </si>
  <si>
    <t>Título</t>
  </si>
  <si>
    <t>Duração</t>
  </si>
  <si>
    <t>Início</t>
  </si>
  <si>
    <t>Término</t>
  </si>
  <si>
    <t>Predecessoras</t>
  </si>
  <si>
    <t>% concluída</t>
  </si>
  <si>
    <t>Término real</t>
  </si>
  <si>
    <t>Status</t>
  </si>
  <si>
    <t>Crítica</t>
  </si>
  <si>
    <t>Disciplina</t>
  </si>
  <si>
    <t>Inicio_LB_R0</t>
  </si>
  <si>
    <t>Término_LB_R0</t>
  </si>
  <si>
    <t>Sprint</t>
  </si>
  <si>
    <t>Sucessoras</t>
  </si>
  <si>
    <t>Comparação</t>
  </si>
  <si>
    <t>Nome do Resumo da Tarefa</t>
  </si>
  <si>
    <t>Nomes dos recursos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</si>
  <si>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</si>
  <si>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</si>
  <si>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</si>
  <si>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</si>
  <si>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</si>
  <si>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</si>
  <si>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</si>
  <si>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</si>
  <si>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</si>
  <si>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</si>
  <si>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</si>
  <si>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</si>
  <si>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</si>
  <si>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158 dias</t>
  </si>
  <si>
    <t>No Prazo</t>
  </si>
  <si>
    <t>Sim</t>
  </si>
  <si>
    <t>GERAL</t>
  </si>
  <si>
    <t>Seg 27/04/26</t>
  </si>
  <si>
    <t>Nenhum Sprint</t>
  </si>
  <si>
    <t>1.1</t>
  </si>
  <si>
    <t>área 0000 -documento geral</t>
  </si>
  <si>
    <t>1.1.1</t>
  </si>
  <si>
    <t>kom - início de projeto</t>
  </si>
  <si>
    <t>0 dias</t>
  </si>
  <si>
    <t>Concluída</t>
  </si>
  <si>
    <t>Não</t>
  </si>
  <si>
    <t>8TI+10 dias;24TI+10 dias;19TI+45 dias;5</t>
  </si>
  <si>
    <t>1.1.2</t>
  </si>
  <si>
    <t>pendências</t>
  </si>
  <si>
    <t>PENDÊNCIAS</t>
  </si>
  <si>
    <t>Qua 29/04/26</t>
  </si>
  <si>
    <t>1.1.2.1</t>
  </si>
  <si>
    <t>recebimento de dados de entrada</t>
  </si>
  <si>
    <t>1.1.3</t>
  </si>
  <si>
    <t>planejamento</t>
  </si>
  <si>
    <t>148 dias</t>
  </si>
  <si>
    <t>Tarefa futura</t>
  </si>
  <si>
    <t xml:space="preserve">PLANEJAMENTO </t>
  </si>
  <si>
    <t>1.1.3.1</t>
  </si>
  <si>
    <t>ld-f0009-0000-mb-f-00001</t>
  </si>
  <si>
    <t>Lista de documentos</t>
  </si>
  <si>
    <t>1.1.3.1.1</t>
  </si>
  <si>
    <t>emissão inicial</t>
  </si>
  <si>
    <t>2 dias</t>
  </si>
  <si>
    <t>3TI+10 dias</t>
  </si>
  <si>
    <t>9;13</t>
  </si>
  <si>
    <t>1.1.3.1.2</t>
  </si>
  <si>
    <t>análise tecnored</t>
  </si>
  <si>
    <t>1 dia</t>
  </si>
  <si>
    <t>Qui 30/04/26</t>
  </si>
  <si>
    <t>10TI+140 dias</t>
  </si>
  <si>
    <t>1.1.3.1.3</t>
  </si>
  <si>
    <t>atendimento de comentários</t>
  </si>
  <si>
    <t>9TI+140 dias</t>
  </si>
  <si>
    <t>Qua 06/05/26</t>
  </si>
  <si>
    <t>11TI+3 dias</t>
  </si>
  <si>
    <t>1.1.3.1.4</t>
  </si>
  <si>
    <t>aprovação</t>
  </si>
  <si>
    <t>10TI+3 dias</t>
  </si>
  <si>
    <t>Ter 19/05/26</t>
  </si>
  <si>
    <t>1.1.3.2</t>
  </si>
  <si>
    <t>cr-f0009-0000-mb-f-00001</t>
  </si>
  <si>
    <t>Cronograma</t>
  </si>
  <si>
    <t>16 dias</t>
  </si>
  <si>
    <t>1.1.3.2.1</t>
  </si>
  <si>
    <t>3 dias</t>
  </si>
  <si>
    <t>14;30</t>
  </si>
  <si>
    <t>1.1.3.2.2</t>
  </si>
  <si>
    <t>Ter 05/05/26</t>
  </si>
  <si>
    <t>15TI+8 dias</t>
  </si>
  <si>
    <t>1.1.3.2.3</t>
  </si>
  <si>
    <t>14TI+8 dias</t>
  </si>
  <si>
    <t>Qua 13/05/26</t>
  </si>
  <si>
    <t>1.1.3.2.4</t>
  </si>
  <si>
    <t>Seg 18/05/26</t>
  </si>
  <si>
    <t>1.1.4</t>
  </si>
  <si>
    <t>coordenação</t>
  </si>
  <si>
    <t>42 dias</t>
  </si>
  <si>
    <t xml:space="preserve">COORDENAÇÃO </t>
  </si>
  <si>
    <t>1.1.4.1</t>
  </si>
  <si>
    <t>lf-f0009-0000-mb-f-00001</t>
  </si>
  <si>
    <t>Vendor List</t>
  </si>
  <si>
    <t>7 dias</t>
  </si>
  <si>
    <t>Seg 20/07/26</t>
  </si>
  <si>
    <t>1.1.4.1.1</t>
  </si>
  <si>
    <t>3TI+45 dias</t>
  </si>
  <si>
    <t>1.1.4.1.2</t>
  </si>
  <si>
    <t>Qui 23/07/26</t>
  </si>
  <si>
    <t>1.1.4.1.3</t>
  </si>
  <si>
    <t>Sex 24/07/26</t>
  </si>
  <si>
    <t>1.1.4.1.4</t>
  </si>
  <si>
    <t>Ter 28/07/26</t>
  </si>
  <si>
    <t>1.1.4.2</t>
  </si>
  <si>
    <t>lp-f0009-0000-mb-g-00001</t>
  </si>
  <si>
    <t>Lista de pendências</t>
  </si>
  <si>
    <t>37 dias</t>
  </si>
  <si>
    <t>1.1.4.2.1</t>
  </si>
  <si>
    <t>1.1.4.2.2</t>
  </si>
  <si>
    <t>26TI+30 dias</t>
  </si>
  <si>
    <t>1.1.4.2.3</t>
  </si>
  <si>
    <t>25TI+30 dias</t>
  </si>
  <si>
    <t>Sex 12/06/26</t>
  </si>
  <si>
    <t>1.1.4.2.4</t>
  </si>
  <si>
    <t>Ter 16/06/26</t>
  </si>
  <si>
    <t>1.1.5</t>
  </si>
  <si>
    <t>processo</t>
  </si>
  <si>
    <t>139 dias</t>
  </si>
  <si>
    <t>PROCESSO</t>
  </si>
  <si>
    <t>1.1.5.1</t>
  </si>
  <si>
    <t>cp-f0009-0000-mb-p-00001</t>
  </si>
  <si>
    <t>Critério de Projetos</t>
  </si>
  <si>
    <t>9 dias</t>
  </si>
  <si>
    <t>Ter 09/06/26</t>
  </si>
  <si>
    <t>1.1.5.1.1</t>
  </si>
  <si>
    <t>5 dias</t>
  </si>
  <si>
    <t>31;40TI+8 dias;45TI+8 dias;35TI+120 dias;51TT;62TT;83TT;94TT;105TT;115TI+60 dias</t>
  </si>
  <si>
    <t>1.1.5.1.2</t>
  </si>
  <si>
    <t>1.1.5.1.3</t>
  </si>
  <si>
    <t>Qua 17/06/26</t>
  </si>
  <si>
    <t>1.1.5.1.4</t>
  </si>
  <si>
    <t>Sex 19/06/26</t>
  </si>
  <si>
    <t>1.1.5.2</t>
  </si>
  <si>
    <t>md-f0009-0000-mb-p-00001</t>
  </si>
  <si>
    <t>Memorial descritivo</t>
  </si>
  <si>
    <t>1.1.5.2.1</t>
  </si>
  <si>
    <t>30TI+120 dias</t>
  </si>
  <si>
    <t>1.1.5.2.2</t>
  </si>
  <si>
    <t>Seg 22/06/26</t>
  </si>
  <si>
    <t>1.1.5.2.3</t>
  </si>
  <si>
    <t>Ter 23/06/26</t>
  </si>
  <si>
    <t>1.1.5.2.4</t>
  </si>
  <si>
    <t>Qui 25/06/26</t>
  </si>
  <si>
    <t>1.1.5.3</t>
  </si>
  <si>
    <t>fg-f0009-0000-mb-p-00001</t>
  </si>
  <si>
    <t>Diagrama de blocos de processo</t>
  </si>
  <si>
    <t>4 dias</t>
  </si>
  <si>
    <t>1.1.5.3.1</t>
  </si>
  <si>
    <t>30TI+8 dias</t>
  </si>
  <si>
    <t>1.1.5.3.2</t>
  </si>
  <si>
    <t>Qua 20/05/26</t>
  </si>
  <si>
    <t>1.1.5.3.3</t>
  </si>
  <si>
    <t>Qui 21/05/26</t>
  </si>
  <si>
    <t>1.1.5.3.4</t>
  </si>
  <si>
    <t>Seg 25/05/26</t>
  </si>
  <si>
    <t>1.1.5.4</t>
  </si>
  <si>
    <t>Fluxograma geral de processo</t>
  </si>
  <si>
    <t>25 dias</t>
  </si>
  <si>
    <t>1.1.5.4.1</t>
  </si>
  <si>
    <t>1.1.5.4.2</t>
  </si>
  <si>
    <t>1.1.5.4.3</t>
  </si>
  <si>
    <t>1.1.5.4.4</t>
  </si>
  <si>
    <t>1.1.6</t>
  </si>
  <si>
    <t>mecânica</t>
  </si>
  <si>
    <t>128 dias</t>
  </si>
  <si>
    <t>MECÂNICA</t>
  </si>
  <si>
    <t>1.1.6.1</t>
  </si>
  <si>
    <t>cp-f0009-0000-mb-m-00001</t>
  </si>
  <si>
    <t>6 dias</t>
  </si>
  <si>
    <t>1.1.6.1.1</t>
  </si>
  <si>
    <t>30TT</t>
  </si>
  <si>
    <t>52;56TI+120 dias</t>
  </si>
  <si>
    <t>1.1.6.1.2</t>
  </si>
  <si>
    <t>1.1.6.1.3</t>
  </si>
  <si>
    <t>1.1.6.1.4</t>
  </si>
  <si>
    <t>1.1.6.2</t>
  </si>
  <si>
    <t>md-f0009-0000-mb-m-00001</t>
  </si>
  <si>
    <t>Ter 26/05/26</t>
  </si>
  <si>
    <t>1.1.6.2.1</t>
  </si>
  <si>
    <t>51TI+120 dias</t>
  </si>
  <si>
    <t>1.1.6.2.2</t>
  </si>
  <si>
    <t>Qui 28/05/26</t>
  </si>
  <si>
    <t>1.1.6.2.3</t>
  </si>
  <si>
    <t>Sex 29/05/26</t>
  </si>
  <si>
    <t>1.1.6.2.4</t>
  </si>
  <si>
    <t>Ter 02/06/26</t>
  </si>
  <si>
    <t>1.1.7</t>
  </si>
  <si>
    <t>tubulação/utilidades</t>
  </si>
  <si>
    <t>135 dias</t>
  </si>
  <si>
    <t>TUBULAÇÃO/UTILIDADES</t>
  </si>
  <si>
    <t>1.1.7.1</t>
  </si>
  <si>
    <t>cp-f0009-0000-mb-t-00001</t>
  </si>
  <si>
    <t>Qui 11/06/26</t>
  </si>
  <si>
    <t>1.1.7.1.1</t>
  </si>
  <si>
    <t>63;67TI+120 dias</t>
  </si>
  <si>
    <t>1.1.7.1.2</t>
  </si>
  <si>
    <t>1.1.7.1.3</t>
  </si>
  <si>
    <t>1.1.7.1.4</t>
  </si>
  <si>
    <t>1.1.7.2</t>
  </si>
  <si>
    <t>md-f0009-0000-mb-u-00001</t>
  </si>
  <si>
    <t>Qui 18/06/26</t>
  </si>
  <si>
    <t>1.1.7.2.1</t>
  </si>
  <si>
    <t>62TI+120 dias</t>
  </si>
  <si>
    <t>68;72;77</t>
  </si>
  <si>
    <t>1.1.7.2.2</t>
  </si>
  <si>
    <t>1.1.7.2.3</t>
  </si>
  <si>
    <t>Qua 24/06/26</t>
  </si>
  <si>
    <t>1.1.7.2.4</t>
  </si>
  <si>
    <t>Sex 26/06/26</t>
  </si>
  <si>
    <t>1.1.7.3</t>
  </si>
  <si>
    <t>ml-f0009-0000-mb-t-00001</t>
  </si>
  <si>
    <t>Modelo geral</t>
  </si>
  <si>
    <t>1.1.7.3.1</t>
  </si>
  <si>
    <t>1.1.7.3.2</t>
  </si>
  <si>
    <t>1.1.7.3.3</t>
  </si>
  <si>
    <t>Qua 03/06/26</t>
  </si>
  <si>
    <t>1.1.7.3.4</t>
  </si>
  <si>
    <t>Sex 05/06/26</t>
  </si>
  <si>
    <t>1.1.7.4</t>
  </si>
  <si>
    <t>lk-f0009-0000-mb-t-00001</t>
  </si>
  <si>
    <t>Lista de Tie-ins</t>
  </si>
  <si>
    <t>1.1.7.4.1</t>
  </si>
  <si>
    <t>1.1.7.4.2</t>
  </si>
  <si>
    <t>1.1.7.4.3</t>
  </si>
  <si>
    <t>Seg 08/06/26</t>
  </si>
  <si>
    <t>1.1.7.4.4</t>
  </si>
  <si>
    <t>Qua 10/06/26</t>
  </si>
  <si>
    <t>1.1.8</t>
  </si>
  <si>
    <t>estrutura metálica</t>
  </si>
  <si>
    <t>130 dias</t>
  </si>
  <si>
    <t>ESTRUTURA METÁLICA</t>
  </si>
  <si>
    <t>Seg 15/06/26</t>
  </si>
  <si>
    <t>1.1.8.1</t>
  </si>
  <si>
    <t>cp-f0009-0000-mb-s-00001</t>
  </si>
  <si>
    <t>1.1.8.1.1</t>
  </si>
  <si>
    <t>84;88TI+120 dias</t>
  </si>
  <si>
    <t>1.1.8.1.2</t>
  </si>
  <si>
    <t>1.1.8.1.3</t>
  </si>
  <si>
    <t>1.1.8.1.4</t>
  </si>
  <si>
    <t>1.1.8.2</t>
  </si>
  <si>
    <t>md-f0009-0000-mb-s-00001</t>
  </si>
  <si>
    <t>1.1.8.2.1</t>
  </si>
  <si>
    <t>83TI+120 dias</t>
  </si>
  <si>
    <t>1.1.8.2.2</t>
  </si>
  <si>
    <t>1.1.8.2.3</t>
  </si>
  <si>
    <t>1.1.8.2.4</t>
  </si>
  <si>
    <t>1.1.9</t>
  </si>
  <si>
    <t>elétrica</t>
  </si>
  <si>
    <t>140 dias</t>
  </si>
  <si>
    <t>ELÉTRICA</t>
  </si>
  <si>
    <t>1.1.9.1</t>
  </si>
  <si>
    <t>cp-f0009-0000-mb-e-00001</t>
  </si>
  <si>
    <t>99TI+120 dias</t>
  </si>
  <si>
    <t>1.1.9.1.1</t>
  </si>
  <si>
    <t>1.1.9.1.2</t>
  </si>
  <si>
    <t>1.1.9.1.3</t>
  </si>
  <si>
    <t>1.1.9.1.4</t>
  </si>
  <si>
    <t>1.1.9.2</t>
  </si>
  <si>
    <t>md-f0009-0000-mb-e-00001</t>
  </si>
  <si>
    <t>11 dias</t>
  </si>
  <si>
    <t>1.1.9.2.1</t>
  </si>
  <si>
    <t>93TI+120 dias</t>
  </si>
  <si>
    <t>1.1.9.2.2</t>
  </si>
  <si>
    <t>1.1.9.2.3</t>
  </si>
  <si>
    <t>1.1.9.2.4</t>
  </si>
  <si>
    <t>Seg 29/06/26</t>
  </si>
  <si>
    <t>1.1.10</t>
  </si>
  <si>
    <t>automação e instrumentação</t>
  </si>
  <si>
    <t>127 dias</t>
  </si>
  <si>
    <t>AUTOMAÇÃO E INSTRUMENTAÇÃO</t>
  </si>
  <si>
    <t>1.1.10.1</t>
  </si>
  <si>
    <t>cp-f0009-0000-mb-j-00001</t>
  </si>
  <si>
    <t>1.1.10.1.1</t>
  </si>
  <si>
    <t>106;110TI+120 dias</t>
  </si>
  <si>
    <t>1.1.10.1.2</t>
  </si>
  <si>
    <t>1.1.10.1.3</t>
  </si>
  <si>
    <t>1.1.10.1.4</t>
  </si>
  <si>
    <t>1.1.10.2</t>
  </si>
  <si>
    <t>md-f0009-0000-mb-j-00001</t>
  </si>
  <si>
    <t>Sex 22/05/26</t>
  </si>
  <si>
    <t>1.1.10.2.1</t>
  </si>
  <si>
    <t>105TI+120 dias</t>
  </si>
  <si>
    <t>1.1.10.2.2</t>
  </si>
  <si>
    <t>Qua 27/05/26</t>
  </si>
  <si>
    <t>1.1.10.2.3</t>
  </si>
  <si>
    <t>1.1.10.2.4</t>
  </si>
  <si>
    <t>Seg 01/06/26</t>
  </si>
  <si>
    <t>1.1.11</t>
  </si>
  <si>
    <t>civil</t>
  </si>
  <si>
    <t>CIVIL</t>
  </si>
  <si>
    <t>1.1.11.1</t>
  </si>
  <si>
    <t>avaliações gerais</t>
  </si>
  <si>
    <t>30TI+60 dias</t>
  </si>
  <si>
    <t>Seg 07/09/26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</si>
  <si>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</si>
  <si>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</si>
  <si>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</si>
  <si>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</si>
  <si>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</si>
  <si>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</si>
  <si>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</si>
  <si>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</si>
  <si>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</si>
  <si>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</si>
  <si>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</si>
  <si>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</si>
  <si>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</si>
  <si>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</si>
  <si>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</si>
  <si>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</si>
  <si>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</si>
  <si>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</si>
  <si>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</si>
  <si>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Soma</t>
  </si>
  <si>
    <t>Média</t>
  </si>
  <si>
    <t>Soma Acumulada</t>
  </si>
  <si>
    <t>Contagem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</si>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</sst>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2" fillId="0" borderId="0" xfId="0" applyFon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gem" xfId="1" builtinId="5"/>
  </cellStyles>
  <dxfs count="31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7D269-CB02-427C-8678-2472F9FC8B37}" name="Tabela1" displayName="Tabela1" ref="A1:AF116" totalsRowShown="0">
  <autoFilter ref="A1:AF116" xr:uid="{C297D269-CB02-427C-8678-2472F9FC8B37}"/>
  <tableColumns count="32">
    <tableColumn id="1" xr3:uid="{3C0E31DE-FBBB-47FD-8BAD-0CDEF8FBF60F}" name="Id"/>
    <tableColumn id="2" xr3:uid="{A7334E5B-CE82-4DA8-902A-E6A07BBDE93E}" name="EDT"/>
    <tableColumn id="3" xr3:uid="{DF52BDA4-5C1F-4AB7-8263-6E5D5E6F24F1}" name="Nome da Tarefa"/>
    <tableColumn id="4" xr3:uid="{FB91ADBA-F70C-4B1E-9898-E9D28FD2EA9A}" name="Título"/>
    <tableColumn id="5" xr3:uid="{E12D55E4-80DB-4CDA-A9D5-F772F3477D83}" name="Duração"/>
    <tableColumn id="6" xr3:uid="{F60B8CB9-EDF6-4F2D-98E6-6FFC0190BC20}" name="Início" dataDxfId="30"/>
    <tableColumn id="7" xr3:uid="{AF4FC291-602C-4D9E-A638-F0E7DF49D339}" name="Término" dataDxfId="29"/>
    <tableColumn id="8" xr3:uid="{576A36F3-CB39-4693-BCFC-7410A03B3FEB}" name="Predecessoras"/>
    <tableColumn id="9" xr3:uid="{78B9F160-7D5C-4284-ABE9-C8494BD447CB}" name="% concluída"/>
    <tableColumn id="10" xr3:uid="{7A7BB063-BF1B-4B36-9B48-1086E3E306F3}" name="Término real"/>
    <tableColumn id="11" xr3:uid="{3142BFDB-CB91-42B2-B7D0-C01698E0083E}" name="Status"/>
    <tableColumn id="12" xr3:uid="{B2D375AE-5CE2-4402-84E8-7B43DD9C94CF}" name="Crítica"/>
    <tableColumn id="13" xr3:uid="{FD30D9CC-FFC1-4E6A-AF2F-5114E0A22EBF}" name="Disciplina"/>
    <tableColumn id="14" xr3:uid="{4134EEFB-0DDC-47C0-8B05-9C911CE2845C}" name="Inicio_LB_R0"/>
    <tableColumn id="15" xr3:uid="{DC80578A-66CE-48B5-990F-98930FA45950}" name="Término_LB_R0" dataDxfId="28"/>
    <tableColumn id="16" xr3:uid="{CB5F06DB-7DC3-4A87-B438-EE9574B1BB02}" name="Sprint"/>
    <tableColumn id="17" xr3:uid="{194A7A2C-EFAD-4769-8759-A864F9123230}" name="Sucessoras"/>
    <tableColumn id="18" xr3:uid="{9138CC21-0B39-4D02-98B3-7C4EBBC3B517}" name="Comparação"/>
    <tableColumn id="19" xr3:uid="{81DDFDDC-2916-412F-8B5F-633185CCD4EA}" name="Nome do Resumo da Tarefa"/>
    <tableColumn id="20" xr3:uid="{8ED7D26D-2942-4B71-A518-226F0E8A8FE3}" name="Nomes dos recursos"/>
    <tableColumn id="21" xr3:uid="{735B2E6C-7D0D-45AA-A35A-B372FF6549D5}" name="pct_val"/>
    <tableColumn id="22" xr3:uid="{7C81D73F-7513-40DC-AA86-9A1B23D6E8AF}" name="Emissão inicial total"/>
    <tableColumn id="23" xr3:uid="{6A390D1A-DF71-4B26-B242-EDAAF8840686}" name="Emissão inicial concluída"/>
    <tableColumn id="24" xr3:uid="{8C9273AC-2B1A-4D88-BE88-50F2E4B2C208}" name="Emissão Inicial Atrasada"/>
    <tableColumn id="25" xr3:uid="{88D938EA-A6BE-4CF6-B040-6F253B444047}" name="Aprovação total"/>
    <tableColumn id="26" xr3:uid="{094B43C1-7E9E-4415-B504-E79D9C6C1F14}" name="Avaliação do cliente concluída"/>
    <tableColumn id="27" xr3:uid="{0F072087-DE07-4487-8289-4AD027577DB0}" name="Avaliação Cliente Atrasada"/>
    <tableColumn id="28" xr3:uid="{6101E4FE-E247-4D4F-83E6-4B1E39CD4034}" name="Atendimento de comentário concluído"/>
    <tableColumn id="29" xr3:uid="{3D37CED3-2C06-4EE1-B591-C723E756FA47}" name="Atendimento Atrasado"/>
    <tableColumn id="30" xr3:uid="{C91AFB29-96AF-496D-AA9D-29BF0C6E5835}" name="Aprovação concluída"/>
    <tableColumn id="31" xr3:uid="{C1D9AFB9-701E-4CF3-AFDF-8DB03C32AF10}" name="Aprovação Atrasada"/>
    <tableColumn id="32" xr3:uid="{BE3C2B87-2DFC-4FF0-8FDE-BECEA98245A9}" name="Aderênci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DE3B19-F2AE-4EC9-9B00-7BD47B5558F9}" name="Tabela2" displayName="Tabela2" ref="A3:H15" totalsRowCount="1">
  <autoFilter ref="A3:H14" xr:uid="{71DE3B19-F2AE-4EC9-9B00-7BD47B5558F9}"/>
  <tableColumns count="8">
    <tableColumn id="1" xr3:uid="{296B3072-725B-4C3B-889A-1E8EB179EF1E}" name="Disciplina" totalsRowLabel="Soma"/>
    <tableColumn id="2" xr3:uid="{D0B7362B-0C4C-45E6-917E-84EAD61CA046}" name="Emissão inicial total" totalsRowFunction="sum"/>
    <tableColumn id="3" xr3:uid="{9AE56C84-1A21-4BBB-B1CF-11878B6DB0B5}" name="Emissão inicial concluída" totalsRowFunction="sum"/>
    <tableColumn id="4" xr3:uid="{E2F2C950-33E6-4A9F-A594-C10C98F7B4BF}" name="%EI" dataDxfId="27" totalsRowDxfId="25"/>
    <tableColumn id="5" xr3:uid="{EB8D4279-C29D-4337-ADFD-338C1A7132DF}" name="Avaliação do cliente concluída" totalsRowFunction="sum"/>
    <tableColumn id="6" xr3:uid="{371B539D-0D05-4F2D-B407-C42A45447B0E}" name="Atendimento de comentário concluído" totalsRowFunction="sum"/>
    <tableColumn id="7" xr3:uid="{17FCEC32-1998-452D-80B6-0A771AE7AEB9}" name="Aprovação concluída" totalsRowFunction="sum"/>
    <tableColumn id="8" xr3:uid="{60CB9C12-E483-4585-BE95-0EC7AD6D08DE}" name="%AP" dataDxfId="26" totalsRowDxfId="24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CB52EA-2575-49A4-9BC2-79ADD4CE7F40}" name="Tabela3" displayName="Tabela3" ref="A20:E31" totalsRowShown="0">
  <autoFilter ref="A20:E31" xr:uid="{D1CB52EA-2575-49A4-9BC2-79ADD4CE7F40}"/>
  <tableColumns count="5">
    <tableColumn id="1" xr3:uid="{C9950420-E55E-47D0-93A0-0128972165D3}" name="Disciplina"/>
    <tableColumn id="2" xr3:uid="{AA40D760-1636-4F8A-B148-60FB22AB9C27}" name="Emissão Inicial Atrasada"/>
    <tableColumn id="3" xr3:uid="{21868FA3-D88A-49CF-B21A-7DE13B971D88}" name="Avaliação Cliente Atrasada"/>
    <tableColumn id="4" xr3:uid="{0F4648BA-7FBB-4754-A954-CC39DC0B47CB}" name="Atendimento Atrasado"/>
    <tableColumn id="5" xr3:uid="{E2124C32-83EF-42B1-B9D4-523076D497FA}" name="Aprovação Atrasada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429472-ED72-4B87-8F57-D8C56BBCD84D}" name="Tabela5" displayName="Tabela5" ref="A1:O173" totalsRowShown="0" headerRowDxfId="8" dataDxfId="7">
  <autoFilter ref="A1:O173" xr:uid="{8A429472-ED72-4B87-8F57-D8C56BBCD84D}"/>
  <tableColumns count="15">
    <tableColumn id="1" xr3:uid="{BE07C105-4485-4F39-AF7A-06D5CB3A9791}" name="Data" dataDxfId="23"/>
    <tableColumn id="2" xr3:uid="{F703F162-6D2C-4E6A-BA0E-BD2F82F42107}" name="Emissão prevista na LB" dataDxfId="22"/>
    <tableColumn id="3" xr3:uid="{96BA5529-75F9-4702-BD5D-83695A123258}" name="Emissão prevista na LB acumulada" dataDxfId="21"/>
    <tableColumn id="4" xr3:uid="{943319AC-43F0-4F8E-8657-BD6E5FB99100}" name="Emissão realizada por dia" dataDxfId="20"/>
    <tableColumn id="5" xr3:uid="{3E3394E0-A3DB-4D43-8B87-1A878F2875BF}" name="Emissão realizada acumulada" dataDxfId="19"/>
    <tableColumn id="6" xr3:uid="{3334C01F-6461-4BD5-886E-7361B393A70D}" name="Aprovação prevista na LB" dataDxfId="18"/>
    <tableColumn id="7" xr3:uid="{09E67F81-C2FE-46DA-B51E-242F30E3F056}" name="Aprovação realizada por dia" dataDxfId="17"/>
    <tableColumn id="8" xr3:uid="{93344EFB-B519-4756-8A60-C48988C17D6C}" name="Aprovação prevista na LB acumulada" dataDxfId="16"/>
    <tableColumn id="9" xr3:uid="{A200BAAC-2585-4684-8B1B-C88F6AB36CAC}" name="Aprovação realizada acumulada" dataDxfId="15"/>
    <tableColumn id="10" xr3:uid="{3F9D4FC5-FD06-4008-AFA8-7E61938ACC21}" name="Avanço da EI previsto na LB" dataDxfId="14" dataCellStyle="Porcentagem"/>
    <tableColumn id="11" xr3:uid="{96412C86-0ABB-4F9E-9746-85338594B3E8}" name="Avanço real da EI na LB" dataDxfId="13" dataCellStyle="Porcentagem"/>
    <tableColumn id="12" xr3:uid="{D15FAE50-C7C5-4BC7-BD9F-C28130B14F2C}" name="COMP_EI" dataDxfId="12"/>
    <tableColumn id="13" xr3:uid="{D2D4D861-1BA3-4AD6-B3EA-71347D15A004}" name="Avanço da AP previsto na LB" dataDxfId="11" dataCellStyle="Porcentagem"/>
    <tableColumn id="14" xr3:uid="{227AD851-B674-4318-94BD-38B53AAE0B04}" name="Avanço da AP real na LB" dataDxfId="10"/>
    <tableColumn id="15" xr3:uid="{3A4F1283-5C2A-4C32-AF43-9B0204E26AFA}" name="COMP_AP" dataDxfId="9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D570C1-883C-4BFD-8B1D-1E90A180DC7B}" name="Tabela6" displayName="Tabela6" ref="A1:AF24" totalsRowShown="0">
  <autoFilter ref="A1:AF24" xr:uid="{0AD570C1-883C-4BFD-8B1D-1E90A180DC7B}"/>
  <tableColumns count="32">
    <tableColumn id="1" xr3:uid="{132B977E-408D-4136-8236-AC7AD6BDB8F3}" name="Id"/>
    <tableColumn id="2" xr3:uid="{DAA43856-D791-48D4-B113-DA76E3D6695C}" name="EDT"/>
    <tableColumn id="3" xr3:uid="{44EF7E1A-4FEE-4C08-B714-6AFF4F1B20C5}" name="Nome da Tarefa"/>
    <tableColumn id="4" xr3:uid="{67135AE3-C8F0-4DA8-9F58-F0C118DFFB03}" name="Título"/>
    <tableColumn id="5" xr3:uid="{E64BFE53-0AFC-45D2-B8D0-34F115E2DAA1}" name="Duração"/>
    <tableColumn id="6" xr3:uid="{C9310F94-F4A9-437E-8560-27CCA8C486C7}" name="Início" dataDxfId="6"/>
    <tableColumn id="7" xr3:uid="{E7E25928-D5AF-4A04-B8AC-D270BED775AA}" name="Término" dataDxfId="5"/>
    <tableColumn id="8" xr3:uid="{7424EBA8-1517-4AE6-9DB0-76CC8C197192}" name="Predecessoras"/>
    <tableColumn id="9" xr3:uid="{C421EA2C-99E2-44DC-AB58-2BE54BF5765A}" name="% concluída"/>
    <tableColumn id="10" xr3:uid="{592D1157-CFE9-4A24-9B69-3D8C741E08E1}" name="Término real" dataDxfId="4"/>
    <tableColumn id="11" xr3:uid="{39C0C82C-4EC0-4629-8479-10A878891D60}" name="Status"/>
    <tableColumn id="12" xr3:uid="{EF8955C4-0D8B-4736-8A73-C2A9BE30A7A3}" name="Crítica"/>
    <tableColumn id="13" xr3:uid="{1571E9E2-E6FC-4F86-9512-FCA48BE5CE74}" name="Disciplina"/>
    <tableColumn id="14" xr3:uid="{8FD2E566-08CE-499F-A757-4AD593EFCA7E}" name="Inicio_LB_R0"/>
    <tableColumn id="15" xr3:uid="{046C0020-07D2-4C1E-A552-2F5EE4EC815D}" name="Término_LB_R0" dataDxfId="3"/>
    <tableColumn id="16" xr3:uid="{4A2191A0-8547-4F94-99FD-55FF7C684E3F}" name="Sprint"/>
    <tableColumn id="17" xr3:uid="{BA431504-4ABC-411C-9263-8F513A01737A}" name="Sucessoras"/>
    <tableColumn id="18" xr3:uid="{48160DA4-B20D-49AE-9635-0A7506FF5CB8}" name="Comparação"/>
    <tableColumn id="19" xr3:uid="{E91C34FD-619E-451D-933D-BBBB062C1168}" name="Nome do Resumo da Tarefa"/>
    <tableColumn id="20" xr3:uid="{9C5D3467-4EFE-4EBF-8F0B-61A597C7FFD5}" name="Nomes dos recursos"/>
    <tableColumn id="21" xr3:uid="{C4A4647A-366D-4A64-8DE9-A462C2554EE0}" name="pct_val"/>
    <tableColumn id="22" xr3:uid="{2C2B2012-3A03-44C9-B7D5-BF5FB61CCA2D}" name="Emissão inicial total"/>
    <tableColumn id="23" xr3:uid="{15581300-691A-4448-A119-51800726F7CC}" name="Emissão inicial concluída"/>
    <tableColumn id="24" xr3:uid="{A1263433-F869-444C-8E41-D4B4898D998E}" name="Emissão Inicial Atrasada"/>
    <tableColumn id="25" xr3:uid="{77CD0801-2A18-40AC-87E5-6335C9112F9D}" name="Aprovação total"/>
    <tableColumn id="26" xr3:uid="{6DC880C8-C2FA-425D-AA50-B5C2011AA18B}" name="Avaliação do cliente concluída"/>
    <tableColumn id="27" xr3:uid="{6D96D87E-9983-400A-ADE9-2D70BD25CF30}" name="Avaliação Cliente Atrasada"/>
    <tableColumn id="28" xr3:uid="{4F05A686-5D9C-4F5F-99F7-8D694F3467F8}" name="Atendimento de comentário concluído"/>
    <tableColumn id="29" xr3:uid="{53892BAF-5865-4FD2-89E5-C2CB108B50AE}" name="Atendimento Atrasado"/>
    <tableColumn id="30" xr3:uid="{6E089C19-50D0-4692-AA7A-DB86AE9DCB7D}" name="Aprovação concluída"/>
    <tableColumn id="31" xr3:uid="{0A00A05F-5D3B-46AB-A15D-A7E32DD5C07B}" name="Aprovação Atrasada"/>
    <tableColumn id="32" xr3:uid="{0268671E-7086-4EE3-943A-0434771D4D38}" name="Aderência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F16914-C7A1-4B50-A2B4-5E622D0BE3F7}" name="Tabela7" displayName="Tabela7" ref="A1:AF24" totalsRowShown="0">
  <autoFilter ref="A1:AF24" xr:uid="{8DF16914-C7A1-4B50-A2B4-5E622D0BE3F7}"/>
  <tableColumns count="32">
    <tableColumn id="1" xr3:uid="{D99B1DBC-90D0-452E-9424-124FE346A9E6}" name="Id"/>
    <tableColumn id="2" xr3:uid="{383B5C38-123F-4885-9702-4A1430AE6E85}" name="EDT"/>
    <tableColumn id="3" xr3:uid="{9B15EC29-F903-4F4D-9577-02F79739C683}" name="Nome da Tarefa"/>
    <tableColumn id="4" xr3:uid="{FE57E44A-C6C7-44FF-BD14-CECCDAD89610}" name="Título"/>
    <tableColumn id="5" xr3:uid="{59BD13F8-C45B-492A-9A90-ED7F468D62A8}" name="Duração"/>
    <tableColumn id="6" xr3:uid="{F7D4D28D-0AC5-4C74-B2CF-4D216A4E64E3}" name="Início" dataDxfId="2"/>
    <tableColumn id="7" xr3:uid="{DD8B769A-B743-4253-92FA-0876B4D6190A}" name="Término" dataDxfId="1"/>
    <tableColumn id="8" xr3:uid="{DBB9973D-2961-4E92-A19D-2AE61CA580A6}" name="Predecessoras"/>
    <tableColumn id="9" xr3:uid="{92CD97A7-C748-4AC0-A9B9-34DC6C1C667B}" name="% concluída"/>
    <tableColumn id="10" xr3:uid="{5AAAAA89-41DA-449C-84E4-93646DE21A43}" name="Término real"/>
    <tableColumn id="11" xr3:uid="{16EFE30C-C24A-4E05-8942-6CB3BC526423}" name="Status"/>
    <tableColumn id="12" xr3:uid="{ACFFF536-8810-43F4-BD48-7D052CA46314}" name="Crítica"/>
    <tableColumn id="13" xr3:uid="{3688DDD7-3E02-4353-8A49-49021D750903}" name="Disciplina"/>
    <tableColumn id="14" xr3:uid="{D43CB657-D32D-4373-9BF0-9680D6828BFE}" name="Inicio_LB_R0"/>
    <tableColumn id="15" xr3:uid="{EDAF1C91-7848-4EF1-BAAF-D15A98B6C93C}" name="Término_LB_R0" dataDxfId="0"/>
    <tableColumn id="16" xr3:uid="{17FBA171-FB07-43EF-B341-19F0B61449D3}" name="Sprint"/>
    <tableColumn id="17" xr3:uid="{5DA4285F-9585-4097-BCB0-5DCA21B2F983}" name="Sucessoras"/>
    <tableColumn id="18" xr3:uid="{8FDA8133-447F-439B-9B3C-E89609E2D1D1}" name="Comparação"/>
    <tableColumn id="19" xr3:uid="{6DDB0FC4-7578-4E99-AFF9-ABB7BAC2C293}" name="Nome do Resumo da Tarefa"/>
    <tableColumn id="20" xr3:uid="{4F15B5BA-A614-4F10-B4F8-039729D27F40}" name="Nomes dos recursos"/>
    <tableColumn id="21" xr3:uid="{DD9D30BF-03C2-4731-9689-3D8070375FD7}" name="pct_val"/>
    <tableColumn id="22" xr3:uid="{3AB8947A-D17F-42EE-8AF1-258AC79AD82B}" name="Emissão inicial total"/>
    <tableColumn id="23" xr3:uid="{1449F650-CCB2-4C6F-A927-4DC318D3E0F8}" name="Emissão inicial concluída"/>
    <tableColumn id="24" xr3:uid="{16EB7DC7-EFB1-4DEA-A1BA-8F95298D8963}" name="Emissão Inicial Atrasada"/>
    <tableColumn id="25" xr3:uid="{D9A13D32-EEE9-42D5-B342-B166CAE467FB}" name="Aprovação total"/>
    <tableColumn id="26" xr3:uid="{10CE25AF-6943-4319-AC97-BC6DC27762FE}" name="Avaliação do cliente concluída"/>
    <tableColumn id="27" xr3:uid="{DC43C7F6-93CD-4D16-96F6-0D32FAFEA508}" name="Avaliação Cliente Atrasada"/>
    <tableColumn id="28" xr3:uid="{39443A12-7478-4F05-8A47-7A45FCC6DFCF}" name="Atendimento de comentário concluído"/>
    <tableColumn id="29" xr3:uid="{076FBC5C-44D1-416E-9880-38B8EEE35AC6}" name="Atendimento Atrasado"/>
    <tableColumn id="30" xr3:uid="{0F25BC5B-AE0D-4D9C-ABD4-D1DCC763807B}" name="Aprovação concluída"/>
    <tableColumn id="31" xr3:uid="{0399A62A-C646-4B41-95BA-C07B9053F402}" name="Aprovação Atrasada"/>
    <tableColumn id="32" xr3:uid="{8FF1895B-A1BA-4210-AC52-F00AE675FF08}" name="Aderência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AF9DF6-2ACB-4FBA-AC66-A6313910A4DD}" name="Tabela8" displayName="Tabela8" ref="A1:J38" totalsRowShown="0">
  <autoFilter ref="A1:J38" xr:uid="{6BAF9DF6-2ACB-4FBA-AC66-A6313910A4DD}"/>
  <tableColumns count="10">
    <tableColumn id="1" xr3:uid="{B61B3770-042B-4A2E-A9E6-21AF2B217C8C}" name="Sprint"/>
    <tableColumn id="2" xr3:uid="{3452304D-29B4-47A8-92A5-BC7518B4CD46}" name="Id"/>
    <tableColumn id="3" xr3:uid="{C64FB7E4-5E62-4EC5-883F-4AD76C2DCEF6}" name="EDT"/>
    <tableColumn id="4" xr3:uid="{80F94846-E9E6-4E0D-8F57-452D6740F431}" name="Nome do Resumo da Tarefa"/>
    <tableColumn id="5" xr3:uid="{67DD5B1F-726D-4BB4-B260-2B8C957B0B64}" name="Nome da Tarefa"/>
    <tableColumn id="6" xr3:uid="{5A3FD474-A4F9-4B58-94F6-FB6AFE839376}" name="Status"/>
    <tableColumn id="7" xr3:uid="{243BF80E-DDEA-46CD-ABCE-307AAA6C7C2B}" name="% concluída" dataCellStyle="Porcentagem"/>
    <tableColumn id="8" xr3:uid="{5820E1AE-26D8-494A-A90E-1C758B64D0AA}" name="Nomes dos recursos"/>
    <tableColumn id="9" xr3:uid="{F3782DC2-B6ED-4904-AD5F-0678E2F8C3F5}" name="Disciplina"/>
    <tableColumn id="10" xr3:uid="{9099531E-1039-44CD-8D89-5619C27C29A7}" name="Crítica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D190E3-EDC8-4B0D-876D-C9F2BBBCE4F8}" name="Tabela9" displayName="Tabela9" ref="A1:J3" totalsRowShown="0">
  <autoFilter ref="A1:J3" xr:uid="{8ED190E3-EDC8-4B0D-876D-C9F2BBBCE4F8}"/>
  <tableColumns count="10">
    <tableColumn id="1" xr3:uid="{1565C8FE-9B44-4886-8EE8-E32C906E5B66}" name="Sprint"/>
    <tableColumn id="2" xr3:uid="{931A9F8C-64CB-4B5D-8A2B-C3507B01BA48}" name="Id"/>
    <tableColumn id="3" xr3:uid="{D64F7676-8ED0-48AD-B9E9-5DAA9C087365}" name="EDT"/>
    <tableColumn id="4" xr3:uid="{6F7DBB9B-7BF9-45AF-8E18-202FC48C9AB4}" name="Nome do Resumo da Tarefa"/>
    <tableColumn id="5" xr3:uid="{37998CC4-7DA7-4E93-A48E-455D71FAA871}" name="Nome da Tarefa"/>
    <tableColumn id="6" xr3:uid="{B9F28C6E-D4D3-4583-A401-4B967DEE2B67}" name="Status"/>
    <tableColumn id="7" xr3:uid="{38689963-5EA0-4BC4-9676-8EC6BCCD70DB}" name="% concluída" dataCellStyle="Porcentagem"/>
    <tableColumn id="8" xr3:uid="{44D2DD9D-0308-46EC-90AB-7595255769D6}" name="Nomes dos recursos"/>
    <tableColumn id="9" xr3:uid="{1CEFA968-157E-453F-8793-D7F452E003AC}" name="Disciplina"/>
    <tableColumn id="10" xr3:uid="{B0F51AAC-4EDE-455A-8C4E-2538CBBCE951}" name="Crític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6"/>
  <sheetViews>
    <sheetView topLeftCell="C1" workbookViewId="0">
      <selection activeCell="N16" sqref="N1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31.5703125" bestFit="1" customWidth="1"/>
    <col min="4" max="4" width="29.85546875" bestFit="1" customWidth="1"/>
    <col min="5" max="5" width="10.42578125" bestFit="1" customWidth="1"/>
    <col min="6" max="7" width="10.7109375" style="3" bestFit="1" customWidth="1"/>
    <col min="8" max="8" width="16.140625" bestFit="1" customWidth="1"/>
    <col min="9" max="9" width="13.7109375" bestFit="1" customWidth="1"/>
    <col min="10" max="10" width="18.28515625" bestFit="1" customWidth="1"/>
    <col min="11" max="11" width="12.42578125" bestFit="1" customWidth="1"/>
    <col min="12" max="12" width="8.85546875" bestFit="1" customWidth="1"/>
    <col min="13" max="13" width="32.140625" bestFit="1" customWidth="1"/>
    <col min="14" max="14" width="14.28515625" bestFit="1" customWidth="1"/>
    <col min="15" max="15" width="17" style="3" bestFit="1" customWidth="1"/>
    <col min="16" max="16" width="14.5703125" bestFit="1" customWidth="1"/>
    <col min="17" max="17" width="73.5703125" bestFit="1" customWidth="1"/>
    <col min="18" max="18" width="14.140625" bestFit="1" customWidth="1"/>
    <col min="19" max="19" width="28.140625" bestFit="1" customWidth="1"/>
    <col min="20" max="20" width="21.28515625" bestFit="1" customWidth="1"/>
    <col min="21" max="21" width="9.5703125" bestFit="1" customWidth="1"/>
    <col min="22" max="22" width="21" bestFit="1" customWidth="1"/>
    <col min="23" max="23" width="25.42578125" bestFit="1" customWidth="1"/>
    <col min="24" max="24" width="24.7109375" bestFit="1" customWidth="1"/>
    <col min="25" max="25" width="17.28515625" bestFit="1" customWidth="1"/>
    <col min="26" max="26" width="30.42578125" bestFit="1" customWidth="1"/>
    <col min="27" max="27" width="27.140625" bestFit="1" customWidth="1"/>
    <col min="28" max="28" width="38.28515625" bestFit="1" customWidth="1"/>
    <col min="29" max="29" width="23.85546875" bestFit="1" customWidth="1"/>
    <col min="30" max="30" width="21.7109375" bestFit="1" customWidth="1"/>
    <col min="31" max="31" width="21" bestFit="1" customWidth="1"/>
    <col min="32" max="32" width="12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>
        <v>1</v>
      </c>
      <c r="C2" t="s">
        <v>32</v>
      </c>
      <c r="E2" t="s">
        <v>33</v>
      </c>
      <c r="F2" s="3">
        <v>46160</v>
      </c>
      <c r="G2" s="3">
        <v>46379</v>
      </c>
      <c r="I2">
        <v>0.3</v>
      </c>
      <c r="K2" t="s">
        <v>34</v>
      </c>
      <c r="L2" t="s">
        <v>35</v>
      </c>
      <c r="M2" t="s">
        <v>36</v>
      </c>
      <c r="N2" t="s">
        <v>37</v>
      </c>
      <c r="O2" s="3">
        <v>46211</v>
      </c>
      <c r="P2" t="s">
        <v>38</v>
      </c>
      <c r="U2">
        <v>0.3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>
        <v>2</v>
      </c>
      <c r="B3" t="s">
        <v>39</v>
      </c>
      <c r="C3" t="s">
        <v>40</v>
      </c>
      <c r="E3" t="s">
        <v>33</v>
      </c>
      <c r="F3" s="3">
        <v>46160</v>
      </c>
      <c r="G3" s="3">
        <v>46379</v>
      </c>
      <c r="I3">
        <v>0.3</v>
      </c>
      <c r="K3" t="s">
        <v>34</v>
      </c>
      <c r="L3" t="s">
        <v>35</v>
      </c>
      <c r="M3" t="s">
        <v>36</v>
      </c>
      <c r="N3" t="s">
        <v>37</v>
      </c>
      <c r="O3" s="3">
        <v>46211</v>
      </c>
      <c r="P3" t="s">
        <v>38</v>
      </c>
      <c r="U3">
        <v>0.3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>
        <v>3</v>
      </c>
      <c r="B4" t="s">
        <v>41</v>
      </c>
      <c r="C4" t="s">
        <v>42</v>
      </c>
      <c r="E4" t="s">
        <v>43</v>
      </c>
      <c r="F4" s="3">
        <v>46160</v>
      </c>
      <c r="G4" s="3">
        <v>46160</v>
      </c>
      <c r="I4">
        <v>1</v>
      </c>
      <c r="J4" s="1">
        <v>46160</v>
      </c>
      <c r="K4" t="s">
        <v>44</v>
      </c>
      <c r="L4" t="s">
        <v>45</v>
      </c>
      <c r="M4" t="s">
        <v>36</v>
      </c>
      <c r="N4" t="s">
        <v>37</v>
      </c>
      <c r="O4" s="3">
        <v>46139</v>
      </c>
      <c r="P4" t="s">
        <v>38</v>
      </c>
      <c r="Q4" t="s">
        <v>46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>
        <v>4</v>
      </c>
      <c r="B5" t="s">
        <v>47</v>
      </c>
      <c r="C5" t="s">
        <v>48</v>
      </c>
      <c r="E5" t="s">
        <v>43</v>
      </c>
      <c r="F5" s="3">
        <v>46160</v>
      </c>
      <c r="G5" s="3">
        <v>46160</v>
      </c>
      <c r="I5">
        <v>1</v>
      </c>
      <c r="J5" s="1">
        <v>46160</v>
      </c>
      <c r="K5" t="s">
        <v>44</v>
      </c>
      <c r="L5" t="s">
        <v>45</v>
      </c>
      <c r="M5" t="s">
        <v>49</v>
      </c>
      <c r="N5" t="s">
        <v>50</v>
      </c>
      <c r="O5" s="3">
        <v>46141</v>
      </c>
      <c r="P5" t="s">
        <v>38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>
        <v>5</v>
      </c>
      <c r="B6" t="s">
        <v>51</v>
      </c>
      <c r="C6" t="s">
        <v>52</v>
      </c>
      <c r="E6" t="s">
        <v>43</v>
      </c>
      <c r="F6" s="3">
        <v>46160</v>
      </c>
      <c r="G6" s="3">
        <v>46160</v>
      </c>
      <c r="H6">
        <v>3</v>
      </c>
      <c r="I6">
        <v>1</v>
      </c>
      <c r="J6" s="1">
        <v>46160</v>
      </c>
      <c r="K6" t="s">
        <v>44</v>
      </c>
      <c r="L6" t="s">
        <v>45</v>
      </c>
      <c r="M6" t="s">
        <v>49</v>
      </c>
      <c r="N6" t="s">
        <v>50</v>
      </c>
      <c r="O6" s="3">
        <v>46141</v>
      </c>
      <c r="P6" t="s">
        <v>38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>
        <v>6</v>
      </c>
      <c r="B7" t="s">
        <v>53</v>
      </c>
      <c r="C7" t="s">
        <v>54</v>
      </c>
      <c r="E7" t="s">
        <v>55</v>
      </c>
      <c r="F7" s="3">
        <v>46174</v>
      </c>
      <c r="G7" s="3">
        <v>46379</v>
      </c>
      <c r="I7">
        <v>0.77</v>
      </c>
      <c r="K7" t="s">
        <v>56</v>
      </c>
      <c r="L7" t="s">
        <v>35</v>
      </c>
      <c r="M7" t="s">
        <v>57</v>
      </c>
      <c r="N7" t="s">
        <v>37</v>
      </c>
      <c r="O7" s="3">
        <v>46161</v>
      </c>
      <c r="P7" t="s">
        <v>38</v>
      </c>
      <c r="U7">
        <v>0.77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>
        <v>7</v>
      </c>
      <c r="B8" t="s">
        <v>58</v>
      </c>
      <c r="C8" t="s">
        <v>59</v>
      </c>
      <c r="D8" t="s">
        <v>60</v>
      </c>
      <c r="E8" t="s">
        <v>55</v>
      </c>
      <c r="F8" s="3">
        <v>46174</v>
      </c>
      <c r="G8" s="3">
        <v>46379</v>
      </c>
      <c r="I8">
        <v>0.7</v>
      </c>
      <c r="K8" t="s">
        <v>56</v>
      </c>
      <c r="L8" t="s">
        <v>35</v>
      </c>
      <c r="M8" t="s">
        <v>57</v>
      </c>
      <c r="N8" t="s">
        <v>37</v>
      </c>
      <c r="O8" s="3">
        <v>46161</v>
      </c>
      <c r="P8" t="s">
        <v>38</v>
      </c>
      <c r="U8">
        <v>0.7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>
        <v>8</v>
      </c>
      <c r="B9" t="s">
        <v>61</v>
      </c>
      <c r="C9" t="s">
        <v>62</v>
      </c>
      <c r="E9" t="s">
        <v>63</v>
      </c>
      <c r="F9" s="3">
        <v>46174</v>
      </c>
      <c r="G9" s="3">
        <v>46175</v>
      </c>
      <c r="H9" t="s">
        <v>64</v>
      </c>
      <c r="I9">
        <v>1</v>
      </c>
      <c r="J9" s="1">
        <v>46175</v>
      </c>
      <c r="K9" t="s">
        <v>44</v>
      </c>
      <c r="L9" t="s">
        <v>45</v>
      </c>
      <c r="M9" t="s">
        <v>57</v>
      </c>
      <c r="N9" t="s">
        <v>37</v>
      </c>
      <c r="O9" s="3">
        <v>46141</v>
      </c>
      <c r="P9" t="s">
        <v>38</v>
      </c>
      <c r="Q9" t="s">
        <v>65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</row>
    <row r="10" spans="1:32" x14ac:dyDescent="0.25">
      <c r="A10">
        <v>9</v>
      </c>
      <c r="B10" t="s">
        <v>66</v>
      </c>
      <c r="C10" t="s">
        <v>67</v>
      </c>
      <c r="E10" t="s">
        <v>68</v>
      </c>
      <c r="F10" s="3">
        <v>46176</v>
      </c>
      <c r="G10" s="3">
        <v>46176</v>
      </c>
      <c r="H10">
        <v>8</v>
      </c>
      <c r="I10">
        <v>1</v>
      </c>
      <c r="J10" s="1">
        <v>46176</v>
      </c>
      <c r="K10" t="s">
        <v>44</v>
      </c>
      <c r="L10" t="s">
        <v>45</v>
      </c>
      <c r="M10" t="s">
        <v>57</v>
      </c>
      <c r="N10" t="s">
        <v>69</v>
      </c>
      <c r="O10" s="3">
        <v>46142</v>
      </c>
      <c r="P10" t="s">
        <v>38</v>
      </c>
      <c r="Q10" t="s">
        <v>70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>
        <v>10</v>
      </c>
      <c r="B11" t="s">
        <v>71</v>
      </c>
      <c r="C11" t="s">
        <v>72</v>
      </c>
      <c r="E11" t="s">
        <v>68</v>
      </c>
      <c r="F11" s="3">
        <v>46373</v>
      </c>
      <c r="G11" s="3">
        <v>46373</v>
      </c>
      <c r="H11" t="s">
        <v>73</v>
      </c>
      <c r="I11">
        <v>0.5</v>
      </c>
      <c r="K11" t="s">
        <v>56</v>
      </c>
      <c r="L11" t="s">
        <v>35</v>
      </c>
      <c r="M11" t="s">
        <v>57</v>
      </c>
      <c r="N11" t="s">
        <v>74</v>
      </c>
      <c r="O11" s="3">
        <v>46155</v>
      </c>
      <c r="P11" t="s">
        <v>38</v>
      </c>
      <c r="Q11" t="s">
        <v>75</v>
      </c>
      <c r="U11">
        <v>0.5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>
        <v>11</v>
      </c>
      <c r="B12" t="s">
        <v>76</v>
      </c>
      <c r="C12" t="s">
        <v>77</v>
      </c>
      <c r="E12" t="s">
        <v>68</v>
      </c>
      <c r="F12" s="3">
        <v>46379</v>
      </c>
      <c r="G12" s="3">
        <v>46379</v>
      </c>
      <c r="H12" t="s">
        <v>78</v>
      </c>
      <c r="I12">
        <v>0</v>
      </c>
      <c r="K12" t="s">
        <v>56</v>
      </c>
      <c r="L12" t="s">
        <v>35</v>
      </c>
      <c r="M12" t="s">
        <v>57</v>
      </c>
      <c r="N12" t="s">
        <v>79</v>
      </c>
      <c r="O12" s="3">
        <v>46161</v>
      </c>
      <c r="P12" t="s">
        <v>38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>
        <v>12</v>
      </c>
      <c r="B13" t="s">
        <v>80</v>
      </c>
      <c r="C13" t="s">
        <v>81</v>
      </c>
      <c r="D13" t="s">
        <v>82</v>
      </c>
      <c r="E13" t="s">
        <v>83</v>
      </c>
      <c r="F13" s="3">
        <v>46176</v>
      </c>
      <c r="G13" s="3">
        <v>46197</v>
      </c>
      <c r="I13">
        <v>0.81</v>
      </c>
      <c r="K13" t="s">
        <v>56</v>
      </c>
      <c r="L13" t="s">
        <v>45</v>
      </c>
      <c r="M13" t="s">
        <v>57</v>
      </c>
      <c r="N13" t="s">
        <v>69</v>
      </c>
      <c r="O13" s="3">
        <v>46161</v>
      </c>
      <c r="P13" t="s">
        <v>38</v>
      </c>
      <c r="U13">
        <v>0.81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>
        <v>13</v>
      </c>
      <c r="B14" t="s">
        <v>84</v>
      </c>
      <c r="C14" t="s">
        <v>62</v>
      </c>
      <c r="E14" t="s">
        <v>85</v>
      </c>
      <c r="F14" s="3">
        <v>46176</v>
      </c>
      <c r="G14" s="3">
        <v>46178</v>
      </c>
      <c r="H14">
        <v>8</v>
      </c>
      <c r="I14">
        <v>1</v>
      </c>
      <c r="J14" s="1">
        <v>46178</v>
      </c>
      <c r="K14" t="s">
        <v>44</v>
      </c>
      <c r="L14" t="s">
        <v>45</v>
      </c>
      <c r="M14" t="s">
        <v>57</v>
      </c>
      <c r="N14" t="s">
        <v>69</v>
      </c>
      <c r="O14" s="3">
        <v>46146</v>
      </c>
      <c r="P14" t="s">
        <v>38</v>
      </c>
      <c r="Q14" t="s">
        <v>86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</row>
    <row r="15" spans="1:32" x14ac:dyDescent="0.25">
      <c r="A15">
        <v>14</v>
      </c>
      <c r="B15" t="s">
        <v>87</v>
      </c>
      <c r="C15" t="s">
        <v>67</v>
      </c>
      <c r="E15" t="s">
        <v>85</v>
      </c>
      <c r="F15" s="3">
        <v>46181</v>
      </c>
      <c r="G15" s="3">
        <v>46183</v>
      </c>
      <c r="H15">
        <v>13</v>
      </c>
      <c r="I15">
        <v>1</v>
      </c>
      <c r="J15" s="1">
        <v>46183</v>
      </c>
      <c r="K15" t="s">
        <v>44</v>
      </c>
      <c r="L15" t="s">
        <v>45</v>
      </c>
      <c r="M15" t="s">
        <v>57</v>
      </c>
      <c r="N15" t="s">
        <v>88</v>
      </c>
      <c r="O15" s="3">
        <v>46147</v>
      </c>
      <c r="P15" t="s">
        <v>38</v>
      </c>
      <c r="Q15" t="s">
        <v>89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>
        <v>15</v>
      </c>
      <c r="B16" t="s">
        <v>90</v>
      </c>
      <c r="C16" t="s">
        <v>72</v>
      </c>
      <c r="E16" t="s">
        <v>68</v>
      </c>
      <c r="F16" s="3">
        <v>46196</v>
      </c>
      <c r="G16" s="3">
        <v>46196</v>
      </c>
      <c r="H16" t="s">
        <v>91</v>
      </c>
      <c r="I16">
        <v>0.5</v>
      </c>
      <c r="K16" t="s">
        <v>56</v>
      </c>
      <c r="L16" t="s">
        <v>45</v>
      </c>
      <c r="M16" t="s">
        <v>57</v>
      </c>
      <c r="N16" t="s">
        <v>92</v>
      </c>
      <c r="O16" s="3">
        <v>46160</v>
      </c>
      <c r="P16" t="s">
        <v>38</v>
      </c>
      <c r="Q16">
        <v>16</v>
      </c>
      <c r="U16">
        <v>0.5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>
        <v>16</v>
      </c>
      <c r="B17" t="s">
        <v>93</v>
      </c>
      <c r="C17" t="s">
        <v>77</v>
      </c>
      <c r="E17" t="s">
        <v>68</v>
      </c>
      <c r="F17" s="3">
        <v>46197</v>
      </c>
      <c r="G17" s="3">
        <v>46197</v>
      </c>
      <c r="H17">
        <v>15</v>
      </c>
      <c r="I17">
        <v>0</v>
      </c>
      <c r="K17" t="s">
        <v>56</v>
      </c>
      <c r="L17" t="s">
        <v>45</v>
      </c>
      <c r="M17" t="s">
        <v>57</v>
      </c>
      <c r="N17" t="s">
        <v>94</v>
      </c>
      <c r="O17" s="3">
        <v>46161</v>
      </c>
      <c r="P17" t="s">
        <v>38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>
        <v>17</v>
      </c>
      <c r="B18" t="s">
        <v>95</v>
      </c>
      <c r="C18" t="s">
        <v>96</v>
      </c>
      <c r="E18" t="s">
        <v>97</v>
      </c>
      <c r="F18" s="3">
        <v>46174</v>
      </c>
      <c r="G18" s="3">
        <v>46231</v>
      </c>
      <c r="I18">
        <v>0.36</v>
      </c>
      <c r="K18" t="s">
        <v>56</v>
      </c>
      <c r="L18" t="s">
        <v>45</v>
      </c>
      <c r="M18" t="s">
        <v>98</v>
      </c>
      <c r="N18" t="s">
        <v>37</v>
      </c>
      <c r="O18" s="3">
        <v>46211</v>
      </c>
      <c r="P18" t="s">
        <v>38</v>
      </c>
      <c r="U18">
        <v>0.36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>
        <v>18</v>
      </c>
      <c r="B19" t="s">
        <v>99</v>
      </c>
      <c r="C19" t="s">
        <v>100</v>
      </c>
      <c r="D19" t="s">
        <v>101</v>
      </c>
      <c r="E19" t="s">
        <v>102</v>
      </c>
      <c r="F19" s="3">
        <v>46223</v>
      </c>
      <c r="G19" s="3">
        <v>46231</v>
      </c>
      <c r="I19">
        <v>0</v>
      </c>
      <c r="K19" t="s">
        <v>56</v>
      </c>
      <c r="L19" t="s">
        <v>45</v>
      </c>
      <c r="M19" t="s">
        <v>98</v>
      </c>
      <c r="N19" t="s">
        <v>103</v>
      </c>
      <c r="O19" s="3">
        <v>46231</v>
      </c>
      <c r="P19" t="s">
        <v>38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>
        <v>19</v>
      </c>
      <c r="B20" t="s">
        <v>104</v>
      </c>
      <c r="C20" t="s">
        <v>62</v>
      </c>
      <c r="E20" t="s">
        <v>85</v>
      </c>
      <c r="F20" s="3">
        <v>46223</v>
      </c>
      <c r="G20" s="3">
        <v>46225</v>
      </c>
      <c r="H20" t="s">
        <v>105</v>
      </c>
      <c r="I20">
        <v>0</v>
      </c>
      <c r="K20" t="s">
        <v>56</v>
      </c>
      <c r="L20" t="s">
        <v>45</v>
      </c>
      <c r="M20" t="s">
        <v>98</v>
      </c>
      <c r="N20" t="s">
        <v>103</v>
      </c>
      <c r="O20" s="3">
        <v>46225</v>
      </c>
      <c r="P20" t="s">
        <v>38</v>
      </c>
      <c r="Q20">
        <v>20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>
        <v>20</v>
      </c>
      <c r="B21" t="s">
        <v>106</v>
      </c>
      <c r="C21" t="s">
        <v>67</v>
      </c>
      <c r="E21" t="s">
        <v>68</v>
      </c>
      <c r="F21" s="3">
        <v>46226</v>
      </c>
      <c r="G21" s="3">
        <v>46226</v>
      </c>
      <c r="H21">
        <v>19</v>
      </c>
      <c r="I21">
        <v>0</v>
      </c>
      <c r="K21" t="s">
        <v>56</v>
      </c>
      <c r="L21" t="s">
        <v>45</v>
      </c>
      <c r="M21" t="s">
        <v>98</v>
      </c>
      <c r="N21" t="s">
        <v>107</v>
      </c>
      <c r="O21" s="3">
        <v>46226</v>
      </c>
      <c r="P21" t="s">
        <v>38</v>
      </c>
      <c r="Q21">
        <v>21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>
        <v>21</v>
      </c>
      <c r="B22" t="s">
        <v>108</v>
      </c>
      <c r="C22" t="s">
        <v>72</v>
      </c>
      <c r="E22" t="s">
        <v>63</v>
      </c>
      <c r="F22" s="3">
        <v>46227</v>
      </c>
      <c r="G22" s="3">
        <v>46230</v>
      </c>
      <c r="H22">
        <v>20</v>
      </c>
      <c r="I22">
        <v>0</v>
      </c>
      <c r="K22" t="s">
        <v>56</v>
      </c>
      <c r="L22" t="s">
        <v>45</v>
      </c>
      <c r="M22" t="s">
        <v>98</v>
      </c>
      <c r="N22" t="s">
        <v>109</v>
      </c>
      <c r="O22" s="3">
        <v>46230</v>
      </c>
      <c r="P22" t="s">
        <v>38</v>
      </c>
      <c r="Q22">
        <v>22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>
        <v>22</v>
      </c>
      <c r="B23" t="s">
        <v>110</v>
      </c>
      <c r="C23" t="s">
        <v>77</v>
      </c>
      <c r="E23" t="s">
        <v>68</v>
      </c>
      <c r="F23" s="3">
        <v>46231</v>
      </c>
      <c r="G23" s="3">
        <v>46231</v>
      </c>
      <c r="H23">
        <v>21</v>
      </c>
      <c r="I23">
        <v>0</v>
      </c>
      <c r="K23" t="s">
        <v>56</v>
      </c>
      <c r="L23" t="s">
        <v>45</v>
      </c>
      <c r="M23" t="s">
        <v>98</v>
      </c>
      <c r="N23" t="s">
        <v>111</v>
      </c>
      <c r="O23" s="3">
        <v>46231</v>
      </c>
      <c r="P23" t="s">
        <v>38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>
        <v>23</v>
      </c>
      <c r="B24" t="s">
        <v>112</v>
      </c>
      <c r="C24" t="s">
        <v>113</v>
      </c>
      <c r="D24" t="s">
        <v>114</v>
      </c>
      <c r="E24" t="s">
        <v>115</v>
      </c>
      <c r="F24" s="3">
        <v>46174</v>
      </c>
      <c r="G24" s="3">
        <v>46224</v>
      </c>
      <c r="I24">
        <v>0.71</v>
      </c>
      <c r="K24" t="s">
        <v>56</v>
      </c>
      <c r="L24" t="s">
        <v>45</v>
      </c>
      <c r="M24" t="s">
        <v>98</v>
      </c>
      <c r="N24" t="s">
        <v>37</v>
      </c>
      <c r="O24" s="3">
        <v>46189</v>
      </c>
      <c r="P24" t="s">
        <v>38</v>
      </c>
      <c r="U24">
        <v>0.71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>
        <v>24</v>
      </c>
      <c r="B25" t="s">
        <v>116</v>
      </c>
      <c r="C25" t="s">
        <v>62</v>
      </c>
      <c r="E25" t="s">
        <v>85</v>
      </c>
      <c r="F25" s="3">
        <v>46174</v>
      </c>
      <c r="G25" s="3">
        <v>46176</v>
      </c>
      <c r="H25" t="s">
        <v>64</v>
      </c>
      <c r="I25">
        <v>1</v>
      </c>
      <c r="J25" s="1">
        <v>46176</v>
      </c>
      <c r="K25" t="s">
        <v>44</v>
      </c>
      <c r="L25" t="s">
        <v>45</v>
      </c>
      <c r="M25" t="s">
        <v>98</v>
      </c>
      <c r="N25" t="s">
        <v>37</v>
      </c>
      <c r="O25" s="3">
        <v>46141</v>
      </c>
      <c r="P25" t="s">
        <v>38</v>
      </c>
      <c r="Q25">
        <v>25</v>
      </c>
      <c r="U25">
        <v>1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</row>
    <row r="26" spans="1:32" x14ac:dyDescent="0.25">
      <c r="A26">
        <v>25</v>
      </c>
      <c r="B26" t="s">
        <v>117</v>
      </c>
      <c r="C26" t="s">
        <v>67</v>
      </c>
      <c r="E26" t="s">
        <v>68</v>
      </c>
      <c r="F26" s="3">
        <v>46177</v>
      </c>
      <c r="G26" s="3">
        <v>46177</v>
      </c>
      <c r="H26">
        <v>24</v>
      </c>
      <c r="I26">
        <v>1</v>
      </c>
      <c r="J26" s="1">
        <v>46177</v>
      </c>
      <c r="K26" t="s">
        <v>44</v>
      </c>
      <c r="L26" t="s">
        <v>45</v>
      </c>
      <c r="M26" t="s">
        <v>98</v>
      </c>
      <c r="N26" t="s">
        <v>69</v>
      </c>
      <c r="O26" s="3">
        <v>46142</v>
      </c>
      <c r="P26" t="s">
        <v>38</v>
      </c>
      <c r="Q26" t="s">
        <v>118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>
        <v>26</v>
      </c>
      <c r="B27" t="s">
        <v>119</v>
      </c>
      <c r="C27" t="s">
        <v>72</v>
      </c>
      <c r="E27" t="s">
        <v>63</v>
      </c>
      <c r="F27" s="3">
        <v>46220</v>
      </c>
      <c r="G27" s="3">
        <v>46223</v>
      </c>
      <c r="H27" t="s">
        <v>120</v>
      </c>
      <c r="I27">
        <v>0.5</v>
      </c>
      <c r="K27" t="s">
        <v>56</v>
      </c>
      <c r="L27" t="s">
        <v>45</v>
      </c>
      <c r="M27" t="s">
        <v>98</v>
      </c>
      <c r="N27" t="s">
        <v>121</v>
      </c>
      <c r="O27" s="3">
        <v>46188</v>
      </c>
      <c r="P27" t="s">
        <v>38</v>
      </c>
      <c r="Q27">
        <v>27</v>
      </c>
      <c r="U27">
        <v>0.5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>
        <v>27</v>
      </c>
      <c r="B28" t="s">
        <v>122</v>
      </c>
      <c r="C28" t="s">
        <v>77</v>
      </c>
      <c r="E28" t="s">
        <v>68</v>
      </c>
      <c r="F28" s="3">
        <v>46224</v>
      </c>
      <c r="G28" s="3">
        <v>46224</v>
      </c>
      <c r="H28">
        <v>26</v>
      </c>
      <c r="I28">
        <v>0</v>
      </c>
      <c r="K28" t="s">
        <v>56</v>
      </c>
      <c r="L28" t="s">
        <v>45</v>
      </c>
      <c r="M28" t="s">
        <v>98</v>
      </c>
      <c r="N28" t="s">
        <v>123</v>
      </c>
      <c r="O28" s="3">
        <v>46189</v>
      </c>
      <c r="P28" t="s">
        <v>38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>
        <v>28</v>
      </c>
      <c r="B29" t="s">
        <v>124</v>
      </c>
      <c r="C29" t="s">
        <v>125</v>
      </c>
      <c r="E29" t="s">
        <v>126</v>
      </c>
      <c r="F29" s="3">
        <v>46170</v>
      </c>
      <c r="G29" s="3">
        <v>46364</v>
      </c>
      <c r="I29">
        <v>0.21</v>
      </c>
      <c r="K29" t="s">
        <v>56</v>
      </c>
      <c r="L29" t="s">
        <v>45</v>
      </c>
      <c r="M29" t="s">
        <v>127</v>
      </c>
      <c r="N29" t="s">
        <v>79</v>
      </c>
      <c r="O29" s="3">
        <v>46198</v>
      </c>
      <c r="P29" t="s">
        <v>38</v>
      </c>
      <c r="U29">
        <v>0.21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>
        <v>29</v>
      </c>
      <c r="B30" t="s">
        <v>128</v>
      </c>
      <c r="C30" t="s">
        <v>129</v>
      </c>
      <c r="D30" t="s">
        <v>130</v>
      </c>
      <c r="E30" t="s">
        <v>131</v>
      </c>
      <c r="F30" s="3">
        <v>46181</v>
      </c>
      <c r="G30" s="3">
        <v>46191</v>
      </c>
      <c r="I30">
        <v>0</v>
      </c>
      <c r="K30" t="s">
        <v>56</v>
      </c>
      <c r="L30" t="s">
        <v>45</v>
      </c>
      <c r="M30" t="s">
        <v>127</v>
      </c>
      <c r="N30" t="s">
        <v>132</v>
      </c>
      <c r="O30" s="3">
        <v>46192</v>
      </c>
      <c r="P30" t="s">
        <v>38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>
        <v>30</v>
      </c>
      <c r="B31" t="s">
        <v>133</v>
      </c>
      <c r="C31" t="s">
        <v>62</v>
      </c>
      <c r="E31" t="s">
        <v>134</v>
      </c>
      <c r="F31" s="3">
        <v>46181</v>
      </c>
      <c r="G31" s="3">
        <v>46185</v>
      </c>
      <c r="H31">
        <v>13</v>
      </c>
      <c r="I31">
        <v>0</v>
      </c>
      <c r="K31" t="s">
        <v>56</v>
      </c>
      <c r="L31" t="s">
        <v>45</v>
      </c>
      <c r="M31" t="s">
        <v>127</v>
      </c>
      <c r="N31" t="s">
        <v>132</v>
      </c>
      <c r="O31" s="3">
        <v>46188</v>
      </c>
      <c r="P31" t="s">
        <v>38</v>
      </c>
      <c r="Q31" t="s">
        <v>135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>
        <v>31</v>
      </c>
      <c r="B32" t="s">
        <v>136</v>
      </c>
      <c r="C32" t="s">
        <v>67</v>
      </c>
      <c r="E32" t="s">
        <v>68</v>
      </c>
      <c r="F32" s="3">
        <v>46188</v>
      </c>
      <c r="G32" s="3">
        <v>46188</v>
      </c>
      <c r="H32">
        <v>30</v>
      </c>
      <c r="I32">
        <v>0</v>
      </c>
      <c r="K32" t="s">
        <v>56</v>
      </c>
      <c r="L32" t="s">
        <v>45</v>
      </c>
      <c r="M32" t="s">
        <v>127</v>
      </c>
      <c r="N32" t="s">
        <v>123</v>
      </c>
      <c r="O32" s="3">
        <v>46189</v>
      </c>
      <c r="P32" t="s">
        <v>38</v>
      </c>
      <c r="Q32">
        <v>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>
        <v>32</v>
      </c>
      <c r="B33" t="s">
        <v>137</v>
      </c>
      <c r="C33" t="s">
        <v>72</v>
      </c>
      <c r="E33" t="s">
        <v>63</v>
      </c>
      <c r="F33" s="3">
        <v>46189</v>
      </c>
      <c r="G33" s="3">
        <v>46190</v>
      </c>
      <c r="H33">
        <v>31</v>
      </c>
      <c r="I33">
        <v>0</v>
      </c>
      <c r="K33" t="s">
        <v>56</v>
      </c>
      <c r="L33" t="s">
        <v>45</v>
      </c>
      <c r="M33" t="s">
        <v>127</v>
      </c>
      <c r="N33" t="s">
        <v>138</v>
      </c>
      <c r="O33" s="3">
        <v>46191</v>
      </c>
      <c r="P33" t="s">
        <v>38</v>
      </c>
      <c r="Q33">
        <v>33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>
        <v>33</v>
      </c>
      <c r="B34" t="s">
        <v>139</v>
      </c>
      <c r="C34" t="s">
        <v>77</v>
      </c>
      <c r="E34" t="s">
        <v>68</v>
      </c>
      <c r="F34" s="3">
        <v>46191</v>
      </c>
      <c r="G34" s="3">
        <v>46191</v>
      </c>
      <c r="H34">
        <v>32</v>
      </c>
      <c r="I34">
        <v>0</v>
      </c>
      <c r="K34" t="s">
        <v>56</v>
      </c>
      <c r="L34" t="s">
        <v>45</v>
      </c>
      <c r="M34" t="s">
        <v>127</v>
      </c>
      <c r="N34" t="s">
        <v>140</v>
      </c>
      <c r="O34" s="3">
        <v>46192</v>
      </c>
      <c r="P34" t="s">
        <v>38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>
        <v>34</v>
      </c>
      <c r="B35" t="s">
        <v>141</v>
      </c>
      <c r="C35" t="s">
        <v>142</v>
      </c>
      <c r="D35" t="s">
        <v>143</v>
      </c>
      <c r="E35" t="s">
        <v>102</v>
      </c>
      <c r="F35" s="3">
        <v>46356</v>
      </c>
      <c r="G35" s="3">
        <v>46364</v>
      </c>
      <c r="I35">
        <v>0</v>
      </c>
      <c r="K35" t="s">
        <v>56</v>
      </c>
      <c r="L35" t="s">
        <v>45</v>
      </c>
      <c r="M35" t="s">
        <v>127</v>
      </c>
      <c r="N35" t="s">
        <v>138</v>
      </c>
      <c r="O35" s="3">
        <v>46198</v>
      </c>
      <c r="P35" t="s">
        <v>38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>
        <v>35</v>
      </c>
      <c r="B36" t="s">
        <v>144</v>
      </c>
      <c r="C36" t="s">
        <v>62</v>
      </c>
      <c r="E36" t="s">
        <v>85</v>
      </c>
      <c r="F36" s="3">
        <v>46356</v>
      </c>
      <c r="G36" s="3">
        <v>46358</v>
      </c>
      <c r="H36" t="s">
        <v>145</v>
      </c>
      <c r="I36">
        <v>0</v>
      </c>
      <c r="K36" t="s">
        <v>56</v>
      </c>
      <c r="L36" t="s">
        <v>45</v>
      </c>
      <c r="M36" t="s">
        <v>127</v>
      </c>
      <c r="N36" t="s">
        <v>138</v>
      </c>
      <c r="O36" s="3">
        <v>46192</v>
      </c>
      <c r="P36" t="s">
        <v>38</v>
      </c>
      <c r="Q36">
        <v>36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>
        <v>36</v>
      </c>
      <c r="B37" t="s">
        <v>146</v>
      </c>
      <c r="C37" t="s">
        <v>67</v>
      </c>
      <c r="E37" t="s">
        <v>68</v>
      </c>
      <c r="F37" s="3">
        <v>46359</v>
      </c>
      <c r="G37" s="3">
        <v>46359</v>
      </c>
      <c r="H37">
        <v>35</v>
      </c>
      <c r="I37">
        <v>0</v>
      </c>
      <c r="K37" t="s">
        <v>56</v>
      </c>
      <c r="L37" t="s">
        <v>45</v>
      </c>
      <c r="M37" t="s">
        <v>127</v>
      </c>
      <c r="N37" t="s">
        <v>147</v>
      </c>
      <c r="O37" s="3">
        <v>46195</v>
      </c>
      <c r="P37" t="s">
        <v>38</v>
      </c>
      <c r="Q37">
        <v>37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>
        <v>37</v>
      </c>
      <c r="B38" t="s">
        <v>148</v>
      </c>
      <c r="C38" t="s">
        <v>72</v>
      </c>
      <c r="E38" t="s">
        <v>63</v>
      </c>
      <c r="F38" s="3">
        <v>46360</v>
      </c>
      <c r="G38" s="3">
        <v>46363</v>
      </c>
      <c r="H38">
        <v>36</v>
      </c>
      <c r="I38">
        <v>0</v>
      </c>
      <c r="K38" t="s">
        <v>56</v>
      </c>
      <c r="L38" t="s">
        <v>45</v>
      </c>
      <c r="M38" t="s">
        <v>127</v>
      </c>
      <c r="N38" t="s">
        <v>149</v>
      </c>
      <c r="O38" s="3">
        <v>46197</v>
      </c>
      <c r="P38" t="s">
        <v>38</v>
      </c>
      <c r="Q38">
        <v>38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>
        <v>38</v>
      </c>
      <c r="B39" t="s">
        <v>150</v>
      </c>
      <c r="C39" t="s">
        <v>77</v>
      </c>
      <c r="E39" t="s">
        <v>68</v>
      </c>
      <c r="F39" s="3">
        <v>46364</v>
      </c>
      <c r="G39" s="3">
        <v>46364</v>
      </c>
      <c r="H39">
        <v>37</v>
      </c>
      <c r="I39">
        <v>0</v>
      </c>
      <c r="K39" t="s">
        <v>56</v>
      </c>
      <c r="L39" t="s">
        <v>45</v>
      </c>
      <c r="M39" t="s">
        <v>127</v>
      </c>
      <c r="N39" t="s">
        <v>151</v>
      </c>
      <c r="O39" s="3">
        <v>46198</v>
      </c>
      <c r="P39" t="s">
        <v>38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>
        <v>39</v>
      </c>
      <c r="B40" t="s">
        <v>152</v>
      </c>
      <c r="C40" t="s">
        <v>153</v>
      </c>
      <c r="D40" t="s">
        <v>154</v>
      </c>
      <c r="E40" t="s">
        <v>155</v>
      </c>
      <c r="F40" s="3">
        <v>46170</v>
      </c>
      <c r="G40" s="3">
        <v>46176</v>
      </c>
      <c r="I40">
        <v>0.63</v>
      </c>
      <c r="K40" t="s">
        <v>56</v>
      </c>
      <c r="L40" t="s">
        <v>45</v>
      </c>
      <c r="M40" t="s">
        <v>127</v>
      </c>
      <c r="N40" t="s">
        <v>79</v>
      </c>
      <c r="O40" s="3">
        <v>46167</v>
      </c>
      <c r="P40" t="s">
        <v>38</v>
      </c>
      <c r="U40">
        <v>0.63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>
        <v>40</v>
      </c>
      <c r="B41" t="s">
        <v>156</v>
      </c>
      <c r="C41" t="s">
        <v>62</v>
      </c>
      <c r="E41" t="s">
        <v>43</v>
      </c>
      <c r="F41" s="3">
        <v>46170</v>
      </c>
      <c r="G41" s="3">
        <v>46170</v>
      </c>
      <c r="H41" t="s">
        <v>157</v>
      </c>
      <c r="I41">
        <v>1</v>
      </c>
      <c r="J41" s="1">
        <v>46170</v>
      </c>
      <c r="K41" t="s">
        <v>44</v>
      </c>
      <c r="L41" t="s">
        <v>45</v>
      </c>
      <c r="M41" t="s">
        <v>127</v>
      </c>
      <c r="N41" t="s">
        <v>79</v>
      </c>
      <c r="O41" s="3">
        <v>46161</v>
      </c>
      <c r="P41" t="s">
        <v>38</v>
      </c>
      <c r="Q41">
        <v>41</v>
      </c>
      <c r="U41">
        <v>1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</row>
    <row r="42" spans="1:32" x14ac:dyDescent="0.25">
      <c r="A42">
        <v>41</v>
      </c>
      <c r="B42" t="s">
        <v>158</v>
      </c>
      <c r="C42" t="s">
        <v>67</v>
      </c>
      <c r="E42" t="s">
        <v>68</v>
      </c>
      <c r="F42" s="3">
        <v>46171</v>
      </c>
      <c r="G42" s="3">
        <v>46171</v>
      </c>
      <c r="H42">
        <v>40</v>
      </c>
      <c r="I42">
        <v>1</v>
      </c>
      <c r="J42" s="1">
        <v>46171</v>
      </c>
      <c r="K42" t="s">
        <v>44</v>
      </c>
      <c r="L42" t="s">
        <v>45</v>
      </c>
      <c r="M42" t="s">
        <v>127</v>
      </c>
      <c r="N42" t="s">
        <v>159</v>
      </c>
      <c r="O42" s="3">
        <v>46162</v>
      </c>
      <c r="P42" t="s">
        <v>38</v>
      </c>
      <c r="Q42">
        <v>42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>
        <v>42</v>
      </c>
      <c r="B43" t="s">
        <v>160</v>
      </c>
      <c r="C43" t="s">
        <v>72</v>
      </c>
      <c r="E43" t="s">
        <v>63</v>
      </c>
      <c r="F43" s="3">
        <v>46174</v>
      </c>
      <c r="G43" s="3">
        <v>46175</v>
      </c>
      <c r="H43">
        <v>41</v>
      </c>
      <c r="I43">
        <v>0.75</v>
      </c>
      <c r="K43" t="s">
        <v>56</v>
      </c>
      <c r="L43" t="s">
        <v>45</v>
      </c>
      <c r="M43" t="s">
        <v>127</v>
      </c>
      <c r="N43" t="s">
        <v>161</v>
      </c>
      <c r="O43" s="3">
        <v>46164</v>
      </c>
      <c r="P43" t="s">
        <v>38</v>
      </c>
      <c r="Q43">
        <v>43</v>
      </c>
      <c r="U43">
        <v>0.75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>
        <v>43</v>
      </c>
      <c r="B44" t="s">
        <v>162</v>
      </c>
      <c r="C44" t="s">
        <v>77</v>
      </c>
      <c r="E44" t="s">
        <v>68</v>
      </c>
      <c r="F44" s="3">
        <v>46176</v>
      </c>
      <c r="G44" s="3">
        <v>46176</v>
      </c>
      <c r="H44">
        <v>42</v>
      </c>
      <c r="I44">
        <v>0</v>
      </c>
      <c r="K44" t="s">
        <v>56</v>
      </c>
      <c r="L44" t="s">
        <v>45</v>
      </c>
      <c r="M44" t="s">
        <v>127</v>
      </c>
      <c r="N44" t="s">
        <v>163</v>
      </c>
      <c r="O44" s="3">
        <v>46167</v>
      </c>
      <c r="P44" t="s">
        <v>38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>
        <v>44</v>
      </c>
      <c r="B45" t="s">
        <v>164</v>
      </c>
      <c r="C45" t="s">
        <v>153</v>
      </c>
      <c r="D45" t="s">
        <v>165</v>
      </c>
      <c r="E45" t="s">
        <v>166</v>
      </c>
      <c r="F45" s="3">
        <v>46170</v>
      </c>
      <c r="G45" s="3">
        <v>46204</v>
      </c>
      <c r="I45">
        <v>0.63</v>
      </c>
      <c r="K45" t="s">
        <v>56</v>
      </c>
      <c r="L45" t="s">
        <v>45</v>
      </c>
      <c r="M45" t="s">
        <v>127</v>
      </c>
      <c r="N45" t="s">
        <v>79</v>
      </c>
      <c r="O45" s="3">
        <v>46167</v>
      </c>
      <c r="P45" t="s">
        <v>38</v>
      </c>
      <c r="U45">
        <v>0.63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>
        <v>45</v>
      </c>
      <c r="B46" t="s">
        <v>167</v>
      </c>
      <c r="C46" t="s">
        <v>62</v>
      </c>
      <c r="E46" t="s">
        <v>43</v>
      </c>
      <c r="F46" s="3">
        <v>46170</v>
      </c>
      <c r="G46" s="3">
        <v>46170</v>
      </c>
      <c r="H46" t="s">
        <v>157</v>
      </c>
      <c r="I46">
        <v>1</v>
      </c>
      <c r="J46" s="1">
        <v>46170</v>
      </c>
      <c r="K46" t="s">
        <v>44</v>
      </c>
      <c r="L46" t="s">
        <v>45</v>
      </c>
      <c r="M46" t="s">
        <v>127</v>
      </c>
      <c r="N46" t="s">
        <v>79</v>
      </c>
      <c r="O46" s="3">
        <v>46161</v>
      </c>
      <c r="P46" t="s">
        <v>38</v>
      </c>
      <c r="Q46">
        <v>46</v>
      </c>
      <c r="U46">
        <v>1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 spans="1:32" x14ac:dyDescent="0.25">
      <c r="A47">
        <v>46</v>
      </c>
      <c r="B47" t="s">
        <v>168</v>
      </c>
      <c r="C47" t="s">
        <v>67</v>
      </c>
      <c r="E47" t="s">
        <v>68</v>
      </c>
      <c r="F47" s="3">
        <v>46199</v>
      </c>
      <c r="G47" s="3">
        <v>46199</v>
      </c>
      <c r="H47">
        <v>45</v>
      </c>
      <c r="I47">
        <v>1</v>
      </c>
      <c r="J47" s="1">
        <v>46199</v>
      </c>
      <c r="K47" t="s">
        <v>44</v>
      </c>
      <c r="L47" t="s">
        <v>45</v>
      </c>
      <c r="M47" t="s">
        <v>127</v>
      </c>
      <c r="N47" t="s">
        <v>159</v>
      </c>
      <c r="O47" s="3">
        <v>46162</v>
      </c>
      <c r="P47" t="s">
        <v>38</v>
      </c>
      <c r="Q47">
        <v>47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>
        <v>47</v>
      </c>
      <c r="B48" t="s">
        <v>169</v>
      </c>
      <c r="C48" t="s">
        <v>72</v>
      </c>
      <c r="E48" t="s">
        <v>63</v>
      </c>
      <c r="F48" s="3">
        <v>46202</v>
      </c>
      <c r="G48" s="3">
        <v>46203</v>
      </c>
      <c r="H48">
        <v>46</v>
      </c>
      <c r="I48">
        <v>0.75</v>
      </c>
      <c r="K48" t="s">
        <v>56</v>
      </c>
      <c r="L48" t="s">
        <v>45</v>
      </c>
      <c r="M48" t="s">
        <v>127</v>
      </c>
      <c r="N48" t="s">
        <v>161</v>
      </c>
      <c r="O48" s="3">
        <v>46164</v>
      </c>
      <c r="P48" t="s">
        <v>38</v>
      </c>
      <c r="Q48">
        <v>48</v>
      </c>
      <c r="U48">
        <v>0.75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>
        <v>48</v>
      </c>
      <c r="B49" t="s">
        <v>170</v>
      </c>
      <c r="C49" t="s">
        <v>77</v>
      </c>
      <c r="E49" t="s">
        <v>68</v>
      </c>
      <c r="F49" s="3">
        <v>46204</v>
      </c>
      <c r="G49" s="3">
        <v>46204</v>
      </c>
      <c r="H49">
        <v>47</v>
      </c>
      <c r="I49">
        <v>0</v>
      </c>
      <c r="K49" t="s">
        <v>56</v>
      </c>
      <c r="L49" t="s">
        <v>45</v>
      </c>
      <c r="M49" t="s">
        <v>127</v>
      </c>
      <c r="N49" t="s">
        <v>163</v>
      </c>
      <c r="O49" s="3">
        <v>46167</v>
      </c>
      <c r="P49" t="s">
        <v>38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>
        <v>49</v>
      </c>
      <c r="B50" t="s">
        <v>171</v>
      </c>
      <c r="C50" t="s">
        <v>172</v>
      </c>
      <c r="E50" t="s">
        <v>173</v>
      </c>
      <c r="F50" s="3">
        <v>46160</v>
      </c>
      <c r="G50" s="3">
        <v>46337</v>
      </c>
      <c r="I50">
        <v>0.23</v>
      </c>
      <c r="K50" t="s">
        <v>34</v>
      </c>
      <c r="L50" t="s">
        <v>45</v>
      </c>
      <c r="M50" t="s">
        <v>174</v>
      </c>
      <c r="N50" t="s">
        <v>79</v>
      </c>
      <c r="O50" s="3">
        <v>46211</v>
      </c>
      <c r="P50" t="s">
        <v>38</v>
      </c>
      <c r="U50">
        <v>0.23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>
        <v>50</v>
      </c>
      <c r="B51" t="s">
        <v>175</v>
      </c>
      <c r="C51" t="s">
        <v>176</v>
      </c>
      <c r="D51" t="s">
        <v>130</v>
      </c>
      <c r="E51" t="s">
        <v>177</v>
      </c>
      <c r="F51" s="3">
        <v>46160</v>
      </c>
      <c r="G51" s="3">
        <v>46167</v>
      </c>
      <c r="I51">
        <v>0.46</v>
      </c>
      <c r="K51" t="s">
        <v>34</v>
      </c>
      <c r="L51" t="s">
        <v>45</v>
      </c>
      <c r="M51" t="s">
        <v>174</v>
      </c>
      <c r="N51" t="s">
        <v>132</v>
      </c>
      <c r="O51" s="3">
        <v>46192</v>
      </c>
      <c r="P51" t="s">
        <v>38</v>
      </c>
      <c r="U51">
        <v>0.46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>
        <v>51</v>
      </c>
      <c r="B52" t="s">
        <v>178</v>
      </c>
      <c r="C52" t="s">
        <v>62</v>
      </c>
      <c r="E52" t="s">
        <v>63</v>
      </c>
      <c r="F52" s="3">
        <v>46160</v>
      </c>
      <c r="G52" s="3">
        <v>46161</v>
      </c>
      <c r="H52" t="s">
        <v>179</v>
      </c>
      <c r="I52">
        <v>1</v>
      </c>
      <c r="J52" s="1">
        <v>46161</v>
      </c>
      <c r="K52" t="s">
        <v>44</v>
      </c>
      <c r="L52" t="s">
        <v>45</v>
      </c>
      <c r="M52" t="s">
        <v>174</v>
      </c>
      <c r="N52" t="s">
        <v>132</v>
      </c>
      <c r="O52" s="3">
        <v>46188</v>
      </c>
      <c r="P52" t="s">
        <v>38</v>
      </c>
      <c r="Q52" t="s">
        <v>180</v>
      </c>
      <c r="U52">
        <v>1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</row>
    <row r="53" spans="1:32" x14ac:dyDescent="0.25">
      <c r="A53">
        <v>52</v>
      </c>
      <c r="B53" t="s">
        <v>181</v>
      </c>
      <c r="C53" t="s">
        <v>67</v>
      </c>
      <c r="E53" t="s">
        <v>68</v>
      </c>
      <c r="F53" s="3">
        <v>46162</v>
      </c>
      <c r="G53" s="3">
        <v>46162</v>
      </c>
      <c r="H53">
        <v>51</v>
      </c>
      <c r="I53">
        <v>0.75</v>
      </c>
      <c r="K53" t="s">
        <v>56</v>
      </c>
      <c r="L53" t="s">
        <v>45</v>
      </c>
      <c r="M53" t="s">
        <v>174</v>
      </c>
      <c r="N53" t="s">
        <v>123</v>
      </c>
      <c r="O53" s="3">
        <v>46189</v>
      </c>
      <c r="P53" t="s">
        <v>38</v>
      </c>
      <c r="Q53">
        <v>53</v>
      </c>
      <c r="U53">
        <v>0.75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>
        <v>53</v>
      </c>
      <c r="B54" t="s">
        <v>182</v>
      </c>
      <c r="C54" t="s">
        <v>72</v>
      </c>
      <c r="E54" t="s">
        <v>63</v>
      </c>
      <c r="F54" s="3">
        <v>46163</v>
      </c>
      <c r="G54" s="3">
        <v>46164</v>
      </c>
      <c r="H54">
        <v>52</v>
      </c>
      <c r="I54">
        <v>0</v>
      </c>
      <c r="K54" t="s">
        <v>56</v>
      </c>
      <c r="L54" t="s">
        <v>45</v>
      </c>
      <c r="M54" t="s">
        <v>174</v>
      </c>
      <c r="N54" t="s">
        <v>138</v>
      </c>
      <c r="O54" s="3">
        <v>46191</v>
      </c>
      <c r="P54" t="s">
        <v>38</v>
      </c>
      <c r="Q54">
        <v>54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>
        <v>54</v>
      </c>
      <c r="B55" t="s">
        <v>183</v>
      </c>
      <c r="C55" t="s">
        <v>77</v>
      </c>
      <c r="E55" t="s">
        <v>68</v>
      </c>
      <c r="F55" s="3">
        <v>46167</v>
      </c>
      <c r="G55" s="3">
        <v>46167</v>
      </c>
      <c r="H55">
        <v>53</v>
      </c>
      <c r="I55">
        <v>0</v>
      </c>
      <c r="K55" t="s">
        <v>56</v>
      </c>
      <c r="L55" t="s">
        <v>45</v>
      </c>
      <c r="M55" t="s">
        <v>174</v>
      </c>
      <c r="N55" t="s">
        <v>140</v>
      </c>
      <c r="O55" s="3">
        <v>46192</v>
      </c>
      <c r="P55" t="s">
        <v>38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>
        <v>55</v>
      </c>
      <c r="B56" t="s">
        <v>184</v>
      </c>
      <c r="C56" t="s">
        <v>185</v>
      </c>
      <c r="D56" t="s">
        <v>143</v>
      </c>
      <c r="E56" t="s">
        <v>177</v>
      </c>
      <c r="F56" s="3">
        <v>46330</v>
      </c>
      <c r="G56" s="3">
        <v>46337</v>
      </c>
      <c r="I56">
        <v>0</v>
      </c>
      <c r="K56" t="s">
        <v>56</v>
      </c>
      <c r="L56" t="s">
        <v>45</v>
      </c>
      <c r="M56" t="s">
        <v>174</v>
      </c>
      <c r="N56" t="s">
        <v>186</v>
      </c>
      <c r="O56" s="3">
        <v>46175</v>
      </c>
      <c r="P56" t="s">
        <v>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>
        <v>56</v>
      </c>
      <c r="B57" t="s">
        <v>187</v>
      </c>
      <c r="C57" t="s">
        <v>62</v>
      </c>
      <c r="E57" t="s">
        <v>63</v>
      </c>
      <c r="F57" s="3">
        <v>46330</v>
      </c>
      <c r="G57" s="3">
        <v>46331</v>
      </c>
      <c r="H57" t="s">
        <v>188</v>
      </c>
      <c r="I57">
        <v>0</v>
      </c>
      <c r="K57" t="s">
        <v>56</v>
      </c>
      <c r="L57" t="s">
        <v>45</v>
      </c>
      <c r="M57" t="s">
        <v>174</v>
      </c>
      <c r="N57" t="s">
        <v>186</v>
      </c>
      <c r="O57" s="3">
        <v>46169</v>
      </c>
      <c r="P57" t="s">
        <v>38</v>
      </c>
      <c r="Q57">
        <v>57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>
        <v>57</v>
      </c>
      <c r="B58" t="s">
        <v>189</v>
      </c>
      <c r="C58" t="s">
        <v>67</v>
      </c>
      <c r="E58" t="s">
        <v>68</v>
      </c>
      <c r="F58" s="3">
        <v>46332</v>
      </c>
      <c r="G58" s="3">
        <v>46332</v>
      </c>
      <c r="H58">
        <v>56</v>
      </c>
      <c r="I58">
        <v>0</v>
      </c>
      <c r="K58" t="s">
        <v>56</v>
      </c>
      <c r="L58" t="s">
        <v>45</v>
      </c>
      <c r="M58" t="s">
        <v>174</v>
      </c>
      <c r="N58" t="s">
        <v>190</v>
      </c>
      <c r="O58" s="3">
        <v>46170</v>
      </c>
      <c r="P58" t="s">
        <v>38</v>
      </c>
      <c r="Q58">
        <v>58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>
        <v>58</v>
      </c>
      <c r="B59" t="s">
        <v>191</v>
      </c>
      <c r="C59" t="s">
        <v>72</v>
      </c>
      <c r="E59" t="s">
        <v>63</v>
      </c>
      <c r="F59" s="3">
        <v>46335</v>
      </c>
      <c r="G59" s="3">
        <v>46336</v>
      </c>
      <c r="H59">
        <v>57</v>
      </c>
      <c r="I59">
        <v>0</v>
      </c>
      <c r="K59" t="s">
        <v>56</v>
      </c>
      <c r="L59" t="s">
        <v>45</v>
      </c>
      <c r="M59" t="s">
        <v>174</v>
      </c>
      <c r="N59" t="s">
        <v>192</v>
      </c>
      <c r="O59" s="3">
        <v>46174</v>
      </c>
      <c r="P59" t="s">
        <v>38</v>
      </c>
      <c r="Q59">
        <v>59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>
        <v>59</v>
      </c>
      <c r="B60" t="s">
        <v>193</v>
      </c>
      <c r="C60" t="s">
        <v>77</v>
      </c>
      <c r="E60" t="s">
        <v>68</v>
      </c>
      <c r="F60" s="3">
        <v>46337</v>
      </c>
      <c r="G60" s="3">
        <v>46337</v>
      </c>
      <c r="H60">
        <v>58</v>
      </c>
      <c r="I60">
        <v>0</v>
      </c>
      <c r="K60" t="s">
        <v>56</v>
      </c>
      <c r="L60" t="s">
        <v>45</v>
      </c>
      <c r="M60" t="s">
        <v>174</v>
      </c>
      <c r="N60" t="s">
        <v>194</v>
      </c>
      <c r="O60" s="3">
        <v>46175</v>
      </c>
      <c r="P60" t="s">
        <v>38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>
        <v>60</v>
      </c>
      <c r="B61" t="s">
        <v>195</v>
      </c>
      <c r="C61" t="s">
        <v>196</v>
      </c>
      <c r="E61" t="s">
        <v>197</v>
      </c>
      <c r="F61" s="3">
        <v>46181</v>
      </c>
      <c r="G61" s="3">
        <v>46367</v>
      </c>
      <c r="I61">
        <v>0.3</v>
      </c>
      <c r="K61" t="s">
        <v>56</v>
      </c>
      <c r="L61" t="s">
        <v>45</v>
      </c>
      <c r="M61" t="s">
        <v>198</v>
      </c>
      <c r="N61" t="s">
        <v>159</v>
      </c>
      <c r="O61" s="3">
        <v>46211</v>
      </c>
      <c r="P61" t="s">
        <v>38</v>
      </c>
      <c r="U61">
        <v>0.3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>
        <v>61</v>
      </c>
      <c r="B62" t="s">
        <v>199</v>
      </c>
      <c r="C62" t="s">
        <v>200</v>
      </c>
      <c r="D62" t="s">
        <v>130</v>
      </c>
      <c r="E62" t="s">
        <v>131</v>
      </c>
      <c r="F62" s="3">
        <v>46181</v>
      </c>
      <c r="G62" s="3">
        <v>46191</v>
      </c>
      <c r="I62">
        <v>1</v>
      </c>
      <c r="J62" s="1">
        <v>46191</v>
      </c>
      <c r="K62" t="s">
        <v>44</v>
      </c>
      <c r="L62" t="s">
        <v>45</v>
      </c>
      <c r="M62" t="s">
        <v>198</v>
      </c>
      <c r="N62" t="s">
        <v>201</v>
      </c>
      <c r="O62" s="3">
        <v>46192</v>
      </c>
      <c r="P62" t="s">
        <v>38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>
        <v>62</v>
      </c>
      <c r="B63" t="s">
        <v>202</v>
      </c>
      <c r="C63" t="s">
        <v>62</v>
      </c>
      <c r="E63" t="s">
        <v>134</v>
      </c>
      <c r="F63" s="3">
        <v>46181</v>
      </c>
      <c r="G63" s="3">
        <v>46185</v>
      </c>
      <c r="H63" t="s">
        <v>179</v>
      </c>
      <c r="I63">
        <v>1</v>
      </c>
      <c r="J63" s="1">
        <v>46185</v>
      </c>
      <c r="K63" t="s">
        <v>44</v>
      </c>
      <c r="L63" t="s">
        <v>45</v>
      </c>
      <c r="M63" t="s">
        <v>198</v>
      </c>
      <c r="N63" t="s">
        <v>201</v>
      </c>
      <c r="O63" s="3">
        <v>46188</v>
      </c>
      <c r="P63" t="s">
        <v>38</v>
      </c>
      <c r="Q63" t="s">
        <v>203</v>
      </c>
      <c r="U63">
        <v>1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</row>
    <row r="64" spans="1:32" x14ac:dyDescent="0.25">
      <c r="A64">
        <v>63</v>
      </c>
      <c r="B64" t="s">
        <v>204</v>
      </c>
      <c r="C64" t="s">
        <v>67</v>
      </c>
      <c r="E64" t="s">
        <v>68</v>
      </c>
      <c r="F64" s="3">
        <v>46188</v>
      </c>
      <c r="G64" s="3">
        <v>46188</v>
      </c>
      <c r="H64">
        <v>62</v>
      </c>
      <c r="I64">
        <v>1</v>
      </c>
      <c r="J64" s="1">
        <v>46188</v>
      </c>
      <c r="K64" t="s">
        <v>44</v>
      </c>
      <c r="L64" t="s">
        <v>45</v>
      </c>
      <c r="M64" t="s">
        <v>198</v>
      </c>
      <c r="N64" t="s">
        <v>123</v>
      </c>
      <c r="O64" s="3">
        <v>46189</v>
      </c>
      <c r="P64" t="s">
        <v>38</v>
      </c>
      <c r="Q64">
        <v>64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>
        <v>64</v>
      </c>
      <c r="B65" t="s">
        <v>205</v>
      </c>
      <c r="C65" t="s">
        <v>72</v>
      </c>
      <c r="E65" t="s">
        <v>63</v>
      </c>
      <c r="F65" s="3">
        <v>46189</v>
      </c>
      <c r="G65" s="3">
        <v>46190</v>
      </c>
      <c r="H65">
        <v>63</v>
      </c>
      <c r="I65">
        <v>1</v>
      </c>
      <c r="J65" s="1">
        <v>46190</v>
      </c>
      <c r="K65" t="s">
        <v>44</v>
      </c>
      <c r="L65" t="s">
        <v>45</v>
      </c>
      <c r="M65" t="s">
        <v>198</v>
      </c>
      <c r="N65" t="s">
        <v>138</v>
      </c>
      <c r="O65" s="3">
        <v>46191</v>
      </c>
      <c r="P65" t="s">
        <v>38</v>
      </c>
      <c r="Q65">
        <v>65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>
        <v>65</v>
      </c>
      <c r="B66" t="s">
        <v>206</v>
      </c>
      <c r="C66" t="s">
        <v>77</v>
      </c>
      <c r="E66" t="s">
        <v>68</v>
      </c>
      <c r="F66" s="3">
        <v>46191</v>
      </c>
      <c r="G66" s="3">
        <v>46191</v>
      </c>
      <c r="H66">
        <v>64</v>
      </c>
      <c r="I66">
        <v>1</v>
      </c>
      <c r="J66" s="1">
        <v>46191</v>
      </c>
      <c r="K66" t="s">
        <v>44</v>
      </c>
      <c r="L66" t="s">
        <v>45</v>
      </c>
      <c r="M66" t="s">
        <v>198</v>
      </c>
      <c r="N66" t="s">
        <v>140</v>
      </c>
      <c r="O66" s="3">
        <v>46192</v>
      </c>
      <c r="P66" t="s">
        <v>38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</row>
    <row r="67" spans="1:32" x14ac:dyDescent="0.25">
      <c r="A67">
        <v>66</v>
      </c>
      <c r="B67" t="s">
        <v>207</v>
      </c>
      <c r="C67" t="s">
        <v>208</v>
      </c>
      <c r="D67" t="s">
        <v>143</v>
      </c>
      <c r="E67" t="s">
        <v>102</v>
      </c>
      <c r="F67" s="3">
        <v>46356</v>
      </c>
      <c r="G67" s="3">
        <v>46364</v>
      </c>
      <c r="I67">
        <v>0</v>
      </c>
      <c r="K67" t="s">
        <v>56</v>
      </c>
      <c r="L67" t="s">
        <v>45</v>
      </c>
      <c r="M67" t="s">
        <v>198</v>
      </c>
      <c r="N67" t="s">
        <v>209</v>
      </c>
      <c r="O67" s="3">
        <v>46199</v>
      </c>
      <c r="P67" t="s">
        <v>38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>
        <v>67</v>
      </c>
      <c r="B68" t="s">
        <v>210</v>
      </c>
      <c r="C68" t="s">
        <v>62</v>
      </c>
      <c r="E68" t="s">
        <v>85</v>
      </c>
      <c r="F68" s="3">
        <v>46356</v>
      </c>
      <c r="G68" s="3">
        <v>46358</v>
      </c>
      <c r="H68" t="s">
        <v>211</v>
      </c>
      <c r="I68">
        <v>0</v>
      </c>
      <c r="K68" t="s">
        <v>56</v>
      </c>
      <c r="L68" t="s">
        <v>45</v>
      </c>
      <c r="M68" t="s">
        <v>198</v>
      </c>
      <c r="N68" t="s">
        <v>209</v>
      </c>
      <c r="O68" s="3">
        <v>46195</v>
      </c>
      <c r="P68" t="s">
        <v>38</v>
      </c>
      <c r="Q68" t="s">
        <v>212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>
        <v>68</v>
      </c>
      <c r="B69" t="s">
        <v>213</v>
      </c>
      <c r="C69" t="s">
        <v>67</v>
      </c>
      <c r="E69" t="s">
        <v>68</v>
      </c>
      <c r="F69" s="3">
        <v>46359</v>
      </c>
      <c r="G69" s="3">
        <v>46359</v>
      </c>
      <c r="H69">
        <v>67</v>
      </c>
      <c r="I69">
        <v>0</v>
      </c>
      <c r="K69" t="s">
        <v>56</v>
      </c>
      <c r="L69" t="s">
        <v>45</v>
      </c>
      <c r="M69" t="s">
        <v>198</v>
      </c>
      <c r="N69" t="s">
        <v>149</v>
      </c>
      <c r="O69" s="3">
        <v>46196</v>
      </c>
      <c r="P69" t="s">
        <v>38</v>
      </c>
      <c r="Q69">
        <v>69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>
        <v>69</v>
      </c>
      <c r="B70" t="s">
        <v>214</v>
      </c>
      <c r="C70" t="s">
        <v>72</v>
      </c>
      <c r="E70" t="s">
        <v>63</v>
      </c>
      <c r="F70" s="3">
        <v>46360</v>
      </c>
      <c r="G70" s="3">
        <v>46363</v>
      </c>
      <c r="H70">
        <v>68</v>
      </c>
      <c r="I70">
        <v>0</v>
      </c>
      <c r="K70" t="s">
        <v>56</v>
      </c>
      <c r="L70" t="s">
        <v>45</v>
      </c>
      <c r="M70" t="s">
        <v>198</v>
      </c>
      <c r="N70" t="s">
        <v>215</v>
      </c>
      <c r="O70" s="3">
        <v>46198</v>
      </c>
      <c r="P70" t="s">
        <v>38</v>
      </c>
      <c r="Q70">
        <v>70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>
        <v>70</v>
      </c>
      <c r="B71" t="s">
        <v>216</v>
      </c>
      <c r="C71" t="s">
        <v>77</v>
      </c>
      <c r="E71" t="s">
        <v>68</v>
      </c>
      <c r="F71" s="3">
        <v>46364</v>
      </c>
      <c r="G71" s="3">
        <v>46364</v>
      </c>
      <c r="H71">
        <v>69</v>
      </c>
      <c r="I71">
        <v>0</v>
      </c>
      <c r="K71" t="s">
        <v>56</v>
      </c>
      <c r="L71" t="s">
        <v>45</v>
      </c>
      <c r="M71" t="s">
        <v>198</v>
      </c>
      <c r="N71" t="s">
        <v>217</v>
      </c>
      <c r="O71" s="3">
        <v>46199</v>
      </c>
      <c r="P71" t="s">
        <v>38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>
        <v>71</v>
      </c>
      <c r="B72" t="s">
        <v>218</v>
      </c>
      <c r="C72" t="s">
        <v>219</v>
      </c>
      <c r="D72" t="s">
        <v>220</v>
      </c>
      <c r="E72" t="s">
        <v>102</v>
      </c>
      <c r="F72" s="3">
        <v>46359</v>
      </c>
      <c r="G72" s="3">
        <v>46367</v>
      </c>
      <c r="I72">
        <v>0</v>
      </c>
      <c r="K72" t="s">
        <v>56</v>
      </c>
      <c r="L72" t="s">
        <v>45</v>
      </c>
      <c r="M72" t="s">
        <v>198</v>
      </c>
      <c r="N72" t="s">
        <v>190</v>
      </c>
      <c r="O72" s="3">
        <v>46178</v>
      </c>
      <c r="P72" t="s">
        <v>38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>
        <v>72</v>
      </c>
      <c r="B73" t="s">
        <v>221</v>
      </c>
      <c r="C73" t="s">
        <v>62</v>
      </c>
      <c r="E73" t="s">
        <v>85</v>
      </c>
      <c r="F73" s="3">
        <v>46359</v>
      </c>
      <c r="G73" s="3">
        <v>46363</v>
      </c>
      <c r="H73">
        <v>67</v>
      </c>
      <c r="I73">
        <v>0</v>
      </c>
      <c r="K73" t="s">
        <v>56</v>
      </c>
      <c r="L73" t="s">
        <v>45</v>
      </c>
      <c r="M73" t="s">
        <v>198</v>
      </c>
      <c r="N73" t="s">
        <v>190</v>
      </c>
      <c r="O73" s="3">
        <v>46174</v>
      </c>
      <c r="P73" t="s">
        <v>38</v>
      </c>
      <c r="Q73">
        <v>73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>
        <v>73</v>
      </c>
      <c r="B74" t="s">
        <v>222</v>
      </c>
      <c r="C74" t="s">
        <v>67</v>
      </c>
      <c r="E74" t="s">
        <v>68</v>
      </c>
      <c r="F74" s="3">
        <v>46364</v>
      </c>
      <c r="G74" s="3">
        <v>46364</v>
      </c>
      <c r="H74">
        <v>72</v>
      </c>
      <c r="I74">
        <v>0</v>
      </c>
      <c r="K74" t="s">
        <v>56</v>
      </c>
      <c r="L74" t="s">
        <v>45</v>
      </c>
      <c r="M74" t="s">
        <v>198</v>
      </c>
      <c r="N74" t="s">
        <v>194</v>
      </c>
      <c r="O74" s="3">
        <v>46175</v>
      </c>
      <c r="P74" t="s">
        <v>38</v>
      </c>
      <c r="Q74">
        <v>74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>
        <v>74</v>
      </c>
      <c r="B75" t="s">
        <v>223</v>
      </c>
      <c r="C75" t="s">
        <v>72</v>
      </c>
      <c r="E75" t="s">
        <v>63</v>
      </c>
      <c r="F75" s="3">
        <v>46365</v>
      </c>
      <c r="G75" s="3">
        <v>46366</v>
      </c>
      <c r="H75">
        <v>73</v>
      </c>
      <c r="I75">
        <v>0</v>
      </c>
      <c r="K75" t="s">
        <v>56</v>
      </c>
      <c r="L75" t="s">
        <v>45</v>
      </c>
      <c r="M75" t="s">
        <v>198</v>
      </c>
      <c r="N75" t="s">
        <v>224</v>
      </c>
      <c r="O75" s="3">
        <v>46177</v>
      </c>
      <c r="P75" t="s">
        <v>38</v>
      </c>
      <c r="Q75">
        <v>75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>
        <v>75</v>
      </c>
      <c r="B76" t="s">
        <v>225</v>
      </c>
      <c r="C76" t="s">
        <v>77</v>
      </c>
      <c r="E76" t="s">
        <v>68</v>
      </c>
      <c r="F76" s="3">
        <v>46367</v>
      </c>
      <c r="G76" s="3">
        <v>46367</v>
      </c>
      <c r="H76">
        <v>74</v>
      </c>
      <c r="I76">
        <v>0</v>
      </c>
      <c r="K76" t="s">
        <v>56</v>
      </c>
      <c r="L76" t="s">
        <v>45</v>
      </c>
      <c r="M76" t="s">
        <v>198</v>
      </c>
      <c r="N76" t="s">
        <v>226</v>
      </c>
      <c r="O76" s="3">
        <v>46178</v>
      </c>
      <c r="P76" t="s">
        <v>38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>
        <v>76</v>
      </c>
      <c r="B77" t="s">
        <v>227</v>
      </c>
      <c r="C77" t="s">
        <v>228</v>
      </c>
      <c r="D77" t="s">
        <v>229</v>
      </c>
      <c r="E77" t="s">
        <v>102</v>
      </c>
      <c r="F77" s="3">
        <v>46359</v>
      </c>
      <c r="G77" s="3">
        <v>46367</v>
      </c>
      <c r="I77">
        <v>0</v>
      </c>
      <c r="K77" t="s">
        <v>56</v>
      </c>
      <c r="L77" t="s">
        <v>45</v>
      </c>
      <c r="M77" t="s">
        <v>198</v>
      </c>
      <c r="N77" t="s">
        <v>194</v>
      </c>
      <c r="O77" s="3">
        <v>46183</v>
      </c>
      <c r="P77" t="s">
        <v>38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>
        <v>77</v>
      </c>
      <c r="B78" t="s">
        <v>230</v>
      </c>
      <c r="C78" t="s">
        <v>62</v>
      </c>
      <c r="E78" t="s">
        <v>85</v>
      </c>
      <c r="F78" s="3">
        <v>46359</v>
      </c>
      <c r="G78" s="3">
        <v>46363</v>
      </c>
      <c r="H78">
        <v>67</v>
      </c>
      <c r="I78">
        <v>0</v>
      </c>
      <c r="K78" t="s">
        <v>56</v>
      </c>
      <c r="L78" t="s">
        <v>45</v>
      </c>
      <c r="M78" t="s">
        <v>198</v>
      </c>
      <c r="N78" t="s">
        <v>194</v>
      </c>
      <c r="O78" s="3">
        <v>46177</v>
      </c>
      <c r="P78" t="s">
        <v>38</v>
      </c>
      <c r="Q78">
        <v>78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>
        <v>78</v>
      </c>
      <c r="B79" t="s">
        <v>231</v>
      </c>
      <c r="C79" t="s">
        <v>67</v>
      </c>
      <c r="E79" t="s">
        <v>68</v>
      </c>
      <c r="F79" s="3">
        <v>46364</v>
      </c>
      <c r="G79" s="3">
        <v>46364</v>
      </c>
      <c r="H79">
        <v>77</v>
      </c>
      <c r="I79">
        <v>0</v>
      </c>
      <c r="K79" t="s">
        <v>56</v>
      </c>
      <c r="L79" t="s">
        <v>45</v>
      </c>
      <c r="M79" t="s">
        <v>198</v>
      </c>
      <c r="N79" t="s">
        <v>226</v>
      </c>
      <c r="O79" s="3">
        <v>46178</v>
      </c>
      <c r="P79" t="s">
        <v>38</v>
      </c>
      <c r="Q79">
        <v>79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>
        <v>79</v>
      </c>
      <c r="B80" t="s">
        <v>232</v>
      </c>
      <c r="C80" t="s">
        <v>72</v>
      </c>
      <c r="E80" t="s">
        <v>63</v>
      </c>
      <c r="F80" s="3">
        <v>46365</v>
      </c>
      <c r="G80" s="3">
        <v>46366</v>
      </c>
      <c r="H80">
        <v>78</v>
      </c>
      <c r="I80">
        <v>0</v>
      </c>
      <c r="K80" t="s">
        <v>56</v>
      </c>
      <c r="L80" t="s">
        <v>45</v>
      </c>
      <c r="M80" t="s">
        <v>198</v>
      </c>
      <c r="N80" t="s">
        <v>233</v>
      </c>
      <c r="O80" s="3">
        <v>46182</v>
      </c>
      <c r="P80" t="s">
        <v>38</v>
      </c>
      <c r="Q80">
        <v>80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>
        <v>80</v>
      </c>
      <c r="B81" t="s">
        <v>234</v>
      </c>
      <c r="C81" t="s">
        <v>77</v>
      </c>
      <c r="E81" t="s">
        <v>68</v>
      </c>
      <c r="F81" s="3">
        <v>46367</v>
      </c>
      <c r="G81" s="3">
        <v>46367</v>
      </c>
      <c r="H81">
        <v>79</v>
      </c>
      <c r="I81">
        <v>0</v>
      </c>
      <c r="K81" t="s">
        <v>56</v>
      </c>
      <c r="L81" t="s">
        <v>45</v>
      </c>
      <c r="M81" t="s">
        <v>198</v>
      </c>
      <c r="N81" t="s">
        <v>235</v>
      </c>
      <c r="O81" s="3">
        <v>46183</v>
      </c>
      <c r="P81" t="s">
        <v>38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>
        <v>81</v>
      </c>
      <c r="B82" t="s">
        <v>236</v>
      </c>
      <c r="C82" t="s">
        <v>237</v>
      </c>
      <c r="E82" t="s">
        <v>238</v>
      </c>
      <c r="F82" s="3">
        <v>46183</v>
      </c>
      <c r="G82" s="3">
        <v>46364</v>
      </c>
      <c r="I82">
        <v>0</v>
      </c>
      <c r="K82" t="s">
        <v>56</v>
      </c>
      <c r="L82" t="s">
        <v>45</v>
      </c>
      <c r="M82" t="s">
        <v>239</v>
      </c>
      <c r="N82" t="s">
        <v>240</v>
      </c>
      <c r="O82" s="3">
        <v>46211</v>
      </c>
      <c r="P82" t="s">
        <v>38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>
        <v>82</v>
      </c>
      <c r="B83" t="s">
        <v>241</v>
      </c>
      <c r="C83" t="s">
        <v>242</v>
      </c>
      <c r="D83" t="s">
        <v>130</v>
      </c>
      <c r="E83" t="s">
        <v>102</v>
      </c>
      <c r="F83" s="3">
        <v>46183</v>
      </c>
      <c r="G83" s="3">
        <v>46191</v>
      </c>
      <c r="I83">
        <v>0</v>
      </c>
      <c r="K83" t="s">
        <v>56</v>
      </c>
      <c r="L83" t="s">
        <v>45</v>
      </c>
      <c r="M83" t="s">
        <v>239</v>
      </c>
      <c r="N83" t="s">
        <v>132</v>
      </c>
      <c r="O83" s="3">
        <v>46192</v>
      </c>
      <c r="P83" t="s">
        <v>38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>
        <v>83</v>
      </c>
      <c r="B84" t="s">
        <v>243</v>
      </c>
      <c r="C84" t="s">
        <v>62</v>
      </c>
      <c r="E84" t="s">
        <v>85</v>
      </c>
      <c r="F84" s="3">
        <v>46183</v>
      </c>
      <c r="G84" s="3">
        <v>46185</v>
      </c>
      <c r="H84" t="s">
        <v>179</v>
      </c>
      <c r="I84">
        <v>0</v>
      </c>
      <c r="K84" t="s">
        <v>56</v>
      </c>
      <c r="L84" t="s">
        <v>45</v>
      </c>
      <c r="M84" t="s">
        <v>239</v>
      </c>
      <c r="N84" t="s">
        <v>132</v>
      </c>
      <c r="O84" s="3">
        <v>46188</v>
      </c>
      <c r="P84" t="s">
        <v>38</v>
      </c>
      <c r="Q84" t="s">
        <v>244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>
        <v>84</v>
      </c>
      <c r="B85" t="s">
        <v>245</v>
      </c>
      <c r="C85" t="s">
        <v>67</v>
      </c>
      <c r="E85" t="s">
        <v>68</v>
      </c>
      <c r="F85" s="3">
        <v>46188</v>
      </c>
      <c r="G85" s="3">
        <v>46188</v>
      </c>
      <c r="H85">
        <v>83</v>
      </c>
      <c r="I85">
        <v>0</v>
      </c>
      <c r="K85" t="s">
        <v>56</v>
      </c>
      <c r="L85" t="s">
        <v>45</v>
      </c>
      <c r="M85" t="s">
        <v>239</v>
      </c>
      <c r="N85" t="s">
        <v>123</v>
      </c>
      <c r="O85" s="3">
        <v>46189</v>
      </c>
      <c r="P85" t="s">
        <v>38</v>
      </c>
      <c r="Q85">
        <v>85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>
        <v>85</v>
      </c>
      <c r="B86" t="s">
        <v>246</v>
      </c>
      <c r="C86" t="s">
        <v>72</v>
      </c>
      <c r="E86" t="s">
        <v>63</v>
      </c>
      <c r="F86" s="3">
        <v>46189</v>
      </c>
      <c r="G86" s="3">
        <v>46190</v>
      </c>
      <c r="H86">
        <v>84</v>
      </c>
      <c r="I86">
        <v>0</v>
      </c>
      <c r="K86" t="s">
        <v>56</v>
      </c>
      <c r="L86" t="s">
        <v>45</v>
      </c>
      <c r="M86" t="s">
        <v>239</v>
      </c>
      <c r="N86" t="s">
        <v>138</v>
      </c>
      <c r="O86" s="3">
        <v>46191</v>
      </c>
      <c r="P86" t="s">
        <v>38</v>
      </c>
      <c r="Q86">
        <v>86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>
        <v>86</v>
      </c>
      <c r="B87" t="s">
        <v>247</v>
      </c>
      <c r="C87" t="s">
        <v>77</v>
      </c>
      <c r="E87" t="s">
        <v>68</v>
      </c>
      <c r="F87" s="3">
        <v>46191</v>
      </c>
      <c r="G87" s="3">
        <v>46191</v>
      </c>
      <c r="H87">
        <v>85</v>
      </c>
      <c r="I87">
        <v>0</v>
      </c>
      <c r="K87" t="s">
        <v>56</v>
      </c>
      <c r="L87" t="s">
        <v>45</v>
      </c>
      <c r="M87" t="s">
        <v>239</v>
      </c>
      <c r="N87" t="s">
        <v>140</v>
      </c>
      <c r="O87" s="3">
        <v>46192</v>
      </c>
      <c r="P87" t="s">
        <v>38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>
        <v>87</v>
      </c>
      <c r="B88" t="s">
        <v>248</v>
      </c>
      <c r="C88" t="s">
        <v>249</v>
      </c>
      <c r="D88" t="s">
        <v>143</v>
      </c>
      <c r="E88" t="s">
        <v>102</v>
      </c>
      <c r="F88" s="3">
        <v>46356</v>
      </c>
      <c r="G88" s="3">
        <v>46364</v>
      </c>
      <c r="I88">
        <v>0</v>
      </c>
      <c r="K88" t="s">
        <v>56</v>
      </c>
      <c r="L88" t="s">
        <v>45</v>
      </c>
      <c r="M88" t="s">
        <v>239</v>
      </c>
      <c r="N88" t="s">
        <v>138</v>
      </c>
      <c r="O88" s="3">
        <v>46198</v>
      </c>
      <c r="P88" t="s">
        <v>38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>
        <v>88</v>
      </c>
      <c r="B89" t="s">
        <v>250</v>
      </c>
      <c r="C89" t="s">
        <v>62</v>
      </c>
      <c r="E89" t="s">
        <v>85</v>
      </c>
      <c r="F89" s="3">
        <v>46356</v>
      </c>
      <c r="G89" s="3">
        <v>46358</v>
      </c>
      <c r="H89" t="s">
        <v>251</v>
      </c>
      <c r="I89">
        <v>0</v>
      </c>
      <c r="K89" t="s">
        <v>56</v>
      </c>
      <c r="L89" t="s">
        <v>45</v>
      </c>
      <c r="M89" t="s">
        <v>239</v>
      </c>
      <c r="N89" t="s">
        <v>138</v>
      </c>
      <c r="O89" s="3">
        <v>46192</v>
      </c>
      <c r="P89" t="s">
        <v>38</v>
      </c>
      <c r="Q89">
        <v>89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>
        <v>89</v>
      </c>
      <c r="B90" t="s">
        <v>252</v>
      </c>
      <c r="C90" t="s">
        <v>67</v>
      </c>
      <c r="E90" t="s">
        <v>68</v>
      </c>
      <c r="F90" s="3">
        <v>46359</v>
      </c>
      <c r="G90" s="3">
        <v>46359</v>
      </c>
      <c r="H90">
        <v>88</v>
      </c>
      <c r="I90">
        <v>0</v>
      </c>
      <c r="K90" t="s">
        <v>56</v>
      </c>
      <c r="L90" t="s">
        <v>45</v>
      </c>
      <c r="M90" t="s">
        <v>239</v>
      </c>
      <c r="N90" t="s">
        <v>147</v>
      </c>
      <c r="O90" s="3">
        <v>46195</v>
      </c>
      <c r="P90" t="s">
        <v>38</v>
      </c>
      <c r="Q90">
        <v>90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>
        <v>90</v>
      </c>
      <c r="B91" t="s">
        <v>253</v>
      </c>
      <c r="C91" t="s">
        <v>72</v>
      </c>
      <c r="E91" t="s">
        <v>63</v>
      </c>
      <c r="F91" s="3">
        <v>46360</v>
      </c>
      <c r="G91" s="3">
        <v>46363</v>
      </c>
      <c r="H91">
        <v>89</v>
      </c>
      <c r="I91">
        <v>0</v>
      </c>
      <c r="K91" t="s">
        <v>56</v>
      </c>
      <c r="L91" t="s">
        <v>45</v>
      </c>
      <c r="M91" t="s">
        <v>239</v>
      </c>
      <c r="N91" t="s">
        <v>149</v>
      </c>
      <c r="O91" s="3">
        <v>46197</v>
      </c>
      <c r="P91" t="s">
        <v>38</v>
      </c>
      <c r="Q91">
        <v>91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>
        <v>91</v>
      </c>
      <c r="B92" t="s">
        <v>254</v>
      </c>
      <c r="C92" t="s">
        <v>77</v>
      </c>
      <c r="E92" t="s">
        <v>68</v>
      </c>
      <c r="F92" s="3">
        <v>46364</v>
      </c>
      <c r="G92" s="3">
        <v>46364</v>
      </c>
      <c r="H92">
        <v>90</v>
      </c>
      <c r="I92">
        <v>0</v>
      </c>
      <c r="K92" t="s">
        <v>56</v>
      </c>
      <c r="L92" t="s">
        <v>45</v>
      </c>
      <c r="M92" t="s">
        <v>239</v>
      </c>
      <c r="N92" t="s">
        <v>151</v>
      </c>
      <c r="O92" s="3">
        <v>46198</v>
      </c>
      <c r="P92" t="s">
        <v>38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>
        <v>92</v>
      </c>
      <c r="B93" t="s">
        <v>255</v>
      </c>
      <c r="C93" t="s">
        <v>256</v>
      </c>
      <c r="E93" t="s">
        <v>257</v>
      </c>
      <c r="F93" s="3">
        <v>46181</v>
      </c>
      <c r="G93" s="3">
        <v>46374</v>
      </c>
      <c r="I93">
        <v>0.38</v>
      </c>
      <c r="K93" t="s">
        <v>56</v>
      </c>
      <c r="L93" t="s">
        <v>45</v>
      </c>
      <c r="M93" t="s">
        <v>258</v>
      </c>
      <c r="N93" t="s">
        <v>161</v>
      </c>
      <c r="O93" s="3">
        <v>46211</v>
      </c>
      <c r="P93" t="s">
        <v>38</v>
      </c>
      <c r="U93">
        <v>0.38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>
        <v>93</v>
      </c>
      <c r="B94" t="s">
        <v>259</v>
      </c>
      <c r="C94" t="s">
        <v>260</v>
      </c>
      <c r="D94" t="s">
        <v>130</v>
      </c>
      <c r="E94" t="s">
        <v>131</v>
      </c>
      <c r="F94" s="3">
        <v>46181</v>
      </c>
      <c r="G94" s="3">
        <v>46191</v>
      </c>
      <c r="I94">
        <v>0.8</v>
      </c>
      <c r="K94" t="s">
        <v>56</v>
      </c>
      <c r="L94" t="s">
        <v>45</v>
      </c>
      <c r="M94" t="s">
        <v>258</v>
      </c>
      <c r="N94" t="s">
        <v>132</v>
      </c>
      <c r="O94" s="3">
        <v>46192</v>
      </c>
      <c r="P94" t="s">
        <v>38</v>
      </c>
      <c r="Q94" t="s">
        <v>261</v>
      </c>
      <c r="U94">
        <v>0.8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>
        <v>94</v>
      </c>
      <c r="B95" t="s">
        <v>262</v>
      </c>
      <c r="C95" t="s">
        <v>62</v>
      </c>
      <c r="E95" t="s">
        <v>177</v>
      </c>
      <c r="F95" s="3">
        <v>46181</v>
      </c>
      <c r="G95" s="3">
        <v>46188</v>
      </c>
      <c r="H95" t="s">
        <v>179</v>
      </c>
      <c r="I95">
        <v>1</v>
      </c>
      <c r="J95" s="1">
        <v>46188</v>
      </c>
      <c r="K95" t="s">
        <v>44</v>
      </c>
      <c r="L95" t="s">
        <v>45</v>
      </c>
      <c r="M95" t="s">
        <v>258</v>
      </c>
      <c r="N95" t="s">
        <v>132</v>
      </c>
      <c r="O95" s="3">
        <v>46188</v>
      </c>
      <c r="P95" t="s">
        <v>38</v>
      </c>
      <c r="Q95">
        <v>95</v>
      </c>
      <c r="U95">
        <v>1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</row>
    <row r="96" spans="1:32" x14ac:dyDescent="0.25">
      <c r="A96">
        <v>95</v>
      </c>
      <c r="B96" t="s">
        <v>263</v>
      </c>
      <c r="C96" t="s">
        <v>67</v>
      </c>
      <c r="E96" t="s">
        <v>68</v>
      </c>
      <c r="F96" s="3">
        <v>46188</v>
      </c>
      <c r="G96" s="3">
        <v>46188</v>
      </c>
      <c r="H96">
        <v>94</v>
      </c>
      <c r="I96">
        <v>1</v>
      </c>
      <c r="J96" s="1">
        <v>46188</v>
      </c>
      <c r="K96" t="s">
        <v>44</v>
      </c>
      <c r="L96" t="s">
        <v>45</v>
      </c>
      <c r="M96" t="s">
        <v>258</v>
      </c>
      <c r="N96" t="s">
        <v>123</v>
      </c>
      <c r="O96" s="3">
        <v>46189</v>
      </c>
      <c r="P96" t="s">
        <v>38</v>
      </c>
      <c r="Q96">
        <v>96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>
        <v>96</v>
      </c>
      <c r="B97" t="s">
        <v>264</v>
      </c>
      <c r="C97" t="s">
        <v>72</v>
      </c>
      <c r="E97" t="s">
        <v>63</v>
      </c>
      <c r="F97" s="3">
        <v>46189</v>
      </c>
      <c r="G97" s="3">
        <v>46190</v>
      </c>
      <c r="H97">
        <v>95</v>
      </c>
      <c r="I97">
        <v>0.5</v>
      </c>
      <c r="K97" t="s">
        <v>56</v>
      </c>
      <c r="L97" t="s">
        <v>45</v>
      </c>
      <c r="M97" t="s">
        <v>258</v>
      </c>
      <c r="N97" t="s">
        <v>138</v>
      </c>
      <c r="O97" s="3">
        <v>46191</v>
      </c>
      <c r="P97" t="s">
        <v>38</v>
      </c>
      <c r="Q97">
        <v>97</v>
      </c>
      <c r="U97">
        <v>0.5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>
        <v>97</v>
      </c>
      <c r="B98" t="s">
        <v>265</v>
      </c>
      <c r="C98" t="s">
        <v>77</v>
      </c>
      <c r="E98" t="s">
        <v>68</v>
      </c>
      <c r="F98" s="3">
        <v>46191</v>
      </c>
      <c r="G98" s="3">
        <v>46191</v>
      </c>
      <c r="H98">
        <v>96</v>
      </c>
      <c r="I98">
        <v>0</v>
      </c>
      <c r="K98" t="s">
        <v>56</v>
      </c>
      <c r="L98" t="s">
        <v>45</v>
      </c>
      <c r="M98" t="s">
        <v>258</v>
      </c>
      <c r="N98" t="s">
        <v>140</v>
      </c>
      <c r="O98" s="3">
        <v>46192</v>
      </c>
      <c r="P98" t="s">
        <v>38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>
        <v>98</v>
      </c>
      <c r="B99" t="s">
        <v>266</v>
      </c>
      <c r="C99" t="s">
        <v>267</v>
      </c>
      <c r="D99" t="s">
        <v>143</v>
      </c>
      <c r="E99" t="s">
        <v>268</v>
      </c>
      <c r="F99" s="3">
        <v>46360</v>
      </c>
      <c r="G99" s="3">
        <v>46374</v>
      </c>
      <c r="I99">
        <v>0</v>
      </c>
      <c r="K99" t="s">
        <v>56</v>
      </c>
      <c r="L99" t="s">
        <v>45</v>
      </c>
      <c r="M99" t="s">
        <v>258</v>
      </c>
      <c r="N99" t="s">
        <v>240</v>
      </c>
      <c r="O99" s="3">
        <v>46202</v>
      </c>
      <c r="P99" t="s">
        <v>38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>
        <v>99</v>
      </c>
      <c r="B100" t="s">
        <v>269</v>
      </c>
      <c r="C100" t="s">
        <v>62</v>
      </c>
      <c r="E100" t="s">
        <v>102</v>
      </c>
      <c r="F100" s="3">
        <v>46360</v>
      </c>
      <c r="G100" s="3">
        <v>46370</v>
      </c>
      <c r="H100" t="s">
        <v>270</v>
      </c>
      <c r="I100">
        <v>0</v>
      </c>
      <c r="K100" t="s">
        <v>56</v>
      </c>
      <c r="L100" t="s">
        <v>45</v>
      </c>
      <c r="M100" t="s">
        <v>258</v>
      </c>
      <c r="N100" t="s">
        <v>240</v>
      </c>
      <c r="O100" s="3">
        <v>46196</v>
      </c>
      <c r="P100" t="s">
        <v>38</v>
      </c>
      <c r="Q100">
        <v>100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>
        <v>100</v>
      </c>
      <c r="B101" t="s">
        <v>271</v>
      </c>
      <c r="C101" t="s">
        <v>67</v>
      </c>
      <c r="E101" t="s">
        <v>68</v>
      </c>
      <c r="F101" s="3">
        <v>46371</v>
      </c>
      <c r="G101" s="3">
        <v>46371</v>
      </c>
      <c r="H101">
        <v>99</v>
      </c>
      <c r="I101">
        <v>0</v>
      </c>
      <c r="K101" t="s">
        <v>56</v>
      </c>
      <c r="L101" t="s">
        <v>45</v>
      </c>
      <c r="M101" t="s">
        <v>258</v>
      </c>
      <c r="N101" t="s">
        <v>215</v>
      </c>
      <c r="O101" s="3">
        <v>46197</v>
      </c>
      <c r="P101" t="s">
        <v>38</v>
      </c>
      <c r="Q101">
        <v>101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>
        <v>101</v>
      </c>
      <c r="B102" t="s">
        <v>272</v>
      </c>
      <c r="C102" t="s">
        <v>72</v>
      </c>
      <c r="E102" t="s">
        <v>63</v>
      </c>
      <c r="F102" s="3">
        <v>46372</v>
      </c>
      <c r="G102" s="3">
        <v>46373</v>
      </c>
      <c r="H102">
        <v>100</v>
      </c>
      <c r="I102">
        <v>0</v>
      </c>
      <c r="K102" t="s">
        <v>56</v>
      </c>
      <c r="L102" t="s">
        <v>45</v>
      </c>
      <c r="M102" t="s">
        <v>258</v>
      </c>
      <c r="N102" t="s">
        <v>151</v>
      </c>
      <c r="O102" s="3">
        <v>46199</v>
      </c>
      <c r="P102" t="s">
        <v>38</v>
      </c>
      <c r="Q102">
        <v>102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>
        <v>102</v>
      </c>
      <c r="B103" t="s">
        <v>273</v>
      </c>
      <c r="C103" t="s">
        <v>77</v>
      </c>
      <c r="E103" t="s">
        <v>68</v>
      </c>
      <c r="F103" s="3">
        <v>46374</v>
      </c>
      <c r="G103" s="3">
        <v>46374</v>
      </c>
      <c r="H103">
        <v>101</v>
      </c>
      <c r="I103">
        <v>0</v>
      </c>
      <c r="K103" t="s">
        <v>56</v>
      </c>
      <c r="L103" t="s">
        <v>45</v>
      </c>
      <c r="M103" t="s">
        <v>258</v>
      </c>
      <c r="N103" t="s">
        <v>274</v>
      </c>
      <c r="O103" s="3">
        <v>46202</v>
      </c>
      <c r="P103" t="s">
        <v>38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>
        <v>103</v>
      </c>
      <c r="B104" t="s">
        <v>275</v>
      </c>
      <c r="C104" t="s">
        <v>276</v>
      </c>
      <c r="E104" t="s">
        <v>277</v>
      </c>
      <c r="F104" s="3">
        <v>46170</v>
      </c>
      <c r="G104" s="3">
        <v>46349</v>
      </c>
      <c r="I104">
        <v>0.18</v>
      </c>
      <c r="K104" t="s">
        <v>56</v>
      </c>
      <c r="L104" t="s">
        <v>45</v>
      </c>
      <c r="M104" t="s">
        <v>278</v>
      </c>
      <c r="N104" t="s">
        <v>159</v>
      </c>
      <c r="O104" s="3">
        <v>46211</v>
      </c>
      <c r="P104" t="s">
        <v>38</v>
      </c>
      <c r="U104">
        <v>0.18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>
        <v>104</v>
      </c>
      <c r="B105" t="s">
        <v>279</v>
      </c>
      <c r="C105" t="s">
        <v>280</v>
      </c>
      <c r="D105" t="s">
        <v>130</v>
      </c>
      <c r="E105" t="s">
        <v>155</v>
      </c>
      <c r="F105" s="3">
        <v>46170</v>
      </c>
      <c r="G105" s="3">
        <v>46176</v>
      </c>
      <c r="I105">
        <v>0.5</v>
      </c>
      <c r="K105" t="s">
        <v>56</v>
      </c>
      <c r="L105" t="s">
        <v>45</v>
      </c>
      <c r="M105" t="s">
        <v>278</v>
      </c>
      <c r="N105" t="s">
        <v>132</v>
      </c>
      <c r="O105" s="3">
        <v>46192</v>
      </c>
      <c r="P105" t="s">
        <v>38</v>
      </c>
      <c r="U105">
        <v>0.5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>
        <v>105</v>
      </c>
      <c r="B106" t="s">
        <v>281</v>
      </c>
      <c r="C106" t="s">
        <v>62</v>
      </c>
      <c r="E106" t="s">
        <v>43</v>
      </c>
      <c r="F106" s="3">
        <v>46170</v>
      </c>
      <c r="G106" s="3">
        <v>46170</v>
      </c>
      <c r="H106" t="s">
        <v>179</v>
      </c>
      <c r="I106">
        <v>1</v>
      </c>
      <c r="J106" s="1">
        <v>46170</v>
      </c>
      <c r="K106" t="s">
        <v>44</v>
      </c>
      <c r="L106" t="s">
        <v>45</v>
      </c>
      <c r="M106" t="s">
        <v>278</v>
      </c>
      <c r="N106" t="s">
        <v>132</v>
      </c>
      <c r="O106" s="3">
        <v>46188</v>
      </c>
      <c r="P106" t="s">
        <v>38</v>
      </c>
      <c r="Q106" t="s">
        <v>282</v>
      </c>
      <c r="U106">
        <v>1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</row>
    <row r="107" spans="1:32" x14ac:dyDescent="0.25">
      <c r="A107">
        <v>106</v>
      </c>
      <c r="B107" t="s">
        <v>283</v>
      </c>
      <c r="C107" t="s">
        <v>67</v>
      </c>
      <c r="E107" t="s">
        <v>68</v>
      </c>
      <c r="F107" s="3">
        <v>46171</v>
      </c>
      <c r="G107" s="3">
        <v>46171</v>
      </c>
      <c r="H107">
        <v>105</v>
      </c>
      <c r="I107">
        <v>1</v>
      </c>
      <c r="J107" s="1">
        <v>46171</v>
      </c>
      <c r="K107" t="s">
        <v>44</v>
      </c>
      <c r="L107" t="s">
        <v>45</v>
      </c>
      <c r="M107" t="s">
        <v>278</v>
      </c>
      <c r="N107" t="s">
        <v>123</v>
      </c>
      <c r="O107" s="3">
        <v>46189</v>
      </c>
      <c r="P107" t="s">
        <v>38</v>
      </c>
      <c r="Q107">
        <v>107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>
        <v>107</v>
      </c>
      <c r="B108" t="s">
        <v>284</v>
      </c>
      <c r="C108" t="s">
        <v>72</v>
      </c>
      <c r="E108" t="s">
        <v>63</v>
      </c>
      <c r="F108" s="3">
        <v>46174</v>
      </c>
      <c r="G108" s="3">
        <v>46175</v>
      </c>
      <c r="H108">
        <v>106</v>
      </c>
      <c r="I108">
        <v>0.5</v>
      </c>
      <c r="K108" t="s">
        <v>56</v>
      </c>
      <c r="L108" t="s">
        <v>45</v>
      </c>
      <c r="M108" t="s">
        <v>278</v>
      </c>
      <c r="N108" t="s">
        <v>138</v>
      </c>
      <c r="O108" s="3">
        <v>46191</v>
      </c>
      <c r="P108" t="s">
        <v>38</v>
      </c>
      <c r="Q108">
        <v>108</v>
      </c>
      <c r="U108">
        <v>0.5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>
        <v>108</v>
      </c>
      <c r="B109" t="s">
        <v>285</v>
      </c>
      <c r="C109" t="s">
        <v>77</v>
      </c>
      <c r="E109" t="s">
        <v>68</v>
      </c>
      <c r="F109" s="3">
        <v>46176</v>
      </c>
      <c r="G109" s="3">
        <v>46176</v>
      </c>
      <c r="H109">
        <v>107</v>
      </c>
      <c r="I109">
        <v>0</v>
      </c>
      <c r="K109" t="s">
        <v>56</v>
      </c>
      <c r="L109" t="s">
        <v>45</v>
      </c>
      <c r="M109" t="s">
        <v>278</v>
      </c>
      <c r="N109" t="s">
        <v>140</v>
      </c>
      <c r="O109" s="3">
        <v>46192</v>
      </c>
      <c r="P109" t="s">
        <v>38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>
        <v>109</v>
      </c>
      <c r="B110" t="s">
        <v>286</v>
      </c>
      <c r="C110" t="s">
        <v>287</v>
      </c>
      <c r="D110" t="s">
        <v>143</v>
      </c>
      <c r="E110" t="s">
        <v>102</v>
      </c>
      <c r="F110" s="3">
        <v>46339</v>
      </c>
      <c r="G110" s="3">
        <v>46349</v>
      </c>
      <c r="I110">
        <v>0</v>
      </c>
      <c r="K110" t="s">
        <v>56</v>
      </c>
      <c r="L110" t="s">
        <v>45</v>
      </c>
      <c r="M110" t="s">
        <v>278</v>
      </c>
      <c r="N110" t="s">
        <v>288</v>
      </c>
      <c r="O110" s="3">
        <v>46174</v>
      </c>
      <c r="P110" t="s">
        <v>38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>
        <v>110</v>
      </c>
      <c r="B111" t="s">
        <v>289</v>
      </c>
      <c r="C111" t="s">
        <v>62</v>
      </c>
      <c r="E111" t="s">
        <v>85</v>
      </c>
      <c r="F111" s="3">
        <v>46339</v>
      </c>
      <c r="G111" s="3">
        <v>46343</v>
      </c>
      <c r="H111" t="s">
        <v>290</v>
      </c>
      <c r="I111">
        <v>0</v>
      </c>
      <c r="K111" t="s">
        <v>56</v>
      </c>
      <c r="L111" t="s">
        <v>45</v>
      </c>
      <c r="M111" t="s">
        <v>278</v>
      </c>
      <c r="N111" t="s">
        <v>288</v>
      </c>
      <c r="O111" s="3">
        <v>46168</v>
      </c>
      <c r="P111" t="s">
        <v>38</v>
      </c>
      <c r="Q111">
        <v>111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>
        <v>111</v>
      </c>
      <c r="B112" t="s">
        <v>291</v>
      </c>
      <c r="C112" t="s">
        <v>67</v>
      </c>
      <c r="E112" t="s">
        <v>68</v>
      </c>
      <c r="F112" s="3">
        <v>46344</v>
      </c>
      <c r="G112" s="3">
        <v>46344</v>
      </c>
      <c r="H112">
        <v>110</v>
      </c>
      <c r="I112">
        <v>0</v>
      </c>
      <c r="K112" t="s">
        <v>56</v>
      </c>
      <c r="L112" t="s">
        <v>45</v>
      </c>
      <c r="M112" t="s">
        <v>278</v>
      </c>
      <c r="N112" t="s">
        <v>292</v>
      </c>
      <c r="O112" s="3">
        <v>46169</v>
      </c>
      <c r="P112" t="s">
        <v>38</v>
      </c>
      <c r="Q112">
        <v>112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>
        <v>112</v>
      </c>
      <c r="B113" t="s">
        <v>293</v>
      </c>
      <c r="C113" t="s">
        <v>72</v>
      </c>
      <c r="E113" t="s">
        <v>63</v>
      </c>
      <c r="F113" s="3">
        <v>46345</v>
      </c>
      <c r="G113" s="3">
        <v>46346</v>
      </c>
      <c r="H113">
        <v>111</v>
      </c>
      <c r="I113">
        <v>0</v>
      </c>
      <c r="K113" t="s">
        <v>56</v>
      </c>
      <c r="L113" t="s">
        <v>45</v>
      </c>
      <c r="M113" t="s">
        <v>278</v>
      </c>
      <c r="N113" t="s">
        <v>190</v>
      </c>
      <c r="O113" s="3">
        <v>46171</v>
      </c>
      <c r="P113" t="s">
        <v>38</v>
      </c>
      <c r="Q113">
        <v>113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>
        <v>113</v>
      </c>
      <c r="B114" t="s">
        <v>294</v>
      </c>
      <c r="C114" t="s">
        <v>77</v>
      </c>
      <c r="E114" t="s">
        <v>68</v>
      </c>
      <c r="F114" s="3">
        <v>46349</v>
      </c>
      <c r="G114" s="3">
        <v>46349</v>
      </c>
      <c r="H114">
        <v>112</v>
      </c>
      <c r="I114">
        <v>0</v>
      </c>
      <c r="K114" t="s">
        <v>56</v>
      </c>
      <c r="L114" t="s">
        <v>45</v>
      </c>
      <c r="M114" t="s">
        <v>278</v>
      </c>
      <c r="N114" t="s">
        <v>295</v>
      </c>
      <c r="O114" s="3">
        <v>46174</v>
      </c>
      <c r="P114" t="s">
        <v>38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>
        <v>114</v>
      </c>
      <c r="B115" t="s">
        <v>296</v>
      </c>
      <c r="C115" t="s">
        <v>297</v>
      </c>
      <c r="E115" t="s">
        <v>43</v>
      </c>
      <c r="F115" s="3">
        <v>46269</v>
      </c>
      <c r="G115" s="3">
        <v>46269</v>
      </c>
      <c r="I115">
        <v>0</v>
      </c>
      <c r="K115" t="s">
        <v>56</v>
      </c>
      <c r="L115" t="s">
        <v>45</v>
      </c>
      <c r="M115" t="s">
        <v>298</v>
      </c>
      <c r="N115" t="s">
        <v>147</v>
      </c>
      <c r="O115" s="3">
        <v>46211</v>
      </c>
      <c r="P115" t="s">
        <v>38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>
        <v>115</v>
      </c>
      <c r="B116" t="s">
        <v>299</v>
      </c>
      <c r="C116" t="s">
        <v>300</v>
      </c>
      <c r="E116" t="s">
        <v>43</v>
      </c>
      <c r="F116" s="3">
        <v>46269</v>
      </c>
      <c r="G116" s="3">
        <v>46269</v>
      </c>
      <c r="H116" t="s">
        <v>301</v>
      </c>
      <c r="I116">
        <v>0</v>
      </c>
      <c r="K116" t="s">
        <v>56</v>
      </c>
      <c r="L116" t="s">
        <v>45</v>
      </c>
      <c r="M116" t="s">
        <v>298</v>
      </c>
      <c r="N116" t="s">
        <v>302</v>
      </c>
      <c r="O116" s="3">
        <v>46272</v>
      </c>
      <c r="P116" t="s">
        <v>38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opLeftCell="B1" workbookViewId="0">
      <selection activeCell="I18" sqref="I18"/>
    </sheetView>
  </sheetViews>
  <sheetFormatPr defaultRowHeight="15" x14ac:dyDescent="0.25"/>
  <cols>
    <col min="1" max="1" width="11.7109375" customWidth="1"/>
    <col min="2" max="2" width="24.140625" customWidth="1"/>
    <col min="3" max="3" width="26.5703125" customWidth="1"/>
    <col min="4" max="4" width="23.28515625" customWidth="1"/>
    <col min="5" max="5" width="29.5703125" customWidth="1"/>
    <col min="6" max="6" width="37.140625" customWidth="1"/>
    <col min="7" max="7" width="21.140625" customWidth="1"/>
  </cols>
  <sheetData>
    <row r="1" spans="1:8" x14ac:dyDescent="0.25">
      <c r="A1" t="s">
        <v>303</v>
      </c>
      <c r="B1">
        <v>20</v>
      </c>
    </row>
    <row r="2" spans="1:8" x14ac:dyDescent="0.25">
      <c r="A2" t="s">
        <v>304</v>
      </c>
      <c r="B2" s="2">
        <v>0.52941176470588236</v>
      </c>
    </row>
    <row r="3" spans="1:8" x14ac:dyDescent="0.25">
      <c r="A3" t="s">
        <v>12</v>
      </c>
      <c r="B3" t="s">
        <v>21</v>
      </c>
      <c r="C3" t="s">
        <v>22</v>
      </c>
      <c r="D3" t="s">
        <v>305</v>
      </c>
      <c r="E3" t="s">
        <v>25</v>
      </c>
      <c r="F3" t="s">
        <v>27</v>
      </c>
      <c r="G3" t="s">
        <v>29</v>
      </c>
      <c r="H3" t="s">
        <v>306</v>
      </c>
    </row>
    <row r="4" spans="1:8" x14ac:dyDescent="0.25">
      <c r="A4" t="s">
        <v>278</v>
      </c>
      <c r="B4">
        <v>2</v>
      </c>
      <c r="C4">
        <v>1</v>
      </c>
      <c r="D4" s="2">
        <v>0.5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298</v>
      </c>
      <c r="B5">
        <v>0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 x14ac:dyDescent="0.25">
      <c r="A6" t="s">
        <v>98</v>
      </c>
      <c r="B6">
        <v>2</v>
      </c>
      <c r="C6">
        <v>1</v>
      </c>
      <c r="D6" s="2">
        <v>0.5</v>
      </c>
      <c r="E6">
        <v>0</v>
      </c>
      <c r="F6">
        <v>0</v>
      </c>
      <c r="G6">
        <v>0</v>
      </c>
      <c r="H6" s="2">
        <v>0</v>
      </c>
    </row>
    <row r="7" spans="1:8" x14ac:dyDescent="0.25">
      <c r="A7" t="s">
        <v>258</v>
      </c>
      <c r="B7">
        <v>2</v>
      </c>
      <c r="C7">
        <v>1</v>
      </c>
      <c r="D7" s="2">
        <v>0.5</v>
      </c>
      <c r="E7">
        <v>0</v>
      </c>
      <c r="F7">
        <v>0</v>
      </c>
      <c r="G7">
        <v>0</v>
      </c>
      <c r="H7" s="2">
        <v>0</v>
      </c>
    </row>
    <row r="8" spans="1:8" x14ac:dyDescent="0.25">
      <c r="A8" t="s">
        <v>239</v>
      </c>
      <c r="B8">
        <v>2</v>
      </c>
      <c r="C8">
        <v>0</v>
      </c>
      <c r="D8" s="2">
        <v>0</v>
      </c>
      <c r="E8">
        <v>0</v>
      </c>
      <c r="F8">
        <v>0</v>
      </c>
      <c r="G8">
        <v>0</v>
      </c>
      <c r="H8" s="2">
        <v>0</v>
      </c>
    </row>
    <row r="9" spans="1:8" x14ac:dyDescent="0.25">
      <c r="A9" t="s">
        <v>36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 x14ac:dyDescent="0.25">
      <c r="A10" t="s">
        <v>174</v>
      </c>
      <c r="B10">
        <v>2</v>
      </c>
      <c r="C10">
        <v>1</v>
      </c>
      <c r="D10" s="2">
        <v>0.5</v>
      </c>
      <c r="E10">
        <v>0</v>
      </c>
      <c r="F10">
        <v>0</v>
      </c>
      <c r="G10">
        <v>0</v>
      </c>
      <c r="H10" s="2">
        <v>0</v>
      </c>
    </row>
    <row r="11" spans="1:8" x14ac:dyDescent="0.25">
      <c r="A11" t="s">
        <v>49</v>
      </c>
      <c r="B11">
        <v>0</v>
      </c>
      <c r="C11">
        <v>0</v>
      </c>
      <c r="D11" s="2">
        <v>0</v>
      </c>
      <c r="E11">
        <v>0</v>
      </c>
      <c r="F11">
        <v>0</v>
      </c>
      <c r="G11">
        <v>0</v>
      </c>
      <c r="H11" s="2">
        <v>0</v>
      </c>
    </row>
    <row r="12" spans="1:8" x14ac:dyDescent="0.25">
      <c r="A12" t="s">
        <v>57</v>
      </c>
      <c r="B12">
        <v>2</v>
      </c>
      <c r="C12">
        <v>2</v>
      </c>
      <c r="D12" s="2">
        <v>1</v>
      </c>
      <c r="E12">
        <v>0</v>
      </c>
      <c r="F12">
        <v>0</v>
      </c>
      <c r="G12">
        <v>0</v>
      </c>
      <c r="H12" s="2">
        <v>0</v>
      </c>
    </row>
    <row r="13" spans="1:8" x14ac:dyDescent="0.25">
      <c r="A13" t="s">
        <v>127</v>
      </c>
      <c r="B13">
        <v>4</v>
      </c>
      <c r="C13">
        <v>2</v>
      </c>
      <c r="D13" s="2">
        <v>0.5</v>
      </c>
      <c r="E13">
        <v>0</v>
      </c>
      <c r="F13">
        <v>0</v>
      </c>
      <c r="G13">
        <v>0</v>
      </c>
      <c r="H13" s="2">
        <v>0</v>
      </c>
    </row>
    <row r="14" spans="1:8" x14ac:dyDescent="0.25">
      <c r="A14" t="s">
        <v>198</v>
      </c>
      <c r="B14">
        <v>4</v>
      </c>
      <c r="C14">
        <v>1</v>
      </c>
      <c r="D14" s="2">
        <v>0.25</v>
      </c>
      <c r="E14">
        <v>0</v>
      </c>
      <c r="F14">
        <v>0</v>
      </c>
      <c r="G14">
        <v>1</v>
      </c>
      <c r="H14" s="2">
        <v>0.25</v>
      </c>
    </row>
    <row r="15" spans="1:8" x14ac:dyDescent="0.25">
      <c r="A15" t="s">
        <v>322</v>
      </c>
      <c r="B15">
        <f>SUBTOTAL(109,Tabela2[Emissão inicial total])</f>
        <v>20</v>
      </c>
      <c r="C15">
        <f>SUBTOTAL(109,Tabela2[Emissão inicial concluída])</f>
        <v>9</v>
      </c>
      <c r="D15" s="2"/>
      <c r="E15">
        <f>SUBTOTAL(109,Tabela2[Avaliação do cliente concluída])</f>
        <v>0</v>
      </c>
      <c r="F15">
        <f>SUBTOTAL(109,Tabela2[Atendimento de comentário concluído])</f>
        <v>0</v>
      </c>
      <c r="G15">
        <f>SUBTOTAL(109,Tabela2[Aprovação concluída])</f>
        <v>1</v>
      </c>
      <c r="H15" s="2"/>
    </row>
    <row r="20" spans="1:5" x14ac:dyDescent="0.25">
      <c r="A20" t="s">
        <v>12</v>
      </c>
      <c r="B20" t="s">
        <v>23</v>
      </c>
      <c r="C20" t="s">
        <v>26</v>
      </c>
      <c r="D20" t="s">
        <v>28</v>
      </c>
      <c r="E20" t="s">
        <v>30</v>
      </c>
    </row>
    <row r="21" spans="1:5" x14ac:dyDescent="0.25">
      <c r="A21" t="s">
        <v>278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298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98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258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239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36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174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49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57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127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198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s="4" t="s">
        <v>322</v>
      </c>
      <c r="B32" s="4">
        <f t="shared" ref="B32:E32" si="0">SUM(B21:B31)</f>
        <v>0</v>
      </c>
      <c r="C32" s="4">
        <f t="shared" si="0"/>
        <v>0</v>
      </c>
      <c r="D32" s="4">
        <f t="shared" si="0"/>
        <v>0</v>
      </c>
      <c r="E32" s="4">
        <f t="shared" si="0"/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3"/>
  <sheetViews>
    <sheetView topLeftCell="A148" workbookViewId="0">
      <selection activeCell="L20" sqref="L20"/>
    </sheetView>
  </sheetViews>
  <sheetFormatPr defaultColWidth="10.7109375" defaultRowHeight="15" x14ac:dyDescent="0.25"/>
  <cols>
    <col min="1" max="1" width="10.7109375" style="8"/>
    <col min="2" max="9" width="10.7109375" style="7"/>
    <col min="10" max="11" width="10.7109375" style="10"/>
    <col min="12" max="12" width="10.7109375" style="7"/>
    <col min="13" max="13" width="10.7109375" style="10"/>
    <col min="14" max="16384" width="10.7109375" style="7"/>
  </cols>
  <sheetData>
    <row r="1" spans="1:15" ht="60" x14ac:dyDescent="0.25">
      <c r="A1" s="5" t="s">
        <v>307</v>
      </c>
      <c r="B1" s="6" t="s">
        <v>308</v>
      </c>
      <c r="C1" s="6" t="s">
        <v>309</v>
      </c>
      <c r="D1" s="6" t="s">
        <v>310</v>
      </c>
      <c r="E1" s="6" t="s">
        <v>311</v>
      </c>
      <c r="F1" s="6" t="s">
        <v>312</v>
      </c>
      <c r="G1" s="6" t="s">
        <v>313</v>
      </c>
      <c r="H1" s="6" t="s">
        <v>314</v>
      </c>
      <c r="I1" s="6" t="s">
        <v>315</v>
      </c>
      <c r="J1" s="9" t="s">
        <v>316</v>
      </c>
      <c r="K1" s="9" t="s">
        <v>317</v>
      </c>
      <c r="L1" s="6" t="s">
        <v>318</v>
      </c>
      <c r="M1" s="9" t="s">
        <v>319</v>
      </c>
      <c r="N1" s="6" t="s">
        <v>320</v>
      </c>
      <c r="O1" s="6" t="s">
        <v>321</v>
      </c>
    </row>
    <row r="2" spans="1:15" x14ac:dyDescent="0.25">
      <c r="A2" s="5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9">
        <v>0</v>
      </c>
      <c r="K2" s="9">
        <v>0</v>
      </c>
      <c r="L2" s="6">
        <v>0</v>
      </c>
      <c r="M2" s="9">
        <v>0</v>
      </c>
      <c r="N2" s="6">
        <v>0</v>
      </c>
      <c r="O2" s="6">
        <v>0</v>
      </c>
    </row>
    <row r="3" spans="1:15" x14ac:dyDescent="0.25">
      <c r="A3" s="5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9">
        <v>0</v>
      </c>
      <c r="K3" s="9">
        <v>0</v>
      </c>
      <c r="L3" s="6">
        <v>0</v>
      </c>
      <c r="M3" s="9">
        <v>0</v>
      </c>
      <c r="N3" s="6">
        <v>0</v>
      </c>
      <c r="O3" s="6">
        <v>0</v>
      </c>
    </row>
    <row r="4" spans="1:15" x14ac:dyDescent="0.25">
      <c r="A4" s="5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9">
        <v>0</v>
      </c>
      <c r="K4" s="9">
        <v>0</v>
      </c>
      <c r="L4" s="6">
        <v>0</v>
      </c>
      <c r="M4" s="9">
        <v>0</v>
      </c>
      <c r="N4" s="6">
        <v>0</v>
      </c>
      <c r="O4" s="6">
        <v>0</v>
      </c>
    </row>
    <row r="5" spans="1:15" x14ac:dyDescent="0.25">
      <c r="A5" s="5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9">
        <v>0</v>
      </c>
      <c r="K5" s="9">
        <v>0</v>
      </c>
      <c r="L5" s="6">
        <v>0</v>
      </c>
      <c r="M5" s="9">
        <v>0</v>
      </c>
      <c r="N5" s="6">
        <v>0</v>
      </c>
      <c r="O5" s="6">
        <v>0</v>
      </c>
    </row>
    <row r="6" spans="1:15" x14ac:dyDescent="0.25">
      <c r="A6" s="5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9">
        <v>0</v>
      </c>
      <c r="K6" s="9">
        <v>0</v>
      </c>
      <c r="L6" s="6">
        <v>0</v>
      </c>
      <c r="M6" s="9">
        <v>0</v>
      </c>
      <c r="N6" s="6">
        <v>0</v>
      </c>
      <c r="O6" s="6">
        <v>0</v>
      </c>
    </row>
    <row r="7" spans="1:15" x14ac:dyDescent="0.25">
      <c r="A7" s="5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9">
        <v>0</v>
      </c>
      <c r="K7" s="9">
        <v>0</v>
      </c>
      <c r="L7" s="6">
        <v>0</v>
      </c>
      <c r="M7" s="9">
        <v>0</v>
      </c>
      <c r="N7" s="6">
        <v>0</v>
      </c>
      <c r="O7" s="6">
        <v>0</v>
      </c>
    </row>
    <row r="8" spans="1:15" x14ac:dyDescent="0.25">
      <c r="A8" s="5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9">
        <v>0</v>
      </c>
      <c r="K8" s="9">
        <v>0</v>
      </c>
      <c r="L8" s="6">
        <v>0</v>
      </c>
      <c r="M8" s="9">
        <v>0</v>
      </c>
      <c r="N8" s="6">
        <v>0</v>
      </c>
      <c r="O8" s="6">
        <v>0</v>
      </c>
    </row>
    <row r="9" spans="1:15" x14ac:dyDescent="0.25">
      <c r="A9" s="5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9">
        <v>0</v>
      </c>
      <c r="K9" s="9">
        <v>0</v>
      </c>
      <c r="L9" s="6">
        <v>0</v>
      </c>
      <c r="M9" s="9">
        <v>0</v>
      </c>
      <c r="N9" s="6">
        <v>0</v>
      </c>
      <c r="O9" s="6">
        <v>0</v>
      </c>
    </row>
    <row r="10" spans="1:15" x14ac:dyDescent="0.25">
      <c r="A10" s="5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9">
        <v>0</v>
      </c>
      <c r="K10" s="9">
        <v>0</v>
      </c>
      <c r="L10" s="6">
        <v>0</v>
      </c>
      <c r="M10" s="9">
        <v>0</v>
      </c>
      <c r="N10" s="6">
        <v>0</v>
      </c>
      <c r="O10" s="6">
        <v>0</v>
      </c>
    </row>
    <row r="11" spans="1:15" x14ac:dyDescent="0.25">
      <c r="A11" s="5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9">
        <v>0</v>
      </c>
      <c r="K11" s="9">
        <v>0</v>
      </c>
      <c r="L11" s="6">
        <v>0</v>
      </c>
      <c r="M11" s="9">
        <v>0</v>
      </c>
      <c r="N11" s="6">
        <v>0</v>
      </c>
      <c r="O11" s="6">
        <v>0</v>
      </c>
    </row>
    <row r="12" spans="1:15" x14ac:dyDescent="0.25">
      <c r="A12" s="5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9">
        <v>0</v>
      </c>
      <c r="K12" s="9">
        <v>0</v>
      </c>
      <c r="L12" s="6">
        <v>0</v>
      </c>
      <c r="M12" s="9">
        <v>0</v>
      </c>
      <c r="N12" s="6">
        <v>0</v>
      </c>
      <c r="O12" s="6">
        <v>0</v>
      </c>
    </row>
    <row r="13" spans="1:15" x14ac:dyDescent="0.25">
      <c r="A13" s="5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9">
        <v>0</v>
      </c>
      <c r="K13" s="9">
        <v>0</v>
      </c>
      <c r="L13" s="6">
        <v>0</v>
      </c>
      <c r="M13" s="9">
        <v>0</v>
      </c>
      <c r="N13" s="6">
        <v>0</v>
      </c>
      <c r="O13" s="6">
        <v>0</v>
      </c>
    </row>
    <row r="14" spans="1:15" x14ac:dyDescent="0.25">
      <c r="A14" s="5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9">
        <v>0</v>
      </c>
      <c r="K14" s="9">
        <v>0</v>
      </c>
      <c r="L14" s="6">
        <v>0</v>
      </c>
      <c r="M14" s="9">
        <v>0</v>
      </c>
      <c r="N14" s="6">
        <v>0</v>
      </c>
      <c r="O14" s="6">
        <v>0</v>
      </c>
    </row>
    <row r="15" spans="1:15" x14ac:dyDescent="0.25">
      <c r="A15" s="5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9">
        <v>0</v>
      </c>
      <c r="K15" s="9">
        <v>0</v>
      </c>
      <c r="L15" s="6">
        <v>0</v>
      </c>
      <c r="M15" s="9">
        <v>0</v>
      </c>
      <c r="N15" s="6">
        <v>0</v>
      </c>
      <c r="O15" s="6">
        <v>0</v>
      </c>
    </row>
    <row r="16" spans="1:15" x14ac:dyDescent="0.25">
      <c r="A16" s="5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9">
        <v>0</v>
      </c>
      <c r="K16" s="9">
        <v>0</v>
      </c>
      <c r="L16" s="6">
        <v>0</v>
      </c>
      <c r="M16" s="9">
        <v>0</v>
      </c>
      <c r="N16" s="6">
        <v>0</v>
      </c>
      <c r="O16" s="6">
        <v>0</v>
      </c>
    </row>
    <row r="17" spans="1:15" x14ac:dyDescent="0.25">
      <c r="A17" s="5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9">
        <v>0</v>
      </c>
      <c r="K17" s="9">
        <v>0</v>
      </c>
      <c r="L17" s="6">
        <v>0</v>
      </c>
      <c r="M17" s="9">
        <v>0</v>
      </c>
      <c r="N17" s="6">
        <v>0</v>
      </c>
      <c r="O17" s="6">
        <v>0</v>
      </c>
    </row>
    <row r="18" spans="1:15" x14ac:dyDescent="0.25">
      <c r="A18" s="5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9">
        <v>0</v>
      </c>
      <c r="K18" s="9">
        <v>0</v>
      </c>
      <c r="L18" s="6">
        <v>0</v>
      </c>
      <c r="M18" s="9">
        <v>0</v>
      </c>
      <c r="N18" s="6">
        <v>0</v>
      </c>
      <c r="O18" s="6">
        <v>0</v>
      </c>
    </row>
    <row r="19" spans="1:15" x14ac:dyDescent="0.25">
      <c r="A19" s="5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9">
        <v>0</v>
      </c>
      <c r="K19" s="9">
        <v>0</v>
      </c>
      <c r="L19" s="6">
        <v>0</v>
      </c>
      <c r="M19" s="9">
        <v>0</v>
      </c>
      <c r="N19" s="6">
        <v>0</v>
      </c>
      <c r="O19" s="6">
        <v>0</v>
      </c>
    </row>
    <row r="20" spans="1:15" x14ac:dyDescent="0.25">
      <c r="A20" s="5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9">
        <v>0</v>
      </c>
      <c r="K20" s="9">
        <v>0</v>
      </c>
      <c r="L20" s="6">
        <v>0</v>
      </c>
      <c r="M20" s="9">
        <v>0</v>
      </c>
      <c r="N20" s="6">
        <v>0</v>
      </c>
      <c r="O20" s="6">
        <v>0</v>
      </c>
    </row>
    <row r="21" spans="1:15" x14ac:dyDescent="0.25">
      <c r="A21" s="5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9">
        <v>0</v>
      </c>
      <c r="K21" s="9">
        <v>0</v>
      </c>
      <c r="L21" s="6">
        <v>0</v>
      </c>
      <c r="M21" s="9">
        <v>0</v>
      </c>
      <c r="N21" s="6">
        <v>0</v>
      </c>
      <c r="O21" s="6">
        <v>0</v>
      </c>
    </row>
    <row r="22" spans="1:15" x14ac:dyDescent="0.25">
      <c r="A22" s="5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9">
        <v>0</v>
      </c>
      <c r="K22" s="9">
        <v>0</v>
      </c>
      <c r="L22" s="6">
        <v>0</v>
      </c>
      <c r="M22" s="9">
        <v>0</v>
      </c>
      <c r="N22" s="6">
        <v>0</v>
      </c>
      <c r="O22" s="6">
        <v>0</v>
      </c>
    </row>
    <row r="23" spans="1:15" x14ac:dyDescent="0.25">
      <c r="A23" s="5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9">
        <v>0</v>
      </c>
      <c r="K23" s="9">
        <v>0</v>
      </c>
      <c r="L23" s="6">
        <v>0</v>
      </c>
      <c r="M23" s="9">
        <v>0</v>
      </c>
      <c r="N23" s="6">
        <v>0</v>
      </c>
      <c r="O23" s="6">
        <v>0</v>
      </c>
    </row>
    <row r="24" spans="1:15" x14ac:dyDescent="0.25">
      <c r="A24" s="5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9">
        <v>0</v>
      </c>
      <c r="K24" s="9">
        <v>0</v>
      </c>
      <c r="L24" s="6">
        <v>0</v>
      </c>
      <c r="M24" s="9">
        <v>0</v>
      </c>
      <c r="N24" s="6">
        <v>0</v>
      </c>
      <c r="O24" s="6">
        <v>0</v>
      </c>
    </row>
    <row r="25" spans="1:15" x14ac:dyDescent="0.25">
      <c r="A25" s="5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9">
        <v>0</v>
      </c>
      <c r="K25" s="9">
        <v>0</v>
      </c>
      <c r="L25" s="6">
        <v>0</v>
      </c>
      <c r="M25" s="9">
        <v>0</v>
      </c>
      <c r="N25" s="6">
        <v>0</v>
      </c>
      <c r="O25" s="6">
        <v>0</v>
      </c>
    </row>
    <row r="26" spans="1:15" x14ac:dyDescent="0.25">
      <c r="A26" s="5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9">
        <v>0</v>
      </c>
      <c r="K26" s="9">
        <v>0</v>
      </c>
      <c r="L26" s="6">
        <v>0</v>
      </c>
      <c r="M26" s="9">
        <v>0</v>
      </c>
      <c r="N26" s="6">
        <v>0</v>
      </c>
      <c r="O26" s="6">
        <v>0</v>
      </c>
    </row>
    <row r="27" spans="1:15" x14ac:dyDescent="0.25">
      <c r="A27" s="5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9">
        <v>0</v>
      </c>
      <c r="K27" s="9">
        <v>0</v>
      </c>
      <c r="L27" s="6">
        <v>0</v>
      </c>
      <c r="M27" s="9">
        <v>0</v>
      </c>
      <c r="N27" s="6">
        <v>0</v>
      </c>
      <c r="O27" s="6">
        <v>0</v>
      </c>
    </row>
    <row r="28" spans="1:15" x14ac:dyDescent="0.25">
      <c r="A28" s="5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9">
        <v>0</v>
      </c>
      <c r="K28" s="9">
        <v>0</v>
      </c>
      <c r="L28" s="6">
        <v>0</v>
      </c>
      <c r="M28" s="9">
        <v>0</v>
      </c>
      <c r="N28" s="6">
        <v>0</v>
      </c>
      <c r="O28" s="6">
        <v>0</v>
      </c>
    </row>
    <row r="29" spans="1:15" x14ac:dyDescent="0.25">
      <c r="A29" s="5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9">
        <v>0</v>
      </c>
      <c r="K29" s="9">
        <v>0</v>
      </c>
      <c r="L29" s="6">
        <v>0</v>
      </c>
      <c r="M29" s="9">
        <v>0</v>
      </c>
      <c r="N29" s="6">
        <v>0</v>
      </c>
      <c r="O29" s="6">
        <v>0</v>
      </c>
    </row>
    <row r="30" spans="1:15" x14ac:dyDescent="0.25">
      <c r="A30" s="5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9">
        <v>0</v>
      </c>
      <c r="K30" s="9">
        <v>0</v>
      </c>
      <c r="L30" s="6">
        <v>0</v>
      </c>
      <c r="M30" s="9">
        <v>0</v>
      </c>
      <c r="N30" s="6">
        <v>0</v>
      </c>
      <c r="O30" s="6">
        <v>0</v>
      </c>
    </row>
    <row r="31" spans="1:15" x14ac:dyDescent="0.25">
      <c r="A31" s="5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9">
        <v>0</v>
      </c>
      <c r="K31" s="9">
        <v>0</v>
      </c>
      <c r="L31" s="6">
        <v>0</v>
      </c>
      <c r="M31" s="9">
        <v>0</v>
      </c>
      <c r="N31" s="6">
        <v>0</v>
      </c>
      <c r="O31" s="6">
        <v>0</v>
      </c>
    </row>
    <row r="32" spans="1:15" x14ac:dyDescent="0.25">
      <c r="A32" s="5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9">
        <v>0</v>
      </c>
      <c r="K32" s="9">
        <v>0</v>
      </c>
      <c r="L32" s="6">
        <v>0</v>
      </c>
      <c r="M32" s="9">
        <v>0</v>
      </c>
      <c r="N32" s="6">
        <v>0</v>
      </c>
      <c r="O32" s="6">
        <v>0</v>
      </c>
    </row>
    <row r="33" spans="1:15" x14ac:dyDescent="0.25">
      <c r="A33" s="5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9">
        <v>0</v>
      </c>
      <c r="K33" s="9">
        <v>0</v>
      </c>
      <c r="L33" s="6">
        <v>0</v>
      </c>
      <c r="M33" s="9">
        <v>0</v>
      </c>
      <c r="N33" s="6">
        <v>0</v>
      </c>
      <c r="O33" s="6">
        <v>0</v>
      </c>
    </row>
    <row r="34" spans="1:15" x14ac:dyDescent="0.25">
      <c r="A34" s="5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9">
        <v>0</v>
      </c>
      <c r="K34" s="9">
        <v>0</v>
      </c>
      <c r="L34" s="6">
        <v>0</v>
      </c>
      <c r="M34" s="9">
        <v>0</v>
      </c>
      <c r="N34" s="6">
        <v>0</v>
      </c>
      <c r="O34" s="6">
        <v>0</v>
      </c>
    </row>
    <row r="35" spans="1:15" x14ac:dyDescent="0.25">
      <c r="A35" s="5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9">
        <v>0</v>
      </c>
      <c r="K35" s="9">
        <v>0</v>
      </c>
      <c r="L35" s="6">
        <v>0</v>
      </c>
      <c r="M35" s="9">
        <v>0</v>
      </c>
      <c r="N35" s="6">
        <v>0</v>
      </c>
      <c r="O35" s="6">
        <v>0</v>
      </c>
    </row>
    <row r="36" spans="1:15" x14ac:dyDescent="0.25">
      <c r="A36" s="5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9">
        <v>0</v>
      </c>
      <c r="K36" s="9">
        <v>0</v>
      </c>
      <c r="L36" s="6">
        <v>0</v>
      </c>
      <c r="M36" s="9">
        <v>0</v>
      </c>
      <c r="N36" s="6">
        <v>0</v>
      </c>
      <c r="O36" s="6">
        <v>0</v>
      </c>
    </row>
    <row r="37" spans="1:15" x14ac:dyDescent="0.25">
      <c r="A37" s="5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9">
        <v>0</v>
      </c>
      <c r="K37" s="9">
        <v>0</v>
      </c>
      <c r="L37" s="6">
        <v>0</v>
      </c>
      <c r="M37" s="9">
        <v>0</v>
      </c>
      <c r="N37" s="6">
        <v>0</v>
      </c>
      <c r="O37" s="6">
        <v>0</v>
      </c>
    </row>
    <row r="38" spans="1:15" x14ac:dyDescent="0.25">
      <c r="A38" s="5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9">
        <v>0</v>
      </c>
      <c r="K38" s="9">
        <v>0</v>
      </c>
      <c r="L38" s="6">
        <v>0</v>
      </c>
      <c r="M38" s="9">
        <v>0</v>
      </c>
      <c r="N38" s="6">
        <v>0</v>
      </c>
      <c r="O38" s="6">
        <v>0</v>
      </c>
    </row>
    <row r="39" spans="1:15" x14ac:dyDescent="0.25">
      <c r="A39" s="5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9">
        <v>0</v>
      </c>
      <c r="K39" s="9">
        <v>0</v>
      </c>
      <c r="L39" s="6">
        <v>0</v>
      </c>
      <c r="M39" s="9">
        <v>0</v>
      </c>
      <c r="N39" s="6">
        <v>0</v>
      </c>
      <c r="O39" s="6">
        <v>0</v>
      </c>
    </row>
    <row r="40" spans="1:15" x14ac:dyDescent="0.25">
      <c r="A40" s="5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9">
        <v>0</v>
      </c>
      <c r="K40" s="9">
        <v>0</v>
      </c>
      <c r="L40" s="6">
        <v>0</v>
      </c>
      <c r="M40" s="9">
        <v>0</v>
      </c>
      <c r="N40" s="6">
        <v>0</v>
      </c>
      <c r="O40" s="6">
        <v>0</v>
      </c>
    </row>
    <row r="41" spans="1:15" x14ac:dyDescent="0.25">
      <c r="A41" s="5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9">
        <v>0</v>
      </c>
      <c r="K41" s="9">
        <v>0</v>
      </c>
      <c r="L41" s="6">
        <v>0</v>
      </c>
      <c r="M41" s="9">
        <v>0</v>
      </c>
      <c r="N41" s="6">
        <v>0</v>
      </c>
      <c r="O41" s="6">
        <v>0</v>
      </c>
    </row>
    <row r="42" spans="1:15" x14ac:dyDescent="0.25">
      <c r="A42" s="5">
        <v>46141</v>
      </c>
      <c r="B42" s="6">
        <v>2</v>
      </c>
      <c r="C42" s="6">
        <v>2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9">
        <v>0.1</v>
      </c>
      <c r="K42" s="9">
        <v>0</v>
      </c>
      <c r="L42" s="6">
        <v>-1</v>
      </c>
      <c r="M42" s="9">
        <v>0</v>
      </c>
      <c r="N42" s="6">
        <v>0</v>
      </c>
      <c r="O42" s="6">
        <v>0</v>
      </c>
    </row>
    <row r="43" spans="1:15" x14ac:dyDescent="0.25">
      <c r="A43" s="5">
        <v>46142</v>
      </c>
      <c r="B43" s="6">
        <v>0</v>
      </c>
      <c r="C43" s="6">
        <v>2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9">
        <v>0.1</v>
      </c>
      <c r="K43" s="9">
        <v>0</v>
      </c>
      <c r="L43" s="6">
        <v>-1</v>
      </c>
      <c r="M43" s="9">
        <v>0</v>
      </c>
      <c r="N43" s="6">
        <v>0</v>
      </c>
      <c r="O43" s="6">
        <v>0</v>
      </c>
    </row>
    <row r="44" spans="1:15" x14ac:dyDescent="0.25">
      <c r="A44" s="5">
        <v>46143</v>
      </c>
      <c r="B44" s="6">
        <v>0</v>
      </c>
      <c r="C44" s="6">
        <v>2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9">
        <v>0.1</v>
      </c>
      <c r="K44" s="9">
        <v>0</v>
      </c>
      <c r="L44" s="6">
        <v>-1</v>
      </c>
      <c r="M44" s="9">
        <v>0</v>
      </c>
      <c r="N44" s="6">
        <v>0</v>
      </c>
      <c r="O44" s="6">
        <v>0</v>
      </c>
    </row>
    <row r="45" spans="1:15" x14ac:dyDescent="0.25">
      <c r="A45" s="5">
        <v>46144</v>
      </c>
      <c r="B45" s="6">
        <v>0</v>
      </c>
      <c r="C45" s="6">
        <v>2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9">
        <v>0.1</v>
      </c>
      <c r="K45" s="9">
        <v>0</v>
      </c>
      <c r="L45" s="6">
        <v>-1</v>
      </c>
      <c r="M45" s="9">
        <v>0</v>
      </c>
      <c r="N45" s="6">
        <v>0</v>
      </c>
      <c r="O45" s="6">
        <v>0</v>
      </c>
    </row>
    <row r="46" spans="1:15" x14ac:dyDescent="0.25">
      <c r="A46" s="5">
        <v>46145</v>
      </c>
      <c r="B46" s="6">
        <v>0</v>
      </c>
      <c r="C46" s="6">
        <v>2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9">
        <v>0.1</v>
      </c>
      <c r="K46" s="9">
        <v>0</v>
      </c>
      <c r="L46" s="6">
        <v>-1</v>
      </c>
      <c r="M46" s="9">
        <v>0</v>
      </c>
      <c r="N46" s="6">
        <v>0</v>
      </c>
      <c r="O46" s="6">
        <v>0</v>
      </c>
    </row>
    <row r="47" spans="1:15" x14ac:dyDescent="0.25">
      <c r="A47" s="5">
        <v>46146</v>
      </c>
      <c r="B47" s="6">
        <v>1</v>
      </c>
      <c r="C47" s="6">
        <v>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9">
        <v>0.15</v>
      </c>
      <c r="K47" s="9">
        <v>0</v>
      </c>
      <c r="L47" s="6">
        <v>-1</v>
      </c>
      <c r="M47" s="9">
        <v>0</v>
      </c>
      <c r="N47" s="6">
        <v>0</v>
      </c>
      <c r="O47" s="6">
        <v>0</v>
      </c>
    </row>
    <row r="48" spans="1:15" x14ac:dyDescent="0.25">
      <c r="A48" s="5">
        <v>46147</v>
      </c>
      <c r="B48" s="6">
        <v>0</v>
      </c>
      <c r="C48" s="6">
        <v>3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9">
        <v>0.15</v>
      </c>
      <c r="K48" s="9">
        <v>0</v>
      </c>
      <c r="L48" s="6">
        <v>-1</v>
      </c>
      <c r="M48" s="9">
        <v>0</v>
      </c>
      <c r="N48" s="6">
        <v>0</v>
      </c>
      <c r="O48" s="6">
        <v>0</v>
      </c>
    </row>
    <row r="49" spans="1:15" x14ac:dyDescent="0.25">
      <c r="A49" s="5">
        <v>46148</v>
      </c>
      <c r="B49" s="6">
        <v>0</v>
      </c>
      <c r="C49" s="6">
        <v>3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9">
        <v>0.15</v>
      </c>
      <c r="K49" s="9">
        <v>0</v>
      </c>
      <c r="L49" s="6">
        <v>-1</v>
      </c>
      <c r="M49" s="9">
        <v>0</v>
      </c>
      <c r="N49" s="6">
        <v>0</v>
      </c>
      <c r="O49" s="6">
        <v>0</v>
      </c>
    </row>
    <row r="50" spans="1:15" x14ac:dyDescent="0.25">
      <c r="A50" s="5">
        <v>46149</v>
      </c>
      <c r="B50" s="6">
        <v>0</v>
      </c>
      <c r="C50" s="6">
        <v>3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9">
        <v>0.15</v>
      </c>
      <c r="K50" s="9">
        <v>0</v>
      </c>
      <c r="L50" s="6">
        <v>-1</v>
      </c>
      <c r="M50" s="9">
        <v>0</v>
      </c>
      <c r="N50" s="6">
        <v>0</v>
      </c>
      <c r="O50" s="6">
        <v>0</v>
      </c>
    </row>
    <row r="51" spans="1:15" x14ac:dyDescent="0.25">
      <c r="A51" s="5">
        <v>46150</v>
      </c>
      <c r="B51" s="6">
        <v>0</v>
      </c>
      <c r="C51" s="6">
        <v>3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9">
        <v>0.15</v>
      </c>
      <c r="K51" s="9">
        <v>0</v>
      </c>
      <c r="L51" s="6">
        <v>-1</v>
      </c>
      <c r="M51" s="9">
        <v>0</v>
      </c>
      <c r="N51" s="6">
        <v>0</v>
      </c>
      <c r="O51" s="6">
        <v>0</v>
      </c>
    </row>
    <row r="52" spans="1:15" x14ac:dyDescent="0.25">
      <c r="A52" s="5">
        <v>46151</v>
      </c>
      <c r="B52" s="6">
        <v>0</v>
      </c>
      <c r="C52" s="6">
        <v>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9">
        <v>0.15</v>
      </c>
      <c r="K52" s="9">
        <v>0</v>
      </c>
      <c r="L52" s="6">
        <v>-1</v>
      </c>
      <c r="M52" s="9">
        <v>0</v>
      </c>
      <c r="N52" s="6">
        <v>0</v>
      </c>
      <c r="O52" s="6">
        <v>0</v>
      </c>
    </row>
    <row r="53" spans="1:15" x14ac:dyDescent="0.25">
      <c r="A53" s="5">
        <v>46152</v>
      </c>
      <c r="B53" s="6">
        <v>0</v>
      </c>
      <c r="C53" s="6">
        <v>3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9">
        <v>0.15</v>
      </c>
      <c r="K53" s="9">
        <v>0</v>
      </c>
      <c r="L53" s="6">
        <v>-1</v>
      </c>
      <c r="M53" s="9">
        <v>0</v>
      </c>
      <c r="N53" s="6">
        <v>0</v>
      </c>
      <c r="O53" s="6">
        <v>0</v>
      </c>
    </row>
    <row r="54" spans="1:15" x14ac:dyDescent="0.25">
      <c r="A54" s="5">
        <v>46153</v>
      </c>
      <c r="B54" s="6">
        <v>0</v>
      </c>
      <c r="C54" s="6">
        <v>3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9">
        <v>0.15</v>
      </c>
      <c r="K54" s="9">
        <v>0</v>
      </c>
      <c r="L54" s="6">
        <v>-1</v>
      </c>
      <c r="M54" s="9">
        <v>0</v>
      </c>
      <c r="N54" s="6">
        <v>0</v>
      </c>
      <c r="O54" s="6">
        <v>0</v>
      </c>
    </row>
    <row r="55" spans="1:15" x14ac:dyDescent="0.25">
      <c r="A55" s="5">
        <v>46154</v>
      </c>
      <c r="B55" s="6">
        <v>0</v>
      </c>
      <c r="C55" s="6">
        <v>3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9">
        <v>0.15</v>
      </c>
      <c r="K55" s="9">
        <v>0</v>
      </c>
      <c r="L55" s="6">
        <v>-1</v>
      </c>
      <c r="M55" s="9">
        <v>0</v>
      </c>
      <c r="N55" s="6">
        <v>0</v>
      </c>
      <c r="O55" s="6">
        <v>0</v>
      </c>
    </row>
    <row r="56" spans="1:15" x14ac:dyDescent="0.25">
      <c r="A56" s="5">
        <v>46155</v>
      </c>
      <c r="B56" s="6">
        <v>0</v>
      </c>
      <c r="C56" s="6">
        <v>3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9">
        <v>0.15</v>
      </c>
      <c r="K56" s="9">
        <v>0</v>
      </c>
      <c r="L56" s="6">
        <v>-1</v>
      </c>
      <c r="M56" s="9">
        <v>0</v>
      </c>
      <c r="N56" s="6">
        <v>0</v>
      </c>
      <c r="O56" s="6">
        <v>0</v>
      </c>
    </row>
    <row r="57" spans="1:15" x14ac:dyDescent="0.25">
      <c r="A57" s="5">
        <v>46156</v>
      </c>
      <c r="B57" s="6">
        <v>0</v>
      </c>
      <c r="C57" s="6">
        <v>3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9">
        <v>0.15</v>
      </c>
      <c r="K57" s="9">
        <v>0</v>
      </c>
      <c r="L57" s="6">
        <v>-1</v>
      </c>
      <c r="M57" s="9">
        <v>0</v>
      </c>
      <c r="N57" s="6">
        <v>0</v>
      </c>
      <c r="O57" s="6">
        <v>0</v>
      </c>
    </row>
    <row r="58" spans="1:15" x14ac:dyDescent="0.25">
      <c r="A58" s="5">
        <v>46157</v>
      </c>
      <c r="B58" s="6">
        <v>0</v>
      </c>
      <c r="C58" s="6">
        <v>3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9">
        <v>0.15</v>
      </c>
      <c r="K58" s="9">
        <v>0</v>
      </c>
      <c r="L58" s="6">
        <v>-1</v>
      </c>
      <c r="M58" s="9">
        <v>0</v>
      </c>
      <c r="N58" s="6">
        <v>0</v>
      </c>
      <c r="O58" s="6">
        <v>0</v>
      </c>
    </row>
    <row r="59" spans="1:15" x14ac:dyDescent="0.25">
      <c r="A59" s="5">
        <v>46158</v>
      </c>
      <c r="B59" s="6">
        <v>0</v>
      </c>
      <c r="C59" s="6">
        <v>3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9">
        <v>0.15</v>
      </c>
      <c r="K59" s="9">
        <v>0</v>
      </c>
      <c r="L59" s="6">
        <v>-1</v>
      </c>
      <c r="M59" s="9">
        <v>0</v>
      </c>
      <c r="N59" s="6">
        <v>0</v>
      </c>
      <c r="O59" s="6">
        <v>0</v>
      </c>
    </row>
    <row r="60" spans="1:15" x14ac:dyDescent="0.25">
      <c r="A60" s="5">
        <v>46159</v>
      </c>
      <c r="B60" s="6">
        <v>0</v>
      </c>
      <c r="C60" s="6">
        <v>3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9">
        <v>0.15</v>
      </c>
      <c r="K60" s="9">
        <v>0</v>
      </c>
      <c r="L60" s="6">
        <v>-1</v>
      </c>
      <c r="M60" s="9">
        <v>0</v>
      </c>
      <c r="N60" s="6">
        <v>0</v>
      </c>
      <c r="O60" s="6">
        <v>0</v>
      </c>
    </row>
    <row r="61" spans="1:15" x14ac:dyDescent="0.25">
      <c r="A61" s="5">
        <v>46160</v>
      </c>
      <c r="B61" s="6">
        <v>0</v>
      </c>
      <c r="C61" s="6">
        <v>3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9">
        <v>0.15</v>
      </c>
      <c r="K61" s="9">
        <v>0</v>
      </c>
      <c r="L61" s="6">
        <v>-1</v>
      </c>
      <c r="M61" s="9">
        <v>0</v>
      </c>
      <c r="N61" s="6">
        <v>0</v>
      </c>
      <c r="O61" s="6">
        <v>0</v>
      </c>
    </row>
    <row r="62" spans="1:15" x14ac:dyDescent="0.25">
      <c r="A62" s="5">
        <v>46161</v>
      </c>
      <c r="B62" s="6">
        <v>2</v>
      </c>
      <c r="C62" s="6">
        <v>5</v>
      </c>
      <c r="D62" s="6">
        <v>1</v>
      </c>
      <c r="E62" s="6">
        <v>1</v>
      </c>
      <c r="F62" s="6">
        <v>2</v>
      </c>
      <c r="G62" s="6">
        <v>0</v>
      </c>
      <c r="H62" s="6">
        <v>2</v>
      </c>
      <c r="I62" s="6">
        <v>0</v>
      </c>
      <c r="J62" s="9">
        <v>0.25</v>
      </c>
      <c r="K62" s="9">
        <v>0.05</v>
      </c>
      <c r="L62" s="6">
        <v>-1</v>
      </c>
      <c r="M62" s="9">
        <v>0.1</v>
      </c>
      <c r="N62" s="6">
        <v>0</v>
      </c>
      <c r="O62" s="6">
        <v>-1</v>
      </c>
    </row>
    <row r="63" spans="1:15" x14ac:dyDescent="0.25">
      <c r="A63" s="5">
        <v>46162</v>
      </c>
      <c r="B63" s="6">
        <v>0</v>
      </c>
      <c r="C63" s="6">
        <v>5</v>
      </c>
      <c r="D63" s="6">
        <v>0</v>
      </c>
      <c r="E63" s="6">
        <v>1</v>
      </c>
      <c r="F63" s="6">
        <v>0</v>
      </c>
      <c r="G63" s="6">
        <v>0</v>
      </c>
      <c r="H63" s="6">
        <v>2</v>
      </c>
      <c r="I63" s="6">
        <v>0</v>
      </c>
      <c r="J63" s="9">
        <v>0.25</v>
      </c>
      <c r="K63" s="9">
        <v>0.05</v>
      </c>
      <c r="L63" s="6">
        <v>-1</v>
      </c>
      <c r="M63" s="9">
        <v>0.1</v>
      </c>
      <c r="N63" s="6">
        <v>0</v>
      </c>
      <c r="O63" s="6">
        <v>-1</v>
      </c>
    </row>
    <row r="64" spans="1:15" x14ac:dyDescent="0.25">
      <c r="A64" s="5">
        <v>46163</v>
      </c>
      <c r="B64" s="6">
        <v>0</v>
      </c>
      <c r="C64" s="6">
        <v>5</v>
      </c>
      <c r="D64" s="6">
        <v>0</v>
      </c>
      <c r="E64" s="6">
        <v>1</v>
      </c>
      <c r="F64" s="6">
        <v>0</v>
      </c>
      <c r="G64" s="6">
        <v>0</v>
      </c>
      <c r="H64" s="6">
        <v>2</v>
      </c>
      <c r="I64" s="6">
        <v>0</v>
      </c>
      <c r="J64" s="9">
        <v>0.25</v>
      </c>
      <c r="K64" s="9">
        <v>0.05</v>
      </c>
      <c r="L64" s="6">
        <v>-1</v>
      </c>
      <c r="M64" s="9">
        <v>0.1</v>
      </c>
      <c r="N64" s="6">
        <v>0</v>
      </c>
      <c r="O64" s="6">
        <v>-1</v>
      </c>
    </row>
    <row r="65" spans="1:15" x14ac:dyDescent="0.25">
      <c r="A65" s="5">
        <v>46164</v>
      </c>
      <c r="B65" s="6">
        <v>0</v>
      </c>
      <c r="C65" s="6">
        <v>5</v>
      </c>
      <c r="D65" s="6">
        <v>0</v>
      </c>
      <c r="E65" s="6">
        <v>1</v>
      </c>
      <c r="F65" s="6">
        <v>0</v>
      </c>
      <c r="G65" s="6">
        <v>0</v>
      </c>
      <c r="H65" s="6">
        <v>2</v>
      </c>
      <c r="I65" s="6">
        <v>0</v>
      </c>
      <c r="J65" s="9">
        <v>0.25</v>
      </c>
      <c r="K65" s="9">
        <v>0.05</v>
      </c>
      <c r="L65" s="6">
        <v>-1</v>
      </c>
      <c r="M65" s="9">
        <v>0.1</v>
      </c>
      <c r="N65" s="6">
        <v>0</v>
      </c>
      <c r="O65" s="6">
        <v>-1</v>
      </c>
    </row>
    <row r="66" spans="1:15" x14ac:dyDescent="0.25">
      <c r="A66" s="5">
        <v>46165</v>
      </c>
      <c r="B66" s="6">
        <v>0</v>
      </c>
      <c r="C66" s="6">
        <v>5</v>
      </c>
      <c r="D66" s="6">
        <v>0</v>
      </c>
      <c r="E66" s="6">
        <v>1</v>
      </c>
      <c r="F66" s="6">
        <v>0</v>
      </c>
      <c r="G66" s="6">
        <v>0</v>
      </c>
      <c r="H66" s="6">
        <v>2</v>
      </c>
      <c r="I66" s="6">
        <v>0</v>
      </c>
      <c r="J66" s="9">
        <v>0.25</v>
      </c>
      <c r="K66" s="9">
        <v>0.05</v>
      </c>
      <c r="L66" s="6">
        <v>-1</v>
      </c>
      <c r="M66" s="9">
        <v>0.1</v>
      </c>
      <c r="N66" s="6">
        <v>0</v>
      </c>
      <c r="O66" s="6">
        <v>-1</v>
      </c>
    </row>
    <row r="67" spans="1:15" x14ac:dyDescent="0.25">
      <c r="A67" s="5">
        <v>46166</v>
      </c>
      <c r="B67" s="6">
        <v>0</v>
      </c>
      <c r="C67" s="6">
        <v>5</v>
      </c>
      <c r="D67" s="6">
        <v>0</v>
      </c>
      <c r="E67" s="6">
        <v>1</v>
      </c>
      <c r="F67" s="6">
        <v>0</v>
      </c>
      <c r="G67" s="6">
        <v>0</v>
      </c>
      <c r="H67" s="6">
        <v>2</v>
      </c>
      <c r="I67" s="6">
        <v>0</v>
      </c>
      <c r="J67" s="9">
        <v>0.25</v>
      </c>
      <c r="K67" s="9">
        <v>0.05</v>
      </c>
      <c r="L67" s="6">
        <v>-1</v>
      </c>
      <c r="M67" s="9">
        <v>0.1</v>
      </c>
      <c r="N67" s="6">
        <v>0</v>
      </c>
      <c r="O67" s="6">
        <v>-1</v>
      </c>
    </row>
    <row r="68" spans="1:15" x14ac:dyDescent="0.25">
      <c r="A68" s="5">
        <v>46167</v>
      </c>
      <c r="B68" s="6">
        <v>0</v>
      </c>
      <c r="C68" s="6">
        <v>5</v>
      </c>
      <c r="D68" s="6">
        <v>0</v>
      </c>
      <c r="E68" s="6">
        <v>1</v>
      </c>
      <c r="F68" s="6">
        <v>2</v>
      </c>
      <c r="G68" s="6">
        <v>0</v>
      </c>
      <c r="H68" s="6">
        <v>4</v>
      </c>
      <c r="I68" s="6">
        <v>0</v>
      </c>
      <c r="J68" s="9">
        <v>0.25</v>
      </c>
      <c r="K68" s="9">
        <v>0.05</v>
      </c>
      <c r="L68" s="6">
        <v>-1</v>
      </c>
      <c r="M68" s="9">
        <v>0.2</v>
      </c>
      <c r="N68" s="6">
        <v>0</v>
      </c>
      <c r="O68" s="6">
        <v>-1</v>
      </c>
    </row>
    <row r="69" spans="1:15" x14ac:dyDescent="0.25">
      <c r="A69" s="5">
        <v>46168</v>
      </c>
      <c r="B69" s="6">
        <v>1</v>
      </c>
      <c r="C69" s="6">
        <v>6</v>
      </c>
      <c r="D69" s="6">
        <v>0</v>
      </c>
      <c r="E69" s="6">
        <v>1</v>
      </c>
      <c r="F69" s="6">
        <v>0</v>
      </c>
      <c r="G69" s="6">
        <v>0</v>
      </c>
      <c r="H69" s="6">
        <v>4</v>
      </c>
      <c r="I69" s="6">
        <v>0</v>
      </c>
      <c r="J69" s="9">
        <v>0.3</v>
      </c>
      <c r="K69" s="9">
        <v>0.05</v>
      </c>
      <c r="L69" s="6">
        <v>-1</v>
      </c>
      <c r="M69" s="9">
        <v>0.2</v>
      </c>
      <c r="N69" s="6">
        <v>0</v>
      </c>
      <c r="O69" s="6">
        <v>-1</v>
      </c>
    </row>
    <row r="70" spans="1:15" x14ac:dyDescent="0.25">
      <c r="A70" s="5">
        <v>46169</v>
      </c>
      <c r="B70" s="6">
        <v>1</v>
      </c>
      <c r="C70" s="6">
        <v>7</v>
      </c>
      <c r="D70" s="6">
        <v>0</v>
      </c>
      <c r="E70" s="6">
        <v>1</v>
      </c>
      <c r="F70" s="6">
        <v>0</v>
      </c>
      <c r="G70" s="6">
        <v>0</v>
      </c>
      <c r="H70" s="6">
        <v>4</v>
      </c>
      <c r="I70" s="6">
        <v>0</v>
      </c>
      <c r="J70" s="9">
        <v>0.35</v>
      </c>
      <c r="K70" s="9">
        <v>0.05</v>
      </c>
      <c r="L70" s="6">
        <v>-1</v>
      </c>
      <c r="M70" s="9">
        <v>0.2</v>
      </c>
      <c r="N70" s="6">
        <v>0</v>
      </c>
      <c r="O70" s="6">
        <v>-1</v>
      </c>
    </row>
    <row r="71" spans="1:15" x14ac:dyDescent="0.25">
      <c r="A71" s="5">
        <v>46170</v>
      </c>
      <c r="B71" s="6">
        <v>0</v>
      </c>
      <c r="C71" s="6">
        <v>7</v>
      </c>
      <c r="D71" s="6">
        <v>3</v>
      </c>
      <c r="E71" s="6">
        <v>4</v>
      </c>
      <c r="F71" s="6">
        <v>0</v>
      </c>
      <c r="G71" s="6">
        <v>0</v>
      </c>
      <c r="H71" s="6">
        <v>4</v>
      </c>
      <c r="I71" s="6">
        <v>0</v>
      </c>
      <c r="J71" s="9">
        <v>0.35</v>
      </c>
      <c r="K71" s="9">
        <v>0.2</v>
      </c>
      <c r="L71" s="6">
        <v>-1</v>
      </c>
      <c r="M71" s="9">
        <v>0.2</v>
      </c>
      <c r="N71" s="6">
        <v>0</v>
      </c>
      <c r="O71" s="6">
        <v>-1</v>
      </c>
    </row>
    <row r="72" spans="1:15" x14ac:dyDescent="0.25">
      <c r="A72" s="5">
        <v>46171</v>
      </c>
      <c r="B72" s="6">
        <v>0</v>
      </c>
      <c r="C72" s="6">
        <v>7</v>
      </c>
      <c r="D72" s="6">
        <v>0</v>
      </c>
      <c r="E72" s="6">
        <v>4</v>
      </c>
      <c r="F72" s="6">
        <v>0</v>
      </c>
      <c r="G72" s="6">
        <v>0</v>
      </c>
      <c r="H72" s="6">
        <v>4</v>
      </c>
      <c r="I72" s="6">
        <v>0</v>
      </c>
      <c r="J72" s="9">
        <v>0.35</v>
      </c>
      <c r="K72" s="9">
        <v>0.2</v>
      </c>
      <c r="L72" s="6">
        <v>-1</v>
      </c>
      <c r="M72" s="9">
        <v>0.2</v>
      </c>
      <c r="N72" s="6">
        <v>0</v>
      </c>
      <c r="O72" s="6">
        <v>-1</v>
      </c>
    </row>
    <row r="73" spans="1:15" x14ac:dyDescent="0.25">
      <c r="A73" s="5">
        <v>46172</v>
      </c>
      <c r="B73" s="6">
        <v>0</v>
      </c>
      <c r="C73" s="6">
        <v>7</v>
      </c>
      <c r="D73" s="6">
        <v>0</v>
      </c>
      <c r="E73" s="6">
        <v>4</v>
      </c>
      <c r="F73" s="6">
        <v>0</v>
      </c>
      <c r="G73" s="6">
        <v>0</v>
      </c>
      <c r="H73" s="6">
        <v>4</v>
      </c>
      <c r="I73" s="6">
        <v>0</v>
      </c>
      <c r="J73" s="9">
        <v>0.35</v>
      </c>
      <c r="K73" s="9">
        <v>0.2</v>
      </c>
      <c r="L73" s="6">
        <v>-1</v>
      </c>
      <c r="M73" s="9">
        <v>0.2</v>
      </c>
      <c r="N73" s="6">
        <v>0</v>
      </c>
      <c r="O73" s="6">
        <v>-1</v>
      </c>
    </row>
    <row r="74" spans="1:15" x14ac:dyDescent="0.25">
      <c r="A74" s="5">
        <v>46173</v>
      </c>
      <c r="B74" s="6">
        <v>0</v>
      </c>
      <c r="C74" s="6">
        <v>7</v>
      </c>
      <c r="D74" s="6">
        <v>0</v>
      </c>
      <c r="E74" s="6">
        <v>4</v>
      </c>
      <c r="F74" s="6">
        <v>0</v>
      </c>
      <c r="G74" s="6">
        <v>0</v>
      </c>
      <c r="H74" s="6">
        <v>4</v>
      </c>
      <c r="I74" s="6">
        <v>0</v>
      </c>
      <c r="J74" s="9">
        <v>0.35</v>
      </c>
      <c r="K74" s="9">
        <v>0.2</v>
      </c>
      <c r="L74" s="6">
        <v>-1</v>
      </c>
      <c r="M74" s="9">
        <v>0.2</v>
      </c>
      <c r="N74" s="6">
        <v>0</v>
      </c>
      <c r="O74" s="6">
        <v>-1</v>
      </c>
    </row>
    <row r="75" spans="1:15" x14ac:dyDescent="0.25">
      <c r="A75" s="5">
        <v>46174</v>
      </c>
      <c r="B75" s="6">
        <v>1</v>
      </c>
      <c r="C75" s="6">
        <v>8</v>
      </c>
      <c r="D75" s="6">
        <v>0</v>
      </c>
      <c r="E75" s="6">
        <v>4</v>
      </c>
      <c r="F75" s="6">
        <v>1</v>
      </c>
      <c r="G75" s="6">
        <v>0</v>
      </c>
      <c r="H75" s="6">
        <v>5</v>
      </c>
      <c r="I75" s="6">
        <v>0</v>
      </c>
      <c r="J75" s="9">
        <v>0.4</v>
      </c>
      <c r="K75" s="9">
        <v>0.2</v>
      </c>
      <c r="L75" s="6">
        <v>-1</v>
      </c>
      <c r="M75" s="9">
        <v>0.25</v>
      </c>
      <c r="N75" s="6">
        <v>0</v>
      </c>
      <c r="O75" s="6">
        <v>-1</v>
      </c>
    </row>
    <row r="76" spans="1:15" x14ac:dyDescent="0.25">
      <c r="A76" s="5">
        <v>46175</v>
      </c>
      <c r="B76" s="6">
        <v>0</v>
      </c>
      <c r="C76" s="6">
        <v>8</v>
      </c>
      <c r="D76" s="6">
        <v>1</v>
      </c>
      <c r="E76" s="6">
        <v>5</v>
      </c>
      <c r="F76" s="6">
        <v>1</v>
      </c>
      <c r="G76" s="6">
        <v>0</v>
      </c>
      <c r="H76" s="6">
        <v>6</v>
      </c>
      <c r="I76" s="6">
        <v>0</v>
      </c>
      <c r="J76" s="9">
        <v>0.4</v>
      </c>
      <c r="K76" s="9">
        <v>0.25</v>
      </c>
      <c r="L76" s="6">
        <v>-1</v>
      </c>
      <c r="M76" s="9">
        <v>0.3</v>
      </c>
      <c r="N76" s="6">
        <v>0</v>
      </c>
      <c r="O76" s="6">
        <v>-1</v>
      </c>
    </row>
    <row r="77" spans="1:15" x14ac:dyDescent="0.25">
      <c r="A77" s="5">
        <v>46176</v>
      </c>
      <c r="B77" s="6">
        <v>0</v>
      </c>
      <c r="C77" s="6">
        <v>8</v>
      </c>
      <c r="D77" s="6">
        <v>1</v>
      </c>
      <c r="E77" s="6">
        <v>6</v>
      </c>
      <c r="F77" s="6">
        <v>0</v>
      </c>
      <c r="G77" s="6">
        <v>0</v>
      </c>
      <c r="H77" s="6">
        <v>6</v>
      </c>
      <c r="I77" s="6">
        <v>0</v>
      </c>
      <c r="J77" s="9">
        <v>0.4</v>
      </c>
      <c r="K77" s="9">
        <v>0.3</v>
      </c>
      <c r="L77" s="6">
        <v>-1</v>
      </c>
      <c r="M77" s="9">
        <v>0.3</v>
      </c>
      <c r="N77" s="6">
        <v>0</v>
      </c>
      <c r="O77" s="6">
        <v>-1</v>
      </c>
    </row>
    <row r="78" spans="1:15" x14ac:dyDescent="0.25">
      <c r="A78" s="5">
        <v>46177</v>
      </c>
      <c r="B78" s="6">
        <v>1</v>
      </c>
      <c r="C78" s="6">
        <v>9</v>
      </c>
      <c r="D78" s="6">
        <v>0</v>
      </c>
      <c r="E78" s="6">
        <v>6</v>
      </c>
      <c r="F78" s="6">
        <v>0</v>
      </c>
      <c r="G78" s="6">
        <v>0</v>
      </c>
      <c r="H78" s="6">
        <v>6</v>
      </c>
      <c r="I78" s="6">
        <v>0</v>
      </c>
      <c r="J78" s="9">
        <v>0.45</v>
      </c>
      <c r="K78" s="9">
        <v>0.3</v>
      </c>
      <c r="L78" s="6">
        <v>-1</v>
      </c>
      <c r="M78" s="9">
        <v>0.3</v>
      </c>
      <c r="N78" s="6">
        <v>0</v>
      </c>
      <c r="O78" s="6">
        <v>-1</v>
      </c>
    </row>
    <row r="79" spans="1:15" x14ac:dyDescent="0.25">
      <c r="A79" s="5">
        <v>46178</v>
      </c>
      <c r="B79" s="6">
        <v>0</v>
      </c>
      <c r="C79" s="6">
        <v>9</v>
      </c>
      <c r="D79" s="6">
        <v>1</v>
      </c>
      <c r="E79" s="6">
        <v>7</v>
      </c>
      <c r="F79" s="6">
        <v>1</v>
      </c>
      <c r="G79" s="6">
        <v>0</v>
      </c>
      <c r="H79" s="6">
        <v>7</v>
      </c>
      <c r="I79" s="6">
        <v>0</v>
      </c>
      <c r="J79" s="9">
        <v>0.45</v>
      </c>
      <c r="K79" s="9">
        <v>0.35</v>
      </c>
      <c r="L79" s="6">
        <v>-1</v>
      </c>
      <c r="M79" s="9">
        <v>0.35</v>
      </c>
      <c r="N79" s="6">
        <v>0</v>
      </c>
      <c r="O79" s="6">
        <v>-1</v>
      </c>
    </row>
    <row r="80" spans="1:15" x14ac:dyDescent="0.25">
      <c r="A80" s="5">
        <v>46179</v>
      </c>
      <c r="B80" s="6">
        <v>0</v>
      </c>
      <c r="C80" s="6">
        <v>9</v>
      </c>
      <c r="D80" s="6">
        <v>0</v>
      </c>
      <c r="E80" s="6">
        <v>7</v>
      </c>
      <c r="F80" s="6">
        <v>0</v>
      </c>
      <c r="G80" s="6">
        <v>0</v>
      </c>
      <c r="H80" s="6">
        <v>7</v>
      </c>
      <c r="I80" s="6">
        <v>0</v>
      </c>
      <c r="J80" s="9">
        <v>0.45</v>
      </c>
      <c r="K80" s="9">
        <v>0.35</v>
      </c>
      <c r="L80" s="6">
        <v>-1</v>
      </c>
      <c r="M80" s="9">
        <v>0.35</v>
      </c>
      <c r="N80" s="6">
        <v>0</v>
      </c>
      <c r="O80" s="6">
        <v>-1</v>
      </c>
    </row>
    <row r="81" spans="1:15" x14ac:dyDescent="0.25">
      <c r="A81" s="5">
        <v>46180</v>
      </c>
      <c r="B81" s="6">
        <v>0</v>
      </c>
      <c r="C81" s="6">
        <v>9</v>
      </c>
      <c r="D81" s="6">
        <v>0</v>
      </c>
      <c r="E81" s="6">
        <v>7</v>
      </c>
      <c r="F81" s="6">
        <v>0</v>
      </c>
      <c r="G81" s="6">
        <v>0</v>
      </c>
      <c r="H81" s="6">
        <v>7</v>
      </c>
      <c r="I81" s="6">
        <v>0</v>
      </c>
      <c r="J81" s="9">
        <v>0.45</v>
      </c>
      <c r="K81" s="9">
        <v>0.35</v>
      </c>
      <c r="L81" s="6">
        <v>-1</v>
      </c>
      <c r="M81" s="9">
        <v>0.35</v>
      </c>
      <c r="N81" s="6">
        <v>0</v>
      </c>
      <c r="O81" s="6">
        <v>-1</v>
      </c>
    </row>
    <row r="82" spans="1:15" x14ac:dyDescent="0.25">
      <c r="A82" s="5">
        <v>46181</v>
      </c>
      <c r="B82" s="6">
        <v>0</v>
      </c>
      <c r="C82" s="6">
        <v>9</v>
      </c>
      <c r="D82" s="6">
        <v>0</v>
      </c>
      <c r="E82" s="6">
        <v>7</v>
      </c>
      <c r="F82" s="6">
        <v>0</v>
      </c>
      <c r="G82" s="6">
        <v>0</v>
      </c>
      <c r="H82" s="6">
        <v>7</v>
      </c>
      <c r="I82" s="6">
        <v>0</v>
      </c>
      <c r="J82" s="9">
        <v>0.45</v>
      </c>
      <c r="K82" s="9">
        <v>0.35</v>
      </c>
      <c r="L82" s="6">
        <v>-1</v>
      </c>
      <c r="M82" s="9">
        <v>0.35</v>
      </c>
      <c r="N82" s="6">
        <v>0</v>
      </c>
      <c r="O82" s="6">
        <v>-1</v>
      </c>
    </row>
    <row r="83" spans="1:15" x14ac:dyDescent="0.25">
      <c r="A83" s="5">
        <v>46182</v>
      </c>
      <c r="B83" s="6">
        <v>0</v>
      </c>
      <c r="C83" s="6">
        <v>9</v>
      </c>
      <c r="D83" s="6">
        <v>0</v>
      </c>
      <c r="E83" s="6">
        <v>7</v>
      </c>
      <c r="F83" s="6">
        <v>0</v>
      </c>
      <c r="G83" s="6">
        <v>0</v>
      </c>
      <c r="H83" s="6">
        <v>7</v>
      </c>
      <c r="I83" s="6">
        <v>0</v>
      </c>
      <c r="J83" s="9">
        <v>0.45</v>
      </c>
      <c r="K83" s="9">
        <v>0.35</v>
      </c>
      <c r="L83" s="6">
        <v>-1</v>
      </c>
      <c r="M83" s="9">
        <v>0.35</v>
      </c>
      <c r="N83" s="6">
        <v>0</v>
      </c>
      <c r="O83" s="6">
        <v>-1</v>
      </c>
    </row>
    <row r="84" spans="1:15" x14ac:dyDescent="0.25">
      <c r="A84" s="5">
        <v>46183</v>
      </c>
      <c r="B84" s="6">
        <v>0</v>
      </c>
      <c r="C84" s="6">
        <v>9</v>
      </c>
      <c r="D84" s="6">
        <v>0</v>
      </c>
      <c r="E84" s="6">
        <v>7</v>
      </c>
      <c r="F84" s="6">
        <v>1</v>
      </c>
      <c r="G84" s="6">
        <v>0</v>
      </c>
      <c r="H84" s="6">
        <v>8</v>
      </c>
      <c r="I84" s="6">
        <v>0</v>
      </c>
      <c r="J84" s="9">
        <v>0.45</v>
      </c>
      <c r="K84" s="9">
        <v>0.35</v>
      </c>
      <c r="L84" s="6">
        <v>-1</v>
      </c>
      <c r="M84" s="9">
        <v>0.4</v>
      </c>
      <c r="N84" s="6">
        <v>0</v>
      </c>
      <c r="O84" s="6">
        <v>-1</v>
      </c>
    </row>
    <row r="85" spans="1:15" x14ac:dyDescent="0.25">
      <c r="A85" s="5">
        <v>46184</v>
      </c>
      <c r="B85" s="6">
        <v>0</v>
      </c>
      <c r="C85" s="6">
        <v>9</v>
      </c>
      <c r="D85" s="6">
        <v>0</v>
      </c>
      <c r="E85" s="6">
        <v>7</v>
      </c>
      <c r="F85" s="6">
        <v>0</v>
      </c>
      <c r="G85" s="6">
        <v>0</v>
      </c>
      <c r="H85" s="6">
        <v>8</v>
      </c>
      <c r="I85" s="6">
        <v>0</v>
      </c>
      <c r="J85" s="9">
        <v>0.45</v>
      </c>
      <c r="K85" s="9">
        <v>0.35</v>
      </c>
      <c r="L85" s="6">
        <v>-1</v>
      </c>
      <c r="M85" s="9">
        <v>0.4</v>
      </c>
      <c r="N85" s="6">
        <v>0</v>
      </c>
      <c r="O85" s="6">
        <v>-1</v>
      </c>
    </row>
    <row r="86" spans="1:15" x14ac:dyDescent="0.25">
      <c r="A86" s="5">
        <v>46185</v>
      </c>
      <c r="B86" s="6">
        <v>0</v>
      </c>
      <c r="C86" s="6">
        <v>9</v>
      </c>
      <c r="D86" s="6">
        <v>1</v>
      </c>
      <c r="E86" s="6">
        <v>8</v>
      </c>
      <c r="F86" s="6">
        <v>0</v>
      </c>
      <c r="G86" s="6">
        <v>0</v>
      </c>
      <c r="H86" s="6">
        <v>8</v>
      </c>
      <c r="I86" s="6">
        <v>0</v>
      </c>
      <c r="J86" s="9">
        <v>0.45</v>
      </c>
      <c r="K86" s="9">
        <v>0.4</v>
      </c>
      <c r="L86" s="6">
        <v>-1</v>
      </c>
      <c r="M86" s="9">
        <v>0.4</v>
      </c>
      <c r="N86" s="6">
        <v>0</v>
      </c>
      <c r="O86" s="6">
        <v>-1</v>
      </c>
    </row>
    <row r="87" spans="1:15" x14ac:dyDescent="0.25">
      <c r="A87" s="5">
        <v>46186</v>
      </c>
      <c r="B87" s="6">
        <v>0</v>
      </c>
      <c r="C87" s="6">
        <v>9</v>
      </c>
      <c r="D87" s="6">
        <v>0</v>
      </c>
      <c r="E87" s="6">
        <v>8</v>
      </c>
      <c r="F87" s="6">
        <v>0</v>
      </c>
      <c r="G87" s="6">
        <v>0</v>
      </c>
      <c r="H87" s="6">
        <v>8</v>
      </c>
      <c r="I87" s="6">
        <v>0</v>
      </c>
      <c r="J87" s="9">
        <v>0.45</v>
      </c>
      <c r="K87" s="9">
        <v>0.4</v>
      </c>
      <c r="L87" s="6">
        <v>-1</v>
      </c>
      <c r="M87" s="9">
        <v>0.4</v>
      </c>
      <c r="N87" s="6">
        <v>0</v>
      </c>
      <c r="O87" s="6">
        <v>-1</v>
      </c>
    </row>
    <row r="88" spans="1:15" x14ac:dyDescent="0.25">
      <c r="A88" s="5">
        <v>46187</v>
      </c>
      <c r="B88" s="6">
        <v>0</v>
      </c>
      <c r="C88" s="6">
        <v>9</v>
      </c>
      <c r="D88" s="6">
        <v>0</v>
      </c>
      <c r="E88" s="6">
        <v>8</v>
      </c>
      <c r="F88" s="6">
        <v>0</v>
      </c>
      <c r="G88" s="6">
        <v>0</v>
      </c>
      <c r="H88" s="6">
        <v>8</v>
      </c>
      <c r="I88" s="6">
        <v>0</v>
      </c>
      <c r="J88" s="9">
        <v>0.45</v>
      </c>
      <c r="K88" s="9">
        <v>0.4</v>
      </c>
      <c r="L88" s="6">
        <v>-1</v>
      </c>
      <c r="M88" s="9">
        <v>0.4</v>
      </c>
      <c r="N88" s="6">
        <v>0</v>
      </c>
      <c r="O88" s="6">
        <v>-1</v>
      </c>
    </row>
    <row r="89" spans="1:15" x14ac:dyDescent="0.25">
      <c r="A89" s="5">
        <v>46188</v>
      </c>
      <c r="B89" s="6">
        <v>6</v>
      </c>
      <c r="C89" s="6">
        <v>15</v>
      </c>
      <c r="D89" s="6">
        <v>1</v>
      </c>
      <c r="E89" s="6">
        <v>9</v>
      </c>
      <c r="F89" s="6">
        <v>0</v>
      </c>
      <c r="G89" s="6">
        <v>0</v>
      </c>
      <c r="H89" s="6">
        <v>8</v>
      </c>
      <c r="I89" s="6">
        <v>0</v>
      </c>
      <c r="J89" s="9">
        <v>0.75</v>
      </c>
      <c r="K89" s="9">
        <v>0.45</v>
      </c>
      <c r="L89" s="6">
        <v>-1</v>
      </c>
      <c r="M89" s="9">
        <v>0.4</v>
      </c>
      <c r="N89" s="6">
        <v>0</v>
      </c>
      <c r="O89" s="6">
        <v>-1</v>
      </c>
    </row>
    <row r="90" spans="1:15" x14ac:dyDescent="0.25">
      <c r="A90" s="5">
        <v>46189</v>
      </c>
      <c r="B90" s="6">
        <v>0</v>
      </c>
      <c r="C90" s="6">
        <v>15</v>
      </c>
      <c r="D90" s="6">
        <v>0</v>
      </c>
      <c r="E90" s="6">
        <v>9</v>
      </c>
      <c r="F90" s="6">
        <v>1</v>
      </c>
      <c r="G90" s="6">
        <v>0</v>
      </c>
      <c r="H90" s="6">
        <v>9</v>
      </c>
      <c r="I90" s="6">
        <v>0</v>
      </c>
      <c r="J90" s="9">
        <v>0.75</v>
      </c>
      <c r="K90" s="9">
        <v>0.45</v>
      </c>
      <c r="L90" s="6">
        <v>-1</v>
      </c>
      <c r="M90" s="9">
        <v>0.45</v>
      </c>
      <c r="N90" s="6">
        <v>0</v>
      </c>
      <c r="O90" s="6">
        <v>-1</v>
      </c>
    </row>
    <row r="91" spans="1:15" x14ac:dyDescent="0.25">
      <c r="A91" s="5">
        <v>46190</v>
      </c>
      <c r="B91" s="6">
        <v>0</v>
      </c>
      <c r="C91" s="6">
        <v>15</v>
      </c>
      <c r="D91" s="6">
        <v>0</v>
      </c>
      <c r="E91" s="6">
        <v>9</v>
      </c>
      <c r="F91" s="6">
        <v>0</v>
      </c>
      <c r="G91" s="6">
        <v>0</v>
      </c>
      <c r="H91" s="6">
        <v>9</v>
      </c>
      <c r="I91" s="6">
        <v>0</v>
      </c>
      <c r="J91" s="9">
        <v>0.75</v>
      </c>
      <c r="K91" s="9">
        <v>0.45</v>
      </c>
      <c r="L91" s="6">
        <v>-1</v>
      </c>
      <c r="M91" s="9">
        <v>0.45</v>
      </c>
      <c r="N91" s="6">
        <v>0</v>
      </c>
      <c r="O91" s="6">
        <v>-1</v>
      </c>
    </row>
    <row r="92" spans="1:15" x14ac:dyDescent="0.25">
      <c r="A92" s="5">
        <v>46191</v>
      </c>
      <c r="B92" s="6">
        <v>0</v>
      </c>
      <c r="C92" s="6">
        <v>15</v>
      </c>
      <c r="D92" s="6">
        <v>0</v>
      </c>
      <c r="E92" s="6">
        <v>9</v>
      </c>
      <c r="F92" s="6">
        <v>0</v>
      </c>
      <c r="G92" s="6">
        <v>1</v>
      </c>
      <c r="H92" s="6">
        <v>9</v>
      </c>
      <c r="I92" s="6">
        <v>1</v>
      </c>
      <c r="J92" s="9">
        <v>0.75</v>
      </c>
      <c r="K92" s="9">
        <v>0.45</v>
      </c>
      <c r="L92" s="6">
        <v>-1</v>
      </c>
      <c r="M92" s="9">
        <v>0.45</v>
      </c>
      <c r="N92" s="6">
        <v>0.05</v>
      </c>
      <c r="O92" s="6">
        <v>-1</v>
      </c>
    </row>
    <row r="93" spans="1:15" x14ac:dyDescent="0.25">
      <c r="A93" s="5">
        <v>46192</v>
      </c>
      <c r="B93" s="6">
        <v>2</v>
      </c>
      <c r="C93" s="6">
        <v>17</v>
      </c>
      <c r="D93" s="6">
        <v>0</v>
      </c>
      <c r="E93" s="6">
        <v>9</v>
      </c>
      <c r="F93" s="6">
        <v>6</v>
      </c>
      <c r="G93" s="6">
        <v>0</v>
      </c>
      <c r="H93" s="6">
        <v>15</v>
      </c>
      <c r="I93" s="6">
        <v>1</v>
      </c>
      <c r="J93" s="9">
        <v>0.85</v>
      </c>
      <c r="K93" s="9">
        <v>0.45</v>
      </c>
      <c r="L93" s="6">
        <v>-1</v>
      </c>
      <c r="M93" s="9">
        <v>0.75</v>
      </c>
      <c r="N93" s="6">
        <v>0.05</v>
      </c>
      <c r="O93" s="6">
        <v>-1</v>
      </c>
    </row>
    <row r="94" spans="1:15" x14ac:dyDescent="0.25">
      <c r="A94" s="5">
        <v>46193</v>
      </c>
      <c r="B94" s="6">
        <v>0</v>
      </c>
      <c r="C94" s="6">
        <v>17</v>
      </c>
      <c r="D94" s="6">
        <v>0</v>
      </c>
      <c r="E94" s="6">
        <v>9</v>
      </c>
      <c r="F94" s="6">
        <v>0</v>
      </c>
      <c r="G94" s="6">
        <v>0</v>
      </c>
      <c r="H94" s="6">
        <v>15</v>
      </c>
      <c r="I94" s="6">
        <v>1</v>
      </c>
      <c r="J94" s="9">
        <v>0.85</v>
      </c>
      <c r="K94" s="9">
        <v>0.45</v>
      </c>
      <c r="L94" s="6">
        <v>-1</v>
      </c>
      <c r="M94" s="9">
        <v>0.75</v>
      </c>
      <c r="N94" s="6">
        <v>0.05</v>
      </c>
      <c r="O94" s="6">
        <v>-1</v>
      </c>
    </row>
    <row r="95" spans="1:15" x14ac:dyDescent="0.25">
      <c r="A95" s="5">
        <v>46194</v>
      </c>
      <c r="B95" s="6">
        <v>0</v>
      </c>
      <c r="C95" s="6">
        <v>17</v>
      </c>
      <c r="D95" s="6">
        <v>0</v>
      </c>
      <c r="E95" s="6">
        <v>9</v>
      </c>
      <c r="F95" s="6">
        <v>0</v>
      </c>
      <c r="G95" s="6">
        <v>0</v>
      </c>
      <c r="H95" s="6">
        <v>15</v>
      </c>
      <c r="I95" s="6">
        <v>1</v>
      </c>
      <c r="J95" s="9">
        <v>0.85</v>
      </c>
      <c r="K95" s="9">
        <v>0.45</v>
      </c>
      <c r="L95" s="6">
        <v>-1</v>
      </c>
      <c r="M95" s="9">
        <v>0.75</v>
      </c>
      <c r="N95" s="6">
        <v>0.05</v>
      </c>
      <c r="O95" s="6">
        <v>-1</v>
      </c>
    </row>
    <row r="96" spans="1:15" x14ac:dyDescent="0.25">
      <c r="A96" s="5">
        <v>46195</v>
      </c>
      <c r="B96" s="6">
        <v>1</v>
      </c>
      <c r="C96" s="6">
        <v>18</v>
      </c>
      <c r="D96" s="6">
        <v>0</v>
      </c>
      <c r="E96" s="6">
        <v>9</v>
      </c>
      <c r="F96" s="6">
        <v>0</v>
      </c>
      <c r="G96" s="6">
        <v>0</v>
      </c>
      <c r="H96" s="6">
        <v>15</v>
      </c>
      <c r="I96" s="6">
        <v>1</v>
      </c>
      <c r="J96" s="9">
        <v>0.9</v>
      </c>
      <c r="K96" s="9">
        <v>0.45</v>
      </c>
      <c r="L96" s="6">
        <v>-1</v>
      </c>
      <c r="M96" s="9">
        <v>0.75</v>
      </c>
      <c r="N96" s="6">
        <v>0.05</v>
      </c>
      <c r="O96" s="6">
        <v>-1</v>
      </c>
    </row>
    <row r="97" spans="1:15" x14ac:dyDescent="0.25">
      <c r="A97" s="5">
        <v>46196</v>
      </c>
      <c r="B97" s="6">
        <v>1</v>
      </c>
      <c r="C97" s="6">
        <v>19</v>
      </c>
      <c r="D97" s="6">
        <v>0</v>
      </c>
      <c r="E97" s="6">
        <v>9</v>
      </c>
      <c r="F97" s="6">
        <v>0</v>
      </c>
      <c r="G97" s="6">
        <v>0</v>
      </c>
      <c r="H97" s="6">
        <v>15</v>
      </c>
      <c r="I97" s="6">
        <v>1</v>
      </c>
      <c r="J97" s="9">
        <v>0.95</v>
      </c>
      <c r="K97" s="9">
        <v>0.45</v>
      </c>
      <c r="L97" s="6">
        <v>-1</v>
      </c>
      <c r="M97" s="9">
        <v>0.75</v>
      </c>
      <c r="N97" s="6">
        <v>0.05</v>
      </c>
      <c r="O97" s="6">
        <v>-1</v>
      </c>
    </row>
    <row r="98" spans="1:15" x14ac:dyDescent="0.25">
      <c r="A98" s="5">
        <v>46197</v>
      </c>
      <c r="B98" s="6">
        <v>0</v>
      </c>
      <c r="C98" s="6">
        <v>19</v>
      </c>
      <c r="D98" s="6">
        <v>0</v>
      </c>
      <c r="E98" s="6">
        <v>9</v>
      </c>
      <c r="F98" s="6">
        <v>0</v>
      </c>
      <c r="G98" s="6">
        <v>0</v>
      </c>
      <c r="H98" s="6">
        <v>15</v>
      </c>
      <c r="I98" s="6">
        <v>1</v>
      </c>
      <c r="J98" s="9">
        <v>0.95</v>
      </c>
      <c r="K98" s="9">
        <v>0.45</v>
      </c>
      <c r="L98" s="6">
        <v>-1</v>
      </c>
      <c r="M98" s="9">
        <v>0.75</v>
      </c>
      <c r="N98" s="6">
        <v>0.05</v>
      </c>
      <c r="O98" s="6">
        <v>-1</v>
      </c>
    </row>
    <row r="99" spans="1:15" x14ac:dyDescent="0.25">
      <c r="A99" s="5">
        <v>46198</v>
      </c>
      <c r="B99" s="6">
        <v>0</v>
      </c>
      <c r="C99" s="6">
        <v>19</v>
      </c>
      <c r="D99" s="6">
        <v>0</v>
      </c>
      <c r="E99" s="6">
        <v>9</v>
      </c>
      <c r="F99" s="6">
        <v>2</v>
      </c>
      <c r="G99" s="6">
        <v>0</v>
      </c>
      <c r="H99" s="6">
        <v>17</v>
      </c>
      <c r="I99" s="6">
        <v>1</v>
      </c>
      <c r="J99" s="9">
        <v>0.95</v>
      </c>
      <c r="K99" s="9">
        <v>0.45</v>
      </c>
      <c r="L99" s="6">
        <v>-1</v>
      </c>
      <c r="M99" s="9">
        <v>0.85</v>
      </c>
      <c r="N99" s="6">
        <v>0.05</v>
      </c>
      <c r="O99" s="6">
        <v>-1</v>
      </c>
    </row>
    <row r="100" spans="1:15" x14ac:dyDescent="0.25">
      <c r="A100" s="5">
        <v>46199</v>
      </c>
      <c r="B100" s="6">
        <v>0</v>
      </c>
      <c r="C100" s="6">
        <v>19</v>
      </c>
      <c r="D100" s="6">
        <v>0</v>
      </c>
      <c r="E100" s="6">
        <v>9</v>
      </c>
      <c r="F100" s="6">
        <v>1</v>
      </c>
      <c r="G100" s="6">
        <v>0</v>
      </c>
      <c r="H100" s="6">
        <v>18</v>
      </c>
      <c r="I100" s="6">
        <v>1</v>
      </c>
      <c r="J100" s="9">
        <v>0.95</v>
      </c>
      <c r="K100" s="9">
        <v>0.45</v>
      </c>
      <c r="L100" s="6">
        <v>-1</v>
      </c>
      <c r="M100" s="9">
        <v>0.9</v>
      </c>
      <c r="N100" s="6">
        <v>0.05</v>
      </c>
      <c r="O100" s="6">
        <v>-1</v>
      </c>
    </row>
    <row r="101" spans="1:15" x14ac:dyDescent="0.25">
      <c r="A101" s="5">
        <v>46200</v>
      </c>
      <c r="B101" s="6">
        <v>0</v>
      </c>
      <c r="C101" s="6">
        <v>19</v>
      </c>
      <c r="D101" s="6">
        <v>0</v>
      </c>
      <c r="E101" s="6">
        <v>9</v>
      </c>
      <c r="F101" s="6">
        <v>0</v>
      </c>
      <c r="G101" s="6">
        <v>0</v>
      </c>
      <c r="H101" s="6">
        <v>18</v>
      </c>
      <c r="I101" s="6">
        <v>1</v>
      </c>
      <c r="J101" s="9">
        <v>0.95</v>
      </c>
      <c r="K101" s="9">
        <v>0.45</v>
      </c>
      <c r="L101" s="6">
        <v>-1</v>
      </c>
      <c r="M101" s="9">
        <v>0.9</v>
      </c>
      <c r="N101" s="6">
        <v>0.05</v>
      </c>
      <c r="O101" s="6">
        <v>-1</v>
      </c>
    </row>
    <row r="102" spans="1:15" x14ac:dyDescent="0.25">
      <c r="A102" s="5">
        <v>46201</v>
      </c>
      <c r="B102" s="6">
        <v>0</v>
      </c>
      <c r="C102" s="6">
        <v>19</v>
      </c>
      <c r="D102" s="6">
        <v>0</v>
      </c>
      <c r="E102" s="6">
        <v>9</v>
      </c>
      <c r="F102" s="6">
        <v>0</v>
      </c>
      <c r="G102" s="6">
        <v>0</v>
      </c>
      <c r="H102" s="6">
        <v>18</v>
      </c>
      <c r="I102" s="6">
        <v>1</v>
      </c>
      <c r="J102" s="9">
        <v>0.95</v>
      </c>
      <c r="K102" s="9">
        <v>0.45</v>
      </c>
      <c r="L102" s="6">
        <v>-1</v>
      </c>
      <c r="M102" s="9">
        <v>0.9</v>
      </c>
      <c r="N102" s="6">
        <v>0.05</v>
      </c>
      <c r="O102" s="6">
        <v>-1</v>
      </c>
    </row>
    <row r="103" spans="1:15" x14ac:dyDescent="0.25">
      <c r="A103" s="5">
        <v>46202</v>
      </c>
      <c r="B103" s="6">
        <v>0</v>
      </c>
      <c r="C103" s="6">
        <v>19</v>
      </c>
      <c r="D103" s="6">
        <v>0</v>
      </c>
      <c r="E103" s="6">
        <v>9</v>
      </c>
      <c r="F103" s="6">
        <v>1</v>
      </c>
      <c r="G103" s="6">
        <v>0</v>
      </c>
      <c r="H103" s="6">
        <v>19</v>
      </c>
      <c r="I103" s="6">
        <v>1</v>
      </c>
      <c r="J103" s="9">
        <v>0.95</v>
      </c>
      <c r="K103" s="9">
        <v>0.45</v>
      </c>
      <c r="L103" s="6">
        <v>-1</v>
      </c>
      <c r="M103" s="9">
        <v>0.95</v>
      </c>
      <c r="N103" s="6">
        <v>0.05</v>
      </c>
      <c r="O103" s="6">
        <v>-1</v>
      </c>
    </row>
    <row r="104" spans="1:15" x14ac:dyDescent="0.25">
      <c r="A104" s="5">
        <v>46203</v>
      </c>
      <c r="B104" s="6">
        <v>0</v>
      </c>
      <c r="C104" s="6">
        <v>19</v>
      </c>
      <c r="D104" s="6">
        <v>0</v>
      </c>
      <c r="E104" s="6">
        <v>9</v>
      </c>
      <c r="F104" s="6">
        <v>0</v>
      </c>
      <c r="G104" s="6">
        <v>0</v>
      </c>
      <c r="H104" s="6">
        <v>19</v>
      </c>
      <c r="I104" s="6">
        <v>1</v>
      </c>
      <c r="J104" s="9">
        <v>0.95</v>
      </c>
      <c r="K104" s="9">
        <v>0.45</v>
      </c>
      <c r="L104" s="6">
        <v>-1</v>
      </c>
      <c r="M104" s="9">
        <v>0.95</v>
      </c>
      <c r="N104" s="6">
        <v>0.05</v>
      </c>
      <c r="O104" s="6">
        <v>-1</v>
      </c>
    </row>
    <row r="105" spans="1:15" x14ac:dyDescent="0.25">
      <c r="A105" s="5">
        <v>46204</v>
      </c>
      <c r="B105" s="6">
        <v>0</v>
      </c>
      <c r="C105" s="6">
        <v>19</v>
      </c>
      <c r="D105" s="6">
        <v>0</v>
      </c>
      <c r="E105" s="6">
        <v>9</v>
      </c>
      <c r="F105" s="6">
        <v>0</v>
      </c>
      <c r="G105" s="6">
        <v>0</v>
      </c>
      <c r="H105" s="6">
        <v>19</v>
      </c>
      <c r="I105" s="6">
        <v>1</v>
      </c>
      <c r="J105" s="9">
        <v>0.95</v>
      </c>
      <c r="K105" s="9">
        <v>0.45</v>
      </c>
      <c r="L105" s="6">
        <v>-1</v>
      </c>
      <c r="M105" s="9">
        <v>0.95</v>
      </c>
      <c r="N105" s="6">
        <v>0.05</v>
      </c>
      <c r="O105" s="6">
        <v>-1</v>
      </c>
    </row>
    <row r="106" spans="1:15" x14ac:dyDescent="0.25">
      <c r="A106" s="5">
        <v>46205</v>
      </c>
      <c r="B106" s="6">
        <v>0</v>
      </c>
      <c r="C106" s="6">
        <v>19</v>
      </c>
      <c r="D106" s="6">
        <v>0</v>
      </c>
      <c r="E106" s="6">
        <v>9</v>
      </c>
      <c r="F106" s="6">
        <v>0</v>
      </c>
      <c r="G106" s="6">
        <v>0</v>
      </c>
      <c r="H106" s="6">
        <v>19</v>
      </c>
      <c r="I106" s="6">
        <v>1</v>
      </c>
      <c r="J106" s="9">
        <v>0.95</v>
      </c>
      <c r="K106" s="9">
        <v>0.45</v>
      </c>
      <c r="L106" s="6">
        <v>-1</v>
      </c>
      <c r="M106" s="9">
        <v>0.95</v>
      </c>
      <c r="N106" s="6">
        <v>0.05</v>
      </c>
      <c r="O106" s="6">
        <v>-1</v>
      </c>
    </row>
    <row r="107" spans="1:15" x14ac:dyDescent="0.25">
      <c r="A107" s="5">
        <v>46206</v>
      </c>
      <c r="B107" s="6">
        <v>0</v>
      </c>
      <c r="C107" s="6">
        <v>19</v>
      </c>
      <c r="D107" s="6">
        <v>0</v>
      </c>
      <c r="E107" s="6">
        <v>9</v>
      </c>
      <c r="F107" s="6">
        <v>0</v>
      </c>
      <c r="G107" s="6">
        <v>0</v>
      </c>
      <c r="H107" s="6">
        <v>19</v>
      </c>
      <c r="I107" s="6">
        <v>1</v>
      </c>
      <c r="J107" s="9">
        <v>0.95</v>
      </c>
      <c r="K107" s="9">
        <v>0.45</v>
      </c>
      <c r="L107" s="6">
        <v>-1</v>
      </c>
      <c r="M107" s="9">
        <v>0.95</v>
      </c>
      <c r="N107" s="6">
        <v>0.05</v>
      </c>
      <c r="O107" s="6">
        <v>-1</v>
      </c>
    </row>
    <row r="108" spans="1:15" x14ac:dyDescent="0.25">
      <c r="A108" s="5">
        <v>46207</v>
      </c>
      <c r="B108" s="6">
        <v>0</v>
      </c>
      <c r="C108" s="6">
        <v>19</v>
      </c>
      <c r="D108" s="6">
        <v>0</v>
      </c>
      <c r="E108" s="6">
        <v>9</v>
      </c>
      <c r="F108" s="6">
        <v>0</v>
      </c>
      <c r="G108" s="6">
        <v>0</v>
      </c>
      <c r="H108" s="6">
        <v>19</v>
      </c>
      <c r="I108" s="6">
        <v>1</v>
      </c>
      <c r="J108" s="9">
        <v>0.95</v>
      </c>
      <c r="K108" s="9">
        <v>0.45</v>
      </c>
      <c r="L108" s="6">
        <v>-1</v>
      </c>
      <c r="M108" s="9">
        <v>0.95</v>
      </c>
      <c r="N108" s="6">
        <v>0.05</v>
      </c>
      <c r="O108" s="6">
        <v>-1</v>
      </c>
    </row>
    <row r="109" spans="1:15" x14ac:dyDescent="0.25">
      <c r="A109" s="5">
        <v>46208</v>
      </c>
      <c r="B109" s="6">
        <v>0</v>
      </c>
      <c r="C109" s="6">
        <v>19</v>
      </c>
      <c r="D109" s="6">
        <v>0</v>
      </c>
      <c r="E109" s="6">
        <v>9</v>
      </c>
      <c r="F109" s="6">
        <v>0</v>
      </c>
      <c r="G109" s="6">
        <v>0</v>
      </c>
      <c r="H109" s="6">
        <v>19</v>
      </c>
      <c r="I109" s="6">
        <v>1</v>
      </c>
      <c r="J109" s="9">
        <v>0.95</v>
      </c>
      <c r="K109" s="9">
        <v>0.45</v>
      </c>
      <c r="L109" s="6">
        <v>-1</v>
      </c>
      <c r="M109" s="9">
        <v>0.95</v>
      </c>
      <c r="N109" s="6">
        <v>0.05</v>
      </c>
      <c r="O109" s="6">
        <v>-1</v>
      </c>
    </row>
    <row r="110" spans="1:15" x14ac:dyDescent="0.25">
      <c r="A110" s="5">
        <v>46209</v>
      </c>
      <c r="B110" s="6">
        <v>0</v>
      </c>
      <c r="C110" s="6">
        <v>19</v>
      </c>
      <c r="D110" s="6">
        <v>0</v>
      </c>
      <c r="E110" s="6">
        <v>9</v>
      </c>
      <c r="F110" s="6">
        <v>0</v>
      </c>
      <c r="G110" s="6">
        <v>0</v>
      </c>
      <c r="H110" s="6">
        <v>19</v>
      </c>
      <c r="I110" s="6">
        <v>1</v>
      </c>
      <c r="J110" s="9">
        <v>0.95</v>
      </c>
      <c r="K110" s="9">
        <v>0.45</v>
      </c>
      <c r="L110" s="6">
        <v>-1</v>
      </c>
      <c r="M110" s="9">
        <v>0.95</v>
      </c>
      <c r="N110" s="6">
        <v>0.05</v>
      </c>
      <c r="O110" s="6">
        <v>-1</v>
      </c>
    </row>
    <row r="111" spans="1:15" x14ac:dyDescent="0.25">
      <c r="A111" s="5">
        <v>46210</v>
      </c>
      <c r="B111" s="6">
        <v>0</v>
      </c>
      <c r="C111" s="6">
        <v>19</v>
      </c>
      <c r="D111" s="6">
        <v>0</v>
      </c>
      <c r="E111" s="6">
        <v>9</v>
      </c>
      <c r="F111" s="6">
        <v>0</v>
      </c>
      <c r="G111" s="6">
        <v>0</v>
      </c>
      <c r="H111" s="6">
        <v>19</v>
      </c>
      <c r="I111" s="6">
        <v>1</v>
      </c>
      <c r="J111" s="9">
        <v>0.95</v>
      </c>
      <c r="K111" s="9">
        <v>0.45</v>
      </c>
      <c r="L111" s="6">
        <v>-1</v>
      </c>
      <c r="M111" s="9">
        <v>0.95</v>
      </c>
      <c r="N111" s="6">
        <v>0.05</v>
      </c>
      <c r="O111" s="6">
        <v>-1</v>
      </c>
    </row>
    <row r="112" spans="1:15" x14ac:dyDescent="0.25">
      <c r="A112" s="5">
        <v>46211</v>
      </c>
      <c r="B112" s="6">
        <v>0</v>
      </c>
      <c r="C112" s="6">
        <v>19</v>
      </c>
      <c r="D112" s="6">
        <v>0</v>
      </c>
      <c r="E112" s="6">
        <v>9</v>
      </c>
      <c r="F112" s="6">
        <v>0</v>
      </c>
      <c r="G112" s="6">
        <v>0</v>
      </c>
      <c r="H112" s="6">
        <v>19</v>
      </c>
      <c r="I112" s="6">
        <v>1</v>
      </c>
      <c r="J112" s="9">
        <v>0.95</v>
      </c>
      <c r="K112" s="9">
        <v>0.45</v>
      </c>
      <c r="L112" s="6">
        <v>-1</v>
      </c>
      <c r="M112" s="9">
        <v>0.95</v>
      </c>
      <c r="N112" s="6">
        <v>0.05</v>
      </c>
      <c r="O112" s="6">
        <v>-1</v>
      </c>
    </row>
    <row r="113" spans="1:15" x14ac:dyDescent="0.25">
      <c r="A113" s="5">
        <v>46212</v>
      </c>
      <c r="B113" s="6">
        <v>0</v>
      </c>
      <c r="C113" s="6">
        <v>19</v>
      </c>
      <c r="D113" s="6">
        <v>0</v>
      </c>
      <c r="E113" s="6">
        <v>9</v>
      </c>
      <c r="F113" s="6">
        <v>0</v>
      </c>
      <c r="G113" s="6">
        <v>0</v>
      </c>
      <c r="H113" s="6">
        <v>19</v>
      </c>
      <c r="I113" s="6">
        <v>1</v>
      </c>
      <c r="J113" s="9">
        <v>0.95</v>
      </c>
      <c r="K113" s="9">
        <v>0.45</v>
      </c>
      <c r="L113" s="6">
        <v>-1</v>
      </c>
      <c r="M113" s="9">
        <v>0.95</v>
      </c>
      <c r="N113" s="6">
        <v>0.05</v>
      </c>
      <c r="O113" s="6">
        <v>-1</v>
      </c>
    </row>
    <row r="114" spans="1:15" x14ac:dyDescent="0.25">
      <c r="A114" s="5">
        <v>46213</v>
      </c>
      <c r="B114" s="6">
        <v>0</v>
      </c>
      <c r="C114" s="6">
        <v>19</v>
      </c>
      <c r="D114" s="6">
        <v>0</v>
      </c>
      <c r="E114" s="6">
        <v>9</v>
      </c>
      <c r="F114" s="6">
        <v>0</v>
      </c>
      <c r="G114" s="6">
        <v>0</v>
      </c>
      <c r="H114" s="6">
        <v>19</v>
      </c>
      <c r="I114" s="6">
        <v>1</v>
      </c>
      <c r="J114" s="9">
        <v>0.95</v>
      </c>
      <c r="K114" s="9">
        <v>0.45</v>
      </c>
      <c r="L114" s="6">
        <v>-1</v>
      </c>
      <c r="M114" s="9">
        <v>0.95</v>
      </c>
      <c r="N114" s="6">
        <v>0.05</v>
      </c>
      <c r="O114" s="6">
        <v>-1</v>
      </c>
    </row>
    <row r="115" spans="1:15" x14ac:dyDescent="0.25">
      <c r="A115" s="5">
        <v>46214</v>
      </c>
      <c r="B115" s="6">
        <v>0</v>
      </c>
      <c r="C115" s="6">
        <v>19</v>
      </c>
      <c r="D115" s="6">
        <v>0</v>
      </c>
      <c r="E115" s="6">
        <v>9</v>
      </c>
      <c r="F115" s="6">
        <v>0</v>
      </c>
      <c r="G115" s="6">
        <v>0</v>
      </c>
      <c r="H115" s="6">
        <v>19</v>
      </c>
      <c r="I115" s="6">
        <v>1</v>
      </c>
      <c r="J115" s="9">
        <v>0.95</v>
      </c>
      <c r="K115" s="9">
        <v>0.45</v>
      </c>
      <c r="L115" s="6">
        <v>-1</v>
      </c>
      <c r="M115" s="9">
        <v>0.95</v>
      </c>
      <c r="N115" s="6">
        <v>0.05</v>
      </c>
      <c r="O115" s="6">
        <v>-1</v>
      </c>
    </row>
    <row r="116" spans="1:15" x14ac:dyDescent="0.25">
      <c r="A116" s="5">
        <v>46215</v>
      </c>
      <c r="B116" s="6">
        <v>0</v>
      </c>
      <c r="C116" s="6">
        <v>19</v>
      </c>
      <c r="D116" s="6">
        <v>0</v>
      </c>
      <c r="E116" s="6">
        <v>9</v>
      </c>
      <c r="F116" s="6">
        <v>0</v>
      </c>
      <c r="G116" s="6">
        <v>0</v>
      </c>
      <c r="H116" s="6">
        <v>19</v>
      </c>
      <c r="I116" s="6">
        <v>1</v>
      </c>
      <c r="J116" s="9">
        <v>0.95</v>
      </c>
      <c r="K116" s="9">
        <v>0.45</v>
      </c>
      <c r="L116" s="6">
        <v>-1</v>
      </c>
      <c r="M116" s="9">
        <v>0.95</v>
      </c>
      <c r="N116" s="6">
        <v>0.05</v>
      </c>
      <c r="O116" s="6">
        <v>-1</v>
      </c>
    </row>
    <row r="117" spans="1:15" x14ac:dyDescent="0.25">
      <c r="A117" s="5">
        <v>46216</v>
      </c>
      <c r="B117" s="6">
        <v>0</v>
      </c>
      <c r="C117" s="6">
        <v>19</v>
      </c>
      <c r="D117" s="6">
        <v>0</v>
      </c>
      <c r="E117" s="6">
        <v>9</v>
      </c>
      <c r="F117" s="6">
        <v>0</v>
      </c>
      <c r="G117" s="6">
        <v>0</v>
      </c>
      <c r="H117" s="6">
        <v>19</v>
      </c>
      <c r="I117" s="6">
        <v>1</v>
      </c>
      <c r="J117" s="9">
        <v>0.95</v>
      </c>
      <c r="K117" s="9">
        <v>0.45</v>
      </c>
      <c r="L117" s="6">
        <v>-1</v>
      </c>
      <c r="M117" s="9">
        <v>0.95</v>
      </c>
      <c r="N117" s="6">
        <v>0.05</v>
      </c>
      <c r="O117" s="6">
        <v>-1</v>
      </c>
    </row>
    <row r="118" spans="1:15" x14ac:dyDescent="0.25">
      <c r="A118" s="5">
        <v>46217</v>
      </c>
      <c r="B118" s="6">
        <v>0</v>
      </c>
      <c r="C118" s="6">
        <v>19</v>
      </c>
      <c r="D118" s="6">
        <v>0</v>
      </c>
      <c r="E118" s="6">
        <v>9</v>
      </c>
      <c r="F118" s="6">
        <v>0</v>
      </c>
      <c r="G118" s="6">
        <v>0</v>
      </c>
      <c r="H118" s="6">
        <v>19</v>
      </c>
      <c r="I118" s="6">
        <v>1</v>
      </c>
      <c r="J118" s="9">
        <v>0.95</v>
      </c>
      <c r="K118" s="9">
        <v>0.45</v>
      </c>
      <c r="L118" s="6">
        <v>-1</v>
      </c>
      <c r="M118" s="9">
        <v>0.95</v>
      </c>
      <c r="N118" s="6">
        <v>0.05</v>
      </c>
      <c r="O118" s="6">
        <v>-1</v>
      </c>
    </row>
    <row r="119" spans="1:15" x14ac:dyDescent="0.25">
      <c r="A119" s="5">
        <v>46218</v>
      </c>
      <c r="B119" s="6">
        <v>0</v>
      </c>
      <c r="C119" s="6">
        <v>19</v>
      </c>
      <c r="D119" s="6">
        <v>0</v>
      </c>
      <c r="E119" s="6">
        <v>9</v>
      </c>
      <c r="F119" s="6">
        <v>0</v>
      </c>
      <c r="G119" s="6">
        <v>0</v>
      </c>
      <c r="H119" s="6">
        <v>19</v>
      </c>
      <c r="I119" s="6">
        <v>1</v>
      </c>
      <c r="J119" s="9">
        <v>0.95</v>
      </c>
      <c r="K119" s="9">
        <v>0.45</v>
      </c>
      <c r="L119" s="6">
        <v>-1</v>
      </c>
      <c r="M119" s="9">
        <v>0.95</v>
      </c>
      <c r="N119" s="6">
        <v>0.05</v>
      </c>
      <c r="O119" s="6">
        <v>-1</v>
      </c>
    </row>
    <row r="120" spans="1:15" x14ac:dyDescent="0.25">
      <c r="A120" s="5">
        <v>46219</v>
      </c>
      <c r="B120" s="6">
        <v>0</v>
      </c>
      <c r="C120" s="6">
        <v>19</v>
      </c>
      <c r="D120" s="6">
        <v>0</v>
      </c>
      <c r="E120" s="6">
        <v>9</v>
      </c>
      <c r="F120" s="6">
        <v>0</v>
      </c>
      <c r="G120" s="6">
        <v>0</v>
      </c>
      <c r="H120" s="6">
        <v>19</v>
      </c>
      <c r="I120" s="6">
        <v>1</v>
      </c>
      <c r="J120" s="9">
        <v>0.95</v>
      </c>
      <c r="K120" s="9">
        <v>0.45</v>
      </c>
      <c r="L120" s="6">
        <v>-1</v>
      </c>
      <c r="M120" s="9">
        <v>0.95</v>
      </c>
      <c r="N120" s="6">
        <v>0.05</v>
      </c>
      <c r="O120" s="6">
        <v>-1</v>
      </c>
    </row>
    <row r="121" spans="1:15" x14ac:dyDescent="0.25">
      <c r="A121" s="5">
        <v>46220</v>
      </c>
      <c r="B121" s="6">
        <v>0</v>
      </c>
      <c r="C121" s="6">
        <v>19</v>
      </c>
      <c r="D121" s="6">
        <v>0</v>
      </c>
      <c r="E121" s="6">
        <v>9</v>
      </c>
      <c r="F121" s="6">
        <v>0</v>
      </c>
      <c r="G121" s="6">
        <v>0</v>
      </c>
      <c r="H121" s="6">
        <v>19</v>
      </c>
      <c r="I121" s="6">
        <v>1</v>
      </c>
      <c r="J121" s="9">
        <v>0.95</v>
      </c>
      <c r="K121" s="9">
        <v>0.45</v>
      </c>
      <c r="L121" s="6">
        <v>-1</v>
      </c>
      <c r="M121" s="9">
        <v>0.95</v>
      </c>
      <c r="N121" s="6">
        <v>0.05</v>
      </c>
      <c r="O121" s="6">
        <v>-1</v>
      </c>
    </row>
    <row r="122" spans="1:15" x14ac:dyDescent="0.25">
      <c r="A122" s="5">
        <v>46221</v>
      </c>
      <c r="B122" s="6">
        <v>0</v>
      </c>
      <c r="C122" s="6">
        <v>19</v>
      </c>
      <c r="D122" s="6">
        <v>0</v>
      </c>
      <c r="E122" s="6">
        <v>9</v>
      </c>
      <c r="F122" s="6">
        <v>0</v>
      </c>
      <c r="G122" s="6">
        <v>0</v>
      </c>
      <c r="H122" s="6">
        <v>19</v>
      </c>
      <c r="I122" s="6">
        <v>1</v>
      </c>
      <c r="J122" s="9">
        <v>0.95</v>
      </c>
      <c r="K122" s="9">
        <v>0.45</v>
      </c>
      <c r="L122" s="6">
        <v>-1</v>
      </c>
      <c r="M122" s="9">
        <v>0.95</v>
      </c>
      <c r="N122" s="6">
        <v>0.05</v>
      </c>
      <c r="O122" s="6">
        <v>-1</v>
      </c>
    </row>
    <row r="123" spans="1:15" x14ac:dyDescent="0.25">
      <c r="A123" s="5">
        <v>46222</v>
      </c>
      <c r="B123" s="6">
        <v>0</v>
      </c>
      <c r="C123" s="6">
        <v>19</v>
      </c>
      <c r="D123" s="6">
        <v>0</v>
      </c>
      <c r="E123" s="6">
        <v>9</v>
      </c>
      <c r="F123" s="6">
        <v>0</v>
      </c>
      <c r="G123" s="6">
        <v>0</v>
      </c>
      <c r="H123" s="6">
        <v>19</v>
      </c>
      <c r="I123" s="6">
        <v>1</v>
      </c>
      <c r="J123" s="9">
        <v>0.95</v>
      </c>
      <c r="K123" s="9">
        <v>0.45</v>
      </c>
      <c r="L123" s="6">
        <v>-1</v>
      </c>
      <c r="M123" s="9">
        <v>0.95</v>
      </c>
      <c r="N123" s="6">
        <v>0.05</v>
      </c>
      <c r="O123" s="6">
        <v>-1</v>
      </c>
    </row>
    <row r="124" spans="1:15" x14ac:dyDescent="0.25">
      <c r="A124" s="5">
        <v>46223</v>
      </c>
      <c r="B124" s="6">
        <v>0</v>
      </c>
      <c r="C124" s="6">
        <v>19</v>
      </c>
      <c r="D124" s="6">
        <v>0</v>
      </c>
      <c r="E124" s="6">
        <v>9</v>
      </c>
      <c r="F124" s="6">
        <v>0</v>
      </c>
      <c r="G124" s="6">
        <v>0</v>
      </c>
      <c r="H124" s="6">
        <v>19</v>
      </c>
      <c r="I124" s="6">
        <v>1</v>
      </c>
      <c r="J124" s="9">
        <v>0.95</v>
      </c>
      <c r="K124" s="9">
        <v>0.45</v>
      </c>
      <c r="L124" s="6">
        <v>-1</v>
      </c>
      <c r="M124" s="9">
        <v>0.95</v>
      </c>
      <c r="N124" s="6">
        <v>0.05</v>
      </c>
      <c r="O124" s="6">
        <v>-1</v>
      </c>
    </row>
    <row r="125" spans="1:15" x14ac:dyDescent="0.25">
      <c r="A125" s="5">
        <v>46224</v>
      </c>
      <c r="B125" s="6">
        <v>0</v>
      </c>
      <c r="C125" s="6">
        <v>19</v>
      </c>
      <c r="D125" s="6">
        <v>0</v>
      </c>
      <c r="E125" s="6">
        <v>9</v>
      </c>
      <c r="F125" s="6">
        <v>0</v>
      </c>
      <c r="G125" s="6">
        <v>0</v>
      </c>
      <c r="H125" s="6">
        <v>19</v>
      </c>
      <c r="I125" s="6">
        <v>1</v>
      </c>
      <c r="J125" s="9">
        <v>0.95</v>
      </c>
      <c r="K125" s="9">
        <v>0.45</v>
      </c>
      <c r="L125" s="6">
        <v>-1</v>
      </c>
      <c r="M125" s="9">
        <v>0.95</v>
      </c>
      <c r="N125" s="6">
        <v>0.05</v>
      </c>
      <c r="O125" s="6">
        <v>-1</v>
      </c>
    </row>
    <row r="126" spans="1:15" x14ac:dyDescent="0.25">
      <c r="A126" s="5">
        <v>46225</v>
      </c>
      <c r="B126" s="6">
        <v>1</v>
      </c>
      <c r="C126" s="6">
        <v>20</v>
      </c>
      <c r="D126" s="6">
        <v>0</v>
      </c>
      <c r="E126" s="6">
        <v>9</v>
      </c>
      <c r="F126" s="6">
        <v>0</v>
      </c>
      <c r="G126" s="6">
        <v>0</v>
      </c>
      <c r="H126" s="6">
        <v>19</v>
      </c>
      <c r="I126" s="6">
        <v>1</v>
      </c>
      <c r="J126" s="9">
        <v>1</v>
      </c>
      <c r="K126" s="9">
        <v>0.45</v>
      </c>
      <c r="L126" s="6">
        <v>-1</v>
      </c>
      <c r="M126" s="9">
        <v>0.95</v>
      </c>
      <c r="N126" s="6">
        <v>0.05</v>
      </c>
      <c r="O126" s="6">
        <v>-1</v>
      </c>
    </row>
    <row r="127" spans="1:15" x14ac:dyDescent="0.25">
      <c r="A127" s="5">
        <v>46226</v>
      </c>
      <c r="B127" s="6">
        <v>0</v>
      </c>
      <c r="C127" s="6">
        <v>20</v>
      </c>
      <c r="D127" s="6">
        <v>0</v>
      </c>
      <c r="E127" s="6">
        <v>9</v>
      </c>
      <c r="F127" s="6">
        <v>0</v>
      </c>
      <c r="G127" s="6">
        <v>0</v>
      </c>
      <c r="H127" s="6">
        <v>19</v>
      </c>
      <c r="I127" s="6">
        <v>1</v>
      </c>
      <c r="J127" s="9">
        <v>1</v>
      </c>
      <c r="K127" s="9">
        <v>0.45</v>
      </c>
      <c r="L127" s="6">
        <v>-1</v>
      </c>
      <c r="M127" s="9">
        <v>0.95</v>
      </c>
      <c r="N127" s="6">
        <v>0.05</v>
      </c>
      <c r="O127" s="6">
        <v>-1</v>
      </c>
    </row>
    <row r="128" spans="1:15" x14ac:dyDescent="0.25">
      <c r="A128" s="5">
        <v>46227</v>
      </c>
      <c r="B128" s="6">
        <v>0</v>
      </c>
      <c r="C128" s="6">
        <v>20</v>
      </c>
      <c r="D128" s="6">
        <v>0</v>
      </c>
      <c r="E128" s="6">
        <v>9</v>
      </c>
      <c r="F128" s="6">
        <v>0</v>
      </c>
      <c r="G128" s="6">
        <v>0</v>
      </c>
      <c r="H128" s="6">
        <v>19</v>
      </c>
      <c r="I128" s="6">
        <v>1</v>
      </c>
      <c r="J128" s="9">
        <v>1</v>
      </c>
      <c r="K128" s="9">
        <v>0.45</v>
      </c>
      <c r="L128" s="6">
        <v>-1</v>
      </c>
      <c r="M128" s="9">
        <v>0.95</v>
      </c>
      <c r="N128" s="6">
        <v>0.05</v>
      </c>
      <c r="O128" s="6">
        <v>-1</v>
      </c>
    </row>
    <row r="129" spans="1:15" x14ac:dyDescent="0.25">
      <c r="A129" s="5">
        <v>46228</v>
      </c>
      <c r="B129" s="6">
        <v>0</v>
      </c>
      <c r="C129" s="6">
        <v>20</v>
      </c>
      <c r="D129" s="6">
        <v>0</v>
      </c>
      <c r="E129" s="6">
        <v>9</v>
      </c>
      <c r="F129" s="6">
        <v>0</v>
      </c>
      <c r="G129" s="6">
        <v>0</v>
      </c>
      <c r="H129" s="6">
        <v>19</v>
      </c>
      <c r="I129" s="6">
        <v>1</v>
      </c>
      <c r="J129" s="9">
        <v>1</v>
      </c>
      <c r="K129" s="9">
        <v>0.45</v>
      </c>
      <c r="L129" s="6">
        <v>-1</v>
      </c>
      <c r="M129" s="9">
        <v>0.95</v>
      </c>
      <c r="N129" s="6">
        <v>0.05</v>
      </c>
      <c r="O129" s="6">
        <v>-1</v>
      </c>
    </row>
    <row r="130" spans="1:15" x14ac:dyDescent="0.25">
      <c r="A130" s="5">
        <v>46229</v>
      </c>
      <c r="B130" s="6">
        <v>0</v>
      </c>
      <c r="C130" s="6">
        <v>20</v>
      </c>
      <c r="D130" s="6">
        <v>0</v>
      </c>
      <c r="E130" s="6">
        <v>9</v>
      </c>
      <c r="F130" s="6">
        <v>0</v>
      </c>
      <c r="G130" s="6">
        <v>0</v>
      </c>
      <c r="H130" s="6">
        <v>19</v>
      </c>
      <c r="I130" s="6">
        <v>1</v>
      </c>
      <c r="J130" s="9">
        <v>1</v>
      </c>
      <c r="K130" s="9">
        <v>0.45</v>
      </c>
      <c r="L130" s="6">
        <v>-1</v>
      </c>
      <c r="M130" s="9">
        <v>0.95</v>
      </c>
      <c r="N130" s="6">
        <v>0.05</v>
      </c>
      <c r="O130" s="6">
        <v>-1</v>
      </c>
    </row>
    <row r="131" spans="1:15" x14ac:dyDescent="0.25">
      <c r="A131" s="5">
        <v>46230</v>
      </c>
      <c r="B131" s="6">
        <v>0</v>
      </c>
      <c r="C131" s="6">
        <v>20</v>
      </c>
      <c r="D131" s="6">
        <v>0</v>
      </c>
      <c r="E131" s="6">
        <v>9</v>
      </c>
      <c r="F131" s="6">
        <v>0</v>
      </c>
      <c r="G131" s="6">
        <v>0</v>
      </c>
      <c r="H131" s="6">
        <v>19</v>
      </c>
      <c r="I131" s="6">
        <v>1</v>
      </c>
      <c r="J131" s="9">
        <v>1</v>
      </c>
      <c r="K131" s="9">
        <v>0.45</v>
      </c>
      <c r="L131" s="6">
        <v>-1</v>
      </c>
      <c r="M131" s="9">
        <v>0.95</v>
      </c>
      <c r="N131" s="6">
        <v>0.05</v>
      </c>
      <c r="O131" s="6">
        <v>-1</v>
      </c>
    </row>
    <row r="132" spans="1:15" x14ac:dyDescent="0.25">
      <c r="A132" s="5">
        <v>46231</v>
      </c>
      <c r="B132" s="6">
        <v>0</v>
      </c>
      <c r="C132" s="6">
        <v>20</v>
      </c>
      <c r="D132" s="6">
        <v>0</v>
      </c>
      <c r="E132" s="6">
        <v>9</v>
      </c>
      <c r="F132" s="6">
        <v>1</v>
      </c>
      <c r="G132" s="6">
        <v>0</v>
      </c>
      <c r="H132" s="6">
        <v>20</v>
      </c>
      <c r="I132" s="6">
        <v>1</v>
      </c>
      <c r="J132" s="9">
        <v>1</v>
      </c>
      <c r="K132" s="9">
        <v>0.45</v>
      </c>
      <c r="L132" s="6">
        <v>-1</v>
      </c>
      <c r="M132" s="9">
        <v>1</v>
      </c>
      <c r="N132" s="6">
        <v>0.05</v>
      </c>
      <c r="O132" s="6">
        <v>-1</v>
      </c>
    </row>
    <row r="133" spans="1:15" x14ac:dyDescent="0.25">
      <c r="A133" s="5">
        <v>46232</v>
      </c>
      <c r="B133" s="6">
        <v>0</v>
      </c>
      <c r="C133" s="6">
        <v>20</v>
      </c>
      <c r="D133" s="6">
        <v>0</v>
      </c>
      <c r="E133" s="6">
        <v>9</v>
      </c>
      <c r="F133" s="6">
        <v>0</v>
      </c>
      <c r="G133" s="6">
        <v>0</v>
      </c>
      <c r="H133" s="6">
        <v>20</v>
      </c>
      <c r="I133" s="6">
        <v>1</v>
      </c>
      <c r="J133" s="9">
        <v>1</v>
      </c>
      <c r="K133" s="9">
        <v>0.45</v>
      </c>
      <c r="L133" s="6">
        <v>-1</v>
      </c>
      <c r="M133" s="9">
        <v>1</v>
      </c>
      <c r="N133" s="6">
        <v>0.05</v>
      </c>
      <c r="O133" s="6">
        <v>-1</v>
      </c>
    </row>
    <row r="134" spans="1:15" x14ac:dyDescent="0.25">
      <c r="A134" s="5">
        <v>46233</v>
      </c>
      <c r="B134" s="6">
        <v>0</v>
      </c>
      <c r="C134" s="6">
        <v>20</v>
      </c>
      <c r="D134" s="6">
        <v>0</v>
      </c>
      <c r="E134" s="6">
        <v>9</v>
      </c>
      <c r="F134" s="6">
        <v>0</v>
      </c>
      <c r="G134" s="6">
        <v>0</v>
      </c>
      <c r="H134" s="6">
        <v>20</v>
      </c>
      <c r="I134" s="6">
        <v>1</v>
      </c>
      <c r="J134" s="9">
        <v>1</v>
      </c>
      <c r="K134" s="9">
        <v>0.45</v>
      </c>
      <c r="L134" s="6">
        <v>-1</v>
      </c>
      <c r="M134" s="9">
        <v>1</v>
      </c>
      <c r="N134" s="6">
        <v>0.05</v>
      </c>
      <c r="O134" s="6">
        <v>-1</v>
      </c>
    </row>
    <row r="135" spans="1:15" x14ac:dyDescent="0.25">
      <c r="A135" s="5">
        <v>46234</v>
      </c>
      <c r="B135" s="6">
        <v>0</v>
      </c>
      <c r="C135" s="6">
        <v>20</v>
      </c>
      <c r="D135" s="6">
        <v>0</v>
      </c>
      <c r="E135" s="6">
        <v>9</v>
      </c>
      <c r="F135" s="6">
        <v>0</v>
      </c>
      <c r="G135" s="6">
        <v>0</v>
      </c>
      <c r="H135" s="6">
        <v>20</v>
      </c>
      <c r="I135" s="6">
        <v>1</v>
      </c>
      <c r="J135" s="9">
        <v>1</v>
      </c>
      <c r="K135" s="9">
        <v>0.45</v>
      </c>
      <c r="L135" s="6">
        <v>-1</v>
      </c>
      <c r="M135" s="9">
        <v>1</v>
      </c>
      <c r="N135" s="6">
        <v>0.05</v>
      </c>
      <c r="O135" s="6">
        <v>-1</v>
      </c>
    </row>
    <row r="136" spans="1:15" x14ac:dyDescent="0.25">
      <c r="A136" s="5">
        <v>46235</v>
      </c>
      <c r="B136" s="6">
        <v>0</v>
      </c>
      <c r="C136" s="6">
        <v>20</v>
      </c>
      <c r="D136" s="6">
        <v>0</v>
      </c>
      <c r="E136" s="6">
        <v>9</v>
      </c>
      <c r="F136" s="6">
        <v>0</v>
      </c>
      <c r="G136" s="6">
        <v>0</v>
      </c>
      <c r="H136" s="6">
        <v>20</v>
      </c>
      <c r="I136" s="6">
        <v>1</v>
      </c>
      <c r="J136" s="9">
        <v>1</v>
      </c>
      <c r="K136" s="9">
        <v>0.45</v>
      </c>
      <c r="L136" s="6">
        <v>-1</v>
      </c>
      <c r="M136" s="9">
        <v>1</v>
      </c>
      <c r="N136" s="6">
        <v>0.05</v>
      </c>
      <c r="O136" s="6">
        <v>-1</v>
      </c>
    </row>
    <row r="137" spans="1:15" x14ac:dyDescent="0.25">
      <c r="A137" s="5">
        <v>46236</v>
      </c>
      <c r="B137" s="6">
        <v>0</v>
      </c>
      <c r="C137" s="6">
        <v>20</v>
      </c>
      <c r="D137" s="6">
        <v>0</v>
      </c>
      <c r="E137" s="6">
        <v>9</v>
      </c>
      <c r="F137" s="6">
        <v>0</v>
      </c>
      <c r="G137" s="6">
        <v>0</v>
      </c>
      <c r="H137" s="6">
        <v>20</v>
      </c>
      <c r="I137" s="6">
        <v>1</v>
      </c>
      <c r="J137" s="9">
        <v>1</v>
      </c>
      <c r="K137" s="9">
        <v>0.45</v>
      </c>
      <c r="L137" s="6">
        <v>-1</v>
      </c>
      <c r="M137" s="9">
        <v>1</v>
      </c>
      <c r="N137" s="6">
        <v>0.05</v>
      </c>
      <c r="O137" s="6">
        <v>-1</v>
      </c>
    </row>
    <row r="138" spans="1:15" x14ac:dyDescent="0.25">
      <c r="A138" s="5">
        <v>46237</v>
      </c>
      <c r="B138" s="6">
        <v>0</v>
      </c>
      <c r="C138" s="6">
        <v>20</v>
      </c>
      <c r="D138" s="6">
        <v>0</v>
      </c>
      <c r="E138" s="6">
        <v>9</v>
      </c>
      <c r="F138" s="6">
        <v>0</v>
      </c>
      <c r="G138" s="6">
        <v>0</v>
      </c>
      <c r="H138" s="6">
        <v>20</v>
      </c>
      <c r="I138" s="6">
        <v>1</v>
      </c>
      <c r="J138" s="9">
        <v>1</v>
      </c>
      <c r="K138" s="9">
        <v>0.45</v>
      </c>
      <c r="L138" s="6">
        <v>-1</v>
      </c>
      <c r="M138" s="9">
        <v>1</v>
      </c>
      <c r="N138" s="6">
        <v>0.05</v>
      </c>
      <c r="O138" s="6">
        <v>-1</v>
      </c>
    </row>
    <row r="139" spans="1:15" x14ac:dyDescent="0.25">
      <c r="A139" s="5">
        <v>46238</v>
      </c>
      <c r="B139" s="6">
        <v>0</v>
      </c>
      <c r="C139" s="6">
        <v>20</v>
      </c>
      <c r="D139" s="6">
        <v>0</v>
      </c>
      <c r="E139" s="6">
        <v>9</v>
      </c>
      <c r="F139" s="6">
        <v>0</v>
      </c>
      <c r="G139" s="6">
        <v>0</v>
      </c>
      <c r="H139" s="6">
        <v>20</v>
      </c>
      <c r="I139" s="6">
        <v>1</v>
      </c>
      <c r="J139" s="9">
        <v>1</v>
      </c>
      <c r="K139" s="9">
        <v>0.45</v>
      </c>
      <c r="L139" s="6">
        <v>-1</v>
      </c>
      <c r="M139" s="9">
        <v>1</v>
      </c>
      <c r="N139" s="6">
        <v>0.05</v>
      </c>
      <c r="O139" s="6">
        <v>-1</v>
      </c>
    </row>
    <row r="140" spans="1:15" x14ac:dyDescent="0.25">
      <c r="A140" s="5">
        <v>46239</v>
      </c>
      <c r="B140" s="6">
        <v>0</v>
      </c>
      <c r="C140" s="6">
        <v>20</v>
      </c>
      <c r="D140" s="6">
        <v>0</v>
      </c>
      <c r="E140" s="6">
        <v>9</v>
      </c>
      <c r="F140" s="6">
        <v>0</v>
      </c>
      <c r="G140" s="6">
        <v>0</v>
      </c>
      <c r="H140" s="6">
        <v>20</v>
      </c>
      <c r="I140" s="6">
        <v>1</v>
      </c>
      <c r="J140" s="9">
        <v>1</v>
      </c>
      <c r="K140" s="9">
        <v>0.45</v>
      </c>
      <c r="L140" s="6">
        <v>-1</v>
      </c>
      <c r="M140" s="9">
        <v>1</v>
      </c>
      <c r="N140" s="6">
        <v>0.05</v>
      </c>
      <c r="O140" s="6">
        <v>-1</v>
      </c>
    </row>
    <row r="141" spans="1:15" x14ac:dyDescent="0.25">
      <c r="A141" s="5">
        <v>46240</v>
      </c>
      <c r="B141" s="6">
        <v>0</v>
      </c>
      <c r="C141" s="6">
        <v>20</v>
      </c>
      <c r="D141" s="6">
        <v>0</v>
      </c>
      <c r="E141" s="6">
        <v>9</v>
      </c>
      <c r="F141" s="6">
        <v>0</v>
      </c>
      <c r="G141" s="6">
        <v>0</v>
      </c>
      <c r="H141" s="6">
        <v>20</v>
      </c>
      <c r="I141" s="6">
        <v>1</v>
      </c>
      <c r="J141" s="9">
        <v>1</v>
      </c>
      <c r="K141" s="9">
        <v>0.45</v>
      </c>
      <c r="L141" s="6">
        <v>-1</v>
      </c>
      <c r="M141" s="9">
        <v>1</v>
      </c>
      <c r="N141" s="6">
        <v>0.05</v>
      </c>
      <c r="O141" s="6">
        <v>-1</v>
      </c>
    </row>
    <row r="142" spans="1:15" x14ac:dyDescent="0.25">
      <c r="A142" s="5">
        <v>46241</v>
      </c>
      <c r="B142" s="6">
        <v>0</v>
      </c>
      <c r="C142" s="6">
        <v>20</v>
      </c>
      <c r="D142" s="6">
        <v>0</v>
      </c>
      <c r="E142" s="6">
        <v>9</v>
      </c>
      <c r="F142" s="6">
        <v>0</v>
      </c>
      <c r="G142" s="6">
        <v>0</v>
      </c>
      <c r="H142" s="6">
        <v>20</v>
      </c>
      <c r="I142" s="6">
        <v>1</v>
      </c>
      <c r="J142" s="9">
        <v>1</v>
      </c>
      <c r="K142" s="9">
        <v>0.45</v>
      </c>
      <c r="L142" s="6">
        <v>-1</v>
      </c>
      <c r="M142" s="9">
        <v>1</v>
      </c>
      <c r="N142" s="6">
        <v>0.05</v>
      </c>
      <c r="O142" s="6">
        <v>-1</v>
      </c>
    </row>
    <row r="143" spans="1:15" x14ac:dyDescent="0.25">
      <c r="A143" s="5">
        <v>46242</v>
      </c>
      <c r="B143" s="6">
        <v>0</v>
      </c>
      <c r="C143" s="6">
        <v>20</v>
      </c>
      <c r="D143" s="6">
        <v>0</v>
      </c>
      <c r="E143" s="6">
        <v>9</v>
      </c>
      <c r="F143" s="6">
        <v>0</v>
      </c>
      <c r="G143" s="6">
        <v>0</v>
      </c>
      <c r="H143" s="6">
        <v>20</v>
      </c>
      <c r="I143" s="6">
        <v>1</v>
      </c>
      <c r="J143" s="9">
        <v>1</v>
      </c>
      <c r="K143" s="9">
        <v>0.45</v>
      </c>
      <c r="L143" s="6">
        <v>-1</v>
      </c>
      <c r="M143" s="9">
        <v>1</v>
      </c>
      <c r="N143" s="6">
        <v>0.05</v>
      </c>
      <c r="O143" s="6">
        <v>-1</v>
      </c>
    </row>
    <row r="144" spans="1:15" x14ac:dyDescent="0.25">
      <c r="A144" s="5">
        <v>46243</v>
      </c>
      <c r="B144" s="6">
        <v>0</v>
      </c>
      <c r="C144" s="6">
        <v>20</v>
      </c>
      <c r="D144" s="6">
        <v>0</v>
      </c>
      <c r="E144" s="6">
        <v>9</v>
      </c>
      <c r="F144" s="6">
        <v>0</v>
      </c>
      <c r="G144" s="6">
        <v>0</v>
      </c>
      <c r="H144" s="6">
        <v>20</v>
      </c>
      <c r="I144" s="6">
        <v>1</v>
      </c>
      <c r="J144" s="9">
        <v>1</v>
      </c>
      <c r="K144" s="9">
        <v>0.45</v>
      </c>
      <c r="L144" s="6">
        <v>-1</v>
      </c>
      <c r="M144" s="9">
        <v>1</v>
      </c>
      <c r="N144" s="6">
        <v>0.05</v>
      </c>
      <c r="O144" s="6">
        <v>-1</v>
      </c>
    </row>
    <row r="145" spans="1:15" x14ac:dyDescent="0.25">
      <c r="A145" s="5">
        <v>46244</v>
      </c>
      <c r="B145" s="6">
        <v>0</v>
      </c>
      <c r="C145" s="6">
        <v>20</v>
      </c>
      <c r="D145" s="6">
        <v>0</v>
      </c>
      <c r="E145" s="6">
        <v>9</v>
      </c>
      <c r="F145" s="6">
        <v>0</v>
      </c>
      <c r="G145" s="6">
        <v>0</v>
      </c>
      <c r="H145" s="6">
        <v>20</v>
      </c>
      <c r="I145" s="6">
        <v>1</v>
      </c>
      <c r="J145" s="9">
        <v>1</v>
      </c>
      <c r="K145" s="9">
        <v>0.45</v>
      </c>
      <c r="L145" s="6">
        <v>-1</v>
      </c>
      <c r="M145" s="9">
        <v>1</v>
      </c>
      <c r="N145" s="6">
        <v>0.05</v>
      </c>
      <c r="O145" s="6">
        <v>-1</v>
      </c>
    </row>
    <row r="146" spans="1:15" x14ac:dyDescent="0.25">
      <c r="A146" s="5">
        <v>46245</v>
      </c>
      <c r="B146" s="6">
        <v>0</v>
      </c>
      <c r="C146" s="6">
        <v>20</v>
      </c>
      <c r="D146" s="6">
        <v>0</v>
      </c>
      <c r="E146" s="6">
        <v>9</v>
      </c>
      <c r="F146" s="6">
        <v>0</v>
      </c>
      <c r="G146" s="6">
        <v>0</v>
      </c>
      <c r="H146" s="6">
        <v>20</v>
      </c>
      <c r="I146" s="6">
        <v>1</v>
      </c>
      <c r="J146" s="9">
        <v>1</v>
      </c>
      <c r="K146" s="9">
        <v>0.45</v>
      </c>
      <c r="L146" s="6">
        <v>-1</v>
      </c>
      <c r="M146" s="9">
        <v>1</v>
      </c>
      <c r="N146" s="6">
        <v>0.05</v>
      </c>
      <c r="O146" s="6">
        <v>-1</v>
      </c>
    </row>
    <row r="147" spans="1:15" x14ac:dyDescent="0.25">
      <c r="A147" s="5">
        <v>46246</v>
      </c>
      <c r="B147" s="6">
        <v>0</v>
      </c>
      <c r="C147" s="6">
        <v>20</v>
      </c>
      <c r="D147" s="6">
        <v>0</v>
      </c>
      <c r="E147" s="6">
        <v>9</v>
      </c>
      <c r="F147" s="6">
        <v>0</v>
      </c>
      <c r="G147" s="6">
        <v>0</v>
      </c>
      <c r="H147" s="6">
        <v>20</v>
      </c>
      <c r="I147" s="6">
        <v>1</v>
      </c>
      <c r="J147" s="9">
        <v>1</v>
      </c>
      <c r="K147" s="9">
        <v>0.45</v>
      </c>
      <c r="L147" s="6">
        <v>-1</v>
      </c>
      <c r="M147" s="9">
        <v>1</v>
      </c>
      <c r="N147" s="6">
        <v>0.05</v>
      </c>
      <c r="O147" s="6">
        <v>-1</v>
      </c>
    </row>
    <row r="148" spans="1:15" x14ac:dyDescent="0.25">
      <c r="A148" s="5">
        <v>46247</v>
      </c>
      <c r="B148" s="6">
        <v>0</v>
      </c>
      <c r="C148" s="6">
        <v>20</v>
      </c>
      <c r="D148" s="6">
        <v>0</v>
      </c>
      <c r="E148" s="6">
        <v>9</v>
      </c>
      <c r="F148" s="6">
        <v>0</v>
      </c>
      <c r="G148" s="6">
        <v>0</v>
      </c>
      <c r="H148" s="6">
        <v>20</v>
      </c>
      <c r="I148" s="6">
        <v>1</v>
      </c>
      <c r="J148" s="9">
        <v>1</v>
      </c>
      <c r="K148" s="9">
        <v>0.45</v>
      </c>
      <c r="L148" s="6">
        <v>-1</v>
      </c>
      <c r="M148" s="9">
        <v>1</v>
      </c>
      <c r="N148" s="6">
        <v>0.05</v>
      </c>
      <c r="O148" s="6">
        <v>-1</v>
      </c>
    </row>
    <row r="149" spans="1:15" x14ac:dyDescent="0.25">
      <c r="A149" s="5">
        <v>46248</v>
      </c>
      <c r="B149" s="6">
        <v>0</v>
      </c>
      <c r="C149" s="6">
        <v>20</v>
      </c>
      <c r="D149" s="6">
        <v>0</v>
      </c>
      <c r="E149" s="6">
        <v>9</v>
      </c>
      <c r="F149" s="6">
        <v>0</v>
      </c>
      <c r="G149" s="6">
        <v>0</v>
      </c>
      <c r="H149" s="6">
        <v>20</v>
      </c>
      <c r="I149" s="6">
        <v>1</v>
      </c>
      <c r="J149" s="9">
        <v>1</v>
      </c>
      <c r="K149" s="9">
        <v>0.45</v>
      </c>
      <c r="L149" s="6">
        <v>-1</v>
      </c>
      <c r="M149" s="9">
        <v>1</v>
      </c>
      <c r="N149" s="6">
        <v>0.05</v>
      </c>
      <c r="O149" s="6">
        <v>-1</v>
      </c>
    </row>
    <row r="150" spans="1:15" x14ac:dyDescent="0.25">
      <c r="A150" s="5">
        <v>46249</v>
      </c>
      <c r="B150" s="6">
        <v>0</v>
      </c>
      <c r="C150" s="6">
        <v>20</v>
      </c>
      <c r="D150" s="6">
        <v>0</v>
      </c>
      <c r="E150" s="6">
        <v>9</v>
      </c>
      <c r="F150" s="6">
        <v>0</v>
      </c>
      <c r="G150" s="6">
        <v>0</v>
      </c>
      <c r="H150" s="6">
        <v>20</v>
      </c>
      <c r="I150" s="6">
        <v>1</v>
      </c>
      <c r="J150" s="9">
        <v>1</v>
      </c>
      <c r="K150" s="9">
        <v>0.45</v>
      </c>
      <c r="L150" s="6">
        <v>-1</v>
      </c>
      <c r="M150" s="9">
        <v>1</v>
      </c>
      <c r="N150" s="6">
        <v>0.05</v>
      </c>
      <c r="O150" s="6">
        <v>-1</v>
      </c>
    </row>
    <row r="151" spans="1:15" x14ac:dyDescent="0.25">
      <c r="A151" s="5">
        <v>46250</v>
      </c>
      <c r="B151" s="6">
        <v>0</v>
      </c>
      <c r="C151" s="6">
        <v>20</v>
      </c>
      <c r="D151" s="6">
        <v>0</v>
      </c>
      <c r="E151" s="6">
        <v>9</v>
      </c>
      <c r="F151" s="6">
        <v>0</v>
      </c>
      <c r="G151" s="6">
        <v>0</v>
      </c>
      <c r="H151" s="6">
        <v>20</v>
      </c>
      <c r="I151" s="6">
        <v>1</v>
      </c>
      <c r="J151" s="9">
        <v>1</v>
      </c>
      <c r="K151" s="9">
        <v>0.45</v>
      </c>
      <c r="L151" s="6">
        <v>-1</v>
      </c>
      <c r="M151" s="9">
        <v>1</v>
      </c>
      <c r="N151" s="6">
        <v>0.05</v>
      </c>
      <c r="O151" s="6">
        <v>-1</v>
      </c>
    </row>
    <row r="152" spans="1:15" x14ac:dyDescent="0.25">
      <c r="A152" s="5">
        <v>46251</v>
      </c>
      <c r="B152" s="6">
        <v>0</v>
      </c>
      <c r="C152" s="6">
        <v>20</v>
      </c>
      <c r="D152" s="6">
        <v>0</v>
      </c>
      <c r="E152" s="6">
        <v>9</v>
      </c>
      <c r="F152" s="6">
        <v>0</v>
      </c>
      <c r="G152" s="6">
        <v>0</v>
      </c>
      <c r="H152" s="6">
        <v>20</v>
      </c>
      <c r="I152" s="6">
        <v>1</v>
      </c>
      <c r="J152" s="9">
        <v>1</v>
      </c>
      <c r="K152" s="9">
        <v>0.45</v>
      </c>
      <c r="L152" s="6">
        <v>-1</v>
      </c>
      <c r="M152" s="9">
        <v>1</v>
      </c>
      <c r="N152" s="6">
        <v>0.05</v>
      </c>
      <c r="O152" s="6">
        <v>-1</v>
      </c>
    </row>
    <row r="153" spans="1:15" x14ac:dyDescent="0.25">
      <c r="A153" s="5">
        <v>46252</v>
      </c>
      <c r="B153" s="6">
        <v>0</v>
      </c>
      <c r="C153" s="6">
        <v>20</v>
      </c>
      <c r="D153" s="6">
        <v>0</v>
      </c>
      <c r="E153" s="6">
        <v>9</v>
      </c>
      <c r="F153" s="6">
        <v>0</v>
      </c>
      <c r="G153" s="6">
        <v>0</v>
      </c>
      <c r="H153" s="6">
        <v>20</v>
      </c>
      <c r="I153" s="6">
        <v>1</v>
      </c>
      <c r="J153" s="9">
        <v>1</v>
      </c>
      <c r="K153" s="9">
        <v>0.45</v>
      </c>
      <c r="L153" s="6">
        <v>-1</v>
      </c>
      <c r="M153" s="9">
        <v>1</v>
      </c>
      <c r="N153" s="6">
        <v>0.05</v>
      </c>
      <c r="O153" s="6">
        <v>-1</v>
      </c>
    </row>
    <row r="154" spans="1:15" x14ac:dyDescent="0.25">
      <c r="A154" s="5">
        <v>46253</v>
      </c>
      <c r="B154" s="6">
        <v>0</v>
      </c>
      <c r="C154" s="6">
        <v>20</v>
      </c>
      <c r="D154" s="6">
        <v>0</v>
      </c>
      <c r="E154" s="6">
        <v>9</v>
      </c>
      <c r="F154" s="6">
        <v>0</v>
      </c>
      <c r="G154" s="6">
        <v>0</v>
      </c>
      <c r="H154" s="6">
        <v>20</v>
      </c>
      <c r="I154" s="6">
        <v>1</v>
      </c>
      <c r="J154" s="9">
        <v>1</v>
      </c>
      <c r="K154" s="9">
        <v>0.45</v>
      </c>
      <c r="L154" s="6">
        <v>-1</v>
      </c>
      <c r="M154" s="9">
        <v>1</v>
      </c>
      <c r="N154" s="6">
        <v>0.05</v>
      </c>
      <c r="O154" s="6">
        <v>-1</v>
      </c>
    </row>
    <row r="155" spans="1:15" x14ac:dyDescent="0.25">
      <c r="A155" s="5">
        <v>46254</v>
      </c>
      <c r="B155" s="6">
        <v>0</v>
      </c>
      <c r="C155" s="6">
        <v>20</v>
      </c>
      <c r="D155" s="6">
        <v>0</v>
      </c>
      <c r="E155" s="6">
        <v>9</v>
      </c>
      <c r="F155" s="6">
        <v>0</v>
      </c>
      <c r="G155" s="6">
        <v>0</v>
      </c>
      <c r="H155" s="6">
        <v>20</v>
      </c>
      <c r="I155" s="6">
        <v>1</v>
      </c>
      <c r="J155" s="9">
        <v>1</v>
      </c>
      <c r="K155" s="9">
        <v>0.45</v>
      </c>
      <c r="L155" s="6">
        <v>-1</v>
      </c>
      <c r="M155" s="9">
        <v>1</v>
      </c>
      <c r="N155" s="6">
        <v>0.05</v>
      </c>
      <c r="O155" s="6">
        <v>-1</v>
      </c>
    </row>
    <row r="156" spans="1:15" x14ac:dyDescent="0.25">
      <c r="A156" s="5">
        <v>46255</v>
      </c>
      <c r="B156" s="6">
        <v>0</v>
      </c>
      <c r="C156" s="6">
        <v>20</v>
      </c>
      <c r="D156" s="6">
        <v>0</v>
      </c>
      <c r="E156" s="6">
        <v>9</v>
      </c>
      <c r="F156" s="6">
        <v>0</v>
      </c>
      <c r="G156" s="6">
        <v>0</v>
      </c>
      <c r="H156" s="6">
        <v>20</v>
      </c>
      <c r="I156" s="6">
        <v>1</v>
      </c>
      <c r="J156" s="9">
        <v>1</v>
      </c>
      <c r="K156" s="9">
        <v>0.45</v>
      </c>
      <c r="L156" s="6">
        <v>-1</v>
      </c>
      <c r="M156" s="9">
        <v>1</v>
      </c>
      <c r="N156" s="6">
        <v>0.05</v>
      </c>
      <c r="O156" s="6">
        <v>-1</v>
      </c>
    </row>
    <row r="157" spans="1:15" x14ac:dyDescent="0.25">
      <c r="A157" s="5">
        <v>46256</v>
      </c>
      <c r="B157" s="6">
        <v>0</v>
      </c>
      <c r="C157" s="6">
        <v>20</v>
      </c>
      <c r="D157" s="6">
        <v>0</v>
      </c>
      <c r="E157" s="6">
        <v>9</v>
      </c>
      <c r="F157" s="6">
        <v>0</v>
      </c>
      <c r="G157" s="6">
        <v>0</v>
      </c>
      <c r="H157" s="6">
        <v>20</v>
      </c>
      <c r="I157" s="6">
        <v>1</v>
      </c>
      <c r="J157" s="9">
        <v>1</v>
      </c>
      <c r="K157" s="9">
        <v>0.45</v>
      </c>
      <c r="L157" s="6">
        <v>-1</v>
      </c>
      <c r="M157" s="9">
        <v>1</v>
      </c>
      <c r="N157" s="6">
        <v>0.05</v>
      </c>
      <c r="O157" s="6">
        <v>-1</v>
      </c>
    </row>
    <row r="158" spans="1:15" x14ac:dyDescent="0.25">
      <c r="A158" s="5">
        <v>46257</v>
      </c>
      <c r="B158" s="6">
        <v>0</v>
      </c>
      <c r="C158" s="6">
        <v>20</v>
      </c>
      <c r="D158" s="6">
        <v>0</v>
      </c>
      <c r="E158" s="6">
        <v>9</v>
      </c>
      <c r="F158" s="6">
        <v>0</v>
      </c>
      <c r="G158" s="6">
        <v>0</v>
      </c>
      <c r="H158" s="6">
        <v>20</v>
      </c>
      <c r="I158" s="6">
        <v>1</v>
      </c>
      <c r="J158" s="9">
        <v>1</v>
      </c>
      <c r="K158" s="9">
        <v>0.45</v>
      </c>
      <c r="L158" s="6">
        <v>-1</v>
      </c>
      <c r="M158" s="9">
        <v>1</v>
      </c>
      <c r="N158" s="6">
        <v>0.05</v>
      </c>
      <c r="O158" s="6">
        <v>-1</v>
      </c>
    </row>
    <row r="159" spans="1:15" x14ac:dyDescent="0.25">
      <c r="A159" s="5">
        <v>46258</v>
      </c>
      <c r="B159" s="6">
        <v>0</v>
      </c>
      <c r="C159" s="6">
        <v>20</v>
      </c>
      <c r="D159" s="6">
        <v>0</v>
      </c>
      <c r="E159" s="6">
        <v>9</v>
      </c>
      <c r="F159" s="6">
        <v>0</v>
      </c>
      <c r="G159" s="6">
        <v>0</v>
      </c>
      <c r="H159" s="6">
        <v>20</v>
      </c>
      <c r="I159" s="6">
        <v>1</v>
      </c>
      <c r="J159" s="9">
        <v>1</v>
      </c>
      <c r="K159" s="9">
        <v>0.45</v>
      </c>
      <c r="L159" s="6">
        <v>-1</v>
      </c>
      <c r="M159" s="9">
        <v>1</v>
      </c>
      <c r="N159" s="6">
        <v>0.05</v>
      </c>
      <c r="O159" s="6">
        <v>-1</v>
      </c>
    </row>
    <row r="160" spans="1:15" x14ac:dyDescent="0.25">
      <c r="A160" s="5">
        <v>46259</v>
      </c>
      <c r="B160" s="6">
        <v>0</v>
      </c>
      <c r="C160" s="6">
        <v>20</v>
      </c>
      <c r="D160" s="6">
        <v>0</v>
      </c>
      <c r="E160" s="6">
        <v>9</v>
      </c>
      <c r="F160" s="6">
        <v>0</v>
      </c>
      <c r="G160" s="6">
        <v>0</v>
      </c>
      <c r="H160" s="6">
        <v>20</v>
      </c>
      <c r="I160" s="6">
        <v>1</v>
      </c>
      <c r="J160" s="9">
        <v>1</v>
      </c>
      <c r="K160" s="9">
        <v>0.45</v>
      </c>
      <c r="L160" s="6">
        <v>-1</v>
      </c>
      <c r="M160" s="9">
        <v>1</v>
      </c>
      <c r="N160" s="6">
        <v>0.05</v>
      </c>
      <c r="O160" s="6">
        <v>-1</v>
      </c>
    </row>
    <row r="161" spans="1:15" x14ac:dyDescent="0.25">
      <c r="A161" s="5">
        <v>46260</v>
      </c>
      <c r="B161" s="6">
        <v>0</v>
      </c>
      <c r="C161" s="6">
        <v>20</v>
      </c>
      <c r="D161" s="6">
        <v>0</v>
      </c>
      <c r="E161" s="6">
        <v>9</v>
      </c>
      <c r="F161" s="6">
        <v>0</v>
      </c>
      <c r="G161" s="6">
        <v>0</v>
      </c>
      <c r="H161" s="6">
        <v>20</v>
      </c>
      <c r="I161" s="6">
        <v>1</v>
      </c>
      <c r="J161" s="9">
        <v>1</v>
      </c>
      <c r="K161" s="9">
        <v>0.45</v>
      </c>
      <c r="L161" s="6">
        <v>-1</v>
      </c>
      <c r="M161" s="9">
        <v>1</v>
      </c>
      <c r="N161" s="6">
        <v>0.05</v>
      </c>
      <c r="O161" s="6">
        <v>-1</v>
      </c>
    </row>
    <row r="162" spans="1:15" x14ac:dyDescent="0.25">
      <c r="A162" s="5">
        <v>46261</v>
      </c>
      <c r="B162" s="6">
        <v>0</v>
      </c>
      <c r="C162" s="6">
        <v>20</v>
      </c>
      <c r="D162" s="6">
        <v>0</v>
      </c>
      <c r="E162" s="6">
        <v>9</v>
      </c>
      <c r="F162" s="6">
        <v>0</v>
      </c>
      <c r="G162" s="6">
        <v>0</v>
      </c>
      <c r="H162" s="6">
        <v>20</v>
      </c>
      <c r="I162" s="6">
        <v>1</v>
      </c>
      <c r="J162" s="9">
        <v>1</v>
      </c>
      <c r="K162" s="9">
        <v>0.45</v>
      </c>
      <c r="L162" s="6">
        <v>-1</v>
      </c>
      <c r="M162" s="9">
        <v>1</v>
      </c>
      <c r="N162" s="6">
        <v>0.05</v>
      </c>
      <c r="O162" s="6">
        <v>-1</v>
      </c>
    </row>
    <row r="163" spans="1:15" x14ac:dyDescent="0.25">
      <c r="A163" s="5">
        <v>46262</v>
      </c>
      <c r="B163" s="6">
        <v>0</v>
      </c>
      <c r="C163" s="6">
        <v>20</v>
      </c>
      <c r="D163" s="6">
        <v>0</v>
      </c>
      <c r="E163" s="6">
        <v>9</v>
      </c>
      <c r="F163" s="6">
        <v>0</v>
      </c>
      <c r="G163" s="6">
        <v>0</v>
      </c>
      <c r="H163" s="6">
        <v>20</v>
      </c>
      <c r="I163" s="6">
        <v>1</v>
      </c>
      <c r="J163" s="9">
        <v>1</v>
      </c>
      <c r="K163" s="9">
        <v>0.45</v>
      </c>
      <c r="L163" s="6">
        <v>-1</v>
      </c>
      <c r="M163" s="9">
        <v>1</v>
      </c>
      <c r="N163" s="6">
        <v>0.05</v>
      </c>
      <c r="O163" s="6">
        <v>-1</v>
      </c>
    </row>
    <row r="164" spans="1:15" x14ac:dyDescent="0.25">
      <c r="A164" s="5">
        <v>46263</v>
      </c>
      <c r="B164" s="6">
        <v>0</v>
      </c>
      <c r="C164" s="6">
        <v>20</v>
      </c>
      <c r="D164" s="6">
        <v>0</v>
      </c>
      <c r="E164" s="6">
        <v>9</v>
      </c>
      <c r="F164" s="6">
        <v>0</v>
      </c>
      <c r="G164" s="6">
        <v>0</v>
      </c>
      <c r="H164" s="6">
        <v>20</v>
      </c>
      <c r="I164" s="6">
        <v>1</v>
      </c>
      <c r="J164" s="9">
        <v>1</v>
      </c>
      <c r="K164" s="9">
        <v>0.45</v>
      </c>
      <c r="L164" s="6">
        <v>-1</v>
      </c>
      <c r="M164" s="9">
        <v>1</v>
      </c>
      <c r="N164" s="6">
        <v>0.05</v>
      </c>
      <c r="O164" s="6">
        <v>-1</v>
      </c>
    </row>
    <row r="165" spans="1:15" x14ac:dyDescent="0.25">
      <c r="A165" s="5">
        <v>46264</v>
      </c>
      <c r="B165" s="6">
        <v>0</v>
      </c>
      <c r="C165" s="6">
        <v>20</v>
      </c>
      <c r="D165" s="6">
        <v>0</v>
      </c>
      <c r="E165" s="6">
        <v>9</v>
      </c>
      <c r="F165" s="6">
        <v>0</v>
      </c>
      <c r="G165" s="6">
        <v>0</v>
      </c>
      <c r="H165" s="6">
        <v>20</v>
      </c>
      <c r="I165" s="6">
        <v>1</v>
      </c>
      <c r="J165" s="9">
        <v>1</v>
      </c>
      <c r="K165" s="9">
        <v>0.45</v>
      </c>
      <c r="L165" s="6">
        <v>-1</v>
      </c>
      <c r="M165" s="9">
        <v>1</v>
      </c>
      <c r="N165" s="6">
        <v>0.05</v>
      </c>
      <c r="O165" s="6">
        <v>-1</v>
      </c>
    </row>
    <row r="166" spans="1:15" x14ac:dyDescent="0.25">
      <c r="A166" s="5">
        <v>46265</v>
      </c>
      <c r="B166" s="6">
        <v>0</v>
      </c>
      <c r="C166" s="6">
        <v>20</v>
      </c>
      <c r="D166" s="6">
        <v>0</v>
      </c>
      <c r="E166" s="6">
        <v>9</v>
      </c>
      <c r="F166" s="6">
        <v>0</v>
      </c>
      <c r="G166" s="6">
        <v>0</v>
      </c>
      <c r="H166" s="6">
        <v>20</v>
      </c>
      <c r="I166" s="6">
        <v>1</v>
      </c>
      <c r="J166" s="9">
        <v>1</v>
      </c>
      <c r="K166" s="9">
        <v>0.45</v>
      </c>
      <c r="L166" s="6">
        <v>-1</v>
      </c>
      <c r="M166" s="9">
        <v>1</v>
      </c>
      <c r="N166" s="6">
        <v>0.05</v>
      </c>
      <c r="O166" s="6">
        <v>-1</v>
      </c>
    </row>
    <row r="167" spans="1:15" x14ac:dyDescent="0.25">
      <c r="A167" s="5">
        <v>46266</v>
      </c>
      <c r="B167" s="6">
        <v>0</v>
      </c>
      <c r="C167" s="6">
        <v>20</v>
      </c>
      <c r="D167" s="6">
        <v>0</v>
      </c>
      <c r="E167" s="6">
        <v>9</v>
      </c>
      <c r="F167" s="6">
        <v>0</v>
      </c>
      <c r="G167" s="6">
        <v>0</v>
      </c>
      <c r="H167" s="6">
        <v>20</v>
      </c>
      <c r="I167" s="6">
        <v>1</v>
      </c>
      <c r="J167" s="9">
        <v>1</v>
      </c>
      <c r="K167" s="9">
        <v>0.45</v>
      </c>
      <c r="L167" s="6">
        <v>-1</v>
      </c>
      <c r="M167" s="9">
        <v>1</v>
      </c>
      <c r="N167" s="6">
        <v>0.05</v>
      </c>
      <c r="O167" s="6">
        <v>-1</v>
      </c>
    </row>
    <row r="168" spans="1:15" x14ac:dyDescent="0.25">
      <c r="A168" s="5">
        <v>46267</v>
      </c>
      <c r="B168" s="6">
        <v>0</v>
      </c>
      <c r="C168" s="6">
        <v>20</v>
      </c>
      <c r="D168" s="6">
        <v>0</v>
      </c>
      <c r="E168" s="6">
        <v>9</v>
      </c>
      <c r="F168" s="6">
        <v>0</v>
      </c>
      <c r="G168" s="6">
        <v>0</v>
      </c>
      <c r="H168" s="6">
        <v>20</v>
      </c>
      <c r="I168" s="6">
        <v>1</v>
      </c>
      <c r="J168" s="9">
        <v>1</v>
      </c>
      <c r="K168" s="9">
        <v>0.45</v>
      </c>
      <c r="L168" s="6">
        <v>-1</v>
      </c>
      <c r="M168" s="9">
        <v>1</v>
      </c>
      <c r="N168" s="6">
        <v>0.05</v>
      </c>
      <c r="O168" s="6">
        <v>-1</v>
      </c>
    </row>
    <row r="169" spans="1:15" x14ac:dyDescent="0.25">
      <c r="A169" s="5">
        <v>46268</v>
      </c>
      <c r="B169" s="6">
        <v>0</v>
      </c>
      <c r="C169" s="6">
        <v>20</v>
      </c>
      <c r="D169" s="6">
        <v>0</v>
      </c>
      <c r="E169" s="6">
        <v>9</v>
      </c>
      <c r="F169" s="6">
        <v>0</v>
      </c>
      <c r="G169" s="6">
        <v>0</v>
      </c>
      <c r="H169" s="6">
        <v>20</v>
      </c>
      <c r="I169" s="6">
        <v>1</v>
      </c>
      <c r="J169" s="9">
        <v>1</v>
      </c>
      <c r="K169" s="9">
        <v>0.45</v>
      </c>
      <c r="L169" s="6">
        <v>-1</v>
      </c>
      <c r="M169" s="9">
        <v>1</v>
      </c>
      <c r="N169" s="6">
        <v>0.05</v>
      </c>
      <c r="O169" s="6">
        <v>-1</v>
      </c>
    </row>
    <row r="170" spans="1:15" x14ac:dyDescent="0.25">
      <c r="A170" s="5">
        <v>46269</v>
      </c>
      <c r="B170" s="6">
        <v>0</v>
      </c>
      <c r="C170" s="6">
        <v>20</v>
      </c>
      <c r="D170" s="6">
        <v>0</v>
      </c>
      <c r="E170" s="6">
        <v>9</v>
      </c>
      <c r="F170" s="6">
        <v>0</v>
      </c>
      <c r="G170" s="6">
        <v>0</v>
      </c>
      <c r="H170" s="6">
        <v>20</v>
      </c>
      <c r="I170" s="6">
        <v>1</v>
      </c>
      <c r="J170" s="9">
        <v>1</v>
      </c>
      <c r="K170" s="9">
        <v>0.45</v>
      </c>
      <c r="L170" s="6">
        <v>-1</v>
      </c>
      <c r="M170" s="9">
        <v>1</v>
      </c>
      <c r="N170" s="6">
        <v>0.05</v>
      </c>
      <c r="O170" s="6">
        <v>-1</v>
      </c>
    </row>
    <row r="171" spans="1:15" x14ac:dyDescent="0.25">
      <c r="A171" s="5">
        <v>46270</v>
      </c>
      <c r="B171" s="6">
        <v>0</v>
      </c>
      <c r="C171" s="6">
        <v>20</v>
      </c>
      <c r="D171" s="6">
        <v>0</v>
      </c>
      <c r="E171" s="6">
        <v>9</v>
      </c>
      <c r="F171" s="6">
        <v>0</v>
      </c>
      <c r="G171" s="6">
        <v>0</v>
      </c>
      <c r="H171" s="6">
        <v>20</v>
      </c>
      <c r="I171" s="6">
        <v>1</v>
      </c>
      <c r="J171" s="9">
        <v>1</v>
      </c>
      <c r="K171" s="9">
        <v>0.45</v>
      </c>
      <c r="L171" s="6">
        <v>-1</v>
      </c>
      <c r="M171" s="9">
        <v>1</v>
      </c>
      <c r="N171" s="6">
        <v>0.05</v>
      </c>
      <c r="O171" s="6">
        <v>-1</v>
      </c>
    </row>
    <row r="172" spans="1:15" x14ac:dyDescent="0.25">
      <c r="A172" s="5">
        <v>46271</v>
      </c>
      <c r="B172" s="6">
        <v>0</v>
      </c>
      <c r="C172" s="6">
        <v>20</v>
      </c>
      <c r="D172" s="6">
        <v>0</v>
      </c>
      <c r="E172" s="6">
        <v>9</v>
      </c>
      <c r="F172" s="6">
        <v>0</v>
      </c>
      <c r="G172" s="6">
        <v>0</v>
      </c>
      <c r="H172" s="6">
        <v>20</v>
      </c>
      <c r="I172" s="6">
        <v>1</v>
      </c>
      <c r="J172" s="9">
        <v>1</v>
      </c>
      <c r="K172" s="9">
        <v>0.45</v>
      </c>
      <c r="L172" s="6">
        <v>-1</v>
      </c>
      <c r="M172" s="9">
        <v>1</v>
      </c>
      <c r="N172" s="6">
        <v>0.05</v>
      </c>
      <c r="O172" s="6">
        <v>-1</v>
      </c>
    </row>
    <row r="173" spans="1:15" x14ac:dyDescent="0.25">
      <c r="A173" s="5">
        <v>46272</v>
      </c>
      <c r="B173" s="6">
        <v>0</v>
      </c>
      <c r="C173" s="6">
        <v>20</v>
      </c>
      <c r="D173" s="6">
        <v>0</v>
      </c>
      <c r="E173" s="6">
        <v>9</v>
      </c>
      <c r="F173" s="6">
        <v>0</v>
      </c>
      <c r="G173" s="6">
        <v>0</v>
      </c>
      <c r="H173" s="6">
        <v>20</v>
      </c>
      <c r="I173" s="6">
        <v>1</v>
      </c>
      <c r="J173" s="9">
        <v>1</v>
      </c>
      <c r="K173" s="9">
        <v>0.45</v>
      </c>
      <c r="L173" s="6">
        <v>-1</v>
      </c>
      <c r="M173" s="9">
        <v>1</v>
      </c>
      <c r="N173" s="6">
        <v>0.05</v>
      </c>
      <c r="O173" s="6">
        <v>-1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4"/>
  <sheetViews>
    <sheetView workbookViewId="0">
      <selection sqref="A1:XFD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31.5703125" bestFit="1" customWidth="1"/>
    <col min="4" max="4" width="18.5703125" bestFit="1" customWidth="1"/>
    <col min="5" max="5" width="10.42578125" bestFit="1" customWidth="1"/>
    <col min="6" max="7" width="10.7109375" style="3" bestFit="1" customWidth="1"/>
    <col min="8" max="8" width="16.140625" bestFit="1" customWidth="1"/>
    <col min="9" max="9" width="13.7109375" bestFit="1" customWidth="1"/>
    <col min="10" max="10" width="14.5703125" style="3" bestFit="1" customWidth="1"/>
    <col min="11" max="11" width="9.5703125" bestFit="1" customWidth="1"/>
    <col min="12" max="12" width="8.85546875" bestFit="1" customWidth="1"/>
    <col min="13" max="13" width="32.140625" bestFit="1" customWidth="1"/>
    <col min="14" max="14" width="14.28515625" bestFit="1" customWidth="1"/>
    <col min="15" max="15" width="17" style="3" bestFit="1" customWidth="1"/>
    <col min="16" max="16" width="14.5703125" bestFit="1" customWidth="1"/>
    <col min="17" max="17" width="35.28515625" bestFit="1" customWidth="1"/>
    <col min="18" max="18" width="14.140625" bestFit="1" customWidth="1"/>
    <col min="19" max="19" width="28.140625" bestFit="1" customWidth="1"/>
    <col min="20" max="20" width="21.28515625" bestFit="1" customWidth="1"/>
    <col min="21" max="21" width="9.5703125" bestFit="1" customWidth="1"/>
    <col min="22" max="22" width="21" bestFit="1" customWidth="1"/>
    <col min="23" max="23" width="25.42578125" bestFit="1" customWidth="1"/>
    <col min="24" max="24" width="24.7109375" bestFit="1" customWidth="1"/>
    <col min="25" max="25" width="17.28515625" bestFit="1" customWidth="1"/>
    <col min="26" max="26" width="30.42578125" bestFit="1" customWidth="1"/>
    <col min="27" max="27" width="27.140625" bestFit="1" customWidth="1"/>
    <col min="28" max="28" width="38.28515625" bestFit="1" customWidth="1"/>
    <col min="29" max="29" width="23.85546875" bestFit="1" customWidth="1"/>
    <col min="30" max="30" width="21.7109375" bestFit="1" customWidth="1"/>
    <col min="31" max="31" width="21" bestFit="1" customWidth="1"/>
    <col min="32" max="32" width="12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3</v>
      </c>
      <c r="B2" t="s">
        <v>41</v>
      </c>
      <c r="C2" t="s">
        <v>42</v>
      </c>
      <c r="E2" t="s">
        <v>43</v>
      </c>
      <c r="F2" s="3">
        <v>46160</v>
      </c>
      <c r="G2" s="3">
        <v>46160</v>
      </c>
      <c r="I2">
        <v>1</v>
      </c>
      <c r="J2" s="3">
        <v>46160</v>
      </c>
      <c r="K2" t="s">
        <v>44</v>
      </c>
      <c r="L2" t="s">
        <v>45</v>
      </c>
      <c r="M2" t="s">
        <v>36</v>
      </c>
      <c r="N2" t="s">
        <v>37</v>
      </c>
      <c r="O2" s="3">
        <v>46139</v>
      </c>
      <c r="P2" t="s">
        <v>38</v>
      </c>
      <c r="Q2" t="s">
        <v>46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>
        <v>4</v>
      </c>
      <c r="B3" t="s">
        <v>47</v>
      </c>
      <c r="C3" t="s">
        <v>48</v>
      </c>
      <c r="E3" t="s">
        <v>43</v>
      </c>
      <c r="F3" s="3">
        <v>46160</v>
      </c>
      <c r="G3" s="3">
        <v>46160</v>
      </c>
      <c r="I3">
        <v>1</v>
      </c>
      <c r="J3" s="3">
        <v>46160</v>
      </c>
      <c r="K3" t="s">
        <v>44</v>
      </c>
      <c r="L3" t="s">
        <v>45</v>
      </c>
      <c r="M3" t="s">
        <v>49</v>
      </c>
      <c r="N3" t="s">
        <v>50</v>
      </c>
      <c r="O3" s="3">
        <v>46141</v>
      </c>
      <c r="P3" t="s">
        <v>38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>
        <v>5</v>
      </c>
      <c r="B4" t="s">
        <v>51</v>
      </c>
      <c r="C4" t="s">
        <v>52</v>
      </c>
      <c r="E4" t="s">
        <v>43</v>
      </c>
      <c r="F4" s="3">
        <v>46160</v>
      </c>
      <c r="G4" s="3">
        <v>46160</v>
      </c>
      <c r="H4">
        <v>3</v>
      </c>
      <c r="I4">
        <v>1</v>
      </c>
      <c r="J4" s="3">
        <v>46160</v>
      </c>
      <c r="K4" t="s">
        <v>44</v>
      </c>
      <c r="L4" t="s">
        <v>45</v>
      </c>
      <c r="M4" t="s">
        <v>49</v>
      </c>
      <c r="N4" t="s">
        <v>50</v>
      </c>
      <c r="O4" s="3">
        <v>46141</v>
      </c>
      <c r="P4" t="s">
        <v>38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>
        <v>8</v>
      </c>
      <c r="B5" t="s">
        <v>61</v>
      </c>
      <c r="C5" t="s">
        <v>62</v>
      </c>
      <c r="E5" t="s">
        <v>63</v>
      </c>
      <c r="F5" s="3">
        <v>46174</v>
      </c>
      <c r="G5" s="3">
        <v>46175</v>
      </c>
      <c r="H5" t="s">
        <v>64</v>
      </c>
      <c r="I5">
        <v>1</v>
      </c>
      <c r="J5" s="3">
        <v>46175</v>
      </c>
      <c r="K5" t="s">
        <v>44</v>
      </c>
      <c r="L5" t="s">
        <v>45</v>
      </c>
      <c r="M5" t="s">
        <v>57</v>
      </c>
      <c r="N5" t="s">
        <v>37</v>
      </c>
      <c r="O5" s="3">
        <v>46141</v>
      </c>
      <c r="P5" t="s">
        <v>38</v>
      </c>
      <c r="Q5" t="s">
        <v>65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</row>
    <row r="6" spans="1:32" x14ac:dyDescent="0.25">
      <c r="A6">
        <v>9</v>
      </c>
      <c r="B6" t="s">
        <v>66</v>
      </c>
      <c r="C6" t="s">
        <v>67</v>
      </c>
      <c r="E6" t="s">
        <v>68</v>
      </c>
      <c r="F6" s="3">
        <v>46176</v>
      </c>
      <c r="G6" s="3">
        <v>46176</v>
      </c>
      <c r="H6">
        <v>8</v>
      </c>
      <c r="I6">
        <v>1</v>
      </c>
      <c r="J6" s="3">
        <v>46176</v>
      </c>
      <c r="K6" t="s">
        <v>44</v>
      </c>
      <c r="L6" t="s">
        <v>45</v>
      </c>
      <c r="M6" t="s">
        <v>57</v>
      </c>
      <c r="N6" t="s">
        <v>69</v>
      </c>
      <c r="O6" s="3">
        <v>46142</v>
      </c>
      <c r="P6" t="s">
        <v>38</v>
      </c>
      <c r="Q6" t="s">
        <v>70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>
        <v>13</v>
      </c>
      <c r="B7" t="s">
        <v>84</v>
      </c>
      <c r="C7" t="s">
        <v>62</v>
      </c>
      <c r="E7" t="s">
        <v>85</v>
      </c>
      <c r="F7" s="3">
        <v>46176</v>
      </c>
      <c r="G7" s="3">
        <v>46178</v>
      </c>
      <c r="H7">
        <v>8</v>
      </c>
      <c r="I7">
        <v>1</v>
      </c>
      <c r="J7" s="3">
        <v>46178</v>
      </c>
      <c r="K7" t="s">
        <v>44</v>
      </c>
      <c r="L7" t="s">
        <v>45</v>
      </c>
      <c r="M7" t="s">
        <v>57</v>
      </c>
      <c r="N7" t="s">
        <v>69</v>
      </c>
      <c r="O7" s="3">
        <v>46146</v>
      </c>
      <c r="P7" t="s">
        <v>38</v>
      </c>
      <c r="Q7" t="s">
        <v>86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</row>
    <row r="8" spans="1:32" x14ac:dyDescent="0.25">
      <c r="A8">
        <v>14</v>
      </c>
      <c r="B8" t="s">
        <v>87</v>
      </c>
      <c r="C8" t="s">
        <v>67</v>
      </c>
      <c r="E8" t="s">
        <v>85</v>
      </c>
      <c r="F8" s="3">
        <v>46181</v>
      </c>
      <c r="G8" s="3">
        <v>46183</v>
      </c>
      <c r="H8">
        <v>13</v>
      </c>
      <c r="I8">
        <v>1</v>
      </c>
      <c r="J8" s="3">
        <v>46183</v>
      </c>
      <c r="K8" t="s">
        <v>44</v>
      </c>
      <c r="L8" t="s">
        <v>45</v>
      </c>
      <c r="M8" t="s">
        <v>57</v>
      </c>
      <c r="N8" t="s">
        <v>88</v>
      </c>
      <c r="O8" s="3">
        <v>46147</v>
      </c>
      <c r="P8" t="s">
        <v>38</v>
      </c>
      <c r="Q8" t="s">
        <v>89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>
        <v>24</v>
      </c>
      <c r="B9" t="s">
        <v>116</v>
      </c>
      <c r="C9" t="s">
        <v>62</v>
      </c>
      <c r="E9" t="s">
        <v>85</v>
      </c>
      <c r="F9" s="3">
        <v>46174</v>
      </c>
      <c r="G9" s="3">
        <v>46176</v>
      </c>
      <c r="H9" t="s">
        <v>64</v>
      </c>
      <c r="I9">
        <v>1</v>
      </c>
      <c r="J9" s="3">
        <v>46176</v>
      </c>
      <c r="K9" t="s">
        <v>44</v>
      </c>
      <c r="L9" t="s">
        <v>45</v>
      </c>
      <c r="M9" t="s">
        <v>98</v>
      </c>
      <c r="N9" t="s">
        <v>37</v>
      </c>
      <c r="O9" s="3">
        <v>46141</v>
      </c>
      <c r="P9" t="s">
        <v>38</v>
      </c>
      <c r="Q9">
        <v>25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</row>
    <row r="10" spans="1:32" x14ac:dyDescent="0.25">
      <c r="A10">
        <v>25</v>
      </c>
      <c r="B10" t="s">
        <v>117</v>
      </c>
      <c r="C10" t="s">
        <v>67</v>
      </c>
      <c r="E10" t="s">
        <v>68</v>
      </c>
      <c r="F10" s="3">
        <v>46177</v>
      </c>
      <c r="G10" s="3">
        <v>46177</v>
      </c>
      <c r="H10">
        <v>24</v>
      </c>
      <c r="I10">
        <v>1</v>
      </c>
      <c r="J10" s="3">
        <v>46177</v>
      </c>
      <c r="K10" t="s">
        <v>44</v>
      </c>
      <c r="L10" t="s">
        <v>45</v>
      </c>
      <c r="M10" t="s">
        <v>98</v>
      </c>
      <c r="N10" t="s">
        <v>69</v>
      </c>
      <c r="O10" s="3">
        <v>46142</v>
      </c>
      <c r="P10" t="s">
        <v>38</v>
      </c>
      <c r="Q10" t="s">
        <v>118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>
        <v>40</v>
      </c>
      <c r="B11" t="s">
        <v>156</v>
      </c>
      <c r="C11" t="s">
        <v>62</v>
      </c>
      <c r="E11" t="s">
        <v>43</v>
      </c>
      <c r="F11" s="3">
        <v>46170</v>
      </c>
      <c r="G11" s="3">
        <v>46170</v>
      </c>
      <c r="H11" t="s">
        <v>157</v>
      </c>
      <c r="I11">
        <v>1</v>
      </c>
      <c r="J11" s="3">
        <v>46170</v>
      </c>
      <c r="K11" t="s">
        <v>44</v>
      </c>
      <c r="L11" t="s">
        <v>45</v>
      </c>
      <c r="M11" t="s">
        <v>127</v>
      </c>
      <c r="N11" t="s">
        <v>79</v>
      </c>
      <c r="O11" s="3">
        <v>46161</v>
      </c>
      <c r="P11" t="s">
        <v>38</v>
      </c>
      <c r="Q11">
        <v>41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</row>
    <row r="12" spans="1:32" x14ac:dyDescent="0.25">
      <c r="A12">
        <v>41</v>
      </c>
      <c r="B12" t="s">
        <v>158</v>
      </c>
      <c r="C12" t="s">
        <v>67</v>
      </c>
      <c r="E12" t="s">
        <v>68</v>
      </c>
      <c r="F12" s="3">
        <v>46171</v>
      </c>
      <c r="G12" s="3">
        <v>46171</v>
      </c>
      <c r="H12">
        <v>40</v>
      </c>
      <c r="I12">
        <v>1</v>
      </c>
      <c r="J12" s="3">
        <v>46171</v>
      </c>
      <c r="K12" t="s">
        <v>44</v>
      </c>
      <c r="L12" t="s">
        <v>45</v>
      </c>
      <c r="M12" t="s">
        <v>127</v>
      </c>
      <c r="N12" t="s">
        <v>159</v>
      </c>
      <c r="O12" s="3">
        <v>46162</v>
      </c>
      <c r="P12" t="s">
        <v>38</v>
      </c>
      <c r="Q12">
        <v>42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>
        <v>45</v>
      </c>
      <c r="B13" t="s">
        <v>167</v>
      </c>
      <c r="C13" t="s">
        <v>62</v>
      </c>
      <c r="E13" t="s">
        <v>43</v>
      </c>
      <c r="F13" s="3">
        <v>46170</v>
      </c>
      <c r="G13" s="3">
        <v>46170</v>
      </c>
      <c r="H13" t="s">
        <v>157</v>
      </c>
      <c r="I13">
        <v>1</v>
      </c>
      <c r="J13" s="3">
        <v>46170</v>
      </c>
      <c r="K13" t="s">
        <v>44</v>
      </c>
      <c r="L13" t="s">
        <v>45</v>
      </c>
      <c r="M13" t="s">
        <v>127</v>
      </c>
      <c r="N13" t="s">
        <v>79</v>
      </c>
      <c r="O13" s="3">
        <v>46161</v>
      </c>
      <c r="P13" t="s">
        <v>38</v>
      </c>
      <c r="Q13">
        <v>46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</row>
    <row r="14" spans="1:32" x14ac:dyDescent="0.25">
      <c r="A14">
        <v>46</v>
      </c>
      <c r="B14" t="s">
        <v>168</v>
      </c>
      <c r="C14" t="s">
        <v>67</v>
      </c>
      <c r="E14" t="s">
        <v>68</v>
      </c>
      <c r="F14" s="3">
        <v>46199</v>
      </c>
      <c r="G14" s="3">
        <v>46199</v>
      </c>
      <c r="H14">
        <v>45</v>
      </c>
      <c r="I14">
        <v>1</v>
      </c>
      <c r="J14" s="3">
        <v>46199</v>
      </c>
      <c r="K14" t="s">
        <v>44</v>
      </c>
      <c r="L14" t="s">
        <v>45</v>
      </c>
      <c r="M14" t="s">
        <v>127</v>
      </c>
      <c r="N14" t="s">
        <v>159</v>
      </c>
      <c r="O14" s="3">
        <v>46162</v>
      </c>
      <c r="P14" t="s">
        <v>38</v>
      </c>
      <c r="Q14">
        <v>47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>
        <v>51</v>
      </c>
      <c r="B15" t="s">
        <v>178</v>
      </c>
      <c r="C15" t="s">
        <v>62</v>
      </c>
      <c r="E15" t="s">
        <v>63</v>
      </c>
      <c r="F15" s="3">
        <v>46160</v>
      </c>
      <c r="G15" s="3">
        <v>46161</v>
      </c>
      <c r="H15" t="s">
        <v>179</v>
      </c>
      <c r="I15">
        <v>1</v>
      </c>
      <c r="J15" s="3">
        <v>46161</v>
      </c>
      <c r="K15" t="s">
        <v>44</v>
      </c>
      <c r="L15" t="s">
        <v>45</v>
      </c>
      <c r="M15" t="s">
        <v>174</v>
      </c>
      <c r="N15" t="s">
        <v>132</v>
      </c>
      <c r="O15" s="3">
        <v>46188</v>
      </c>
      <c r="P15" t="s">
        <v>38</v>
      </c>
      <c r="Q15" t="s">
        <v>180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</row>
    <row r="16" spans="1:32" x14ac:dyDescent="0.25">
      <c r="A16">
        <v>61</v>
      </c>
      <c r="B16" t="s">
        <v>199</v>
      </c>
      <c r="C16" t="s">
        <v>200</v>
      </c>
      <c r="D16" t="s">
        <v>130</v>
      </c>
      <c r="E16" t="s">
        <v>131</v>
      </c>
      <c r="F16" s="3">
        <v>46181</v>
      </c>
      <c r="G16" s="3">
        <v>46191</v>
      </c>
      <c r="I16">
        <v>1</v>
      </c>
      <c r="J16" s="3">
        <v>46191</v>
      </c>
      <c r="K16" t="s">
        <v>44</v>
      </c>
      <c r="L16" t="s">
        <v>45</v>
      </c>
      <c r="M16" t="s">
        <v>198</v>
      </c>
      <c r="N16" t="s">
        <v>201</v>
      </c>
      <c r="O16" s="3">
        <v>46192</v>
      </c>
      <c r="P16" t="s">
        <v>38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>
        <v>62</v>
      </c>
      <c r="B17" t="s">
        <v>202</v>
      </c>
      <c r="C17" t="s">
        <v>62</v>
      </c>
      <c r="E17" t="s">
        <v>134</v>
      </c>
      <c r="F17" s="3">
        <v>46181</v>
      </c>
      <c r="G17" s="3">
        <v>46185</v>
      </c>
      <c r="H17" t="s">
        <v>179</v>
      </c>
      <c r="I17">
        <v>1</v>
      </c>
      <c r="J17" s="3">
        <v>46185</v>
      </c>
      <c r="K17" t="s">
        <v>44</v>
      </c>
      <c r="L17" t="s">
        <v>45</v>
      </c>
      <c r="M17" t="s">
        <v>198</v>
      </c>
      <c r="N17" t="s">
        <v>201</v>
      </c>
      <c r="O17" s="3">
        <v>46188</v>
      </c>
      <c r="P17" t="s">
        <v>38</v>
      </c>
      <c r="Q17" t="s">
        <v>203</v>
      </c>
      <c r="U17">
        <v>1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</row>
    <row r="18" spans="1:32" x14ac:dyDescent="0.25">
      <c r="A18">
        <v>63</v>
      </c>
      <c r="B18" t="s">
        <v>204</v>
      </c>
      <c r="C18" t="s">
        <v>67</v>
      </c>
      <c r="E18" t="s">
        <v>68</v>
      </c>
      <c r="F18" s="3">
        <v>46188</v>
      </c>
      <c r="G18" s="3">
        <v>46188</v>
      </c>
      <c r="H18">
        <v>62</v>
      </c>
      <c r="I18">
        <v>1</v>
      </c>
      <c r="J18" s="3">
        <v>46188</v>
      </c>
      <c r="K18" t="s">
        <v>44</v>
      </c>
      <c r="L18" t="s">
        <v>45</v>
      </c>
      <c r="M18" t="s">
        <v>198</v>
      </c>
      <c r="N18" t="s">
        <v>123</v>
      </c>
      <c r="O18" s="3">
        <v>46189</v>
      </c>
      <c r="P18" t="s">
        <v>38</v>
      </c>
      <c r="Q18">
        <v>64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>
        <v>64</v>
      </c>
      <c r="B19" t="s">
        <v>205</v>
      </c>
      <c r="C19" t="s">
        <v>72</v>
      </c>
      <c r="E19" t="s">
        <v>63</v>
      </c>
      <c r="F19" s="3">
        <v>46189</v>
      </c>
      <c r="G19" s="3">
        <v>46190</v>
      </c>
      <c r="H19">
        <v>63</v>
      </c>
      <c r="I19">
        <v>1</v>
      </c>
      <c r="J19" s="3">
        <v>46190</v>
      </c>
      <c r="K19" t="s">
        <v>44</v>
      </c>
      <c r="L19" t="s">
        <v>45</v>
      </c>
      <c r="M19" t="s">
        <v>198</v>
      </c>
      <c r="N19" t="s">
        <v>138</v>
      </c>
      <c r="O19" s="3">
        <v>46191</v>
      </c>
      <c r="P19" t="s">
        <v>38</v>
      </c>
      <c r="Q19">
        <v>65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>
        <v>65</v>
      </c>
      <c r="B20" t="s">
        <v>206</v>
      </c>
      <c r="C20" t="s">
        <v>77</v>
      </c>
      <c r="E20" t="s">
        <v>68</v>
      </c>
      <c r="F20" s="3">
        <v>46191</v>
      </c>
      <c r="G20" s="3">
        <v>46191</v>
      </c>
      <c r="H20">
        <v>64</v>
      </c>
      <c r="I20">
        <v>1</v>
      </c>
      <c r="J20" s="3">
        <v>46191</v>
      </c>
      <c r="K20" t="s">
        <v>44</v>
      </c>
      <c r="L20" t="s">
        <v>45</v>
      </c>
      <c r="M20" t="s">
        <v>198</v>
      </c>
      <c r="N20" t="s">
        <v>140</v>
      </c>
      <c r="O20" s="3">
        <v>46192</v>
      </c>
      <c r="P20" t="s">
        <v>38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</row>
    <row r="21" spans="1:32" x14ac:dyDescent="0.25">
      <c r="A21">
        <v>94</v>
      </c>
      <c r="B21" t="s">
        <v>262</v>
      </c>
      <c r="C21" t="s">
        <v>62</v>
      </c>
      <c r="E21" t="s">
        <v>177</v>
      </c>
      <c r="F21" s="3">
        <v>46181</v>
      </c>
      <c r="G21" s="3">
        <v>46188</v>
      </c>
      <c r="H21" t="s">
        <v>179</v>
      </c>
      <c r="I21">
        <v>1</v>
      </c>
      <c r="J21" s="3">
        <v>46188</v>
      </c>
      <c r="K21" t="s">
        <v>44</v>
      </c>
      <c r="L21" t="s">
        <v>45</v>
      </c>
      <c r="M21" t="s">
        <v>258</v>
      </c>
      <c r="N21" t="s">
        <v>132</v>
      </c>
      <c r="O21" s="3">
        <v>46188</v>
      </c>
      <c r="P21" t="s">
        <v>38</v>
      </c>
      <c r="Q21">
        <v>95</v>
      </c>
      <c r="U21">
        <v>1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</row>
    <row r="22" spans="1:32" x14ac:dyDescent="0.25">
      <c r="A22">
        <v>95</v>
      </c>
      <c r="B22" t="s">
        <v>263</v>
      </c>
      <c r="C22" t="s">
        <v>67</v>
      </c>
      <c r="E22" t="s">
        <v>68</v>
      </c>
      <c r="F22" s="3">
        <v>46188</v>
      </c>
      <c r="G22" s="3">
        <v>46188</v>
      </c>
      <c r="H22">
        <v>94</v>
      </c>
      <c r="I22">
        <v>1</v>
      </c>
      <c r="J22" s="3">
        <v>46188</v>
      </c>
      <c r="K22" t="s">
        <v>44</v>
      </c>
      <c r="L22" t="s">
        <v>45</v>
      </c>
      <c r="M22" t="s">
        <v>258</v>
      </c>
      <c r="N22" t="s">
        <v>123</v>
      </c>
      <c r="O22" s="3">
        <v>46189</v>
      </c>
      <c r="P22" t="s">
        <v>38</v>
      </c>
      <c r="Q22">
        <v>96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>
        <v>105</v>
      </c>
      <c r="B23" t="s">
        <v>281</v>
      </c>
      <c r="C23" t="s">
        <v>62</v>
      </c>
      <c r="E23" t="s">
        <v>43</v>
      </c>
      <c r="F23" s="3">
        <v>46170</v>
      </c>
      <c r="G23" s="3">
        <v>46170</v>
      </c>
      <c r="H23" t="s">
        <v>179</v>
      </c>
      <c r="I23">
        <v>1</v>
      </c>
      <c r="J23" s="3">
        <v>46170</v>
      </c>
      <c r="K23" t="s">
        <v>44</v>
      </c>
      <c r="L23" t="s">
        <v>45</v>
      </c>
      <c r="M23" t="s">
        <v>278</v>
      </c>
      <c r="N23" t="s">
        <v>132</v>
      </c>
      <c r="O23" s="3">
        <v>46188</v>
      </c>
      <c r="P23" t="s">
        <v>38</v>
      </c>
      <c r="Q23" t="s">
        <v>282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</row>
    <row r="24" spans="1:32" x14ac:dyDescent="0.25">
      <c r="A24">
        <v>106</v>
      </c>
      <c r="B24" t="s">
        <v>283</v>
      </c>
      <c r="C24" t="s">
        <v>67</v>
      </c>
      <c r="E24" t="s">
        <v>68</v>
      </c>
      <c r="F24" s="3">
        <v>46171</v>
      </c>
      <c r="G24" s="3">
        <v>46171</v>
      </c>
      <c r="H24">
        <v>105</v>
      </c>
      <c r="I24">
        <v>1</v>
      </c>
      <c r="J24" s="3">
        <v>46171</v>
      </c>
      <c r="K24" t="s">
        <v>44</v>
      </c>
      <c r="L24" t="s">
        <v>45</v>
      </c>
      <c r="M24" t="s">
        <v>278</v>
      </c>
      <c r="N24" t="s">
        <v>123</v>
      </c>
      <c r="O24" s="3">
        <v>46189</v>
      </c>
      <c r="P24" t="s">
        <v>38</v>
      </c>
      <c r="Q24">
        <v>107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4"/>
  <sheetViews>
    <sheetView tabSelected="1" workbookViewId="0">
      <selection activeCell="H19" sqref="H19"/>
    </sheetView>
  </sheetViews>
  <sheetFormatPr defaultColWidth="8.85546875" defaultRowHeight="15" x14ac:dyDescent="0.25"/>
  <cols>
    <col min="1" max="1" width="5" bestFit="1" customWidth="1"/>
    <col min="2" max="2" width="9.28515625" bestFit="1" customWidth="1"/>
    <col min="3" max="3" width="27.28515625" bestFit="1" customWidth="1"/>
    <col min="4" max="4" width="29.85546875" bestFit="1" customWidth="1"/>
    <col min="5" max="5" width="10.42578125" bestFit="1" customWidth="1"/>
    <col min="6" max="7" width="10.7109375" style="3" bestFit="1" customWidth="1"/>
    <col min="8" max="8" width="16.140625" bestFit="1" customWidth="1"/>
    <col min="9" max="9" width="13.7109375" bestFit="1" customWidth="1"/>
    <col min="10" max="10" width="14.5703125" bestFit="1" customWidth="1"/>
    <col min="11" max="11" width="12.42578125" bestFit="1" customWidth="1"/>
    <col min="13" max="13" width="32.140625" bestFit="1" customWidth="1"/>
    <col min="14" max="14" width="14.28515625" bestFit="1" customWidth="1"/>
    <col min="15" max="15" width="17" style="3" bestFit="1" customWidth="1"/>
    <col min="16" max="16" width="14.5703125" bestFit="1" customWidth="1"/>
    <col min="17" max="17" width="73.5703125" bestFit="1" customWidth="1"/>
    <col min="18" max="18" width="14.140625" bestFit="1" customWidth="1"/>
    <col min="19" max="19" width="28.140625" bestFit="1" customWidth="1"/>
    <col min="20" max="20" width="21.28515625" bestFit="1" customWidth="1"/>
    <col min="21" max="21" width="9.5703125" bestFit="1" customWidth="1"/>
    <col min="22" max="22" width="21" bestFit="1" customWidth="1"/>
    <col min="23" max="23" width="25.42578125" bestFit="1" customWidth="1"/>
    <col min="24" max="24" width="24.7109375" bestFit="1" customWidth="1"/>
    <col min="25" max="25" width="17.28515625" bestFit="1" customWidth="1"/>
    <col min="26" max="26" width="30.42578125" bestFit="1" customWidth="1"/>
    <col min="27" max="27" width="27.140625" bestFit="1" customWidth="1"/>
    <col min="28" max="28" width="38.28515625" bestFit="1" customWidth="1"/>
    <col min="29" max="29" width="23.85546875" bestFit="1" customWidth="1"/>
    <col min="30" max="30" width="21.7109375" bestFit="1" customWidth="1"/>
    <col min="31" max="31" width="21" bestFit="1" customWidth="1"/>
    <col min="32" max="32" width="12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29</v>
      </c>
      <c r="B2" t="s">
        <v>128</v>
      </c>
      <c r="C2" t="s">
        <v>129</v>
      </c>
      <c r="D2" t="s">
        <v>130</v>
      </c>
      <c r="E2" t="s">
        <v>131</v>
      </c>
      <c r="F2" s="3">
        <v>46181</v>
      </c>
      <c r="G2" s="3">
        <v>46191</v>
      </c>
      <c r="I2">
        <v>0</v>
      </c>
      <c r="K2" t="s">
        <v>56</v>
      </c>
      <c r="L2" t="s">
        <v>45</v>
      </c>
      <c r="M2" t="s">
        <v>127</v>
      </c>
      <c r="N2" t="s">
        <v>132</v>
      </c>
      <c r="O2" s="3">
        <v>46192</v>
      </c>
      <c r="P2" t="s">
        <v>38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>
        <v>30</v>
      </c>
      <c r="B3" t="s">
        <v>133</v>
      </c>
      <c r="C3" t="s">
        <v>62</v>
      </c>
      <c r="E3" t="s">
        <v>134</v>
      </c>
      <c r="F3" s="3">
        <v>46181</v>
      </c>
      <c r="G3" s="3">
        <v>46185</v>
      </c>
      <c r="H3">
        <v>13</v>
      </c>
      <c r="I3">
        <v>0</v>
      </c>
      <c r="K3" t="s">
        <v>56</v>
      </c>
      <c r="L3" t="s">
        <v>45</v>
      </c>
      <c r="M3" t="s">
        <v>127</v>
      </c>
      <c r="N3" t="s">
        <v>132</v>
      </c>
      <c r="O3" s="3">
        <v>46188</v>
      </c>
      <c r="P3" t="s">
        <v>38</v>
      </c>
      <c r="Q3" t="s">
        <v>135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>
        <v>31</v>
      </c>
      <c r="B4" t="s">
        <v>136</v>
      </c>
      <c r="C4" t="s">
        <v>67</v>
      </c>
      <c r="E4" t="s">
        <v>68</v>
      </c>
      <c r="F4" s="3">
        <v>46188</v>
      </c>
      <c r="G4" s="3">
        <v>46188</v>
      </c>
      <c r="H4">
        <v>30</v>
      </c>
      <c r="I4">
        <v>0</v>
      </c>
      <c r="K4" t="s">
        <v>56</v>
      </c>
      <c r="L4" t="s">
        <v>45</v>
      </c>
      <c r="M4" t="s">
        <v>127</v>
      </c>
      <c r="N4" t="s">
        <v>123</v>
      </c>
      <c r="O4" s="3">
        <v>46189</v>
      </c>
      <c r="P4" t="s">
        <v>38</v>
      </c>
      <c r="Q4">
        <v>32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>
        <v>32</v>
      </c>
      <c r="B5" t="s">
        <v>137</v>
      </c>
      <c r="C5" t="s">
        <v>72</v>
      </c>
      <c r="E5" t="s">
        <v>63</v>
      </c>
      <c r="F5" s="3">
        <v>46189</v>
      </c>
      <c r="G5" s="3">
        <v>46190</v>
      </c>
      <c r="H5">
        <v>31</v>
      </c>
      <c r="I5">
        <v>0</v>
      </c>
      <c r="K5" t="s">
        <v>56</v>
      </c>
      <c r="L5" t="s">
        <v>45</v>
      </c>
      <c r="M5" t="s">
        <v>127</v>
      </c>
      <c r="N5" t="s">
        <v>138</v>
      </c>
      <c r="O5" s="3">
        <v>46191</v>
      </c>
      <c r="P5" t="s">
        <v>38</v>
      </c>
      <c r="Q5">
        <v>33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>
        <v>33</v>
      </c>
      <c r="B6" t="s">
        <v>139</v>
      </c>
      <c r="C6" t="s">
        <v>77</v>
      </c>
      <c r="E6" t="s">
        <v>68</v>
      </c>
      <c r="F6" s="3">
        <v>46191</v>
      </c>
      <c r="G6" s="3">
        <v>46191</v>
      </c>
      <c r="H6">
        <v>32</v>
      </c>
      <c r="I6">
        <v>0</v>
      </c>
      <c r="K6" t="s">
        <v>56</v>
      </c>
      <c r="L6" t="s">
        <v>45</v>
      </c>
      <c r="M6" t="s">
        <v>127</v>
      </c>
      <c r="N6" t="s">
        <v>140</v>
      </c>
      <c r="O6" s="3">
        <v>46192</v>
      </c>
      <c r="P6" t="s">
        <v>38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>
        <v>39</v>
      </c>
      <c r="B7" t="s">
        <v>152</v>
      </c>
      <c r="C7" t="s">
        <v>153</v>
      </c>
      <c r="D7" t="s">
        <v>154</v>
      </c>
      <c r="E7" t="s">
        <v>155</v>
      </c>
      <c r="F7" s="3">
        <v>46170</v>
      </c>
      <c r="G7" s="3">
        <v>46176</v>
      </c>
      <c r="I7">
        <v>0.63</v>
      </c>
      <c r="K7" t="s">
        <v>56</v>
      </c>
      <c r="L7" t="s">
        <v>45</v>
      </c>
      <c r="M7" t="s">
        <v>127</v>
      </c>
      <c r="N7" t="s">
        <v>79</v>
      </c>
      <c r="O7" s="3">
        <v>46167</v>
      </c>
      <c r="P7" t="s">
        <v>38</v>
      </c>
      <c r="U7">
        <v>0.63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>
        <v>42</v>
      </c>
      <c r="B8" t="s">
        <v>160</v>
      </c>
      <c r="C8" t="s">
        <v>72</v>
      </c>
      <c r="E8" t="s">
        <v>63</v>
      </c>
      <c r="F8" s="3">
        <v>46174</v>
      </c>
      <c r="G8" s="3">
        <v>46175</v>
      </c>
      <c r="H8">
        <v>41</v>
      </c>
      <c r="I8">
        <v>0.75</v>
      </c>
      <c r="K8" t="s">
        <v>56</v>
      </c>
      <c r="L8" t="s">
        <v>45</v>
      </c>
      <c r="M8" t="s">
        <v>127</v>
      </c>
      <c r="N8" t="s">
        <v>161</v>
      </c>
      <c r="O8" s="3">
        <v>46164</v>
      </c>
      <c r="P8" t="s">
        <v>38</v>
      </c>
      <c r="Q8">
        <v>43</v>
      </c>
      <c r="U8">
        <v>0.75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>
        <v>43</v>
      </c>
      <c r="B9" t="s">
        <v>162</v>
      </c>
      <c r="C9" t="s">
        <v>77</v>
      </c>
      <c r="E9" t="s">
        <v>68</v>
      </c>
      <c r="F9" s="3">
        <v>46176</v>
      </c>
      <c r="G9" s="3">
        <v>46176</v>
      </c>
      <c r="H9">
        <v>42</v>
      </c>
      <c r="I9">
        <v>0</v>
      </c>
      <c r="K9" t="s">
        <v>56</v>
      </c>
      <c r="L9" t="s">
        <v>45</v>
      </c>
      <c r="M9" t="s">
        <v>127</v>
      </c>
      <c r="N9" t="s">
        <v>163</v>
      </c>
      <c r="O9" s="3">
        <v>46167</v>
      </c>
      <c r="P9" t="s">
        <v>38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>
        <v>50</v>
      </c>
      <c r="B10" t="s">
        <v>175</v>
      </c>
      <c r="C10" t="s">
        <v>176</v>
      </c>
      <c r="D10" t="s">
        <v>130</v>
      </c>
      <c r="E10" t="s">
        <v>177</v>
      </c>
      <c r="F10" s="3">
        <v>46160</v>
      </c>
      <c r="G10" s="3">
        <v>46167</v>
      </c>
      <c r="I10">
        <v>0.46</v>
      </c>
      <c r="K10" t="s">
        <v>34</v>
      </c>
      <c r="L10" t="s">
        <v>45</v>
      </c>
      <c r="M10" t="s">
        <v>174</v>
      </c>
      <c r="N10" t="s">
        <v>132</v>
      </c>
      <c r="O10" s="3">
        <v>46192</v>
      </c>
      <c r="P10" t="s">
        <v>38</v>
      </c>
      <c r="U10">
        <v>0.46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>
        <v>52</v>
      </c>
      <c r="B11" t="s">
        <v>181</v>
      </c>
      <c r="C11" t="s">
        <v>67</v>
      </c>
      <c r="E11" t="s">
        <v>68</v>
      </c>
      <c r="F11" s="3">
        <v>46162</v>
      </c>
      <c r="G11" s="3">
        <v>46162</v>
      </c>
      <c r="H11">
        <v>51</v>
      </c>
      <c r="I11">
        <v>0.75</v>
      </c>
      <c r="K11" t="s">
        <v>56</v>
      </c>
      <c r="L11" t="s">
        <v>45</v>
      </c>
      <c r="M11" t="s">
        <v>174</v>
      </c>
      <c r="N11" t="s">
        <v>123</v>
      </c>
      <c r="O11" s="3">
        <v>46189</v>
      </c>
      <c r="P11" t="s">
        <v>38</v>
      </c>
      <c r="Q11">
        <v>53</v>
      </c>
      <c r="U11">
        <v>0.75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>
        <v>53</v>
      </c>
      <c r="B12" t="s">
        <v>182</v>
      </c>
      <c r="C12" t="s">
        <v>72</v>
      </c>
      <c r="E12" t="s">
        <v>63</v>
      </c>
      <c r="F12" s="3">
        <v>46163</v>
      </c>
      <c r="G12" s="3">
        <v>46164</v>
      </c>
      <c r="H12">
        <v>52</v>
      </c>
      <c r="I12">
        <v>0</v>
      </c>
      <c r="K12" t="s">
        <v>56</v>
      </c>
      <c r="L12" t="s">
        <v>45</v>
      </c>
      <c r="M12" t="s">
        <v>174</v>
      </c>
      <c r="N12" t="s">
        <v>138</v>
      </c>
      <c r="O12" s="3">
        <v>46191</v>
      </c>
      <c r="P12" t="s">
        <v>38</v>
      </c>
      <c r="Q12">
        <v>54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>
        <v>54</v>
      </c>
      <c r="B13" t="s">
        <v>183</v>
      </c>
      <c r="C13" t="s">
        <v>77</v>
      </c>
      <c r="E13" t="s">
        <v>68</v>
      </c>
      <c r="F13" s="3">
        <v>46167</v>
      </c>
      <c r="G13" s="3">
        <v>46167</v>
      </c>
      <c r="H13">
        <v>53</v>
      </c>
      <c r="I13">
        <v>0</v>
      </c>
      <c r="K13" t="s">
        <v>56</v>
      </c>
      <c r="L13" t="s">
        <v>45</v>
      </c>
      <c r="M13" t="s">
        <v>174</v>
      </c>
      <c r="N13" t="s">
        <v>140</v>
      </c>
      <c r="O13" s="3">
        <v>46192</v>
      </c>
      <c r="P13" t="s">
        <v>38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>
        <v>82</v>
      </c>
      <c r="B14" t="s">
        <v>241</v>
      </c>
      <c r="C14" t="s">
        <v>242</v>
      </c>
      <c r="D14" t="s">
        <v>130</v>
      </c>
      <c r="E14" t="s">
        <v>102</v>
      </c>
      <c r="F14" s="3">
        <v>46183</v>
      </c>
      <c r="G14" s="3">
        <v>46191</v>
      </c>
      <c r="I14">
        <v>0</v>
      </c>
      <c r="K14" t="s">
        <v>56</v>
      </c>
      <c r="L14" t="s">
        <v>45</v>
      </c>
      <c r="M14" t="s">
        <v>239</v>
      </c>
      <c r="N14" t="s">
        <v>132</v>
      </c>
      <c r="O14" s="3">
        <v>46192</v>
      </c>
      <c r="P14" t="s">
        <v>38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>
        <v>83</v>
      </c>
      <c r="B15" t="s">
        <v>243</v>
      </c>
      <c r="C15" t="s">
        <v>62</v>
      </c>
      <c r="E15" t="s">
        <v>85</v>
      </c>
      <c r="F15" s="3">
        <v>46183</v>
      </c>
      <c r="G15" s="3">
        <v>46185</v>
      </c>
      <c r="H15" t="s">
        <v>179</v>
      </c>
      <c r="I15">
        <v>0</v>
      </c>
      <c r="K15" t="s">
        <v>56</v>
      </c>
      <c r="L15" t="s">
        <v>45</v>
      </c>
      <c r="M15" t="s">
        <v>239</v>
      </c>
      <c r="N15" t="s">
        <v>132</v>
      </c>
      <c r="O15" s="3">
        <v>46188</v>
      </c>
      <c r="P15" t="s">
        <v>38</v>
      </c>
      <c r="Q15" t="s">
        <v>244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>
        <v>84</v>
      </c>
      <c r="B16" t="s">
        <v>245</v>
      </c>
      <c r="C16" t="s">
        <v>67</v>
      </c>
      <c r="E16" t="s">
        <v>68</v>
      </c>
      <c r="F16" s="3">
        <v>46188</v>
      </c>
      <c r="G16" s="3">
        <v>46188</v>
      </c>
      <c r="H16">
        <v>83</v>
      </c>
      <c r="I16">
        <v>0</v>
      </c>
      <c r="K16" t="s">
        <v>56</v>
      </c>
      <c r="L16" t="s">
        <v>45</v>
      </c>
      <c r="M16" t="s">
        <v>239</v>
      </c>
      <c r="N16" t="s">
        <v>123</v>
      </c>
      <c r="O16" s="3">
        <v>46189</v>
      </c>
      <c r="P16" t="s">
        <v>38</v>
      </c>
      <c r="Q16">
        <v>85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>
        <v>85</v>
      </c>
      <c r="B17" t="s">
        <v>246</v>
      </c>
      <c r="C17" t="s">
        <v>72</v>
      </c>
      <c r="E17" t="s">
        <v>63</v>
      </c>
      <c r="F17" s="3">
        <v>46189</v>
      </c>
      <c r="G17" s="3">
        <v>46190</v>
      </c>
      <c r="H17">
        <v>84</v>
      </c>
      <c r="I17">
        <v>0</v>
      </c>
      <c r="K17" t="s">
        <v>56</v>
      </c>
      <c r="L17" t="s">
        <v>45</v>
      </c>
      <c r="M17" t="s">
        <v>239</v>
      </c>
      <c r="N17" t="s">
        <v>138</v>
      </c>
      <c r="O17" s="3">
        <v>46191</v>
      </c>
      <c r="P17" t="s">
        <v>38</v>
      </c>
      <c r="Q17">
        <v>86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>
        <v>86</v>
      </c>
      <c r="B18" t="s">
        <v>247</v>
      </c>
      <c r="C18" t="s">
        <v>77</v>
      </c>
      <c r="E18" t="s">
        <v>68</v>
      </c>
      <c r="F18" s="3">
        <v>46191</v>
      </c>
      <c r="G18" s="3">
        <v>46191</v>
      </c>
      <c r="H18">
        <v>85</v>
      </c>
      <c r="I18">
        <v>0</v>
      </c>
      <c r="K18" t="s">
        <v>56</v>
      </c>
      <c r="L18" t="s">
        <v>45</v>
      </c>
      <c r="M18" t="s">
        <v>239</v>
      </c>
      <c r="N18" t="s">
        <v>140</v>
      </c>
      <c r="O18" s="3">
        <v>46192</v>
      </c>
      <c r="P18" t="s">
        <v>38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>
        <v>93</v>
      </c>
      <c r="B19" t="s">
        <v>259</v>
      </c>
      <c r="C19" t="s">
        <v>260</v>
      </c>
      <c r="D19" t="s">
        <v>130</v>
      </c>
      <c r="E19" t="s">
        <v>131</v>
      </c>
      <c r="F19" s="3">
        <v>46181</v>
      </c>
      <c r="G19" s="3">
        <v>46191</v>
      </c>
      <c r="I19">
        <v>0.8</v>
      </c>
      <c r="K19" t="s">
        <v>56</v>
      </c>
      <c r="L19" t="s">
        <v>45</v>
      </c>
      <c r="M19" t="s">
        <v>258</v>
      </c>
      <c r="N19" t="s">
        <v>132</v>
      </c>
      <c r="O19" s="3">
        <v>46192</v>
      </c>
      <c r="P19" t="s">
        <v>38</v>
      </c>
      <c r="Q19" t="s">
        <v>261</v>
      </c>
      <c r="U19">
        <v>0.8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>
        <v>96</v>
      </c>
      <c r="B20" t="s">
        <v>264</v>
      </c>
      <c r="C20" t="s">
        <v>72</v>
      </c>
      <c r="E20" t="s">
        <v>63</v>
      </c>
      <c r="F20" s="3">
        <v>46189</v>
      </c>
      <c r="G20" s="3">
        <v>46190</v>
      </c>
      <c r="H20">
        <v>95</v>
      </c>
      <c r="I20">
        <v>0.5</v>
      </c>
      <c r="K20" t="s">
        <v>56</v>
      </c>
      <c r="L20" t="s">
        <v>45</v>
      </c>
      <c r="M20" t="s">
        <v>258</v>
      </c>
      <c r="N20" t="s">
        <v>138</v>
      </c>
      <c r="O20" s="3">
        <v>46191</v>
      </c>
      <c r="P20" t="s">
        <v>38</v>
      </c>
      <c r="Q20">
        <v>97</v>
      </c>
      <c r="U20">
        <v>0.5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>
        <v>97</v>
      </c>
      <c r="B21" t="s">
        <v>265</v>
      </c>
      <c r="C21" t="s">
        <v>77</v>
      </c>
      <c r="E21" t="s">
        <v>68</v>
      </c>
      <c r="F21" s="3">
        <v>46191</v>
      </c>
      <c r="G21" s="3">
        <v>46191</v>
      </c>
      <c r="H21">
        <v>96</v>
      </c>
      <c r="I21">
        <v>0</v>
      </c>
      <c r="K21" t="s">
        <v>56</v>
      </c>
      <c r="L21" t="s">
        <v>45</v>
      </c>
      <c r="M21" t="s">
        <v>258</v>
      </c>
      <c r="N21" t="s">
        <v>140</v>
      </c>
      <c r="O21" s="3">
        <v>46192</v>
      </c>
      <c r="P21" t="s">
        <v>38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>
        <v>104</v>
      </c>
      <c r="B22" t="s">
        <v>279</v>
      </c>
      <c r="C22" t="s">
        <v>280</v>
      </c>
      <c r="D22" t="s">
        <v>130</v>
      </c>
      <c r="E22" t="s">
        <v>155</v>
      </c>
      <c r="F22" s="3">
        <v>46170</v>
      </c>
      <c r="G22" s="3">
        <v>46176</v>
      </c>
      <c r="I22">
        <v>0.5</v>
      </c>
      <c r="K22" t="s">
        <v>56</v>
      </c>
      <c r="L22" t="s">
        <v>45</v>
      </c>
      <c r="M22" t="s">
        <v>278</v>
      </c>
      <c r="N22" t="s">
        <v>132</v>
      </c>
      <c r="O22" s="3">
        <v>46192</v>
      </c>
      <c r="P22" t="s">
        <v>38</v>
      </c>
      <c r="U22">
        <v>0.5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>
        <v>107</v>
      </c>
      <c r="B23" t="s">
        <v>284</v>
      </c>
      <c r="C23" t="s">
        <v>72</v>
      </c>
      <c r="E23" t="s">
        <v>63</v>
      </c>
      <c r="F23" s="3">
        <v>46174</v>
      </c>
      <c r="G23" s="3">
        <v>46175</v>
      </c>
      <c r="H23">
        <v>106</v>
      </c>
      <c r="I23">
        <v>0.5</v>
      </c>
      <c r="K23" t="s">
        <v>56</v>
      </c>
      <c r="L23" t="s">
        <v>45</v>
      </c>
      <c r="M23" t="s">
        <v>278</v>
      </c>
      <c r="N23" t="s">
        <v>138</v>
      </c>
      <c r="O23" s="3">
        <v>46191</v>
      </c>
      <c r="P23" t="s">
        <v>38</v>
      </c>
      <c r="Q23">
        <v>108</v>
      </c>
      <c r="U23">
        <v>0.5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>
        <v>108</v>
      </c>
      <c r="B24" t="s">
        <v>285</v>
      </c>
      <c r="C24" t="s">
        <v>77</v>
      </c>
      <c r="E24" t="s">
        <v>68</v>
      </c>
      <c r="F24" s="3">
        <v>46176</v>
      </c>
      <c r="G24" s="3">
        <v>46176</v>
      </c>
      <c r="H24">
        <v>107</v>
      </c>
      <c r="I24">
        <v>0</v>
      </c>
      <c r="K24" t="s">
        <v>56</v>
      </c>
      <c r="L24" t="s">
        <v>45</v>
      </c>
      <c r="M24" t="s">
        <v>278</v>
      </c>
      <c r="N24" t="s">
        <v>140</v>
      </c>
      <c r="O24" s="3">
        <v>46192</v>
      </c>
      <c r="P24" t="s">
        <v>38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1"/>
  <sheetViews>
    <sheetView workbookViewId="0">
      <selection activeCell="H44" sqref="H44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28.140625" bestFit="1" customWidth="1"/>
    <col min="5" max="5" width="27.28515625" bestFit="1" customWidth="1"/>
    <col min="6" max="6" width="12.42578125" bestFit="1" customWidth="1"/>
    <col min="7" max="7" width="13.7109375" style="11" bestFit="1" customWidth="1"/>
    <col min="8" max="8" width="21.28515625" bestFit="1" customWidth="1"/>
    <col min="9" max="9" width="32.140625" bestFit="1" customWidth="1"/>
    <col min="10" max="10" width="8.85546875" bestFit="1" customWidth="1"/>
  </cols>
  <sheetData>
    <row r="1" spans="1:10" x14ac:dyDescent="0.25">
      <c r="A1" t="s">
        <v>15</v>
      </c>
      <c r="B1" t="s">
        <v>0</v>
      </c>
      <c r="C1" t="s">
        <v>1</v>
      </c>
      <c r="D1" t="s">
        <v>18</v>
      </c>
      <c r="E1" t="s">
        <v>2</v>
      </c>
      <c r="F1" t="s">
        <v>10</v>
      </c>
      <c r="G1" s="11" t="s">
        <v>8</v>
      </c>
      <c r="H1" t="s">
        <v>19</v>
      </c>
      <c r="I1" t="s">
        <v>12</v>
      </c>
      <c r="J1" t="s">
        <v>11</v>
      </c>
    </row>
    <row r="2" spans="1:10" x14ac:dyDescent="0.25">
      <c r="A2" t="s">
        <v>38</v>
      </c>
      <c r="B2">
        <v>1</v>
      </c>
      <c r="C2">
        <v>1</v>
      </c>
      <c r="E2" t="s">
        <v>32</v>
      </c>
      <c r="F2" t="s">
        <v>34</v>
      </c>
      <c r="G2" s="11">
        <v>0.3</v>
      </c>
      <c r="I2" t="s">
        <v>36</v>
      </c>
      <c r="J2" t="s">
        <v>35</v>
      </c>
    </row>
    <row r="3" spans="1:10" x14ac:dyDescent="0.25">
      <c r="A3" t="s">
        <v>38</v>
      </c>
      <c r="B3">
        <v>2</v>
      </c>
      <c r="C3" t="s">
        <v>39</v>
      </c>
      <c r="E3" t="s">
        <v>40</v>
      </c>
      <c r="F3" t="s">
        <v>34</v>
      </c>
      <c r="G3" s="11">
        <v>0.3</v>
      </c>
      <c r="I3" t="s">
        <v>36</v>
      </c>
      <c r="J3" t="s">
        <v>35</v>
      </c>
    </row>
    <row r="4" spans="1:10" x14ac:dyDescent="0.25">
      <c r="A4" t="s">
        <v>38</v>
      </c>
      <c r="B4">
        <v>6</v>
      </c>
      <c r="C4" t="s">
        <v>53</v>
      </c>
      <c r="E4" t="s">
        <v>54</v>
      </c>
      <c r="F4" t="s">
        <v>56</v>
      </c>
      <c r="G4" s="11">
        <v>0.77</v>
      </c>
      <c r="I4" t="s">
        <v>57</v>
      </c>
      <c r="J4" t="s">
        <v>35</v>
      </c>
    </row>
    <row r="5" spans="1:10" x14ac:dyDescent="0.25">
      <c r="A5" t="s">
        <v>38</v>
      </c>
      <c r="B5">
        <v>7</v>
      </c>
      <c r="C5" t="s">
        <v>58</v>
      </c>
      <c r="E5" t="s">
        <v>59</v>
      </c>
      <c r="F5" t="s">
        <v>56</v>
      </c>
      <c r="G5" s="11">
        <v>0.7</v>
      </c>
      <c r="I5" t="s">
        <v>57</v>
      </c>
      <c r="J5" t="s">
        <v>35</v>
      </c>
    </row>
    <row r="6" spans="1:10" x14ac:dyDescent="0.25">
      <c r="A6" t="s">
        <v>38</v>
      </c>
      <c r="B6">
        <v>12</v>
      </c>
      <c r="C6" t="s">
        <v>80</v>
      </c>
      <c r="E6" t="s">
        <v>81</v>
      </c>
      <c r="F6" t="s">
        <v>56</v>
      </c>
      <c r="G6" s="11">
        <v>0.81</v>
      </c>
      <c r="I6" t="s">
        <v>57</v>
      </c>
      <c r="J6" t="s">
        <v>45</v>
      </c>
    </row>
    <row r="7" spans="1:10" x14ac:dyDescent="0.25">
      <c r="A7" t="s">
        <v>38</v>
      </c>
      <c r="B7">
        <v>17</v>
      </c>
      <c r="C7" t="s">
        <v>95</v>
      </c>
      <c r="E7" t="s">
        <v>96</v>
      </c>
      <c r="F7" t="s">
        <v>56</v>
      </c>
      <c r="G7" s="11">
        <v>0.36</v>
      </c>
      <c r="I7" t="s">
        <v>98</v>
      </c>
      <c r="J7" t="s">
        <v>45</v>
      </c>
    </row>
    <row r="8" spans="1:10" x14ac:dyDescent="0.25">
      <c r="A8" t="s">
        <v>38</v>
      </c>
      <c r="B8">
        <v>23</v>
      </c>
      <c r="C8" t="s">
        <v>112</v>
      </c>
      <c r="E8" t="s">
        <v>113</v>
      </c>
      <c r="F8" t="s">
        <v>56</v>
      </c>
      <c r="G8" s="11">
        <v>0.71</v>
      </c>
      <c r="I8" t="s">
        <v>98</v>
      </c>
      <c r="J8" t="s">
        <v>45</v>
      </c>
    </row>
    <row r="9" spans="1:10" x14ac:dyDescent="0.25">
      <c r="A9" t="s">
        <v>38</v>
      </c>
      <c r="B9">
        <v>28</v>
      </c>
      <c r="C9" t="s">
        <v>124</v>
      </c>
      <c r="E9" t="s">
        <v>125</v>
      </c>
      <c r="F9" t="s">
        <v>56</v>
      </c>
      <c r="G9" s="11">
        <v>0.21</v>
      </c>
      <c r="I9" t="s">
        <v>127</v>
      </c>
      <c r="J9" t="s">
        <v>45</v>
      </c>
    </row>
    <row r="10" spans="1:10" x14ac:dyDescent="0.25">
      <c r="A10" t="s">
        <v>38</v>
      </c>
      <c r="B10">
        <v>29</v>
      </c>
      <c r="C10" t="s">
        <v>128</v>
      </c>
      <c r="E10" t="s">
        <v>129</v>
      </c>
      <c r="F10" t="s">
        <v>56</v>
      </c>
      <c r="G10" s="11">
        <v>0</v>
      </c>
      <c r="I10" t="s">
        <v>127</v>
      </c>
      <c r="J10" t="s">
        <v>45</v>
      </c>
    </row>
    <row r="11" spans="1:10" x14ac:dyDescent="0.25">
      <c r="A11" t="s">
        <v>38</v>
      </c>
      <c r="B11">
        <v>30</v>
      </c>
      <c r="C11" t="s">
        <v>133</v>
      </c>
      <c r="E11" t="s">
        <v>62</v>
      </c>
      <c r="F11" t="s">
        <v>56</v>
      </c>
      <c r="G11" s="11">
        <v>0</v>
      </c>
      <c r="I11" t="s">
        <v>127</v>
      </c>
      <c r="J11" t="s">
        <v>45</v>
      </c>
    </row>
    <row r="12" spans="1:10" x14ac:dyDescent="0.25">
      <c r="A12" t="s">
        <v>38</v>
      </c>
      <c r="B12">
        <v>31</v>
      </c>
      <c r="C12" t="s">
        <v>136</v>
      </c>
      <c r="E12" t="s">
        <v>67</v>
      </c>
      <c r="F12" t="s">
        <v>56</v>
      </c>
      <c r="G12" s="11">
        <v>0</v>
      </c>
      <c r="I12" t="s">
        <v>127</v>
      </c>
      <c r="J12" t="s">
        <v>45</v>
      </c>
    </row>
    <row r="13" spans="1:10" x14ac:dyDescent="0.25">
      <c r="A13" t="s">
        <v>38</v>
      </c>
      <c r="B13">
        <v>32</v>
      </c>
      <c r="C13" t="s">
        <v>137</v>
      </c>
      <c r="E13" t="s">
        <v>72</v>
      </c>
      <c r="F13" t="s">
        <v>56</v>
      </c>
      <c r="G13" s="11">
        <v>0</v>
      </c>
      <c r="I13" t="s">
        <v>127</v>
      </c>
      <c r="J13" t="s">
        <v>45</v>
      </c>
    </row>
    <row r="14" spans="1:10" x14ac:dyDescent="0.25">
      <c r="A14" t="s">
        <v>38</v>
      </c>
      <c r="B14">
        <v>33</v>
      </c>
      <c r="C14" t="s">
        <v>139</v>
      </c>
      <c r="E14" t="s">
        <v>77</v>
      </c>
      <c r="F14" t="s">
        <v>56</v>
      </c>
      <c r="G14" s="11">
        <v>0</v>
      </c>
      <c r="I14" t="s">
        <v>127</v>
      </c>
      <c r="J14" t="s">
        <v>45</v>
      </c>
    </row>
    <row r="15" spans="1:10" x14ac:dyDescent="0.25">
      <c r="A15" t="s">
        <v>38</v>
      </c>
      <c r="B15">
        <v>39</v>
      </c>
      <c r="C15" t="s">
        <v>152</v>
      </c>
      <c r="E15" t="s">
        <v>153</v>
      </c>
      <c r="F15" t="s">
        <v>56</v>
      </c>
      <c r="G15" s="11">
        <v>0.63</v>
      </c>
      <c r="I15" t="s">
        <v>127</v>
      </c>
      <c r="J15" t="s">
        <v>45</v>
      </c>
    </row>
    <row r="16" spans="1:10" x14ac:dyDescent="0.25">
      <c r="A16" t="s">
        <v>38</v>
      </c>
      <c r="B16">
        <v>42</v>
      </c>
      <c r="C16" t="s">
        <v>160</v>
      </c>
      <c r="E16" t="s">
        <v>72</v>
      </c>
      <c r="F16" t="s">
        <v>56</v>
      </c>
      <c r="G16" s="11">
        <v>0.75</v>
      </c>
      <c r="I16" t="s">
        <v>127</v>
      </c>
      <c r="J16" t="s">
        <v>45</v>
      </c>
    </row>
    <row r="17" spans="1:10" x14ac:dyDescent="0.25">
      <c r="A17" t="s">
        <v>38</v>
      </c>
      <c r="B17">
        <v>43</v>
      </c>
      <c r="C17" t="s">
        <v>162</v>
      </c>
      <c r="E17" t="s">
        <v>77</v>
      </c>
      <c r="F17" t="s">
        <v>56</v>
      </c>
      <c r="G17" s="11">
        <v>0</v>
      </c>
      <c r="I17" t="s">
        <v>127</v>
      </c>
      <c r="J17" t="s">
        <v>45</v>
      </c>
    </row>
    <row r="18" spans="1:10" x14ac:dyDescent="0.25">
      <c r="A18" t="s">
        <v>38</v>
      </c>
      <c r="B18">
        <v>44</v>
      </c>
      <c r="C18" t="s">
        <v>164</v>
      </c>
      <c r="E18" t="s">
        <v>153</v>
      </c>
      <c r="F18" t="s">
        <v>56</v>
      </c>
      <c r="G18" s="11">
        <v>0.63</v>
      </c>
      <c r="I18" t="s">
        <v>127</v>
      </c>
      <c r="J18" t="s">
        <v>45</v>
      </c>
    </row>
    <row r="19" spans="1:10" x14ac:dyDescent="0.25">
      <c r="A19" t="s">
        <v>38</v>
      </c>
      <c r="B19">
        <v>49</v>
      </c>
      <c r="C19" t="s">
        <v>171</v>
      </c>
      <c r="E19" t="s">
        <v>172</v>
      </c>
      <c r="F19" t="s">
        <v>34</v>
      </c>
      <c r="G19" s="11">
        <v>0.23</v>
      </c>
      <c r="I19" t="s">
        <v>174</v>
      </c>
      <c r="J19" t="s">
        <v>45</v>
      </c>
    </row>
    <row r="20" spans="1:10" x14ac:dyDescent="0.25">
      <c r="A20" t="s">
        <v>38</v>
      </c>
      <c r="B20">
        <v>50</v>
      </c>
      <c r="C20" t="s">
        <v>175</v>
      </c>
      <c r="E20" t="s">
        <v>176</v>
      </c>
      <c r="F20" t="s">
        <v>34</v>
      </c>
      <c r="G20" s="11">
        <v>0.46</v>
      </c>
      <c r="I20" t="s">
        <v>174</v>
      </c>
      <c r="J20" t="s">
        <v>45</v>
      </c>
    </row>
    <row r="21" spans="1:10" x14ac:dyDescent="0.25">
      <c r="A21" t="s">
        <v>38</v>
      </c>
      <c r="B21">
        <v>52</v>
      </c>
      <c r="C21" t="s">
        <v>181</v>
      </c>
      <c r="E21" t="s">
        <v>67</v>
      </c>
      <c r="F21" t="s">
        <v>56</v>
      </c>
      <c r="G21" s="11">
        <v>0.75</v>
      </c>
      <c r="I21" t="s">
        <v>174</v>
      </c>
      <c r="J21" t="s">
        <v>45</v>
      </c>
    </row>
    <row r="22" spans="1:10" x14ac:dyDescent="0.25">
      <c r="A22" t="s">
        <v>38</v>
      </c>
      <c r="B22">
        <v>53</v>
      </c>
      <c r="C22" t="s">
        <v>182</v>
      </c>
      <c r="E22" t="s">
        <v>72</v>
      </c>
      <c r="F22" t="s">
        <v>56</v>
      </c>
      <c r="G22" s="11">
        <v>0</v>
      </c>
      <c r="I22" t="s">
        <v>174</v>
      </c>
      <c r="J22" t="s">
        <v>45</v>
      </c>
    </row>
    <row r="23" spans="1:10" x14ac:dyDescent="0.25">
      <c r="A23" t="s">
        <v>38</v>
      </c>
      <c r="B23">
        <v>54</v>
      </c>
      <c r="C23" t="s">
        <v>183</v>
      </c>
      <c r="E23" t="s">
        <v>77</v>
      </c>
      <c r="F23" t="s">
        <v>56</v>
      </c>
      <c r="G23" s="11">
        <v>0</v>
      </c>
      <c r="I23" t="s">
        <v>174</v>
      </c>
      <c r="J23" t="s">
        <v>45</v>
      </c>
    </row>
    <row r="24" spans="1:10" x14ac:dyDescent="0.25">
      <c r="A24" t="s">
        <v>38</v>
      </c>
      <c r="B24">
        <v>60</v>
      </c>
      <c r="C24" t="s">
        <v>195</v>
      </c>
      <c r="E24" t="s">
        <v>196</v>
      </c>
      <c r="F24" t="s">
        <v>56</v>
      </c>
      <c r="G24" s="11">
        <v>0.3</v>
      </c>
      <c r="I24" t="s">
        <v>198</v>
      </c>
      <c r="J24" t="s">
        <v>45</v>
      </c>
    </row>
    <row r="25" spans="1:10" x14ac:dyDescent="0.25">
      <c r="A25" t="s">
        <v>38</v>
      </c>
      <c r="B25">
        <v>81</v>
      </c>
      <c r="C25" t="s">
        <v>236</v>
      </c>
      <c r="E25" t="s">
        <v>237</v>
      </c>
      <c r="F25" t="s">
        <v>56</v>
      </c>
      <c r="G25" s="11">
        <v>0</v>
      </c>
      <c r="I25" t="s">
        <v>239</v>
      </c>
      <c r="J25" t="s">
        <v>45</v>
      </c>
    </row>
    <row r="26" spans="1:10" x14ac:dyDescent="0.25">
      <c r="A26" t="s">
        <v>38</v>
      </c>
      <c r="B26">
        <v>82</v>
      </c>
      <c r="C26" t="s">
        <v>241</v>
      </c>
      <c r="E26" t="s">
        <v>242</v>
      </c>
      <c r="F26" t="s">
        <v>56</v>
      </c>
      <c r="G26" s="11">
        <v>0</v>
      </c>
      <c r="I26" t="s">
        <v>239</v>
      </c>
      <c r="J26" t="s">
        <v>45</v>
      </c>
    </row>
    <row r="27" spans="1:10" x14ac:dyDescent="0.25">
      <c r="A27" t="s">
        <v>38</v>
      </c>
      <c r="B27">
        <v>83</v>
      </c>
      <c r="C27" t="s">
        <v>243</v>
      </c>
      <c r="E27" t="s">
        <v>62</v>
      </c>
      <c r="F27" t="s">
        <v>56</v>
      </c>
      <c r="G27" s="11">
        <v>0</v>
      </c>
      <c r="I27" t="s">
        <v>239</v>
      </c>
      <c r="J27" t="s">
        <v>45</v>
      </c>
    </row>
    <row r="28" spans="1:10" x14ac:dyDescent="0.25">
      <c r="A28" t="s">
        <v>38</v>
      </c>
      <c r="B28">
        <v>84</v>
      </c>
      <c r="C28" t="s">
        <v>245</v>
      </c>
      <c r="E28" t="s">
        <v>67</v>
      </c>
      <c r="F28" t="s">
        <v>56</v>
      </c>
      <c r="G28" s="11">
        <v>0</v>
      </c>
      <c r="I28" t="s">
        <v>239</v>
      </c>
      <c r="J28" t="s">
        <v>45</v>
      </c>
    </row>
    <row r="29" spans="1:10" x14ac:dyDescent="0.25">
      <c r="A29" t="s">
        <v>38</v>
      </c>
      <c r="B29">
        <v>85</v>
      </c>
      <c r="C29" t="s">
        <v>246</v>
      </c>
      <c r="E29" t="s">
        <v>72</v>
      </c>
      <c r="F29" t="s">
        <v>56</v>
      </c>
      <c r="G29" s="11">
        <v>0</v>
      </c>
      <c r="I29" t="s">
        <v>239</v>
      </c>
      <c r="J29" t="s">
        <v>45</v>
      </c>
    </row>
    <row r="30" spans="1:10" x14ac:dyDescent="0.25">
      <c r="A30" t="s">
        <v>38</v>
      </c>
      <c r="B30">
        <v>86</v>
      </c>
      <c r="C30" t="s">
        <v>247</v>
      </c>
      <c r="E30" t="s">
        <v>77</v>
      </c>
      <c r="F30" t="s">
        <v>56</v>
      </c>
      <c r="G30" s="11">
        <v>0</v>
      </c>
      <c r="I30" t="s">
        <v>239</v>
      </c>
      <c r="J30" t="s">
        <v>45</v>
      </c>
    </row>
    <row r="31" spans="1:10" x14ac:dyDescent="0.25">
      <c r="A31" t="s">
        <v>38</v>
      </c>
      <c r="B31">
        <v>92</v>
      </c>
      <c r="C31" t="s">
        <v>255</v>
      </c>
      <c r="E31" t="s">
        <v>256</v>
      </c>
      <c r="F31" t="s">
        <v>56</v>
      </c>
      <c r="G31" s="11">
        <v>0.38</v>
      </c>
      <c r="I31" t="s">
        <v>258</v>
      </c>
      <c r="J31" t="s">
        <v>45</v>
      </c>
    </row>
    <row r="32" spans="1:10" x14ac:dyDescent="0.25">
      <c r="A32" t="s">
        <v>38</v>
      </c>
      <c r="B32">
        <v>93</v>
      </c>
      <c r="C32" t="s">
        <v>259</v>
      </c>
      <c r="E32" t="s">
        <v>260</v>
      </c>
      <c r="F32" t="s">
        <v>56</v>
      </c>
      <c r="G32" s="11">
        <v>0.8</v>
      </c>
      <c r="I32" t="s">
        <v>258</v>
      </c>
      <c r="J32" t="s">
        <v>45</v>
      </c>
    </row>
    <row r="33" spans="1:10" x14ac:dyDescent="0.25">
      <c r="A33" t="s">
        <v>38</v>
      </c>
      <c r="B33">
        <v>96</v>
      </c>
      <c r="C33" t="s">
        <v>264</v>
      </c>
      <c r="E33" t="s">
        <v>72</v>
      </c>
      <c r="F33" t="s">
        <v>56</v>
      </c>
      <c r="G33" s="11">
        <v>0.5</v>
      </c>
      <c r="I33" t="s">
        <v>258</v>
      </c>
      <c r="J33" t="s">
        <v>45</v>
      </c>
    </row>
    <row r="34" spans="1:10" x14ac:dyDescent="0.25">
      <c r="A34" t="s">
        <v>38</v>
      </c>
      <c r="B34">
        <v>97</v>
      </c>
      <c r="C34" t="s">
        <v>265</v>
      </c>
      <c r="E34" t="s">
        <v>77</v>
      </c>
      <c r="F34" t="s">
        <v>56</v>
      </c>
      <c r="G34" s="11">
        <v>0</v>
      </c>
      <c r="I34" t="s">
        <v>258</v>
      </c>
      <c r="J34" t="s">
        <v>45</v>
      </c>
    </row>
    <row r="35" spans="1:10" x14ac:dyDescent="0.25">
      <c r="A35" t="s">
        <v>38</v>
      </c>
      <c r="B35">
        <v>103</v>
      </c>
      <c r="C35" t="s">
        <v>275</v>
      </c>
      <c r="E35" t="s">
        <v>276</v>
      </c>
      <c r="F35" t="s">
        <v>56</v>
      </c>
      <c r="G35" s="11">
        <v>0.18</v>
      </c>
      <c r="I35" t="s">
        <v>278</v>
      </c>
      <c r="J35" t="s">
        <v>45</v>
      </c>
    </row>
    <row r="36" spans="1:10" x14ac:dyDescent="0.25">
      <c r="A36" t="s">
        <v>38</v>
      </c>
      <c r="B36">
        <v>104</v>
      </c>
      <c r="C36" t="s">
        <v>279</v>
      </c>
      <c r="E36" t="s">
        <v>280</v>
      </c>
      <c r="F36" t="s">
        <v>56</v>
      </c>
      <c r="G36" s="11">
        <v>0.5</v>
      </c>
      <c r="I36" t="s">
        <v>278</v>
      </c>
      <c r="J36" t="s">
        <v>45</v>
      </c>
    </row>
    <row r="37" spans="1:10" x14ac:dyDescent="0.25">
      <c r="A37" t="s">
        <v>38</v>
      </c>
      <c r="B37">
        <v>107</v>
      </c>
      <c r="C37" t="s">
        <v>284</v>
      </c>
      <c r="E37" t="s">
        <v>72</v>
      </c>
      <c r="F37" t="s">
        <v>56</v>
      </c>
      <c r="G37" s="11">
        <v>0.5</v>
      </c>
      <c r="I37" t="s">
        <v>278</v>
      </c>
      <c r="J37" t="s">
        <v>45</v>
      </c>
    </row>
    <row r="38" spans="1:10" x14ac:dyDescent="0.25">
      <c r="A38" t="s">
        <v>38</v>
      </c>
      <c r="B38">
        <v>108</v>
      </c>
      <c r="C38" t="s">
        <v>285</v>
      </c>
      <c r="E38" t="s">
        <v>77</v>
      </c>
      <c r="F38" t="s">
        <v>56</v>
      </c>
      <c r="G38" s="11">
        <v>0</v>
      </c>
      <c r="I38" t="s">
        <v>278</v>
      </c>
      <c r="J38" t="s">
        <v>45</v>
      </c>
    </row>
    <row r="40" spans="1:10" x14ac:dyDescent="0.25">
      <c r="G40" s="11">
        <v>0</v>
      </c>
    </row>
    <row r="41" spans="1:10" x14ac:dyDescent="0.25">
      <c r="G41" s="11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{23A66FA6-1F3E-453B-8C58-04C55E6E3AD7}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A66FA6-1F3E-453B-8C58-04C55E6E3AD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>
      <selection activeCell="H11" sqref="H11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8.28515625" bestFit="1" customWidth="1"/>
    <col min="4" max="4" width="28.140625" bestFit="1" customWidth="1"/>
    <col min="5" max="5" width="27.28515625" bestFit="1" customWidth="1"/>
    <col min="6" max="6" width="12.42578125" bestFit="1" customWidth="1"/>
    <col min="7" max="7" width="13.7109375" style="11" bestFit="1" customWidth="1"/>
    <col min="8" max="8" width="21.28515625" bestFit="1" customWidth="1"/>
    <col min="9" max="9" width="15.85546875" bestFit="1" customWidth="1"/>
    <col min="10" max="10" width="8.85546875" bestFit="1" customWidth="1"/>
  </cols>
  <sheetData>
    <row r="1" spans="1:10" x14ac:dyDescent="0.25">
      <c r="A1" t="s">
        <v>15</v>
      </c>
      <c r="B1" t="s">
        <v>0</v>
      </c>
      <c r="C1" t="s">
        <v>1</v>
      </c>
      <c r="D1" t="s">
        <v>18</v>
      </c>
      <c r="E1" t="s">
        <v>2</v>
      </c>
      <c r="F1" t="s">
        <v>10</v>
      </c>
      <c r="G1" s="11" t="s">
        <v>8</v>
      </c>
      <c r="H1" t="s">
        <v>19</v>
      </c>
      <c r="I1" t="s">
        <v>12</v>
      </c>
      <c r="J1" t="s">
        <v>11</v>
      </c>
    </row>
    <row r="2" spans="1:10" x14ac:dyDescent="0.25">
      <c r="A2" t="s">
        <v>38</v>
      </c>
      <c r="B2">
        <v>15</v>
      </c>
      <c r="C2" t="s">
        <v>90</v>
      </c>
      <c r="E2" t="s">
        <v>72</v>
      </c>
      <c r="F2" t="s">
        <v>56</v>
      </c>
      <c r="G2" s="11">
        <v>0.5</v>
      </c>
      <c r="I2" t="s">
        <v>57</v>
      </c>
      <c r="J2" t="s">
        <v>45</v>
      </c>
    </row>
    <row r="3" spans="1:10" x14ac:dyDescent="0.25">
      <c r="A3" t="s">
        <v>38</v>
      </c>
      <c r="B3">
        <v>16</v>
      </c>
      <c r="C3" t="s">
        <v>93</v>
      </c>
      <c r="E3" t="s">
        <v>77</v>
      </c>
      <c r="F3" t="s">
        <v>56</v>
      </c>
      <c r="G3" s="11">
        <v>0</v>
      </c>
      <c r="I3" t="s">
        <v>57</v>
      </c>
      <c r="J3" t="s">
        <v>45</v>
      </c>
    </row>
    <row r="5" spans="1:10" x14ac:dyDescent="0.25">
      <c r="G5" s="11">
        <v>0</v>
      </c>
    </row>
    <row r="6" spans="1:10" x14ac:dyDescent="0.25">
      <c r="G6" s="11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{02926147-7988-4449-B8AE-34D846663CD1}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926147-7988-4449-B8AE-34D846663C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FF36CE-8711-48A2-B3C7-570D429F771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AEE4D5F-753C-4B68-98E0-7520B2721D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5B2EB4-ED1B-4724-878C-5F0BFD5BDA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2026-06-19T19:39:48Z</dcterms:created>
  <dcterms:modified xsi:type="dcterms:W3CDTF">2026-06-19T19:46:05Z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2026-06-19T19:41:28Z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a04c6d53-6052-49cc-a6b8-7f4f0745f46c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