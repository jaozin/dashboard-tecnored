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000/"/>
    </mc:Choice>
  </mc:AlternateContent>
  <xr:revisionPtr revIDLastSave="80" documentId="11_87F71AB53D3E378836E8F5B9B90CB65383E85C5A" xr6:coauthVersionLast="47" xr6:coauthVersionMax="47" xr10:uidLastSave="{289441DF-00F6-4AD2-BD98-DF5EE29E3C2F}"/>
  <bookViews>
    <workbookView xWindow="-120" yWindow="-120" windowWidth="20730" windowHeight="11040" activeTab="6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E32" i="2"/>
  <c r="B15" i="2"/>
  <c r="C15" i="2"/>
  <c r="E15" i="2"/>
  <c r="F15" i="2"/>
  <c r="G15" i="2"/>
</calcChain>
</file>

<file path=xl/sharedStrings.xml><?xml version="1.0" encoding="utf-8"?>
<sst xmlns="http://schemas.openxmlformats.org/spreadsheetml/2006/main" count="2243" uniqueCount="384">
  <si>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</si>
  <si>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</si>
  <si>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</si>
  <si>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</si>
  <si>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</si>
  <si>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</si>
  <si>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</si>
  <si>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</si>
  <si>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</si>
  <si>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</si>
  <si>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</si>
  <si>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</si>
  <si>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</si>
  <si>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</si>
  <si>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</si>
  <si>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</si>
  <si>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</si>
  <si>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</si>
  <si>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Comparação</t>
  </si>
  <si>
    <t>Nomes dos recursos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</si>
  <si>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</si>
  <si>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</si>
  <si>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</si>
  <si>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</si>
  <si>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</si>
  <si>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</si>
  <si>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</si>
  <si>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</si>
  <si>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</si>
  <si>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</si>
  <si>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</si>
  <si>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</si>
  <si>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</si>
  <si>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158 dias</t>
  </si>
  <si>
    <t>Atrasada</t>
  </si>
  <si>
    <t>Sim</t>
  </si>
  <si>
    <t>GERAL</t>
  </si>
  <si>
    <t>Seg 27/04/26</t>
  </si>
  <si>
    <t>Nenhum Sprint</t>
  </si>
  <si>
    <t>1.1</t>
  </si>
  <si>
    <t>F0009 - Programa Marabá</t>
  </si>
  <si>
    <t>área 0000 -documento geral</t>
  </si>
  <si>
    <t>1.1.1</t>
  </si>
  <si>
    <t>Área 0000 -Documento geral</t>
  </si>
  <si>
    <t>kom - início de projeto</t>
  </si>
  <si>
    <t>0 dias</t>
  </si>
  <si>
    <t>Concluída</t>
  </si>
  <si>
    <t>Não</t>
  </si>
  <si>
    <t>8TI+10 dias;24TI+10 dias;19TI+45 dias;5</t>
  </si>
  <si>
    <t>1.1.2</t>
  </si>
  <si>
    <t>pendências</t>
  </si>
  <si>
    <t>PENDÊNCIAS</t>
  </si>
  <si>
    <t>Qua 29/04/26</t>
  </si>
  <si>
    <t>1.1.2.1</t>
  </si>
  <si>
    <t>Pendências</t>
  </si>
  <si>
    <t>recebimento de dados de entrada</t>
  </si>
  <si>
    <t>1.1.3</t>
  </si>
  <si>
    <t>planejamento</t>
  </si>
  <si>
    <t>148 dias</t>
  </si>
  <si>
    <t xml:space="preserve">PLANEJAMENTO </t>
  </si>
  <si>
    <t>1.1.3.1</t>
  </si>
  <si>
    <t>Planejamento</t>
  </si>
  <si>
    <t>ld-f0009-0000-mb-f-00001</t>
  </si>
  <si>
    <t>Lista de documentos</t>
  </si>
  <si>
    <t>No Prazo</t>
  </si>
  <si>
    <t>1.1.3.1.1</t>
  </si>
  <si>
    <t>LD-F0009-0000-MB-F-00001</t>
  </si>
  <si>
    <t>emissão inicial</t>
  </si>
  <si>
    <t>2 dias</t>
  </si>
  <si>
    <t>3TI+10 dias</t>
  </si>
  <si>
    <t>9;13</t>
  </si>
  <si>
    <t>1.1.3.1.2</t>
  </si>
  <si>
    <t>análise tecnored</t>
  </si>
  <si>
    <t>1 dia</t>
  </si>
  <si>
    <t>Qui 30/04/26</t>
  </si>
  <si>
    <t>10TI+140 dias</t>
  </si>
  <si>
    <t>1.1.3.1.3</t>
  </si>
  <si>
    <t>atendimento de comentários</t>
  </si>
  <si>
    <t>9TI+140 dias</t>
  </si>
  <si>
    <t>Tarefa futura</t>
  </si>
  <si>
    <t>Qua 06/05/26</t>
  </si>
  <si>
    <t>11TI+3 dias</t>
  </si>
  <si>
    <t>1.1.3.1.4</t>
  </si>
  <si>
    <t>aprovação</t>
  </si>
  <si>
    <t>10TI+3 dias</t>
  </si>
  <si>
    <t>Ter 19/05/26</t>
  </si>
  <si>
    <t>1.1.3.2</t>
  </si>
  <si>
    <t>cr-f0009-0000-mb-f-00001</t>
  </si>
  <si>
    <t>Cronograma</t>
  </si>
  <si>
    <t>16 dias</t>
  </si>
  <si>
    <t>1.1.3.2.1</t>
  </si>
  <si>
    <t>CR-F0009-0000-MB-F-00001</t>
  </si>
  <si>
    <t>3 dias</t>
  </si>
  <si>
    <t>14;30</t>
  </si>
  <si>
    <t>1.1.3.2.2</t>
  </si>
  <si>
    <t>Ter 05/05/26</t>
  </si>
  <si>
    <t>15TI+8 dias</t>
  </si>
  <si>
    <t>1.1.3.2.3</t>
  </si>
  <si>
    <t>14TI+8 dias</t>
  </si>
  <si>
    <t>Qua 13/05/26</t>
  </si>
  <si>
    <t>1.1.3.2.4</t>
  </si>
  <si>
    <t>Seg 18/05/26</t>
  </si>
  <si>
    <t>1.1.4</t>
  </si>
  <si>
    <t>coordenação</t>
  </si>
  <si>
    <t>37 dias</t>
  </si>
  <si>
    <t xml:space="preserve">COORDENAÇÃO </t>
  </si>
  <si>
    <t>1.1.4.1</t>
  </si>
  <si>
    <t>Coordenação</t>
  </si>
  <si>
    <t>lf-f0009-0000-mb-f-00001</t>
  </si>
  <si>
    <t>Vendor List</t>
  </si>
  <si>
    <t>7 dias</t>
  </si>
  <si>
    <t>Seg 20/07/26</t>
  </si>
  <si>
    <t>1.1.4.1.1</t>
  </si>
  <si>
    <t>LF-F0009-0000-MB-F-00001</t>
  </si>
  <si>
    <t>3TI+45 dias</t>
  </si>
  <si>
    <t>1.1.4.1.2</t>
  </si>
  <si>
    <t>Qui 23/07/26</t>
  </si>
  <si>
    <t>1.1.4.1.3</t>
  </si>
  <si>
    <t>Sex 24/07/26</t>
  </si>
  <si>
    <t>1.1.4.1.4</t>
  </si>
  <si>
    <t>Ter 28/07/26</t>
  </si>
  <si>
    <t>1.1.4.2</t>
  </si>
  <si>
    <t>lp-f0009-0000-mb-g-00001</t>
  </si>
  <si>
    <t>Lista de pendências</t>
  </si>
  <si>
    <t>1.1.4.2.1</t>
  </si>
  <si>
    <t>LP-F0009-0000-MB-G-00001</t>
  </si>
  <si>
    <t>1.1.4.2.2</t>
  </si>
  <si>
    <t>26TI+30 dias</t>
  </si>
  <si>
    <t>1.1.4.2.3</t>
  </si>
  <si>
    <t>25TI+30 dias</t>
  </si>
  <si>
    <t>Sex 12/06/26</t>
  </si>
  <si>
    <t>1.1.4.2.4</t>
  </si>
  <si>
    <t>Ter 16/06/26</t>
  </si>
  <si>
    <t>1.1.5</t>
  </si>
  <si>
    <t>processo</t>
  </si>
  <si>
    <t>139 dias</t>
  </si>
  <si>
    <t>PROCESSO</t>
  </si>
  <si>
    <t>1.1.5.1</t>
  </si>
  <si>
    <t>Processo</t>
  </si>
  <si>
    <t>cp-f0009-0000-mb-p-00001</t>
  </si>
  <si>
    <t>Critério de Projetos</t>
  </si>
  <si>
    <t>9 dias</t>
  </si>
  <si>
    <t>Ter 09/06/26</t>
  </si>
  <si>
    <t>1.1.5.1.1</t>
  </si>
  <si>
    <t>CP-F0009-0000-MB-P-00001</t>
  </si>
  <si>
    <t>5 dias</t>
  </si>
  <si>
    <t>31;40TI+8 dias;45TI+8 dias;35TI+120 dias;51TT;67TT;93TT;109TT;125TT;135TI+60 dias</t>
  </si>
  <si>
    <t>1.1.5.1.2</t>
  </si>
  <si>
    <t>1.1.5.1.3</t>
  </si>
  <si>
    <t>Qua 17/06/26</t>
  </si>
  <si>
    <t>1.1.5.1.4</t>
  </si>
  <si>
    <t>Sex 19/06/26</t>
  </si>
  <si>
    <t>1.1.5.2</t>
  </si>
  <si>
    <t>md-f0009-0000-mb-p-00001</t>
  </si>
  <si>
    <t>Memorial descritivo</t>
  </si>
  <si>
    <t>1.1.5.2.1</t>
  </si>
  <si>
    <t>MD-F0009-0000-MB-P-00001</t>
  </si>
  <si>
    <t>30TI+120 dias</t>
  </si>
  <si>
    <t>1.1.5.2.2</t>
  </si>
  <si>
    <t>Seg 22/06/26</t>
  </si>
  <si>
    <t>1.1.5.2.3</t>
  </si>
  <si>
    <t>Ter 23/06/26</t>
  </si>
  <si>
    <t>1.1.5.2.4</t>
  </si>
  <si>
    <t>Qui 25/06/26</t>
  </si>
  <si>
    <t>1.1.5.3</t>
  </si>
  <si>
    <t>fg-f0009-0000-mb-p-00001</t>
  </si>
  <si>
    <t>Diagrama de blocos de processo</t>
  </si>
  <si>
    <t>4 dias</t>
  </si>
  <si>
    <t>1.1.5.3.1</t>
  </si>
  <si>
    <t>FG-F0009-0000-MB-P-00001</t>
  </si>
  <si>
    <t>30TI+8 dias</t>
  </si>
  <si>
    <t>1.1.5.3.2</t>
  </si>
  <si>
    <t>Qua 20/05/26</t>
  </si>
  <si>
    <t>1.1.5.3.3</t>
  </si>
  <si>
    <t>Qui 21/05/26</t>
  </si>
  <si>
    <t>1.1.5.3.4</t>
  </si>
  <si>
    <t>Seg 25/05/26</t>
  </si>
  <si>
    <t>1.1.5.4</t>
  </si>
  <si>
    <t>Fluxograma geral de processo</t>
  </si>
  <si>
    <t>25 dias</t>
  </si>
  <si>
    <t>1.1.5.4.1</t>
  </si>
  <si>
    <t>1.1.5.4.2</t>
  </si>
  <si>
    <t>1.1.5.4.3</t>
  </si>
  <si>
    <t>1.1.5.4.4</t>
  </si>
  <si>
    <t>1.1.6</t>
  </si>
  <si>
    <t>mecânica</t>
  </si>
  <si>
    <t>128 dias</t>
  </si>
  <si>
    <t>MECÂNICA</t>
  </si>
  <si>
    <t>1.1.6.1</t>
  </si>
  <si>
    <t>Mecânica</t>
  </si>
  <si>
    <t>cp-f0009-0000-mb-m-00001</t>
  </si>
  <si>
    <t>6 dias</t>
  </si>
  <si>
    <t>1.1.6.1.1</t>
  </si>
  <si>
    <t>CP-F0009-0000-MB-M-00001</t>
  </si>
  <si>
    <t>30TT</t>
  </si>
  <si>
    <t>52;61TI+120 dias;56TI+120 dias</t>
  </si>
  <si>
    <t>1.1.6.1.2</t>
  </si>
  <si>
    <t>1.1.6.1.3</t>
  </si>
  <si>
    <t>1.1.6.1.4</t>
  </si>
  <si>
    <t>1.1.6.2</t>
  </si>
  <si>
    <t>md-f0009-0000-mb-m-00001</t>
  </si>
  <si>
    <t>Ter 26/05/26</t>
  </si>
  <si>
    <t>1.1.6.2.1</t>
  </si>
  <si>
    <t>MD-F0009-0000-MB-M-00001</t>
  </si>
  <si>
    <t>51TI+120 dias</t>
  </si>
  <si>
    <t>1.1.6.2.2</t>
  </si>
  <si>
    <t>Qui 28/05/26</t>
  </si>
  <si>
    <t>1.1.6.2.3</t>
  </si>
  <si>
    <t>Sex 29/05/26</t>
  </si>
  <si>
    <t>1.1.6.2.4</t>
  </si>
  <si>
    <t>Ter 02/06/26</t>
  </si>
  <si>
    <t>1.1.6.3</t>
  </si>
  <si>
    <t>et-f0009-0000-mb-m-00001</t>
  </si>
  <si>
    <t>Especificação Técnica</t>
  </si>
  <si>
    <t>Tarefa Incluída</t>
  </si>
  <si>
    <t>1.1.6.3.1</t>
  </si>
  <si>
    <t>ET-F0009-0000-MB-M-00001</t>
  </si>
  <si>
    <t>1.1.6.3.2</t>
  </si>
  <si>
    <t>1.1.6.3.3</t>
  </si>
  <si>
    <t>1.1.6.3.4</t>
  </si>
  <si>
    <t>1.1.7</t>
  </si>
  <si>
    <t>tubulação/utilidades</t>
  </si>
  <si>
    <t>135 dias</t>
  </si>
  <si>
    <t>TUBULAÇÃO/UTILIDADES</t>
  </si>
  <si>
    <t>1.1.7.1</t>
  </si>
  <si>
    <t>Tubulação/Utilidades</t>
  </si>
  <si>
    <t>cp-f0009-0000-mb-t-00001</t>
  </si>
  <si>
    <t>Qui 11/06/26</t>
  </si>
  <si>
    <t>1.1.7.1.1</t>
  </si>
  <si>
    <t>CP-F0009-0000-MB-T-00001</t>
  </si>
  <si>
    <t>68;72TI+120 dias</t>
  </si>
  <si>
    <t>1.1.7.1.2</t>
  </si>
  <si>
    <t>1.1.7.1.3</t>
  </si>
  <si>
    <t>1.1.7.1.4</t>
  </si>
  <si>
    <t>1.1.7.2</t>
  </si>
  <si>
    <t>md-f0009-0000-mb-u-00001</t>
  </si>
  <si>
    <t>Qui 18/06/26</t>
  </si>
  <si>
    <t>1.1.7.2.1</t>
  </si>
  <si>
    <t>MD-F0009-0000-MB-U-00001</t>
  </si>
  <si>
    <t>67TI+120 dias</t>
  </si>
  <si>
    <t>73;77;87;82</t>
  </si>
  <si>
    <t>1.1.7.2.2</t>
  </si>
  <si>
    <t>1.1.7.2.3</t>
  </si>
  <si>
    <t>Qua 24/06/26</t>
  </si>
  <si>
    <t>1.1.7.2.4</t>
  </si>
  <si>
    <t>Sex 26/06/26</t>
  </si>
  <si>
    <t>1.1.7.3</t>
  </si>
  <si>
    <t>ml-f0009-0000-mb-t-00001</t>
  </si>
  <si>
    <t>Modelo geral</t>
  </si>
  <si>
    <t>1.1.7.3.1</t>
  </si>
  <si>
    <t>ML-F0009-0000-MB-T-00001</t>
  </si>
  <si>
    <t>1.1.7.3.2</t>
  </si>
  <si>
    <t>1.1.7.3.3</t>
  </si>
  <si>
    <t>Qua 03/06/26</t>
  </si>
  <si>
    <t>1.1.7.3.4</t>
  </si>
  <si>
    <t>Sex 05/06/26</t>
  </si>
  <si>
    <t>1.1.7.4</t>
  </si>
  <si>
    <t>lk-f0009-0000-mb-t-00001</t>
  </si>
  <si>
    <t>Lista de Tie-ins</t>
  </si>
  <si>
    <t>1.1.7.4.1</t>
  </si>
  <si>
    <t>LK-F0009-0000-MB-T-00001</t>
  </si>
  <si>
    <t>1.1.7.4.2</t>
  </si>
  <si>
    <t>1.1.7.4.3</t>
  </si>
  <si>
    <t>Seg 08/06/26</t>
  </si>
  <si>
    <t>1.1.7.4.4</t>
  </si>
  <si>
    <t>Qua 10/06/26</t>
  </si>
  <si>
    <t>1.1.7.5</t>
  </si>
  <si>
    <t>et-f0009-0000-mb-t-00001</t>
  </si>
  <si>
    <t>1.1.7.5.1</t>
  </si>
  <si>
    <t>ET-F0009-0000-MB-T-00001</t>
  </si>
  <si>
    <t>1.1.7.5.2</t>
  </si>
  <si>
    <t>1.1.7.5.3</t>
  </si>
  <si>
    <t>1.1.7.5.4</t>
  </si>
  <si>
    <t>1.1.8</t>
  </si>
  <si>
    <t>estrutura metálica</t>
  </si>
  <si>
    <t>130 dias</t>
  </si>
  <si>
    <t>ESTRUTURA METÁLICA</t>
  </si>
  <si>
    <t>Seg 15/06/26</t>
  </si>
  <si>
    <t>1.1.8.1</t>
  </si>
  <si>
    <t>Estrutura metálica</t>
  </si>
  <si>
    <t>cp-f0009-0000-mb-s-00001</t>
  </si>
  <si>
    <t>1.1.8.1.1</t>
  </si>
  <si>
    <t>CP-F0009-0000-MB-S-00001</t>
  </si>
  <si>
    <t>94;103TI+120 dias;98TI+120 dias</t>
  </si>
  <si>
    <t>1.1.8.1.2</t>
  </si>
  <si>
    <t>1.1.8.1.3</t>
  </si>
  <si>
    <t>1.1.8.1.4</t>
  </si>
  <si>
    <t>1.1.8.2</t>
  </si>
  <si>
    <t>md-f0009-0000-mb-s-00001</t>
  </si>
  <si>
    <t>1.1.8.2.1</t>
  </si>
  <si>
    <t>MD-F0009-0000-MB-S-00001</t>
  </si>
  <si>
    <t>93TI+120 dias</t>
  </si>
  <si>
    <t>1.1.8.2.2</t>
  </si>
  <si>
    <t>1.1.8.2.3</t>
  </si>
  <si>
    <t>1.1.8.2.4</t>
  </si>
  <si>
    <t>1.1.8.3</t>
  </si>
  <si>
    <t>et-f0009-0000-mb-s-00001</t>
  </si>
  <si>
    <t>1.1.8.3.1</t>
  </si>
  <si>
    <t>ET-F0009-0000-MB-S-00001</t>
  </si>
  <si>
    <t>1.1.8.3.2</t>
  </si>
  <si>
    <t>1.1.8.3.3</t>
  </si>
  <si>
    <t>1.1.8.3.4</t>
  </si>
  <si>
    <t>1.1.9</t>
  </si>
  <si>
    <t>elétrica</t>
  </si>
  <si>
    <t>140 dias</t>
  </si>
  <si>
    <t>ELÉTRICA</t>
  </si>
  <si>
    <t>1.1.9.1</t>
  </si>
  <si>
    <t>Elétrica</t>
  </si>
  <si>
    <t>cp-f0009-0000-mb-e-00001</t>
  </si>
  <si>
    <t>119TI+120 dias;114TI+120 dias</t>
  </si>
  <si>
    <t>1.1.9.1.1</t>
  </si>
  <si>
    <t>CP-F0009-0000-MB-E-00001</t>
  </si>
  <si>
    <t>1.1.9.1.2</t>
  </si>
  <si>
    <t>1.1.9.1.3</t>
  </si>
  <si>
    <t>1.1.9.1.4</t>
  </si>
  <si>
    <t>1.1.9.2</t>
  </si>
  <si>
    <t>md-f0009-0000-mb-e-00001</t>
  </si>
  <si>
    <t>11 dias</t>
  </si>
  <si>
    <t>1.1.9.2.1</t>
  </si>
  <si>
    <t>MD-F0009-0000-MB-E-00001</t>
  </si>
  <si>
    <t>108TI+120 dias</t>
  </si>
  <si>
    <t>1.1.9.2.2</t>
  </si>
  <si>
    <t>1.1.9.2.3</t>
  </si>
  <si>
    <t>1.1.9.2.4</t>
  </si>
  <si>
    <t>Seg 29/06/26</t>
  </si>
  <si>
    <t>1.1.9.3</t>
  </si>
  <si>
    <t>et-f0009-0000-mb-e-00001</t>
  </si>
  <si>
    <t>1.1.9.3.1</t>
  </si>
  <si>
    <t>ET-F0009-0000-MB-E-00001</t>
  </si>
  <si>
    <t>1.1.9.3.2</t>
  </si>
  <si>
    <t>1.1.9.3.3</t>
  </si>
  <si>
    <t>1.1.9.3.4</t>
  </si>
  <si>
    <t>1.1.10</t>
  </si>
  <si>
    <t>automação e instrumentação</t>
  </si>
  <si>
    <t>127 dias</t>
  </si>
  <si>
    <t>AUTOMAÇÃO E INSTRUMENTAÇÃO</t>
  </si>
  <si>
    <t>1.1.10.1</t>
  </si>
  <si>
    <t>Automação e instrumentação</t>
  </si>
  <si>
    <t>cp-f0009-0000-mb-j-00001</t>
  </si>
  <si>
    <t>1.1.10.1.1</t>
  </si>
  <si>
    <t>CP-F0009-0000-MB-J-00001</t>
  </si>
  <si>
    <t>126;130TI+120 dias</t>
  </si>
  <si>
    <t>1.1.10.1.2</t>
  </si>
  <si>
    <t>1.1.10.1.3</t>
  </si>
  <si>
    <t>1.1.10.1.4</t>
  </si>
  <si>
    <t>1.1.10.2</t>
  </si>
  <si>
    <t>md-f0009-0000-mb-j-00001</t>
  </si>
  <si>
    <t>Sex 22/05/26</t>
  </si>
  <si>
    <t>1.1.10.2.1</t>
  </si>
  <si>
    <t>MD-F0009-0000-MB-J-00001</t>
  </si>
  <si>
    <t>125TI+120 dias</t>
  </si>
  <si>
    <t>1.1.10.2.2</t>
  </si>
  <si>
    <t>Qua 27/05/26</t>
  </si>
  <si>
    <t>1.1.10.2.3</t>
  </si>
  <si>
    <t>1.1.10.2.4</t>
  </si>
  <si>
    <t>Seg 01/06/26</t>
  </si>
  <si>
    <t>1.1.11</t>
  </si>
  <si>
    <t>civil</t>
  </si>
  <si>
    <t>CIVIL</t>
  </si>
  <si>
    <t>1.1.11.1</t>
  </si>
  <si>
    <t>Civil</t>
  </si>
  <si>
    <t>avaliações gerais</t>
  </si>
  <si>
    <t>30TI+60 dias</t>
  </si>
  <si>
    <t>Seg 07/09/26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</si>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</sst>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0" applyNumberFormat="1"/>
    <xf numFmtId="14" fontId="0" fillId="0" borderId="0" xfId="1" applyNumberFormat="1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0" borderId="0" xfId="2" applyFont="1" applyAlignment="1">
      <alignment horizontal="center" vertical="center" wrapText="1"/>
    </xf>
    <xf numFmtId="9" fontId="0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61">
    <dxf>
      <alignment horizontal="center" vertical="center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center" textRotation="0" wrapText="0" indent="0" justifyLastLine="0" shrinkToFit="0" readingOrder="0"/>
    </dxf>
    <dxf>
      <numFmt numFmtId="165" formatCode="0.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C-41FF-918F-BC93F8665F68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C-41FF-918F-BC93F8665F68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0.5</c:v>
                </c:pt>
                <c:pt idx="1">
                  <c:v>0</c:v>
                </c:pt>
                <c:pt idx="2">
                  <c:v>1</c:v>
                </c:pt>
                <c:pt idx="3">
                  <c:v>0.33333333333333331</c:v>
                </c:pt>
                <c:pt idx="4">
                  <c:v>0</c:v>
                </c:pt>
                <c:pt idx="5">
                  <c:v>0</c:v>
                </c:pt>
                <c:pt idx="6">
                  <c:v>0.33333333333333331</c:v>
                </c:pt>
                <c:pt idx="7">
                  <c:v>0</c:v>
                </c:pt>
                <c:pt idx="8">
                  <c:v>1</c:v>
                </c:pt>
                <c:pt idx="9">
                  <c:v>0.5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BC-41FF-918F-BC93F8665F68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BC-41FF-918F-BC93F8665F68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C-41FF-918F-BC93F8665F68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BC-41FF-918F-BC93F8665F68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1BC-41FF-918F-BC93F8665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36-4B80-9370-6737274D898A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36-4B80-9370-6737274D898A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36-4B80-9370-6737274D898A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Resumo!$A$21:$A$31</c:f>
              <c:strCache>
                <c:ptCount val="11"/>
                <c:pt idx="0">
                  <c:v>AUTOMAÇÃO E INSTRUMENTAÇÃO</c:v>
                </c:pt>
                <c:pt idx="1">
                  <c:v>CIVIL</c:v>
                </c:pt>
                <c:pt idx="2">
                  <c:v>COORDENAÇÃO 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MECÂNICA</c:v>
                </c:pt>
                <c:pt idx="7">
                  <c:v>PENDÊNCIAS</c:v>
                </c:pt>
                <c:pt idx="8">
                  <c:v>PLANEJAMENTO </c:v>
                </c:pt>
                <c:pt idx="9">
                  <c:v>PROCESSO</c:v>
                </c:pt>
                <c:pt idx="10">
                  <c:v>TUBULAÇÃO/UTILIDADES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36-4B80-9370-6737274D8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Emissão inicial - Status 24/06/2026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A-40FE-967F-2A7F5A6F6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6069128"/>
        <c:axId val="207252488"/>
      </c:barChart>
      <c:barChart>
        <c:barDir val="col"/>
        <c:grouping val="clustered"/>
        <c:varyColors val="0"/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5A-40FE-967F-2A7F5A6F6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axId val="171836936"/>
        <c:axId val="1561852423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21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A-40FE-967F-2A7F5A6F69C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5A-40FE-967F-2A7F5A6F6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069128"/>
        <c:axId val="207252488"/>
      </c:lineChart>
      <c:valAx>
        <c:axId val="2072524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069128"/>
        <c:crosses val="max"/>
        <c:crossBetween val="between"/>
      </c:valAx>
      <c:dateAx>
        <c:axId val="2160691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52488"/>
        <c:crosses val="autoZero"/>
        <c:auto val="1"/>
        <c:lblOffset val="100"/>
        <c:baseTimeUnit val="days"/>
        <c:majorUnit val="1"/>
        <c:minorUnit val="1"/>
        <c:minorTimeUnit val="months"/>
      </c:dateAx>
      <c:valAx>
        <c:axId val="156185242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6936"/>
        <c:crosses val="autoZero"/>
        <c:crossBetween val="between"/>
      </c:valAx>
      <c:dateAx>
        <c:axId val="17183693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6185242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24/06/2026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S'!$G$2:$G$173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5-4788-80C0-54FDEDD7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052638216"/>
        <c:axId val="1052635144"/>
      </c:barChart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S'!$B$2:$B$173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6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5-4788-80C0-54FDEDD7E472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S'!$D$2:$D$173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5-4788-80C0-54FDEDD7E472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S'!$F$2:$F$173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5-4788-80C0-54FDEDD7E472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S'!$I$2:$I$173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5-4788-80C0-54FDEDD7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1707104775"/>
        <c:axId val="155890432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S'!$C$2:$C$173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6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17</c:v>
                </c:pt>
                <c:pt idx="88">
                  <c:v>17</c:v>
                </c:pt>
                <c:pt idx="89">
                  <c:v>17</c:v>
                </c:pt>
                <c:pt idx="90">
                  <c:v>17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21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24</c:v>
                </c:pt>
                <c:pt idx="125">
                  <c:v>24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85-4788-80C0-54FDEDD7E472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S'!$E$2:$E$173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85-4788-80C0-54FDEDD7E472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S'!$A$2:$A$173</c:f>
              <c:numCache>
                <c:formatCode>m/d/yyyy</c:formatCode>
                <c:ptCount val="172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  <c:pt idx="110">
                  <c:v>46211</c:v>
                </c:pt>
                <c:pt idx="111">
                  <c:v>46212</c:v>
                </c:pt>
                <c:pt idx="112">
                  <c:v>46213</c:v>
                </c:pt>
                <c:pt idx="113">
                  <c:v>46214</c:v>
                </c:pt>
                <c:pt idx="114">
                  <c:v>46215</c:v>
                </c:pt>
                <c:pt idx="115">
                  <c:v>46216</c:v>
                </c:pt>
                <c:pt idx="116">
                  <c:v>46217</c:v>
                </c:pt>
                <c:pt idx="117">
                  <c:v>46218</c:v>
                </c:pt>
                <c:pt idx="118">
                  <c:v>46219</c:v>
                </c:pt>
                <c:pt idx="119">
                  <c:v>46220</c:v>
                </c:pt>
                <c:pt idx="120">
                  <c:v>46221</c:v>
                </c:pt>
                <c:pt idx="121">
                  <c:v>46222</c:v>
                </c:pt>
                <c:pt idx="122">
                  <c:v>46223</c:v>
                </c:pt>
                <c:pt idx="123">
                  <c:v>46224</c:v>
                </c:pt>
                <c:pt idx="124">
                  <c:v>46225</c:v>
                </c:pt>
                <c:pt idx="125">
                  <c:v>46226</c:v>
                </c:pt>
                <c:pt idx="126">
                  <c:v>46227</c:v>
                </c:pt>
                <c:pt idx="127">
                  <c:v>46228</c:v>
                </c:pt>
                <c:pt idx="128">
                  <c:v>46229</c:v>
                </c:pt>
                <c:pt idx="129">
                  <c:v>46230</c:v>
                </c:pt>
                <c:pt idx="130">
                  <c:v>46231</c:v>
                </c:pt>
                <c:pt idx="131">
                  <c:v>46232</c:v>
                </c:pt>
                <c:pt idx="132">
                  <c:v>46233</c:v>
                </c:pt>
                <c:pt idx="133">
                  <c:v>46234</c:v>
                </c:pt>
                <c:pt idx="134">
                  <c:v>46235</c:v>
                </c:pt>
                <c:pt idx="135">
                  <c:v>46236</c:v>
                </c:pt>
                <c:pt idx="136">
                  <c:v>46237</c:v>
                </c:pt>
                <c:pt idx="137">
                  <c:v>46238</c:v>
                </c:pt>
                <c:pt idx="138">
                  <c:v>46239</c:v>
                </c:pt>
                <c:pt idx="139">
                  <c:v>46240</c:v>
                </c:pt>
                <c:pt idx="140">
                  <c:v>46241</c:v>
                </c:pt>
                <c:pt idx="141">
                  <c:v>46242</c:v>
                </c:pt>
                <c:pt idx="142">
                  <c:v>46243</c:v>
                </c:pt>
                <c:pt idx="143">
                  <c:v>46244</c:v>
                </c:pt>
                <c:pt idx="144">
                  <c:v>46245</c:v>
                </c:pt>
                <c:pt idx="145">
                  <c:v>46246</c:v>
                </c:pt>
                <c:pt idx="146">
                  <c:v>46247</c:v>
                </c:pt>
                <c:pt idx="147">
                  <c:v>46248</c:v>
                </c:pt>
                <c:pt idx="148">
                  <c:v>46249</c:v>
                </c:pt>
                <c:pt idx="149">
                  <c:v>46250</c:v>
                </c:pt>
                <c:pt idx="150">
                  <c:v>46251</c:v>
                </c:pt>
                <c:pt idx="151">
                  <c:v>46252</c:v>
                </c:pt>
                <c:pt idx="152">
                  <c:v>46253</c:v>
                </c:pt>
                <c:pt idx="153">
                  <c:v>46254</c:v>
                </c:pt>
                <c:pt idx="154">
                  <c:v>46255</c:v>
                </c:pt>
                <c:pt idx="155">
                  <c:v>46256</c:v>
                </c:pt>
                <c:pt idx="156">
                  <c:v>46257</c:v>
                </c:pt>
                <c:pt idx="157">
                  <c:v>46258</c:v>
                </c:pt>
                <c:pt idx="158">
                  <c:v>46259</c:v>
                </c:pt>
                <c:pt idx="159">
                  <c:v>46260</c:v>
                </c:pt>
                <c:pt idx="160">
                  <c:v>46261</c:v>
                </c:pt>
                <c:pt idx="161">
                  <c:v>46262</c:v>
                </c:pt>
                <c:pt idx="162">
                  <c:v>46263</c:v>
                </c:pt>
                <c:pt idx="163">
                  <c:v>46264</c:v>
                </c:pt>
                <c:pt idx="164">
                  <c:v>46265</c:v>
                </c:pt>
                <c:pt idx="165">
                  <c:v>46266</c:v>
                </c:pt>
                <c:pt idx="166">
                  <c:v>46267</c:v>
                </c:pt>
                <c:pt idx="167">
                  <c:v>46268</c:v>
                </c:pt>
                <c:pt idx="168">
                  <c:v>46269</c:v>
                </c:pt>
                <c:pt idx="169">
                  <c:v>46270</c:v>
                </c:pt>
                <c:pt idx="170">
                  <c:v>46271</c:v>
                </c:pt>
                <c:pt idx="171">
                  <c:v>46272</c:v>
                </c:pt>
              </c:numCache>
            </c:numRef>
          </c:cat>
          <c:val>
            <c:numRef>
              <c:f>'Curva S'!$H$2:$H$173</c:f>
              <c:numCache>
                <c:formatCode>General</c:formatCode>
                <c:ptCount val="1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5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10</c:v>
                </c:pt>
                <c:pt idx="83">
                  <c:v>10</c:v>
                </c:pt>
                <c:pt idx="84">
                  <c:v>10</c:v>
                </c:pt>
                <c:pt idx="85">
                  <c:v>10</c:v>
                </c:pt>
                <c:pt idx="86">
                  <c:v>10</c:v>
                </c:pt>
                <c:pt idx="87">
                  <c:v>10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17</c:v>
                </c:pt>
                <c:pt idx="92">
                  <c:v>17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20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23</c:v>
                </c:pt>
                <c:pt idx="114">
                  <c:v>23</c:v>
                </c:pt>
                <c:pt idx="115">
                  <c:v>23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24</c:v>
                </c:pt>
                <c:pt idx="131">
                  <c:v>24</c:v>
                </c:pt>
                <c:pt idx="132">
                  <c:v>24</c:v>
                </c:pt>
                <c:pt idx="133">
                  <c:v>24</c:v>
                </c:pt>
                <c:pt idx="134">
                  <c:v>24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85-4788-80C0-54FDEDD7E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638216"/>
        <c:axId val="1052635144"/>
      </c:lineChart>
      <c:valAx>
        <c:axId val="1052635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38216"/>
        <c:crosses val="max"/>
        <c:crossBetween val="between"/>
      </c:valAx>
      <c:dateAx>
        <c:axId val="10526382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635144"/>
        <c:crosses val="autoZero"/>
        <c:auto val="1"/>
        <c:lblOffset val="100"/>
        <c:baseTimeUnit val="days"/>
        <c:majorUnit val="1"/>
        <c:minorUnit val="1"/>
      </c:dateAx>
      <c:valAx>
        <c:axId val="15589043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104775"/>
        <c:crosses val="autoZero"/>
        <c:crossBetween val="between"/>
      </c:valAx>
      <c:dateAx>
        <c:axId val="17071047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5890432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32</xdr:col>
      <xdr:colOff>222612</xdr:colOff>
      <xdr:row>33</xdr:row>
      <xdr:rowOff>135255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F45848-433C-4D95-8BB8-435F0F4C4015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32</xdr:col>
      <xdr:colOff>300717</xdr:colOff>
      <xdr:row>65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E1A9514-5A40-4A26-9EFA-8D3489F900F4}"/>
            </a:ext>
            <a:ext uri="{147F2762-F138-4A5C-976F-8EAC2B608ADB}">
              <a16:predDERef xmlns:a16="http://schemas.microsoft.com/office/drawing/2014/main" pred="{AA8DCDD7-8B17-433E-BAE9-C36F78339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30</xdr:col>
      <xdr:colOff>495300</xdr:colOff>
      <xdr:row>30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8B4BFB7-72D8-4476-871D-3CF9F64B4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30</xdr:col>
      <xdr:colOff>485775</xdr:colOff>
      <xdr:row>61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D0926DD-91AD-4E63-ABF4-44CA347DF6CE}"/>
            </a:ext>
            <a:ext uri="{147F2762-F138-4A5C-976F-8EAC2B608ADB}">
              <a16:predDERef xmlns:a16="http://schemas.microsoft.com/office/drawing/2014/main" pred="{7D012B50-6F09-44E4-B90C-4D30794576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30F1C-12D4-4D2F-9B9C-BAC08E550540}" name="Tabela1" displayName="Tabela1" ref="A1:AF136" totalsRowShown="0">
  <autoFilter ref="A1:AF136" xr:uid="{EAF30F1C-12D4-4D2F-9B9C-BAC08E550540}"/>
  <tableColumns count="32">
    <tableColumn id="1" xr3:uid="{C4D66D0B-AEC9-4593-B1E8-98BA05317FB1}" name="Id"/>
    <tableColumn id="2" xr3:uid="{8462802D-0A45-4665-807A-3D4AD13C580E}" name="EDT"/>
    <tableColumn id="3" xr3:uid="{3D48566A-69DE-4927-9EC8-31BAA31B4743}" name="Nome do Resumo da Tarefa"/>
    <tableColumn id="4" xr3:uid="{5B489997-15CB-41DC-9A44-4719C9563C7F}" name="Nome da Tarefa"/>
    <tableColumn id="5" xr3:uid="{E148A672-0384-4B63-B5B2-B2E016150FAF}" name="Título"/>
    <tableColumn id="6" xr3:uid="{4341B3EA-AB6C-43F6-B373-6DE6CAB459A7}" name="Duração"/>
    <tableColumn id="7" xr3:uid="{751CE82D-27E9-4AE6-883C-3B3342FE70F1}" name="Início" dataDxfId="43" dataCellStyle="Vírgula"/>
    <tableColumn id="8" xr3:uid="{632C1CF5-777F-4DE4-9AEA-3968AEA930EA}" name="Término" dataDxfId="42" dataCellStyle="Vírgula"/>
    <tableColumn id="9" xr3:uid="{90859270-8184-401A-8241-21659F01F212}" name="Predecessoras"/>
    <tableColumn id="10" xr3:uid="{6157B1C6-FFFC-4954-9F94-C98CF74A3E4A}" name="% concluída"/>
    <tableColumn id="11" xr3:uid="{1F1FE892-17F2-4D5E-8455-38716440F17C}" name="Término real" dataDxfId="41"/>
    <tableColumn id="12" xr3:uid="{503B991F-E5A3-425B-AA8F-D914C1A872FF}" name="Status"/>
    <tableColumn id="13" xr3:uid="{A31A7F54-443C-4E69-B501-4A346E2D1549}" name="Crítica"/>
    <tableColumn id="14" xr3:uid="{26FD6BEE-1486-48B4-B8BB-50493C0CE1F7}" name="Disciplina"/>
    <tableColumn id="15" xr3:uid="{50AB34F0-6274-4E05-845D-B99EE32BF6D9}" name="Inicio_LB_R0"/>
    <tableColumn id="16" xr3:uid="{8B5E30CE-11F2-4973-8AA7-4A0220707ED0}" name="Término_LB_R0" dataDxfId="40"/>
    <tableColumn id="17" xr3:uid="{FA51F849-B6A8-4749-9E58-740EE93A09C7}" name="Sprint"/>
    <tableColumn id="18" xr3:uid="{2EAF754D-AABB-4592-9604-43017B5C9E9E}" name="Sucessoras"/>
    <tableColumn id="19" xr3:uid="{382AA73B-4F67-44EA-B36C-333AC43DFF79}" name="Comparação"/>
    <tableColumn id="20" xr3:uid="{4684B257-5FF0-4970-8554-525E7C0281C9}" name="Nomes dos recursos"/>
    <tableColumn id="21" xr3:uid="{E1176CCF-1EBB-431B-AF2A-EE60060A9B4D}" name="pct_val"/>
    <tableColumn id="22" xr3:uid="{42D53E88-304E-4C20-BE75-B9DF14432AAA}" name="Emissão inicial total"/>
    <tableColumn id="23" xr3:uid="{C85F415C-7F31-44A5-851F-2AD263F91D14}" name="Emissão inicial concluída"/>
    <tableColumn id="24" xr3:uid="{AE4CD25B-47F7-471A-88B1-F600D74BD992}" name="Emissão Inicial Atrasada"/>
    <tableColumn id="25" xr3:uid="{4781547C-5387-4EAA-8D60-A368A658F9DC}" name="Aprovação total"/>
    <tableColumn id="26" xr3:uid="{57AE83A3-38F1-48F7-9694-614AA7621B03}" name="Avaliação do cliente concluída"/>
    <tableColumn id="27" xr3:uid="{F2CF1F0E-8E8D-4543-AD1D-CAB4D9BF5A76}" name="Avaliação Cliente Atrasada"/>
    <tableColumn id="28" xr3:uid="{FFC1B830-6DF3-40CC-858D-0FD6347D40CB}" name="Atendimento de comentário concluído"/>
    <tableColumn id="29" xr3:uid="{BD5BFD0B-62BE-4007-B3A5-44E26695B5C2}" name="Atendimento Atrasado"/>
    <tableColumn id="30" xr3:uid="{124B4F6F-B7E5-402E-A471-8158382289C0}" name="Aprovação concluída"/>
    <tableColumn id="31" xr3:uid="{C153F918-9BB7-4A80-A4A4-74A5ACD3B505}" name="Aprovação Atrasada"/>
    <tableColumn id="32" xr3:uid="{56651AC6-B56E-4B78-B263-E7B832BC6083}" name="Aderência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80AFC5-18E0-47DB-BAF4-98AC481BECE9}" name="Tabela3" displayName="Tabela3" ref="A20:E32" totalsRowCount="1" headerRowDxfId="39" dataDxfId="38" totalsRowDxfId="37">
  <autoFilter ref="A20:E31" xr:uid="{EC80AFC5-18E0-47DB-BAF4-98AC481BECE9}"/>
  <tableColumns count="5">
    <tableColumn id="1" xr3:uid="{2BBD91B6-3A26-4994-8772-64F09DDFB57C}" name="Disciplina" totalsRowLabel="TOTAL" dataDxfId="36" totalsRowDxfId="35"/>
    <tableColumn id="2" xr3:uid="{8CDD33AB-EF3C-48E7-B477-EFB14E0DC6D4}" name="Emissão Inicial Atrasada" totalsRowFunction="sum" dataDxfId="34" totalsRowDxfId="33"/>
    <tableColumn id="3" xr3:uid="{F302D6CB-EE5D-4217-A1F1-19D31EB3ECA4}" name="Avaliação Cliente Atrasada" totalsRowFunction="sum" dataDxfId="32" totalsRowDxfId="31"/>
    <tableColumn id="4" xr3:uid="{86E1B1AC-76E7-49B7-BA4D-7FAAE7267DDC}" name="Atendimento Atrasado" totalsRowFunction="sum" dataDxfId="30" totalsRowDxfId="29"/>
    <tableColumn id="5" xr3:uid="{F652F395-A8E6-4E63-8FA9-E4D4243302C1}" name="Aprovação Atrasada" totalsRowFunction="sum" dataDxfId="28" totalsRowDxfId="2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D17CD2-A64A-4801-9EC9-A22BE279EDEE}" name="Tabela4" displayName="Tabela4" ref="A3:H15" totalsRowCount="1" headerRowDxfId="26" dataDxfId="25" totalsRowDxfId="24">
  <autoFilter ref="A3:H14" xr:uid="{DAD17CD2-A64A-4801-9EC9-A22BE279EDEE}"/>
  <tableColumns count="8">
    <tableColumn id="1" xr3:uid="{F5E7CEA0-DABF-4DDE-8942-993F66409365}" name="Disciplina" totalsRowLabel="TOTAL" dataDxfId="23" totalsRowDxfId="22"/>
    <tableColumn id="2" xr3:uid="{4B8EF976-F9DD-4749-8EC0-9F983BA6AE53}" name="Emissão inicial total" totalsRowFunction="sum" dataDxfId="21" totalsRowDxfId="20"/>
    <tableColumn id="3" xr3:uid="{9615B9AB-2045-4267-BDFE-448008DD6698}" name="Emissão inicial concluída" totalsRowFunction="sum" dataDxfId="19" totalsRowDxfId="18"/>
    <tableColumn id="4" xr3:uid="{751E6348-67FB-4E01-BFEA-25448DA4D5A8}" name="%EI" dataDxfId="17" totalsRowDxfId="16"/>
    <tableColumn id="5" xr3:uid="{B5EA2CC8-8CD3-4E5A-81EA-B60BE7D20922}" name="Avaliação do cliente concluída" totalsRowFunction="sum" dataDxfId="15" totalsRowDxfId="14"/>
    <tableColumn id="6" xr3:uid="{17825E66-1370-4B77-873C-DA4E2EF8EBF7}" name="Atendimento de comentário concluído" totalsRowFunction="sum" dataDxfId="13" totalsRowDxfId="12"/>
    <tableColumn id="7" xr3:uid="{342062CD-335B-4803-AE1D-E7911A6D70E6}" name="Aprovação concluída" totalsRowFunction="sum" dataDxfId="11" totalsRowDxfId="10"/>
    <tableColumn id="8" xr3:uid="{68740BFC-7DB4-401E-8D27-52C299890E47}" name="%AP" dataDxfId="9" totalsRowDxfId="8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3306A9-69E1-416F-86A7-20F5A1469126}" name="Tabela2" displayName="Tabela2" ref="A1:O173" totalsRowShown="0" headerRowDxfId="60" dataDxfId="59">
  <autoFilter ref="A1:O173" xr:uid="{883306A9-69E1-416F-86A7-20F5A1469126}"/>
  <tableColumns count="15">
    <tableColumn id="1" xr3:uid="{832D38D4-4672-4A6B-BF8C-8B732F400DFA}" name="Data" dataDxfId="58"/>
    <tableColumn id="2" xr3:uid="{73B1FF6E-CD1C-40B6-8B19-F0B234248ADE}" name="Emissão prevista na LB" dataDxfId="57"/>
    <tableColumn id="3" xr3:uid="{B3E22739-E455-4237-9160-34FAC0222727}" name="Emissão prevista na LB acumulada" dataDxfId="56"/>
    <tableColumn id="4" xr3:uid="{20693C35-96F6-40F2-ABA9-2EA486558F40}" name="Emissão realizada por dia" dataDxfId="55"/>
    <tableColumn id="5" xr3:uid="{C577B4C6-14C8-407E-A904-029FE104336F}" name="Emissão realizada acumulada" dataDxfId="54"/>
    <tableColumn id="6" xr3:uid="{7D0BC139-4198-4838-92D8-D1B62642B07D}" name="Aprovação prevista na LB" dataDxfId="53"/>
    <tableColumn id="7" xr3:uid="{CDC4559D-D6C9-405F-B1DE-851D5FA67C06}" name="Aprovação realizada por dia" dataDxfId="52"/>
    <tableColumn id="8" xr3:uid="{DD6D530F-46C2-4354-A7A1-CE2C7D9F7E89}" name="Aprovação prevista na LB acumulada" dataDxfId="51"/>
    <tableColumn id="9" xr3:uid="{5389F464-4335-44AB-ACA5-2FDEBFF52C26}" name="Aprovação realizada acumulada" dataDxfId="50"/>
    <tableColumn id="10" xr3:uid="{AB85060C-8C85-4A61-98B4-AD10933A88D6}" name="Avanço da EI previsto na LB" dataDxfId="49" dataCellStyle="Porcentagem"/>
    <tableColumn id="11" xr3:uid="{4787B256-3AC9-4030-ABDD-6255792260F1}" name="Avanço real da EI na LB" dataDxfId="48" dataCellStyle="Porcentagem"/>
    <tableColumn id="12" xr3:uid="{264E1FE2-3D4C-45D5-B352-C41CCDF7628F}" name="COMP_EI" dataDxfId="47"/>
    <tableColumn id="13" xr3:uid="{0E488699-2B7C-4B10-8908-BCA082D214DF}" name="Avanço da AP previsto na LB" dataDxfId="46" dataCellStyle="Porcentagem"/>
    <tableColumn id="14" xr3:uid="{68FEFAA1-2783-436E-83D4-5EA3AE046BD2}" name="Avanço da AP real na LB" dataDxfId="45" dataCellStyle="Porcentagem"/>
    <tableColumn id="15" xr3:uid="{61B6F727-F750-4CFF-B738-4A3C06943699}" name="COMP_AP" dataDxfId="44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C7E4A0-AE3D-4F87-8540-D92937CF12D6}" name="Tabela5" displayName="Tabela5" ref="A1:AF25" totalsRowShown="0">
  <autoFilter ref="A1:AF25" xr:uid="{65C7E4A0-AE3D-4F87-8540-D92937CF12D6}"/>
  <tableColumns count="32">
    <tableColumn id="1" xr3:uid="{C51D247E-D416-4E70-99AB-F1043C0A7DD3}" name="Id"/>
    <tableColumn id="2" xr3:uid="{92276771-BC0E-462F-909C-53507733C071}" name="EDT"/>
    <tableColumn id="3" xr3:uid="{ADB7F5AC-C40F-479E-9986-EF0A24303950}" name="Nome do Resumo da Tarefa"/>
    <tableColumn id="4" xr3:uid="{B909BA7A-0BCE-4086-A883-2C5644F225CA}" name="Nome da Tarefa"/>
    <tableColumn id="5" xr3:uid="{E497FC14-DDF2-4CFC-BEEC-8FA0B1C03CFD}" name="Título"/>
    <tableColumn id="6" xr3:uid="{96DC4B85-6239-4617-8862-E00A96F7969E}" name="Duração"/>
    <tableColumn id="7" xr3:uid="{FF5A306A-FE4C-4B9B-8660-8DDAAEE29F4B}" name="Início" dataDxfId="7"/>
    <tableColumn id="8" xr3:uid="{C982799B-3325-43CD-A060-10432274798A}" name="Término" dataDxfId="6"/>
    <tableColumn id="9" xr3:uid="{D5681C95-8D38-4563-B40A-73E6F929D419}" name="Predecessoras"/>
    <tableColumn id="10" xr3:uid="{5D39C1BB-440E-40F0-8C52-609E4C66EDC6}" name="% concluída"/>
    <tableColumn id="11" xr3:uid="{C7527E50-2302-4053-97AC-6A24E0970EA1}" name="Término real" dataDxfId="5"/>
    <tableColumn id="12" xr3:uid="{3F1056B3-4044-4F87-9EAF-FB33F36D77E3}" name="Status"/>
    <tableColumn id="13" xr3:uid="{228624D4-EACB-4B4F-B413-E19092F6D854}" name="Crítica"/>
    <tableColumn id="14" xr3:uid="{16323EC2-60E6-4000-8222-F32F9BA8D6D0}" name="Disciplina"/>
    <tableColumn id="15" xr3:uid="{CB4F10BB-2CEA-40BF-AF2C-581E42D1BD54}" name="Inicio_LB_R0"/>
    <tableColumn id="16" xr3:uid="{B915398B-5B9C-4B0F-872F-A913C06A7789}" name="Término_LB_R0" dataDxfId="4"/>
    <tableColumn id="17" xr3:uid="{F309B795-3FB6-43F5-BBC5-97148E643E92}" name="Sprint"/>
    <tableColumn id="18" xr3:uid="{3F0AD15A-73E7-4F18-AC44-B05E9713C505}" name="Sucessoras"/>
    <tableColumn id="19" xr3:uid="{57BA2121-11E0-4470-BA77-56112878605E}" name="Comparação"/>
    <tableColumn id="20" xr3:uid="{D544A125-5A5A-498C-9895-6C7419D70ADC}" name="Nomes dos recursos"/>
    <tableColumn id="21" xr3:uid="{7146CE2E-579F-49F0-B722-B0626111CFDC}" name="pct_val"/>
    <tableColumn id="22" xr3:uid="{76766E9D-2BF9-4D8F-9A03-61BA5C7D6897}" name="Emissão inicial total"/>
    <tableColumn id="23" xr3:uid="{03C75923-12DF-4C99-8098-EA1F8C1881DC}" name="Emissão inicial concluída"/>
    <tableColumn id="24" xr3:uid="{1F4668A1-63A7-4E17-957A-B42A3CC510A4}" name="Emissão Inicial Atrasada"/>
    <tableColumn id="25" xr3:uid="{781C7E00-2F63-4601-83BD-F39F25F8EAB2}" name="Aprovação total"/>
    <tableColumn id="26" xr3:uid="{0F55C843-FC92-4619-8B3E-63B8DF37519D}" name="Avaliação do cliente concluída"/>
    <tableColumn id="27" xr3:uid="{5B2DE344-536B-4F86-8500-72EB213FEC14}" name="Avaliação Cliente Atrasada"/>
    <tableColumn id="28" xr3:uid="{6AA36F2B-52A1-48A1-86FC-45A73686B8D9}" name="Atendimento de comentário concluído"/>
    <tableColumn id="29" xr3:uid="{C2C29F4B-0031-47D4-AB8E-9040FC268AF5}" name="Atendimento Atrasado"/>
    <tableColumn id="30" xr3:uid="{F0332119-EAF5-4D2F-A7DE-5CF1C18C7218}" name="Aprovação concluída"/>
    <tableColumn id="31" xr3:uid="{04B05A3F-0034-4B18-90CC-A3913B79D3A8}" name="Aprovação Atrasada"/>
    <tableColumn id="32" xr3:uid="{826675EB-260E-4D0D-BA48-3D6B20818810}" name="Aderência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B82AE11-E1FF-4D64-A1A8-EEA1E6C6C7CB}" name="Tabela6" displayName="Tabela6" ref="A1:AF27" totalsRowShown="0">
  <autoFilter ref="A1:AF27" xr:uid="{1B82AE11-E1FF-4D64-A1A8-EEA1E6C6C7CB}">
    <filterColumn colId="3">
      <filters>
        <filter val="atendimento de comentários"/>
        <filter val="emissão inicial"/>
      </filters>
    </filterColumn>
  </autoFilter>
  <tableColumns count="32">
    <tableColumn id="1" xr3:uid="{02DBDF17-41CF-48DE-A4A9-F8A16685FC1F}" name="Id"/>
    <tableColumn id="2" xr3:uid="{1513B02E-DF37-49D5-A3EF-EFE4D1780E60}" name="EDT"/>
    <tableColumn id="3" xr3:uid="{D63C07BE-3199-4525-8899-9CB8B843B2DB}" name="Nome do Resumo da Tarefa"/>
    <tableColumn id="4" xr3:uid="{8B45001D-4329-4F4F-AFDF-2FF6DF495E3C}" name="Nome da Tarefa"/>
    <tableColumn id="5" xr3:uid="{9193C8E2-00B9-43B1-9906-56E3FB4B25C1}" name="Título"/>
    <tableColumn id="6" xr3:uid="{BCFC7181-6E8D-47CD-AA97-D4E298804C3F}" name="Duração"/>
    <tableColumn id="7" xr3:uid="{14A40854-8191-4963-9B9C-00C6346DA01B}" name="Início" dataDxfId="3"/>
    <tableColumn id="8" xr3:uid="{97F41A65-8687-4D55-A70A-8AE5959C5C12}" name="Término" dataDxfId="2"/>
    <tableColumn id="9" xr3:uid="{B8DAAEC8-1469-4960-900C-9184F01C2BCC}" name="Predecessoras"/>
    <tableColumn id="10" xr3:uid="{FF325546-E20F-4F10-8B7E-F532E7603487}" name="% concluída"/>
    <tableColumn id="11" xr3:uid="{EDE8E8DD-45C2-4E32-A964-332B6C4A0AA6}" name="Término real"/>
    <tableColumn id="12" xr3:uid="{3CC37FD1-E3D3-4F80-952D-850AFF14EB59}" name="Status"/>
    <tableColumn id="13" xr3:uid="{FDB8480F-43DE-4A46-AC14-99074A748DC5}" name="Crítica"/>
    <tableColumn id="14" xr3:uid="{2E0AB101-AC12-4952-BD13-17B85BE96724}" name="Disciplina"/>
    <tableColumn id="15" xr3:uid="{9E11050C-A398-4D21-BEA4-AA002FC4C6DE}" name="Inicio_LB_R0"/>
    <tableColumn id="16" xr3:uid="{473757D4-2605-4043-A72A-6B06E12AC625}" name="Término_LB_R0" dataDxfId="1"/>
    <tableColumn id="17" xr3:uid="{BCDC9C34-398B-43E7-87ED-3D7FD97DAA05}" name="Sprint"/>
    <tableColumn id="18" xr3:uid="{2C1CCE22-6DBA-4681-8653-42D3A55A9383}" name="Sucessoras"/>
    <tableColumn id="19" xr3:uid="{3185406E-AA5A-49A7-9143-6F6CA895745B}" name="Comparação"/>
    <tableColumn id="20" xr3:uid="{CD9257A6-997F-4759-AF92-CD368CB58206}" name="Nomes dos recursos"/>
    <tableColumn id="21" xr3:uid="{CC35275E-2CE5-47FD-B0EA-9A1AE729B65C}" name="pct_val"/>
    <tableColumn id="22" xr3:uid="{E2150C9B-6ED2-40DA-9EEB-6C3242201B9E}" name="Emissão inicial total"/>
    <tableColumn id="23" xr3:uid="{CD1C14BC-35AA-419C-BC97-2E0E9364F654}" name="Emissão inicial concluída"/>
    <tableColumn id="24" xr3:uid="{261B9893-7A5C-4DCF-BFC4-F8FF40F4103E}" name="Emissão Inicial Atrasada"/>
    <tableColumn id="25" xr3:uid="{5D758067-C6AA-4175-A105-CAD5AF20E743}" name="Aprovação total"/>
    <tableColumn id="26" xr3:uid="{0CFB314A-4EBA-4267-9507-36B70D8F685C}" name="Avaliação do cliente concluída"/>
    <tableColumn id="27" xr3:uid="{20075777-901D-42AC-8971-C7261648AEE4}" name="Avaliação Cliente Atrasada"/>
    <tableColumn id="28" xr3:uid="{C933471D-A199-445C-97BB-5756D1D64AAA}" name="Atendimento de comentário concluído"/>
    <tableColumn id="29" xr3:uid="{2E921392-FD79-4152-9F69-D6518270CBCF}" name="Atendimento Atrasado"/>
    <tableColumn id="30" xr3:uid="{93ABB16B-6EEF-44CA-8A7F-85E7A3EE9198}" name="Aprovação concluída"/>
    <tableColumn id="31" xr3:uid="{EDC1F21A-60EA-47E9-84C6-BC38630B33D1}" name="Aprovação Atrasada"/>
    <tableColumn id="32" xr3:uid="{05B0AF2A-6651-46CF-A345-AE24DD127A6F}" name="Aderência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C5F5CA-AAD1-4922-876A-F9B54EBC81AA}" name="Tabela7" displayName="Tabela7" ref="A1:J43" totalsRowShown="0">
  <autoFilter ref="A1:J43" xr:uid="{6DC5F5CA-AAD1-4922-876A-F9B54EBC81AA}"/>
  <tableColumns count="10">
    <tableColumn id="1" xr3:uid="{7C32C980-ECF8-406D-965E-40A206241CF3}" name="Sprint"/>
    <tableColumn id="2" xr3:uid="{2674E85C-2585-470C-9F37-32FDECDDAE38}" name="Id"/>
    <tableColumn id="3" xr3:uid="{DCD4513E-DE65-4DA2-89DA-F99495C06D47}" name="EDT"/>
    <tableColumn id="4" xr3:uid="{66625E56-8263-40D5-96A2-E776A899E7E6}" name="Nome do Resumo da Tarefa"/>
    <tableColumn id="5" xr3:uid="{D154310E-1449-47BD-90BB-3DCADC873E48}" name="Nome da Tarefa"/>
    <tableColumn id="6" xr3:uid="{E2229621-1B5F-48B7-AB10-597CDE881DFB}" name="Status"/>
    <tableColumn id="7" xr3:uid="{76A7067B-34AA-41F2-9C74-E128746204E7}" name="% concluída"/>
    <tableColumn id="8" xr3:uid="{9728100A-0948-472E-9F25-34709537A795}" name="Nomes dos recursos"/>
    <tableColumn id="9" xr3:uid="{71A6647A-1900-42C9-BE2C-C589BC34B45B}" name="Disciplina"/>
    <tableColumn id="10" xr3:uid="{751EF32A-857B-4A6D-BD2A-91BABAB28744}" name="Crítica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7E1DC18-1F12-47DE-99FA-C4E79668872B}" name="Tabela8" displayName="Tabela8" ref="A1:J4" totalsRowShown="0">
  <autoFilter ref="A1:J4" xr:uid="{27E1DC18-1F12-47DE-99FA-C4E79668872B}"/>
  <tableColumns count="10">
    <tableColumn id="1" xr3:uid="{CAB56483-DEC1-4A56-A361-83C170C8BC78}" name="Sprint"/>
    <tableColumn id="2" xr3:uid="{55551F90-B12A-4A33-88C7-0A8EE2432760}" name="Id"/>
    <tableColumn id="3" xr3:uid="{58A19460-3A9A-4EA1-801B-F07690A1812D}" name="EDT"/>
    <tableColumn id="4" xr3:uid="{90F356A5-1312-46C3-BC50-96B7EF3E574F}" name="Nome do Resumo da Tarefa"/>
    <tableColumn id="5" xr3:uid="{282BD1CD-8CF1-4DEF-8085-2CC3E1B3B684}" name="Nome da Tarefa"/>
    <tableColumn id="6" xr3:uid="{3FE855B8-F613-4FCE-BDC3-022463B8F9F5}" name="Status"/>
    <tableColumn id="7" xr3:uid="{B28AD7A5-DCAB-454F-9680-E2C1684ACD19}" name="% concluída" dataDxfId="0" dataCellStyle="Porcentagem"/>
    <tableColumn id="8" xr3:uid="{E643B3F9-363C-42CF-A0AF-FF3A5CC7694F}" name="Nomes dos recursos"/>
    <tableColumn id="9" xr3:uid="{7264A8BB-73CF-4F5E-BF06-69FC067F4405}" name="Disciplina"/>
    <tableColumn id="10" xr3:uid="{D03A745B-8020-4289-A24E-F25BC2EBD585}" name="Crítica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6"/>
  <sheetViews>
    <sheetView workbookViewId="0">
      <selection sqref="A1:XFD1048576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28.140625" bestFit="1" customWidth="1"/>
    <col min="4" max="4" width="31.5703125" bestFit="1" customWidth="1"/>
    <col min="5" max="5" width="29.85546875" bestFit="1" customWidth="1"/>
    <col min="6" max="6" width="10.42578125" bestFit="1" customWidth="1"/>
    <col min="7" max="8" width="10.7109375" style="2" bestFit="1" customWidth="1"/>
    <col min="9" max="9" width="16.140625" bestFit="1" customWidth="1"/>
    <col min="10" max="10" width="13.7109375" bestFit="1" customWidth="1"/>
    <col min="11" max="11" width="14.5703125" style="3" bestFit="1" customWidth="1"/>
    <col min="12" max="12" width="12.42578125" bestFit="1" customWidth="1"/>
    <col min="13" max="13" width="8.85546875" bestFit="1" customWidth="1"/>
    <col min="14" max="14" width="32.140625" bestFit="1" customWidth="1"/>
    <col min="15" max="15" width="14.28515625" bestFit="1" customWidth="1"/>
    <col min="16" max="16" width="17" style="3" bestFit="1" customWidth="1"/>
    <col min="17" max="17" width="14.5703125" bestFit="1" customWidth="1"/>
    <col min="18" max="18" width="74.5703125" bestFit="1" customWidth="1"/>
    <col min="19" max="19" width="14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s="2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1</v>
      </c>
      <c r="D2" t="s">
        <v>32</v>
      </c>
      <c r="F2" t="s">
        <v>33</v>
      </c>
      <c r="G2" s="2">
        <v>46160</v>
      </c>
      <c r="H2" s="2">
        <v>46379</v>
      </c>
      <c r="J2">
        <v>0.26</v>
      </c>
      <c r="L2" t="s">
        <v>34</v>
      </c>
      <c r="M2" t="s">
        <v>35</v>
      </c>
      <c r="N2" t="s">
        <v>36</v>
      </c>
      <c r="O2" t="s">
        <v>37</v>
      </c>
      <c r="P2" s="3">
        <v>46211</v>
      </c>
      <c r="Q2" t="s">
        <v>38</v>
      </c>
      <c r="U2">
        <v>0.26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2</v>
      </c>
      <c r="B3" t="s">
        <v>39</v>
      </c>
      <c r="C3" t="s">
        <v>40</v>
      </c>
      <c r="D3" t="s">
        <v>41</v>
      </c>
      <c r="F3" t="s">
        <v>33</v>
      </c>
      <c r="G3" s="2">
        <v>46160</v>
      </c>
      <c r="H3" s="2">
        <v>46379</v>
      </c>
      <c r="J3">
        <v>0.26</v>
      </c>
      <c r="L3" t="s">
        <v>34</v>
      </c>
      <c r="M3" t="s">
        <v>35</v>
      </c>
      <c r="N3" t="s">
        <v>36</v>
      </c>
      <c r="O3" t="s">
        <v>37</v>
      </c>
      <c r="P3" s="3">
        <v>46211</v>
      </c>
      <c r="Q3" t="s">
        <v>38</v>
      </c>
      <c r="U3">
        <v>0.26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3</v>
      </c>
      <c r="B4" t="s">
        <v>42</v>
      </c>
      <c r="C4" t="s">
        <v>43</v>
      </c>
      <c r="D4" t="s">
        <v>44</v>
      </c>
      <c r="F4" t="s">
        <v>45</v>
      </c>
      <c r="G4" s="2">
        <v>46160</v>
      </c>
      <c r="H4" s="2">
        <v>46160</v>
      </c>
      <c r="J4">
        <v>1</v>
      </c>
      <c r="K4" s="3">
        <v>46160</v>
      </c>
      <c r="L4" t="s">
        <v>46</v>
      </c>
      <c r="M4" t="s">
        <v>47</v>
      </c>
      <c r="N4" t="s">
        <v>36</v>
      </c>
      <c r="O4" t="s">
        <v>37</v>
      </c>
      <c r="P4" s="3">
        <v>46139</v>
      </c>
      <c r="Q4" t="s">
        <v>38</v>
      </c>
      <c r="R4" t="s">
        <v>48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4</v>
      </c>
      <c r="B5" t="s">
        <v>49</v>
      </c>
      <c r="C5" t="s">
        <v>43</v>
      </c>
      <c r="D5" t="s">
        <v>50</v>
      </c>
      <c r="F5" t="s">
        <v>45</v>
      </c>
      <c r="G5" s="2">
        <v>46160</v>
      </c>
      <c r="H5" s="2">
        <v>46160</v>
      </c>
      <c r="J5">
        <v>1</v>
      </c>
      <c r="K5" s="3">
        <v>46160</v>
      </c>
      <c r="L5" t="s">
        <v>46</v>
      </c>
      <c r="M5" t="s">
        <v>47</v>
      </c>
      <c r="N5" t="s">
        <v>51</v>
      </c>
      <c r="O5" t="s">
        <v>52</v>
      </c>
      <c r="P5" s="3">
        <v>46141</v>
      </c>
      <c r="Q5" t="s">
        <v>38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5</v>
      </c>
      <c r="B6" t="s">
        <v>53</v>
      </c>
      <c r="C6" t="s">
        <v>54</v>
      </c>
      <c r="D6" t="s">
        <v>55</v>
      </c>
      <c r="F6" t="s">
        <v>45</v>
      </c>
      <c r="G6" s="2">
        <v>46160</v>
      </c>
      <c r="H6" s="2">
        <v>46160</v>
      </c>
      <c r="I6">
        <v>3</v>
      </c>
      <c r="J6">
        <v>1</v>
      </c>
      <c r="K6" s="3">
        <v>46160</v>
      </c>
      <c r="L6" t="s">
        <v>46</v>
      </c>
      <c r="M6" t="s">
        <v>47</v>
      </c>
      <c r="N6" t="s">
        <v>51</v>
      </c>
      <c r="O6" t="s">
        <v>52</v>
      </c>
      <c r="P6" s="3">
        <v>46141</v>
      </c>
      <c r="Q6" t="s">
        <v>38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6</v>
      </c>
      <c r="B7" t="s">
        <v>56</v>
      </c>
      <c r="C7" t="s">
        <v>43</v>
      </c>
      <c r="D7" t="s">
        <v>57</v>
      </c>
      <c r="F7" t="s">
        <v>58</v>
      </c>
      <c r="G7" s="2">
        <v>46174</v>
      </c>
      <c r="H7" s="2">
        <v>46379</v>
      </c>
      <c r="J7">
        <v>0.77</v>
      </c>
      <c r="L7" t="s">
        <v>34</v>
      </c>
      <c r="M7" t="s">
        <v>35</v>
      </c>
      <c r="N7" t="s">
        <v>59</v>
      </c>
      <c r="O7" t="s">
        <v>37</v>
      </c>
      <c r="P7" s="3">
        <v>46161</v>
      </c>
      <c r="Q7" t="s">
        <v>38</v>
      </c>
      <c r="U7">
        <v>0.77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7</v>
      </c>
      <c r="B8" t="s">
        <v>60</v>
      </c>
      <c r="C8" t="s">
        <v>61</v>
      </c>
      <c r="D8" t="s">
        <v>62</v>
      </c>
      <c r="E8" t="s">
        <v>63</v>
      </c>
      <c r="F8" t="s">
        <v>58</v>
      </c>
      <c r="G8" s="2">
        <v>46174</v>
      </c>
      <c r="H8" s="2">
        <v>46379</v>
      </c>
      <c r="J8">
        <v>0.7</v>
      </c>
      <c r="L8" t="s">
        <v>64</v>
      </c>
      <c r="M8" t="s">
        <v>35</v>
      </c>
      <c r="N8" t="s">
        <v>59</v>
      </c>
      <c r="O8" t="s">
        <v>37</v>
      </c>
      <c r="P8" s="3">
        <v>46161</v>
      </c>
      <c r="Q8" t="s">
        <v>38</v>
      </c>
      <c r="U8">
        <v>0.7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8</v>
      </c>
      <c r="B9" t="s">
        <v>65</v>
      </c>
      <c r="C9" t="s">
        <v>66</v>
      </c>
      <c r="D9" t="s">
        <v>67</v>
      </c>
      <c r="F9" t="s">
        <v>68</v>
      </c>
      <c r="G9" s="2">
        <v>46174</v>
      </c>
      <c r="H9" s="2">
        <v>46175</v>
      </c>
      <c r="I9" t="s">
        <v>69</v>
      </c>
      <c r="J9">
        <v>1</v>
      </c>
      <c r="K9" s="3">
        <v>46175</v>
      </c>
      <c r="L9" t="s">
        <v>46</v>
      </c>
      <c r="M9" t="s">
        <v>47</v>
      </c>
      <c r="N9" t="s">
        <v>59</v>
      </c>
      <c r="O9" t="s">
        <v>37</v>
      </c>
      <c r="P9" s="3">
        <v>46141</v>
      </c>
      <c r="Q9" t="s">
        <v>38</v>
      </c>
      <c r="R9" t="s">
        <v>70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25">
      <c r="A10">
        <v>9</v>
      </c>
      <c r="B10" t="s">
        <v>71</v>
      </c>
      <c r="C10" t="s">
        <v>66</v>
      </c>
      <c r="D10" t="s">
        <v>72</v>
      </c>
      <c r="F10" t="s">
        <v>73</v>
      </c>
      <c r="G10" s="2">
        <v>46176</v>
      </c>
      <c r="H10" s="2">
        <v>46176</v>
      </c>
      <c r="I10">
        <v>8</v>
      </c>
      <c r="J10">
        <v>1</v>
      </c>
      <c r="K10" s="3">
        <v>46176</v>
      </c>
      <c r="L10" t="s">
        <v>46</v>
      </c>
      <c r="M10" t="s">
        <v>47</v>
      </c>
      <c r="N10" t="s">
        <v>59</v>
      </c>
      <c r="O10" t="s">
        <v>74</v>
      </c>
      <c r="P10" s="3">
        <v>46142</v>
      </c>
      <c r="Q10" t="s">
        <v>38</v>
      </c>
      <c r="R10" t="s">
        <v>75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10</v>
      </c>
      <c r="B11" t="s">
        <v>76</v>
      </c>
      <c r="C11" t="s">
        <v>66</v>
      </c>
      <c r="D11" t="s">
        <v>77</v>
      </c>
      <c r="F11" t="s">
        <v>73</v>
      </c>
      <c r="G11" s="2">
        <v>46373</v>
      </c>
      <c r="H11" s="2">
        <v>46373</v>
      </c>
      <c r="I11" t="s">
        <v>78</v>
      </c>
      <c r="J11">
        <v>0.5</v>
      </c>
      <c r="L11" t="s">
        <v>79</v>
      </c>
      <c r="M11" t="s">
        <v>35</v>
      </c>
      <c r="N11" t="s">
        <v>59</v>
      </c>
      <c r="O11" t="s">
        <v>80</v>
      </c>
      <c r="P11" s="3">
        <v>46155</v>
      </c>
      <c r="Q11" t="s">
        <v>38</v>
      </c>
      <c r="R11" t="s">
        <v>81</v>
      </c>
      <c r="U11">
        <v>0.5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11</v>
      </c>
      <c r="B12" t="s">
        <v>82</v>
      </c>
      <c r="C12" t="s">
        <v>66</v>
      </c>
      <c r="D12" t="s">
        <v>83</v>
      </c>
      <c r="F12" t="s">
        <v>73</v>
      </c>
      <c r="G12" s="2">
        <v>46379</v>
      </c>
      <c r="H12" s="2">
        <v>46379</v>
      </c>
      <c r="I12" t="s">
        <v>84</v>
      </c>
      <c r="J12">
        <v>0</v>
      </c>
      <c r="L12" t="s">
        <v>79</v>
      </c>
      <c r="M12" t="s">
        <v>35</v>
      </c>
      <c r="N12" t="s">
        <v>59</v>
      </c>
      <c r="O12" t="s">
        <v>85</v>
      </c>
      <c r="P12" s="3">
        <v>46161</v>
      </c>
      <c r="Q12" t="s">
        <v>38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>
        <v>12</v>
      </c>
      <c r="B13" t="s">
        <v>86</v>
      </c>
      <c r="C13" t="s">
        <v>61</v>
      </c>
      <c r="D13" t="s">
        <v>87</v>
      </c>
      <c r="E13" t="s">
        <v>88</v>
      </c>
      <c r="F13" t="s">
        <v>89</v>
      </c>
      <c r="G13" s="2">
        <v>46176</v>
      </c>
      <c r="H13" s="2">
        <v>46197</v>
      </c>
      <c r="J13">
        <v>0.81</v>
      </c>
      <c r="L13" t="s">
        <v>34</v>
      </c>
      <c r="M13" t="s">
        <v>47</v>
      </c>
      <c r="N13" t="s">
        <v>59</v>
      </c>
      <c r="O13" t="s">
        <v>74</v>
      </c>
      <c r="P13" s="3">
        <v>46161</v>
      </c>
      <c r="Q13" t="s">
        <v>38</v>
      </c>
      <c r="U13">
        <v>0.81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13</v>
      </c>
      <c r="B14" t="s">
        <v>90</v>
      </c>
      <c r="C14" t="s">
        <v>91</v>
      </c>
      <c r="D14" t="s">
        <v>67</v>
      </c>
      <c r="F14" t="s">
        <v>92</v>
      </c>
      <c r="G14" s="2">
        <v>46176</v>
      </c>
      <c r="H14" s="2">
        <v>46178</v>
      </c>
      <c r="I14">
        <v>8</v>
      </c>
      <c r="J14">
        <v>1</v>
      </c>
      <c r="K14" s="3">
        <v>46178</v>
      </c>
      <c r="L14" t="s">
        <v>46</v>
      </c>
      <c r="M14" t="s">
        <v>47</v>
      </c>
      <c r="N14" t="s">
        <v>59</v>
      </c>
      <c r="O14" t="s">
        <v>74</v>
      </c>
      <c r="P14" s="3">
        <v>46146</v>
      </c>
      <c r="Q14" t="s">
        <v>38</v>
      </c>
      <c r="R14" t="s">
        <v>93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25">
      <c r="A15">
        <v>14</v>
      </c>
      <c r="B15" t="s">
        <v>94</v>
      </c>
      <c r="C15" t="s">
        <v>91</v>
      </c>
      <c r="D15" t="s">
        <v>72</v>
      </c>
      <c r="F15" t="s">
        <v>92</v>
      </c>
      <c r="G15" s="2">
        <v>46181</v>
      </c>
      <c r="H15" s="2">
        <v>46183</v>
      </c>
      <c r="I15">
        <v>13</v>
      </c>
      <c r="J15">
        <v>1</v>
      </c>
      <c r="K15" s="3">
        <v>46183</v>
      </c>
      <c r="L15" t="s">
        <v>46</v>
      </c>
      <c r="M15" t="s">
        <v>47</v>
      </c>
      <c r="N15" t="s">
        <v>59</v>
      </c>
      <c r="O15" t="s">
        <v>95</v>
      </c>
      <c r="P15" s="3">
        <v>46147</v>
      </c>
      <c r="Q15" t="s">
        <v>38</v>
      </c>
      <c r="R15" t="s">
        <v>96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15</v>
      </c>
      <c r="B16" t="s">
        <v>97</v>
      </c>
      <c r="C16" t="s">
        <v>91</v>
      </c>
      <c r="D16" t="s">
        <v>77</v>
      </c>
      <c r="F16" t="s">
        <v>73</v>
      </c>
      <c r="G16" s="2">
        <v>46196</v>
      </c>
      <c r="H16" s="2">
        <v>46196</v>
      </c>
      <c r="I16" t="s">
        <v>98</v>
      </c>
      <c r="J16">
        <v>0.5</v>
      </c>
      <c r="L16" t="s">
        <v>34</v>
      </c>
      <c r="M16" t="s">
        <v>47</v>
      </c>
      <c r="N16" t="s">
        <v>59</v>
      </c>
      <c r="O16" t="s">
        <v>99</v>
      </c>
      <c r="P16" s="3">
        <v>46160</v>
      </c>
      <c r="Q16" t="s">
        <v>38</v>
      </c>
      <c r="R16">
        <v>16</v>
      </c>
      <c r="U16">
        <v>0.5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>
        <v>16</v>
      </c>
      <c r="B17" t="s">
        <v>100</v>
      </c>
      <c r="C17" t="s">
        <v>91</v>
      </c>
      <c r="D17" t="s">
        <v>83</v>
      </c>
      <c r="F17" t="s">
        <v>73</v>
      </c>
      <c r="G17" s="2">
        <v>46197</v>
      </c>
      <c r="H17" s="2">
        <v>46197</v>
      </c>
      <c r="I17">
        <v>15</v>
      </c>
      <c r="J17">
        <v>0</v>
      </c>
      <c r="L17" t="s">
        <v>64</v>
      </c>
      <c r="M17" t="s">
        <v>47</v>
      </c>
      <c r="N17" t="s">
        <v>59</v>
      </c>
      <c r="O17" t="s">
        <v>101</v>
      </c>
      <c r="P17" s="3">
        <v>46161</v>
      </c>
      <c r="Q17" t="s">
        <v>38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17</v>
      </c>
      <c r="B18" t="s">
        <v>102</v>
      </c>
      <c r="C18" t="s">
        <v>43</v>
      </c>
      <c r="D18" t="s">
        <v>103</v>
      </c>
      <c r="F18" t="s">
        <v>104</v>
      </c>
      <c r="G18" s="2">
        <v>46174</v>
      </c>
      <c r="H18" s="2">
        <v>46224</v>
      </c>
      <c r="J18">
        <v>0.56999999999999995</v>
      </c>
      <c r="L18" t="s">
        <v>64</v>
      </c>
      <c r="M18" t="s">
        <v>47</v>
      </c>
      <c r="N18" t="s">
        <v>105</v>
      </c>
      <c r="O18" t="s">
        <v>37</v>
      </c>
      <c r="P18" s="3">
        <v>46211</v>
      </c>
      <c r="Q18" t="s">
        <v>38</v>
      </c>
      <c r="U18">
        <v>0.56999999999999995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>
        <v>18</v>
      </c>
      <c r="B19" t="s">
        <v>106</v>
      </c>
      <c r="C19" t="s">
        <v>107</v>
      </c>
      <c r="D19" t="s">
        <v>108</v>
      </c>
      <c r="E19" t="s">
        <v>109</v>
      </c>
      <c r="F19" t="s">
        <v>110</v>
      </c>
      <c r="G19" s="2">
        <v>46195</v>
      </c>
      <c r="H19" s="2">
        <v>46203</v>
      </c>
      <c r="J19">
        <v>0.43</v>
      </c>
      <c r="L19" t="s">
        <v>64</v>
      </c>
      <c r="M19" t="s">
        <v>47</v>
      </c>
      <c r="N19" t="s">
        <v>105</v>
      </c>
      <c r="O19" t="s">
        <v>111</v>
      </c>
      <c r="P19" s="3">
        <v>46231</v>
      </c>
      <c r="Q19" t="s">
        <v>38</v>
      </c>
      <c r="U19">
        <v>0.43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19</v>
      </c>
      <c r="B20" t="s">
        <v>112</v>
      </c>
      <c r="C20" t="s">
        <v>113</v>
      </c>
      <c r="D20" t="s">
        <v>67</v>
      </c>
      <c r="F20" t="s">
        <v>92</v>
      </c>
      <c r="G20" s="2">
        <v>46195</v>
      </c>
      <c r="H20" s="2">
        <v>46197</v>
      </c>
      <c r="I20" t="s">
        <v>114</v>
      </c>
      <c r="J20">
        <v>1</v>
      </c>
      <c r="K20" s="3">
        <v>46197</v>
      </c>
      <c r="L20" t="s">
        <v>46</v>
      </c>
      <c r="M20" t="s">
        <v>47</v>
      </c>
      <c r="N20" t="s">
        <v>105</v>
      </c>
      <c r="O20" t="s">
        <v>111</v>
      </c>
      <c r="P20" s="3">
        <v>46225</v>
      </c>
      <c r="Q20" t="s">
        <v>38</v>
      </c>
      <c r="R20">
        <v>20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20</v>
      </c>
      <c r="B21" t="s">
        <v>115</v>
      </c>
      <c r="C21" t="s">
        <v>113</v>
      </c>
      <c r="D21" t="s">
        <v>72</v>
      </c>
      <c r="F21" t="s">
        <v>73</v>
      </c>
      <c r="G21" s="2">
        <v>46198</v>
      </c>
      <c r="H21" s="2">
        <v>46198</v>
      </c>
      <c r="I21">
        <v>19</v>
      </c>
      <c r="J21">
        <v>0</v>
      </c>
      <c r="L21" t="s">
        <v>79</v>
      </c>
      <c r="M21" t="s">
        <v>47</v>
      </c>
      <c r="N21" t="s">
        <v>105</v>
      </c>
      <c r="O21" t="s">
        <v>116</v>
      </c>
      <c r="P21" s="3">
        <v>46226</v>
      </c>
      <c r="Q21" t="s">
        <v>38</v>
      </c>
      <c r="R21">
        <v>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>
        <v>21</v>
      </c>
      <c r="B22" t="s">
        <v>117</v>
      </c>
      <c r="C22" t="s">
        <v>113</v>
      </c>
      <c r="D22" t="s">
        <v>77</v>
      </c>
      <c r="F22" t="s">
        <v>68</v>
      </c>
      <c r="G22" s="2">
        <v>46199</v>
      </c>
      <c r="H22" s="2">
        <v>46202</v>
      </c>
      <c r="I22">
        <v>20</v>
      </c>
      <c r="J22">
        <v>0</v>
      </c>
      <c r="L22" t="s">
        <v>79</v>
      </c>
      <c r="M22" t="s">
        <v>47</v>
      </c>
      <c r="N22" t="s">
        <v>105</v>
      </c>
      <c r="O22" t="s">
        <v>118</v>
      </c>
      <c r="P22" s="3">
        <v>46230</v>
      </c>
      <c r="Q22" t="s">
        <v>38</v>
      </c>
      <c r="R22">
        <v>22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22</v>
      </c>
      <c r="B23" t="s">
        <v>119</v>
      </c>
      <c r="C23" t="s">
        <v>113</v>
      </c>
      <c r="D23" t="s">
        <v>83</v>
      </c>
      <c r="F23" t="s">
        <v>73</v>
      </c>
      <c r="G23" s="2">
        <v>46203</v>
      </c>
      <c r="H23" s="2">
        <v>46203</v>
      </c>
      <c r="I23">
        <v>21</v>
      </c>
      <c r="J23">
        <v>0</v>
      </c>
      <c r="L23" t="s">
        <v>79</v>
      </c>
      <c r="M23" t="s">
        <v>47</v>
      </c>
      <c r="N23" t="s">
        <v>105</v>
      </c>
      <c r="O23" t="s">
        <v>120</v>
      </c>
      <c r="P23" s="3">
        <v>46231</v>
      </c>
      <c r="Q23" t="s">
        <v>38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23</v>
      </c>
      <c r="B24" t="s">
        <v>121</v>
      </c>
      <c r="C24" t="s">
        <v>107</v>
      </c>
      <c r="D24" t="s">
        <v>122</v>
      </c>
      <c r="E24" t="s">
        <v>123</v>
      </c>
      <c r="F24" t="s">
        <v>104</v>
      </c>
      <c r="G24" s="2">
        <v>46174</v>
      </c>
      <c r="H24" s="2">
        <v>46224</v>
      </c>
      <c r="J24">
        <v>0.71</v>
      </c>
      <c r="L24" t="s">
        <v>64</v>
      </c>
      <c r="M24" t="s">
        <v>47</v>
      </c>
      <c r="N24" t="s">
        <v>105</v>
      </c>
      <c r="O24" t="s">
        <v>37</v>
      </c>
      <c r="P24" s="3">
        <v>46189</v>
      </c>
      <c r="Q24" t="s">
        <v>38</v>
      </c>
      <c r="U24">
        <v>0.71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>
        <v>24</v>
      </c>
      <c r="B25" t="s">
        <v>124</v>
      </c>
      <c r="C25" t="s">
        <v>125</v>
      </c>
      <c r="D25" t="s">
        <v>67</v>
      </c>
      <c r="F25" t="s">
        <v>92</v>
      </c>
      <c r="G25" s="2">
        <v>46174</v>
      </c>
      <c r="H25" s="2">
        <v>46176</v>
      </c>
      <c r="I25" t="s">
        <v>69</v>
      </c>
      <c r="J25">
        <v>1</v>
      </c>
      <c r="K25" s="3">
        <v>46176</v>
      </c>
      <c r="L25" t="s">
        <v>46</v>
      </c>
      <c r="M25" t="s">
        <v>47</v>
      </c>
      <c r="N25" t="s">
        <v>105</v>
      </c>
      <c r="O25" t="s">
        <v>37</v>
      </c>
      <c r="P25" s="3">
        <v>46141</v>
      </c>
      <c r="Q25" t="s">
        <v>38</v>
      </c>
      <c r="R25">
        <v>25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25">
      <c r="A26">
        <v>25</v>
      </c>
      <c r="B26" t="s">
        <v>126</v>
      </c>
      <c r="C26" t="s">
        <v>125</v>
      </c>
      <c r="D26" t="s">
        <v>72</v>
      </c>
      <c r="F26" t="s">
        <v>73</v>
      </c>
      <c r="G26" s="2">
        <v>46177</v>
      </c>
      <c r="H26" s="2">
        <v>46177</v>
      </c>
      <c r="I26">
        <v>24</v>
      </c>
      <c r="J26">
        <v>1</v>
      </c>
      <c r="K26" s="3">
        <v>46177</v>
      </c>
      <c r="L26" t="s">
        <v>46</v>
      </c>
      <c r="M26" t="s">
        <v>47</v>
      </c>
      <c r="N26" t="s">
        <v>105</v>
      </c>
      <c r="O26" t="s">
        <v>74</v>
      </c>
      <c r="P26" s="3">
        <v>46142</v>
      </c>
      <c r="Q26" t="s">
        <v>38</v>
      </c>
      <c r="R26" t="s">
        <v>127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>
        <v>26</v>
      </c>
      <c r="B27" t="s">
        <v>128</v>
      </c>
      <c r="C27" t="s">
        <v>125</v>
      </c>
      <c r="D27" t="s">
        <v>77</v>
      </c>
      <c r="F27" t="s">
        <v>68</v>
      </c>
      <c r="G27" s="2">
        <v>46220</v>
      </c>
      <c r="H27" s="2">
        <v>46223</v>
      </c>
      <c r="I27" t="s">
        <v>129</v>
      </c>
      <c r="J27">
        <v>0.5</v>
      </c>
      <c r="L27" t="s">
        <v>79</v>
      </c>
      <c r="M27" t="s">
        <v>47</v>
      </c>
      <c r="N27" t="s">
        <v>105</v>
      </c>
      <c r="O27" t="s">
        <v>130</v>
      </c>
      <c r="P27" s="3">
        <v>46188</v>
      </c>
      <c r="Q27" t="s">
        <v>38</v>
      </c>
      <c r="R27">
        <v>27</v>
      </c>
      <c r="U27">
        <v>0.5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>
        <v>27</v>
      </c>
      <c r="B28" t="s">
        <v>131</v>
      </c>
      <c r="C28" t="s">
        <v>125</v>
      </c>
      <c r="D28" t="s">
        <v>83</v>
      </c>
      <c r="F28" t="s">
        <v>73</v>
      </c>
      <c r="G28" s="2">
        <v>46224</v>
      </c>
      <c r="H28" s="2">
        <v>46224</v>
      </c>
      <c r="I28">
        <v>26</v>
      </c>
      <c r="J28">
        <v>0</v>
      </c>
      <c r="L28" t="s">
        <v>79</v>
      </c>
      <c r="M28" t="s">
        <v>47</v>
      </c>
      <c r="N28" t="s">
        <v>105</v>
      </c>
      <c r="O28" t="s">
        <v>132</v>
      </c>
      <c r="P28" s="3">
        <v>46189</v>
      </c>
      <c r="Q28" t="s">
        <v>38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>
        <v>28</v>
      </c>
      <c r="B29" t="s">
        <v>133</v>
      </c>
      <c r="C29" t="s">
        <v>43</v>
      </c>
      <c r="D29" t="s">
        <v>134</v>
      </c>
      <c r="F29" t="s">
        <v>135</v>
      </c>
      <c r="G29" s="2">
        <v>46170</v>
      </c>
      <c r="H29" s="2">
        <v>46364</v>
      </c>
      <c r="J29">
        <v>0.21</v>
      </c>
      <c r="L29" t="s">
        <v>34</v>
      </c>
      <c r="M29" t="s">
        <v>47</v>
      </c>
      <c r="N29" t="s">
        <v>136</v>
      </c>
      <c r="O29" t="s">
        <v>85</v>
      </c>
      <c r="P29" s="3">
        <v>46198</v>
      </c>
      <c r="Q29" t="s">
        <v>38</v>
      </c>
      <c r="U29">
        <v>0.21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>
        <v>29</v>
      </c>
      <c r="B30" t="s">
        <v>137</v>
      </c>
      <c r="C30" t="s">
        <v>138</v>
      </c>
      <c r="D30" t="s">
        <v>139</v>
      </c>
      <c r="E30" t="s">
        <v>140</v>
      </c>
      <c r="F30" t="s">
        <v>141</v>
      </c>
      <c r="G30" s="2">
        <v>46181</v>
      </c>
      <c r="H30" s="2">
        <v>46191</v>
      </c>
      <c r="J30">
        <v>0</v>
      </c>
      <c r="L30" t="s">
        <v>34</v>
      </c>
      <c r="M30" t="s">
        <v>47</v>
      </c>
      <c r="N30" t="s">
        <v>136</v>
      </c>
      <c r="O30" t="s">
        <v>142</v>
      </c>
      <c r="P30" s="3">
        <v>46192</v>
      </c>
      <c r="Q30" t="s">
        <v>38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>
        <v>30</v>
      </c>
      <c r="B31" t="s">
        <v>143</v>
      </c>
      <c r="C31" t="s">
        <v>144</v>
      </c>
      <c r="D31" t="s">
        <v>67</v>
      </c>
      <c r="F31" t="s">
        <v>145</v>
      </c>
      <c r="G31" s="2">
        <v>46181</v>
      </c>
      <c r="H31" s="2">
        <v>46185</v>
      </c>
      <c r="I31">
        <v>13</v>
      </c>
      <c r="J31">
        <v>0</v>
      </c>
      <c r="L31" t="s">
        <v>34</v>
      </c>
      <c r="M31" t="s">
        <v>47</v>
      </c>
      <c r="N31" t="s">
        <v>136</v>
      </c>
      <c r="O31" t="s">
        <v>142</v>
      </c>
      <c r="P31" s="3">
        <v>46188</v>
      </c>
      <c r="Q31" t="s">
        <v>38</v>
      </c>
      <c r="R31" t="s">
        <v>146</v>
      </c>
      <c r="U31">
        <v>0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>
        <v>31</v>
      </c>
      <c r="B32" t="s">
        <v>147</v>
      </c>
      <c r="C32" t="s">
        <v>144</v>
      </c>
      <c r="D32" t="s">
        <v>72</v>
      </c>
      <c r="F32" t="s">
        <v>73</v>
      </c>
      <c r="G32" s="2">
        <v>46188</v>
      </c>
      <c r="H32" s="2">
        <v>46188</v>
      </c>
      <c r="I32">
        <v>30</v>
      </c>
      <c r="J32">
        <v>0</v>
      </c>
      <c r="L32" t="s">
        <v>34</v>
      </c>
      <c r="M32" t="s">
        <v>47</v>
      </c>
      <c r="N32" t="s">
        <v>136</v>
      </c>
      <c r="O32" t="s">
        <v>132</v>
      </c>
      <c r="P32" s="3">
        <v>46189</v>
      </c>
      <c r="Q32" t="s">
        <v>38</v>
      </c>
      <c r="R32">
        <v>32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>
        <v>32</v>
      </c>
      <c r="B33" t="s">
        <v>148</v>
      </c>
      <c r="C33" t="s">
        <v>144</v>
      </c>
      <c r="D33" t="s">
        <v>77</v>
      </c>
      <c r="F33" t="s">
        <v>68</v>
      </c>
      <c r="G33" s="2">
        <v>46189</v>
      </c>
      <c r="H33" s="2">
        <v>46190</v>
      </c>
      <c r="I33">
        <v>31</v>
      </c>
      <c r="J33">
        <v>0</v>
      </c>
      <c r="L33" t="s">
        <v>34</v>
      </c>
      <c r="M33" t="s">
        <v>47</v>
      </c>
      <c r="N33" t="s">
        <v>136</v>
      </c>
      <c r="O33" t="s">
        <v>149</v>
      </c>
      <c r="P33" s="3">
        <v>46191</v>
      </c>
      <c r="Q33" t="s">
        <v>38</v>
      </c>
      <c r="R33">
        <v>33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>
        <v>33</v>
      </c>
      <c r="B34" t="s">
        <v>150</v>
      </c>
      <c r="C34" t="s">
        <v>144</v>
      </c>
      <c r="D34" t="s">
        <v>83</v>
      </c>
      <c r="F34" t="s">
        <v>73</v>
      </c>
      <c r="G34" s="2">
        <v>46191</v>
      </c>
      <c r="H34" s="2">
        <v>46191</v>
      </c>
      <c r="I34">
        <v>32</v>
      </c>
      <c r="J34">
        <v>0</v>
      </c>
      <c r="L34" t="s">
        <v>34</v>
      </c>
      <c r="M34" t="s">
        <v>47</v>
      </c>
      <c r="N34" t="s">
        <v>136</v>
      </c>
      <c r="O34" t="s">
        <v>151</v>
      </c>
      <c r="P34" s="3">
        <v>46192</v>
      </c>
      <c r="Q34" t="s">
        <v>38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</row>
    <row r="35" spans="1:32" x14ac:dyDescent="0.25">
      <c r="A35">
        <v>34</v>
      </c>
      <c r="B35" t="s">
        <v>152</v>
      </c>
      <c r="C35" t="s">
        <v>138</v>
      </c>
      <c r="D35" t="s">
        <v>153</v>
      </c>
      <c r="E35" t="s">
        <v>154</v>
      </c>
      <c r="F35" t="s">
        <v>110</v>
      </c>
      <c r="G35" s="2">
        <v>46356</v>
      </c>
      <c r="H35" s="2">
        <v>46364</v>
      </c>
      <c r="J35">
        <v>0</v>
      </c>
      <c r="L35" t="s">
        <v>79</v>
      </c>
      <c r="M35" t="s">
        <v>47</v>
      </c>
      <c r="N35" t="s">
        <v>136</v>
      </c>
      <c r="O35" t="s">
        <v>149</v>
      </c>
      <c r="P35" s="3">
        <v>46198</v>
      </c>
      <c r="Q35" t="s">
        <v>38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>
        <v>35</v>
      </c>
      <c r="B36" t="s">
        <v>155</v>
      </c>
      <c r="C36" t="s">
        <v>156</v>
      </c>
      <c r="D36" t="s">
        <v>67</v>
      </c>
      <c r="F36" t="s">
        <v>92</v>
      </c>
      <c r="G36" s="2">
        <v>46356</v>
      </c>
      <c r="H36" s="2">
        <v>46358</v>
      </c>
      <c r="I36" t="s">
        <v>157</v>
      </c>
      <c r="J36">
        <v>0</v>
      </c>
      <c r="L36" t="s">
        <v>79</v>
      </c>
      <c r="M36" t="s">
        <v>47</v>
      </c>
      <c r="N36" t="s">
        <v>136</v>
      </c>
      <c r="O36" t="s">
        <v>149</v>
      </c>
      <c r="P36" s="3">
        <v>46192</v>
      </c>
      <c r="Q36" t="s">
        <v>38</v>
      </c>
      <c r="R36">
        <v>36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>
        <v>36</v>
      </c>
      <c r="B37" t="s">
        <v>158</v>
      </c>
      <c r="C37" t="s">
        <v>156</v>
      </c>
      <c r="D37" t="s">
        <v>72</v>
      </c>
      <c r="F37" t="s">
        <v>73</v>
      </c>
      <c r="G37" s="2">
        <v>46359</v>
      </c>
      <c r="H37" s="2">
        <v>46359</v>
      </c>
      <c r="I37">
        <v>35</v>
      </c>
      <c r="J37">
        <v>0</v>
      </c>
      <c r="L37" t="s">
        <v>79</v>
      </c>
      <c r="M37" t="s">
        <v>47</v>
      </c>
      <c r="N37" t="s">
        <v>136</v>
      </c>
      <c r="O37" t="s">
        <v>159</v>
      </c>
      <c r="P37" s="3">
        <v>46195</v>
      </c>
      <c r="Q37" t="s">
        <v>38</v>
      </c>
      <c r="R37">
        <v>37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>
        <v>37</v>
      </c>
      <c r="B38" t="s">
        <v>160</v>
      </c>
      <c r="C38" t="s">
        <v>156</v>
      </c>
      <c r="D38" t="s">
        <v>77</v>
      </c>
      <c r="F38" t="s">
        <v>68</v>
      </c>
      <c r="G38" s="2">
        <v>46360</v>
      </c>
      <c r="H38" s="2">
        <v>46363</v>
      </c>
      <c r="I38">
        <v>36</v>
      </c>
      <c r="J38">
        <v>0</v>
      </c>
      <c r="L38" t="s">
        <v>79</v>
      </c>
      <c r="M38" t="s">
        <v>47</v>
      </c>
      <c r="N38" t="s">
        <v>136</v>
      </c>
      <c r="O38" t="s">
        <v>161</v>
      </c>
      <c r="P38" s="3">
        <v>46197</v>
      </c>
      <c r="Q38" t="s">
        <v>38</v>
      </c>
      <c r="R38">
        <v>38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>
        <v>38</v>
      </c>
      <c r="B39" t="s">
        <v>162</v>
      </c>
      <c r="C39" t="s">
        <v>156</v>
      </c>
      <c r="D39" t="s">
        <v>83</v>
      </c>
      <c r="F39" t="s">
        <v>73</v>
      </c>
      <c r="G39" s="2">
        <v>46364</v>
      </c>
      <c r="H39" s="2">
        <v>46364</v>
      </c>
      <c r="I39">
        <v>37</v>
      </c>
      <c r="J39">
        <v>0</v>
      </c>
      <c r="L39" t="s">
        <v>79</v>
      </c>
      <c r="M39" t="s">
        <v>47</v>
      </c>
      <c r="N39" t="s">
        <v>136</v>
      </c>
      <c r="O39" t="s">
        <v>163</v>
      </c>
      <c r="P39" s="3">
        <v>46198</v>
      </c>
      <c r="Q39" t="s">
        <v>38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>
        <v>39</v>
      </c>
      <c r="B40" t="s">
        <v>164</v>
      </c>
      <c r="C40" t="s">
        <v>138</v>
      </c>
      <c r="D40" t="s">
        <v>165</v>
      </c>
      <c r="E40" t="s">
        <v>166</v>
      </c>
      <c r="F40" t="s">
        <v>167</v>
      </c>
      <c r="G40" s="2">
        <v>46170</v>
      </c>
      <c r="H40" s="2">
        <v>46176</v>
      </c>
      <c r="J40">
        <v>0.63</v>
      </c>
      <c r="L40" t="s">
        <v>34</v>
      </c>
      <c r="M40" t="s">
        <v>47</v>
      </c>
      <c r="N40" t="s">
        <v>136</v>
      </c>
      <c r="O40" t="s">
        <v>85</v>
      </c>
      <c r="P40" s="3">
        <v>46167</v>
      </c>
      <c r="Q40" t="s">
        <v>38</v>
      </c>
      <c r="U40">
        <v>0.63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>
        <v>40</v>
      </c>
      <c r="B41" t="s">
        <v>168</v>
      </c>
      <c r="C41" t="s">
        <v>169</v>
      </c>
      <c r="D41" t="s">
        <v>67</v>
      </c>
      <c r="F41" t="s">
        <v>45</v>
      </c>
      <c r="G41" s="2">
        <v>46170</v>
      </c>
      <c r="H41" s="2">
        <v>46170</v>
      </c>
      <c r="I41" t="s">
        <v>170</v>
      </c>
      <c r="J41">
        <v>1</v>
      </c>
      <c r="K41" s="3">
        <v>46170</v>
      </c>
      <c r="L41" t="s">
        <v>46</v>
      </c>
      <c r="M41" t="s">
        <v>47</v>
      </c>
      <c r="N41" t="s">
        <v>136</v>
      </c>
      <c r="O41" t="s">
        <v>85</v>
      </c>
      <c r="P41" s="3">
        <v>46161</v>
      </c>
      <c r="Q41" t="s">
        <v>38</v>
      </c>
      <c r="R41">
        <v>41</v>
      </c>
      <c r="U41">
        <v>1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25">
      <c r="A42">
        <v>41</v>
      </c>
      <c r="B42" t="s">
        <v>171</v>
      </c>
      <c r="C42" t="s">
        <v>169</v>
      </c>
      <c r="D42" t="s">
        <v>72</v>
      </c>
      <c r="F42" t="s">
        <v>73</v>
      </c>
      <c r="G42" s="2">
        <v>46171</v>
      </c>
      <c r="H42" s="2">
        <v>46171</v>
      </c>
      <c r="I42">
        <v>40</v>
      </c>
      <c r="J42">
        <v>1</v>
      </c>
      <c r="K42" s="3">
        <v>46171</v>
      </c>
      <c r="L42" t="s">
        <v>46</v>
      </c>
      <c r="M42" t="s">
        <v>47</v>
      </c>
      <c r="N42" t="s">
        <v>136</v>
      </c>
      <c r="O42" t="s">
        <v>172</v>
      </c>
      <c r="P42" s="3">
        <v>46162</v>
      </c>
      <c r="Q42" t="s">
        <v>38</v>
      </c>
      <c r="R42">
        <v>42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>
        <v>42</v>
      </c>
      <c r="B43" t="s">
        <v>173</v>
      </c>
      <c r="C43" t="s">
        <v>169</v>
      </c>
      <c r="D43" t="s">
        <v>77</v>
      </c>
      <c r="F43" t="s">
        <v>68</v>
      </c>
      <c r="G43" s="2">
        <v>46174</v>
      </c>
      <c r="H43" s="2">
        <v>46175</v>
      </c>
      <c r="I43">
        <v>41</v>
      </c>
      <c r="J43">
        <v>0.75</v>
      </c>
      <c r="L43" t="s">
        <v>34</v>
      </c>
      <c r="M43" t="s">
        <v>47</v>
      </c>
      <c r="N43" t="s">
        <v>136</v>
      </c>
      <c r="O43" t="s">
        <v>174</v>
      </c>
      <c r="P43" s="3">
        <v>46164</v>
      </c>
      <c r="Q43" t="s">
        <v>38</v>
      </c>
      <c r="R43">
        <v>43</v>
      </c>
      <c r="U43">
        <v>0.75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>
        <v>43</v>
      </c>
      <c r="B44" t="s">
        <v>175</v>
      </c>
      <c r="C44" t="s">
        <v>169</v>
      </c>
      <c r="D44" t="s">
        <v>83</v>
      </c>
      <c r="F44" t="s">
        <v>73</v>
      </c>
      <c r="G44" s="2">
        <v>46176</v>
      </c>
      <c r="H44" s="2">
        <v>46176</v>
      </c>
      <c r="I44">
        <v>42</v>
      </c>
      <c r="J44">
        <v>0</v>
      </c>
      <c r="L44" t="s">
        <v>34</v>
      </c>
      <c r="M44" t="s">
        <v>47</v>
      </c>
      <c r="N44" t="s">
        <v>136</v>
      </c>
      <c r="O44" t="s">
        <v>176</v>
      </c>
      <c r="P44" s="3">
        <v>46167</v>
      </c>
      <c r="Q44" t="s">
        <v>38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</row>
    <row r="45" spans="1:32" x14ac:dyDescent="0.25">
      <c r="A45">
        <v>44</v>
      </c>
      <c r="B45" t="s">
        <v>177</v>
      </c>
      <c r="C45" t="s">
        <v>138</v>
      </c>
      <c r="D45" t="s">
        <v>165</v>
      </c>
      <c r="E45" t="s">
        <v>178</v>
      </c>
      <c r="F45" t="s">
        <v>179</v>
      </c>
      <c r="G45" s="2">
        <v>46170</v>
      </c>
      <c r="H45" s="2">
        <v>46204</v>
      </c>
      <c r="J45">
        <v>0.63</v>
      </c>
      <c r="L45" t="s">
        <v>34</v>
      </c>
      <c r="M45" t="s">
        <v>47</v>
      </c>
      <c r="N45" t="s">
        <v>136</v>
      </c>
      <c r="O45" t="s">
        <v>85</v>
      </c>
      <c r="P45" s="3">
        <v>46167</v>
      </c>
      <c r="Q45" t="s">
        <v>38</v>
      </c>
      <c r="U45">
        <v>0.63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>
        <v>45</v>
      </c>
      <c r="B46" t="s">
        <v>180</v>
      </c>
      <c r="C46" t="s">
        <v>169</v>
      </c>
      <c r="D46" t="s">
        <v>67</v>
      </c>
      <c r="F46" t="s">
        <v>45</v>
      </c>
      <c r="G46" s="2">
        <v>46170</v>
      </c>
      <c r="H46" s="2">
        <v>46170</v>
      </c>
      <c r="I46" t="s">
        <v>170</v>
      </c>
      <c r="J46">
        <v>1</v>
      </c>
      <c r="K46" s="3">
        <v>46170</v>
      </c>
      <c r="L46" t="s">
        <v>46</v>
      </c>
      <c r="M46" t="s">
        <v>47</v>
      </c>
      <c r="N46" t="s">
        <v>136</v>
      </c>
      <c r="O46" t="s">
        <v>85</v>
      </c>
      <c r="P46" s="3">
        <v>46161</v>
      </c>
      <c r="Q46" t="s">
        <v>38</v>
      </c>
      <c r="R46">
        <v>46</v>
      </c>
      <c r="U46">
        <v>1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25">
      <c r="A47">
        <v>46</v>
      </c>
      <c r="B47" t="s">
        <v>181</v>
      </c>
      <c r="C47" t="s">
        <v>169</v>
      </c>
      <c r="D47" t="s">
        <v>72</v>
      </c>
      <c r="F47" t="s">
        <v>73</v>
      </c>
      <c r="G47" s="2">
        <v>46199</v>
      </c>
      <c r="H47" s="2">
        <v>46199</v>
      </c>
      <c r="I47">
        <v>45</v>
      </c>
      <c r="J47">
        <v>1</v>
      </c>
      <c r="K47" s="3">
        <v>46199</v>
      </c>
      <c r="L47" t="s">
        <v>46</v>
      </c>
      <c r="M47" t="s">
        <v>47</v>
      </c>
      <c r="N47" t="s">
        <v>136</v>
      </c>
      <c r="O47" t="s">
        <v>172</v>
      </c>
      <c r="P47" s="3">
        <v>46162</v>
      </c>
      <c r="Q47" t="s">
        <v>38</v>
      </c>
      <c r="R47">
        <v>47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>
        <v>47</v>
      </c>
      <c r="B48" t="s">
        <v>182</v>
      </c>
      <c r="C48" t="s">
        <v>169</v>
      </c>
      <c r="D48" t="s">
        <v>77</v>
      </c>
      <c r="F48" t="s">
        <v>68</v>
      </c>
      <c r="G48" s="2">
        <v>46202</v>
      </c>
      <c r="H48" s="2">
        <v>46203</v>
      </c>
      <c r="I48">
        <v>46</v>
      </c>
      <c r="J48">
        <v>0.75</v>
      </c>
      <c r="L48" t="s">
        <v>79</v>
      </c>
      <c r="M48" t="s">
        <v>47</v>
      </c>
      <c r="N48" t="s">
        <v>136</v>
      </c>
      <c r="O48" t="s">
        <v>174</v>
      </c>
      <c r="P48" s="3">
        <v>46164</v>
      </c>
      <c r="Q48" t="s">
        <v>38</v>
      </c>
      <c r="R48">
        <v>48</v>
      </c>
      <c r="U48">
        <v>0.75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>
        <v>48</v>
      </c>
      <c r="B49" t="s">
        <v>183</v>
      </c>
      <c r="C49" t="s">
        <v>169</v>
      </c>
      <c r="D49" t="s">
        <v>83</v>
      </c>
      <c r="F49" t="s">
        <v>73</v>
      </c>
      <c r="G49" s="2">
        <v>46204</v>
      </c>
      <c r="H49" s="2">
        <v>46204</v>
      </c>
      <c r="I49">
        <v>47</v>
      </c>
      <c r="J49">
        <v>0</v>
      </c>
      <c r="L49" t="s">
        <v>79</v>
      </c>
      <c r="M49" t="s">
        <v>47</v>
      </c>
      <c r="N49" t="s">
        <v>136</v>
      </c>
      <c r="O49" t="s">
        <v>176</v>
      </c>
      <c r="P49" s="3">
        <v>46167</v>
      </c>
      <c r="Q49" t="s">
        <v>38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>
        <v>49</v>
      </c>
      <c r="B50" t="s">
        <v>184</v>
      </c>
      <c r="C50" t="s">
        <v>43</v>
      </c>
      <c r="D50" t="s">
        <v>185</v>
      </c>
      <c r="F50" t="s">
        <v>186</v>
      </c>
      <c r="G50" s="2">
        <v>46160</v>
      </c>
      <c r="H50" s="2">
        <v>46337</v>
      </c>
      <c r="J50">
        <v>0.15</v>
      </c>
      <c r="L50" t="s">
        <v>34</v>
      </c>
      <c r="M50" t="s">
        <v>47</v>
      </c>
      <c r="N50" t="s">
        <v>187</v>
      </c>
      <c r="O50" t="s">
        <v>85</v>
      </c>
      <c r="P50" s="3">
        <v>46211</v>
      </c>
      <c r="Q50" t="s">
        <v>38</v>
      </c>
      <c r="U50">
        <v>0.15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>
        <v>50</v>
      </c>
      <c r="B51" t="s">
        <v>188</v>
      </c>
      <c r="C51" t="s">
        <v>189</v>
      </c>
      <c r="D51" t="s">
        <v>190</v>
      </c>
      <c r="E51" t="s">
        <v>140</v>
      </c>
      <c r="F51" t="s">
        <v>191</v>
      </c>
      <c r="G51" s="2">
        <v>46160</v>
      </c>
      <c r="H51" s="2">
        <v>46167</v>
      </c>
      <c r="J51">
        <v>0.46</v>
      </c>
      <c r="L51" t="s">
        <v>34</v>
      </c>
      <c r="M51" t="s">
        <v>47</v>
      </c>
      <c r="N51" t="s">
        <v>187</v>
      </c>
      <c r="O51" t="s">
        <v>142</v>
      </c>
      <c r="P51" s="3">
        <v>46192</v>
      </c>
      <c r="Q51" t="s">
        <v>38</v>
      </c>
      <c r="U51">
        <v>0.46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>
        <v>51</v>
      </c>
      <c r="B52" t="s">
        <v>192</v>
      </c>
      <c r="C52" t="s">
        <v>193</v>
      </c>
      <c r="D52" t="s">
        <v>67</v>
      </c>
      <c r="F52" t="s">
        <v>68</v>
      </c>
      <c r="G52" s="2">
        <v>46160</v>
      </c>
      <c r="H52" s="2">
        <v>46161</v>
      </c>
      <c r="I52" t="s">
        <v>194</v>
      </c>
      <c r="J52">
        <v>1</v>
      </c>
      <c r="K52" s="3">
        <v>46161</v>
      </c>
      <c r="L52" t="s">
        <v>46</v>
      </c>
      <c r="M52" t="s">
        <v>47</v>
      </c>
      <c r="N52" t="s">
        <v>187</v>
      </c>
      <c r="O52" t="s">
        <v>142</v>
      </c>
      <c r="P52" s="3">
        <v>46188</v>
      </c>
      <c r="Q52" t="s">
        <v>38</v>
      </c>
      <c r="R52" t="s">
        <v>195</v>
      </c>
      <c r="U52">
        <v>1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25">
      <c r="A53">
        <v>52</v>
      </c>
      <c r="B53" t="s">
        <v>196</v>
      </c>
      <c r="C53" t="s">
        <v>193</v>
      </c>
      <c r="D53" t="s">
        <v>72</v>
      </c>
      <c r="F53" t="s">
        <v>73</v>
      </c>
      <c r="G53" s="2">
        <v>46162</v>
      </c>
      <c r="H53" s="2">
        <v>46162</v>
      </c>
      <c r="I53">
        <v>51</v>
      </c>
      <c r="J53">
        <v>0.75</v>
      </c>
      <c r="L53" t="s">
        <v>34</v>
      </c>
      <c r="M53" t="s">
        <v>47</v>
      </c>
      <c r="N53" t="s">
        <v>187</v>
      </c>
      <c r="O53" t="s">
        <v>132</v>
      </c>
      <c r="P53" s="3">
        <v>46189</v>
      </c>
      <c r="Q53" t="s">
        <v>38</v>
      </c>
      <c r="R53">
        <v>53</v>
      </c>
      <c r="U53">
        <v>0.75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>
        <v>53</v>
      </c>
      <c r="B54" t="s">
        <v>197</v>
      </c>
      <c r="C54" t="s">
        <v>193</v>
      </c>
      <c r="D54" t="s">
        <v>77</v>
      </c>
      <c r="F54" t="s">
        <v>68</v>
      </c>
      <c r="G54" s="2">
        <v>46163</v>
      </c>
      <c r="H54" s="2">
        <v>46164</v>
      </c>
      <c r="I54">
        <v>52</v>
      </c>
      <c r="J54">
        <v>0</v>
      </c>
      <c r="L54" t="s">
        <v>34</v>
      </c>
      <c r="M54" t="s">
        <v>47</v>
      </c>
      <c r="N54" t="s">
        <v>187</v>
      </c>
      <c r="O54" t="s">
        <v>149</v>
      </c>
      <c r="P54" s="3">
        <v>46191</v>
      </c>
      <c r="Q54" t="s">
        <v>38</v>
      </c>
      <c r="R54">
        <v>54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>
        <v>54</v>
      </c>
      <c r="B55" t="s">
        <v>198</v>
      </c>
      <c r="C55" t="s">
        <v>193</v>
      </c>
      <c r="D55" t="s">
        <v>83</v>
      </c>
      <c r="F55" t="s">
        <v>73</v>
      </c>
      <c r="G55" s="2">
        <v>46167</v>
      </c>
      <c r="H55" s="2">
        <v>46167</v>
      </c>
      <c r="I55">
        <v>53</v>
      </c>
      <c r="J55">
        <v>0</v>
      </c>
      <c r="L55" t="s">
        <v>34</v>
      </c>
      <c r="M55" t="s">
        <v>47</v>
      </c>
      <c r="N55" t="s">
        <v>187</v>
      </c>
      <c r="O55" t="s">
        <v>151</v>
      </c>
      <c r="P55" s="3">
        <v>46192</v>
      </c>
      <c r="Q55" t="s">
        <v>38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</row>
    <row r="56" spans="1:32" x14ac:dyDescent="0.25">
      <c r="A56">
        <v>55</v>
      </c>
      <c r="B56" t="s">
        <v>199</v>
      </c>
      <c r="C56" t="s">
        <v>189</v>
      </c>
      <c r="D56" t="s">
        <v>200</v>
      </c>
      <c r="E56" t="s">
        <v>154</v>
      </c>
      <c r="F56" t="s">
        <v>191</v>
      </c>
      <c r="G56" s="2">
        <v>46330</v>
      </c>
      <c r="H56" s="2">
        <v>46337</v>
      </c>
      <c r="J56">
        <v>0</v>
      </c>
      <c r="L56" t="s">
        <v>79</v>
      </c>
      <c r="M56" t="s">
        <v>47</v>
      </c>
      <c r="N56" t="s">
        <v>187</v>
      </c>
      <c r="O56" t="s">
        <v>201</v>
      </c>
      <c r="P56" s="3">
        <v>46175</v>
      </c>
      <c r="Q56" t="s">
        <v>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>
        <v>56</v>
      </c>
      <c r="B57" t="s">
        <v>202</v>
      </c>
      <c r="C57" t="s">
        <v>203</v>
      </c>
      <c r="D57" t="s">
        <v>67</v>
      </c>
      <c r="F57" t="s">
        <v>68</v>
      </c>
      <c r="G57" s="2">
        <v>46330</v>
      </c>
      <c r="H57" s="2">
        <v>46331</v>
      </c>
      <c r="I57" t="s">
        <v>204</v>
      </c>
      <c r="J57">
        <v>0</v>
      </c>
      <c r="L57" t="s">
        <v>79</v>
      </c>
      <c r="M57" t="s">
        <v>47</v>
      </c>
      <c r="N57" t="s">
        <v>187</v>
      </c>
      <c r="O57" t="s">
        <v>201</v>
      </c>
      <c r="P57" s="3">
        <v>46169</v>
      </c>
      <c r="Q57" t="s">
        <v>38</v>
      </c>
      <c r="R57">
        <v>57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>
        <v>57</v>
      </c>
      <c r="B58" t="s">
        <v>205</v>
      </c>
      <c r="C58" t="s">
        <v>203</v>
      </c>
      <c r="D58" t="s">
        <v>72</v>
      </c>
      <c r="F58" t="s">
        <v>73</v>
      </c>
      <c r="G58" s="2">
        <v>46332</v>
      </c>
      <c r="H58" s="2">
        <v>46332</v>
      </c>
      <c r="I58">
        <v>56</v>
      </c>
      <c r="J58">
        <v>0</v>
      </c>
      <c r="L58" t="s">
        <v>79</v>
      </c>
      <c r="M58" t="s">
        <v>47</v>
      </c>
      <c r="N58" t="s">
        <v>187</v>
      </c>
      <c r="O58" t="s">
        <v>206</v>
      </c>
      <c r="P58" s="3">
        <v>46170</v>
      </c>
      <c r="Q58" t="s">
        <v>38</v>
      </c>
      <c r="R58">
        <v>58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>
        <v>58</v>
      </c>
      <c r="B59" t="s">
        <v>207</v>
      </c>
      <c r="C59" t="s">
        <v>203</v>
      </c>
      <c r="D59" t="s">
        <v>77</v>
      </c>
      <c r="F59" t="s">
        <v>68</v>
      </c>
      <c r="G59" s="2">
        <v>46335</v>
      </c>
      <c r="H59" s="2">
        <v>46336</v>
      </c>
      <c r="I59">
        <v>57</v>
      </c>
      <c r="J59">
        <v>0</v>
      </c>
      <c r="L59" t="s">
        <v>79</v>
      </c>
      <c r="M59" t="s">
        <v>47</v>
      </c>
      <c r="N59" t="s">
        <v>187</v>
      </c>
      <c r="O59" t="s">
        <v>208</v>
      </c>
      <c r="P59" s="3">
        <v>46174</v>
      </c>
      <c r="Q59" t="s">
        <v>38</v>
      </c>
      <c r="R59">
        <v>59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>
        <v>59</v>
      </c>
      <c r="B60" t="s">
        <v>209</v>
      </c>
      <c r="C60" t="s">
        <v>203</v>
      </c>
      <c r="D60" t="s">
        <v>83</v>
      </c>
      <c r="F60" t="s">
        <v>73</v>
      </c>
      <c r="G60" s="2">
        <v>46337</v>
      </c>
      <c r="H60" s="2">
        <v>46337</v>
      </c>
      <c r="I60">
        <v>58</v>
      </c>
      <c r="J60">
        <v>0</v>
      </c>
      <c r="L60" t="s">
        <v>79</v>
      </c>
      <c r="M60" t="s">
        <v>47</v>
      </c>
      <c r="N60" t="s">
        <v>187</v>
      </c>
      <c r="O60" t="s">
        <v>210</v>
      </c>
      <c r="P60" s="3">
        <v>46175</v>
      </c>
      <c r="Q60" t="s">
        <v>38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>
        <v>60</v>
      </c>
      <c r="B61" t="s">
        <v>211</v>
      </c>
      <c r="C61" t="s">
        <v>189</v>
      </c>
      <c r="D61" t="s">
        <v>212</v>
      </c>
      <c r="E61" t="s">
        <v>213</v>
      </c>
      <c r="F61" t="s">
        <v>191</v>
      </c>
      <c r="G61" s="2">
        <v>46330</v>
      </c>
      <c r="H61" s="2">
        <v>46337</v>
      </c>
      <c r="J61">
        <v>0</v>
      </c>
      <c r="L61" t="s">
        <v>79</v>
      </c>
      <c r="M61" t="s">
        <v>47</v>
      </c>
      <c r="N61" t="s">
        <v>187</v>
      </c>
      <c r="O61" t="s">
        <v>201</v>
      </c>
      <c r="P61" s="3">
        <v>46175</v>
      </c>
      <c r="Q61" t="s">
        <v>38</v>
      </c>
      <c r="S61" t="s">
        <v>214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 x14ac:dyDescent="0.25">
      <c r="A62">
        <v>61</v>
      </c>
      <c r="B62" t="s">
        <v>215</v>
      </c>
      <c r="C62" t="s">
        <v>216</v>
      </c>
      <c r="D62" t="s">
        <v>67</v>
      </c>
      <c r="F62" t="s">
        <v>68</v>
      </c>
      <c r="G62" s="2">
        <v>46330</v>
      </c>
      <c r="H62" s="2">
        <v>46331</v>
      </c>
      <c r="I62" t="s">
        <v>204</v>
      </c>
      <c r="J62">
        <v>0</v>
      </c>
      <c r="L62" t="s">
        <v>79</v>
      </c>
      <c r="M62" t="s">
        <v>47</v>
      </c>
      <c r="N62" t="s">
        <v>187</v>
      </c>
      <c r="O62" t="s">
        <v>201</v>
      </c>
      <c r="P62" s="3">
        <v>46169</v>
      </c>
      <c r="Q62" t="s">
        <v>38</v>
      </c>
      <c r="R62">
        <v>62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 x14ac:dyDescent="0.25">
      <c r="A63">
        <v>62</v>
      </c>
      <c r="B63" t="s">
        <v>217</v>
      </c>
      <c r="C63" t="s">
        <v>216</v>
      </c>
      <c r="D63" t="s">
        <v>72</v>
      </c>
      <c r="F63" t="s">
        <v>73</v>
      </c>
      <c r="G63" s="2">
        <v>46332</v>
      </c>
      <c r="H63" s="2">
        <v>46332</v>
      </c>
      <c r="I63">
        <v>61</v>
      </c>
      <c r="J63">
        <v>0</v>
      </c>
      <c r="L63" t="s">
        <v>79</v>
      </c>
      <c r="M63" t="s">
        <v>47</v>
      </c>
      <c r="N63" t="s">
        <v>187</v>
      </c>
      <c r="O63" t="s">
        <v>206</v>
      </c>
      <c r="P63" s="3">
        <v>46170</v>
      </c>
      <c r="Q63" t="s">
        <v>38</v>
      </c>
      <c r="R63">
        <v>63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 x14ac:dyDescent="0.25">
      <c r="A64">
        <v>63</v>
      </c>
      <c r="B64" t="s">
        <v>218</v>
      </c>
      <c r="C64" t="s">
        <v>216</v>
      </c>
      <c r="D64" t="s">
        <v>77</v>
      </c>
      <c r="F64" t="s">
        <v>68</v>
      </c>
      <c r="G64" s="2">
        <v>46335</v>
      </c>
      <c r="H64" s="2">
        <v>46336</v>
      </c>
      <c r="I64">
        <v>62</v>
      </c>
      <c r="J64">
        <v>0</v>
      </c>
      <c r="L64" t="s">
        <v>79</v>
      </c>
      <c r="M64" t="s">
        <v>47</v>
      </c>
      <c r="N64" t="s">
        <v>187</v>
      </c>
      <c r="O64" t="s">
        <v>208</v>
      </c>
      <c r="P64" s="3">
        <v>46174</v>
      </c>
      <c r="Q64" t="s">
        <v>38</v>
      </c>
      <c r="R64">
        <v>64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 x14ac:dyDescent="0.25">
      <c r="A65">
        <v>64</v>
      </c>
      <c r="B65" t="s">
        <v>219</v>
      </c>
      <c r="C65" t="s">
        <v>216</v>
      </c>
      <c r="D65" t="s">
        <v>83</v>
      </c>
      <c r="F65" t="s">
        <v>73</v>
      </c>
      <c r="G65" s="2">
        <v>46337</v>
      </c>
      <c r="H65" s="2">
        <v>46337</v>
      </c>
      <c r="I65">
        <v>63</v>
      </c>
      <c r="J65">
        <v>0</v>
      </c>
      <c r="L65" t="s">
        <v>79</v>
      </c>
      <c r="M65" t="s">
        <v>47</v>
      </c>
      <c r="N65" t="s">
        <v>187</v>
      </c>
      <c r="O65" t="s">
        <v>210</v>
      </c>
      <c r="P65" s="3">
        <v>46175</v>
      </c>
      <c r="Q65" t="s">
        <v>38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>
        <v>65</v>
      </c>
      <c r="B66" t="s">
        <v>220</v>
      </c>
      <c r="C66" t="s">
        <v>43</v>
      </c>
      <c r="D66" t="s">
        <v>221</v>
      </c>
      <c r="F66" t="s">
        <v>222</v>
      </c>
      <c r="G66" s="2">
        <v>46181</v>
      </c>
      <c r="H66" s="2">
        <v>46367</v>
      </c>
      <c r="J66">
        <v>0.24</v>
      </c>
      <c r="L66" t="s">
        <v>64</v>
      </c>
      <c r="M66" t="s">
        <v>47</v>
      </c>
      <c r="N66" t="s">
        <v>223</v>
      </c>
      <c r="O66" t="s">
        <v>172</v>
      </c>
      <c r="P66" s="3">
        <v>46211</v>
      </c>
      <c r="Q66" t="s">
        <v>38</v>
      </c>
      <c r="U66">
        <v>0.24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>
        <v>66</v>
      </c>
      <c r="B67" t="s">
        <v>224</v>
      </c>
      <c r="C67" t="s">
        <v>225</v>
      </c>
      <c r="D67" t="s">
        <v>226</v>
      </c>
      <c r="E67" t="s">
        <v>140</v>
      </c>
      <c r="F67" t="s">
        <v>141</v>
      </c>
      <c r="G67" s="2">
        <v>46181</v>
      </c>
      <c r="H67" s="2">
        <v>46191</v>
      </c>
      <c r="J67">
        <v>1</v>
      </c>
      <c r="K67" s="3">
        <v>46191</v>
      </c>
      <c r="L67" t="s">
        <v>46</v>
      </c>
      <c r="M67" t="s">
        <v>47</v>
      </c>
      <c r="N67" t="s">
        <v>223</v>
      </c>
      <c r="O67" t="s">
        <v>227</v>
      </c>
      <c r="P67" s="3">
        <v>46192</v>
      </c>
      <c r="Q67" t="s">
        <v>38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 x14ac:dyDescent="0.25">
      <c r="A68">
        <v>67</v>
      </c>
      <c r="B68" t="s">
        <v>228</v>
      </c>
      <c r="C68" t="s">
        <v>229</v>
      </c>
      <c r="D68" t="s">
        <v>67</v>
      </c>
      <c r="F68" t="s">
        <v>145</v>
      </c>
      <c r="G68" s="2">
        <v>46181</v>
      </c>
      <c r="H68" s="2">
        <v>46185</v>
      </c>
      <c r="I68" t="s">
        <v>194</v>
      </c>
      <c r="J68">
        <v>1</v>
      </c>
      <c r="K68" s="3">
        <v>46185</v>
      </c>
      <c r="L68" t="s">
        <v>46</v>
      </c>
      <c r="M68" t="s">
        <v>47</v>
      </c>
      <c r="N68" t="s">
        <v>223</v>
      </c>
      <c r="O68" t="s">
        <v>227</v>
      </c>
      <c r="P68" s="3">
        <v>46188</v>
      </c>
      <c r="Q68" t="s">
        <v>38</v>
      </c>
      <c r="R68" t="s">
        <v>230</v>
      </c>
      <c r="U68">
        <v>1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25">
      <c r="A69">
        <v>68</v>
      </c>
      <c r="B69" t="s">
        <v>231</v>
      </c>
      <c r="C69" t="s">
        <v>229</v>
      </c>
      <c r="D69" t="s">
        <v>72</v>
      </c>
      <c r="F69" t="s">
        <v>73</v>
      </c>
      <c r="G69" s="2">
        <v>46188</v>
      </c>
      <c r="H69" s="2">
        <v>46188</v>
      </c>
      <c r="I69">
        <v>67</v>
      </c>
      <c r="J69">
        <v>1</v>
      </c>
      <c r="K69" s="3">
        <v>46188</v>
      </c>
      <c r="L69" t="s">
        <v>46</v>
      </c>
      <c r="M69" t="s">
        <v>47</v>
      </c>
      <c r="N69" t="s">
        <v>223</v>
      </c>
      <c r="O69" t="s">
        <v>132</v>
      </c>
      <c r="P69" s="3">
        <v>46189</v>
      </c>
      <c r="Q69" t="s">
        <v>38</v>
      </c>
      <c r="R69">
        <v>69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>
        <v>69</v>
      </c>
      <c r="B70" t="s">
        <v>232</v>
      </c>
      <c r="C70" t="s">
        <v>229</v>
      </c>
      <c r="D70" t="s">
        <v>77</v>
      </c>
      <c r="F70" t="s">
        <v>68</v>
      </c>
      <c r="G70" s="2">
        <v>46189</v>
      </c>
      <c r="H70" s="2">
        <v>46190</v>
      </c>
      <c r="I70">
        <v>68</v>
      </c>
      <c r="J70">
        <v>1</v>
      </c>
      <c r="K70" s="3">
        <v>46190</v>
      </c>
      <c r="L70" t="s">
        <v>46</v>
      </c>
      <c r="M70" t="s">
        <v>47</v>
      </c>
      <c r="N70" t="s">
        <v>223</v>
      </c>
      <c r="O70" t="s">
        <v>149</v>
      </c>
      <c r="P70" s="3">
        <v>46191</v>
      </c>
      <c r="Q70" t="s">
        <v>38</v>
      </c>
      <c r="R70">
        <v>70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25">
      <c r="A71">
        <v>70</v>
      </c>
      <c r="B71" t="s">
        <v>233</v>
      </c>
      <c r="C71" t="s">
        <v>229</v>
      </c>
      <c r="D71" t="s">
        <v>83</v>
      </c>
      <c r="F71" t="s">
        <v>73</v>
      </c>
      <c r="G71" s="2">
        <v>46191</v>
      </c>
      <c r="H71" s="2">
        <v>46191</v>
      </c>
      <c r="I71">
        <v>69</v>
      </c>
      <c r="J71">
        <v>1</v>
      </c>
      <c r="K71" s="3">
        <v>46191</v>
      </c>
      <c r="L71" t="s">
        <v>46</v>
      </c>
      <c r="M71" t="s">
        <v>47</v>
      </c>
      <c r="N71" t="s">
        <v>223</v>
      </c>
      <c r="O71" t="s">
        <v>151</v>
      </c>
      <c r="P71" s="3">
        <v>46192</v>
      </c>
      <c r="Q71" t="s">
        <v>38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</row>
    <row r="72" spans="1:32" x14ac:dyDescent="0.25">
      <c r="A72">
        <v>71</v>
      </c>
      <c r="B72" t="s">
        <v>234</v>
      </c>
      <c r="C72" t="s">
        <v>225</v>
      </c>
      <c r="D72" t="s">
        <v>235</v>
      </c>
      <c r="E72" t="s">
        <v>154</v>
      </c>
      <c r="F72" t="s">
        <v>110</v>
      </c>
      <c r="G72" s="2">
        <v>46356</v>
      </c>
      <c r="H72" s="2">
        <v>46364</v>
      </c>
      <c r="J72">
        <v>0</v>
      </c>
      <c r="L72" t="s">
        <v>79</v>
      </c>
      <c r="M72" t="s">
        <v>47</v>
      </c>
      <c r="N72" t="s">
        <v>223</v>
      </c>
      <c r="O72" t="s">
        <v>236</v>
      </c>
      <c r="P72" s="3">
        <v>46199</v>
      </c>
      <c r="Q72" t="s">
        <v>38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25">
      <c r="A73">
        <v>72</v>
      </c>
      <c r="B73" t="s">
        <v>237</v>
      </c>
      <c r="C73" t="s">
        <v>238</v>
      </c>
      <c r="D73" t="s">
        <v>67</v>
      </c>
      <c r="F73" t="s">
        <v>92</v>
      </c>
      <c r="G73" s="2">
        <v>46356</v>
      </c>
      <c r="H73" s="2">
        <v>46358</v>
      </c>
      <c r="I73" t="s">
        <v>239</v>
      </c>
      <c r="J73">
        <v>0</v>
      </c>
      <c r="L73" t="s">
        <v>79</v>
      </c>
      <c r="M73" t="s">
        <v>47</v>
      </c>
      <c r="N73" t="s">
        <v>223</v>
      </c>
      <c r="O73" t="s">
        <v>236</v>
      </c>
      <c r="P73" s="3">
        <v>46195</v>
      </c>
      <c r="Q73" t="s">
        <v>38</v>
      </c>
      <c r="R73" t="s">
        <v>240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25">
      <c r="A74">
        <v>73</v>
      </c>
      <c r="B74" t="s">
        <v>241</v>
      </c>
      <c r="C74" t="s">
        <v>238</v>
      </c>
      <c r="D74" t="s">
        <v>72</v>
      </c>
      <c r="F74" t="s">
        <v>73</v>
      </c>
      <c r="G74" s="2">
        <v>46359</v>
      </c>
      <c r="H74" s="2">
        <v>46359</v>
      </c>
      <c r="I74">
        <v>72</v>
      </c>
      <c r="J74">
        <v>0</v>
      </c>
      <c r="L74" t="s">
        <v>79</v>
      </c>
      <c r="M74" t="s">
        <v>47</v>
      </c>
      <c r="N74" t="s">
        <v>223</v>
      </c>
      <c r="O74" t="s">
        <v>161</v>
      </c>
      <c r="P74" s="3">
        <v>46196</v>
      </c>
      <c r="Q74" t="s">
        <v>38</v>
      </c>
      <c r="R74">
        <v>74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>
        <v>74</v>
      </c>
      <c r="B75" t="s">
        <v>242</v>
      </c>
      <c r="C75" t="s">
        <v>238</v>
      </c>
      <c r="D75" t="s">
        <v>77</v>
      </c>
      <c r="F75" t="s">
        <v>68</v>
      </c>
      <c r="G75" s="2">
        <v>46360</v>
      </c>
      <c r="H75" s="2">
        <v>46363</v>
      </c>
      <c r="I75">
        <v>73</v>
      </c>
      <c r="J75">
        <v>0</v>
      </c>
      <c r="L75" t="s">
        <v>79</v>
      </c>
      <c r="M75" t="s">
        <v>47</v>
      </c>
      <c r="N75" t="s">
        <v>223</v>
      </c>
      <c r="O75" t="s">
        <v>243</v>
      </c>
      <c r="P75" s="3">
        <v>46198</v>
      </c>
      <c r="Q75" t="s">
        <v>38</v>
      </c>
      <c r="R75">
        <v>75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>
        <v>75</v>
      </c>
      <c r="B76" t="s">
        <v>244</v>
      </c>
      <c r="C76" t="s">
        <v>238</v>
      </c>
      <c r="D76" t="s">
        <v>83</v>
      </c>
      <c r="F76" t="s">
        <v>73</v>
      </c>
      <c r="G76" s="2">
        <v>46364</v>
      </c>
      <c r="H76" s="2">
        <v>46364</v>
      </c>
      <c r="I76">
        <v>74</v>
      </c>
      <c r="J76">
        <v>0</v>
      </c>
      <c r="L76" t="s">
        <v>79</v>
      </c>
      <c r="M76" t="s">
        <v>47</v>
      </c>
      <c r="N76" t="s">
        <v>223</v>
      </c>
      <c r="O76" t="s">
        <v>245</v>
      </c>
      <c r="P76" s="3">
        <v>46199</v>
      </c>
      <c r="Q76" t="s">
        <v>38</v>
      </c>
      <c r="U76">
        <v>0</v>
      </c>
      <c r="V76">
        <v>0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>
        <v>76</v>
      </c>
      <c r="B77" t="s">
        <v>246</v>
      </c>
      <c r="C77" t="s">
        <v>225</v>
      </c>
      <c r="D77" t="s">
        <v>247</v>
      </c>
      <c r="E77" t="s">
        <v>248</v>
      </c>
      <c r="F77" t="s">
        <v>110</v>
      </c>
      <c r="G77" s="2">
        <v>46359</v>
      </c>
      <c r="H77" s="2">
        <v>46367</v>
      </c>
      <c r="J77">
        <v>0</v>
      </c>
      <c r="L77" t="s">
        <v>79</v>
      </c>
      <c r="M77" t="s">
        <v>47</v>
      </c>
      <c r="N77" t="s">
        <v>223</v>
      </c>
      <c r="O77" t="s">
        <v>206</v>
      </c>
      <c r="P77" s="3">
        <v>46178</v>
      </c>
      <c r="Q77" t="s">
        <v>38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>
        <v>77</v>
      </c>
      <c r="B78" t="s">
        <v>249</v>
      </c>
      <c r="C78" t="s">
        <v>250</v>
      </c>
      <c r="D78" t="s">
        <v>67</v>
      </c>
      <c r="F78" t="s">
        <v>92</v>
      </c>
      <c r="G78" s="2">
        <v>46359</v>
      </c>
      <c r="H78" s="2">
        <v>46363</v>
      </c>
      <c r="I78">
        <v>72</v>
      </c>
      <c r="J78">
        <v>0</v>
      </c>
      <c r="L78" t="s">
        <v>79</v>
      </c>
      <c r="M78" t="s">
        <v>47</v>
      </c>
      <c r="N78" t="s">
        <v>223</v>
      </c>
      <c r="O78" t="s">
        <v>206</v>
      </c>
      <c r="P78" s="3">
        <v>46174</v>
      </c>
      <c r="Q78" t="s">
        <v>38</v>
      </c>
      <c r="R78">
        <v>78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 x14ac:dyDescent="0.25">
      <c r="A79">
        <v>78</v>
      </c>
      <c r="B79" t="s">
        <v>251</v>
      </c>
      <c r="C79" t="s">
        <v>250</v>
      </c>
      <c r="D79" t="s">
        <v>72</v>
      </c>
      <c r="F79" t="s">
        <v>73</v>
      </c>
      <c r="G79" s="2">
        <v>46364</v>
      </c>
      <c r="H79" s="2">
        <v>46364</v>
      </c>
      <c r="I79">
        <v>77</v>
      </c>
      <c r="J79">
        <v>0</v>
      </c>
      <c r="L79" t="s">
        <v>79</v>
      </c>
      <c r="M79" t="s">
        <v>47</v>
      </c>
      <c r="N79" t="s">
        <v>223</v>
      </c>
      <c r="O79" t="s">
        <v>210</v>
      </c>
      <c r="P79" s="3">
        <v>46175</v>
      </c>
      <c r="Q79" t="s">
        <v>38</v>
      </c>
      <c r="R79">
        <v>79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>
        <v>79</v>
      </c>
      <c r="B80" t="s">
        <v>252</v>
      </c>
      <c r="C80" t="s">
        <v>250</v>
      </c>
      <c r="D80" t="s">
        <v>77</v>
      </c>
      <c r="F80" t="s">
        <v>68</v>
      </c>
      <c r="G80" s="2">
        <v>46365</v>
      </c>
      <c r="H80" s="2">
        <v>46366</v>
      </c>
      <c r="I80">
        <v>78</v>
      </c>
      <c r="J80">
        <v>0</v>
      </c>
      <c r="L80" t="s">
        <v>79</v>
      </c>
      <c r="M80" t="s">
        <v>47</v>
      </c>
      <c r="N80" t="s">
        <v>223</v>
      </c>
      <c r="O80" t="s">
        <v>253</v>
      </c>
      <c r="P80" s="3">
        <v>46177</v>
      </c>
      <c r="Q80" t="s">
        <v>38</v>
      </c>
      <c r="R80">
        <v>80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>
        <v>80</v>
      </c>
      <c r="B81" t="s">
        <v>254</v>
      </c>
      <c r="C81" t="s">
        <v>250</v>
      </c>
      <c r="D81" t="s">
        <v>83</v>
      </c>
      <c r="F81" t="s">
        <v>73</v>
      </c>
      <c r="G81" s="2">
        <v>46367</v>
      </c>
      <c r="H81" s="2">
        <v>46367</v>
      </c>
      <c r="I81">
        <v>79</v>
      </c>
      <c r="J81">
        <v>0</v>
      </c>
      <c r="L81" t="s">
        <v>79</v>
      </c>
      <c r="M81" t="s">
        <v>47</v>
      </c>
      <c r="N81" t="s">
        <v>223</v>
      </c>
      <c r="O81" t="s">
        <v>255</v>
      </c>
      <c r="P81" s="3">
        <v>46178</v>
      </c>
      <c r="Q81" t="s">
        <v>38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>
        <v>81</v>
      </c>
      <c r="B82" t="s">
        <v>256</v>
      </c>
      <c r="C82" t="s">
        <v>225</v>
      </c>
      <c r="D82" t="s">
        <v>257</v>
      </c>
      <c r="E82" t="s">
        <v>258</v>
      </c>
      <c r="F82" t="s">
        <v>110</v>
      </c>
      <c r="G82" s="2">
        <v>46359</v>
      </c>
      <c r="H82" s="2">
        <v>46367</v>
      </c>
      <c r="J82">
        <v>0</v>
      </c>
      <c r="L82" t="s">
        <v>79</v>
      </c>
      <c r="M82" t="s">
        <v>47</v>
      </c>
      <c r="N82" t="s">
        <v>223</v>
      </c>
      <c r="O82" t="s">
        <v>210</v>
      </c>
      <c r="P82" s="3">
        <v>46183</v>
      </c>
      <c r="Q82" t="s">
        <v>38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>
        <v>82</v>
      </c>
      <c r="B83" t="s">
        <v>259</v>
      </c>
      <c r="C83" t="s">
        <v>260</v>
      </c>
      <c r="D83" t="s">
        <v>67</v>
      </c>
      <c r="F83" t="s">
        <v>92</v>
      </c>
      <c r="G83" s="2">
        <v>46359</v>
      </c>
      <c r="H83" s="2">
        <v>46363</v>
      </c>
      <c r="I83">
        <v>72</v>
      </c>
      <c r="J83">
        <v>0</v>
      </c>
      <c r="L83" t="s">
        <v>79</v>
      </c>
      <c r="M83" t="s">
        <v>47</v>
      </c>
      <c r="N83" t="s">
        <v>223</v>
      </c>
      <c r="O83" t="s">
        <v>210</v>
      </c>
      <c r="P83" s="3">
        <v>46177</v>
      </c>
      <c r="Q83" t="s">
        <v>38</v>
      </c>
      <c r="R83">
        <v>83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>
        <v>83</v>
      </c>
      <c r="B84" t="s">
        <v>261</v>
      </c>
      <c r="C84" t="s">
        <v>260</v>
      </c>
      <c r="D84" t="s">
        <v>72</v>
      </c>
      <c r="F84" t="s">
        <v>73</v>
      </c>
      <c r="G84" s="2">
        <v>46364</v>
      </c>
      <c r="H84" s="2">
        <v>46364</v>
      </c>
      <c r="I84">
        <v>82</v>
      </c>
      <c r="J84">
        <v>0</v>
      </c>
      <c r="L84" t="s">
        <v>79</v>
      </c>
      <c r="M84" t="s">
        <v>47</v>
      </c>
      <c r="N84" t="s">
        <v>223</v>
      </c>
      <c r="O84" t="s">
        <v>255</v>
      </c>
      <c r="P84" s="3">
        <v>46178</v>
      </c>
      <c r="Q84" t="s">
        <v>38</v>
      </c>
      <c r="R84">
        <v>84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 x14ac:dyDescent="0.25">
      <c r="A85">
        <v>84</v>
      </c>
      <c r="B85" t="s">
        <v>262</v>
      </c>
      <c r="C85" t="s">
        <v>260</v>
      </c>
      <c r="D85" t="s">
        <v>77</v>
      </c>
      <c r="F85" t="s">
        <v>68</v>
      </c>
      <c r="G85" s="2">
        <v>46365</v>
      </c>
      <c r="H85" s="2">
        <v>46366</v>
      </c>
      <c r="I85">
        <v>83</v>
      </c>
      <c r="J85">
        <v>0</v>
      </c>
      <c r="L85" t="s">
        <v>79</v>
      </c>
      <c r="M85" t="s">
        <v>47</v>
      </c>
      <c r="N85" t="s">
        <v>223</v>
      </c>
      <c r="O85" t="s">
        <v>263</v>
      </c>
      <c r="P85" s="3">
        <v>46182</v>
      </c>
      <c r="Q85" t="s">
        <v>38</v>
      </c>
      <c r="R85">
        <v>85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>
        <v>85</v>
      </c>
      <c r="B86" t="s">
        <v>264</v>
      </c>
      <c r="C86" t="s">
        <v>260</v>
      </c>
      <c r="D86" t="s">
        <v>83</v>
      </c>
      <c r="F86" t="s">
        <v>73</v>
      </c>
      <c r="G86" s="2">
        <v>46367</v>
      </c>
      <c r="H86" s="2">
        <v>46367</v>
      </c>
      <c r="I86">
        <v>84</v>
      </c>
      <c r="J86">
        <v>0</v>
      </c>
      <c r="L86" t="s">
        <v>79</v>
      </c>
      <c r="M86" t="s">
        <v>47</v>
      </c>
      <c r="N86" t="s">
        <v>223</v>
      </c>
      <c r="O86" t="s">
        <v>265</v>
      </c>
      <c r="P86" s="3">
        <v>46183</v>
      </c>
      <c r="Q86" t="s">
        <v>38</v>
      </c>
      <c r="U86">
        <v>0</v>
      </c>
      <c r="V86">
        <v>0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>
        <v>86</v>
      </c>
      <c r="B87" t="s">
        <v>266</v>
      </c>
      <c r="C87" t="s">
        <v>225</v>
      </c>
      <c r="D87" t="s">
        <v>267</v>
      </c>
      <c r="E87" t="s">
        <v>213</v>
      </c>
      <c r="F87" t="s">
        <v>110</v>
      </c>
      <c r="G87" s="2">
        <v>46359</v>
      </c>
      <c r="H87" s="2">
        <v>46367</v>
      </c>
      <c r="J87">
        <v>0</v>
      </c>
      <c r="L87" t="s">
        <v>79</v>
      </c>
      <c r="M87" t="s">
        <v>47</v>
      </c>
      <c r="N87" t="s">
        <v>223</v>
      </c>
      <c r="O87" t="s">
        <v>210</v>
      </c>
      <c r="P87" s="3">
        <v>46183</v>
      </c>
      <c r="Q87" t="s">
        <v>38</v>
      </c>
      <c r="S87" t="s">
        <v>214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25">
      <c r="A88">
        <v>87</v>
      </c>
      <c r="B88" t="s">
        <v>268</v>
      </c>
      <c r="C88" t="s">
        <v>269</v>
      </c>
      <c r="D88" t="s">
        <v>67</v>
      </c>
      <c r="F88" t="s">
        <v>92</v>
      </c>
      <c r="G88" s="2">
        <v>46359</v>
      </c>
      <c r="H88" s="2">
        <v>46363</v>
      </c>
      <c r="I88">
        <v>72</v>
      </c>
      <c r="J88">
        <v>0</v>
      </c>
      <c r="L88" t="s">
        <v>79</v>
      </c>
      <c r="M88" t="s">
        <v>47</v>
      </c>
      <c r="N88" t="s">
        <v>223</v>
      </c>
      <c r="O88" t="s">
        <v>210</v>
      </c>
      <c r="P88" s="3">
        <v>46177</v>
      </c>
      <c r="Q88" t="s">
        <v>38</v>
      </c>
      <c r="R88">
        <v>88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25">
      <c r="A89">
        <v>88</v>
      </c>
      <c r="B89" t="s">
        <v>270</v>
      </c>
      <c r="C89" t="s">
        <v>269</v>
      </c>
      <c r="D89" t="s">
        <v>72</v>
      </c>
      <c r="F89" t="s">
        <v>73</v>
      </c>
      <c r="G89" s="2">
        <v>46364</v>
      </c>
      <c r="H89" s="2">
        <v>46364</v>
      </c>
      <c r="I89">
        <v>87</v>
      </c>
      <c r="J89">
        <v>0</v>
      </c>
      <c r="L89" t="s">
        <v>79</v>
      </c>
      <c r="M89" t="s">
        <v>47</v>
      </c>
      <c r="N89" t="s">
        <v>223</v>
      </c>
      <c r="O89" t="s">
        <v>255</v>
      </c>
      <c r="P89" s="3">
        <v>46178</v>
      </c>
      <c r="Q89" t="s">
        <v>38</v>
      </c>
      <c r="R89">
        <v>89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>
        <v>89</v>
      </c>
      <c r="B90" t="s">
        <v>271</v>
      </c>
      <c r="C90" t="s">
        <v>269</v>
      </c>
      <c r="D90" t="s">
        <v>77</v>
      </c>
      <c r="F90" t="s">
        <v>68</v>
      </c>
      <c r="G90" s="2">
        <v>46365</v>
      </c>
      <c r="H90" s="2">
        <v>46366</v>
      </c>
      <c r="I90">
        <v>88</v>
      </c>
      <c r="J90">
        <v>0</v>
      </c>
      <c r="L90" t="s">
        <v>79</v>
      </c>
      <c r="M90" t="s">
        <v>47</v>
      </c>
      <c r="N90" t="s">
        <v>223</v>
      </c>
      <c r="O90" t="s">
        <v>263</v>
      </c>
      <c r="P90" s="3">
        <v>46182</v>
      </c>
      <c r="Q90" t="s">
        <v>38</v>
      </c>
      <c r="R90">
        <v>90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>
        <v>90</v>
      </c>
      <c r="B91" t="s">
        <v>272</v>
      </c>
      <c r="C91" t="s">
        <v>269</v>
      </c>
      <c r="D91" t="s">
        <v>83</v>
      </c>
      <c r="F91" t="s">
        <v>73</v>
      </c>
      <c r="G91" s="2">
        <v>46367</v>
      </c>
      <c r="H91" s="2">
        <v>46367</v>
      </c>
      <c r="I91">
        <v>89</v>
      </c>
      <c r="J91">
        <v>0</v>
      </c>
      <c r="L91" t="s">
        <v>79</v>
      </c>
      <c r="M91" t="s">
        <v>47</v>
      </c>
      <c r="N91" t="s">
        <v>223</v>
      </c>
      <c r="O91" t="s">
        <v>265</v>
      </c>
      <c r="P91" s="3">
        <v>46183</v>
      </c>
      <c r="Q91" t="s">
        <v>38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>
        <v>91</v>
      </c>
      <c r="B92" t="s">
        <v>273</v>
      </c>
      <c r="C92" t="s">
        <v>43</v>
      </c>
      <c r="D92" t="s">
        <v>274</v>
      </c>
      <c r="F92" t="s">
        <v>275</v>
      </c>
      <c r="G92" s="2">
        <v>46183</v>
      </c>
      <c r="H92" s="2">
        <v>46364</v>
      </c>
      <c r="J92">
        <v>0</v>
      </c>
      <c r="L92" t="s">
        <v>34</v>
      </c>
      <c r="M92" t="s">
        <v>47</v>
      </c>
      <c r="N92" t="s">
        <v>276</v>
      </c>
      <c r="O92" t="s">
        <v>277</v>
      </c>
      <c r="P92" s="3">
        <v>46211</v>
      </c>
      <c r="Q92" t="s">
        <v>38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>
        <v>92</v>
      </c>
      <c r="B93" t="s">
        <v>278</v>
      </c>
      <c r="C93" t="s">
        <v>279</v>
      </c>
      <c r="D93" t="s">
        <v>280</v>
      </c>
      <c r="E93" t="s">
        <v>140</v>
      </c>
      <c r="F93" t="s">
        <v>110</v>
      </c>
      <c r="G93" s="2">
        <v>46183</v>
      </c>
      <c r="H93" s="2">
        <v>46191</v>
      </c>
      <c r="J93">
        <v>0</v>
      </c>
      <c r="L93" t="s">
        <v>34</v>
      </c>
      <c r="M93" t="s">
        <v>47</v>
      </c>
      <c r="N93" t="s">
        <v>276</v>
      </c>
      <c r="O93" t="s">
        <v>142</v>
      </c>
      <c r="P93" s="3">
        <v>46192</v>
      </c>
      <c r="Q93" t="s">
        <v>38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1:32" x14ac:dyDescent="0.25">
      <c r="A94">
        <v>93</v>
      </c>
      <c r="B94" t="s">
        <v>281</v>
      </c>
      <c r="C94" t="s">
        <v>282</v>
      </c>
      <c r="D94" t="s">
        <v>67</v>
      </c>
      <c r="F94" t="s">
        <v>92</v>
      </c>
      <c r="G94" s="2">
        <v>46183</v>
      </c>
      <c r="H94" s="2">
        <v>46185</v>
      </c>
      <c r="I94" t="s">
        <v>194</v>
      </c>
      <c r="J94">
        <v>0</v>
      </c>
      <c r="L94" t="s">
        <v>34</v>
      </c>
      <c r="M94" t="s">
        <v>47</v>
      </c>
      <c r="N94" t="s">
        <v>276</v>
      </c>
      <c r="O94" t="s">
        <v>142</v>
      </c>
      <c r="P94" s="3">
        <v>46188</v>
      </c>
      <c r="Q94" t="s">
        <v>38</v>
      </c>
      <c r="R94" t="s">
        <v>283</v>
      </c>
      <c r="U94">
        <v>0</v>
      </c>
      <c r="V94">
        <v>1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1:32" x14ac:dyDescent="0.25">
      <c r="A95">
        <v>94</v>
      </c>
      <c r="B95" t="s">
        <v>284</v>
      </c>
      <c r="C95" t="s">
        <v>282</v>
      </c>
      <c r="D95" t="s">
        <v>72</v>
      </c>
      <c r="F95" t="s">
        <v>73</v>
      </c>
      <c r="G95" s="2">
        <v>46188</v>
      </c>
      <c r="H95" s="2">
        <v>46188</v>
      </c>
      <c r="I95">
        <v>93</v>
      </c>
      <c r="J95">
        <v>0</v>
      </c>
      <c r="L95" t="s">
        <v>34</v>
      </c>
      <c r="M95" t="s">
        <v>47</v>
      </c>
      <c r="N95" t="s">
        <v>276</v>
      </c>
      <c r="O95" t="s">
        <v>132</v>
      </c>
      <c r="P95" s="3">
        <v>46189</v>
      </c>
      <c r="Q95" t="s">
        <v>38</v>
      </c>
      <c r="R95">
        <v>95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>
        <v>95</v>
      </c>
      <c r="B96" t="s">
        <v>285</v>
      </c>
      <c r="C96" t="s">
        <v>282</v>
      </c>
      <c r="D96" t="s">
        <v>77</v>
      </c>
      <c r="F96" t="s">
        <v>68</v>
      </c>
      <c r="G96" s="2">
        <v>46189</v>
      </c>
      <c r="H96" s="2">
        <v>46190</v>
      </c>
      <c r="I96">
        <v>94</v>
      </c>
      <c r="J96">
        <v>0</v>
      </c>
      <c r="L96" t="s">
        <v>34</v>
      </c>
      <c r="M96" t="s">
        <v>47</v>
      </c>
      <c r="N96" t="s">
        <v>276</v>
      </c>
      <c r="O96" t="s">
        <v>149</v>
      </c>
      <c r="P96" s="3">
        <v>46191</v>
      </c>
      <c r="Q96" t="s">
        <v>38</v>
      </c>
      <c r="R96">
        <v>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 x14ac:dyDescent="0.25">
      <c r="A97">
        <v>96</v>
      </c>
      <c r="B97" t="s">
        <v>286</v>
      </c>
      <c r="C97" t="s">
        <v>282</v>
      </c>
      <c r="D97" t="s">
        <v>83</v>
      </c>
      <c r="F97" t="s">
        <v>73</v>
      </c>
      <c r="G97" s="2">
        <v>46191</v>
      </c>
      <c r="H97" s="2">
        <v>46191</v>
      </c>
      <c r="I97">
        <v>95</v>
      </c>
      <c r="J97">
        <v>0</v>
      </c>
      <c r="L97" t="s">
        <v>34</v>
      </c>
      <c r="M97" t="s">
        <v>47</v>
      </c>
      <c r="N97" t="s">
        <v>276</v>
      </c>
      <c r="O97" t="s">
        <v>151</v>
      </c>
      <c r="P97" s="3">
        <v>46192</v>
      </c>
      <c r="Q97" t="s">
        <v>38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</row>
    <row r="98" spans="1:32" x14ac:dyDescent="0.25">
      <c r="A98">
        <v>97</v>
      </c>
      <c r="B98" t="s">
        <v>287</v>
      </c>
      <c r="C98" t="s">
        <v>279</v>
      </c>
      <c r="D98" t="s">
        <v>288</v>
      </c>
      <c r="E98" t="s">
        <v>154</v>
      </c>
      <c r="F98" t="s">
        <v>110</v>
      </c>
      <c r="G98" s="2">
        <v>46356</v>
      </c>
      <c r="H98" s="2">
        <v>46364</v>
      </c>
      <c r="J98">
        <v>0</v>
      </c>
      <c r="L98" t="s">
        <v>79</v>
      </c>
      <c r="M98" t="s">
        <v>47</v>
      </c>
      <c r="N98" t="s">
        <v>276</v>
      </c>
      <c r="O98" t="s">
        <v>149</v>
      </c>
      <c r="P98" s="3">
        <v>46198</v>
      </c>
      <c r="Q98" t="s">
        <v>38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1:32" x14ac:dyDescent="0.25">
      <c r="A99">
        <v>98</v>
      </c>
      <c r="B99" t="s">
        <v>289</v>
      </c>
      <c r="C99" t="s">
        <v>290</v>
      </c>
      <c r="D99" t="s">
        <v>67</v>
      </c>
      <c r="F99" t="s">
        <v>92</v>
      </c>
      <c r="G99" s="2">
        <v>46356</v>
      </c>
      <c r="H99" s="2">
        <v>46358</v>
      </c>
      <c r="I99" t="s">
        <v>291</v>
      </c>
      <c r="J99">
        <v>0</v>
      </c>
      <c r="L99" t="s">
        <v>79</v>
      </c>
      <c r="M99" t="s">
        <v>47</v>
      </c>
      <c r="N99" t="s">
        <v>276</v>
      </c>
      <c r="O99" t="s">
        <v>149</v>
      </c>
      <c r="P99" s="3">
        <v>46192</v>
      </c>
      <c r="Q99" t="s">
        <v>38</v>
      </c>
      <c r="R99">
        <v>99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1:32" x14ac:dyDescent="0.25">
      <c r="A100">
        <v>99</v>
      </c>
      <c r="B100" t="s">
        <v>292</v>
      </c>
      <c r="C100" t="s">
        <v>290</v>
      </c>
      <c r="D100" t="s">
        <v>72</v>
      </c>
      <c r="F100" t="s">
        <v>73</v>
      </c>
      <c r="G100" s="2">
        <v>46359</v>
      </c>
      <c r="H100" s="2">
        <v>46359</v>
      </c>
      <c r="I100">
        <v>98</v>
      </c>
      <c r="J100">
        <v>0</v>
      </c>
      <c r="L100" t="s">
        <v>79</v>
      </c>
      <c r="M100" t="s">
        <v>47</v>
      </c>
      <c r="N100" t="s">
        <v>276</v>
      </c>
      <c r="O100" t="s">
        <v>159</v>
      </c>
      <c r="P100" s="3">
        <v>46195</v>
      </c>
      <c r="Q100" t="s">
        <v>38</v>
      </c>
      <c r="R100">
        <v>100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>
        <v>100</v>
      </c>
      <c r="B101" t="s">
        <v>293</v>
      </c>
      <c r="C101" t="s">
        <v>290</v>
      </c>
      <c r="D101" t="s">
        <v>77</v>
      </c>
      <c r="F101" t="s">
        <v>68</v>
      </c>
      <c r="G101" s="2">
        <v>46360</v>
      </c>
      <c r="H101" s="2">
        <v>46363</v>
      </c>
      <c r="I101">
        <v>99</v>
      </c>
      <c r="J101">
        <v>0</v>
      </c>
      <c r="L101" t="s">
        <v>79</v>
      </c>
      <c r="M101" t="s">
        <v>47</v>
      </c>
      <c r="N101" t="s">
        <v>276</v>
      </c>
      <c r="O101" t="s">
        <v>161</v>
      </c>
      <c r="P101" s="3">
        <v>46197</v>
      </c>
      <c r="Q101" t="s">
        <v>38</v>
      </c>
      <c r="R101">
        <v>101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>
        <v>101</v>
      </c>
      <c r="B102" t="s">
        <v>294</v>
      </c>
      <c r="C102" t="s">
        <v>290</v>
      </c>
      <c r="D102" t="s">
        <v>83</v>
      </c>
      <c r="F102" t="s">
        <v>73</v>
      </c>
      <c r="G102" s="2">
        <v>46364</v>
      </c>
      <c r="H102" s="2">
        <v>46364</v>
      </c>
      <c r="I102">
        <v>100</v>
      </c>
      <c r="J102">
        <v>0</v>
      </c>
      <c r="L102" t="s">
        <v>79</v>
      </c>
      <c r="M102" t="s">
        <v>47</v>
      </c>
      <c r="N102" t="s">
        <v>276</v>
      </c>
      <c r="O102" t="s">
        <v>163</v>
      </c>
      <c r="P102" s="3">
        <v>46198</v>
      </c>
      <c r="Q102" t="s">
        <v>38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>
        <v>102</v>
      </c>
      <c r="B103" t="s">
        <v>295</v>
      </c>
      <c r="C103" t="s">
        <v>279</v>
      </c>
      <c r="D103" t="s">
        <v>296</v>
      </c>
      <c r="E103" t="s">
        <v>213</v>
      </c>
      <c r="F103" t="s">
        <v>110</v>
      </c>
      <c r="G103" s="2">
        <v>46356</v>
      </c>
      <c r="H103" s="2">
        <v>46364</v>
      </c>
      <c r="J103">
        <v>0</v>
      </c>
      <c r="L103" t="s">
        <v>79</v>
      </c>
      <c r="M103" t="s">
        <v>47</v>
      </c>
      <c r="N103" t="s">
        <v>276</v>
      </c>
      <c r="O103" t="s">
        <v>149</v>
      </c>
      <c r="P103" s="3">
        <v>46198</v>
      </c>
      <c r="Q103" t="s">
        <v>38</v>
      </c>
      <c r="S103" t="s">
        <v>214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>
        <v>103</v>
      </c>
      <c r="B104" t="s">
        <v>297</v>
      </c>
      <c r="C104" t="s">
        <v>298</v>
      </c>
      <c r="D104" t="s">
        <v>67</v>
      </c>
      <c r="F104" t="s">
        <v>92</v>
      </c>
      <c r="G104" s="2">
        <v>46356</v>
      </c>
      <c r="H104" s="2">
        <v>46358</v>
      </c>
      <c r="I104" t="s">
        <v>291</v>
      </c>
      <c r="J104">
        <v>0</v>
      </c>
      <c r="L104" t="s">
        <v>79</v>
      </c>
      <c r="M104" t="s">
        <v>47</v>
      </c>
      <c r="N104" t="s">
        <v>276</v>
      </c>
      <c r="O104" t="s">
        <v>149</v>
      </c>
      <c r="P104" s="3">
        <v>46192</v>
      </c>
      <c r="Q104" t="s">
        <v>38</v>
      </c>
      <c r="R104">
        <v>104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25">
      <c r="A105">
        <v>104</v>
      </c>
      <c r="B105" t="s">
        <v>299</v>
      </c>
      <c r="C105" t="s">
        <v>298</v>
      </c>
      <c r="D105" t="s">
        <v>72</v>
      </c>
      <c r="F105" t="s">
        <v>73</v>
      </c>
      <c r="G105" s="2">
        <v>46359</v>
      </c>
      <c r="H105" s="2">
        <v>46359</v>
      </c>
      <c r="I105">
        <v>103</v>
      </c>
      <c r="J105">
        <v>0</v>
      </c>
      <c r="L105" t="s">
        <v>79</v>
      </c>
      <c r="M105" t="s">
        <v>47</v>
      </c>
      <c r="N105" t="s">
        <v>276</v>
      </c>
      <c r="O105" t="s">
        <v>159</v>
      </c>
      <c r="P105" s="3">
        <v>46195</v>
      </c>
      <c r="Q105" t="s">
        <v>38</v>
      </c>
      <c r="R105">
        <v>105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25">
      <c r="A106">
        <v>105</v>
      </c>
      <c r="B106" t="s">
        <v>300</v>
      </c>
      <c r="C106" t="s">
        <v>298</v>
      </c>
      <c r="D106" t="s">
        <v>77</v>
      </c>
      <c r="F106" t="s">
        <v>68</v>
      </c>
      <c r="G106" s="2">
        <v>46360</v>
      </c>
      <c r="H106" s="2">
        <v>46363</v>
      </c>
      <c r="I106">
        <v>104</v>
      </c>
      <c r="J106">
        <v>0</v>
      </c>
      <c r="L106" t="s">
        <v>79</v>
      </c>
      <c r="M106" t="s">
        <v>47</v>
      </c>
      <c r="N106" t="s">
        <v>276</v>
      </c>
      <c r="O106" t="s">
        <v>161</v>
      </c>
      <c r="P106" s="3">
        <v>46197</v>
      </c>
      <c r="Q106" t="s">
        <v>38</v>
      </c>
      <c r="R106">
        <v>106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25">
      <c r="A107">
        <v>106</v>
      </c>
      <c r="B107" t="s">
        <v>301</v>
      </c>
      <c r="C107" t="s">
        <v>298</v>
      </c>
      <c r="D107" t="s">
        <v>83</v>
      </c>
      <c r="F107" t="s">
        <v>73</v>
      </c>
      <c r="G107" s="2">
        <v>46364</v>
      </c>
      <c r="H107" s="2">
        <v>46364</v>
      </c>
      <c r="I107">
        <v>105</v>
      </c>
      <c r="J107">
        <v>0</v>
      </c>
      <c r="L107" t="s">
        <v>79</v>
      </c>
      <c r="M107" t="s">
        <v>47</v>
      </c>
      <c r="N107" t="s">
        <v>276</v>
      </c>
      <c r="O107" t="s">
        <v>163</v>
      </c>
      <c r="P107" s="3">
        <v>46198</v>
      </c>
      <c r="Q107" t="s">
        <v>38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>
        <v>107</v>
      </c>
      <c r="B108" t="s">
        <v>302</v>
      </c>
      <c r="C108" t="s">
        <v>43</v>
      </c>
      <c r="D108" t="s">
        <v>303</v>
      </c>
      <c r="F108" t="s">
        <v>304</v>
      </c>
      <c r="G108" s="2">
        <v>46181</v>
      </c>
      <c r="H108" s="2">
        <v>46374</v>
      </c>
      <c r="J108">
        <v>0.25</v>
      </c>
      <c r="L108" t="s">
        <v>34</v>
      </c>
      <c r="M108" t="s">
        <v>47</v>
      </c>
      <c r="N108" t="s">
        <v>305</v>
      </c>
      <c r="O108" t="s">
        <v>174</v>
      </c>
      <c r="P108" s="3">
        <v>46211</v>
      </c>
      <c r="Q108" t="s">
        <v>38</v>
      </c>
      <c r="U108">
        <v>0.25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>
        <v>108</v>
      </c>
      <c r="B109" t="s">
        <v>306</v>
      </c>
      <c r="C109" t="s">
        <v>307</v>
      </c>
      <c r="D109" t="s">
        <v>308</v>
      </c>
      <c r="E109" t="s">
        <v>140</v>
      </c>
      <c r="F109" t="s">
        <v>141</v>
      </c>
      <c r="G109" s="2">
        <v>46181</v>
      </c>
      <c r="H109" s="2">
        <v>46191</v>
      </c>
      <c r="J109">
        <v>0.8</v>
      </c>
      <c r="L109" t="s">
        <v>34</v>
      </c>
      <c r="M109" t="s">
        <v>47</v>
      </c>
      <c r="N109" t="s">
        <v>305</v>
      </c>
      <c r="O109" t="s">
        <v>142</v>
      </c>
      <c r="P109" s="3">
        <v>46192</v>
      </c>
      <c r="Q109" t="s">
        <v>38</v>
      </c>
      <c r="R109" t="s">
        <v>309</v>
      </c>
      <c r="U109">
        <v>0.8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25">
      <c r="A110">
        <v>109</v>
      </c>
      <c r="B110" t="s">
        <v>310</v>
      </c>
      <c r="C110" t="s">
        <v>311</v>
      </c>
      <c r="D110" t="s">
        <v>67</v>
      </c>
      <c r="F110" t="s">
        <v>191</v>
      </c>
      <c r="G110" s="2">
        <v>46181</v>
      </c>
      <c r="H110" s="2">
        <v>46188</v>
      </c>
      <c r="I110" t="s">
        <v>194</v>
      </c>
      <c r="J110">
        <v>1</v>
      </c>
      <c r="K110" s="3">
        <v>46188</v>
      </c>
      <c r="L110" t="s">
        <v>46</v>
      </c>
      <c r="M110" t="s">
        <v>47</v>
      </c>
      <c r="N110" t="s">
        <v>305</v>
      </c>
      <c r="O110" t="s">
        <v>142</v>
      </c>
      <c r="P110" s="3">
        <v>46188</v>
      </c>
      <c r="Q110" t="s">
        <v>38</v>
      </c>
      <c r="R110">
        <v>110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25">
      <c r="A111">
        <v>110</v>
      </c>
      <c r="B111" t="s">
        <v>312</v>
      </c>
      <c r="C111" t="s">
        <v>311</v>
      </c>
      <c r="D111" t="s">
        <v>72</v>
      </c>
      <c r="F111" t="s">
        <v>73</v>
      </c>
      <c r="G111" s="2">
        <v>46188</v>
      </c>
      <c r="H111" s="2">
        <v>46188</v>
      </c>
      <c r="I111">
        <v>109</v>
      </c>
      <c r="J111">
        <v>1</v>
      </c>
      <c r="K111" s="3">
        <v>46188</v>
      </c>
      <c r="L111" t="s">
        <v>46</v>
      </c>
      <c r="M111" t="s">
        <v>47</v>
      </c>
      <c r="N111" t="s">
        <v>305</v>
      </c>
      <c r="O111" t="s">
        <v>132</v>
      </c>
      <c r="P111" s="3">
        <v>46189</v>
      </c>
      <c r="Q111" t="s">
        <v>38</v>
      </c>
      <c r="R111">
        <v>111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>
        <v>111</v>
      </c>
      <c r="B112" t="s">
        <v>313</v>
      </c>
      <c r="C112" t="s">
        <v>311</v>
      </c>
      <c r="D112" t="s">
        <v>77</v>
      </c>
      <c r="F112" t="s">
        <v>68</v>
      </c>
      <c r="G112" s="2">
        <v>46189</v>
      </c>
      <c r="H112" s="2">
        <v>46190</v>
      </c>
      <c r="I112">
        <v>110</v>
      </c>
      <c r="J112">
        <v>0.5</v>
      </c>
      <c r="L112" t="s">
        <v>34</v>
      </c>
      <c r="M112" t="s">
        <v>47</v>
      </c>
      <c r="N112" t="s">
        <v>305</v>
      </c>
      <c r="O112" t="s">
        <v>149</v>
      </c>
      <c r="P112" s="3">
        <v>46191</v>
      </c>
      <c r="Q112" t="s">
        <v>38</v>
      </c>
      <c r="R112">
        <v>112</v>
      </c>
      <c r="U112">
        <v>0.5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>
        <v>112</v>
      </c>
      <c r="B113" t="s">
        <v>314</v>
      </c>
      <c r="C113" t="s">
        <v>311</v>
      </c>
      <c r="D113" t="s">
        <v>83</v>
      </c>
      <c r="F113" t="s">
        <v>73</v>
      </c>
      <c r="G113" s="2">
        <v>46191</v>
      </c>
      <c r="H113" s="2">
        <v>46191</v>
      </c>
      <c r="I113">
        <v>111</v>
      </c>
      <c r="J113">
        <v>0</v>
      </c>
      <c r="L113" t="s">
        <v>34</v>
      </c>
      <c r="M113" t="s">
        <v>47</v>
      </c>
      <c r="N113" t="s">
        <v>305</v>
      </c>
      <c r="O113" t="s">
        <v>151</v>
      </c>
      <c r="P113" s="3">
        <v>46192</v>
      </c>
      <c r="Q113" t="s">
        <v>38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</row>
    <row r="114" spans="1:32" x14ac:dyDescent="0.25">
      <c r="A114">
        <v>113</v>
      </c>
      <c r="B114" t="s">
        <v>315</v>
      </c>
      <c r="C114" t="s">
        <v>307</v>
      </c>
      <c r="D114" t="s">
        <v>316</v>
      </c>
      <c r="E114" t="s">
        <v>154</v>
      </c>
      <c r="F114" t="s">
        <v>317</v>
      </c>
      <c r="G114" s="2">
        <v>46360</v>
      </c>
      <c r="H114" s="2">
        <v>46374</v>
      </c>
      <c r="J114">
        <v>0</v>
      </c>
      <c r="L114" t="s">
        <v>79</v>
      </c>
      <c r="M114" t="s">
        <v>47</v>
      </c>
      <c r="N114" t="s">
        <v>305</v>
      </c>
      <c r="O114" t="s">
        <v>277</v>
      </c>
      <c r="P114" s="3">
        <v>46202</v>
      </c>
      <c r="Q114" t="s">
        <v>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>
        <v>114</v>
      </c>
      <c r="B115" t="s">
        <v>318</v>
      </c>
      <c r="C115" t="s">
        <v>319</v>
      </c>
      <c r="D115" t="s">
        <v>67</v>
      </c>
      <c r="F115" t="s">
        <v>110</v>
      </c>
      <c r="G115" s="2">
        <v>46360</v>
      </c>
      <c r="H115" s="2">
        <v>46370</v>
      </c>
      <c r="I115" t="s">
        <v>320</v>
      </c>
      <c r="J115">
        <v>0</v>
      </c>
      <c r="L115" t="s">
        <v>79</v>
      </c>
      <c r="M115" t="s">
        <v>47</v>
      </c>
      <c r="N115" t="s">
        <v>305</v>
      </c>
      <c r="O115" t="s">
        <v>277</v>
      </c>
      <c r="P115" s="3">
        <v>46196</v>
      </c>
      <c r="Q115" t="s">
        <v>38</v>
      </c>
      <c r="R115">
        <v>115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>
        <v>115</v>
      </c>
      <c r="B116" t="s">
        <v>321</v>
      </c>
      <c r="C116" t="s">
        <v>319</v>
      </c>
      <c r="D116" t="s">
        <v>72</v>
      </c>
      <c r="F116" t="s">
        <v>73</v>
      </c>
      <c r="G116" s="2">
        <v>46371</v>
      </c>
      <c r="H116" s="2">
        <v>46371</v>
      </c>
      <c r="I116">
        <v>114</v>
      </c>
      <c r="J116">
        <v>0</v>
      </c>
      <c r="L116" t="s">
        <v>79</v>
      </c>
      <c r="M116" t="s">
        <v>47</v>
      </c>
      <c r="N116" t="s">
        <v>305</v>
      </c>
      <c r="O116" t="s">
        <v>243</v>
      </c>
      <c r="P116" s="3">
        <v>46197</v>
      </c>
      <c r="Q116" t="s">
        <v>38</v>
      </c>
      <c r="R116">
        <v>116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>
        <v>116</v>
      </c>
      <c r="B117" t="s">
        <v>322</v>
      </c>
      <c r="C117" t="s">
        <v>319</v>
      </c>
      <c r="D117" t="s">
        <v>77</v>
      </c>
      <c r="F117" t="s">
        <v>68</v>
      </c>
      <c r="G117" s="2">
        <v>46372</v>
      </c>
      <c r="H117" s="2">
        <v>46373</v>
      </c>
      <c r="I117">
        <v>115</v>
      </c>
      <c r="J117">
        <v>0</v>
      </c>
      <c r="L117" t="s">
        <v>79</v>
      </c>
      <c r="M117" t="s">
        <v>47</v>
      </c>
      <c r="N117" t="s">
        <v>305</v>
      </c>
      <c r="O117" t="s">
        <v>163</v>
      </c>
      <c r="P117" s="3">
        <v>46199</v>
      </c>
      <c r="Q117" t="s">
        <v>38</v>
      </c>
      <c r="R117">
        <v>117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 x14ac:dyDescent="0.25">
      <c r="A118">
        <v>117</v>
      </c>
      <c r="B118" t="s">
        <v>323</v>
      </c>
      <c r="C118" t="s">
        <v>319</v>
      </c>
      <c r="D118" t="s">
        <v>83</v>
      </c>
      <c r="F118" t="s">
        <v>73</v>
      </c>
      <c r="G118" s="2">
        <v>46374</v>
      </c>
      <c r="H118" s="2">
        <v>46374</v>
      </c>
      <c r="I118">
        <v>116</v>
      </c>
      <c r="J118">
        <v>0</v>
      </c>
      <c r="L118" t="s">
        <v>79</v>
      </c>
      <c r="M118" t="s">
        <v>47</v>
      </c>
      <c r="N118" t="s">
        <v>305</v>
      </c>
      <c r="O118" t="s">
        <v>324</v>
      </c>
      <c r="P118" s="3">
        <v>46202</v>
      </c>
      <c r="Q118" t="s">
        <v>38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>
        <v>118</v>
      </c>
      <c r="B119" t="s">
        <v>325</v>
      </c>
      <c r="C119" t="s">
        <v>307</v>
      </c>
      <c r="D119" t="s">
        <v>326</v>
      </c>
      <c r="E119" t="s">
        <v>213</v>
      </c>
      <c r="F119" t="s">
        <v>317</v>
      </c>
      <c r="G119" s="2">
        <v>46360</v>
      </c>
      <c r="H119" s="2">
        <v>46374</v>
      </c>
      <c r="J119">
        <v>0</v>
      </c>
      <c r="L119" t="s">
        <v>79</v>
      </c>
      <c r="M119" t="s">
        <v>47</v>
      </c>
      <c r="N119" t="s">
        <v>305</v>
      </c>
      <c r="O119" t="s">
        <v>277</v>
      </c>
      <c r="P119" s="3">
        <v>46202</v>
      </c>
      <c r="Q119" t="s">
        <v>38</v>
      </c>
      <c r="S119" t="s">
        <v>214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 x14ac:dyDescent="0.25">
      <c r="A120">
        <v>119</v>
      </c>
      <c r="B120" t="s">
        <v>327</v>
      </c>
      <c r="C120" t="s">
        <v>328</v>
      </c>
      <c r="D120" t="s">
        <v>67</v>
      </c>
      <c r="F120" t="s">
        <v>110</v>
      </c>
      <c r="G120" s="2">
        <v>46360</v>
      </c>
      <c r="H120" s="2">
        <v>46370</v>
      </c>
      <c r="I120" t="s">
        <v>320</v>
      </c>
      <c r="J120">
        <v>0</v>
      </c>
      <c r="L120" t="s">
        <v>79</v>
      </c>
      <c r="M120" t="s">
        <v>47</v>
      </c>
      <c r="N120" t="s">
        <v>305</v>
      </c>
      <c r="O120" t="s">
        <v>277</v>
      </c>
      <c r="P120" s="3">
        <v>46196</v>
      </c>
      <c r="Q120" t="s">
        <v>38</v>
      </c>
      <c r="R120">
        <v>120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>
        <v>120</v>
      </c>
      <c r="B121" t="s">
        <v>329</v>
      </c>
      <c r="C121" t="s">
        <v>328</v>
      </c>
      <c r="D121" t="s">
        <v>72</v>
      </c>
      <c r="F121" t="s">
        <v>73</v>
      </c>
      <c r="G121" s="2">
        <v>46371</v>
      </c>
      <c r="H121" s="2">
        <v>46371</v>
      </c>
      <c r="I121">
        <v>119</v>
      </c>
      <c r="J121">
        <v>0</v>
      </c>
      <c r="L121" t="s">
        <v>79</v>
      </c>
      <c r="M121" t="s">
        <v>47</v>
      </c>
      <c r="N121" t="s">
        <v>305</v>
      </c>
      <c r="O121" t="s">
        <v>243</v>
      </c>
      <c r="P121" s="3">
        <v>46197</v>
      </c>
      <c r="Q121" t="s">
        <v>38</v>
      </c>
      <c r="R121">
        <v>121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>
        <v>121</v>
      </c>
      <c r="B122" t="s">
        <v>330</v>
      </c>
      <c r="C122" t="s">
        <v>328</v>
      </c>
      <c r="D122" t="s">
        <v>77</v>
      </c>
      <c r="F122" t="s">
        <v>68</v>
      </c>
      <c r="G122" s="2">
        <v>46372</v>
      </c>
      <c r="H122" s="2">
        <v>46373</v>
      </c>
      <c r="I122">
        <v>120</v>
      </c>
      <c r="J122">
        <v>0</v>
      </c>
      <c r="L122" t="s">
        <v>79</v>
      </c>
      <c r="M122" t="s">
        <v>47</v>
      </c>
      <c r="N122" t="s">
        <v>305</v>
      </c>
      <c r="O122" t="s">
        <v>163</v>
      </c>
      <c r="P122" s="3">
        <v>46199</v>
      </c>
      <c r="Q122" t="s">
        <v>38</v>
      </c>
      <c r="R122">
        <v>122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>
        <v>122</v>
      </c>
      <c r="B123" t="s">
        <v>331</v>
      </c>
      <c r="C123" t="s">
        <v>328</v>
      </c>
      <c r="D123" t="s">
        <v>83</v>
      </c>
      <c r="F123" t="s">
        <v>73</v>
      </c>
      <c r="G123" s="2">
        <v>46374</v>
      </c>
      <c r="H123" s="2">
        <v>46374</v>
      </c>
      <c r="I123">
        <v>121</v>
      </c>
      <c r="J123">
        <v>0</v>
      </c>
      <c r="L123" t="s">
        <v>79</v>
      </c>
      <c r="M123" t="s">
        <v>47</v>
      </c>
      <c r="N123" t="s">
        <v>305</v>
      </c>
      <c r="O123" t="s">
        <v>324</v>
      </c>
      <c r="P123" s="3">
        <v>46202</v>
      </c>
      <c r="Q123" t="s">
        <v>38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 x14ac:dyDescent="0.25">
      <c r="A124">
        <v>123</v>
      </c>
      <c r="B124" t="s">
        <v>332</v>
      </c>
      <c r="C124" t="s">
        <v>43</v>
      </c>
      <c r="D124" t="s">
        <v>333</v>
      </c>
      <c r="F124" t="s">
        <v>334</v>
      </c>
      <c r="G124" s="2">
        <v>46170</v>
      </c>
      <c r="H124" s="2">
        <v>46349</v>
      </c>
      <c r="J124">
        <v>0.18</v>
      </c>
      <c r="L124" t="s">
        <v>34</v>
      </c>
      <c r="M124" t="s">
        <v>47</v>
      </c>
      <c r="N124" t="s">
        <v>335</v>
      </c>
      <c r="O124" t="s">
        <v>172</v>
      </c>
      <c r="P124" s="3">
        <v>46211</v>
      </c>
      <c r="Q124" t="s">
        <v>38</v>
      </c>
      <c r="U124">
        <v>0.18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>
        <v>124</v>
      </c>
      <c r="B125" t="s">
        <v>336</v>
      </c>
      <c r="C125" t="s">
        <v>337</v>
      </c>
      <c r="D125" t="s">
        <v>338</v>
      </c>
      <c r="E125" t="s">
        <v>140</v>
      </c>
      <c r="F125" t="s">
        <v>167</v>
      </c>
      <c r="G125" s="2">
        <v>46170</v>
      </c>
      <c r="H125" s="2">
        <v>46176</v>
      </c>
      <c r="J125">
        <v>0.5</v>
      </c>
      <c r="L125" t="s">
        <v>34</v>
      </c>
      <c r="M125" t="s">
        <v>47</v>
      </c>
      <c r="N125" t="s">
        <v>335</v>
      </c>
      <c r="O125" t="s">
        <v>142</v>
      </c>
      <c r="P125" s="3">
        <v>46192</v>
      </c>
      <c r="Q125" t="s">
        <v>38</v>
      </c>
      <c r="U125">
        <v>0.5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>
        <v>125</v>
      </c>
      <c r="B126" t="s">
        <v>339</v>
      </c>
      <c r="C126" t="s">
        <v>340</v>
      </c>
      <c r="D126" t="s">
        <v>67</v>
      </c>
      <c r="F126" t="s">
        <v>45</v>
      </c>
      <c r="G126" s="2">
        <v>46170</v>
      </c>
      <c r="H126" s="2">
        <v>46170</v>
      </c>
      <c r="I126" t="s">
        <v>194</v>
      </c>
      <c r="J126">
        <v>1</v>
      </c>
      <c r="K126" s="3">
        <v>46170</v>
      </c>
      <c r="L126" t="s">
        <v>46</v>
      </c>
      <c r="M126" t="s">
        <v>47</v>
      </c>
      <c r="N126" t="s">
        <v>335</v>
      </c>
      <c r="O126" t="s">
        <v>142</v>
      </c>
      <c r="P126" s="3">
        <v>46188</v>
      </c>
      <c r="Q126" t="s">
        <v>38</v>
      </c>
      <c r="R126" t="s">
        <v>341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 spans="1:32" x14ac:dyDescent="0.25">
      <c r="A127">
        <v>126</v>
      </c>
      <c r="B127" t="s">
        <v>342</v>
      </c>
      <c r="C127" t="s">
        <v>340</v>
      </c>
      <c r="D127" t="s">
        <v>72</v>
      </c>
      <c r="F127" t="s">
        <v>73</v>
      </c>
      <c r="G127" s="2">
        <v>46171</v>
      </c>
      <c r="H127" s="2">
        <v>46171</v>
      </c>
      <c r="I127">
        <v>125</v>
      </c>
      <c r="J127">
        <v>1</v>
      </c>
      <c r="K127" s="3">
        <v>46171</v>
      </c>
      <c r="L127" t="s">
        <v>46</v>
      </c>
      <c r="M127" t="s">
        <v>47</v>
      </c>
      <c r="N127" t="s">
        <v>335</v>
      </c>
      <c r="O127" t="s">
        <v>132</v>
      </c>
      <c r="P127" s="3">
        <v>46189</v>
      </c>
      <c r="Q127" t="s">
        <v>38</v>
      </c>
      <c r="R127">
        <v>127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 x14ac:dyDescent="0.25">
      <c r="A128">
        <v>127</v>
      </c>
      <c r="B128" t="s">
        <v>343</v>
      </c>
      <c r="C128" t="s">
        <v>340</v>
      </c>
      <c r="D128" t="s">
        <v>77</v>
      </c>
      <c r="F128" t="s">
        <v>68</v>
      </c>
      <c r="G128" s="2">
        <v>46174</v>
      </c>
      <c r="H128" s="2">
        <v>46175</v>
      </c>
      <c r="I128">
        <v>126</v>
      </c>
      <c r="J128">
        <v>0.5</v>
      </c>
      <c r="L128" t="s">
        <v>34</v>
      </c>
      <c r="M128" t="s">
        <v>47</v>
      </c>
      <c r="N128" t="s">
        <v>335</v>
      </c>
      <c r="O128" t="s">
        <v>149</v>
      </c>
      <c r="P128" s="3">
        <v>46191</v>
      </c>
      <c r="Q128" t="s">
        <v>38</v>
      </c>
      <c r="R128">
        <v>128</v>
      </c>
      <c r="U128">
        <v>0.5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 x14ac:dyDescent="0.25">
      <c r="A129">
        <v>128</v>
      </c>
      <c r="B129" t="s">
        <v>344</v>
      </c>
      <c r="C129" t="s">
        <v>340</v>
      </c>
      <c r="D129" t="s">
        <v>83</v>
      </c>
      <c r="F129" t="s">
        <v>73</v>
      </c>
      <c r="G129" s="2">
        <v>46176</v>
      </c>
      <c r="H129" s="2">
        <v>46176</v>
      </c>
      <c r="I129">
        <v>127</v>
      </c>
      <c r="J129">
        <v>0</v>
      </c>
      <c r="L129" t="s">
        <v>34</v>
      </c>
      <c r="M129" t="s">
        <v>47</v>
      </c>
      <c r="N129" t="s">
        <v>335</v>
      </c>
      <c r="O129" t="s">
        <v>151</v>
      </c>
      <c r="P129" s="3">
        <v>46192</v>
      </c>
      <c r="Q129" t="s">
        <v>38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</row>
    <row r="130" spans="1:32" x14ac:dyDescent="0.25">
      <c r="A130">
        <v>129</v>
      </c>
      <c r="B130" t="s">
        <v>345</v>
      </c>
      <c r="C130" t="s">
        <v>337</v>
      </c>
      <c r="D130" t="s">
        <v>346</v>
      </c>
      <c r="E130" t="s">
        <v>154</v>
      </c>
      <c r="F130" t="s">
        <v>110</v>
      </c>
      <c r="G130" s="2">
        <v>46339</v>
      </c>
      <c r="H130" s="2">
        <v>46349</v>
      </c>
      <c r="J130">
        <v>0</v>
      </c>
      <c r="L130" t="s">
        <v>79</v>
      </c>
      <c r="M130" t="s">
        <v>47</v>
      </c>
      <c r="N130" t="s">
        <v>335</v>
      </c>
      <c r="O130" t="s">
        <v>347</v>
      </c>
      <c r="P130" s="3">
        <v>46174</v>
      </c>
      <c r="Q130" t="s">
        <v>38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>
        <v>130</v>
      </c>
      <c r="B131" t="s">
        <v>348</v>
      </c>
      <c r="C131" t="s">
        <v>349</v>
      </c>
      <c r="D131" t="s">
        <v>67</v>
      </c>
      <c r="F131" t="s">
        <v>92</v>
      </c>
      <c r="G131" s="2">
        <v>46339</v>
      </c>
      <c r="H131" s="2">
        <v>46343</v>
      </c>
      <c r="I131" t="s">
        <v>350</v>
      </c>
      <c r="J131">
        <v>0</v>
      </c>
      <c r="L131" t="s">
        <v>79</v>
      </c>
      <c r="M131" t="s">
        <v>47</v>
      </c>
      <c r="N131" t="s">
        <v>335</v>
      </c>
      <c r="O131" t="s">
        <v>347</v>
      </c>
      <c r="P131" s="3">
        <v>46168</v>
      </c>
      <c r="Q131" t="s">
        <v>38</v>
      </c>
      <c r="R131">
        <v>131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</row>
    <row r="132" spans="1:32" x14ac:dyDescent="0.25">
      <c r="A132">
        <v>131</v>
      </c>
      <c r="B132" t="s">
        <v>351</v>
      </c>
      <c r="C132" t="s">
        <v>349</v>
      </c>
      <c r="D132" t="s">
        <v>72</v>
      </c>
      <c r="F132" t="s">
        <v>73</v>
      </c>
      <c r="G132" s="2">
        <v>46344</v>
      </c>
      <c r="H132" s="2">
        <v>46344</v>
      </c>
      <c r="I132">
        <v>130</v>
      </c>
      <c r="J132">
        <v>0</v>
      </c>
      <c r="L132" t="s">
        <v>79</v>
      </c>
      <c r="M132" t="s">
        <v>47</v>
      </c>
      <c r="N132" t="s">
        <v>335</v>
      </c>
      <c r="O132" t="s">
        <v>352</v>
      </c>
      <c r="P132" s="3">
        <v>46169</v>
      </c>
      <c r="Q132" t="s">
        <v>38</v>
      </c>
      <c r="R132">
        <v>132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>
        <v>132</v>
      </c>
      <c r="B133" t="s">
        <v>353</v>
      </c>
      <c r="C133" t="s">
        <v>349</v>
      </c>
      <c r="D133" t="s">
        <v>77</v>
      </c>
      <c r="F133" t="s">
        <v>68</v>
      </c>
      <c r="G133" s="2">
        <v>46345</v>
      </c>
      <c r="H133" s="2">
        <v>46346</v>
      </c>
      <c r="I133">
        <v>131</v>
      </c>
      <c r="J133">
        <v>0</v>
      </c>
      <c r="L133" t="s">
        <v>79</v>
      </c>
      <c r="M133" t="s">
        <v>47</v>
      </c>
      <c r="N133" t="s">
        <v>335</v>
      </c>
      <c r="O133" t="s">
        <v>206</v>
      </c>
      <c r="P133" s="3">
        <v>46171</v>
      </c>
      <c r="Q133" t="s">
        <v>38</v>
      </c>
      <c r="R133">
        <v>133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>
        <v>133</v>
      </c>
      <c r="B134" t="s">
        <v>354</v>
      </c>
      <c r="C134" t="s">
        <v>349</v>
      </c>
      <c r="D134" t="s">
        <v>83</v>
      </c>
      <c r="F134" t="s">
        <v>73</v>
      </c>
      <c r="G134" s="2">
        <v>46349</v>
      </c>
      <c r="H134" s="2">
        <v>46349</v>
      </c>
      <c r="I134">
        <v>132</v>
      </c>
      <c r="J134">
        <v>0</v>
      </c>
      <c r="L134" t="s">
        <v>79</v>
      </c>
      <c r="M134" t="s">
        <v>47</v>
      </c>
      <c r="N134" t="s">
        <v>335</v>
      </c>
      <c r="O134" t="s">
        <v>355</v>
      </c>
      <c r="P134" s="3">
        <v>46174</v>
      </c>
      <c r="Q134" t="s">
        <v>38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>
        <v>134</v>
      </c>
      <c r="B135" t="s">
        <v>356</v>
      </c>
      <c r="C135" t="s">
        <v>43</v>
      </c>
      <c r="D135" t="s">
        <v>357</v>
      </c>
      <c r="F135" t="s">
        <v>45</v>
      </c>
      <c r="G135" s="2">
        <v>46269</v>
      </c>
      <c r="H135" s="2">
        <v>46269</v>
      </c>
      <c r="J135">
        <v>0</v>
      </c>
      <c r="L135" t="s">
        <v>79</v>
      </c>
      <c r="M135" t="s">
        <v>47</v>
      </c>
      <c r="N135" t="s">
        <v>358</v>
      </c>
      <c r="O135" t="s">
        <v>159</v>
      </c>
      <c r="P135" s="3">
        <v>46211</v>
      </c>
      <c r="Q135" t="s">
        <v>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>
        <v>135</v>
      </c>
      <c r="B136" t="s">
        <v>359</v>
      </c>
      <c r="C136" t="s">
        <v>360</v>
      </c>
      <c r="D136" t="s">
        <v>361</v>
      </c>
      <c r="F136" t="s">
        <v>45</v>
      </c>
      <c r="G136" s="2">
        <v>46269</v>
      </c>
      <c r="H136" s="2">
        <v>46269</v>
      </c>
      <c r="I136" t="s">
        <v>362</v>
      </c>
      <c r="J136">
        <v>0</v>
      </c>
      <c r="L136" t="s">
        <v>79</v>
      </c>
      <c r="M136" t="s">
        <v>47</v>
      </c>
      <c r="N136" t="s">
        <v>358</v>
      </c>
      <c r="O136" t="s">
        <v>363</v>
      </c>
      <c r="P136" s="3">
        <v>46272</v>
      </c>
      <c r="Q136" t="s">
        <v>38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B1" zoomScale="69" workbookViewId="0">
      <selection activeCell="J40" sqref="J40"/>
    </sheetView>
  </sheetViews>
  <sheetFormatPr defaultRowHeight="15" x14ac:dyDescent="0.25"/>
  <cols>
    <col min="1" max="1" width="36.42578125" style="11" bestFit="1" customWidth="1"/>
    <col min="2" max="2" width="33.28515625" style="11" bestFit="1" customWidth="1"/>
    <col min="3" max="3" width="36.85546875" style="11" bestFit="1" customWidth="1"/>
    <col min="4" max="4" width="31.140625" style="11" bestFit="1" customWidth="1"/>
    <col min="5" max="5" width="41.5703125" style="11" bestFit="1" customWidth="1"/>
    <col min="6" max="6" width="49.85546875" style="11" bestFit="1" customWidth="1"/>
    <col min="7" max="7" width="30" style="11" bestFit="1" customWidth="1"/>
    <col min="8" max="8" width="10.42578125" style="11" bestFit="1" customWidth="1"/>
    <col min="9" max="16384" width="9.140625" style="11"/>
  </cols>
  <sheetData>
    <row r="1" spans="1:8" x14ac:dyDescent="0.25">
      <c r="A1" s="11" t="s">
        <v>364</v>
      </c>
      <c r="B1" s="11">
        <v>24</v>
      </c>
    </row>
    <row r="2" spans="1:8" x14ac:dyDescent="0.25">
      <c r="A2" s="11" t="s">
        <v>365</v>
      </c>
      <c r="B2" s="12">
        <v>0.39130434782608697</v>
      </c>
    </row>
    <row r="3" spans="1:8" x14ac:dyDescent="0.25">
      <c r="A3" s="11" t="s">
        <v>13</v>
      </c>
      <c r="B3" s="11" t="s">
        <v>21</v>
      </c>
      <c r="C3" s="11" t="s">
        <v>22</v>
      </c>
      <c r="D3" s="11" t="s">
        <v>366</v>
      </c>
      <c r="E3" s="11" t="s">
        <v>25</v>
      </c>
      <c r="F3" s="11" t="s">
        <v>27</v>
      </c>
      <c r="G3" s="11" t="s">
        <v>29</v>
      </c>
      <c r="H3" s="11" t="s">
        <v>367</v>
      </c>
    </row>
    <row r="4" spans="1:8" x14ac:dyDescent="0.25">
      <c r="A4" s="11" t="s">
        <v>335</v>
      </c>
      <c r="B4" s="11">
        <v>2</v>
      </c>
      <c r="C4" s="11">
        <v>1</v>
      </c>
      <c r="D4" s="12">
        <v>0.5</v>
      </c>
      <c r="E4" s="11">
        <v>0</v>
      </c>
      <c r="F4" s="11">
        <v>0</v>
      </c>
      <c r="G4" s="11">
        <v>0</v>
      </c>
      <c r="H4" s="12">
        <v>0</v>
      </c>
    </row>
    <row r="5" spans="1:8" x14ac:dyDescent="0.25">
      <c r="A5" s="11" t="s">
        <v>358</v>
      </c>
      <c r="B5" s="11">
        <v>0</v>
      </c>
      <c r="C5" s="11">
        <v>0</v>
      </c>
      <c r="D5" s="12">
        <v>0</v>
      </c>
      <c r="E5" s="11">
        <v>0</v>
      </c>
      <c r="F5" s="11">
        <v>0</v>
      </c>
      <c r="G5" s="11">
        <v>0</v>
      </c>
      <c r="H5" s="12">
        <v>0</v>
      </c>
    </row>
    <row r="6" spans="1:8" x14ac:dyDescent="0.25">
      <c r="A6" s="11" t="s">
        <v>105</v>
      </c>
      <c r="B6" s="11">
        <v>2</v>
      </c>
      <c r="C6" s="11">
        <v>2</v>
      </c>
      <c r="D6" s="12">
        <v>1</v>
      </c>
      <c r="E6" s="11">
        <v>0</v>
      </c>
      <c r="F6" s="11">
        <v>0</v>
      </c>
      <c r="G6" s="11">
        <v>0</v>
      </c>
      <c r="H6" s="12">
        <v>0</v>
      </c>
    </row>
    <row r="7" spans="1:8" x14ac:dyDescent="0.25">
      <c r="A7" s="11" t="s">
        <v>305</v>
      </c>
      <c r="B7" s="11">
        <v>3</v>
      </c>
      <c r="C7" s="11">
        <v>1</v>
      </c>
      <c r="D7" s="12">
        <v>0.33333333333333331</v>
      </c>
      <c r="E7" s="11">
        <v>0</v>
      </c>
      <c r="F7" s="11">
        <v>0</v>
      </c>
      <c r="G7" s="11">
        <v>0</v>
      </c>
      <c r="H7" s="12">
        <v>0</v>
      </c>
    </row>
    <row r="8" spans="1:8" x14ac:dyDescent="0.25">
      <c r="A8" s="11" t="s">
        <v>276</v>
      </c>
      <c r="B8" s="11">
        <v>3</v>
      </c>
      <c r="C8" s="11">
        <v>0</v>
      </c>
      <c r="D8" s="12">
        <v>0</v>
      </c>
      <c r="E8" s="11">
        <v>0</v>
      </c>
      <c r="F8" s="11">
        <v>0</v>
      </c>
      <c r="G8" s="11">
        <v>0</v>
      </c>
      <c r="H8" s="12">
        <v>0</v>
      </c>
    </row>
    <row r="9" spans="1:8" x14ac:dyDescent="0.25">
      <c r="A9" s="11" t="s">
        <v>36</v>
      </c>
      <c r="B9" s="11">
        <v>0</v>
      </c>
      <c r="C9" s="11">
        <v>0</v>
      </c>
      <c r="D9" s="12">
        <v>0</v>
      </c>
      <c r="E9" s="11">
        <v>0</v>
      </c>
      <c r="F9" s="11">
        <v>0</v>
      </c>
      <c r="G9" s="11">
        <v>0</v>
      </c>
      <c r="H9" s="12">
        <v>0</v>
      </c>
    </row>
    <row r="10" spans="1:8" x14ac:dyDescent="0.25">
      <c r="A10" s="11" t="s">
        <v>187</v>
      </c>
      <c r="B10" s="11">
        <v>3</v>
      </c>
      <c r="C10" s="11">
        <v>1</v>
      </c>
      <c r="D10" s="12">
        <v>0.33333333333333331</v>
      </c>
      <c r="E10" s="11">
        <v>0</v>
      </c>
      <c r="F10" s="11">
        <v>0</v>
      </c>
      <c r="G10" s="11">
        <v>0</v>
      </c>
      <c r="H10" s="12">
        <v>0</v>
      </c>
    </row>
    <row r="11" spans="1:8" x14ac:dyDescent="0.25">
      <c r="A11" s="11" t="s">
        <v>51</v>
      </c>
      <c r="B11" s="11">
        <v>0</v>
      </c>
      <c r="C11" s="11">
        <v>0</v>
      </c>
      <c r="D11" s="12">
        <v>0</v>
      </c>
      <c r="E11" s="11">
        <v>0</v>
      </c>
      <c r="F11" s="11">
        <v>0</v>
      </c>
      <c r="G11" s="11">
        <v>0</v>
      </c>
      <c r="H11" s="12">
        <v>0</v>
      </c>
    </row>
    <row r="12" spans="1:8" x14ac:dyDescent="0.25">
      <c r="A12" s="11" t="s">
        <v>59</v>
      </c>
      <c r="B12" s="11">
        <v>2</v>
      </c>
      <c r="C12" s="11">
        <v>2</v>
      </c>
      <c r="D12" s="12">
        <v>1</v>
      </c>
      <c r="E12" s="11">
        <v>0</v>
      </c>
      <c r="F12" s="11">
        <v>0</v>
      </c>
      <c r="G12" s="11">
        <v>0</v>
      </c>
      <c r="H12" s="12">
        <v>0</v>
      </c>
    </row>
    <row r="13" spans="1:8" x14ac:dyDescent="0.25">
      <c r="A13" s="11" t="s">
        <v>136</v>
      </c>
      <c r="B13" s="11">
        <v>4</v>
      </c>
      <c r="C13" s="11">
        <v>2</v>
      </c>
      <c r="D13" s="12">
        <v>0.5</v>
      </c>
      <c r="E13" s="11">
        <v>0</v>
      </c>
      <c r="F13" s="11">
        <v>0</v>
      </c>
      <c r="G13" s="11">
        <v>0</v>
      </c>
      <c r="H13" s="12">
        <v>0</v>
      </c>
    </row>
    <row r="14" spans="1:8" x14ac:dyDescent="0.25">
      <c r="A14" s="11" t="s">
        <v>223</v>
      </c>
      <c r="B14" s="11">
        <v>5</v>
      </c>
      <c r="C14" s="11">
        <v>1</v>
      </c>
      <c r="D14" s="12">
        <v>0.2</v>
      </c>
      <c r="E14" s="11">
        <v>0</v>
      </c>
      <c r="F14" s="11">
        <v>0</v>
      </c>
      <c r="G14" s="11">
        <v>1</v>
      </c>
      <c r="H14" s="12">
        <v>0.2</v>
      </c>
    </row>
    <row r="15" spans="1:8" x14ac:dyDescent="0.25">
      <c r="A15" s="13" t="s">
        <v>383</v>
      </c>
      <c r="B15" s="13">
        <f>SUBTOTAL(109,Tabela4[Emissão inicial total])</f>
        <v>24</v>
      </c>
      <c r="C15" s="13">
        <f>SUBTOTAL(109,Tabela4[Emissão inicial concluída])</f>
        <v>10</v>
      </c>
      <c r="D15" s="14"/>
      <c r="E15" s="13">
        <f>SUBTOTAL(109,Tabela4[Avaliação do cliente concluída])</f>
        <v>0</v>
      </c>
      <c r="F15" s="13">
        <f>SUBTOTAL(109,Tabela4[Atendimento de comentário concluído])</f>
        <v>0</v>
      </c>
      <c r="G15" s="13">
        <f>SUBTOTAL(109,Tabela4[Aprovação concluída])</f>
        <v>1</v>
      </c>
      <c r="H15" s="14"/>
    </row>
    <row r="20" spans="1:5" x14ac:dyDescent="0.25">
      <c r="A20" s="11" t="s">
        <v>13</v>
      </c>
      <c r="B20" s="11" t="s">
        <v>23</v>
      </c>
      <c r="C20" s="11" t="s">
        <v>26</v>
      </c>
      <c r="D20" s="11" t="s">
        <v>28</v>
      </c>
      <c r="E20" s="11" t="s">
        <v>30</v>
      </c>
    </row>
    <row r="21" spans="1:5" x14ac:dyDescent="0.25">
      <c r="A21" s="11" t="s">
        <v>335</v>
      </c>
      <c r="B21" s="11">
        <v>0</v>
      </c>
      <c r="C21" s="11">
        <v>0</v>
      </c>
      <c r="D21" s="11">
        <v>0</v>
      </c>
      <c r="E21" s="11">
        <v>1</v>
      </c>
    </row>
    <row r="22" spans="1:5" x14ac:dyDescent="0.25">
      <c r="A22" s="11" t="s">
        <v>358</v>
      </c>
      <c r="B22" s="11">
        <v>0</v>
      </c>
      <c r="C22" s="11">
        <v>0</v>
      </c>
      <c r="D22" s="11">
        <v>0</v>
      </c>
      <c r="E22" s="11">
        <v>0</v>
      </c>
    </row>
    <row r="23" spans="1:5" x14ac:dyDescent="0.25">
      <c r="A23" s="11" t="s">
        <v>105</v>
      </c>
      <c r="B23" s="11">
        <v>0</v>
      </c>
      <c r="C23" s="11">
        <v>0</v>
      </c>
      <c r="D23" s="11">
        <v>0</v>
      </c>
      <c r="E23" s="11">
        <v>0</v>
      </c>
    </row>
    <row r="24" spans="1:5" x14ac:dyDescent="0.25">
      <c r="A24" s="11" t="s">
        <v>305</v>
      </c>
      <c r="B24" s="11">
        <v>0</v>
      </c>
      <c r="C24" s="11">
        <v>0</v>
      </c>
      <c r="D24" s="11">
        <v>0</v>
      </c>
      <c r="E24" s="11">
        <v>1</v>
      </c>
    </row>
    <row r="25" spans="1:5" x14ac:dyDescent="0.25">
      <c r="A25" s="11" t="s">
        <v>276</v>
      </c>
      <c r="B25" s="11">
        <v>1</v>
      </c>
      <c r="C25" s="11">
        <v>0</v>
      </c>
      <c r="D25" s="11">
        <v>0</v>
      </c>
      <c r="E25" s="11">
        <v>1</v>
      </c>
    </row>
    <row r="26" spans="1:5" x14ac:dyDescent="0.25">
      <c r="A26" s="11" t="s">
        <v>36</v>
      </c>
      <c r="B26" s="11">
        <v>0</v>
      </c>
      <c r="C26" s="11">
        <v>0</v>
      </c>
      <c r="D26" s="11">
        <v>0</v>
      </c>
      <c r="E26" s="11">
        <v>0</v>
      </c>
    </row>
    <row r="27" spans="1:5" x14ac:dyDescent="0.25">
      <c r="A27" s="11" t="s">
        <v>187</v>
      </c>
      <c r="B27" s="11">
        <v>0</v>
      </c>
      <c r="C27" s="11">
        <v>0</v>
      </c>
      <c r="D27" s="11">
        <v>0</v>
      </c>
      <c r="E27" s="11">
        <v>1</v>
      </c>
    </row>
    <row r="28" spans="1:5" x14ac:dyDescent="0.25">
      <c r="A28" s="11" t="s">
        <v>51</v>
      </c>
      <c r="B28" s="11">
        <v>0</v>
      </c>
      <c r="C28" s="11">
        <v>0</v>
      </c>
      <c r="D28" s="11">
        <v>0</v>
      </c>
      <c r="E28" s="11">
        <v>0</v>
      </c>
    </row>
    <row r="29" spans="1:5" x14ac:dyDescent="0.25">
      <c r="A29" s="11" t="s">
        <v>59</v>
      </c>
      <c r="B29" s="11">
        <v>0</v>
      </c>
      <c r="C29" s="11">
        <v>0</v>
      </c>
      <c r="D29" s="11">
        <v>0</v>
      </c>
      <c r="E29" s="11">
        <v>0</v>
      </c>
    </row>
    <row r="30" spans="1:5" x14ac:dyDescent="0.25">
      <c r="A30" s="11" t="s">
        <v>136</v>
      </c>
      <c r="B30" s="11">
        <v>1</v>
      </c>
      <c r="C30" s="11">
        <v>0</v>
      </c>
      <c r="D30" s="11">
        <v>0</v>
      </c>
      <c r="E30" s="11">
        <v>2</v>
      </c>
    </row>
    <row r="31" spans="1:5" x14ac:dyDescent="0.25">
      <c r="A31" s="11" t="s">
        <v>223</v>
      </c>
      <c r="B31" s="11">
        <v>0</v>
      </c>
      <c r="C31" s="11">
        <v>0</v>
      </c>
      <c r="D31" s="11">
        <v>0</v>
      </c>
      <c r="E31" s="11">
        <v>0</v>
      </c>
    </row>
    <row r="32" spans="1:5" x14ac:dyDescent="0.25">
      <c r="A32" s="13" t="s">
        <v>383</v>
      </c>
      <c r="B32" s="13">
        <f>SUBTOTAL(109,Tabela3[Emissão Inicial Atrasada])</f>
        <v>2</v>
      </c>
      <c r="C32" s="13">
        <f>SUBTOTAL(109,Tabela3[Avaliação Cliente Atrasada])</f>
        <v>0</v>
      </c>
      <c r="D32" s="13">
        <f>SUBTOTAL(109,Tabela3[Atendimento Atrasado])</f>
        <v>0</v>
      </c>
      <c r="E32" s="13">
        <f>SUBTOTAL(109,Tabela3[Aprovação Atrasada])</f>
        <v>6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77"/>
  <sheetViews>
    <sheetView topLeftCell="K3" workbookViewId="0">
      <selection activeCell="W65" sqref="W65"/>
    </sheetView>
  </sheetViews>
  <sheetFormatPr defaultColWidth="11.5703125" defaultRowHeight="15" x14ac:dyDescent="0.25"/>
  <cols>
    <col min="1" max="1" width="11.5703125" style="5"/>
    <col min="2" max="16384" width="11.5703125" style="4"/>
  </cols>
  <sheetData>
    <row r="1" spans="1:15" ht="60" x14ac:dyDescent="0.25">
      <c r="A1" s="5" t="s">
        <v>368</v>
      </c>
      <c r="B1" s="4" t="s">
        <v>369</v>
      </c>
      <c r="C1" s="4" t="s">
        <v>370</v>
      </c>
      <c r="D1" s="4" t="s">
        <v>371</v>
      </c>
      <c r="E1" s="4" t="s">
        <v>372</v>
      </c>
      <c r="F1" s="4" t="s">
        <v>373</v>
      </c>
      <c r="G1" s="4" t="s">
        <v>374</v>
      </c>
      <c r="H1" s="4" t="s">
        <v>375</v>
      </c>
      <c r="I1" s="4" t="s">
        <v>376</v>
      </c>
      <c r="J1" s="4" t="s">
        <v>377</v>
      </c>
      <c r="K1" s="4" t="s">
        <v>378</v>
      </c>
      <c r="L1" s="4" t="s">
        <v>379</v>
      </c>
      <c r="M1" s="4" t="s">
        <v>380</v>
      </c>
      <c r="N1" s="4" t="s">
        <v>381</v>
      </c>
      <c r="O1" s="4" t="s">
        <v>382</v>
      </c>
    </row>
    <row r="2" spans="1:15" x14ac:dyDescent="0.25">
      <c r="A2" s="5">
        <v>46101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9">
        <v>0</v>
      </c>
      <c r="K2" s="9">
        <v>0</v>
      </c>
      <c r="L2" s="4">
        <v>0</v>
      </c>
      <c r="M2" s="9">
        <v>0</v>
      </c>
      <c r="N2" s="9">
        <v>0</v>
      </c>
      <c r="O2" s="4">
        <v>0</v>
      </c>
    </row>
    <row r="3" spans="1:15" x14ac:dyDescent="0.25">
      <c r="A3" s="5">
        <v>46102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9">
        <v>0</v>
      </c>
      <c r="K3" s="9">
        <v>0</v>
      </c>
      <c r="L3" s="4">
        <v>0</v>
      </c>
      <c r="M3" s="9">
        <v>0</v>
      </c>
      <c r="N3" s="9">
        <v>0</v>
      </c>
      <c r="O3" s="4">
        <v>0</v>
      </c>
    </row>
    <row r="4" spans="1:15" x14ac:dyDescent="0.25">
      <c r="A4" s="5">
        <v>46103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9">
        <v>0</v>
      </c>
      <c r="K4" s="9">
        <v>0</v>
      </c>
      <c r="L4" s="4">
        <v>0</v>
      </c>
      <c r="M4" s="9">
        <v>0</v>
      </c>
      <c r="N4" s="9">
        <v>0</v>
      </c>
      <c r="O4" s="4">
        <v>0</v>
      </c>
    </row>
    <row r="5" spans="1:15" x14ac:dyDescent="0.25">
      <c r="A5" s="5">
        <v>46104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9">
        <v>0</v>
      </c>
      <c r="K5" s="9">
        <v>0</v>
      </c>
      <c r="L5" s="4">
        <v>0</v>
      </c>
      <c r="M5" s="9">
        <v>0</v>
      </c>
      <c r="N5" s="9">
        <v>0</v>
      </c>
      <c r="O5" s="4">
        <v>0</v>
      </c>
    </row>
    <row r="6" spans="1:15" x14ac:dyDescent="0.25">
      <c r="A6" s="5">
        <v>46105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9">
        <v>0</v>
      </c>
      <c r="K6" s="9">
        <v>0</v>
      </c>
      <c r="L6" s="4">
        <v>0</v>
      </c>
      <c r="M6" s="9">
        <v>0</v>
      </c>
      <c r="N6" s="9">
        <v>0</v>
      </c>
      <c r="O6" s="4">
        <v>0</v>
      </c>
    </row>
    <row r="7" spans="1:15" x14ac:dyDescent="0.25">
      <c r="A7" s="5">
        <v>46106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9">
        <v>0</v>
      </c>
      <c r="K7" s="9">
        <v>0</v>
      </c>
      <c r="L7" s="4">
        <v>0</v>
      </c>
      <c r="M7" s="9">
        <v>0</v>
      </c>
      <c r="N7" s="9">
        <v>0</v>
      </c>
      <c r="O7" s="4">
        <v>0</v>
      </c>
    </row>
    <row r="8" spans="1:15" x14ac:dyDescent="0.25">
      <c r="A8" s="5">
        <v>46107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9">
        <v>0</v>
      </c>
      <c r="K8" s="9">
        <v>0</v>
      </c>
      <c r="L8" s="4">
        <v>0</v>
      </c>
      <c r="M8" s="9">
        <v>0</v>
      </c>
      <c r="N8" s="9">
        <v>0</v>
      </c>
      <c r="O8" s="4">
        <v>0</v>
      </c>
    </row>
    <row r="9" spans="1:15" x14ac:dyDescent="0.25">
      <c r="A9" s="5">
        <v>46108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9">
        <v>0</v>
      </c>
      <c r="K9" s="9">
        <v>0</v>
      </c>
      <c r="L9" s="4">
        <v>0</v>
      </c>
      <c r="M9" s="9">
        <v>0</v>
      </c>
      <c r="N9" s="9">
        <v>0</v>
      </c>
      <c r="O9" s="4">
        <v>0</v>
      </c>
    </row>
    <row r="10" spans="1:15" x14ac:dyDescent="0.25">
      <c r="A10" s="5">
        <v>46109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9">
        <v>0</v>
      </c>
      <c r="K10" s="9">
        <v>0</v>
      </c>
      <c r="L10" s="4">
        <v>0</v>
      </c>
      <c r="M10" s="9">
        <v>0</v>
      </c>
      <c r="N10" s="9">
        <v>0</v>
      </c>
      <c r="O10" s="4">
        <v>0</v>
      </c>
    </row>
    <row r="11" spans="1:15" x14ac:dyDescent="0.25">
      <c r="A11" s="5">
        <v>46110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9">
        <v>0</v>
      </c>
      <c r="K11" s="9">
        <v>0</v>
      </c>
      <c r="L11" s="4">
        <v>0</v>
      </c>
      <c r="M11" s="9">
        <v>0</v>
      </c>
      <c r="N11" s="9">
        <v>0</v>
      </c>
      <c r="O11" s="4">
        <v>0</v>
      </c>
    </row>
    <row r="12" spans="1:15" x14ac:dyDescent="0.25">
      <c r="A12" s="5">
        <v>46111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9">
        <v>0</v>
      </c>
      <c r="K12" s="9">
        <v>0</v>
      </c>
      <c r="L12" s="4">
        <v>0</v>
      </c>
      <c r="M12" s="9">
        <v>0</v>
      </c>
      <c r="N12" s="9">
        <v>0</v>
      </c>
      <c r="O12" s="4">
        <v>0</v>
      </c>
    </row>
    <row r="13" spans="1:15" x14ac:dyDescent="0.25">
      <c r="A13" s="5">
        <v>46112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9">
        <v>0</v>
      </c>
      <c r="K13" s="9">
        <v>0</v>
      </c>
      <c r="L13" s="4">
        <v>0</v>
      </c>
      <c r="M13" s="9">
        <v>0</v>
      </c>
      <c r="N13" s="9">
        <v>0</v>
      </c>
      <c r="O13" s="4">
        <v>0</v>
      </c>
    </row>
    <row r="14" spans="1:15" x14ac:dyDescent="0.25">
      <c r="A14" s="5">
        <v>46113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9">
        <v>0</v>
      </c>
      <c r="K14" s="9">
        <v>0</v>
      </c>
      <c r="L14" s="4">
        <v>0</v>
      </c>
      <c r="M14" s="9">
        <v>0</v>
      </c>
      <c r="N14" s="9">
        <v>0</v>
      </c>
      <c r="O14" s="4">
        <v>0</v>
      </c>
    </row>
    <row r="15" spans="1:15" x14ac:dyDescent="0.25">
      <c r="A15" s="5">
        <v>46114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9">
        <v>0</v>
      </c>
      <c r="K15" s="9">
        <v>0</v>
      </c>
      <c r="L15" s="4">
        <v>0</v>
      </c>
      <c r="M15" s="9">
        <v>0</v>
      </c>
      <c r="N15" s="9">
        <v>0</v>
      </c>
      <c r="O15" s="4">
        <v>0</v>
      </c>
    </row>
    <row r="16" spans="1:15" x14ac:dyDescent="0.25">
      <c r="A16" s="5">
        <v>46115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9">
        <v>0</v>
      </c>
      <c r="K16" s="9">
        <v>0</v>
      </c>
      <c r="L16" s="4">
        <v>0</v>
      </c>
      <c r="M16" s="9">
        <v>0</v>
      </c>
      <c r="N16" s="9">
        <v>0</v>
      </c>
      <c r="O16" s="4">
        <v>0</v>
      </c>
    </row>
    <row r="17" spans="1:15" x14ac:dyDescent="0.25">
      <c r="A17" s="5">
        <v>46116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9">
        <v>0</v>
      </c>
      <c r="K17" s="9">
        <v>0</v>
      </c>
      <c r="L17" s="4">
        <v>0</v>
      </c>
      <c r="M17" s="9">
        <v>0</v>
      </c>
      <c r="N17" s="9">
        <v>0</v>
      </c>
      <c r="O17" s="4">
        <v>0</v>
      </c>
    </row>
    <row r="18" spans="1:15" x14ac:dyDescent="0.25">
      <c r="A18" s="5">
        <v>46117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9">
        <v>0</v>
      </c>
      <c r="K18" s="9">
        <v>0</v>
      </c>
      <c r="L18" s="4">
        <v>0</v>
      </c>
      <c r="M18" s="9">
        <v>0</v>
      </c>
      <c r="N18" s="9">
        <v>0</v>
      </c>
      <c r="O18" s="4">
        <v>0</v>
      </c>
    </row>
    <row r="19" spans="1:15" x14ac:dyDescent="0.25">
      <c r="A19" s="5">
        <v>46118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9">
        <v>0</v>
      </c>
      <c r="K19" s="9">
        <v>0</v>
      </c>
      <c r="L19" s="4">
        <v>0</v>
      </c>
      <c r="M19" s="9">
        <v>0</v>
      </c>
      <c r="N19" s="9">
        <v>0</v>
      </c>
      <c r="O19" s="4">
        <v>0</v>
      </c>
    </row>
    <row r="20" spans="1:15" x14ac:dyDescent="0.25">
      <c r="A20" s="5">
        <v>46119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9">
        <v>0</v>
      </c>
      <c r="K20" s="9">
        <v>0</v>
      </c>
      <c r="L20" s="4">
        <v>0</v>
      </c>
      <c r="M20" s="9">
        <v>0</v>
      </c>
      <c r="N20" s="9">
        <v>0</v>
      </c>
      <c r="O20" s="4">
        <v>0</v>
      </c>
    </row>
    <row r="21" spans="1:15" x14ac:dyDescent="0.25">
      <c r="A21" s="5">
        <v>46120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9">
        <v>0</v>
      </c>
      <c r="K21" s="9">
        <v>0</v>
      </c>
      <c r="L21" s="4">
        <v>0</v>
      </c>
      <c r="M21" s="9">
        <v>0</v>
      </c>
      <c r="N21" s="9">
        <v>0</v>
      </c>
      <c r="O21" s="4">
        <v>0</v>
      </c>
    </row>
    <row r="22" spans="1:15" x14ac:dyDescent="0.25">
      <c r="A22" s="5">
        <v>46121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9">
        <v>0</v>
      </c>
      <c r="K22" s="9">
        <v>0</v>
      </c>
      <c r="L22" s="4">
        <v>0</v>
      </c>
      <c r="M22" s="9">
        <v>0</v>
      </c>
      <c r="N22" s="9">
        <v>0</v>
      </c>
      <c r="O22" s="4">
        <v>0</v>
      </c>
    </row>
    <row r="23" spans="1:15" x14ac:dyDescent="0.25">
      <c r="A23" s="5">
        <v>46122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9">
        <v>0</v>
      </c>
      <c r="K23" s="9">
        <v>0</v>
      </c>
      <c r="L23" s="4">
        <v>0</v>
      </c>
      <c r="M23" s="9">
        <v>0</v>
      </c>
      <c r="N23" s="9">
        <v>0</v>
      </c>
      <c r="O23" s="4">
        <v>0</v>
      </c>
    </row>
    <row r="24" spans="1:15" x14ac:dyDescent="0.25">
      <c r="A24" s="5">
        <v>46123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9">
        <v>0</v>
      </c>
      <c r="K24" s="9">
        <v>0</v>
      </c>
      <c r="L24" s="4">
        <v>0</v>
      </c>
      <c r="M24" s="9">
        <v>0</v>
      </c>
      <c r="N24" s="9">
        <v>0</v>
      </c>
      <c r="O24" s="4">
        <v>0</v>
      </c>
    </row>
    <row r="25" spans="1:15" x14ac:dyDescent="0.25">
      <c r="A25" s="5">
        <v>46124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9">
        <v>0</v>
      </c>
      <c r="K25" s="9">
        <v>0</v>
      </c>
      <c r="L25" s="4">
        <v>0</v>
      </c>
      <c r="M25" s="9">
        <v>0</v>
      </c>
      <c r="N25" s="9">
        <v>0</v>
      </c>
      <c r="O25" s="4">
        <v>0</v>
      </c>
    </row>
    <row r="26" spans="1:15" x14ac:dyDescent="0.25">
      <c r="A26" s="5">
        <v>46125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9">
        <v>0</v>
      </c>
      <c r="K26" s="9">
        <v>0</v>
      </c>
      <c r="L26" s="4">
        <v>0</v>
      </c>
      <c r="M26" s="9">
        <v>0</v>
      </c>
      <c r="N26" s="9">
        <v>0</v>
      </c>
      <c r="O26" s="4">
        <v>0</v>
      </c>
    </row>
    <row r="27" spans="1:15" x14ac:dyDescent="0.25">
      <c r="A27" s="5">
        <v>46126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9">
        <v>0</v>
      </c>
      <c r="K27" s="9">
        <v>0</v>
      </c>
      <c r="L27" s="4">
        <v>0</v>
      </c>
      <c r="M27" s="9">
        <v>0</v>
      </c>
      <c r="N27" s="9">
        <v>0</v>
      </c>
      <c r="O27" s="4">
        <v>0</v>
      </c>
    </row>
    <row r="28" spans="1:15" x14ac:dyDescent="0.25">
      <c r="A28" s="5">
        <v>46127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9">
        <v>0</v>
      </c>
      <c r="K28" s="9">
        <v>0</v>
      </c>
      <c r="L28" s="4">
        <v>0</v>
      </c>
      <c r="M28" s="9">
        <v>0</v>
      </c>
      <c r="N28" s="9">
        <v>0</v>
      </c>
      <c r="O28" s="4">
        <v>0</v>
      </c>
    </row>
    <row r="29" spans="1:15" x14ac:dyDescent="0.25">
      <c r="A29" s="5">
        <v>46128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9">
        <v>0</v>
      </c>
      <c r="K29" s="9">
        <v>0</v>
      </c>
      <c r="L29" s="4">
        <v>0</v>
      </c>
      <c r="M29" s="9">
        <v>0</v>
      </c>
      <c r="N29" s="9">
        <v>0</v>
      </c>
      <c r="O29" s="4">
        <v>0</v>
      </c>
    </row>
    <row r="30" spans="1:15" x14ac:dyDescent="0.25">
      <c r="A30" s="5">
        <v>46129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9">
        <v>0</v>
      </c>
      <c r="K30" s="9">
        <v>0</v>
      </c>
      <c r="L30" s="4">
        <v>0</v>
      </c>
      <c r="M30" s="9">
        <v>0</v>
      </c>
      <c r="N30" s="9">
        <v>0</v>
      </c>
      <c r="O30" s="4">
        <v>0</v>
      </c>
    </row>
    <row r="31" spans="1:15" x14ac:dyDescent="0.25">
      <c r="A31" s="5">
        <v>46130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9">
        <v>0</v>
      </c>
      <c r="K31" s="9">
        <v>0</v>
      </c>
      <c r="L31" s="4">
        <v>0</v>
      </c>
      <c r="M31" s="9">
        <v>0</v>
      </c>
      <c r="N31" s="9">
        <v>0</v>
      </c>
      <c r="O31" s="4">
        <v>0</v>
      </c>
    </row>
    <row r="32" spans="1:15" x14ac:dyDescent="0.25">
      <c r="A32" s="5">
        <v>46131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9">
        <v>0</v>
      </c>
      <c r="K32" s="9">
        <v>0</v>
      </c>
      <c r="L32" s="4">
        <v>0</v>
      </c>
      <c r="M32" s="9">
        <v>0</v>
      </c>
      <c r="N32" s="9">
        <v>0</v>
      </c>
      <c r="O32" s="4">
        <v>0</v>
      </c>
    </row>
    <row r="33" spans="1:15" x14ac:dyDescent="0.25">
      <c r="A33" s="5">
        <v>46132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9">
        <v>0</v>
      </c>
      <c r="K33" s="9">
        <v>0</v>
      </c>
      <c r="L33" s="4">
        <v>0</v>
      </c>
      <c r="M33" s="9">
        <v>0</v>
      </c>
      <c r="N33" s="9">
        <v>0</v>
      </c>
      <c r="O33" s="4">
        <v>0</v>
      </c>
    </row>
    <row r="34" spans="1:15" x14ac:dyDescent="0.25">
      <c r="A34" s="5">
        <v>46133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9">
        <v>0</v>
      </c>
      <c r="K34" s="9">
        <v>0</v>
      </c>
      <c r="L34" s="4">
        <v>0</v>
      </c>
      <c r="M34" s="9">
        <v>0</v>
      </c>
      <c r="N34" s="9">
        <v>0</v>
      </c>
      <c r="O34" s="4">
        <v>0</v>
      </c>
    </row>
    <row r="35" spans="1:15" x14ac:dyDescent="0.25">
      <c r="A35" s="5">
        <v>46134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9">
        <v>0</v>
      </c>
      <c r="K35" s="9">
        <v>0</v>
      </c>
      <c r="L35" s="4">
        <v>0</v>
      </c>
      <c r="M35" s="9">
        <v>0</v>
      </c>
      <c r="N35" s="9">
        <v>0</v>
      </c>
      <c r="O35" s="4">
        <v>0</v>
      </c>
    </row>
    <row r="36" spans="1:15" x14ac:dyDescent="0.25">
      <c r="A36" s="5">
        <v>46135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9">
        <v>0</v>
      </c>
      <c r="K36" s="9">
        <v>0</v>
      </c>
      <c r="L36" s="4">
        <v>0</v>
      </c>
      <c r="M36" s="9">
        <v>0</v>
      </c>
      <c r="N36" s="9">
        <v>0</v>
      </c>
      <c r="O36" s="4">
        <v>0</v>
      </c>
    </row>
    <row r="37" spans="1:15" x14ac:dyDescent="0.25">
      <c r="A37" s="5">
        <v>46136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9">
        <v>0</v>
      </c>
      <c r="K37" s="9">
        <v>0</v>
      </c>
      <c r="L37" s="4">
        <v>0</v>
      </c>
      <c r="M37" s="9">
        <v>0</v>
      </c>
      <c r="N37" s="9">
        <v>0</v>
      </c>
      <c r="O37" s="4">
        <v>0</v>
      </c>
    </row>
    <row r="38" spans="1:15" x14ac:dyDescent="0.25">
      <c r="A38" s="5">
        <v>46137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9">
        <v>0</v>
      </c>
      <c r="K38" s="9">
        <v>0</v>
      </c>
      <c r="L38" s="4">
        <v>0</v>
      </c>
      <c r="M38" s="9">
        <v>0</v>
      </c>
      <c r="N38" s="9">
        <v>0</v>
      </c>
      <c r="O38" s="4">
        <v>0</v>
      </c>
    </row>
    <row r="39" spans="1:15" x14ac:dyDescent="0.25">
      <c r="A39" s="5">
        <v>46138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9">
        <v>0</v>
      </c>
      <c r="K39" s="9">
        <v>0</v>
      </c>
      <c r="L39" s="4">
        <v>0</v>
      </c>
      <c r="M39" s="9">
        <v>0</v>
      </c>
      <c r="N39" s="9">
        <v>0</v>
      </c>
      <c r="O39" s="4">
        <v>0</v>
      </c>
    </row>
    <row r="40" spans="1:15" x14ac:dyDescent="0.25">
      <c r="A40" s="5">
        <v>46139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9">
        <v>0</v>
      </c>
      <c r="K40" s="9">
        <v>0</v>
      </c>
      <c r="L40" s="4">
        <v>0</v>
      </c>
      <c r="M40" s="9">
        <v>0</v>
      </c>
      <c r="N40" s="9">
        <v>0</v>
      </c>
      <c r="O40" s="4">
        <v>0</v>
      </c>
    </row>
    <row r="41" spans="1:15" x14ac:dyDescent="0.25">
      <c r="A41" s="5">
        <v>46140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9">
        <v>0</v>
      </c>
      <c r="K41" s="9">
        <v>0</v>
      </c>
      <c r="L41" s="4">
        <v>0</v>
      </c>
      <c r="M41" s="9">
        <v>0</v>
      </c>
      <c r="N41" s="9">
        <v>0</v>
      </c>
      <c r="O41" s="4">
        <v>0</v>
      </c>
    </row>
    <row r="42" spans="1:15" x14ac:dyDescent="0.25">
      <c r="A42" s="5">
        <v>46141</v>
      </c>
      <c r="B42" s="4">
        <v>2</v>
      </c>
      <c r="C42" s="4">
        <v>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9">
        <v>8.3333333333333329E-2</v>
      </c>
      <c r="K42" s="9">
        <v>0</v>
      </c>
      <c r="L42" s="4">
        <v>-1</v>
      </c>
      <c r="M42" s="9">
        <v>0</v>
      </c>
      <c r="N42" s="9">
        <v>0</v>
      </c>
      <c r="O42" s="4">
        <v>0</v>
      </c>
    </row>
    <row r="43" spans="1:15" x14ac:dyDescent="0.25">
      <c r="A43" s="5">
        <v>46142</v>
      </c>
      <c r="B43" s="4">
        <v>0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9">
        <v>8.3333333333333329E-2</v>
      </c>
      <c r="K43" s="9">
        <v>0</v>
      </c>
      <c r="L43" s="4">
        <v>-1</v>
      </c>
      <c r="M43" s="9">
        <v>0</v>
      </c>
      <c r="N43" s="9">
        <v>0</v>
      </c>
      <c r="O43" s="4">
        <v>0</v>
      </c>
    </row>
    <row r="44" spans="1:15" x14ac:dyDescent="0.25">
      <c r="A44" s="5">
        <v>46143</v>
      </c>
      <c r="B44" s="4">
        <v>0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9">
        <v>8.3333333333333329E-2</v>
      </c>
      <c r="K44" s="9">
        <v>0</v>
      </c>
      <c r="L44" s="4">
        <v>-1</v>
      </c>
      <c r="M44" s="9">
        <v>0</v>
      </c>
      <c r="N44" s="9">
        <v>0</v>
      </c>
      <c r="O44" s="4">
        <v>0</v>
      </c>
    </row>
    <row r="45" spans="1:15" x14ac:dyDescent="0.25">
      <c r="A45" s="5">
        <v>46144</v>
      </c>
      <c r="B45" s="4">
        <v>0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9">
        <v>8.3333333333333329E-2</v>
      </c>
      <c r="K45" s="9">
        <v>0</v>
      </c>
      <c r="L45" s="4">
        <v>-1</v>
      </c>
      <c r="M45" s="9">
        <v>0</v>
      </c>
      <c r="N45" s="9">
        <v>0</v>
      </c>
      <c r="O45" s="4">
        <v>0</v>
      </c>
    </row>
    <row r="46" spans="1:15" x14ac:dyDescent="0.25">
      <c r="A46" s="5">
        <v>46145</v>
      </c>
      <c r="B46" s="4">
        <v>0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9">
        <v>8.3333333333333329E-2</v>
      </c>
      <c r="K46" s="9">
        <v>0</v>
      </c>
      <c r="L46" s="4">
        <v>-1</v>
      </c>
      <c r="M46" s="9">
        <v>0</v>
      </c>
      <c r="N46" s="9">
        <v>0</v>
      </c>
      <c r="O46" s="4">
        <v>0</v>
      </c>
    </row>
    <row r="47" spans="1:15" x14ac:dyDescent="0.25">
      <c r="A47" s="5">
        <v>46146</v>
      </c>
      <c r="B47" s="4">
        <v>1</v>
      </c>
      <c r="C47" s="4">
        <v>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9">
        <v>0.125</v>
      </c>
      <c r="K47" s="9">
        <v>0</v>
      </c>
      <c r="L47" s="4">
        <v>-1</v>
      </c>
      <c r="M47" s="9">
        <v>0</v>
      </c>
      <c r="N47" s="9">
        <v>0</v>
      </c>
      <c r="O47" s="4">
        <v>0</v>
      </c>
    </row>
    <row r="48" spans="1:15" x14ac:dyDescent="0.25">
      <c r="A48" s="5">
        <v>46147</v>
      </c>
      <c r="B48" s="4">
        <v>0</v>
      </c>
      <c r="C48" s="4">
        <v>3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9">
        <v>0.125</v>
      </c>
      <c r="K48" s="9">
        <v>0</v>
      </c>
      <c r="L48" s="4">
        <v>-1</v>
      </c>
      <c r="M48" s="9">
        <v>0</v>
      </c>
      <c r="N48" s="9">
        <v>0</v>
      </c>
      <c r="O48" s="4">
        <v>0</v>
      </c>
    </row>
    <row r="49" spans="1:15" x14ac:dyDescent="0.25">
      <c r="A49" s="5">
        <v>46148</v>
      </c>
      <c r="B49" s="4">
        <v>0</v>
      </c>
      <c r="C49" s="4">
        <v>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9">
        <v>0.125</v>
      </c>
      <c r="K49" s="9">
        <v>0</v>
      </c>
      <c r="L49" s="4">
        <v>-1</v>
      </c>
      <c r="M49" s="9">
        <v>0</v>
      </c>
      <c r="N49" s="9">
        <v>0</v>
      </c>
      <c r="O49" s="4">
        <v>0</v>
      </c>
    </row>
    <row r="50" spans="1:15" x14ac:dyDescent="0.25">
      <c r="A50" s="5">
        <v>46149</v>
      </c>
      <c r="B50" s="4">
        <v>0</v>
      </c>
      <c r="C50" s="4">
        <v>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9">
        <v>0.125</v>
      </c>
      <c r="K50" s="9">
        <v>0</v>
      </c>
      <c r="L50" s="4">
        <v>-1</v>
      </c>
      <c r="M50" s="9">
        <v>0</v>
      </c>
      <c r="N50" s="9">
        <v>0</v>
      </c>
      <c r="O50" s="4">
        <v>0</v>
      </c>
    </row>
    <row r="51" spans="1:15" x14ac:dyDescent="0.25">
      <c r="A51" s="5">
        <v>46150</v>
      </c>
      <c r="B51" s="4">
        <v>0</v>
      </c>
      <c r="C51" s="4">
        <v>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9">
        <v>0.125</v>
      </c>
      <c r="K51" s="9">
        <v>0</v>
      </c>
      <c r="L51" s="4">
        <v>-1</v>
      </c>
      <c r="M51" s="9">
        <v>0</v>
      </c>
      <c r="N51" s="9">
        <v>0</v>
      </c>
      <c r="O51" s="4">
        <v>0</v>
      </c>
    </row>
    <row r="52" spans="1:15" x14ac:dyDescent="0.25">
      <c r="A52" s="5">
        <v>46151</v>
      </c>
      <c r="B52" s="4">
        <v>0</v>
      </c>
      <c r="C52" s="4">
        <v>3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9">
        <v>0.125</v>
      </c>
      <c r="K52" s="9">
        <v>0</v>
      </c>
      <c r="L52" s="4">
        <v>-1</v>
      </c>
      <c r="M52" s="9">
        <v>0</v>
      </c>
      <c r="N52" s="9">
        <v>0</v>
      </c>
      <c r="O52" s="4">
        <v>0</v>
      </c>
    </row>
    <row r="53" spans="1:15" x14ac:dyDescent="0.25">
      <c r="A53" s="5">
        <v>46152</v>
      </c>
      <c r="B53" s="4">
        <v>0</v>
      </c>
      <c r="C53" s="4">
        <v>3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9">
        <v>0.125</v>
      </c>
      <c r="K53" s="9">
        <v>0</v>
      </c>
      <c r="L53" s="4">
        <v>-1</v>
      </c>
      <c r="M53" s="9">
        <v>0</v>
      </c>
      <c r="N53" s="9">
        <v>0</v>
      </c>
      <c r="O53" s="4">
        <v>0</v>
      </c>
    </row>
    <row r="54" spans="1:15" x14ac:dyDescent="0.25">
      <c r="A54" s="5">
        <v>46153</v>
      </c>
      <c r="B54" s="4">
        <v>0</v>
      </c>
      <c r="C54" s="4">
        <v>3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9">
        <v>0.125</v>
      </c>
      <c r="K54" s="9">
        <v>0</v>
      </c>
      <c r="L54" s="4">
        <v>-1</v>
      </c>
      <c r="M54" s="9">
        <v>0</v>
      </c>
      <c r="N54" s="9">
        <v>0</v>
      </c>
      <c r="O54" s="4">
        <v>0</v>
      </c>
    </row>
    <row r="55" spans="1:15" x14ac:dyDescent="0.25">
      <c r="A55" s="5">
        <v>46154</v>
      </c>
      <c r="B55" s="4">
        <v>0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9">
        <v>0.125</v>
      </c>
      <c r="K55" s="9">
        <v>0</v>
      </c>
      <c r="L55" s="4">
        <v>-1</v>
      </c>
      <c r="M55" s="9">
        <v>0</v>
      </c>
      <c r="N55" s="9">
        <v>0</v>
      </c>
      <c r="O55" s="4">
        <v>0</v>
      </c>
    </row>
    <row r="56" spans="1:15" x14ac:dyDescent="0.25">
      <c r="A56" s="5">
        <v>46155</v>
      </c>
      <c r="B56" s="4">
        <v>0</v>
      </c>
      <c r="C56" s="4">
        <v>3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9">
        <v>0.125</v>
      </c>
      <c r="K56" s="9">
        <v>0</v>
      </c>
      <c r="L56" s="4">
        <v>-1</v>
      </c>
      <c r="M56" s="9">
        <v>0</v>
      </c>
      <c r="N56" s="9">
        <v>0</v>
      </c>
      <c r="O56" s="4">
        <v>0</v>
      </c>
    </row>
    <row r="57" spans="1:15" x14ac:dyDescent="0.25">
      <c r="A57" s="5">
        <v>46156</v>
      </c>
      <c r="B57" s="4">
        <v>0</v>
      </c>
      <c r="C57" s="4">
        <v>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9">
        <v>0.125</v>
      </c>
      <c r="K57" s="9">
        <v>0</v>
      </c>
      <c r="L57" s="4">
        <v>-1</v>
      </c>
      <c r="M57" s="9">
        <v>0</v>
      </c>
      <c r="N57" s="9">
        <v>0</v>
      </c>
      <c r="O57" s="4">
        <v>0</v>
      </c>
    </row>
    <row r="58" spans="1:15" x14ac:dyDescent="0.25">
      <c r="A58" s="5">
        <v>46157</v>
      </c>
      <c r="B58" s="4">
        <v>0</v>
      </c>
      <c r="C58" s="4">
        <v>3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9">
        <v>0.125</v>
      </c>
      <c r="K58" s="9">
        <v>0</v>
      </c>
      <c r="L58" s="4">
        <v>-1</v>
      </c>
      <c r="M58" s="9">
        <v>0</v>
      </c>
      <c r="N58" s="9">
        <v>0</v>
      </c>
      <c r="O58" s="4">
        <v>0</v>
      </c>
    </row>
    <row r="59" spans="1:15" x14ac:dyDescent="0.25">
      <c r="A59" s="5">
        <v>46158</v>
      </c>
      <c r="B59" s="4">
        <v>0</v>
      </c>
      <c r="C59" s="4">
        <v>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9">
        <v>0.125</v>
      </c>
      <c r="K59" s="9">
        <v>0</v>
      </c>
      <c r="L59" s="4">
        <v>-1</v>
      </c>
      <c r="M59" s="9">
        <v>0</v>
      </c>
      <c r="N59" s="9">
        <v>0</v>
      </c>
      <c r="O59" s="4">
        <v>0</v>
      </c>
    </row>
    <row r="60" spans="1:15" x14ac:dyDescent="0.25">
      <c r="A60" s="5">
        <v>46159</v>
      </c>
      <c r="B60" s="4">
        <v>0</v>
      </c>
      <c r="C60" s="4">
        <v>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9">
        <v>0.125</v>
      </c>
      <c r="K60" s="9">
        <v>0</v>
      </c>
      <c r="L60" s="4">
        <v>-1</v>
      </c>
      <c r="M60" s="9">
        <v>0</v>
      </c>
      <c r="N60" s="9">
        <v>0</v>
      </c>
      <c r="O60" s="4">
        <v>0</v>
      </c>
    </row>
    <row r="61" spans="1:15" x14ac:dyDescent="0.25">
      <c r="A61" s="5">
        <v>46160</v>
      </c>
      <c r="B61" s="4">
        <v>0</v>
      </c>
      <c r="C61" s="4">
        <v>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9">
        <v>0.125</v>
      </c>
      <c r="K61" s="9">
        <v>0</v>
      </c>
      <c r="L61" s="4">
        <v>-1</v>
      </c>
      <c r="M61" s="9">
        <v>0</v>
      </c>
      <c r="N61" s="9">
        <v>0</v>
      </c>
      <c r="O61" s="4">
        <v>0</v>
      </c>
    </row>
    <row r="62" spans="1:15" x14ac:dyDescent="0.25">
      <c r="A62" s="5">
        <v>46161</v>
      </c>
      <c r="B62" s="4">
        <v>2</v>
      </c>
      <c r="C62" s="4">
        <v>5</v>
      </c>
      <c r="D62" s="4">
        <v>1</v>
      </c>
      <c r="E62" s="4">
        <v>1</v>
      </c>
      <c r="F62" s="4">
        <v>2</v>
      </c>
      <c r="G62" s="4">
        <v>0</v>
      </c>
      <c r="H62" s="4">
        <v>2</v>
      </c>
      <c r="I62" s="4">
        <v>0</v>
      </c>
      <c r="J62" s="9">
        <v>0.20833333333333329</v>
      </c>
      <c r="K62" s="9">
        <v>4.1666666666666657E-2</v>
      </c>
      <c r="L62" s="4">
        <v>-1</v>
      </c>
      <c r="M62" s="9">
        <v>8.3333333333333329E-2</v>
      </c>
      <c r="N62" s="9">
        <v>0</v>
      </c>
      <c r="O62" s="4">
        <v>-1</v>
      </c>
    </row>
    <row r="63" spans="1:15" x14ac:dyDescent="0.25">
      <c r="A63" s="5">
        <v>46162</v>
      </c>
      <c r="B63" s="4">
        <v>0</v>
      </c>
      <c r="C63" s="4">
        <v>5</v>
      </c>
      <c r="D63" s="4">
        <v>0</v>
      </c>
      <c r="E63" s="4">
        <v>1</v>
      </c>
      <c r="F63" s="4">
        <v>0</v>
      </c>
      <c r="G63" s="4">
        <v>0</v>
      </c>
      <c r="H63" s="4">
        <v>2</v>
      </c>
      <c r="I63" s="4">
        <v>0</v>
      </c>
      <c r="J63" s="9">
        <v>0.20833333333333329</v>
      </c>
      <c r="K63" s="9">
        <v>4.1666666666666657E-2</v>
      </c>
      <c r="L63" s="4">
        <v>-1</v>
      </c>
      <c r="M63" s="9">
        <v>8.3333333333333329E-2</v>
      </c>
      <c r="N63" s="9">
        <v>0</v>
      </c>
      <c r="O63" s="4">
        <v>-1</v>
      </c>
    </row>
    <row r="64" spans="1:15" x14ac:dyDescent="0.25">
      <c r="A64" s="5">
        <v>46163</v>
      </c>
      <c r="B64" s="4">
        <v>0</v>
      </c>
      <c r="C64" s="4">
        <v>5</v>
      </c>
      <c r="D64" s="4">
        <v>0</v>
      </c>
      <c r="E64" s="4">
        <v>1</v>
      </c>
      <c r="F64" s="4">
        <v>0</v>
      </c>
      <c r="G64" s="4">
        <v>0</v>
      </c>
      <c r="H64" s="4">
        <v>2</v>
      </c>
      <c r="I64" s="4">
        <v>0</v>
      </c>
      <c r="J64" s="9">
        <v>0.20833333333333329</v>
      </c>
      <c r="K64" s="9">
        <v>4.1666666666666657E-2</v>
      </c>
      <c r="L64" s="4">
        <v>-1</v>
      </c>
      <c r="M64" s="9">
        <v>8.3333333333333329E-2</v>
      </c>
      <c r="N64" s="9">
        <v>0</v>
      </c>
      <c r="O64" s="4">
        <v>-1</v>
      </c>
    </row>
    <row r="65" spans="1:15" x14ac:dyDescent="0.25">
      <c r="A65" s="5">
        <v>46164</v>
      </c>
      <c r="B65" s="4">
        <v>0</v>
      </c>
      <c r="C65" s="4">
        <v>5</v>
      </c>
      <c r="D65" s="4">
        <v>0</v>
      </c>
      <c r="E65" s="4">
        <v>1</v>
      </c>
      <c r="F65" s="4">
        <v>0</v>
      </c>
      <c r="G65" s="4">
        <v>0</v>
      </c>
      <c r="H65" s="4">
        <v>2</v>
      </c>
      <c r="I65" s="4">
        <v>0</v>
      </c>
      <c r="J65" s="9">
        <v>0.20833333333333329</v>
      </c>
      <c r="K65" s="9">
        <v>4.1666666666666657E-2</v>
      </c>
      <c r="L65" s="4">
        <v>-1</v>
      </c>
      <c r="M65" s="9">
        <v>8.3333333333333329E-2</v>
      </c>
      <c r="N65" s="9">
        <v>0</v>
      </c>
      <c r="O65" s="4">
        <v>-1</v>
      </c>
    </row>
    <row r="66" spans="1:15" x14ac:dyDescent="0.25">
      <c r="A66" s="5">
        <v>46165</v>
      </c>
      <c r="B66" s="4">
        <v>0</v>
      </c>
      <c r="C66" s="4">
        <v>5</v>
      </c>
      <c r="D66" s="4">
        <v>0</v>
      </c>
      <c r="E66" s="4">
        <v>1</v>
      </c>
      <c r="F66" s="4">
        <v>0</v>
      </c>
      <c r="G66" s="4">
        <v>0</v>
      </c>
      <c r="H66" s="4">
        <v>2</v>
      </c>
      <c r="I66" s="4">
        <v>0</v>
      </c>
      <c r="J66" s="9">
        <v>0.20833333333333329</v>
      </c>
      <c r="K66" s="9">
        <v>4.1666666666666657E-2</v>
      </c>
      <c r="L66" s="4">
        <v>-1</v>
      </c>
      <c r="M66" s="9">
        <v>8.3333333333333329E-2</v>
      </c>
      <c r="N66" s="9">
        <v>0</v>
      </c>
      <c r="O66" s="4">
        <v>-1</v>
      </c>
    </row>
    <row r="67" spans="1:15" x14ac:dyDescent="0.25">
      <c r="A67" s="5">
        <v>46166</v>
      </c>
      <c r="B67" s="4">
        <v>0</v>
      </c>
      <c r="C67" s="4">
        <v>5</v>
      </c>
      <c r="D67" s="4">
        <v>0</v>
      </c>
      <c r="E67" s="4">
        <v>1</v>
      </c>
      <c r="F67" s="4">
        <v>0</v>
      </c>
      <c r="G67" s="4">
        <v>0</v>
      </c>
      <c r="H67" s="4">
        <v>2</v>
      </c>
      <c r="I67" s="4">
        <v>0</v>
      </c>
      <c r="J67" s="9">
        <v>0.20833333333333329</v>
      </c>
      <c r="K67" s="9">
        <v>4.1666666666666657E-2</v>
      </c>
      <c r="L67" s="4">
        <v>-1</v>
      </c>
      <c r="M67" s="9">
        <v>8.3333333333333329E-2</v>
      </c>
      <c r="N67" s="9">
        <v>0</v>
      </c>
      <c r="O67" s="4">
        <v>-1</v>
      </c>
    </row>
    <row r="68" spans="1:15" x14ac:dyDescent="0.25">
      <c r="A68" s="5">
        <v>46167</v>
      </c>
      <c r="B68" s="4">
        <v>0</v>
      </c>
      <c r="C68" s="4">
        <v>5</v>
      </c>
      <c r="D68" s="4">
        <v>0</v>
      </c>
      <c r="E68" s="4">
        <v>1</v>
      </c>
      <c r="F68" s="4">
        <v>2</v>
      </c>
      <c r="G68" s="4">
        <v>0</v>
      </c>
      <c r="H68" s="4">
        <v>4</v>
      </c>
      <c r="I68" s="4">
        <v>0</v>
      </c>
      <c r="J68" s="9">
        <v>0.20833333333333329</v>
      </c>
      <c r="K68" s="9">
        <v>4.1666666666666657E-2</v>
      </c>
      <c r="L68" s="4">
        <v>-1</v>
      </c>
      <c r="M68" s="9">
        <v>0.16666666666666671</v>
      </c>
      <c r="N68" s="9">
        <v>0</v>
      </c>
      <c r="O68" s="4">
        <v>-1</v>
      </c>
    </row>
    <row r="69" spans="1:15" x14ac:dyDescent="0.25">
      <c r="A69" s="5">
        <v>46168</v>
      </c>
      <c r="B69" s="4">
        <v>1</v>
      </c>
      <c r="C69" s="4">
        <v>6</v>
      </c>
      <c r="D69" s="4">
        <v>0</v>
      </c>
      <c r="E69" s="4">
        <v>1</v>
      </c>
      <c r="F69" s="4">
        <v>0</v>
      </c>
      <c r="G69" s="4">
        <v>0</v>
      </c>
      <c r="H69" s="4">
        <v>4</v>
      </c>
      <c r="I69" s="4">
        <v>0</v>
      </c>
      <c r="J69" s="9">
        <v>0.25</v>
      </c>
      <c r="K69" s="9">
        <v>4.1666666666666657E-2</v>
      </c>
      <c r="L69" s="4">
        <v>-1</v>
      </c>
      <c r="M69" s="9">
        <v>0.16666666666666671</v>
      </c>
      <c r="N69" s="9">
        <v>0</v>
      </c>
      <c r="O69" s="4">
        <v>-1</v>
      </c>
    </row>
    <row r="70" spans="1:15" x14ac:dyDescent="0.25">
      <c r="A70" s="5">
        <v>46169</v>
      </c>
      <c r="B70" s="4">
        <v>2</v>
      </c>
      <c r="C70" s="4">
        <v>8</v>
      </c>
      <c r="D70" s="4">
        <v>0</v>
      </c>
      <c r="E70" s="4">
        <v>1</v>
      </c>
      <c r="F70" s="4">
        <v>0</v>
      </c>
      <c r="G70" s="4">
        <v>0</v>
      </c>
      <c r="H70" s="4">
        <v>4</v>
      </c>
      <c r="I70" s="4">
        <v>0</v>
      </c>
      <c r="J70" s="9">
        <v>0.33333333333333331</v>
      </c>
      <c r="K70" s="9">
        <v>4.1666666666666657E-2</v>
      </c>
      <c r="L70" s="4">
        <v>-1</v>
      </c>
      <c r="M70" s="9">
        <v>0.16666666666666671</v>
      </c>
      <c r="N70" s="9">
        <v>0</v>
      </c>
      <c r="O70" s="4">
        <v>-1</v>
      </c>
    </row>
    <row r="71" spans="1:15" x14ac:dyDescent="0.25">
      <c r="A71" s="5">
        <v>46170</v>
      </c>
      <c r="B71" s="4">
        <v>0</v>
      </c>
      <c r="C71" s="4">
        <v>8</v>
      </c>
      <c r="D71" s="4">
        <v>3</v>
      </c>
      <c r="E71" s="4">
        <v>4</v>
      </c>
      <c r="F71" s="4">
        <v>0</v>
      </c>
      <c r="G71" s="4">
        <v>0</v>
      </c>
      <c r="H71" s="4">
        <v>4</v>
      </c>
      <c r="I71" s="4">
        <v>0</v>
      </c>
      <c r="J71" s="9">
        <v>0.33333333333333331</v>
      </c>
      <c r="K71" s="9">
        <v>0.16666666666666671</v>
      </c>
      <c r="L71" s="4">
        <v>-1</v>
      </c>
      <c r="M71" s="9">
        <v>0.16666666666666671</v>
      </c>
      <c r="N71" s="9">
        <v>0</v>
      </c>
      <c r="O71" s="4">
        <v>-1</v>
      </c>
    </row>
    <row r="72" spans="1:15" x14ac:dyDescent="0.25">
      <c r="A72" s="5">
        <v>46171</v>
      </c>
      <c r="B72" s="4">
        <v>0</v>
      </c>
      <c r="C72" s="4">
        <v>8</v>
      </c>
      <c r="D72" s="4">
        <v>0</v>
      </c>
      <c r="E72" s="4">
        <v>4</v>
      </c>
      <c r="F72" s="4">
        <v>0</v>
      </c>
      <c r="G72" s="4">
        <v>0</v>
      </c>
      <c r="H72" s="4">
        <v>4</v>
      </c>
      <c r="I72" s="4">
        <v>0</v>
      </c>
      <c r="J72" s="9">
        <v>0.33333333333333331</v>
      </c>
      <c r="K72" s="9">
        <v>0.16666666666666671</v>
      </c>
      <c r="L72" s="4">
        <v>-1</v>
      </c>
      <c r="M72" s="9">
        <v>0.16666666666666671</v>
      </c>
      <c r="N72" s="9">
        <v>0</v>
      </c>
      <c r="O72" s="4">
        <v>-1</v>
      </c>
    </row>
    <row r="73" spans="1:15" x14ac:dyDescent="0.25">
      <c r="A73" s="5">
        <v>46172</v>
      </c>
      <c r="B73" s="4">
        <v>0</v>
      </c>
      <c r="C73" s="4">
        <v>8</v>
      </c>
      <c r="D73" s="4">
        <v>0</v>
      </c>
      <c r="E73" s="4">
        <v>4</v>
      </c>
      <c r="F73" s="4">
        <v>0</v>
      </c>
      <c r="G73" s="4">
        <v>0</v>
      </c>
      <c r="H73" s="4">
        <v>4</v>
      </c>
      <c r="I73" s="4">
        <v>0</v>
      </c>
      <c r="J73" s="9">
        <v>0.33333333333333331</v>
      </c>
      <c r="K73" s="9">
        <v>0.16666666666666671</v>
      </c>
      <c r="L73" s="4">
        <v>-1</v>
      </c>
      <c r="M73" s="9">
        <v>0.16666666666666671</v>
      </c>
      <c r="N73" s="9">
        <v>0</v>
      </c>
      <c r="O73" s="4">
        <v>-1</v>
      </c>
    </row>
    <row r="74" spans="1:15" x14ac:dyDescent="0.25">
      <c r="A74" s="5">
        <v>46173</v>
      </c>
      <c r="B74" s="4">
        <v>0</v>
      </c>
      <c r="C74" s="4">
        <v>8</v>
      </c>
      <c r="D74" s="4">
        <v>0</v>
      </c>
      <c r="E74" s="4">
        <v>4</v>
      </c>
      <c r="F74" s="4">
        <v>0</v>
      </c>
      <c r="G74" s="4">
        <v>0</v>
      </c>
      <c r="H74" s="4">
        <v>4</v>
      </c>
      <c r="I74" s="4">
        <v>0</v>
      </c>
      <c r="J74" s="9">
        <v>0.33333333333333331</v>
      </c>
      <c r="K74" s="9">
        <v>0.16666666666666671</v>
      </c>
      <c r="L74" s="4">
        <v>-1</v>
      </c>
      <c r="M74" s="9">
        <v>0.16666666666666671</v>
      </c>
      <c r="N74" s="9">
        <v>0</v>
      </c>
      <c r="O74" s="4">
        <v>-1</v>
      </c>
    </row>
    <row r="75" spans="1:15" x14ac:dyDescent="0.25">
      <c r="A75" s="5">
        <v>46174</v>
      </c>
      <c r="B75" s="4">
        <v>1</v>
      </c>
      <c r="C75" s="4">
        <v>9</v>
      </c>
      <c r="D75" s="4">
        <v>0</v>
      </c>
      <c r="E75" s="4">
        <v>4</v>
      </c>
      <c r="F75" s="4">
        <v>1</v>
      </c>
      <c r="G75" s="4">
        <v>0</v>
      </c>
      <c r="H75" s="4">
        <v>5</v>
      </c>
      <c r="I75" s="4">
        <v>0</v>
      </c>
      <c r="J75" s="9">
        <v>0.375</v>
      </c>
      <c r="K75" s="9">
        <v>0.16666666666666671</v>
      </c>
      <c r="L75" s="4">
        <v>-1</v>
      </c>
      <c r="M75" s="9">
        <v>0.20833333333333329</v>
      </c>
      <c r="N75" s="9">
        <v>0</v>
      </c>
      <c r="O75" s="4">
        <v>-1</v>
      </c>
    </row>
    <row r="76" spans="1:15" x14ac:dyDescent="0.25">
      <c r="A76" s="5">
        <v>46175</v>
      </c>
      <c r="B76" s="4">
        <v>0</v>
      </c>
      <c r="C76" s="4">
        <v>9</v>
      </c>
      <c r="D76" s="4">
        <v>1</v>
      </c>
      <c r="E76" s="4">
        <v>5</v>
      </c>
      <c r="F76" s="4">
        <v>2</v>
      </c>
      <c r="G76" s="4">
        <v>0</v>
      </c>
      <c r="H76" s="4">
        <v>7</v>
      </c>
      <c r="I76" s="4">
        <v>0</v>
      </c>
      <c r="J76" s="9">
        <v>0.375</v>
      </c>
      <c r="K76" s="9">
        <v>0.20833333333333329</v>
      </c>
      <c r="L76" s="4">
        <v>-1</v>
      </c>
      <c r="M76" s="9">
        <v>0.29166666666666669</v>
      </c>
      <c r="N76" s="9">
        <v>0</v>
      </c>
      <c r="O76" s="4">
        <v>-1</v>
      </c>
    </row>
    <row r="77" spans="1:15" x14ac:dyDescent="0.25">
      <c r="A77" s="5">
        <v>46176</v>
      </c>
      <c r="B77" s="4">
        <v>0</v>
      </c>
      <c r="C77" s="4">
        <v>9</v>
      </c>
      <c r="D77" s="4">
        <v>1</v>
      </c>
      <c r="E77" s="4">
        <v>6</v>
      </c>
      <c r="F77" s="4">
        <v>0</v>
      </c>
      <c r="G77" s="4">
        <v>0</v>
      </c>
      <c r="H77" s="4">
        <v>7</v>
      </c>
      <c r="I77" s="4">
        <v>0</v>
      </c>
      <c r="J77" s="9">
        <v>0.375</v>
      </c>
      <c r="K77" s="9">
        <v>0.25</v>
      </c>
      <c r="L77" s="4">
        <v>-1</v>
      </c>
      <c r="M77" s="9">
        <v>0.29166666666666669</v>
      </c>
      <c r="N77" s="9">
        <v>0</v>
      </c>
      <c r="O77" s="4">
        <v>-1</v>
      </c>
    </row>
    <row r="78" spans="1:15" x14ac:dyDescent="0.25">
      <c r="A78" s="5">
        <v>46177</v>
      </c>
      <c r="B78" s="4">
        <v>2</v>
      </c>
      <c r="C78" s="4">
        <v>11</v>
      </c>
      <c r="D78" s="4">
        <v>0</v>
      </c>
      <c r="E78" s="4">
        <v>6</v>
      </c>
      <c r="F78" s="4">
        <v>0</v>
      </c>
      <c r="G78" s="4">
        <v>0</v>
      </c>
      <c r="H78" s="4">
        <v>7</v>
      </c>
      <c r="I78" s="4">
        <v>0</v>
      </c>
      <c r="J78" s="9">
        <v>0.45833333333333331</v>
      </c>
      <c r="K78" s="9">
        <v>0.25</v>
      </c>
      <c r="L78" s="4">
        <v>-1</v>
      </c>
      <c r="M78" s="9">
        <v>0.29166666666666669</v>
      </c>
      <c r="N78" s="9">
        <v>0</v>
      </c>
      <c r="O78" s="4">
        <v>-1</v>
      </c>
    </row>
    <row r="79" spans="1:15" x14ac:dyDescent="0.25">
      <c r="A79" s="5">
        <v>46178</v>
      </c>
      <c r="B79" s="4">
        <v>0</v>
      </c>
      <c r="C79" s="4">
        <v>11</v>
      </c>
      <c r="D79" s="4">
        <v>1</v>
      </c>
      <c r="E79" s="4">
        <v>7</v>
      </c>
      <c r="F79" s="4">
        <v>1</v>
      </c>
      <c r="G79" s="4">
        <v>0</v>
      </c>
      <c r="H79" s="4">
        <v>8</v>
      </c>
      <c r="I79" s="4">
        <v>0</v>
      </c>
      <c r="J79" s="9">
        <v>0.45833333333333331</v>
      </c>
      <c r="K79" s="9">
        <v>0.29166666666666669</v>
      </c>
      <c r="L79" s="4">
        <v>-1</v>
      </c>
      <c r="M79" s="9">
        <v>0.33333333333333331</v>
      </c>
      <c r="N79" s="9">
        <v>0</v>
      </c>
      <c r="O79" s="4">
        <v>-1</v>
      </c>
    </row>
    <row r="80" spans="1:15" x14ac:dyDescent="0.25">
      <c r="A80" s="5">
        <v>46179</v>
      </c>
      <c r="B80" s="4">
        <v>0</v>
      </c>
      <c r="C80" s="4">
        <v>11</v>
      </c>
      <c r="D80" s="4">
        <v>0</v>
      </c>
      <c r="E80" s="4">
        <v>7</v>
      </c>
      <c r="F80" s="4">
        <v>0</v>
      </c>
      <c r="G80" s="4">
        <v>0</v>
      </c>
      <c r="H80" s="4">
        <v>8</v>
      </c>
      <c r="I80" s="4">
        <v>0</v>
      </c>
      <c r="J80" s="9">
        <v>0.45833333333333331</v>
      </c>
      <c r="K80" s="9">
        <v>0.29166666666666669</v>
      </c>
      <c r="L80" s="4">
        <v>-1</v>
      </c>
      <c r="M80" s="9">
        <v>0.33333333333333331</v>
      </c>
      <c r="N80" s="9">
        <v>0</v>
      </c>
      <c r="O80" s="4">
        <v>-1</v>
      </c>
    </row>
    <row r="81" spans="1:15" x14ac:dyDescent="0.25">
      <c r="A81" s="5">
        <v>46180</v>
      </c>
      <c r="B81" s="4">
        <v>0</v>
      </c>
      <c r="C81" s="4">
        <v>11</v>
      </c>
      <c r="D81" s="4">
        <v>0</v>
      </c>
      <c r="E81" s="4">
        <v>7</v>
      </c>
      <c r="F81" s="4">
        <v>0</v>
      </c>
      <c r="G81" s="4">
        <v>0</v>
      </c>
      <c r="H81" s="4">
        <v>8</v>
      </c>
      <c r="I81" s="4">
        <v>0</v>
      </c>
      <c r="J81" s="9">
        <v>0.45833333333333331</v>
      </c>
      <c r="K81" s="9">
        <v>0.29166666666666669</v>
      </c>
      <c r="L81" s="4">
        <v>-1</v>
      </c>
      <c r="M81" s="9">
        <v>0.33333333333333331</v>
      </c>
      <c r="N81" s="9">
        <v>0</v>
      </c>
      <c r="O81" s="4">
        <v>-1</v>
      </c>
    </row>
    <row r="82" spans="1:15" x14ac:dyDescent="0.25">
      <c r="A82" s="5">
        <v>46181</v>
      </c>
      <c r="B82" s="4">
        <v>0</v>
      </c>
      <c r="C82" s="4">
        <v>11</v>
      </c>
      <c r="D82" s="4">
        <v>0</v>
      </c>
      <c r="E82" s="4">
        <v>7</v>
      </c>
      <c r="F82" s="4">
        <v>0</v>
      </c>
      <c r="G82" s="4">
        <v>0</v>
      </c>
      <c r="H82" s="4">
        <v>8</v>
      </c>
      <c r="I82" s="4">
        <v>0</v>
      </c>
      <c r="J82" s="9">
        <v>0.45833333333333331</v>
      </c>
      <c r="K82" s="9">
        <v>0.29166666666666669</v>
      </c>
      <c r="L82" s="4">
        <v>-1</v>
      </c>
      <c r="M82" s="9">
        <v>0.33333333333333331</v>
      </c>
      <c r="N82" s="9">
        <v>0</v>
      </c>
      <c r="O82" s="4">
        <v>-1</v>
      </c>
    </row>
    <row r="83" spans="1:15" x14ac:dyDescent="0.25">
      <c r="A83" s="5">
        <v>46182</v>
      </c>
      <c r="B83" s="4">
        <v>0</v>
      </c>
      <c r="C83" s="4">
        <v>11</v>
      </c>
      <c r="D83" s="4">
        <v>0</v>
      </c>
      <c r="E83" s="4">
        <v>7</v>
      </c>
      <c r="F83" s="4">
        <v>0</v>
      </c>
      <c r="G83" s="4">
        <v>0</v>
      </c>
      <c r="H83" s="4">
        <v>8</v>
      </c>
      <c r="I83" s="4">
        <v>0</v>
      </c>
      <c r="J83" s="9">
        <v>0.45833333333333331</v>
      </c>
      <c r="K83" s="9">
        <v>0.29166666666666669</v>
      </c>
      <c r="L83" s="4">
        <v>-1</v>
      </c>
      <c r="M83" s="9">
        <v>0.33333333333333331</v>
      </c>
      <c r="N83" s="9">
        <v>0</v>
      </c>
      <c r="O83" s="4">
        <v>-1</v>
      </c>
    </row>
    <row r="84" spans="1:15" x14ac:dyDescent="0.25">
      <c r="A84" s="5">
        <v>46183</v>
      </c>
      <c r="B84" s="4">
        <v>0</v>
      </c>
      <c r="C84" s="4">
        <v>11</v>
      </c>
      <c r="D84" s="4">
        <v>0</v>
      </c>
      <c r="E84" s="4">
        <v>7</v>
      </c>
      <c r="F84" s="4">
        <v>2</v>
      </c>
      <c r="G84" s="4">
        <v>0</v>
      </c>
      <c r="H84" s="4">
        <v>10</v>
      </c>
      <c r="I84" s="4">
        <v>0</v>
      </c>
      <c r="J84" s="9">
        <v>0.45833333333333331</v>
      </c>
      <c r="K84" s="9">
        <v>0.29166666666666669</v>
      </c>
      <c r="L84" s="4">
        <v>-1</v>
      </c>
      <c r="M84" s="9">
        <v>0.41666666666666669</v>
      </c>
      <c r="N84" s="9">
        <v>0</v>
      </c>
      <c r="O84" s="4">
        <v>-1</v>
      </c>
    </row>
    <row r="85" spans="1:15" x14ac:dyDescent="0.25">
      <c r="A85" s="5">
        <v>46184</v>
      </c>
      <c r="B85" s="4">
        <v>0</v>
      </c>
      <c r="C85" s="4">
        <v>11</v>
      </c>
      <c r="D85" s="4">
        <v>0</v>
      </c>
      <c r="E85" s="4">
        <v>7</v>
      </c>
      <c r="F85" s="4">
        <v>0</v>
      </c>
      <c r="G85" s="4">
        <v>0</v>
      </c>
      <c r="H85" s="4">
        <v>10</v>
      </c>
      <c r="I85" s="4">
        <v>0</v>
      </c>
      <c r="J85" s="9">
        <v>0.45833333333333331</v>
      </c>
      <c r="K85" s="9">
        <v>0.29166666666666669</v>
      </c>
      <c r="L85" s="4">
        <v>-1</v>
      </c>
      <c r="M85" s="9">
        <v>0.41666666666666669</v>
      </c>
      <c r="N85" s="9">
        <v>0</v>
      </c>
      <c r="O85" s="4">
        <v>-1</v>
      </c>
    </row>
    <row r="86" spans="1:15" x14ac:dyDescent="0.25">
      <c r="A86" s="5">
        <v>46185</v>
      </c>
      <c r="B86" s="4">
        <v>0</v>
      </c>
      <c r="C86" s="4">
        <v>11</v>
      </c>
      <c r="D86" s="4">
        <v>1</v>
      </c>
      <c r="E86" s="4">
        <v>8</v>
      </c>
      <c r="F86" s="4">
        <v>0</v>
      </c>
      <c r="G86" s="4">
        <v>0</v>
      </c>
      <c r="H86" s="4">
        <v>10</v>
      </c>
      <c r="I86" s="4">
        <v>0</v>
      </c>
      <c r="J86" s="9">
        <v>0.45833333333333331</v>
      </c>
      <c r="K86" s="9">
        <v>0.33333333333333331</v>
      </c>
      <c r="L86" s="4">
        <v>-1</v>
      </c>
      <c r="M86" s="9">
        <v>0.41666666666666669</v>
      </c>
      <c r="N86" s="9">
        <v>0</v>
      </c>
      <c r="O86" s="4">
        <v>-1</v>
      </c>
    </row>
    <row r="87" spans="1:15" x14ac:dyDescent="0.25">
      <c r="A87" s="5">
        <v>46186</v>
      </c>
      <c r="B87" s="4">
        <v>0</v>
      </c>
      <c r="C87" s="4">
        <v>11</v>
      </c>
      <c r="D87" s="4">
        <v>0</v>
      </c>
      <c r="E87" s="4">
        <v>8</v>
      </c>
      <c r="F87" s="4">
        <v>0</v>
      </c>
      <c r="G87" s="4">
        <v>0</v>
      </c>
      <c r="H87" s="4">
        <v>10</v>
      </c>
      <c r="I87" s="4">
        <v>0</v>
      </c>
      <c r="J87" s="9">
        <v>0.45833333333333331</v>
      </c>
      <c r="K87" s="9">
        <v>0.33333333333333331</v>
      </c>
      <c r="L87" s="4">
        <v>-1</v>
      </c>
      <c r="M87" s="9">
        <v>0.41666666666666669</v>
      </c>
      <c r="N87" s="9">
        <v>0</v>
      </c>
      <c r="O87" s="4">
        <v>-1</v>
      </c>
    </row>
    <row r="88" spans="1:15" x14ac:dyDescent="0.25">
      <c r="A88" s="5">
        <v>46187</v>
      </c>
      <c r="B88" s="4">
        <v>0</v>
      </c>
      <c r="C88" s="4">
        <v>11</v>
      </c>
      <c r="D88" s="4">
        <v>0</v>
      </c>
      <c r="E88" s="4">
        <v>8</v>
      </c>
      <c r="F88" s="4">
        <v>0</v>
      </c>
      <c r="G88" s="4">
        <v>0</v>
      </c>
      <c r="H88" s="4">
        <v>10</v>
      </c>
      <c r="I88" s="4">
        <v>0</v>
      </c>
      <c r="J88" s="9">
        <v>0.45833333333333331</v>
      </c>
      <c r="K88" s="9">
        <v>0.33333333333333331</v>
      </c>
      <c r="L88" s="4">
        <v>-1</v>
      </c>
      <c r="M88" s="9">
        <v>0.41666666666666669</v>
      </c>
      <c r="N88" s="9">
        <v>0</v>
      </c>
      <c r="O88" s="4">
        <v>-1</v>
      </c>
    </row>
    <row r="89" spans="1:15" x14ac:dyDescent="0.25">
      <c r="A89" s="5">
        <v>46188</v>
      </c>
      <c r="B89" s="4">
        <v>6</v>
      </c>
      <c r="C89" s="4">
        <v>17</v>
      </c>
      <c r="D89" s="4">
        <v>1</v>
      </c>
      <c r="E89" s="4">
        <v>9</v>
      </c>
      <c r="F89" s="4">
        <v>0</v>
      </c>
      <c r="G89" s="4">
        <v>0</v>
      </c>
      <c r="H89" s="4">
        <v>10</v>
      </c>
      <c r="I89" s="4">
        <v>0</v>
      </c>
      <c r="J89" s="9">
        <v>0.70833333333333337</v>
      </c>
      <c r="K89" s="9">
        <v>0.375</v>
      </c>
      <c r="L89" s="4">
        <v>-1</v>
      </c>
      <c r="M89" s="9">
        <v>0.41666666666666669</v>
      </c>
      <c r="N89" s="9">
        <v>0</v>
      </c>
      <c r="O89" s="4">
        <v>-1</v>
      </c>
    </row>
    <row r="90" spans="1:15" x14ac:dyDescent="0.25">
      <c r="A90" s="5">
        <v>46189</v>
      </c>
      <c r="B90" s="4">
        <v>0</v>
      </c>
      <c r="C90" s="4">
        <v>17</v>
      </c>
      <c r="D90" s="4">
        <v>0</v>
      </c>
      <c r="E90" s="4">
        <v>9</v>
      </c>
      <c r="F90" s="4">
        <v>1</v>
      </c>
      <c r="G90" s="4">
        <v>0</v>
      </c>
      <c r="H90" s="4">
        <v>11</v>
      </c>
      <c r="I90" s="4">
        <v>0</v>
      </c>
      <c r="J90" s="9">
        <v>0.70833333333333337</v>
      </c>
      <c r="K90" s="9">
        <v>0.375</v>
      </c>
      <c r="L90" s="4">
        <v>-1</v>
      </c>
      <c r="M90" s="9">
        <v>0.45833333333333331</v>
      </c>
      <c r="N90" s="9">
        <v>0</v>
      </c>
      <c r="O90" s="4">
        <v>-1</v>
      </c>
    </row>
    <row r="91" spans="1:15" x14ac:dyDescent="0.25">
      <c r="A91" s="5">
        <v>46190</v>
      </c>
      <c r="B91" s="4">
        <v>0</v>
      </c>
      <c r="C91" s="4">
        <v>17</v>
      </c>
      <c r="D91" s="4">
        <v>0</v>
      </c>
      <c r="E91" s="4">
        <v>9</v>
      </c>
      <c r="F91" s="4">
        <v>0</v>
      </c>
      <c r="G91" s="4">
        <v>0</v>
      </c>
      <c r="H91" s="4">
        <v>11</v>
      </c>
      <c r="I91" s="4">
        <v>0</v>
      </c>
      <c r="J91" s="9">
        <v>0.70833333333333337</v>
      </c>
      <c r="K91" s="9">
        <v>0.375</v>
      </c>
      <c r="L91" s="4">
        <v>-1</v>
      </c>
      <c r="M91" s="9">
        <v>0.45833333333333331</v>
      </c>
      <c r="N91" s="9">
        <v>0</v>
      </c>
      <c r="O91" s="4">
        <v>-1</v>
      </c>
    </row>
    <row r="92" spans="1:15" x14ac:dyDescent="0.25">
      <c r="A92" s="5">
        <v>46191</v>
      </c>
      <c r="B92" s="4">
        <v>0</v>
      </c>
      <c r="C92" s="4">
        <v>17</v>
      </c>
      <c r="D92" s="4">
        <v>0</v>
      </c>
      <c r="E92" s="4">
        <v>9</v>
      </c>
      <c r="F92" s="4">
        <v>0</v>
      </c>
      <c r="G92" s="4">
        <v>1</v>
      </c>
      <c r="H92" s="4">
        <v>11</v>
      </c>
      <c r="I92" s="4">
        <v>1</v>
      </c>
      <c r="J92" s="9">
        <v>0.70833333333333337</v>
      </c>
      <c r="K92" s="9">
        <v>0.375</v>
      </c>
      <c r="L92" s="4">
        <v>-1</v>
      </c>
      <c r="M92" s="9">
        <v>0.45833333333333331</v>
      </c>
      <c r="N92" s="9">
        <v>4.1666666666666657E-2</v>
      </c>
      <c r="O92" s="4">
        <v>-1</v>
      </c>
    </row>
    <row r="93" spans="1:15" x14ac:dyDescent="0.25">
      <c r="A93" s="5">
        <v>46192</v>
      </c>
      <c r="B93" s="4">
        <v>3</v>
      </c>
      <c r="C93" s="4">
        <v>20</v>
      </c>
      <c r="D93" s="4">
        <v>0</v>
      </c>
      <c r="E93" s="4">
        <v>9</v>
      </c>
      <c r="F93" s="4">
        <v>6</v>
      </c>
      <c r="G93" s="4">
        <v>0</v>
      </c>
      <c r="H93" s="4">
        <v>17</v>
      </c>
      <c r="I93" s="4">
        <v>1</v>
      </c>
      <c r="J93" s="9">
        <v>0.83333333333333337</v>
      </c>
      <c r="K93" s="9">
        <v>0.375</v>
      </c>
      <c r="L93" s="4">
        <v>-1</v>
      </c>
      <c r="M93" s="9">
        <v>0.70833333333333337</v>
      </c>
      <c r="N93" s="9">
        <v>4.1666666666666657E-2</v>
      </c>
      <c r="O93" s="4">
        <v>-1</v>
      </c>
    </row>
    <row r="94" spans="1:15" x14ac:dyDescent="0.25">
      <c r="A94" s="5">
        <v>46193</v>
      </c>
      <c r="B94" s="4">
        <v>0</v>
      </c>
      <c r="C94" s="4">
        <v>20</v>
      </c>
      <c r="D94" s="4">
        <v>0</v>
      </c>
      <c r="E94" s="4">
        <v>9</v>
      </c>
      <c r="F94" s="4">
        <v>0</v>
      </c>
      <c r="G94" s="4">
        <v>0</v>
      </c>
      <c r="H94" s="4">
        <v>17</v>
      </c>
      <c r="I94" s="4">
        <v>1</v>
      </c>
      <c r="J94" s="9">
        <v>0.83333333333333337</v>
      </c>
      <c r="K94" s="9">
        <v>0.375</v>
      </c>
      <c r="L94" s="4">
        <v>-1</v>
      </c>
      <c r="M94" s="9">
        <v>0.70833333333333337</v>
      </c>
      <c r="N94" s="9">
        <v>4.1666666666666657E-2</v>
      </c>
      <c r="O94" s="4">
        <v>-1</v>
      </c>
    </row>
    <row r="95" spans="1:15" x14ac:dyDescent="0.25">
      <c r="A95" s="5">
        <v>46194</v>
      </c>
      <c r="B95" s="4">
        <v>0</v>
      </c>
      <c r="C95" s="4">
        <v>20</v>
      </c>
      <c r="D95" s="4">
        <v>0</v>
      </c>
      <c r="E95" s="4">
        <v>9</v>
      </c>
      <c r="F95" s="4">
        <v>0</v>
      </c>
      <c r="G95" s="4">
        <v>0</v>
      </c>
      <c r="H95" s="4">
        <v>17</v>
      </c>
      <c r="I95" s="4">
        <v>1</v>
      </c>
      <c r="J95" s="9">
        <v>0.83333333333333337</v>
      </c>
      <c r="K95" s="9">
        <v>0.375</v>
      </c>
      <c r="L95" s="4">
        <v>-1</v>
      </c>
      <c r="M95" s="9">
        <v>0.70833333333333337</v>
      </c>
      <c r="N95" s="9">
        <v>4.1666666666666657E-2</v>
      </c>
      <c r="O95" s="4">
        <v>-1</v>
      </c>
    </row>
    <row r="96" spans="1:15" x14ac:dyDescent="0.25">
      <c r="A96" s="5">
        <v>46195</v>
      </c>
      <c r="B96" s="4">
        <v>1</v>
      </c>
      <c r="C96" s="4">
        <v>21</v>
      </c>
      <c r="D96" s="4">
        <v>0</v>
      </c>
      <c r="E96" s="4">
        <v>9</v>
      </c>
      <c r="F96" s="4">
        <v>0</v>
      </c>
      <c r="G96" s="4">
        <v>0</v>
      </c>
      <c r="H96" s="4">
        <v>17</v>
      </c>
      <c r="I96" s="4">
        <v>1</v>
      </c>
      <c r="J96" s="9">
        <v>0.875</v>
      </c>
      <c r="K96" s="9">
        <v>0.375</v>
      </c>
      <c r="L96" s="4">
        <v>-1</v>
      </c>
      <c r="M96" s="9">
        <v>0.70833333333333337</v>
      </c>
      <c r="N96" s="9">
        <v>4.1666666666666657E-2</v>
      </c>
      <c r="O96" s="4">
        <v>-1</v>
      </c>
    </row>
    <row r="97" spans="1:15" x14ac:dyDescent="0.25">
      <c r="A97" s="5">
        <v>46196</v>
      </c>
      <c r="B97" s="4">
        <v>2</v>
      </c>
      <c r="C97" s="4">
        <v>23</v>
      </c>
      <c r="D97" s="4">
        <v>0</v>
      </c>
      <c r="E97" s="4">
        <v>9</v>
      </c>
      <c r="F97" s="4">
        <v>0</v>
      </c>
      <c r="G97" s="4">
        <v>0</v>
      </c>
      <c r="H97" s="4">
        <v>17</v>
      </c>
      <c r="I97" s="4">
        <v>1</v>
      </c>
      <c r="J97" s="9">
        <v>0.95833333333333337</v>
      </c>
      <c r="K97" s="9">
        <v>0.375</v>
      </c>
      <c r="L97" s="4">
        <v>-1</v>
      </c>
      <c r="M97" s="9">
        <v>0.70833333333333337</v>
      </c>
      <c r="N97" s="9">
        <v>4.1666666666666657E-2</v>
      </c>
      <c r="O97" s="4">
        <v>-1</v>
      </c>
    </row>
    <row r="98" spans="1:15" x14ac:dyDescent="0.25">
      <c r="A98" s="7">
        <v>46197</v>
      </c>
      <c r="B98" s="8">
        <v>0</v>
      </c>
      <c r="C98" s="8">
        <v>23</v>
      </c>
      <c r="D98" s="8">
        <v>1</v>
      </c>
      <c r="E98" s="8">
        <v>10</v>
      </c>
      <c r="F98" s="8">
        <v>0</v>
      </c>
      <c r="G98" s="8">
        <v>0</v>
      </c>
      <c r="H98" s="8">
        <v>17</v>
      </c>
      <c r="I98" s="8">
        <v>1</v>
      </c>
      <c r="J98" s="10">
        <v>0.95833333333333337</v>
      </c>
      <c r="K98" s="10">
        <v>0.41666666666666669</v>
      </c>
      <c r="L98" s="8">
        <v>-1</v>
      </c>
      <c r="M98" s="10">
        <v>0.70833333333333337</v>
      </c>
      <c r="N98" s="10">
        <v>4.1666666666666657E-2</v>
      </c>
      <c r="O98" s="8">
        <v>-1</v>
      </c>
    </row>
    <row r="99" spans="1:15" x14ac:dyDescent="0.25">
      <c r="A99" s="5">
        <v>46198</v>
      </c>
      <c r="B99" s="4">
        <v>0</v>
      </c>
      <c r="C99" s="4">
        <v>23</v>
      </c>
      <c r="D99" s="4">
        <v>0</v>
      </c>
      <c r="F99" s="4">
        <v>3</v>
      </c>
      <c r="G99" s="4">
        <v>0</v>
      </c>
      <c r="H99" s="4">
        <v>20</v>
      </c>
      <c r="J99" s="9">
        <v>0.95833333333333337</v>
      </c>
      <c r="K99" s="9">
        <v>0.41666666666666669</v>
      </c>
      <c r="L99" s="4">
        <v>-1</v>
      </c>
      <c r="M99" s="9">
        <v>0.83333333333333337</v>
      </c>
      <c r="N99" s="9">
        <v>4.1666666666666657E-2</v>
      </c>
      <c r="O99" s="4">
        <v>-1</v>
      </c>
    </row>
    <row r="100" spans="1:15" x14ac:dyDescent="0.25">
      <c r="A100" s="5">
        <v>46199</v>
      </c>
      <c r="B100" s="4">
        <v>0</v>
      </c>
      <c r="C100" s="4">
        <v>23</v>
      </c>
      <c r="D100" s="4">
        <v>0</v>
      </c>
      <c r="F100" s="4">
        <v>1</v>
      </c>
      <c r="G100" s="4">
        <v>0</v>
      </c>
      <c r="H100" s="4">
        <v>21</v>
      </c>
      <c r="J100" s="9">
        <v>0.95833333333333337</v>
      </c>
      <c r="K100" s="9">
        <v>0.41666666666666669</v>
      </c>
      <c r="L100" s="4">
        <v>-1</v>
      </c>
      <c r="M100" s="9">
        <v>0.875</v>
      </c>
      <c r="N100" s="9">
        <v>4.1666666666666657E-2</v>
      </c>
      <c r="O100" s="4">
        <v>-1</v>
      </c>
    </row>
    <row r="101" spans="1:15" x14ac:dyDescent="0.25">
      <c r="A101" s="5">
        <v>46200</v>
      </c>
      <c r="B101" s="4">
        <v>0</v>
      </c>
      <c r="C101" s="4">
        <v>23</v>
      </c>
      <c r="D101" s="4">
        <v>0</v>
      </c>
      <c r="F101" s="4">
        <v>0</v>
      </c>
      <c r="G101" s="4">
        <v>0</v>
      </c>
      <c r="H101" s="4">
        <v>21</v>
      </c>
      <c r="J101" s="9">
        <v>0.95833333333333337</v>
      </c>
      <c r="K101" s="9">
        <v>0.41666666666666669</v>
      </c>
      <c r="L101" s="4">
        <v>-1</v>
      </c>
      <c r="M101" s="9">
        <v>0.875</v>
      </c>
      <c r="N101" s="9">
        <v>4.1666666666666657E-2</v>
      </c>
      <c r="O101" s="4">
        <v>-1</v>
      </c>
    </row>
    <row r="102" spans="1:15" x14ac:dyDescent="0.25">
      <c r="A102" s="5">
        <v>46201</v>
      </c>
      <c r="B102" s="4">
        <v>0</v>
      </c>
      <c r="C102" s="4">
        <v>23</v>
      </c>
      <c r="D102" s="4">
        <v>0</v>
      </c>
      <c r="F102" s="4">
        <v>0</v>
      </c>
      <c r="G102" s="4">
        <v>0</v>
      </c>
      <c r="H102" s="4">
        <v>21</v>
      </c>
      <c r="J102" s="9">
        <v>0.95833333333333337</v>
      </c>
      <c r="K102" s="9">
        <v>0.41666666666666669</v>
      </c>
      <c r="L102" s="4">
        <v>-1</v>
      </c>
      <c r="M102" s="9">
        <v>0.875</v>
      </c>
      <c r="N102" s="9">
        <v>4.1666666666666657E-2</v>
      </c>
      <c r="O102" s="4">
        <v>-1</v>
      </c>
    </row>
    <row r="103" spans="1:15" x14ac:dyDescent="0.25">
      <c r="A103" s="5">
        <v>46202</v>
      </c>
      <c r="B103" s="4">
        <v>0</v>
      </c>
      <c r="C103" s="4">
        <v>23</v>
      </c>
      <c r="D103" s="4">
        <v>0</v>
      </c>
      <c r="F103" s="4">
        <v>2</v>
      </c>
      <c r="G103" s="4">
        <v>0</v>
      </c>
      <c r="H103" s="4">
        <v>23</v>
      </c>
      <c r="J103" s="9">
        <v>0.95833333333333337</v>
      </c>
      <c r="K103" s="9">
        <v>0.41666666666666669</v>
      </c>
      <c r="L103" s="4">
        <v>-1</v>
      </c>
      <c r="M103" s="9">
        <v>0.95833333333333337</v>
      </c>
      <c r="N103" s="9">
        <v>4.1666666666666657E-2</v>
      </c>
      <c r="O103" s="4">
        <v>-1</v>
      </c>
    </row>
    <row r="104" spans="1:15" x14ac:dyDescent="0.25">
      <c r="A104" s="5">
        <v>46203</v>
      </c>
      <c r="B104" s="4">
        <v>0</v>
      </c>
      <c r="C104" s="4">
        <v>23</v>
      </c>
      <c r="D104" s="4">
        <v>0</v>
      </c>
      <c r="F104" s="4">
        <v>0</v>
      </c>
      <c r="G104" s="4">
        <v>0</v>
      </c>
      <c r="H104" s="4">
        <v>23</v>
      </c>
      <c r="J104" s="9">
        <v>0.95833333333333337</v>
      </c>
      <c r="K104" s="9">
        <v>0.41666666666666669</v>
      </c>
      <c r="L104" s="4">
        <v>-1</v>
      </c>
      <c r="M104" s="9">
        <v>0.95833333333333337</v>
      </c>
      <c r="N104" s="9">
        <v>4.1666666666666657E-2</v>
      </c>
      <c r="O104" s="4">
        <v>-1</v>
      </c>
    </row>
    <row r="105" spans="1:15" x14ac:dyDescent="0.25">
      <c r="A105" s="5">
        <v>46204</v>
      </c>
      <c r="B105" s="4">
        <v>0</v>
      </c>
      <c r="C105" s="4">
        <v>23</v>
      </c>
      <c r="D105" s="4">
        <v>0</v>
      </c>
      <c r="F105" s="4">
        <v>0</v>
      </c>
      <c r="G105" s="4">
        <v>0</v>
      </c>
      <c r="H105" s="4">
        <v>23</v>
      </c>
      <c r="J105" s="9">
        <v>0.95833333333333337</v>
      </c>
      <c r="K105" s="9">
        <v>0.41666666666666669</v>
      </c>
      <c r="L105" s="4">
        <v>-1</v>
      </c>
      <c r="M105" s="9">
        <v>0.95833333333333337</v>
      </c>
      <c r="N105" s="9">
        <v>4.1666666666666657E-2</v>
      </c>
      <c r="O105" s="4">
        <v>-1</v>
      </c>
    </row>
    <row r="106" spans="1:15" x14ac:dyDescent="0.25">
      <c r="A106" s="5">
        <v>46205</v>
      </c>
      <c r="B106" s="4">
        <v>0</v>
      </c>
      <c r="C106" s="4">
        <v>23</v>
      </c>
      <c r="D106" s="4">
        <v>0</v>
      </c>
      <c r="F106" s="4">
        <v>0</v>
      </c>
      <c r="G106" s="4">
        <v>0</v>
      </c>
      <c r="H106" s="4">
        <v>23</v>
      </c>
      <c r="J106" s="9">
        <v>0.95833333333333337</v>
      </c>
      <c r="K106" s="9">
        <v>0.41666666666666669</v>
      </c>
      <c r="L106" s="4">
        <v>-1</v>
      </c>
      <c r="M106" s="9">
        <v>0.95833333333333337</v>
      </c>
      <c r="N106" s="9">
        <v>4.1666666666666657E-2</v>
      </c>
      <c r="O106" s="4">
        <v>-1</v>
      </c>
    </row>
    <row r="107" spans="1:15" x14ac:dyDescent="0.25">
      <c r="A107" s="5">
        <v>46206</v>
      </c>
      <c r="B107" s="4">
        <v>0</v>
      </c>
      <c r="C107" s="4">
        <v>23</v>
      </c>
      <c r="D107" s="4">
        <v>0</v>
      </c>
      <c r="F107" s="4">
        <v>0</v>
      </c>
      <c r="G107" s="4">
        <v>0</v>
      </c>
      <c r="H107" s="4">
        <v>23</v>
      </c>
      <c r="J107" s="9">
        <v>0.95833333333333337</v>
      </c>
      <c r="K107" s="9">
        <v>0.41666666666666669</v>
      </c>
      <c r="L107" s="4">
        <v>-1</v>
      </c>
      <c r="M107" s="9">
        <v>0.95833333333333337</v>
      </c>
      <c r="N107" s="9">
        <v>4.1666666666666657E-2</v>
      </c>
      <c r="O107" s="4">
        <v>-1</v>
      </c>
    </row>
    <row r="108" spans="1:15" x14ac:dyDescent="0.25">
      <c r="A108" s="5">
        <v>46207</v>
      </c>
      <c r="B108" s="4">
        <v>0</v>
      </c>
      <c r="C108" s="4">
        <v>23</v>
      </c>
      <c r="D108" s="4">
        <v>0</v>
      </c>
      <c r="F108" s="4">
        <v>0</v>
      </c>
      <c r="G108" s="4">
        <v>0</v>
      </c>
      <c r="H108" s="4">
        <v>23</v>
      </c>
      <c r="J108" s="9">
        <v>0.95833333333333337</v>
      </c>
      <c r="K108" s="9">
        <v>0.41666666666666669</v>
      </c>
      <c r="L108" s="4">
        <v>-1</v>
      </c>
      <c r="M108" s="9">
        <v>0.95833333333333337</v>
      </c>
      <c r="N108" s="9">
        <v>4.1666666666666657E-2</v>
      </c>
      <c r="O108" s="4">
        <v>-1</v>
      </c>
    </row>
    <row r="109" spans="1:15" x14ac:dyDescent="0.25">
      <c r="A109" s="5">
        <v>46208</v>
      </c>
      <c r="B109" s="4">
        <v>0</v>
      </c>
      <c r="C109" s="4">
        <v>23</v>
      </c>
      <c r="D109" s="4">
        <v>0</v>
      </c>
      <c r="F109" s="4">
        <v>0</v>
      </c>
      <c r="G109" s="4">
        <v>0</v>
      </c>
      <c r="H109" s="4">
        <v>23</v>
      </c>
      <c r="J109" s="9">
        <v>0.95833333333333337</v>
      </c>
      <c r="K109" s="9">
        <v>0.41666666666666669</v>
      </c>
      <c r="L109" s="4">
        <v>-1</v>
      </c>
      <c r="M109" s="9">
        <v>0.95833333333333337</v>
      </c>
      <c r="N109" s="9">
        <v>4.1666666666666657E-2</v>
      </c>
      <c r="O109" s="4">
        <v>-1</v>
      </c>
    </row>
    <row r="110" spans="1:15" x14ac:dyDescent="0.25">
      <c r="A110" s="5">
        <v>46209</v>
      </c>
      <c r="B110" s="4">
        <v>0</v>
      </c>
      <c r="C110" s="4">
        <v>23</v>
      </c>
      <c r="D110" s="4">
        <v>0</v>
      </c>
      <c r="F110" s="4">
        <v>0</v>
      </c>
      <c r="G110" s="4">
        <v>0</v>
      </c>
      <c r="H110" s="4">
        <v>23</v>
      </c>
      <c r="J110" s="9">
        <v>0.95833333333333337</v>
      </c>
      <c r="K110" s="9">
        <v>0.41666666666666669</v>
      </c>
      <c r="L110" s="4">
        <v>-1</v>
      </c>
      <c r="M110" s="9">
        <v>0.95833333333333337</v>
      </c>
      <c r="N110" s="9">
        <v>4.1666666666666657E-2</v>
      </c>
      <c r="O110" s="4">
        <v>-1</v>
      </c>
    </row>
    <row r="111" spans="1:15" x14ac:dyDescent="0.25">
      <c r="A111" s="5">
        <v>46210</v>
      </c>
      <c r="B111" s="4">
        <v>0</v>
      </c>
      <c r="C111" s="4">
        <v>23</v>
      </c>
      <c r="D111" s="4">
        <v>0</v>
      </c>
      <c r="F111" s="4">
        <v>0</v>
      </c>
      <c r="G111" s="4">
        <v>0</v>
      </c>
      <c r="H111" s="4">
        <v>23</v>
      </c>
      <c r="J111" s="9">
        <v>0.95833333333333337</v>
      </c>
      <c r="K111" s="9">
        <v>0.41666666666666669</v>
      </c>
      <c r="L111" s="4">
        <v>-1</v>
      </c>
      <c r="M111" s="9">
        <v>0.95833333333333337</v>
      </c>
      <c r="N111" s="9">
        <v>4.1666666666666657E-2</v>
      </c>
      <c r="O111" s="4">
        <v>-1</v>
      </c>
    </row>
    <row r="112" spans="1:15" x14ac:dyDescent="0.25">
      <c r="A112" s="5">
        <v>46211</v>
      </c>
      <c r="B112" s="4">
        <v>0</v>
      </c>
      <c r="C112" s="4">
        <v>23</v>
      </c>
      <c r="D112" s="4">
        <v>0</v>
      </c>
      <c r="F112" s="4">
        <v>0</v>
      </c>
      <c r="G112" s="4">
        <v>0</v>
      </c>
      <c r="H112" s="4">
        <v>23</v>
      </c>
      <c r="J112" s="9">
        <v>0.95833333333333337</v>
      </c>
      <c r="K112" s="9">
        <v>0.41666666666666669</v>
      </c>
      <c r="L112" s="4">
        <v>-1</v>
      </c>
      <c r="M112" s="9">
        <v>0.95833333333333337</v>
      </c>
      <c r="N112" s="9">
        <v>4.1666666666666657E-2</v>
      </c>
      <c r="O112" s="4">
        <v>-1</v>
      </c>
    </row>
    <row r="113" spans="1:15" x14ac:dyDescent="0.25">
      <c r="A113" s="5">
        <v>46212</v>
      </c>
      <c r="B113" s="4">
        <v>0</v>
      </c>
      <c r="C113" s="4">
        <v>23</v>
      </c>
      <c r="D113" s="4">
        <v>0</v>
      </c>
      <c r="F113" s="4">
        <v>0</v>
      </c>
      <c r="G113" s="4">
        <v>0</v>
      </c>
      <c r="H113" s="4">
        <v>23</v>
      </c>
      <c r="J113" s="9">
        <v>0.95833333333333337</v>
      </c>
      <c r="K113" s="9">
        <v>0.41666666666666669</v>
      </c>
      <c r="L113" s="4">
        <v>-1</v>
      </c>
      <c r="M113" s="9">
        <v>0.95833333333333337</v>
      </c>
      <c r="N113" s="9">
        <v>4.1666666666666657E-2</v>
      </c>
      <c r="O113" s="4">
        <v>-1</v>
      </c>
    </row>
    <row r="114" spans="1:15" x14ac:dyDescent="0.25">
      <c r="A114" s="5">
        <v>46213</v>
      </c>
      <c r="B114" s="4">
        <v>0</v>
      </c>
      <c r="C114" s="4">
        <v>23</v>
      </c>
      <c r="D114" s="4">
        <v>0</v>
      </c>
      <c r="F114" s="4">
        <v>0</v>
      </c>
      <c r="G114" s="4">
        <v>0</v>
      </c>
      <c r="H114" s="4">
        <v>23</v>
      </c>
      <c r="J114" s="9">
        <v>0.95833333333333337</v>
      </c>
      <c r="K114" s="9">
        <v>0.41666666666666669</v>
      </c>
      <c r="L114" s="4">
        <v>-1</v>
      </c>
      <c r="M114" s="9">
        <v>0.95833333333333337</v>
      </c>
      <c r="N114" s="9">
        <v>4.1666666666666657E-2</v>
      </c>
      <c r="O114" s="4">
        <v>-1</v>
      </c>
    </row>
    <row r="115" spans="1:15" x14ac:dyDescent="0.25">
      <c r="A115" s="5">
        <v>46214</v>
      </c>
      <c r="B115" s="4">
        <v>0</v>
      </c>
      <c r="C115" s="4">
        <v>23</v>
      </c>
      <c r="D115" s="4">
        <v>0</v>
      </c>
      <c r="F115" s="4">
        <v>0</v>
      </c>
      <c r="G115" s="4">
        <v>0</v>
      </c>
      <c r="H115" s="4">
        <v>23</v>
      </c>
      <c r="J115" s="9">
        <v>0.95833333333333337</v>
      </c>
      <c r="K115" s="9">
        <v>0.41666666666666669</v>
      </c>
      <c r="L115" s="4">
        <v>-1</v>
      </c>
      <c r="M115" s="9">
        <v>0.95833333333333337</v>
      </c>
      <c r="N115" s="9">
        <v>4.1666666666666657E-2</v>
      </c>
      <c r="O115" s="4">
        <v>-1</v>
      </c>
    </row>
    <row r="116" spans="1:15" x14ac:dyDescent="0.25">
      <c r="A116" s="5">
        <v>46215</v>
      </c>
      <c r="B116" s="4">
        <v>0</v>
      </c>
      <c r="C116" s="4">
        <v>23</v>
      </c>
      <c r="D116" s="4">
        <v>0</v>
      </c>
      <c r="F116" s="4">
        <v>0</v>
      </c>
      <c r="G116" s="4">
        <v>0</v>
      </c>
      <c r="H116" s="4">
        <v>23</v>
      </c>
      <c r="J116" s="9">
        <v>0.95833333333333337</v>
      </c>
      <c r="K116" s="9">
        <v>0.41666666666666669</v>
      </c>
      <c r="L116" s="4">
        <v>-1</v>
      </c>
      <c r="M116" s="9">
        <v>0.95833333333333337</v>
      </c>
      <c r="N116" s="9">
        <v>4.1666666666666657E-2</v>
      </c>
      <c r="O116" s="4">
        <v>-1</v>
      </c>
    </row>
    <row r="117" spans="1:15" x14ac:dyDescent="0.25">
      <c r="A117" s="5">
        <v>46216</v>
      </c>
      <c r="B117" s="4">
        <v>0</v>
      </c>
      <c r="C117" s="4">
        <v>23</v>
      </c>
      <c r="D117" s="4">
        <v>0</v>
      </c>
      <c r="F117" s="4">
        <v>0</v>
      </c>
      <c r="G117" s="4">
        <v>0</v>
      </c>
      <c r="H117" s="4">
        <v>23</v>
      </c>
      <c r="J117" s="9">
        <v>0.95833333333333337</v>
      </c>
      <c r="K117" s="9">
        <v>0.41666666666666669</v>
      </c>
      <c r="L117" s="4">
        <v>-1</v>
      </c>
      <c r="M117" s="9">
        <v>0.95833333333333337</v>
      </c>
      <c r="N117" s="9">
        <v>4.1666666666666657E-2</v>
      </c>
      <c r="O117" s="4">
        <v>-1</v>
      </c>
    </row>
    <row r="118" spans="1:15" x14ac:dyDescent="0.25">
      <c r="A118" s="5">
        <v>46217</v>
      </c>
      <c r="B118" s="4">
        <v>0</v>
      </c>
      <c r="C118" s="4">
        <v>23</v>
      </c>
      <c r="D118" s="4">
        <v>0</v>
      </c>
      <c r="F118" s="4">
        <v>0</v>
      </c>
      <c r="G118" s="4">
        <v>0</v>
      </c>
      <c r="H118" s="4">
        <v>23</v>
      </c>
      <c r="J118" s="9">
        <v>0.95833333333333337</v>
      </c>
      <c r="K118" s="9">
        <v>0.41666666666666669</v>
      </c>
      <c r="L118" s="4">
        <v>-1</v>
      </c>
      <c r="M118" s="9">
        <v>0.95833333333333337</v>
      </c>
      <c r="N118" s="9">
        <v>4.1666666666666657E-2</v>
      </c>
      <c r="O118" s="4">
        <v>-1</v>
      </c>
    </row>
    <row r="119" spans="1:15" x14ac:dyDescent="0.25">
      <c r="A119" s="5">
        <v>46218</v>
      </c>
      <c r="B119" s="4">
        <v>0</v>
      </c>
      <c r="C119" s="4">
        <v>23</v>
      </c>
      <c r="D119" s="4">
        <v>0</v>
      </c>
      <c r="F119" s="4">
        <v>0</v>
      </c>
      <c r="G119" s="4">
        <v>0</v>
      </c>
      <c r="H119" s="4">
        <v>23</v>
      </c>
      <c r="J119" s="9">
        <v>0.95833333333333337</v>
      </c>
      <c r="K119" s="9">
        <v>0.41666666666666669</v>
      </c>
      <c r="L119" s="4">
        <v>-1</v>
      </c>
      <c r="M119" s="9">
        <v>0.95833333333333337</v>
      </c>
      <c r="N119" s="9">
        <v>4.1666666666666657E-2</v>
      </c>
      <c r="O119" s="4">
        <v>-1</v>
      </c>
    </row>
    <row r="120" spans="1:15" x14ac:dyDescent="0.25">
      <c r="A120" s="5">
        <v>46219</v>
      </c>
      <c r="B120" s="4">
        <v>0</v>
      </c>
      <c r="C120" s="4">
        <v>23</v>
      </c>
      <c r="D120" s="4">
        <v>0</v>
      </c>
      <c r="F120" s="4">
        <v>0</v>
      </c>
      <c r="G120" s="4">
        <v>0</v>
      </c>
      <c r="H120" s="4">
        <v>23</v>
      </c>
      <c r="J120" s="9">
        <v>0.95833333333333337</v>
      </c>
      <c r="K120" s="9">
        <v>0.41666666666666669</v>
      </c>
      <c r="L120" s="4">
        <v>-1</v>
      </c>
      <c r="M120" s="9">
        <v>0.95833333333333337</v>
      </c>
      <c r="N120" s="9">
        <v>4.1666666666666657E-2</v>
      </c>
      <c r="O120" s="4">
        <v>-1</v>
      </c>
    </row>
    <row r="121" spans="1:15" x14ac:dyDescent="0.25">
      <c r="A121" s="5">
        <v>46220</v>
      </c>
      <c r="B121" s="4">
        <v>0</v>
      </c>
      <c r="C121" s="4">
        <v>23</v>
      </c>
      <c r="D121" s="4">
        <v>0</v>
      </c>
      <c r="F121" s="4">
        <v>0</v>
      </c>
      <c r="G121" s="4">
        <v>0</v>
      </c>
      <c r="H121" s="4">
        <v>23</v>
      </c>
      <c r="J121" s="9">
        <v>0.95833333333333337</v>
      </c>
      <c r="K121" s="9">
        <v>0.41666666666666669</v>
      </c>
      <c r="L121" s="4">
        <v>-1</v>
      </c>
      <c r="M121" s="9">
        <v>0.95833333333333337</v>
      </c>
      <c r="N121" s="9">
        <v>4.1666666666666657E-2</v>
      </c>
      <c r="O121" s="4">
        <v>-1</v>
      </c>
    </row>
    <row r="122" spans="1:15" x14ac:dyDescent="0.25">
      <c r="A122" s="5">
        <v>46221</v>
      </c>
      <c r="B122" s="4">
        <v>0</v>
      </c>
      <c r="C122" s="4">
        <v>23</v>
      </c>
      <c r="D122" s="4">
        <v>0</v>
      </c>
      <c r="F122" s="4">
        <v>0</v>
      </c>
      <c r="G122" s="4">
        <v>0</v>
      </c>
      <c r="H122" s="4">
        <v>23</v>
      </c>
      <c r="J122" s="9">
        <v>0.95833333333333337</v>
      </c>
      <c r="K122" s="9">
        <v>0.41666666666666669</v>
      </c>
      <c r="L122" s="4">
        <v>-1</v>
      </c>
      <c r="M122" s="9">
        <v>0.95833333333333337</v>
      </c>
      <c r="N122" s="9">
        <v>4.1666666666666657E-2</v>
      </c>
      <c r="O122" s="4">
        <v>-1</v>
      </c>
    </row>
    <row r="123" spans="1:15" x14ac:dyDescent="0.25">
      <c r="A123" s="5">
        <v>46222</v>
      </c>
      <c r="B123" s="4">
        <v>0</v>
      </c>
      <c r="C123" s="4">
        <v>23</v>
      </c>
      <c r="D123" s="4">
        <v>0</v>
      </c>
      <c r="F123" s="4">
        <v>0</v>
      </c>
      <c r="G123" s="4">
        <v>0</v>
      </c>
      <c r="H123" s="4">
        <v>23</v>
      </c>
      <c r="J123" s="9">
        <v>0.95833333333333337</v>
      </c>
      <c r="K123" s="9">
        <v>0.41666666666666669</v>
      </c>
      <c r="L123" s="4">
        <v>-1</v>
      </c>
      <c r="M123" s="9">
        <v>0.95833333333333337</v>
      </c>
      <c r="N123" s="9">
        <v>4.1666666666666657E-2</v>
      </c>
      <c r="O123" s="4">
        <v>-1</v>
      </c>
    </row>
    <row r="124" spans="1:15" x14ac:dyDescent="0.25">
      <c r="A124" s="5">
        <v>46223</v>
      </c>
      <c r="B124" s="4">
        <v>0</v>
      </c>
      <c r="C124" s="4">
        <v>23</v>
      </c>
      <c r="D124" s="4">
        <v>0</v>
      </c>
      <c r="F124" s="4">
        <v>0</v>
      </c>
      <c r="G124" s="4">
        <v>0</v>
      </c>
      <c r="H124" s="4">
        <v>23</v>
      </c>
      <c r="J124" s="9">
        <v>0.95833333333333337</v>
      </c>
      <c r="K124" s="9">
        <v>0.41666666666666669</v>
      </c>
      <c r="L124" s="4">
        <v>-1</v>
      </c>
      <c r="M124" s="9">
        <v>0.95833333333333337</v>
      </c>
      <c r="N124" s="9">
        <v>4.1666666666666657E-2</v>
      </c>
      <c r="O124" s="4">
        <v>-1</v>
      </c>
    </row>
    <row r="125" spans="1:15" x14ac:dyDescent="0.25">
      <c r="A125" s="5">
        <v>46224</v>
      </c>
      <c r="B125" s="4">
        <v>0</v>
      </c>
      <c r="C125" s="4">
        <v>23</v>
      </c>
      <c r="D125" s="4">
        <v>0</v>
      </c>
      <c r="F125" s="4">
        <v>0</v>
      </c>
      <c r="G125" s="4">
        <v>0</v>
      </c>
      <c r="H125" s="4">
        <v>23</v>
      </c>
      <c r="J125" s="9">
        <v>0.95833333333333337</v>
      </c>
      <c r="K125" s="9">
        <v>0.41666666666666669</v>
      </c>
      <c r="L125" s="4">
        <v>-1</v>
      </c>
      <c r="M125" s="9">
        <v>0.95833333333333337</v>
      </c>
      <c r="N125" s="9">
        <v>4.1666666666666657E-2</v>
      </c>
      <c r="O125" s="4">
        <v>-1</v>
      </c>
    </row>
    <row r="126" spans="1:15" x14ac:dyDescent="0.25">
      <c r="A126" s="5">
        <v>46225</v>
      </c>
      <c r="B126" s="4">
        <v>1</v>
      </c>
      <c r="C126" s="4">
        <v>24</v>
      </c>
      <c r="D126" s="4">
        <v>0</v>
      </c>
      <c r="F126" s="4">
        <v>0</v>
      </c>
      <c r="G126" s="4">
        <v>0</v>
      </c>
      <c r="H126" s="4">
        <v>23</v>
      </c>
      <c r="J126" s="9">
        <v>1</v>
      </c>
      <c r="K126" s="9">
        <v>0.41666666666666669</v>
      </c>
      <c r="L126" s="4">
        <v>-1</v>
      </c>
      <c r="M126" s="9">
        <v>0.95833333333333337</v>
      </c>
      <c r="N126" s="9">
        <v>4.1666666666666657E-2</v>
      </c>
      <c r="O126" s="4">
        <v>-1</v>
      </c>
    </row>
    <row r="127" spans="1:15" x14ac:dyDescent="0.25">
      <c r="A127" s="5">
        <v>46226</v>
      </c>
      <c r="B127" s="4">
        <v>0</v>
      </c>
      <c r="C127" s="4">
        <v>24</v>
      </c>
      <c r="D127" s="4">
        <v>0</v>
      </c>
      <c r="F127" s="4">
        <v>0</v>
      </c>
      <c r="G127" s="4">
        <v>0</v>
      </c>
      <c r="H127" s="4">
        <v>23</v>
      </c>
      <c r="J127" s="9">
        <v>1</v>
      </c>
      <c r="K127" s="9">
        <v>0.41666666666666669</v>
      </c>
      <c r="L127" s="4">
        <v>-1</v>
      </c>
      <c r="M127" s="9">
        <v>0.95833333333333337</v>
      </c>
      <c r="N127" s="9">
        <v>4.1666666666666657E-2</v>
      </c>
      <c r="O127" s="4">
        <v>-1</v>
      </c>
    </row>
    <row r="128" spans="1:15" x14ac:dyDescent="0.25">
      <c r="A128" s="5">
        <v>46227</v>
      </c>
      <c r="B128" s="4">
        <v>0</v>
      </c>
      <c r="C128" s="4">
        <v>24</v>
      </c>
      <c r="D128" s="4">
        <v>0</v>
      </c>
      <c r="F128" s="4">
        <v>0</v>
      </c>
      <c r="G128" s="4">
        <v>0</v>
      </c>
      <c r="H128" s="4">
        <v>23</v>
      </c>
      <c r="J128" s="9">
        <v>1</v>
      </c>
      <c r="K128" s="9">
        <v>0.41666666666666669</v>
      </c>
      <c r="L128" s="4">
        <v>-1</v>
      </c>
      <c r="M128" s="9">
        <v>0.95833333333333337</v>
      </c>
      <c r="N128" s="9">
        <v>4.1666666666666657E-2</v>
      </c>
      <c r="O128" s="4">
        <v>-1</v>
      </c>
    </row>
    <row r="129" spans="1:15" x14ac:dyDescent="0.25">
      <c r="A129" s="5">
        <v>46228</v>
      </c>
      <c r="B129" s="4">
        <v>0</v>
      </c>
      <c r="C129" s="4">
        <v>24</v>
      </c>
      <c r="D129" s="4">
        <v>0</v>
      </c>
      <c r="F129" s="4">
        <v>0</v>
      </c>
      <c r="G129" s="4">
        <v>0</v>
      </c>
      <c r="H129" s="4">
        <v>23</v>
      </c>
      <c r="J129" s="9">
        <v>1</v>
      </c>
      <c r="K129" s="9">
        <v>0.41666666666666669</v>
      </c>
      <c r="L129" s="4">
        <v>-1</v>
      </c>
      <c r="M129" s="9">
        <v>0.95833333333333337</v>
      </c>
      <c r="N129" s="9">
        <v>4.1666666666666657E-2</v>
      </c>
      <c r="O129" s="4">
        <v>-1</v>
      </c>
    </row>
    <row r="130" spans="1:15" x14ac:dyDescent="0.25">
      <c r="A130" s="5">
        <v>46229</v>
      </c>
      <c r="B130" s="4">
        <v>0</v>
      </c>
      <c r="C130" s="4">
        <v>24</v>
      </c>
      <c r="D130" s="4">
        <v>0</v>
      </c>
      <c r="F130" s="4">
        <v>0</v>
      </c>
      <c r="G130" s="4">
        <v>0</v>
      </c>
      <c r="H130" s="4">
        <v>23</v>
      </c>
      <c r="J130" s="9">
        <v>1</v>
      </c>
      <c r="K130" s="9">
        <v>0.41666666666666669</v>
      </c>
      <c r="L130" s="4">
        <v>-1</v>
      </c>
      <c r="M130" s="9">
        <v>0.95833333333333337</v>
      </c>
      <c r="N130" s="9">
        <v>4.1666666666666657E-2</v>
      </c>
      <c r="O130" s="4">
        <v>-1</v>
      </c>
    </row>
    <row r="131" spans="1:15" x14ac:dyDescent="0.25">
      <c r="A131" s="5">
        <v>46230</v>
      </c>
      <c r="B131" s="4">
        <v>0</v>
      </c>
      <c r="C131" s="4">
        <v>24</v>
      </c>
      <c r="D131" s="4">
        <v>0</v>
      </c>
      <c r="F131" s="4">
        <v>0</v>
      </c>
      <c r="G131" s="4">
        <v>0</v>
      </c>
      <c r="H131" s="4">
        <v>23</v>
      </c>
      <c r="J131" s="9">
        <v>1</v>
      </c>
      <c r="K131" s="9">
        <v>0.41666666666666669</v>
      </c>
      <c r="L131" s="4">
        <v>-1</v>
      </c>
      <c r="M131" s="9">
        <v>0.95833333333333337</v>
      </c>
      <c r="N131" s="9">
        <v>4.1666666666666657E-2</v>
      </c>
      <c r="O131" s="4">
        <v>-1</v>
      </c>
    </row>
    <row r="132" spans="1:15" x14ac:dyDescent="0.25">
      <c r="A132" s="5">
        <v>46231</v>
      </c>
      <c r="B132" s="4">
        <v>0</v>
      </c>
      <c r="C132" s="4">
        <v>24</v>
      </c>
      <c r="D132" s="4">
        <v>0</v>
      </c>
      <c r="F132" s="4">
        <v>1</v>
      </c>
      <c r="G132" s="4">
        <v>0</v>
      </c>
      <c r="H132" s="4">
        <v>24</v>
      </c>
      <c r="J132" s="9">
        <v>1</v>
      </c>
      <c r="K132" s="9">
        <v>0.41666666666666669</v>
      </c>
      <c r="L132" s="4">
        <v>-1</v>
      </c>
      <c r="M132" s="9">
        <v>1</v>
      </c>
      <c r="N132" s="9">
        <v>4.1666666666666657E-2</v>
      </c>
      <c r="O132" s="4">
        <v>-1</v>
      </c>
    </row>
    <row r="133" spans="1:15" x14ac:dyDescent="0.25">
      <c r="A133" s="5">
        <v>46232</v>
      </c>
      <c r="B133" s="4">
        <v>0</v>
      </c>
      <c r="C133" s="4">
        <v>24</v>
      </c>
      <c r="D133" s="4">
        <v>0</v>
      </c>
      <c r="F133" s="4">
        <v>0</v>
      </c>
      <c r="G133" s="4">
        <v>0</v>
      </c>
      <c r="H133" s="4">
        <v>24</v>
      </c>
      <c r="J133" s="9">
        <v>1</v>
      </c>
      <c r="K133" s="9">
        <v>0.41666666666666669</v>
      </c>
      <c r="L133" s="4">
        <v>-1</v>
      </c>
      <c r="M133" s="9">
        <v>1</v>
      </c>
      <c r="N133" s="9">
        <v>4.1666666666666657E-2</v>
      </c>
      <c r="O133" s="4">
        <v>-1</v>
      </c>
    </row>
    <row r="134" spans="1:15" x14ac:dyDescent="0.25">
      <c r="A134" s="5">
        <v>46233</v>
      </c>
      <c r="B134" s="4">
        <v>0</v>
      </c>
      <c r="C134" s="4">
        <v>24</v>
      </c>
      <c r="D134" s="4">
        <v>0</v>
      </c>
      <c r="F134" s="4">
        <v>0</v>
      </c>
      <c r="G134" s="4">
        <v>0</v>
      </c>
      <c r="H134" s="4">
        <v>24</v>
      </c>
      <c r="J134" s="9">
        <v>1</v>
      </c>
      <c r="K134" s="9">
        <v>0.41666666666666669</v>
      </c>
      <c r="L134" s="4">
        <v>-1</v>
      </c>
      <c r="M134" s="9">
        <v>1</v>
      </c>
      <c r="N134" s="9">
        <v>4.1666666666666657E-2</v>
      </c>
      <c r="O134" s="4">
        <v>-1</v>
      </c>
    </row>
    <row r="135" spans="1:15" x14ac:dyDescent="0.25">
      <c r="A135" s="5">
        <v>46234</v>
      </c>
      <c r="B135" s="4">
        <v>0</v>
      </c>
      <c r="C135" s="4">
        <v>24</v>
      </c>
      <c r="D135" s="4">
        <v>0</v>
      </c>
      <c r="F135" s="4">
        <v>0</v>
      </c>
      <c r="G135" s="4">
        <v>0</v>
      </c>
      <c r="H135" s="4">
        <v>24</v>
      </c>
      <c r="J135" s="9">
        <v>1</v>
      </c>
      <c r="K135" s="9">
        <v>0.41666666666666669</v>
      </c>
      <c r="L135" s="4">
        <v>-1</v>
      </c>
      <c r="M135" s="9">
        <v>1</v>
      </c>
      <c r="N135" s="9">
        <v>4.1666666666666657E-2</v>
      </c>
      <c r="O135" s="4">
        <v>-1</v>
      </c>
    </row>
    <row r="136" spans="1:15" x14ac:dyDescent="0.25">
      <c r="A136" s="5">
        <v>46235</v>
      </c>
      <c r="B136" s="4">
        <v>0</v>
      </c>
      <c r="C136" s="4">
        <v>24</v>
      </c>
      <c r="D136" s="4">
        <v>0</v>
      </c>
      <c r="F136" s="4">
        <v>0</v>
      </c>
      <c r="G136" s="4">
        <v>0</v>
      </c>
      <c r="H136" s="4">
        <v>24</v>
      </c>
      <c r="J136" s="9">
        <v>1</v>
      </c>
      <c r="K136" s="9">
        <v>0.41666666666666669</v>
      </c>
      <c r="L136" s="4">
        <v>-1</v>
      </c>
      <c r="M136" s="9">
        <v>1</v>
      </c>
      <c r="N136" s="9">
        <v>4.1666666666666657E-2</v>
      </c>
      <c r="O136" s="4">
        <v>-1</v>
      </c>
    </row>
    <row r="137" spans="1:15" x14ac:dyDescent="0.25">
      <c r="A137" s="5">
        <v>46236</v>
      </c>
      <c r="B137" s="4">
        <v>0</v>
      </c>
      <c r="C137" s="4">
        <v>24</v>
      </c>
      <c r="D137" s="4">
        <v>0</v>
      </c>
      <c r="F137" s="4">
        <v>0</v>
      </c>
      <c r="G137" s="4">
        <v>0</v>
      </c>
      <c r="H137" s="4">
        <v>24</v>
      </c>
      <c r="J137" s="9">
        <v>1</v>
      </c>
      <c r="K137" s="9">
        <v>0.41666666666666669</v>
      </c>
      <c r="L137" s="4">
        <v>-1</v>
      </c>
      <c r="M137" s="9">
        <v>1</v>
      </c>
      <c r="N137" s="9">
        <v>4.1666666666666657E-2</v>
      </c>
      <c r="O137" s="4">
        <v>-1</v>
      </c>
    </row>
    <row r="138" spans="1:15" x14ac:dyDescent="0.25">
      <c r="A138" s="5">
        <v>46237</v>
      </c>
      <c r="B138" s="4">
        <v>0</v>
      </c>
      <c r="C138" s="4">
        <v>24</v>
      </c>
      <c r="D138" s="4">
        <v>0</v>
      </c>
      <c r="F138" s="4">
        <v>0</v>
      </c>
      <c r="G138" s="4">
        <v>0</v>
      </c>
      <c r="H138" s="4">
        <v>24</v>
      </c>
      <c r="J138" s="9">
        <v>1</v>
      </c>
      <c r="K138" s="9">
        <v>0.41666666666666669</v>
      </c>
      <c r="L138" s="4">
        <v>-1</v>
      </c>
      <c r="M138" s="9">
        <v>1</v>
      </c>
      <c r="N138" s="9">
        <v>4.1666666666666657E-2</v>
      </c>
      <c r="O138" s="4">
        <v>-1</v>
      </c>
    </row>
    <row r="139" spans="1:15" x14ac:dyDescent="0.25">
      <c r="A139" s="5">
        <v>46238</v>
      </c>
      <c r="B139" s="4">
        <v>0</v>
      </c>
      <c r="C139" s="4">
        <v>24</v>
      </c>
      <c r="D139" s="4">
        <v>0</v>
      </c>
      <c r="F139" s="4">
        <v>0</v>
      </c>
      <c r="G139" s="4">
        <v>0</v>
      </c>
      <c r="H139" s="4">
        <v>24</v>
      </c>
      <c r="J139" s="9">
        <v>1</v>
      </c>
      <c r="K139" s="9">
        <v>0.41666666666666669</v>
      </c>
      <c r="L139" s="4">
        <v>-1</v>
      </c>
      <c r="M139" s="9">
        <v>1</v>
      </c>
      <c r="N139" s="9">
        <v>4.1666666666666657E-2</v>
      </c>
      <c r="O139" s="4">
        <v>-1</v>
      </c>
    </row>
    <row r="140" spans="1:15" x14ac:dyDescent="0.25">
      <c r="A140" s="5">
        <v>46239</v>
      </c>
      <c r="B140" s="4">
        <v>0</v>
      </c>
      <c r="C140" s="4">
        <v>24</v>
      </c>
      <c r="D140" s="4">
        <v>0</v>
      </c>
      <c r="F140" s="4">
        <v>0</v>
      </c>
      <c r="G140" s="4">
        <v>0</v>
      </c>
      <c r="H140" s="4">
        <v>24</v>
      </c>
      <c r="J140" s="9">
        <v>1</v>
      </c>
      <c r="K140" s="9">
        <v>0.41666666666666669</v>
      </c>
      <c r="L140" s="4">
        <v>-1</v>
      </c>
      <c r="M140" s="9">
        <v>1</v>
      </c>
      <c r="N140" s="9">
        <v>4.1666666666666657E-2</v>
      </c>
      <c r="O140" s="4">
        <v>-1</v>
      </c>
    </row>
    <row r="141" spans="1:15" x14ac:dyDescent="0.25">
      <c r="A141" s="5">
        <v>46240</v>
      </c>
      <c r="B141" s="4">
        <v>0</v>
      </c>
      <c r="C141" s="4">
        <v>24</v>
      </c>
      <c r="D141" s="4">
        <v>0</v>
      </c>
      <c r="F141" s="4">
        <v>0</v>
      </c>
      <c r="G141" s="4">
        <v>0</v>
      </c>
      <c r="H141" s="4">
        <v>24</v>
      </c>
      <c r="J141" s="9">
        <v>1</v>
      </c>
      <c r="K141" s="9">
        <v>0.41666666666666669</v>
      </c>
      <c r="L141" s="4">
        <v>-1</v>
      </c>
      <c r="M141" s="9">
        <v>1</v>
      </c>
      <c r="N141" s="9">
        <v>4.1666666666666657E-2</v>
      </c>
      <c r="O141" s="4">
        <v>-1</v>
      </c>
    </row>
    <row r="142" spans="1:15" x14ac:dyDescent="0.25">
      <c r="A142" s="5">
        <v>46241</v>
      </c>
      <c r="B142" s="4">
        <v>0</v>
      </c>
      <c r="C142" s="4">
        <v>24</v>
      </c>
      <c r="D142" s="4">
        <v>0</v>
      </c>
      <c r="F142" s="4">
        <v>0</v>
      </c>
      <c r="G142" s="4">
        <v>0</v>
      </c>
      <c r="H142" s="4">
        <v>24</v>
      </c>
      <c r="J142" s="9">
        <v>1</v>
      </c>
      <c r="K142" s="9">
        <v>0.41666666666666669</v>
      </c>
      <c r="L142" s="4">
        <v>-1</v>
      </c>
      <c r="M142" s="9">
        <v>1</v>
      </c>
      <c r="N142" s="9">
        <v>4.1666666666666657E-2</v>
      </c>
      <c r="O142" s="4">
        <v>-1</v>
      </c>
    </row>
    <row r="143" spans="1:15" x14ac:dyDescent="0.25">
      <c r="A143" s="5">
        <v>46242</v>
      </c>
      <c r="B143" s="4">
        <v>0</v>
      </c>
      <c r="C143" s="4">
        <v>24</v>
      </c>
      <c r="D143" s="4">
        <v>0</v>
      </c>
      <c r="F143" s="4">
        <v>0</v>
      </c>
      <c r="G143" s="4">
        <v>0</v>
      </c>
      <c r="H143" s="4">
        <v>24</v>
      </c>
      <c r="J143" s="9">
        <v>1</v>
      </c>
      <c r="K143" s="9">
        <v>0.41666666666666669</v>
      </c>
      <c r="L143" s="4">
        <v>-1</v>
      </c>
      <c r="M143" s="9">
        <v>1</v>
      </c>
      <c r="N143" s="9">
        <v>4.1666666666666657E-2</v>
      </c>
      <c r="O143" s="4">
        <v>-1</v>
      </c>
    </row>
    <row r="144" spans="1:15" x14ac:dyDescent="0.25">
      <c r="A144" s="5">
        <v>46243</v>
      </c>
      <c r="B144" s="4">
        <v>0</v>
      </c>
      <c r="C144" s="4">
        <v>24</v>
      </c>
      <c r="D144" s="4">
        <v>0</v>
      </c>
      <c r="F144" s="4">
        <v>0</v>
      </c>
      <c r="G144" s="4">
        <v>0</v>
      </c>
      <c r="H144" s="4">
        <v>24</v>
      </c>
      <c r="J144" s="9">
        <v>1</v>
      </c>
      <c r="K144" s="9">
        <v>0.41666666666666669</v>
      </c>
      <c r="L144" s="4">
        <v>-1</v>
      </c>
      <c r="M144" s="9">
        <v>1</v>
      </c>
      <c r="N144" s="9">
        <v>4.1666666666666657E-2</v>
      </c>
      <c r="O144" s="4">
        <v>-1</v>
      </c>
    </row>
    <row r="145" spans="1:15" x14ac:dyDescent="0.25">
      <c r="A145" s="5">
        <v>46244</v>
      </c>
      <c r="B145" s="4">
        <v>0</v>
      </c>
      <c r="C145" s="4">
        <v>24</v>
      </c>
      <c r="D145" s="4">
        <v>0</v>
      </c>
      <c r="F145" s="4">
        <v>0</v>
      </c>
      <c r="G145" s="4">
        <v>0</v>
      </c>
      <c r="H145" s="4">
        <v>24</v>
      </c>
      <c r="J145" s="9">
        <v>1</v>
      </c>
      <c r="K145" s="9">
        <v>0.41666666666666669</v>
      </c>
      <c r="L145" s="4">
        <v>-1</v>
      </c>
      <c r="M145" s="9">
        <v>1</v>
      </c>
      <c r="N145" s="9">
        <v>4.1666666666666657E-2</v>
      </c>
      <c r="O145" s="4">
        <v>-1</v>
      </c>
    </row>
    <row r="146" spans="1:15" x14ac:dyDescent="0.25">
      <c r="A146" s="5">
        <v>46245</v>
      </c>
      <c r="B146" s="4">
        <v>0</v>
      </c>
      <c r="C146" s="4">
        <v>24</v>
      </c>
      <c r="D146" s="4">
        <v>0</v>
      </c>
      <c r="F146" s="4">
        <v>0</v>
      </c>
      <c r="G146" s="4">
        <v>0</v>
      </c>
      <c r="H146" s="4">
        <v>24</v>
      </c>
      <c r="J146" s="9">
        <v>1</v>
      </c>
      <c r="K146" s="9">
        <v>0.41666666666666669</v>
      </c>
      <c r="L146" s="4">
        <v>-1</v>
      </c>
      <c r="M146" s="9">
        <v>1</v>
      </c>
      <c r="N146" s="9">
        <v>4.1666666666666657E-2</v>
      </c>
      <c r="O146" s="4">
        <v>-1</v>
      </c>
    </row>
    <row r="147" spans="1:15" x14ac:dyDescent="0.25">
      <c r="A147" s="5">
        <v>46246</v>
      </c>
      <c r="B147" s="4">
        <v>0</v>
      </c>
      <c r="C147" s="4">
        <v>24</v>
      </c>
      <c r="D147" s="4">
        <v>0</v>
      </c>
      <c r="F147" s="4">
        <v>0</v>
      </c>
      <c r="G147" s="4">
        <v>0</v>
      </c>
      <c r="H147" s="4">
        <v>24</v>
      </c>
      <c r="J147" s="9">
        <v>1</v>
      </c>
      <c r="K147" s="9">
        <v>0.41666666666666669</v>
      </c>
      <c r="L147" s="4">
        <v>-1</v>
      </c>
      <c r="M147" s="9">
        <v>1</v>
      </c>
      <c r="N147" s="9">
        <v>4.1666666666666657E-2</v>
      </c>
      <c r="O147" s="4">
        <v>-1</v>
      </c>
    </row>
    <row r="148" spans="1:15" x14ac:dyDescent="0.25">
      <c r="A148" s="5">
        <v>46247</v>
      </c>
      <c r="B148" s="4">
        <v>0</v>
      </c>
      <c r="C148" s="4">
        <v>24</v>
      </c>
      <c r="D148" s="4">
        <v>0</v>
      </c>
      <c r="F148" s="4">
        <v>0</v>
      </c>
      <c r="G148" s="4">
        <v>0</v>
      </c>
      <c r="H148" s="4">
        <v>24</v>
      </c>
      <c r="J148" s="9">
        <v>1</v>
      </c>
      <c r="K148" s="9">
        <v>0.41666666666666669</v>
      </c>
      <c r="L148" s="4">
        <v>-1</v>
      </c>
      <c r="M148" s="9">
        <v>1</v>
      </c>
      <c r="N148" s="9">
        <v>4.1666666666666657E-2</v>
      </c>
      <c r="O148" s="4">
        <v>-1</v>
      </c>
    </row>
    <row r="149" spans="1:15" x14ac:dyDescent="0.25">
      <c r="A149" s="5">
        <v>46248</v>
      </c>
      <c r="B149" s="4">
        <v>0</v>
      </c>
      <c r="C149" s="4">
        <v>24</v>
      </c>
      <c r="D149" s="4">
        <v>0</v>
      </c>
      <c r="F149" s="4">
        <v>0</v>
      </c>
      <c r="G149" s="4">
        <v>0</v>
      </c>
      <c r="H149" s="4">
        <v>24</v>
      </c>
      <c r="J149" s="9">
        <v>1</v>
      </c>
      <c r="K149" s="9">
        <v>0.41666666666666669</v>
      </c>
      <c r="L149" s="4">
        <v>-1</v>
      </c>
      <c r="M149" s="9">
        <v>1</v>
      </c>
      <c r="N149" s="9">
        <v>4.1666666666666657E-2</v>
      </c>
      <c r="O149" s="4">
        <v>-1</v>
      </c>
    </row>
    <row r="150" spans="1:15" x14ac:dyDescent="0.25">
      <c r="A150" s="5">
        <v>46249</v>
      </c>
      <c r="B150" s="4">
        <v>0</v>
      </c>
      <c r="C150" s="4">
        <v>24</v>
      </c>
      <c r="D150" s="4">
        <v>0</v>
      </c>
      <c r="F150" s="4">
        <v>0</v>
      </c>
      <c r="G150" s="4">
        <v>0</v>
      </c>
      <c r="H150" s="4">
        <v>24</v>
      </c>
      <c r="J150" s="9">
        <v>1</v>
      </c>
      <c r="K150" s="9">
        <v>0.41666666666666669</v>
      </c>
      <c r="L150" s="4">
        <v>-1</v>
      </c>
      <c r="M150" s="9">
        <v>1</v>
      </c>
      <c r="N150" s="9">
        <v>4.1666666666666657E-2</v>
      </c>
      <c r="O150" s="4">
        <v>-1</v>
      </c>
    </row>
    <row r="151" spans="1:15" x14ac:dyDescent="0.25">
      <c r="A151" s="5">
        <v>46250</v>
      </c>
      <c r="B151" s="4">
        <v>0</v>
      </c>
      <c r="C151" s="4">
        <v>24</v>
      </c>
      <c r="D151" s="4">
        <v>0</v>
      </c>
      <c r="F151" s="4">
        <v>0</v>
      </c>
      <c r="G151" s="4">
        <v>0</v>
      </c>
      <c r="H151" s="4">
        <v>24</v>
      </c>
      <c r="J151" s="9">
        <v>1</v>
      </c>
      <c r="K151" s="9">
        <v>0.41666666666666669</v>
      </c>
      <c r="L151" s="4">
        <v>-1</v>
      </c>
      <c r="M151" s="9">
        <v>1</v>
      </c>
      <c r="N151" s="9">
        <v>4.1666666666666657E-2</v>
      </c>
      <c r="O151" s="4">
        <v>-1</v>
      </c>
    </row>
    <row r="152" spans="1:15" x14ac:dyDescent="0.25">
      <c r="A152" s="5">
        <v>46251</v>
      </c>
      <c r="B152" s="4">
        <v>0</v>
      </c>
      <c r="C152" s="4">
        <v>24</v>
      </c>
      <c r="D152" s="4">
        <v>0</v>
      </c>
      <c r="F152" s="4">
        <v>0</v>
      </c>
      <c r="G152" s="4">
        <v>0</v>
      </c>
      <c r="H152" s="4">
        <v>24</v>
      </c>
      <c r="J152" s="9">
        <v>1</v>
      </c>
      <c r="K152" s="9">
        <v>0.41666666666666669</v>
      </c>
      <c r="L152" s="4">
        <v>-1</v>
      </c>
      <c r="M152" s="9">
        <v>1</v>
      </c>
      <c r="N152" s="9">
        <v>4.1666666666666657E-2</v>
      </c>
      <c r="O152" s="4">
        <v>-1</v>
      </c>
    </row>
    <row r="153" spans="1:15" x14ac:dyDescent="0.25">
      <c r="A153" s="5">
        <v>46252</v>
      </c>
      <c r="B153" s="4">
        <v>0</v>
      </c>
      <c r="C153" s="4">
        <v>24</v>
      </c>
      <c r="D153" s="4">
        <v>0</v>
      </c>
      <c r="F153" s="4">
        <v>0</v>
      </c>
      <c r="G153" s="4">
        <v>0</v>
      </c>
      <c r="H153" s="4">
        <v>24</v>
      </c>
      <c r="J153" s="9">
        <v>1</v>
      </c>
      <c r="K153" s="9">
        <v>0.41666666666666669</v>
      </c>
      <c r="L153" s="4">
        <v>-1</v>
      </c>
      <c r="M153" s="9">
        <v>1</v>
      </c>
      <c r="N153" s="9">
        <v>4.1666666666666657E-2</v>
      </c>
      <c r="O153" s="4">
        <v>-1</v>
      </c>
    </row>
    <row r="154" spans="1:15" x14ac:dyDescent="0.25">
      <c r="A154" s="5">
        <v>46253</v>
      </c>
      <c r="B154" s="4">
        <v>0</v>
      </c>
      <c r="C154" s="4">
        <v>24</v>
      </c>
      <c r="D154" s="4">
        <v>0</v>
      </c>
      <c r="F154" s="4">
        <v>0</v>
      </c>
      <c r="G154" s="4">
        <v>0</v>
      </c>
      <c r="H154" s="4">
        <v>24</v>
      </c>
      <c r="J154" s="9">
        <v>1</v>
      </c>
      <c r="K154" s="9">
        <v>0.41666666666666669</v>
      </c>
      <c r="L154" s="4">
        <v>-1</v>
      </c>
      <c r="M154" s="9">
        <v>1</v>
      </c>
      <c r="N154" s="9">
        <v>4.1666666666666657E-2</v>
      </c>
      <c r="O154" s="4">
        <v>-1</v>
      </c>
    </row>
    <row r="155" spans="1:15" x14ac:dyDescent="0.25">
      <c r="A155" s="5">
        <v>46254</v>
      </c>
      <c r="B155" s="4">
        <v>0</v>
      </c>
      <c r="C155" s="4">
        <v>24</v>
      </c>
      <c r="D155" s="4">
        <v>0</v>
      </c>
      <c r="F155" s="4">
        <v>0</v>
      </c>
      <c r="G155" s="4">
        <v>0</v>
      </c>
      <c r="H155" s="4">
        <v>24</v>
      </c>
      <c r="J155" s="9">
        <v>1</v>
      </c>
      <c r="K155" s="9">
        <v>0.41666666666666669</v>
      </c>
      <c r="L155" s="4">
        <v>-1</v>
      </c>
      <c r="M155" s="9">
        <v>1</v>
      </c>
      <c r="N155" s="9">
        <v>4.1666666666666657E-2</v>
      </c>
      <c r="O155" s="4">
        <v>-1</v>
      </c>
    </row>
    <row r="156" spans="1:15" x14ac:dyDescent="0.25">
      <c r="A156" s="5">
        <v>46255</v>
      </c>
      <c r="B156" s="4">
        <v>0</v>
      </c>
      <c r="C156" s="4">
        <v>24</v>
      </c>
      <c r="D156" s="4">
        <v>0</v>
      </c>
      <c r="F156" s="4">
        <v>0</v>
      </c>
      <c r="G156" s="4">
        <v>0</v>
      </c>
      <c r="H156" s="4">
        <v>24</v>
      </c>
      <c r="J156" s="9">
        <v>1</v>
      </c>
      <c r="K156" s="9">
        <v>0.41666666666666669</v>
      </c>
      <c r="L156" s="4">
        <v>-1</v>
      </c>
      <c r="M156" s="9">
        <v>1</v>
      </c>
      <c r="N156" s="9">
        <v>4.1666666666666657E-2</v>
      </c>
      <c r="O156" s="4">
        <v>-1</v>
      </c>
    </row>
    <row r="157" spans="1:15" x14ac:dyDescent="0.25">
      <c r="A157" s="5">
        <v>46256</v>
      </c>
      <c r="B157" s="4">
        <v>0</v>
      </c>
      <c r="C157" s="4">
        <v>24</v>
      </c>
      <c r="D157" s="4">
        <v>0</v>
      </c>
      <c r="F157" s="4">
        <v>0</v>
      </c>
      <c r="G157" s="4">
        <v>0</v>
      </c>
      <c r="H157" s="4">
        <v>24</v>
      </c>
      <c r="J157" s="9">
        <v>1</v>
      </c>
      <c r="K157" s="9">
        <v>0.41666666666666669</v>
      </c>
      <c r="L157" s="4">
        <v>-1</v>
      </c>
      <c r="M157" s="9">
        <v>1</v>
      </c>
      <c r="N157" s="9">
        <v>4.1666666666666657E-2</v>
      </c>
      <c r="O157" s="4">
        <v>-1</v>
      </c>
    </row>
    <row r="158" spans="1:15" x14ac:dyDescent="0.25">
      <c r="A158" s="5">
        <v>46257</v>
      </c>
      <c r="B158" s="4">
        <v>0</v>
      </c>
      <c r="C158" s="4">
        <v>24</v>
      </c>
      <c r="D158" s="4">
        <v>0</v>
      </c>
      <c r="F158" s="4">
        <v>0</v>
      </c>
      <c r="G158" s="4">
        <v>0</v>
      </c>
      <c r="H158" s="4">
        <v>24</v>
      </c>
      <c r="J158" s="9">
        <v>1</v>
      </c>
      <c r="K158" s="9">
        <v>0.41666666666666669</v>
      </c>
      <c r="L158" s="4">
        <v>-1</v>
      </c>
      <c r="M158" s="9">
        <v>1</v>
      </c>
      <c r="N158" s="9">
        <v>4.1666666666666657E-2</v>
      </c>
      <c r="O158" s="4">
        <v>-1</v>
      </c>
    </row>
    <row r="159" spans="1:15" x14ac:dyDescent="0.25">
      <c r="A159" s="5">
        <v>46258</v>
      </c>
      <c r="B159" s="4">
        <v>0</v>
      </c>
      <c r="C159" s="4">
        <v>24</v>
      </c>
      <c r="D159" s="4">
        <v>0</v>
      </c>
      <c r="F159" s="4">
        <v>0</v>
      </c>
      <c r="G159" s="4">
        <v>0</v>
      </c>
      <c r="H159" s="4">
        <v>24</v>
      </c>
      <c r="J159" s="9">
        <v>1</v>
      </c>
      <c r="K159" s="9">
        <v>0.41666666666666669</v>
      </c>
      <c r="L159" s="4">
        <v>-1</v>
      </c>
      <c r="M159" s="9">
        <v>1</v>
      </c>
      <c r="N159" s="9">
        <v>4.1666666666666657E-2</v>
      </c>
      <c r="O159" s="4">
        <v>-1</v>
      </c>
    </row>
    <row r="160" spans="1:15" x14ac:dyDescent="0.25">
      <c r="A160" s="5">
        <v>46259</v>
      </c>
      <c r="B160" s="4">
        <v>0</v>
      </c>
      <c r="C160" s="4">
        <v>24</v>
      </c>
      <c r="D160" s="4">
        <v>0</v>
      </c>
      <c r="F160" s="4">
        <v>0</v>
      </c>
      <c r="G160" s="4">
        <v>0</v>
      </c>
      <c r="H160" s="4">
        <v>24</v>
      </c>
      <c r="J160" s="9">
        <v>1</v>
      </c>
      <c r="K160" s="9">
        <v>0.41666666666666669</v>
      </c>
      <c r="L160" s="4">
        <v>-1</v>
      </c>
      <c r="M160" s="9">
        <v>1</v>
      </c>
      <c r="N160" s="9">
        <v>4.1666666666666657E-2</v>
      </c>
      <c r="O160" s="4">
        <v>-1</v>
      </c>
    </row>
    <row r="161" spans="1:15" x14ac:dyDescent="0.25">
      <c r="A161" s="5">
        <v>46260</v>
      </c>
      <c r="B161" s="4">
        <v>0</v>
      </c>
      <c r="C161" s="4">
        <v>24</v>
      </c>
      <c r="D161" s="4">
        <v>0</v>
      </c>
      <c r="F161" s="4">
        <v>0</v>
      </c>
      <c r="G161" s="4">
        <v>0</v>
      </c>
      <c r="H161" s="4">
        <v>24</v>
      </c>
      <c r="J161" s="9">
        <v>1</v>
      </c>
      <c r="K161" s="9">
        <v>0.41666666666666669</v>
      </c>
      <c r="L161" s="4">
        <v>-1</v>
      </c>
      <c r="M161" s="9">
        <v>1</v>
      </c>
      <c r="N161" s="9">
        <v>4.1666666666666657E-2</v>
      </c>
      <c r="O161" s="4">
        <v>-1</v>
      </c>
    </row>
    <row r="162" spans="1:15" x14ac:dyDescent="0.25">
      <c r="A162" s="5">
        <v>46261</v>
      </c>
      <c r="B162" s="4">
        <v>0</v>
      </c>
      <c r="C162" s="4">
        <v>24</v>
      </c>
      <c r="D162" s="4">
        <v>0</v>
      </c>
      <c r="F162" s="4">
        <v>0</v>
      </c>
      <c r="G162" s="4">
        <v>0</v>
      </c>
      <c r="H162" s="4">
        <v>24</v>
      </c>
      <c r="J162" s="9">
        <v>1</v>
      </c>
      <c r="K162" s="9">
        <v>0.41666666666666669</v>
      </c>
      <c r="L162" s="4">
        <v>-1</v>
      </c>
      <c r="M162" s="9">
        <v>1</v>
      </c>
      <c r="N162" s="9">
        <v>4.1666666666666657E-2</v>
      </c>
      <c r="O162" s="4">
        <v>-1</v>
      </c>
    </row>
    <row r="163" spans="1:15" x14ac:dyDescent="0.25">
      <c r="A163" s="5">
        <v>46262</v>
      </c>
      <c r="B163" s="4">
        <v>0</v>
      </c>
      <c r="C163" s="4">
        <v>24</v>
      </c>
      <c r="D163" s="4">
        <v>0</v>
      </c>
      <c r="F163" s="4">
        <v>0</v>
      </c>
      <c r="G163" s="4">
        <v>0</v>
      </c>
      <c r="H163" s="4">
        <v>24</v>
      </c>
      <c r="J163" s="9">
        <v>1</v>
      </c>
      <c r="K163" s="9">
        <v>0.41666666666666669</v>
      </c>
      <c r="L163" s="4">
        <v>-1</v>
      </c>
      <c r="M163" s="9">
        <v>1</v>
      </c>
      <c r="N163" s="9">
        <v>4.1666666666666657E-2</v>
      </c>
      <c r="O163" s="4">
        <v>-1</v>
      </c>
    </row>
    <row r="164" spans="1:15" x14ac:dyDescent="0.25">
      <c r="A164" s="5">
        <v>46263</v>
      </c>
      <c r="B164" s="4">
        <v>0</v>
      </c>
      <c r="C164" s="4">
        <v>24</v>
      </c>
      <c r="D164" s="4">
        <v>0</v>
      </c>
      <c r="F164" s="4">
        <v>0</v>
      </c>
      <c r="G164" s="4">
        <v>0</v>
      </c>
      <c r="H164" s="4">
        <v>24</v>
      </c>
      <c r="J164" s="9">
        <v>1</v>
      </c>
      <c r="K164" s="9">
        <v>0.41666666666666669</v>
      </c>
      <c r="L164" s="4">
        <v>-1</v>
      </c>
      <c r="M164" s="9">
        <v>1</v>
      </c>
      <c r="N164" s="9">
        <v>4.1666666666666657E-2</v>
      </c>
      <c r="O164" s="4">
        <v>-1</v>
      </c>
    </row>
    <row r="165" spans="1:15" x14ac:dyDescent="0.25">
      <c r="A165" s="5">
        <v>46264</v>
      </c>
      <c r="B165" s="4">
        <v>0</v>
      </c>
      <c r="C165" s="4">
        <v>24</v>
      </c>
      <c r="D165" s="4">
        <v>0</v>
      </c>
      <c r="F165" s="4">
        <v>0</v>
      </c>
      <c r="G165" s="4">
        <v>0</v>
      </c>
      <c r="H165" s="4">
        <v>24</v>
      </c>
      <c r="J165" s="9">
        <v>1</v>
      </c>
      <c r="K165" s="9">
        <v>0.41666666666666669</v>
      </c>
      <c r="L165" s="4">
        <v>-1</v>
      </c>
      <c r="M165" s="9">
        <v>1</v>
      </c>
      <c r="N165" s="9">
        <v>4.1666666666666657E-2</v>
      </c>
      <c r="O165" s="4">
        <v>-1</v>
      </c>
    </row>
    <row r="166" spans="1:15" x14ac:dyDescent="0.25">
      <c r="A166" s="5">
        <v>46265</v>
      </c>
      <c r="B166" s="4">
        <v>0</v>
      </c>
      <c r="C166" s="4">
        <v>24</v>
      </c>
      <c r="D166" s="4">
        <v>0</v>
      </c>
      <c r="F166" s="4">
        <v>0</v>
      </c>
      <c r="G166" s="4">
        <v>0</v>
      </c>
      <c r="H166" s="4">
        <v>24</v>
      </c>
      <c r="J166" s="9">
        <v>1</v>
      </c>
      <c r="K166" s="9">
        <v>0.41666666666666669</v>
      </c>
      <c r="L166" s="4">
        <v>-1</v>
      </c>
      <c r="M166" s="9">
        <v>1</v>
      </c>
      <c r="N166" s="9">
        <v>4.1666666666666657E-2</v>
      </c>
      <c r="O166" s="4">
        <v>-1</v>
      </c>
    </row>
    <row r="167" spans="1:15" x14ac:dyDescent="0.25">
      <c r="A167" s="5">
        <v>46266</v>
      </c>
      <c r="B167" s="4">
        <v>0</v>
      </c>
      <c r="C167" s="4">
        <v>24</v>
      </c>
      <c r="D167" s="4">
        <v>0</v>
      </c>
      <c r="F167" s="4">
        <v>0</v>
      </c>
      <c r="G167" s="4">
        <v>0</v>
      </c>
      <c r="H167" s="4">
        <v>24</v>
      </c>
      <c r="J167" s="9">
        <v>1</v>
      </c>
      <c r="K167" s="9">
        <v>0.41666666666666669</v>
      </c>
      <c r="L167" s="4">
        <v>-1</v>
      </c>
      <c r="M167" s="9">
        <v>1</v>
      </c>
      <c r="N167" s="9">
        <v>4.1666666666666657E-2</v>
      </c>
      <c r="O167" s="4">
        <v>-1</v>
      </c>
    </row>
    <row r="168" spans="1:15" x14ac:dyDescent="0.25">
      <c r="A168" s="5">
        <v>46267</v>
      </c>
      <c r="B168" s="4">
        <v>0</v>
      </c>
      <c r="C168" s="4">
        <v>24</v>
      </c>
      <c r="D168" s="4">
        <v>0</v>
      </c>
      <c r="F168" s="4">
        <v>0</v>
      </c>
      <c r="G168" s="4">
        <v>0</v>
      </c>
      <c r="H168" s="4">
        <v>24</v>
      </c>
      <c r="J168" s="9">
        <v>1</v>
      </c>
      <c r="K168" s="9">
        <v>0.41666666666666669</v>
      </c>
      <c r="L168" s="4">
        <v>-1</v>
      </c>
      <c r="M168" s="9">
        <v>1</v>
      </c>
      <c r="N168" s="9">
        <v>4.1666666666666657E-2</v>
      </c>
      <c r="O168" s="4">
        <v>-1</v>
      </c>
    </row>
    <row r="169" spans="1:15" x14ac:dyDescent="0.25">
      <c r="A169" s="5">
        <v>46268</v>
      </c>
      <c r="B169" s="4">
        <v>0</v>
      </c>
      <c r="C169" s="4">
        <v>24</v>
      </c>
      <c r="D169" s="4">
        <v>0</v>
      </c>
      <c r="F169" s="4">
        <v>0</v>
      </c>
      <c r="G169" s="4">
        <v>0</v>
      </c>
      <c r="H169" s="4">
        <v>24</v>
      </c>
      <c r="J169" s="9">
        <v>1</v>
      </c>
      <c r="K169" s="9">
        <v>0.41666666666666669</v>
      </c>
      <c r="L169" s="4">
        <v>-1</v>
      </c>
      <c r="M169" s="9">
        <v>1</v>
      </c>
      <c r="N169" s="9">
        <v>4.1666666666666657E-2</v>
      </c>
      <c r="O169" s="4">
        <v>-1</v>
      </c>
    </row>
    <row r="170" spans="1:15" x14ac:dyDescent="0.25">
      <c r="A170" s="5">
        <v>46269</v>
      </c>
      <c r="B170" s="4">
        <v>0</v>
      </c>
      <c r="C170" s="4">
        <v>24</v>
      </c>
      <c r="D170" s="4">
        <v>0</v>
      </c>
      <c r="F170" s="4">
        <v>0</v>
      </c>
      <c r="G170" s="4">
        <v>0</v>
      </c>
      <c r="H170" s="4">
        <v>24</v>
      </c>
      <c r="J170" s="9">
        <v>1</v>
      </c>
      <c r="K170" s="9">
        <v>0.41666666666666669</v>
      </c>
      <c r="L170" s="4">
        <v>-1</v>
      </c>
      <c r="M170" s="9">
        <v>1</v>
      </c>
      <c r="N170" s="9">
        <v>4.1666666666666657E-2</v>
      </c>
      <c r="O170" s="4">
        <v>-1</v>
      </c>
    </row>
    <row r="171" spans="1:15" x14ac:dyDescent="0.25">
      <c r="A171" s="5">
        <v>46270</v>
      </c>
      <c r="B171" s="4">
        <v>0</v>
      </c>
      <c r="C171" s="4">
        <v>24</v>
      </c>
      <c r="D171" s="4">
        <v>0</v>
      </c>
      <c r="F171" s="4">
        <v>0</v>
      </c>
      <c r="G171" s="4">
        <v>0</v>
      </c>
      <c r="H171" s="4">
        <v>24</v>
      </c>
      <c r="J171" s="9">
        <v>1</v>
      </c>
      <c r="K171" s="9">
        <v>0.41666666666666669</v>
      </c>
      <c r="L171" s="4">
        <v>-1</v>
      </c>
      <c r="M171" s="9">
        <v>1</v>
      </c>
      <c r="N171" s="9">
        <v>4.1666666666666657E-2</v>
      </c>
      <c r="O171" s="4">
        <v>-1</v>
      </c>
    </row>
    <row r="172" spans="1:15" x14ac:dyDescent="0.25">
      <c r="A172" s="5">
        <v>46271</v>
      </c>
      <c r="B172" s="4">
        <v>0</v>
      </c>
      <c r="C172" s="4">
        <v>24</v>
      </c>
      <c r="D172" s="4">
        <v>0</v>
      </c>
      <c r="F172" s="4">
        <v>0</v>
      </c>
      <c r="G172" s="4">
        <v>0</v>
      </c>
      <c r="H172" s="4">
        <v>24</v>
      </c>
      <c r="J172" s="9">
        <v>1</v>
      </c>
      <c r="K172" s="9">
        <v>0.41666666666666669</v>
      </c>
      <c r="L172" s="4">
        <v>-1</v>
      </c>
      <c r="M172" s="9">
        <v>1</v>
      </c>
      <c r="N172" s="9">
        <v>4.1666666666666657E-2</v>
      </c>
      <c r="O172" s="4">
        <v>-1</v>
      </c>
    </row>
    <row r="173" spans="1:15" x14ac:dyDescent="0.25">
      <c r="A173" s="5">
        <v>46272</v>
      </c>
      <c r="B173" s="4">
        <v>0</v>
      </c>
      <c r="C173" s="4">
        <v>24</v>
      </c>
      <c r="D173" s="4">
        <v>0</v>
      </c>
      <c r="F173" s="4">
        <v>0</v>
      </c>
      <c r="G173" s="4">
        <v>0</v>
      </c>
      <c r="H173" s="4">
        <v>24</v>
      </c>
      <c r="J173" s="9">
        <v>1</v>
      </c>
      <c r="K173" s="9">
        <v>0.41666666666666669</v>
      </c>
      <c r="L173" s="4">
        <v>-1</v>
      </c>
      <c r="M173" s="9">
        <v>1</v>
      </c>
      <c r="N173" s="9">
        <v>4.1666666666666657E-2</v>
      </c>
      <c r="O173" s="4">
        <v>-1</v>
      </c>
    </row>
    <row r="175" spans="1:15" x14ac:dyDescent="0.25">
      <c r="L175" s="4">
        <v>1</v>
      </c>
      <c r="O175" s="4">
        <v>1</v>
      </c>
    </row>
    <row r="176" spans="1:15" x14ac:dyDescent="0.25">
      <c r="L176" s="4">
        <v>0</v>
      </c>
      <c r="O176" s="4">
        <v>0</v>
      </c>
    </row>
    <row r="177" spans="12:15" x14ac:dyDescent="0.25">
      <c r="L177" s="4">
        <v>-1</v>
      </c>
      <c r="O177" s="4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CB36953E-E8B6-41A2-B1B7-A194CDA29B47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L1:L177</xm:sqref>
        </x14:conditionalFormatting>
        <x14:conditionalFormatting xmlns:xm="http://schemas.microsoft.com/office/excel/2006/main">
          <x14:cfRule type="iconSet" priority="2" id="{0E4922D3-56B4-4BB3-840F-4AC1090290B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O1:O177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5"/>
  <sheetViews>
    <sheetView workbookViewId="0">
      <selection activeCell="H17" sqref="H17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28.140625" bestFit="1" customWidth="1"/>
    <col min="4" max="4" width="31.5703125" bestFit="1" customWidth="1"/>
    <col min="5" max="5" width="18.5703125" bestFit="1" customWidth="1"/>
    <col min="6" max="6" width="10.42578125" bestFit="1" customWidth="1"/>
    <col min="7" max="8" width="18.28515625" bestFit="1" customWidth="1"/>
    <col min="9" max="9" width="16.140625" bestFit="1" customWidth="1"/>
    <col min="10" max="10" width="13.7109375" bestFit="1" customWidth="1"/>
    <col min="11" max="11" width="18.28515625" bestFit="1" customWidth="1"/>
    <col min="12" max="12" width="9.5703125" bestFit="1" customWidth="1"/>
    <col min="13" max="13" width="8.85546875" bestFit="1" customWidth="1"/>
    <col min="14" max="14" width="32.140625" bestFit="1" customWidth="1"/>
    <col min="15" max="15" width="14.28515625" bestFit="1" customWidth="1"/>
    <col min="16" max="16" width="18.28515625" bestFit="1" customWidth="1"/>
    <col min="17" max="17" width="14.5703125" bestFit="1" customWidth="1"/>
    <col min="18" max="18" width="35.28515625" bestFit="1" customWidth="1"/>
    <col min="19" max="19" width="14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3</v>
      </c>
      <c r="B2" t="s">
        <v>42</v>
      </c>
      <c r="C2" t="s">
        <v>43</v>
      </c>
      <c r="D2" t="s">
        <v>44</v>
      </c>
      <c r="F2" t="s">
        <v>45</v>
      </c>
      <c r="G2" s="1">
        <v>46160</v>
      </c>
      <c r="H2" s="1">
        <v>46160</v>
      </c>
      <c r="J2">
        <v>1</v>
      </c>
      <c r="K2" s="1">
        <v>46160</v>
      </c>
      <c r="L2" t="s">
        <v>46</v>
      </c>
      <c r="M2" t="s">
        <v>47</v>
      </c>
      <c r="N2" t="s">
        <v>36</v>
      </c>
      <c r="O2" t="s">
        <v>37</v>
      </c>
      <c r="P2" s="1">
        <v>46139</v>
      </c>
      <c r="Q2" t="s">
        <v>38</v>
      </c>
      <c r="R2" t="s">
        <v>48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4</v>
      </c>
      <c r="B3" t="s">
        <v>49</v>
      </c>
      <c r="C3" t="s">
        <v>43</v>
      </c>
      <c r="D3" t="s">
        <v>50</v>
      </c>
      <c r="F3" t="s">
        <v>45</v>
      </c>
      <c r="G3" s="1">
        <v>46160</v>
      </c>
      <c r="H3" s="1">
        <v>46160</v>
      </c>
      <c r="J3">
        <v>1</v>
      </c>
      <c r="K3" s="1">
        <v>46160</v>
      </c>
      <c r="L3" t="s">
        <v>46</v>
      </c>
      <c r="M3" t="s">
        <v>47</v>
      </c>
      <c r="N3" t="s">
        <v>51</v>
      </c>
      <c r="O3" t="s">
        <v>52</v>
      </c>
      <c r="P3" s="1">
        <v>46141</v>
      </c>
      <c r="Q3" t="s">
        <v>38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>
        <v>5</v>
      </c>
      <c r="B4" t="s">
        <v>53</v>
      </c>
      <c r="C4" t="s">
        <v>54</v>
      </c>
      <c r="D4" t="s">
        <v>55</v>
      </c>
      <c r="F4" t="s">
        <v>45</v>
      </c>
      <c r="G4" s="1">
        <v>46160</v>
      </c>
      <c r="H4" s="1">
        <v>46160</v>
      </c>
      <c r="I4">
        <v>3</v>
      </c>
      <c r="J4">
        <v>1</v>
      </c>
      <c r="K4" s="1">
        <v>46160</v>
      </c>
      <c r="L4" t="s">
        <v>46</v>
      </c>
      <c r="M4" t="s">
        <v>47</v>
      </c>
      <c r="N4" t="s">
        <v>51</v>
      </c>
      <c r="O4" t="s">
        <v>52</v>
      </c>
      <c r="P4" s="1">
        <v>46141</v>
      </c>
      <c r="Q4" t="s">
        <v>38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>
        <v>8</v>
      </c>
      <c r="B5" t="s">
        <v>65</v>
      </c>
      <c r="C5" t="s">
        <v>66</v>
      </c>
      <c r="D5" t="s">
        <v>67</v>
      </c>
      <c r="F5" t="s">
        <v>68</v>
      </c>
      <c r="G5" s="1">
        <v>46174</v>
      </c>
      <c r="H5" s="1">
        <v>46175</v>
      </c>
      <c r="I5" t="s">
        <v>69</v>
      </c>
      <c r="J5">
        <v>1</v>
      </c>
      <c r="K5" s="1">
        <v>46175</v>
      </c>
      <c r="L5" t="s">
        <v>46</v>
      </c>
      <c r="M5" t="s">
        <v>47</v>
      </c>
      <c r="N5" t="s">
        <v>59</v>
      </c>
      <c r="O5" t="s">
        <v>37</v>
      </c>
      <c r="P5" s="1">
        <v>46141</v>
      </c>
      <c r="Q5" t="s">
        <v>38</v>
      </c>
      <c r="R5" t="s">
        <v>70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x14ac:dyDescent="0.25">
      <c r="A6">
        <v>9</v>
      </c>
      <c r="B6" t="s">
        <v>71</v>
      </c>
      <c r="C6" t="s">
        <v>66</v>
      </c>
      <c r="D6" t="s">
        <v>72</v>
      </c>
      <c r="F6" t="s">
        <v>73</v>
      </c>
      <c r="G6" s="1">
        <v>46176</v>
      </c>
      <c r="H6" s="1">
        <v>46176</v>
      </c>
      <c r="I6">
        <v>8</v>
      </c>
      <c r="J6">
        <v>1</v>
      </c>
      <c r="K6" s="1">
        <v>46176</v>
      </c>
      <c r="L6" t="s">
        <v>46</v>
      </c>
      <c r="M6" t="s">
        <v>47</v>
      </c>
      <c r="N6" t="s">
        <v>59</v>
      </c>
      <c r="O6" t="s">
        <v>74</v>
      </c>
      <c r="P6" s="1">
        <v>46142</v>
      </c>
      <c r="Q6" t="s">
        <v>38</v>
      </c>
      <c r="R6" t="s">
        <v>75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>
        <v>13</v>
      </c>
      <c r="B7" t="s">
        <v>90</v>
      </c>
      <c r="C7" t="s">
        <v>91</v>
      </c>
      <c r="D7" t="s">
        <v>67</v>
      </c>
      <c r="F7" t="s">
        <v>92</v>
      </c>
      <c r="G7" s="1">
        <v>46176</v>
      </c>
      <c r="H7" s="1">
        <v>46178</v>
      </c>
      <c r="I7">
        <v>8</v>
      </c>
      <c r="J7">
        <v>1</v>
      </c>
      <c r="K7" s="1">
        <v>46178</v>
      </c>
      <c r="L7" t="s">
        <v>46</v>
      </c>
      <c r="M7" t="s">
        <v>47</v>
      </c>
      <c r="N7" t="s">
        <v>59</v>
      </c>
      <c r="O7" t="s">
        <v>74</v>
      </c>
      <c r="P7" s="1">
        <v>46146</v>
      </c>
      <c r="Q7" t="s">
        <v>38</v>
      </c>
      <c r="R7" t="s">
        <v>93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x14ac:dyDescent="0.25">
      <c r="A8">
        <v>14</v>
      </c>
      <c r="B8" t="s">
        <v>94</v>
      </c>
      <c r="C8" t="s">
        <v>91</v>
      </c>
      <c r="D8" t="s">
        <v>72</v>
      </c>
      <c r="F8" t="s">
        <v>92</v>
      </c>
      <c r="G8" s="1">
        <v>46181</v>
      </c>
      <c r="H8" s="1">
        <v>46183</v>
      </c>
      <c r="I8">
        <v>13</v>
      </c>
      <c r="J8">
        <v>1</v>
      </c>
      <c r="K8" s="1">
        <v>46183</v>
      </c>
      <c r="L8" t="s">
        <v>46</v>
      </c>
      <c r="M8" t="s">
        <v>47</v>
      </c>
      <c r="N8" t="s">
        <v>59</v>
      </c>
      <c r="O8" t="s">
        <v>95</v>
      </c>
      <c r="P8" s="1">
        <v>46147</v>
      </c>
      <c r="Q8" t="s">
        <v>38</v>
      </c>
      <c r="R8" t="s">
        <v>96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>
        <v>19</v>
      </c>
      <c r="B9" t="s">
        <v>112</v>
      </c>
      <c r="C9" t="s">
        <v>113</v>
      </c>
      <c r="D9" t="s">
        <v>67</v>
      </c>
      <c r="F9" t="s">
        <v>92</v>
      </c>
      <c r="G9" s="1">
        <v>46195</v>
      </c>
      <c r="H9" s="1">
        <v>46197</v>
      </c>
      <c r="I9" t="s">
        <v>114</v>
      </c>
      <c r="J9">
        <v>1</v>
      </c>
      <c r="K9" s="1">
        <v>46197</v>
      </c>
      <c r="L9" t="s">
        <v>46</v>
      </c>
      <c r="M9" t="s">
        <v>47</v>
      </c>
      <c r="N9" t="s">
        <v>105</v>
      </c>
      <c r="O9" t="s">
        <v>111</v>
      </c>
      <c r="P9" s="1">
        <v>46225</v>
      </c>
      <c r="Q9" t="s">
        <v>38</v>
      </c>
      <c r="R9">
        <v>20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>
        <v>24</v>
      </c>
      <c r="B10" t="s">
        <v>124</v>
      </c>
      <c r="C10" t="s">
        <v>125</v>
      </c>
      <c r="D10" t="s">
        <v>67</v>
      </c>
      <c r="F10" t="s">
        <v>92</v>
      </c>
      <c r="G10" s="1">
        <v>46174</v>
      </c>
      <c r="H10" s="1">
        <v>46176</v>
      </c>
      <c r="I10" t="s">
        <v>69</v>
      </c>
      <c r="J10">
        <v>1</v>
      </c>
      <c r="K10" s="1">
        <v>46176</v>
      </c>
      <c r="L10" t="s">
        <v>46</v>
      </c>
      <c r="M10" t="s">
        <v>47</v>
      </c>
      <c r="N10" t="s">
        <v>105</v>
      </c>
      <c r="O10" t="s">
        <v>37</v>
      </c>
      <c r="P10" s="1">
        <v>46141</v>
      </c>
      <c r="Q10" t="s">
        <v>38</v>
      </c>
      <c r="R10">
        <v>25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</row>
    <row r="11" spans="1:32" x14ac:dyDescent="0.25">
      <c r="A11">
        <v>25</v>
      </c>
      <c r="B11" t="s">
        <v>126</v>
      </c>
      <c r="C11" t="s">
        <v>125</v>
      </c>
      <c r="D11" t="s">
        <v>72</v>
      </c>
      <c r="F11" t="s">
        <v>73</v>
      </c>
      <c r="G11" s="1">
        <v>46177</v>
      </c>
      <c r="H11" s="1">
        <v>46177</v>
      </c>
      <c r="I11">
        <v>24</v>
      </c>
      <c r="J11">
        <v>1</v>
      </c>
      <c r="K11" s="1">
        <v>46177</v>
      </c>
      <c r="L11" t="s">
        <v>46</v>
      </c>
      <c r="M11" t="s">
        <v>47</v>
      </c>
      <c r="N11" t="s">
        <v>105</v>
      </c>
      <c r="O11" t="s">
        <v>74</v>
      </c>
      <c r="P11" s="1">
        <v>46142</v>
      </c>
      <c r="Q11" t="s">
        <v>38</v>
      </c>
      <c r="R11" t="s">
        <v>127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>
        <v>40</v>
      </c>
      <c r="B12" t="s">
        <v>168</v>
      </c>
      <c r="C12" t="s">
        <v>169</v>
      </c>
      <c r="D12" t="s">
        <v>67</v>
      </c>
      <c r="F12" t="s">
        <v>45</v>
      </c>
      <c r="G12" s="1">
        <v>46170</v>
      </c>
      <c r="H12" s="1">
        <v>46170</v>
      </c>
      <c r="I12" t="s">
        <v>170</v>
      </c>
      <c r="J12">
        <v>1</v>
      </c>
      <c r="K12" s="1">
        <v>46170</v>
      </c>
      <c r="L12" t="s">
        <v>46</v>
      </c>
      <c r="M12" t="s">
        <v>47</v>
      </c>
      <c r="N12" t="s">
        <v>136</v>
      </c>
      <c r="O12" t="s">
        <v>85</v>
      </c>
      <c r="P12" s="1">
        <v>46161</v>
      </c>
      <c r="Q12" t="s">
        <v>38</v>
      </c>
      <c r="R12">
        <v>41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25">
      <c r="A13">
        <v>41</v>
      </c>
      <c r="B13" t="s">
        <v>171</v>
      </c>
      <c r="C13" t="s">
        <v>169</v>
      </c>
      <c r="D13" t="s">
        <v>72</v>
      </c>
      <c r="F13" t="s">
        <v>73</v>
      </c>
      <c r="G13" s="1">
        <v>46171</v>
      </c>
      <c r="H13" s="1">
        <v>46171</v>
      </c>
      <c r="I13">
        <v>40</v>
      </c>
      <c r="J13">
        <v>1</v>
      </c>
      <c r="K13" s="1">
        <v>46171</v>
      </c>
      <c r="L13" t="s">
        <v>46</v>
      </c>
      <c r="M13" t="s">
        <v>47</v>
      </c>
      <c r="N13" t="s">
        <v>136</v>
      </c>
      <c r="O13" t="s">
        <v>172</v>
      </c>
      <c r="P13" s="1">
        <v>46162</v>
      </c>
      <c r="Q13" t="s">
        <v>38</v>
      </c>
      <c r="R13">
        <v>42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>
        <v>45</v>
      </c>
      <c r="B14" t="s">
        <v>180</v>
      </c>
      <c r="C14" t="s">
        <v>169</v>
      </c>
      <c r="D14" t="s">
        <v>67</v>
      </c>
      <c r="F14" t="s">
        <v>45</v>
      </c>
      <c r="G14" s="1">
        <v>46170</v>
      </c>
      <c r="H14" s="1">
        <v>46170</v>
      </c>
      <c r="I14" t="s">
        <v>170</v>
      </c>
      <c r="J14">
        <v>1</v>
      </c>
      <c r="K14" s="1">
        <v>46170</v>
      </c>
      <c r="L14" t="s">
        <v>46</v>
      </c>
      <c r="M14" t="s">
        <v>47</v>
      </c>
      <c r="N14" t="s">
        <v>136</v>
      </c>
      <c r="O14" t="s">
        <v>85</v>
      </c>
      <c r="P14" s="1">
        <v>46161</v>
      </c>
      <c r="Q14" t="s">
        <v>38</v>
      </c>
      <c r="R14">
        <v>46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25">
      <c r="A15">
        <v>46</v>
      </c>
      <c r="B15" t="s">
        <v>181</v>
      </c>
      <c r="C15" t="s">
        <v>169</v>
      </c>
      <c r="D15" t="s">
        <v>72</v>
      </c>
      <c r="F15" t="s">
        <v>73</v>
      </c>
      <c r="G15" s="1">
        <v>46199</v>
      </c>
      <c r="H15" s="1">
        <v>46199</v>
      </c>
      <c r="I15">
        <v>45</v>
      </c>
      <c r="J15">
        <v>1</v>
      </c>
      <c r="K15" s="1">
        <v>46199</v>
      </c>
      <c r="L15" t="s">
        <v>46</v>
      </c>
      <c r="M15" t="s">
        <v>47</v>
      </c>
      <c r="N15" t="s">
        <v>136</v>
      </c>
      <c r="O15" t="s">
        <v>172</v>
      </c>
      <c r="P15" s="1">
        <v>46162</v>
      </c>
      <c r="Q15" t="s">
        <v>38</v>
      </c>
      <c r="R15">
        <v>47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>
        <v>51</v>
      </c>
      <c r="B16" t="s">
        <v>192</v>
      </c>
      <c r="C16" t="s">
        <v>193</v>
      </c>
      <c r="D16" t="s">
        <v>67</v>
      </c>
      <c r="F16" t="s">
        <v>68</v>
      </c>
      <c r="G16" s="1">
        <v>46160</v>
      </c>
      <c r="H16" s="1">
        <v>46161</v>
      </c>
      <c r="I16" t="s">
        <v>194</v>
      </c>
      <c r="J16">
        <v>1</v>
      </c>
      <c r="K16" s="1">
        <v>46161</v>
      </c>
      <c r="L16" t="s">
        <v>46</v>
      </c>
      <c r="M16" t="s">
        <v>47</v>
      </c>
      <c r="N16" t="s">
        <v>187</v>
      </c>
      <c r="O16" t="s">
        <v>142</v>
      </c>
      <c r="P16" s="1">
        <v>46188</v>
      </c>
      <c r="Q16" t="s">
        <v>38</v>
      </c>
      <c r="R16" t="s">
        <v>195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</row>
    <row r="17" spans="1:32" x14ac:dyDescent="0.25">
      <c r="A17">
        <v>66</v>
      </c>
      <c r="B17" t="s">
        <v>224</v>
      </c>
      <c r="C17" t="s">
        <v>225</v>
      </c>
      <c r="D17" t="s">
        <v>226</v>
      </c>
      <c r="E17" t="s">
        <v>140</v>
      </c>
      <c r="F17" t="s">
        <v>141</v>
      </c>
      <c r="G17" s="1">
        <v>46181</v>
      </c>
      <c r="H17" s="1">
        <v>46191</v>
      </c>
      <c r="J17">
        <v>1</v>
      </c>
      <c r="K17" s="1">
        <v>46191</v>
      </c>
      <c r="L17" t="s">
        <v>46</v>
      </c>
      <c r="M17" t="s">
        <v>47</v>
      </c>
      <c r="N17" t="s">
        <v>223</v>
      </c>
      <c r="O17" t="s">
        <v>227</v>
      </c>
      <c r="P17" s="1">
        <v>46192</v>
      </c>
      <c r="Q17" t="s">
        <v>38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67</v>
      </c>
      <c r="B18" t="s">
        <v>228</v>
      </c>
      <c r="C18" t="s">
        <v>229</v>
      </c>
      <c r="D18" t="s">
        <v>67</v>
      </c>
      <c r="F18" t="s">
        <v>145</v>
      </c>
      <c r="G18" s="1">
        <v>46181</v>
      </c>
      <c r="H18" s="1">
        <v>46185</v>
      </c>
      <c r="I18" t="s">
        <v>194</v>
      </c>
      <c r="J18">
        <v>1</v>
      </c>
      <c r="K18" s="1">
        <v>46185</v>
      </c>
      <c r="L18" t="s">
        <v>46</v>
      </c>
      <c r="M18" t="s">
        <v>47</v>
      </c>
      <c r="N18" t="s">
        <v>223</v>
      </c>
      <c r="O18" t="s">
        <v>227</v>
      </c>
      <c r="P18" s="1">
        <v>46188</v>
      </c>
      <c r="Q18" t="s">
        <v>38</v>
      </c>
      <c r="R18" t="s">
        <v>230</v>
      </c>
      <c r="U18">
        <v>1</v>
      </c>
      <c r="V18">
        <v>1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25">
      <c r="A19">
        <v>68</v>
      </c>
      <c r="B19" t="s">
        <v>231</v>
      </c>
      <c r="C19" t="s">
        <v>229</v>
      </c>
      <c r="D19" t="s">
        <v>72</v>
      </c>
      <c r="F19" t="s">
        <v>73</v>
      </c>
      <c r="G19" s="1">
        <v>46188</v>
      </c>
      <c r="H19" s="1">
        <v>46188</v>
      </c>
      <c r="I19">
        <v>67</v>
      </c>
      <c r="J19">
        <v>1</v>
      </c>
      <c r="K19" s="1">
        <v>46188</v>
      </c>
      <c r="L19" t="s">
        <v>46</v>
      </c>
      <c r="M19" t="s">
        <v>47</v>
      </c>
      <c r="N19" t="s">
        <v>223</v>
      </c>
      <c r="O19" t="s">
        <v>132</v>
      </c>
      <c r="P19" s="1">
        <v>46189</v>
      </c>
      <c r="Q19" t="s">
        <v>38</v>
      </c>
      <c r="R19">
        <v>69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69</v>
      </c>
      <c r="B20" t="s">
        <v>232</v>
      </c>
      <c r="C20" t="s">
        <v>229</v>
      </c>
      <c r="D20" t="s">
        <v>77</v>
      </c>
      <c r="F20" t="s">
        <v>68</v>
      </c>
      <c r="G20" s="1">
        <v>46189</v>
      </c>
      <c r="H20" s="1">
        <v>46190</v>
      </c>
      <c r="I20">
        <v>68</v>
      </c>
      <c r="J20">
        <v>1</v>
      </c>
      <c r="K20" s="1">
        <v>46190</v>
      </c>
      <c r="L20" t="s">
        <v>46</v>
      </c>
      <c r="M20" t="s">
        <v>47</v>
      </c>
      <c r="N20" t="s">
        <v>223</v>
      </c>
      <c r="O20" t="s">
        <v>149</v>
      </c>
      <c r="P20" s="1">
        <v>46191</v>
      </c>
      <c r="Q20" t="s">
        <v>38</v>
      </c>
      <c r="R20">
        <v>70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>
        <v>70</v>
      </c>
      <c r="B21" t="s">
        <v>233</v>
      </c>
      <c r="C21" t="s">
        <v>229</v>
      </c>
      <c r="D21" t="s">
        <v>83</v>
      </c>
      <c r="F21" t="s">
        <v>73</v>
      </c>
      <c r="G21" s="1">
        <v>46191</v>
      </c>
      <c r="H21" s="1">
        <v>46191</v>
      </c>
      <c r="I21">
        <v>69</v>
      </c>
      <c r="J21">
        <v>1</v>
      </c>
      <c r="K21" s="1">
        <v>46191</v>
      </c>
      <c r="L21" t="s">
        <v>46</v>
      </c>
      <c r="M21" t="s">
        <v>47</v>
      </c>
      <c r="N21" t="s">
        <v>223</v>
      </c>
      <c r="O21" t="s">
        <v>151</v>
      </c>
      <c r="P21" s="1">
        <v>46192</v>
      </c>
      <c r="Q21" t="s">
        <v>38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</row>
    <row r="22" spans="1:32" x14ac:dyDescent="0.25">
      <c r="A22">
        <v>109</v>
      </c>
      <c r="B22" t="s">
        <v>310</v>
      </c>
      <c r="C22" t="s">
        <v>311</v>
      </c>
      <c r="D22" t="s">
        <v>67</v>
      </c>
      <c r="F22" t="s">
        <v>191</v>
      </c>
      <c r="G22" s="1">
        <v>46181</v>
      </c>
      <c r="H22" s="1">
        <v>46188</v>
      </c>
      <c r="I22" t="s">
        <v>194</v>
      </c>
      <c r="J22">
        <v>1</v>
      </c>
      <c r="K22" s="1">
        <v>46188</v>
      </c>
      <c r="L22" t="s">
        <v>46</v>
      </c>
      <c r="M22" t="s">
        <v>47</v>
      </c>
      <c r="N22" t="s">
        <v>305</v>
      </c>
      <c r="O22" t="s">
        <v>142</v>
      </c>
      <c r="P22" s="1">
        <v>46188</v>
      </c>
      <c r="Q22" t="s">
        <v>38</v>
      </c>
      <c r="R22">
        <v>110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</row>
    <row r="23" spans="1:32" x14ac:dyDescent="0.25">
      <c r="A23">
        <v>110</v>
      </c>
      <c r="B23" t="s">
        <v>312</v>
      </c>
      <c r="C23" t="s">
        <v>311</v>
      </c>
      <c r="D23" t="s">
        <v>72</v>
      </c>
      <c r="F23" t="s">
        <v>73</v>
      </c>
      <c r="G23" s="1">
        <v>46188</v>
      </c>
      <c r="H23" s="1">
        <v>46188</v>
      </c>
      <c r="I23">
        <v>109</v>
      </c>
      <c r="J23">
        <v>1</v>
      </c>
      <c r="K23" s="1">
        <v>46188</v>
      </c>
      <c r="L23" t="s">
        <v>46</v>
      </c>
      <c r="M23" t="s">
        <v>47</v>
      </c>
      <c r="N23" t="s">
        <v>305</v>
      </c>
      <c r="O23" t="s">
        <v>132</v>
      </c>
      <c r="P23" s="1">
        <v>46189</v>
      </c>
      <c r="Q23" t="s">
        <v>38</v>
      </c>
      <c r="R23">
        <v>111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>
        <v>125</v>
      </c>
      <c r="B24" t="s">
        <v>339</v>
      </c>
      <c r="C24" t="s">
        <v>340</v>
      </c>
      <c r="D24" t="s">
        <v>67</v>
      </c>
      <c r="F24" t="s">
        <v>45</v>
      </c>
      <c r="G24" s="1">
        <v>46170</v>
      </c>
      <c r="H24" s="1">
        <v>46170</v>
      </c>
      <c r="I24" t="s">
        <v>194</v>
      </c>
      <c r="J24">
        <v>1</v>
      </c>
      <c r="K24" s="1">
        <v>46170</v>
      </c>
      <c r="L24" t="s">
        <v>46</v>
      </c>
      <c r="M24" t="s">
        <v>47</v>
      </c>
      <c r="N24" t="s">
        <v>335</v>
      </c>
      <c r="O24" t="s">
        <v>142</v>
      </c>
      <c r="P24" s="1">
        <v>46188</v>
      </c>
      <c r="Q24" t="s">
        <v>38</v>
      </c>
      <c r="R24" t="s">
        <v>341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</row>
    <row r="25" spans="1:32" x14ac:dyDescent="0.25">
      <c r="A25">
        <v>126</v>
      </c>
      <c r="B25" t="s">
        <v>342</v>
      </c>
      <c r="C25" t="s">
        <v>340</v>
      </c>
      <c r="D25" t="s">
        <v>72</v>
      </c>
      <c r="F25" t="s">
        <v>73</v>
      </c>
      <c r="G25" s="1">
        <v>46171</v>
      </c>
      <c r="H25" s="1">
        <v>46171</v>
      </c>
      <c r="I25">
        <v>125</v>
      </c>
      <c r="J25">
        <v>1</v>
      </c>
      <c r="K25" s="1">
        <v>46171</v>
      </c>
      <c r="L25" t="s">
        <v>46</v>
      </c>
      <c r="M25" t="s">
        <v>47</v>
      </c>
      <c r="N25" t="s">
        <v>335</v>
      </c>
      <c r="O25" t="s">
        <v>132</v>
      </c>
      <c r="P25" s="1">
        <v>46189</v>
      </c>
      <c r="Q25" t="s">
        <v>38</v>
      </c>
      <c r="R25">
        <v>127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7"/>
  <sheetViews>
    <sheetView workbookViewId="0">
      <selection activeCell="I32" sqref="I32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28.140625" bestFit="1" customWidth="1"/>
    <col min="4" max="4" width="27.28515625" bestFit="1" customWidth="1"/>
    <col min="5" max="5" width="29.85546875" bestFit="1" customWidth="1"/>
    <col min="6" max="6" width="10.42578125" bestFit="1" customWidth="1"/>
    <col min="7" max="8" width="18.28515625" bestFit="1" customWidth="1"/>
    <col min="9" max="9" width="16.140625" bestFit="1" customWidth="1"/>
    <col min="10" max="10" width="13.7109375" bestFit="1" customWidth="1"/>
    <col min="11" max="11" width="14.5703125" bestFit="1" customWidth="1"/>
    <col min="12" max="13" width="8.85546875" bestFit="1" customWidth="1"/>
    <col min="14" max="14" width="32.140625" bestFit="1" customWidth="1"/>
    <col min="15" max="15" width="14.28515625" bestFit="1" customWidth="1"/>
    <col min="16" max="16" width="18.28515625" bestFit="1" customWidth="1"/>
    <col min="17" max="17" width="14.5703125" bestFit="1" customWidth="1"/>
    <col min="18" max="18" width="74.5703125" bestFit="1" customWidth="1"/>
    <col min="19" max="19" width="14.140625" bestFit="1" customWidth="1"/>
    <col min="20" max="20" width="21.28515625" bestFit="1" customWidth="1"/>
    <col min="21" max="21" width="9.5703125" bestFit="1" customWidth="1"/>
    <col min="22" max="22" width="21" bestFit="1" customWidth="1"/>
    <col min="23" max="23" width="25.42578125" bestFit="1" customWidth="1"/>
    <col min="24" max="24" width="24.7109375" bestFit="1" customWidth="1"/>
    <col min="25" max="25" width="17.28515625" bestFit="1" customWidth="1"/>
    <col min="26" max="26" width="30.42578125" bestFit="1" customWidth="1"/>
    <col min="27" max="27" width="27.140625" bestFit="1" customWidth="1"/>
    <col min="28" max="28" width="38.28515625" bestFit="1" customWidth="1"/>
    <col min="29" max="29" width="23.85546875" bestFit="1" customWidth="1"/>
    <col min="30" max="30" width="21.7109375" bestFit="1" customWidth="1"/>
    <col min="31" max="31" width="21" bestFit="1" customWidth="1"/>
    <col min="32" max="32" width="12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12</v>
      </c>
      <c r="B2" t="s">
        <v>86</v>
      </c>
      <c r="C2" t="s">
        <v>61</v>
      </c>
      <c r="D2" t="s">
        <v>87</v>
      </c>
      <c r="E2" t="s">
        <v>88</v>
      </c>
      <c r="F2" t="s">
        <v>89</v>
      </c>
      <c r="G2" s="1">
        <v>46176</v>
      </c>
      <c r="H2" s="1">
        <v>46197</v>
      </c>
      <c r="J2">
        <v>0.81</v>
      </c>
      <c r="L2" t="s">
        <v>34</v>
      </c>
      <c r="M2" t="s">
        <v>47</v>
      </c>
      <c r="N2" t="s">
        <v>59</v>
      </c>
      <c r="O2" t="s">
        <v>74</v>
      </c>
      <c r="P2" s="1">
        <v>46161</v>
      </c>
      <c r="Q2" t="s">
        <v>38</v>
      </c>
      <c r="U2">
        <v>0.81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>
        <v>15</v>
      </c>
      <c r="B3" t="s">
        <v>97</v>
      </c>
      <c r="C3" t="s">
        <v>91</v>
      </c>
      <c r="D3" t="s">
        <v>77</v>
      </c>
      <c r="F3" t="s">
        <v>73</v>
      </c>
      <c r="G3" s="1">
        <v>46196</v>
      </c>
      <c r="H3" s="1">
        <v>46196</v>
      </c>
      <c r="I3" t="s">
        <v>98</v>
      </c>
      <c r="J3">
        <v>0.5</v>
      </c>
      <c r="L3" t="s">
        <v>34</v>
      </c>
      <c r="M3" t="s">
        <v>47</v>
      </c>
      <c r="N3" t="s">
        <v>59</v>
      </c>
      <c r="O3" t="s">
        <v>99</v>
      </c>
      <c r="P3" s="1">
        <v>46160</v>
      </c>
      <c r="Q3" t="s">
        <v>38</v>
      </c>
      <c r="R3">
        <v>16</v>
      </c>
      <c r="U3">
        <v>0.5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hidden="1" x14ac:dyDescent="0.25">
      <c r="A4">
        <v>16</v>
      </c>
      <c r="B4" t="s">
        <v>100</v>
      </c>
      <c r="C4" t="s">
        <v>91</v>
      </c>
      <c r="D4" t="s">
        <v>83</v>
      </c>
      <c r="F4" t="s">
        <v>73</v>
      </c>
      <c r="G4" s="1">
        <v>46197</v>
      </c>
      <c r="H4" s="1">
        <v>46197</v>
      </c>
      <c r="I4">
        <v>15</v>
      </c>
      <c r="J4">
        <v>0</v>
      </c>
      <c r="L4" t="s">
        <v>64</v>
      </c>
      <c r="M4" t="s">
        <v>47</v>
      </c>
      <c r="N4" t="s">
        <v>59</v>
      </c>
      <c r="O4" t="s">
        <v>101</v>
      </c>
      <c r="P4" s="1">
        <v>46161</v>
      </c>
      <c r="Q4" t="s">
        <v>38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hidden="1" x14ac:dyDescent="0.25">
      <c r="A5">
        <v>29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s="1">
        <v>46181</v>
      </c>
      <c r="H5" s="1">
        <v>46191</v>
      </c>
      <c r="J5">
        <v>0</v>
      </c>
      <c r="L5" t="s">
        <v>34</v>
      </c>
      <c r="M5" t="s">
        <v>47</v>
      </c>
      <c r="N5" t="s">
        <v>136</v>
      </c>
      <c r="O5" t="s">
        <v>142</v>
      </c>
      <c r="P5" s="1">
        <v>46192</v>
      </c>
      <c r="Q5" t="s">
        <v>38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>
        <v>30</v>
      </c>
      <c r="B6" t="s">
        <v>143</v>
      </c>
      <c r="C6" t="s">
        <v>144</v>
      </c>
      <c r="D6" t="s">
        <v>67</v>
      </c>
      <c r="F6" t="s">
        <v>145</v>
      </c>
      <c r="G6" s="1">
        <v>46181</v>
      </c>
      <c r="H6" s="1">
        <v>46185</v>
      </c>
      <c r="I6">
        <v>13</v>
      </c>
      <c r="J6">
        <v>0</v>
      </c>
      <c r="L6" t="s">
        <v>34</v>
      </c>
      <c r="M6" t="s">
        <v>47</v>
      </c>
      <c r="N6" t="s">
        <v>136</v>
      </c>
      <c r="O6" t="s">
        <v>142</v>
      </c>
      <c r="P6" s="1">
        <v>46188</v>
      </c>
      <c r="Q6" t="s">
        <v>38</v>
      </c>
      <c r="R6" t="s">
        <v>146</v>
      </c>
      <c r="U6">
        <v>0</v>
      </c>
      <c r="V6">
        <v>1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hidden="1" x14ac:dyDescent="0.25">
      <c r="A7">
        <v>31</v>
      </c>
      <c r="B7" t="s">
        <v>147</v>
      </c>
      <c r="C7" t="s">
        <v>144</v>
      </c>
      <c r="D7" t="s">
        <v>72</v>
      </c>
      <c r="F7" t="s">
        <v>73</v>
      </c>
      <c r="G7" s="1">
        <v>46188</v>
      </c>
      <c r="H7" s="1">
        <v>46188</v>
      </c>
      <c r="I7">
        <v>30</v>
      </c>
      <c r="J7">
        <v>0</v>
      </c>
      <c r="L7" t="s">
        <v>34</v>
      </c>
      <c r="M7" t="s">
        <v>47</v>
      </c>
      <c r="N7" t="s">
        <v>136</v>
      </c>
      <c r="O7" t="s">
        <v>132</v>
      </c>
      <c r="P7" s="1">
        <v>46189</v>
      </c>
      <c r="Q7" t="s">
        <v>38</v>
      </c>
      <c r="R7">
        <v>32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>
        <v>32</v>
      </c>
      <c r="B8" t="s">
        <v>148</v>
      </c>
      <c r="C8" t="s">
        <v>144</v>
      </c>
      <c r="D8" t="s">
        <v>77</v>
      </c>
      <c r="F8" t="s">
        <v>68</v>
      </c>
      <c r="G8" s="1">
        <v>46189</v>
      </c>
      <c r="H8" s="1">
        <v>46190</v>
      </c>
      <c r="I8">
        <v>31</v>
      </c>
      <c r="J8">
        <v>0</v>
      </c>
      <c r="L8" t="s">
        <v>34</v>
      </c>
      <c r="M8" t="s">
        <v>47</v>
      </c>
      <c r="N8" t="s">
        <v>136</v>
      </c>
      <c r="O8" t="s">
        <v>149</v>
      </c>
      <c r="P8" s="1">
        <v>46191</v>
      </c>
      <c r="Q8" t="s">
        <v>38</v>
      </c>
      <c r="R8">
        <v>33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hidden="1" x14ac:dyDescent="0.25">
      <c r="A9">
        <v>33</v>
      </c>
      <c r="B9" t="s">
        <v>150</v>
      </c>
      <c r="C9" t="s">
        <v>144</v>
      </c>
      <c r="D9" t="s">
        <v>83</v>
      </c>
      <c r="F9" t="s">
        <v>73</v>
      </c>
      <c r="G9" s="1">
        <v>46191</v>
      </c>
      <c r="H9" s="1">
        <v>46191</v>
      </c>
      <c r="I9">
        <v>32</v>
      </c>
      <c r="J9">
        <v>0</v>
      </c>
      <c r="L9" t="s">
        <v>34</v>
      </c>
      <c r="M9" t="s">
        <v>47</v>
      </c>
      <c r="N9" t="s">
        <v>136</v>
      </c>
      <c r="O9" t="s">
        <v>151</v>
      </c>
      <c r="P9" s="1">
        <v>46192</v>
      </c>
      <c r="Q9" t="s">
        <v>38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</row>
    <row r="10" spans="1:32" hidden="1" x14ac:dyDescent="0.25">
      <c r="A10">
        <v>39</v>
      </c>
      <c r="B10" t="s">
        <v>164</v>
      </c>
      <c r="C10" t="s">
        <v>138</v>
      </c>
      <c r="D10" t="s">
        <v>165</v>
      </c>
      <c r="E10" t="s">
        <v>166</v>
      </c>
      <c r="F10" t="s">
        <v>167</v>
      </c>
      <c r="G10" s="1">
        <v>46170</v>
      </c>
      <c r="H10" s="1">
        <v>46176</v>
      </c>
      <c r="J10">
        <v>0.63</v>
      </c>
      <c r="L10" t="s">
        <v>34</v>
      </c>
      <c r="M10" t="s">
        <v>47</v>
      </c>
      <c r="N10" t="s">
        <v>136</v>
      </c>
      <c r="O10" t="s">
        <v>85</v>
      </c>
      <c r="P10" s="1">
        <v>46167</v>
      </c>
      <c r="Q10" t="s">
        <v>38</v>
      </c>
      <c r="U10">
        <v>0.63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>
        <v>42</v>
      </c>
      <c r="B11" t="s">
        <v>173</v>
      </c>
      <c r="C11" t="s">
        <v>169</v>
      </c>
      <c r="D11" t="s">
        <v>77</v>
      </c>
      <c r="F11" t="s">
        <v>68</v>
      </c>
      <c r="G11" s="1">
        <v>46174</v>
      </c>
      <c r="H11" s="1">
        <v>46175</v>
      </c>
      <c r="I11">
        <v>41</v>
      </c>
      <c r="J11">
        <v>0.75</v>
      </c>
      <c r="L11" t="s">
        <v>34</v>
      </c>
      <c r="M11" t="s">
        <v>47</v>
      </c>
      <c r="N11" t="s">
        <v>136</v>
      </c>
      <c r="O11" t="s">
        <v>174</v>
      </c>
      <c r="P11" s="1">
        <v>46164</v>
      </c>
      <c r="Q11" t="s">
        <v>38</v>
      </c>
      <c r="R11">
        <v>43</v>
      </c>
      <c r="U11">
        <v>0.75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hidden="1" x14ac:dyDescent="0.25">
      <c r="A12">
        <v>43</v>
      </c>
      <c r="B12" t="s">
        <v>175</v>
      </c>
      <c r="C12" t="s">
        <v>169</v>
      </c>
      <c r="D12" t="s">
        <v>83</v>
      </c>
      <c r="F12" t="s">
        <v>73</v>
      </c>
      <c r="G12" s="1">
        <v>46176</v>
      </c>
      <c r="H12" s="1">
        <v>46176</v>
      </c>
      <c r="I12">
        <v>42</v>
      </c>
      <c r="J12">
        <v>0</v>
      </c>
      <c r="L12" t="s">
        <v>34</v>
      </c>
      <c r="M12" t="s">
        <v>47</v>
      </c>
      <c r="N12" t="s">
        <v>136</v>
      </c>
      <c r="O12" t="s">
        <v>176</v>
      </c>
      <c r="P12" s="1">
        <v>46167</v>
      </c>
      <c r="Q12" t="s">
        <v>38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</row>
    <row r="13" spans="1:32" hidden="1" x14ac:dyDescent="0.25">
      <c r="A13">
        <v>50</v>
      </c>
      <c r="B13" t="s">
        <v>188</v>
      </c>
      <c r="C13" t="s">
        <v>189</v>
      </c>
      <c r="D13" t="s">
        <v>190</v>
      </c>
      <c r="E13" t="s">
        <v>140</v>
      </c>
      <c r="F13" t="s">
        <v>191</v>
      </c>
      <c r="G13" s="1">
        <v>46160</v>
      </c>
      <c r="H13" s="1">
        <v>46167</v>
      </c>
      <c r="J13">
        <v>0.46</v>
      </c>
      <c r="L13" t="s">
        <v>34</v>
      </c>
      <c r="M13" t="s">
        <v>47</v>
      </c>
      <c r="N13" t="s">
        <v>187</v>
      </c>
      <c r="O13" t="s">
        <v>142</v>
      </c>
      <c r="P13" s="1">
        <v>46192</v>
      </c>
      <c r="Q13" t="s">
        <v>38</v>
      </c>
      <c r="U13">
        <v>0.46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hidden="1" x14ac:dyDescent="0.25">
      <c r="A14">
        <v>52</v>
      </c>
      <c r="B14" t="s">
        <v>196</v>
      </c>
      <c r="C14" t="s">
        <v>193</v>
      </c>
      <c r="D14" t="s">
        <v>72</v>
      </c>
      <c r="F14" t="s">
        <v>73</v>
      </c>
      <c r="G14" s="1">
        <v>46162</v>
      </c>
      <c r="H14" s="1">
        <v>46162</v>
      </c>
      <c r="I14">
        <v>51</v>
      </c>
      <c r="J14">
        <v>0.75</v>
      </c>
      <c r="L14" t="s">
        <v>34</v>
      </c>
      <c r="M14" t="s">
        <v>47</v>
      </c>
      <c r="N14" t="s">
        <v>187</v>
      </c>
      <c r="O14" t="s">
        <v>132</v>
      </c>
      <c r="P14" s="1">
        <v>46189</v>
      </c>
      <c r="Q14" t="s">
        <v>38</v>
      </c>
      <c r="R14">
        <v>53</v>
      </c>
      <c r="U14">
        <v>0.75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>
        <v>53</v>
      </c>
      <c r="B15" t="s">
        <v>197</v>
      </c>
      <c r="C15" t="s">
        <v>193</v>
      </c>
      <c r="D15" t="s">
        <v>77</v>
      </c>
      <c r="F15" t="s">
        <v>68</v>
      </c>
      <c r="G15" s="1">
        <v>46163</v>
      </c>
      <c r="H15" s="1">
        <v>46164</v>
      </c>
      <c r="I15">
        <v>52</v>
      </c>
      <c r="J15">
        <v>0</v>
      </c>
      <c r="L15" t="s">
        <v>34</v>
      </c>
      <c r="M15" t="s">
        <v>47</v>
      </c>
      <c r="N15" t="s">
        <v>187</v>
      </c>
      <c r="O15" t="s">
        <v>149</v>
      </c>
      <c r="P15" s="1">
        <v>46191</v>
      </c>
      <c r="Q15" t="s">
        <v>38</v>
      </c>
      <c r="R15">
        <v>54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hidden="1" x14ac:dyDescent="0.25">
      <c r="A16">
        <v>54</v>
      </c>
      <c r="B16" t="s">
        <v>198</v>
      </c>
      <c r="C16" t="s">
        <v>193</v>
      </c>
      <c r="D16" t="s">
        <v>83</v>
      </c>
      <c r="F16" t="s">
        <v>73</v>
      </c>
      <c r="G16" s="1">
        <v>46167</v>
      </c>
      <c r="H16" s="1">
        <v>46167</v>
      </c>
      <c r="I16">
        <v>53</v>
      </c>
      <c r="J16">
        <v>0</v>
      </c>
      <c r="L16" t="s">
        <v>34</v>
      </c>
      <c r="M16" t="s">
        <v>47</v>
      </c>
      <c r="N16" t="s">
        <v>187</v>
      </c>
      <c r="O16" t="s">
        <v>151</v>
      </c>
      <c r="P16" s="1">
        <v>46192</v>
      </c>
      <c r="Q16" t="s">
        <v>38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</row>
    <row r="17" spans="1:32" hidden="1" x14ac:dyDescent="0.25">
      <c r="A17">
        <v>92</v>
      </c>
      <c r="B17" t="s">
        <v>278</v>
      </c>
      <c r="C17" t="s">
        <v>279</v>
      </c>
      <c r="D17" t="s">
        <v>280</v>
      </c>
      <c r="E17" t="s">
        <v>140</v>
      </c>
      <c r="F17" t="s">
        <v>110</v>
      </c>
      <c r="G17" s="1">
        <v>46183</v>
      </c>
      <c r="H17" s="1">
        <v>46191</v>
      </c>
      <c r="J17">
        <v>0</v>
      </c>
      <c r="L17" t="s">
        <v>34</v>
      </c>
      <c r="M17" t="s">
        <v>47</v>
      </c>
      <c r="N17" t="s">
        <v>276</v>
      </c>
      <c r="O17" t="s">
        <v>142</v>
      </c>
      <c r="P17" s="1">
        <v>46192</v>
      </c>
      <c r="Q17" t="s">
        <v>38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>
        <v>93</v>
      </c>
      <c r="B18" t="s">
        <v>281</v>
      </c>
      <c r="C18" t="s">
        <v>282</v>
      </c>
      <c r="D18" t="s">
        <v>67</v>
      </c>
      <c r="F18" t="s">
        <v>92</v>
      </c>
      <c r="G18" s="1">
        <v>46183</v>
      </c>
      <c r="H18" s="1">
        <v>46185</v>
      </c>
      <c r="I18" t="s">
        <v>194</v>
      </c>
      <c r="J18">
        <v>0</v>
      </c>
      <c r="L18" t="s">
        <v>34</v>
      </c>
      <c r="M18" t="s">
        <v>47</v>
      </c>
      <c r="N18" t="s">
        <v>276</v>
      </c>
      <c r="O18" t="s">
        <v>142</v>
      </c>
      <c r="P18" s="1">
        <v>46188</v>
      </c>
      <c r="Q18" t="s">
        <v>38</v>
      </c>
      <c r="R18" t="s">
        <v>283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hidden="1" x14ac:dyDescent="0.25">
      <c r="A19">
        <v>94</v>
      </c>
      <c r="B19" t="s">
        <v>284</v>
      </c>
      <c r="C19" t="s">
        <v>282</v>
      </c>
      <c r="D19" t="s">
        <v>72</v>
      </c>
      <c r="F19" t="s">
        <v>73</v>
      </c>
      <c r="G19" s="1">
        <v>46188</v>
      </c>
      <c r="H19" s="1">
        <v>46188</v>
      </c>
      <c r="I19">
        <v>93</v>
      </c>
      <c r="J19">
        <v>0</v>
      </c>
      <c r="L19" t="s">
        <v>34</v>
      </c>
      <c r="M19" t="s">
        <v>47</v>
      </c>
      <c r="N19" t="s">
        <v>276</v>
      </c>
      <c r="O19" t="s">
        <v>132</v>
      </c>
      <c r="P19" s="1">
        <v>46189</v>
      </c>
      <c r="Q19" t="s">
        <v>38</v>
      </c>
      <c r="R19">
        <v>95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>
        <v>95</v>
      </c>
      <c r="B20" t="s">
        <v>285</v>
      </c>
      <c r="C20" t="s">
        <v>282</v>
      </c>
      <c r="D20" t="s">
        <v>77</v>
      </c>
      <c r="F20" t="s">
        <v>68</v>
      </c>
      <c r="G20" s="1">
        <v>46189</v>
      </c>
      <c r="H20" s="1">
        <v>46190</v>
      </c>
      <c r="I20">
        <v>94</v>
      </c>
      <c r="J20">
        <v>0</v>
      </c>
      <c r="L20" t="s">
        <v>34</v>
      </c>
      <c r="M20" t="s">
        <v>47</v>
      </c>
      <c r="N20" t="s">
        <v>276</v>
      </c>
      <c r="O20" t="s">
        <v>149</v>
      </c>
      <c r="P20" s="1">
        <v>46191</v>
      </c>
      <c r="Q20" t="s">
        <v>38</v>
      </c>
      <c r="R20">
        <v>96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hidden="1" x14ac:dyDescent="0.25">
      <c r="A21">
        <v>96</v>
      </c>
      <c r="B21" t="s">
        <v>286</v>
      </c>
      <c r="C21" t="s">
        <v>282</v>
      </c>
      <c r="D21" t="s">
        <v>83</v>
      </c>
      <c r="F21" t="s">
        <v>73</v>
      </c>
      <c r="G21" s="1">
        <v>46191</v>
      </c>
      <c r="H21" s="1">
        <v>46191</v>
      </c>
      <c r="I21">
        <v>95</v>
      </c>
      <c r="J21">
        <v>0</v>
      </c>
      <c r="L21" t="s">
        <v>34</v>
      </c>
      <c r="M21" t="s">
        <v>47</v>
      </c>
      <c r="N21" t="s">
        <v>276</v>
      </c>
      <c r="O21" t="s">
        <v>151</v>
      </c>
      <c r="P21" s="1">
        <v>46192</v>
      </c>
      <c r="Q21" t="s">
        <v>38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</row>
    <row r="22" spans="1:32" hidden="1" x14ac:dyDescent="0.25">
      <c r="A22">
        <v>108</v>
      </c>
      <c r="B22" t="s">
        <v>306</v>
      </c>
      <c r="C22" t="s">
        <v>307</v>
      </c>
      <c r="D22" t="s">
        <v>308</v>
      </c>
      <c r="E22" t="s">
        <v>140</v>
      </c>
      <c r="F22" t="s">
        <v>141</v>
      </c>
      <c r="G22" s="1">
        <v>46181</v>
      </c>
      <c r="H22" s="1">
        <v>46191</v>
      </c>
      <c r="J22">
        <v>0.8</v>
      </c>
      <c r="L22" t="s">
        <v>34</v>
      </c>
      <c r="M22" t="s">
        <v>47</v>
      </c>
      <c r="N22" t="s">
        <v>305</v>
      </c>
      <c r="O22" t="s">
        <v>142</v>
      </c>
      <c r="P22" s="1">
        <v>46192</v>
      </c>
      <c r="Q22" t="s">
        <v>38</v>
      </c>
      <c r="R22" t="s">
        <v>309</v>
      </c>
      <c r="U22">
        <v>0.8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>
        <v>111</v>
      </c>
      <c r="B23" t="s">
        <v>313</v>
      </c>
      <c r="C23" t="s">
        <v>311</v>
      </c>
      <c r="D23" t="s">
        <v>77</v>
      </c>
      <c r="F23" t="s">
        <v>68</v>
      </c>
      <c r="G23" s="1">
        <v>46189</v>
      </c>
      <c r="H23" s="1">
        <v>46190</v>
      </c>
      <c r="I23">
        <v>110</v>
      </c>
      <c r="J23">
        <v>0.5</v>
      </c>
      <c r="L23" t="s">
        <v>34</v>
      </c>
      <c r="M23" t="s">
        <v>47</v>
      </c>
      <c r="N23" t="s">
        <v>305</v>
      </c>
      <c r="O23" t="s">
        <v>149</v>
      </c>
      <c r="P23" s="1">
        <v>46191</v>
      </c>
      <c r="Q23" t="s">
        <v>38</v>
      </c>
      <c r="R23">
        <v>112</v>
      </c>
      <c r="U23">
        <v>0.5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hidden="1" x14ac:dyDescent="0.25">
      <c r="A24">
        <v>112</v>
      </c>
      <c r="B24" t="s">
        <v>314</v>
      </c>
      <c r="C24" t="s">
        <v>311</v>
      </c>
      <c r="D24" t="s">
        <v>83</v>
      </c>
      <c r="F24" t="s">
        <v>73</v>
      </c>
      <c r="G24" s="1">
        <v>46191</v>
      </c>
      <c r="H24" s="1">
        <v>46191</v>
      </c>
      <c r="I24">
        <v>111</v>
      </c>
      <c r="J24">
        <v>0</v>
      </c>
      <c r="L24" t="s">
        <v>34</v>
      </c>
      <c r="M24" t="s">
        <v>47</v>
      </c>
      <c r="N24" t="s">
        <v>305</v>
      </c>
      <c r="O24" t="s">
        <v>151</v>
      </c>
      <c r="P24" s="1">
        <v>46192</v>
      </c>
      <c r="Q24" t="s">
        <v>38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</row>
    <row r="25" spans="1:32" hidden="1" x14ac:dyDescent="0.25">
      <c r="A25">
        <v>124</v>
      </c>
      <c r="B25" t="s">
        <v>336</v>
      </c>
      <c r="C25" t="s">
        <v>337</v>
      </c>
      <c r="D25" t="s">
        <v>338</v>
      </c>
      <c r="E25" t="s">
        <v>140</v>
      </c>
      <c r="F25" t="s">
        <v>167</v>
      </c>
      <c r="G25" s="1">
        <v>46170</v>
      </c>
      <c r="H25" s="1">
        <v>46176</v>
      </c>
      <c r="J25">
        <v>0.5</v>
      </c>
      <c r="L25" t="s">
        <v>34</v>
      </c>
      <c r="M25" t="s">
        <v>47</v>
      </c>
      <c r="N25" t="s">
        <v>335</v>
      </c>
      <c r="O25" t="s">
        <v>142</v>
      </c>
      <c r="P25" s="1">
        <v>46192</v>
      </c>
      <c r="Q25" t="s">
        <v>38</v>
      </c>
      <c r="U25">
        <v>0.5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>
        <v>127</v>
      </c>
      <c r="B26" t="s">
        <v>343</v>
      </c>
      <c r="C26" t="s">
        <v>340</v>
      </c>
      <c r="D26" t="s">
        <v>77</v>
      </c>
      <c r="F26" t="s">
        <v>68</v>
      </c>
      <c r="G26" s="1">
        <v>46174</v>
      </c>
      <c r="H26" s="1">
        <v>46175</v>
      </c>
      <c r="I26">
        <v>126</v>
      </c>
      <c r="J26">
        <v>0.5</v>
      </c>
      <c r="L26" t="s">
        <v>34</v>
      </c>
      <c r="M26" t="s">
        <v>47</v>
      </c>
      <c r="N26" t="s">
        <v>335</v>
      </c>
      <c r="O26" t="s">
        <v>149</v>
      </c>
      <c r="P26" s="1">
        <v>46191</v>
      </c>
      <c r="Q26" t="s">
        <v>38</v>
      </c>
      <c r="R26">
        <v>128</v>
      </c>
      <c r="U26">
        <v>0.5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hidden="1" x14ac:dyDescent="0.25">
      <c r="A27">
        <v>128</v>
      </c>
      <c r="B27" t="s">
        <v>344</v>
      </c>
      <c r="C27" t="s">
        <v>340</v>
      </c>
      <c r="D27" t="s">
        <v>83</v>
      </c>
      <c r="F27" t="s">
        <v>73</v>
      </c>
      <c r="G27" s="1">
        <v>46176</v>
      </c>
      <c r="H27" s="1">
        <v>46176</v>
      </c>
      <c r="I27">
        <v>127</v>
      </c>
      <c r="J27">
        <v>0</v>
      </c>
      <c r="L27" t="s">
        <v>34</v>
      </c>
      <c r="M27" t="s">
        <v>47</v>
      </c>
      <c r="N27" t="s">
        <v>335</v>
      </c>
      <c r="O27" t="s">
        <v>151</v>
      </c>
      <c r="P27" s="1">
        <v>46192</v>
      </c>
      <c r="Q27" t="s">
        <v>38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topLeftCell="A34" workbookViewId="0">
      <selection activeCell="F18" sqref="F18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28.140625" bestFit="1" customWidth="1"/>
    <col min="5" max="5" width="27.28515625" bestFit="1" customWidth="1"/>
    <col min="6" max="6" width="12.42578125" bestFit="1" customWidth="1"/>
    <col min="7" max="7" width="13.7109375" style="6" bestFit="1" customWidth="1"/>
    <col min="8" max="8" width="21.28515625" bestFit="1" customWidth="1"/>
    <col min="9" max="9" width="32.140625" bestFit="1" customWidth="1"/>
    <col min="10" max="10" width="8.8554687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6" t="s">
        <v>9</v>
      </c>
      <c r="H1" t="s">
        <v>19</v>
      </c>
      <c r="I1" t="s">
        <v>13</v>
      </c>
      <c r="J1" t="s">
        <v>12</v>
      </c>
    </row>
    <row r="2" spans="1:10" x14ac:dyDescent="0.25">
      <c r="A2" t="s">
        <v>38</v>
      </c>
      <c r="B2">
        <v>1</v>
      </c>
      <c r="C2">
        <v>1</v>
      </c>
      <c r="E2" t="s">
        <v>32</v>
      </c>
      <c r="F2" t="s">
        <v>34</v>
      </c>
      <c r="G2">
        <v>0.26</v>
      </c>
      <c r="I2" t="s">
        <v>36</v>
      </c>
      <c r="J2" t="s">
        <v>35</v>
      </c>
    </row>
    <row r="3" spans="1:10" x14ac:dyDescent="0.25">
      <c r="A3" t="s">
        <v>38</v>
      </c>
      <c r="B3">
        <v>2</v>
      </c>
      <c r="C3" t="s">
        <v>39</v>
      </c>
      <c r="D3" t="s">
        <v>40</v>
      </c>
      <c r="E3" t="s">
        <v>41</v>
      </c>
      <c r="F3" t="s">
        <v>34</v>
      </c>
      <c r="G3">
        <v>0.26</v>
      </c>
      <c r="I3" t="s">
        <v>36</v>
      </c>
      <c r="J3" t="s">
        <v>35</v>
      </c>
    </row>
    <row r="4" spans="1:10" x14ac:dyDescent="0.25">
      <c r="A4" t="s">
        <v>38</v>
      </c>
      <c r="B4">
        <v>6</v>
      </c>
      <c r="C4" t="s">
        <v>56</v>
      </c>
      <c r="D4" t="s">
        <v>43</v>
      </c>
      <c r="E4" t="s">
        <v>57</v>
      </c>
      <c r="F4" t="s">
        <v>34</v>
      </c>
      <c r="G4">
        <v>0.77</v>
      </c>
      <c r="I4" t="s">
        <v>59</v>
      </c>
      <c r="J4" t="s">
        <v>35</v>
      </c>
    </row>
    <row r="5" spans="1:10" x14ac:dyDescent="0.25">
      <c r="A5" t="s">
        <v>38</v>
      </c>
      <c r="B5">
        <v>7</v>
      </c>
      <c r="C5" t="s">
        <v>60</v>
      </c>
      <c r="D5" t="s">
        <v>61</v>
      </c>
      <c r="E5" t="s">
        <v>62</v>
      </c>
      <c r="F5" t="s">
        <v>64</v>
      </c>
      <c r="G5">
        <v>0.7</v>
      </c>
      <c r="I5" t="s">
        <v>59</v>
      </c>
      <c r="J5" t="s">
        <v>35</v>
      </c>
    </row>
    <row r="6" spans="1:10" x14ac:dyDescent="0.25">
      <c r="A6" t="s">
        <v>38</v>
      </c>
      <c r="B6">
        <v>12</v>
      </c>
      <c r="C6" t="s">
        <v>86</v>
      </c>
      <c r="D6" t="s">
        <v>61</v>
      </c>
      <c r="E6" t="s">
        <v>87</v>
      </c>
      <c r="F6" t="s">
        <v>34</v>
      </c>
      <c r="G6">
        <v>0.81</v>
      </c>
      <c r="I6" t="s">
        <v>59</v>
      </c>
      <c r="J6" t="s">
        <v>47</v>
      </c>
    </row>
    <row r="7" spans="1:10" x14ac:dyDescent="0.25">
      <c r="A7" t="s">
        <v>38</v>
      </c>
      <c r="B7">
        <v>15</v>
      </c>
      <c r="C7" t="s">
        <v>97</v>
      </c>
      <c r="D7" t="s">
        <v>91</v>
      </c>
      <c r="E7" t="s">
        <v>77</v>
      </c>
      <c r="F7" t="s">
        <v>34</v>
      </c>
      <c r="G7" s="6">
        <v>0.5</v>
      </c>
      <c r="I7" t="s">
        <v>59</v>
      </c>
      <c r="J7" t="s">
        <v>47</v>
      </c>
    </row>
    <row r="8" spans="1:10" x14ac:dyDescent="0.25">
      <c r="A8" t="s">
        <v>38</v>
      </c>
      <c r="B8">
        <v>16</v>
      </c>
      <c r="C8" t="s">
        <v>100</v>
      </c>
      <c r="D8" t="s">
        <v>91</v>
      </c>
      <c r="E8" t="s">
        <v>83</v>
      </c>
      <c r="F8" t="s">
        <v>64</v>
      </c>
      <c r="G8">
        <v>0</v>
      </c>
      <c r="I8" t="s">
        <v>59</v>
      </c>
      <c r="J8" t="s">
        <v>47</v>
      </c>
    </row>
    <row r="9" spans="1:10" x14ac:dyDescent="0.25">
      <c r="A9" t="s">
        <v>38</v>
      </c>
      <c r="B9">
        <v>17</v>
      </c>
      <c r="C9" t="s">
        <v>102</v>
      </c>
      <c r="D9" t="s">
        <v>43</v>
      </c>
      <c r="E9" t="s">
        <v>103</v>
      </c>
      <c r="F9" t="s">
        <v>64</v>
      </c>
      <c r="G9">
        <v>0.56999999999999995</v>
      </c>
      <c r="I9" t="s">
        <v>105</v>
      </c>
      <c r="J9" t="s">
        <v>47</v>
      </c>
    </row>
    <row r="10" spans="1:10" x14ac:dyDescent="0.25">
      <c r="A10" t="s">
        <v>38</v>
      </c>
      <c r="B10">
        <v>18</v>
      </c>
      <c r="C10" t="s">
        <v>106</v>
      </c>
      <c r="D10" t="s">
        <v>107</v>
      </c>
      <c r="E10" t="s">
        <v>108</v>
      </c>
      <c r="F10" t="s">
        <v>64</v>
      </c>
      <c r="G10">
        <v>0.43</v>
      </c>
      <c r="I10" t="s">
        <v>105</v>
      </c>
      <c r="J10" t="s">
        <v>47</v>
      </c>
    </row>
    <row r="11" spans="1:10" x14ac:dyDescent="0.25">
      <c r="A11" t="s">
        <v>38</v>
      </c>
      <c r="B11">
        <v>20</v>
      </c>
      <c r="C11" t="s">
        <v>115</v>
      </c>
      <c r="D11" t="s">
        <v>113</v>
      </c>
      <c r="E11" t="s">
        <v>72</v>
      </c>
      <c r="F11" t="s">
        <v>79</v>
      </c>
      <c r="G11">
        <v>0</v>
      </c>
      <c r="I11" t="s">
        <v>105</v>
      </c>
      <c r="J11" t="s">
        <v>47</v>
      </c>
    </row>
    <row r="12" spans="1:10" x14ac:dyDescent="0.25">
      <c r="A12" t="s">
        <v>38</v>
      </c>
      <c r="B12">
        <v>21</v>
      </c>
      <c r="C12" t="s">
        <v>117</v>
      </c>
      <c r="D12" t="s">
        <v>113</v>
      </c>
      <c r="E12" t="s">
        <v>77</v>
      </c>
      <c r="F12" t="s">
        <v>79</v>
      </c>
      <c r="G12" s="6">
        <v>0</v>
      </c>
      <c r="I12" t="s">
        <v>105</v>
      </c>
      <c r="J12" t="s">
        <v>47</v>
      </c>
    </row>
    <row r="13" spans="1:10" x14ac:dyDescent="0.25">
      <c r="A13" t="s">
        <v>38</v>
      </c>
      <c r="B13">
        <v>23</v>
      </c>
      <c r="C13" t="s">
        <v>121</v>
      </c>
      <c r="D13" t="s">
        <v>107</v>
      </c>
      <c r="E13" t="s">
        <v>122</v>
      </c>
      <c r="F13" t="s">
        <v>64</v>
      </c>
      <c r="G13">
        <v>0.71</v>
      </c>
      <c r="I13" t="s">
        <v>105</v>
      </c>
      <c r="J13" t="s">
        <v>47</v>
      </c>
    </row>
    <row r="14" spans="1:10" x14ac:dyDescent="0.25">
      <c r="A14" t="s">
        <v>38</v>
      </c>
      <c r="B14">
        <v>28</v>
      </c>
      <c r="C14" t="s">
        <v>133</v>
      </c>
      <c r="D14" t="s">
        <v>43</v>
      </c>
      <c r="E14" t="s">
        <v>134</v>
      </c>
      <c r="F14" t="s">
        <v>34</v>
      </c>
      <c r="G14">
        <v>0.21</v>
      </c>
      <c r="I14" t="s">
        <v>136</v>
      </c>
      <c r="J14" t="s">
        <v>47</v>
      </c>
    </row>
    <row r="15" spans="1:10" x14ac:dyDescent="0.25">
      <c r="A15" t="s">
        <v>38</v>
      </c>
      <c r="B15">
        <v>29</v>
      </c>
      <c r="C15" t="s">
        <v>137</v>
      </c>
      <c r="D15" t="s">
        <v>138</v>
      </c>
      <c r="E15" t="s">
        <v>139</v>
      </c>
      <c r="F15" t="s">
        <v>34</v>
      </c>
      <c r="G15">
        <v>0</v>
      </c>
      <c r="I15" t="s">
        <v>136</v>
      </c>
      <c r="J15" t="s">
        <v>47</v>
      </c>
    </row>
    <row r="16" spans="1:10" x14ac:dyDescent="0.25">
      <c r="A16" t="s">
        <v>38</v>
      </c>
      <c r="B16">
        <v>30</v>
      </c>
      <c r="C16" t="s">
        <v>143</v>
      </c>
      <c r="D16" t="s">
        <v>144</v>
      </c>
      <c r="E16" t="s">
        <v>67</v>
      </c>
      <c r="F16" t="s">
        <v>34</v>
      </c>
      <c r="G16" s="6">
        <v>0</v>
      </c>
      <c r="I16" t="s">
        <v>136</v>
      </c>
      <c r="J16" t="s">
        <v>47</v>
      </c>
    </row>
    <row r="17" spans="1:10" x14ac:dyDescent="0.25">
      <c r="A17" t="s">
        <v>38</v>
      </c>
      <c r="B17">
        <v>31</v>
      </c>
      <c r="C17" t="s">
        <v>147</v>
      </c>
      <c r="D17" t="s">
        <v>144</v>
      </c>
      <c r="E17" t="s">
        <v>72</v>
      </c>
      <c r="F17" t="s">
        <v>34</v>
      </c>
      <c r="G17">
        <v>0</v>
      </c>
      <c r="I17" t="s">
        <v>136</v>
      </c>
      <c r="J17" t="s">
        <v>47</v>
      </c>
    </row>
    <row r="18" spans="1:10" x14ac:dyDescent="0.25">
      <c r="A18" t="s">
        <v>38</v>
      </c>
      <c r="B18">
        <v>32</v>
      </c>
      <c r="C18" t="s">
        <v>148</v>
      </c>
      <c r="D18" t="s">
        <v>144</v>
      </c>
      <c r="E18" t="s">
        <v>77</v>
      </c>
      <c r="F18" t="s">
        <v>34</v>
      </c>
      <c r="G18" s="6">
        <v>0</v>
      </c>
      <c r="I18" t="s">
        <v>136</v>
      </c>
      <c r="J18" t="s">
        <v>47</v>
      </c>
    </row>
    <row r="19" spans="1:10" x14ac:dyDescent="0.25">
      <c r="A19" t="s">
        <v>38</v>
      </c>
      <c r="B19">
        <v>33</v>
      </c>
      <c r="C19" t="s">
        <v>150</v>
      </c>
      <c r="D19" t="s">
        <v>144</v>
      </c>
      <c r="E19" t="s">
        <v>83</v>
      </c>
      <c r="F19" t="s">
        <v>34</v>
      </c>
      <c r="G19">
        <v>0</v>
      </c>
      <c r="I19" t="s">
        <v>136</v>
      </c>
      <c r="J19" t="s">
        <v>47</v>
      </c>
    </row>
    <row r="20" spans="1:10" x14ac:dyDescent="0.25">
      <c r="A20" t="s">
        <v>38</v>
      </c>
      <c r="B20">
        <v>39</v>
      </c>
      <c r="C20" t="s">
        <v>164</v>
      </c>
      <c r="D20" t="s">
        <v>138</v>
      </c>
      <c r="E20" t="s">
        <v>165</v>
      </c>
      <c r="F20" t="s">
        <v>34</v>
      </c>
      <c r="G20">
        <v>0.63</v>
      </c>
      <c r="I20" t="s">
        <v>136</v>
      </c>
      <c r="J20" t="s">
        <v>47</v>
      </c>
    </row>
    <row r="21" spans="1:10" x14ac:dyDescent="0.25">
      <c r="A21" t="s">
        <v>38</v>
      </c>
      <c r="B21">
        <v>42</v>
      </c>
      <c r="C21" t="s">
        <v>173</v>
      </c>
      <c r="D21" t="s">
        <v>169</v>
      </c>
      <c r="E21" t="s">
        <v>77</v>
      </c>
      <c r="F21" t="s">
        <v>34</v>
      </c>
      <c r="G21" s="6">
        <v>0.75</v>
      </c>
      <c r="I21" t="s">
        <v>136</v>
      </c>
      <c r="J21" t="s">
        <v>47</v>
      </c>
    </row>
    <row r="22" spans="1:10" x14ac:dyDescent="0.25">
      <c r="A22" t="s">
        <v>38</v>
      </c>
      <c r="B22">
        <v>43</v>
      </c>
      <c r="C22" t="s">
        <v>175</v>
      </c>
      <c r="D22" t="s">
        <v>169</v>
      </c>
      <c r="E22" t="s">
        <v>83</v>
      </c>
      <c r="F22" t="s">
        <v>34</v>
      </c>
      <c r="G22">
        <v>0</v>
      </c>
      <c r="I22" t="s">
        <v>136</v>
      </c>
      <c r="J22" t="s">
        <v>47</v>
      </c>
    </row>
    <row r="23" spans="1:10" x14ac:dyDescent="0.25">
      <c r="A23" t="s">
        <v>38</v>
      </c>
      <c r="B23">
        <v>44</v>
      </c>
      <c r="C23" t="s">
        <v>177</v>
      </c>
      <c r="D23" t="s">
        <v>138</v>
      </c>
      <c r="E23" t="s">
        <v>165</v>
      </c>
      <c r="F23" t="s">
        <v>34</v>
      </c>
      <c r="G23">
        <v>0.63</v>
      </c>
      <c r="I23" t="s">
        <v>136</v>
      </c>
      <c r="J23" t="s">
        <v>47</v>
      </c>
    </row>
    <row r="24" spans="1:10" x14ac:dyDescent="0.25">
      <c r="A24" t="s">
        <v>38</v>
      </c>
      <c r="B24">
        <v>49</v>
      </c>
      <c r="C24" t="s">
        <v>184</v>
      </c>
      <c r="D24" t="s">
        <v>43</v>
      </c>
      <c r="E24" t="s">
        <v>185</v>
      </c>
      <c r="F24" t="s">
        <v>34</v>
      </c>
      <c r="G24">
        <v>0.15</v>
      </c>
      <c r="I24" t="s">
        <v>187</v>
      </c>
      <c r="J24" t="s">
        <v>47</v>
      </c>
    </row>
    <row r="25" spans="1:10" x14ac:dyDescent="0.25">
      <c r="A25" t="s">
        <v>38</v>
      </c>
      <c r="B25">
        <v>50</v>
      </c>
      <c r="C25" t="s">
        <v>188</v>
      </c>
      <c r="D25" t="s">
        <v>189</v>
      </c>
      <c r="E25" t="s">
        <v>190</v>
      </c>
      <c r="F25" t="s">
        <v>34</v>
      </c>
      <c r="G25">
        <v>0.46</v>
      </c>
      <c r="I25" t="s">
        <v>187</v>
      </c>
      <c r="J25" t="s">
        <v>47</v>
      </c>
    </row>
    <row r="26" spans="1:10" x14ac:dyDescent="0.25">
      <c r="A26" t="s">
        <v>38</v>
      </c>
      <c r="B26">
        <v>52</v>
      </c>
      <c r="C26" t="s">
        <v>196</v>
      </c>
      <c r="D26" t="s">
        <v>193</v>
      </c>
      <c r="E26" t="s">
        <v>72</v>
      </c>
      <c r="F26" t="s">
        <v>34</v>
      </c>
      <c r="G26">
        <v>0.75</v>
      </c>
      <c r="I26" t="s">
        <v>187</v>
      </c>
      <c r="J26" t="s">
        <v>47</v>
      </c>
    </row>
    <row r="27" spans="1:10" x14ac:dyDescent="0.25">
      <c r="A27" t="s">
        <v>38</v>
      </c>
      <c r="B27">
        <v>53</v>
      </c>
      <c r="C27" t="s">
        <v>197</v>
      </c>
      <c r="D27" t="s">
        <v>193</v>
      </c>
      <c r="E27" t="s">
        <v>77</v>
      </c>
      <c r="F27" t="s">
        <v>34</v>
      </c>
      <c r="G27" s="6">
        <v>0</v>
      </c>
      <c r="I27" t="s">
        <v>187</v>
      </c>
      <c r="J27" t="s">
        <v>47</v>
      </c>
    </row>
    <row r="28" spans="1:10" x14ac:dyDescent="0.25">
      <c r="A28" t="s">
        <v>38</v>
      </c>
      <c r="B28">
        <v>54</v>
      </c>
      <c r="C28" t="s">
        <v>198</v>
      </c>
      <c r="D28" t="s">
        <v>193</v>
      </c>
      <c r="E28" t="s">
        <v>83</v>
      </c>
      <c r="F28" t="s">
        <v>34</v>
      </c>
      <c r="G28">
        <v>0</v>
      </c>
      <c r="I28" t="s">
        <v>187</v>
      </c>
      <c r="J28" t="s">
        <v>47</v>
      </c>
    </row>
    <row r="29" spans="1:10" x14ac:dyDescent="0.25">
      <c r="A29" t="s">
        <v>38</v>
      </c>
      <c r="B29">
        <v>65</v>
      </c>
      <c r="C29" t="s">
        <v>220</v>
      </c>
      <c r="D29" t="s">
        <v>43</v>
      </c>
      <c r="E29" t="s">
        <v>221</v>
      </c>
      <c r="F29" t="s">
        <v>64</v>
      </c>
      <c r="G29">
        <v>0.24</v>
      </c>
      <c r="I29" t="s">
        <v>223</v>
      </c>
      <c r="J29" t="s">
        <v>47</v>
      </c>
    </row>
    <row r="30" spans="1:10" x14ac:dyDescent="0.25">
      <c r="A30" t="s">
        <v>38</v>
      </c>
      <c r="B30">
        <v>91</v>
      </c>
      <c r="C30" t="s">
        <v>273</v>
      </c>
      <c r="D30" t="s">
        <v>43</v>
      </c>
      <c r="E30" t="s">
        <v>274</v>
      </c>
      <c r="F30" t="s">
        <v>34</v>
      </c>
      <c r="G30">
        <v>0</v>
      </c>
      <c r="I30" t="s">
        <v>276</v>
      </c>
      <c r="J30" t="s">
        <v>47</v>
      </c>
    </row>
    <row r="31" spans="1:10" x14ac:dyDescent="0.25">
      <c r="A31" t="s">
        <v>38</v>
      </c>
      <c r="B31">
        <v>92</v>
      </c>
      <c r="C31" t="s">
        <v>278</v>
      </c>
      <c r="D31" t="s">
        <v>279</v>
      </c>
      <c r="E31" t="s">
        <v>280</v>
      </c>
      <c r="F31" t="s">
        <v>34</v>
      </c>
      <c r="G31">
        <v>0</v>
      </c>
      <c r="I31" t="s">
        <v>276</v>
      </c>
      <c r="J31" t="s">
        <v>47</v>
      </c>
    </row>
    <row r="32" spans="1:10" x14ac:dyDescent="0.25">
      <c r="A32" t="s">
        <v>38</v>
      </c>
      <c r="B32">
        <v>93</v>
      </c>
      <c r="C32" t="s">
        <v>281</v>
      </c>
      <c r="D32" t="s">
        <v>282</v>
      </c>
      <c r="E32" t="s">
        <v>67</v>
      </c>
      <c r="F32" t="s">
        <v>34</v>
      </c>
      <c r="G32" s="6">
        <v>0</v>
      </c>
      <c r="I32" t="s">
        <v>276</v>
      </c>
      <c r="J32" t="s">
        <v>47</v>
      </c>
    </row>
    <row r="33" spans="1:10" x14ac:dyDescent="0.25">
      <c r="A33" t="s">
        <v>38</v>
      </c>
      <c r="B33">
        <v>94</v>
      </c>
      <c r="C33" t="s">
        <v>284</v>
      </c>
      <c r="D33" t="s">
        <v>282</v>
      </c>
      <c r="E33" t="s">
        <v>72</v>
      </c>
      <c r="F33" t="s">
        <v>34</v>
      </c>
      <c r="G33">
        <v>0</v>
      </c>
      <c r="I33" t="s">
        <v>276</v>
      </c>
      <c r="J33" t="s">
        <v>47</v>
      </c>
    </row>
    <row r="34" spans="1:10" x14ac:dyDescent="0.25">
      <c r="A34" t="s">
        <v>38</v>
      </c>
      <c r="B34">
        <v>95</v>
      </c>
      <c r="C34" t="s">
        <v>285</v>
      </c>
      <c r="D34" t="s">
        <v>282</v>
      </c>
      <c r="E34" t="s">
        <v>77</v>
      </c>
      <c r="F34" t="s">
        <v>34</v>
      </c>
      <c r="G34" s="6">
        <v>0</v>
      </c>
      <c r="I34" t="s">
        <v>276</v>
      </c>
      <c r="J34" t="s">
        <v>47</v>
      </c>
    </row>
    <row r="35" spans="1:10" x14ac:dyDescent="0.25">
      <c r="A35" t="s">
        <v>38</v>
      </c>
      <c r="B35">
        <v>96</v>
      </c>
      <c r="C35" t="s">
        <v>286</v>
      </c>
      <c r="D35" t="s">
        <v>282</v>
      </c>
      <c r="E35" t="s">
        <v>83</v>
      </c>
      <c r="F35" t="s">
        <v>34</v>
      </c>
      <c r="G35">
        <v>0</v>
      </c>
      <c r="I35" t="s">
        <v>276</v>
      </c>
      <c r="J35" t="s">
        <v>47</v>
      </c>
    </row>
    <row r="36" spans="1:10" x14ac:dyDescent="0.25">
      <c r="A36" t="s">
        <v>38</v>
      </c>
      <c r="B36">
        <v>107</v>
      </c>
      <c r="C36" t="s">
        <v>302</v>
      </c>
      <c r="D36" t="s">
        <v>43</v>
      </c>
      <c r="E36" t="s">
        <v>303</v>
      </c>
      <c r="F36" t="s">
        <v>34</v>
      </c>
      <c r="G36">
        <v>0.25</v>
      </c>
      <c r="I36" t="s">
        <v>305</v>
      </c>
      <c r="J36" t="s">
        <v>47</v>
      </c>
    </row>
    <row r="37" spans="1:10" x14ac:dyDescent="0.25">
      <c r="A37" t="s">
        <v>38</v>
      </c>
      <c r="B37">
        <v>108</v>
      </c>
      <c r="C37" t="s">
        <v>306</v>
      </c>
      <c r="D37" t="s">
        <v>307</v>
      </c>
      <c r="E37" t="s">
        <v>308</v>
      </c>
      <c r="F37" t="s">
        <v>34</v>
      </c>
      <c r="G37">
        <v>0.8</v>
      </c>
      <c r="I37" t="s">
        <v>305</v>
      </c>
      <c r="J37" t="s">
        <v>47</v>
      </c>
    </row>
    <row r="38" spans="1:10" x14ac:dyDescent="0.25">
      <c r="A38" t="s">
        <v>38</v>
      </c>
      <c r="B38">
        <v>111</v>
      </c>
      <c r="C38" t="s">
        <v>313</v>
      </c>
      <c r="D38" t="s">
        <v>311</v>
      </c>
      <c r="E38" t="s">
        <v>77</v>
      </c>
      <c r="F38" t="s">
        <v>34</v>
      </c>
      <c r="G38" s="6">
        <v>0.5</v>
      </c>
      <c r="I38" t="s">
        <v>305</v>
      </c>
      <c r="J38" t="s">
        <v>47</v>
      </c>
    </row>
    <row r="39" spans="1:10" x14ac:dyDescent="0.25">
      <c r="A39" t="s">
        <v>38</v>
      </c>
      <c r="B39">
        <v>112</v>
      </c>
      <c r="C39" t="s">
        <v>314</v>
      </c>
      <c r="D39" t="s">
        <v>311</v>
      </c>
      <c r="E39" t="s">
        <v>83</v>
      </c>
      <c r="F39" t="s">
        <v>34</v>
      </c>
      <c r="G39">
        <v>0</v>
      </c>
      <c r="I39" t="s">
        <v>305</v>
      </c>
      <c r="J39" t="s">
        <v>47</v>
      </c>
    </row>
    <row r="40" spans="1:10" x14ac:dyDescent="0.25">
      <c r="A40" t="s">
        <v>38</v>
      </c>
      <c r="B40">
        <v>123</v>
      </c>
      <c r="C40" t="s">
        <v>332</v>
      </c>
      <c r="D40" t="s">
        <v>43</v>
      </c>
      <c r="E40" t="s">
        <v>333</v>
      </c>
      <c r="F40" t="s">
        <v>34</v>
      </c>
      <c r="G40">
        <v>0.18</v>
      </c>
      <c r="I40" t="s">
        <v>335</v>
      </c>
      <c r="J40" t="s">
        <v>47</v>
      </c>
    </row>
    <row r="41" spans="1:10" x14ac:dyDescent="0.25">
      <c r="A41" t="s">
        <v>38</v>
      </c>
      <c r="B41">
        <v>124</v>
      </c>
      <c r="C41" t="s">
        <v>336</v>
      </c>
      <c r="D41" t="s">
        <v>337</v>
      </c>
      <c r="E41" t="s">
        <v>338</v>
      </c>
      <c r="F41" t="s">
        <v>34</v>
      </c>
      <c r="G41">
        <v>0.5</v>
      </c>
      <c r="I41" t="s">
        <v>335</v>
      </c>
      <c r="J41" t="s">
        <v>47</v>
      </c>
    </row>
    <row r="42" spans="1:10" x14ac:dyDescent="0.25">
      <c r="A42" t="s">
        <v>38</v>
      </c>
      <c r="B42">
        <v>127</v>
      </c>
      <c r="C42" t="s">
        <v>343</v>
      </c>
      <c r="D42" t="s">
        <v>340</v>
      </c>
      <c r="E42" t="s">
        <v>77</v>
      </c>
      <c r="F42" t="s">
        <v>34</v>
      </c>
      <c r="G42" s="6">
        <v>0.5</v>
      </c>
      <c r="I42" t="s">
        <v>335</v>
      </c>
      <c r="J42" t="s">
        <v>47</v>
      </c>
    </row>
    <row r="43" spans="1:10" x14ac:dyDescent="0.25">
      <c r="A43" t="s">
        <v>38</v>
      </c>
      <c r="B43">
        <v>128</v>
      </c>
      <c r="C43" t="s">
        <v>344</v>
      </c>
      <c r="D43" t="s">
        <v>340</v>
      </c>
      <c r="E43" t="s">
        <v>83</v>
      </c>
      <c r="F43" t="s">
        <v>34</v>
      </c>
      <c r="G43">
        <v>0</v>
      </c>
      <c r="I43" t="s">
        <v>335</v>
      </c>
      <c r="J43" t="s">
        <v>47</v>
      </c>
    </row>
    <row r="46" spans="1:10" x14ac:dyDescent="0.25">
      <c r="G46" s="6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{0DAE523D-49D2-4213-A754-7E5B2BDB9463}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AE523D-49D2-4213-A754-7E5B2BDB94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tabSelected="1" workbookViewId="0">
      <selection activeCell="F2" sqref="F2:F6"/>
    </sheetView>
  </sheetViews>
  <sheetFormatPr defaultRowHeight="15" x14ac:dyDescent="0.25"/>
  <cols>
    <col min="1" max="1" width="14.5703125" bestFit="1" customWidth="1"/>
    <col min="2" max="2" width="4.85546875" customWidth="1"/>
    <col min="3" max="3" width="8.28515625" bestFit="1" customWidth="1"/>
    <col min="4" max="4" width="27.42578125" customWidth="1"/>
    <col min="5" max="5" width="27.28515625" bestFit="1" customWidth="1"/>
    <col min="6" max="6" width="12.42578125" bestFit="1" customWidth="1"/>
    <col min="7" max="7" width="13.42578125" style="6" customWidth="1"/>
    <col min="8" max="8" width="20.85546875" customWidth="1"/>
    <col min="9" max="9" width="15.5703125" bestFit="1" customWidth="1"/>
    <col min="10" max="10" width="8.5703125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11</v>
      </c>
      <c r="G1" s="6" t="s">
        <v>9</v>
      </c>
      <c r="H1" t="s">
        <v>19</v>
      </c>
      <c r="I1" t="s">
        <v>13</v>
      </c>
      <c r="J1" t="s">
        <v>12</v>
      </c>
    </row>
    <row r="2" spans="1:10" x14ac:dyDescent="0.25">
      <c r="A2" t="s">
        <v>38</v>
      </c>
      <c r="B2">
        <v>22</v>
      </c>
      <c r="C2" t="s">
        <v>119</v>
      </c>
      <c r="D2" t="s">
        <v>113</v>
      </c>
      <c r="E2" t="s">
        <v>83</v>
      </c>
      <c r="F2" t="s">
        <v>79</v>
      </c>
      <c r="G2" s="6">
        <v>0</v>
      </c>
      <c r="I2" t="s">
        <v>105</v>
      </c>
      <c r="J2" t="s">
        <v>47</v>
      </c>
    </row>
    <row r="3" spans="1:10" x14ac:dyDescent="0.25">
      <c r="A3" t="s">
        <v>38</v>
      </c>
      <c r="B3">
        <v>47</v>
      </c>
      <c r="C3" t="s">
        <v>182</v>
      </c>
      <c r="D3" t="s">
        <v>169</v>
      </c>
      <c r="E3" t="s">
        <v>77</v>
      </c>
      <c r="F3" t="s">
        <v>79</v>
      </c>
      <c r="G3" s="6">
        <v>0.75</v>
      </c>
      <c r="I3" t="s">
        <v>136</v>
      </c>
      <c r="J3" t="s">
        <v>47</v>
      </c>
    </row>
    <row r="4" spans="1:10" x14ac:dyDescent="0.25">
      <c r="A4" t="s">
        <v>38</v>
      </c>
      <c r="B4">
        <v>48</v>
      </c>
      <c r="C4" t="s">
        <v>183</v>
      </c>
      <c r="D4" t="s">
        <v>169</v>
      </c>
      <c r="E4" t="s">
        <v>83</v>
      </c>
      <c r="F4" t="s">
        <v>79</v>
      </c>
      <c r="G4" s="6">
        <v>0</v>
      </c>
      <c r="I4" t="s">
        <v>136</v>
      </c>
      <c r="J4" t="s">
        <v>47</v>
      </c>
    </row>
    <row r="6" spans="1:10" x14ac:dyDescent="0.25">
      <c r="G6" s="6">
        <v>1</v>
      </c>
    </row>
  </sheetData>
  <conditionalFormatting sqref="G1:G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{2A94FFDF-9174-41DD-A112-F56689DAA67F}</x14:id>
        </ext>
      </extLst>
    </cfRule>
  </conditionalFormatting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94FFDF-9174-41DD-A112-F56689DAA6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7182221-DD0C-4EA8-8EFC-86DA1D0AB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21F7BA-4658-404A-AD5F-10264DDCD7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5F89A86-E0D9-43B5-8414-3BC297A1C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2026-06-24T14:52:33Z</dcterms:created>
  <dcterms:modified xsi:type="dcterms:W3CDTF">2026-07-02T12:01:53Z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2026-06-24T14:53:37Z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8f3cb2ec-bd8e-400f-9e5c-8daee329f769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