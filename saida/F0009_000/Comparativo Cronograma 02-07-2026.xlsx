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87" documentId="11_2FC52D9ADF6FF365D52B0DFDA4CEF5628FB7EF79" xr6:coauthVersionLast="47" xr6:coauthVersionMax="47" xr10:uidLastSave="{7DCD52C0-71E3-47F2-9357-F1F6EBE533A4}"/>
  <bookViews>
    <workbookView xWindow="2037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H16" i="2"/>
  <c r="B16" i="2"/>
  <c r="C16" i="2"/>
  <c r="E16" i="2"/>
  <c r="F16" i="2"/>
  <c r="G16" i="2"/>
  <c r="B34" i="2"/>
  <c r="C34" i="2"/>
  <c r="D34" i="2"/>
  <c r="E34" i="2"/>
</calcChain>
</file>

<file path=xl/sharedStrings.xml><?xml version="1.0" encoding="utf-8"?>
<sst xmlns="http://schemas.openxmlformats.org/spreadsheetml/2006/main" count="2503" uniqueCount="406">
  <si>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</si>
  <si>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</si>
  <si>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</si>
  <si>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</si>
  <si>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</si>
  <si>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</si>
  <si>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</si>
  <si>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</si>
  <si>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</si>
  <si>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</si>
  <si>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</si>
  <si>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</si>
  <si>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</si>
  <si>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</si>
  <si>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</si>
  <si>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</si>
  <si>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</si>
  <si>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</si>
  <si>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</si>
  <si>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</si>
  <si>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</si>
  <si>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</si>
  <si>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</si>
  <si>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</si>
  <si>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</si>
  <si>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</si>
  <si>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</si>
  <si>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</si>
  <si>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</si>
  <si>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</si>
  <si>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</si>
  <si>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</si>
  <si>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</si>
  <si>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158 dias</t>
  </si>
  <si>
    <t>Atrasada</t>
  </si>
  <si>
    <t>Sim</t>
  </si>
  <si>
    <t>GERAL</t>
  </si>
  <si>
    <t>Seg 27/04/26</t>
  </si>
  <si>
    <t>Nenhum Sprint</t>
  </si>
  <si>
    <t>1.1</t>
  </si>
  <si>
    <t>F0009 - Programa Marabá</t>
  </si>
  <si>
    <t>área 0000 -documento geral</t>
  </si>
  <si>
    <t>1.1.1</t>
  </si>
  <si>
    <t>Área 0000 -Documento geral</t>
  </si>
  <si>
    <t>kom - início de projeto</t>
  </si>
  <si>
    <t>0 dias</t>
  </si>
  <si>
    <t>Concluída</t>
  </si>
  <si>
    <t>Não</t>
  </si>
  <si>
    <t>8TI+10 dias;24TI+10 dias;19TI+45 dias;5</t>
  </si>
  <si>
    <t>1.1.2</t>
  </si>
  <si>
    <t>pendências</t>
  </si>
  <si>
    <t>PENDÊNCIAS</t>
  </si>
  <si>
    <t>Qua 29/04/26</t>
  </si>
  <si>
    <t>1.1.2.1</t>
  </si>
  <si>
    <t>Pendências</t>
  </si>
  <si>
    <t>recebimento de dados de entrada</t>
  </si>
  <si>
    <t>1.1.3</t>
  </si>
  <si>
    <t>planejamento</t>
  </si>
  <si>
    <t>148 dias</t>
  </si>
  <si>
    <t>PLANEJAMENTO</t>
  </si>
  <si>
    <t>1.1.3.1</t>
  </si>
  <si>
    <t>Planejamento</t>
  </si>
  <si>
    <t>ld-f0009-0000-mb-f-00001</t>
  </si>
  <si>
    <t>Lista de documentos</t>
  </si>
  <si>
    <t>No Prazo</t>
  </si>
  <si>
    <t>1.1.3.1.1</t>
  </si>
  <si>
    <t>LD-F0009-0000-MB-F-00001</t>
  </si>
  <si>
    <t>emissão inicial</t>
  </si>
  <si>
    <t>2 dias</t>
  </si>
  <si>
    <t>3TI+10 dias</t>
  </si>
  <si>
    <t>9;13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</si>
  <si>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</si>
  <si>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</si>
  <si>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</si>
  <si>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</si>
  <si>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</si>
  <si>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</si>
  <si>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</si>
  <si>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</si>
  <si>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Tarefa futura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</si>
  <si>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</si>
  <si>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</si>
  <si>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</si>
  <si>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</si>
  <si>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</si>
  <si>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</si>
  <si>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</si>
  <si>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cr-f0009-0000-mb-f-00001</t>
  </si>
  <si>
    <t>Cronograma</t>
  </si>
  <si>
    <t>16 dias</t>
  </si>
  <si>
    <t>1.1.3.2.1</t>
  </si>
  <si>
    <t>CR-F0009-0000-MB-F-00001</t>
  </si>
  <si>
    <t>3 dias</t>
  </si>
  <si>
    <t>14;30</t>
  </si>
  <si>
    <t>1.1.3.2.2</t>
  </si>
  <si>
    <t>Ter 05/05/26</t>
  </si>
  <si>
    <t>15TI+8 dias</t>
  </si>
  <si>
    <t>1.1.3.2.3</t>
  </si>
  <si>
    <t>14TI+8 dias</t>
  </si>
  <si>
    <t>Qua 13/05/26</t>
  </si>
  <si>
    <t>1.1.3.2.4</t>
  </si>
  <si>
    <t>Seg 18/05/26</t>
  </si>
  <si>
    <t>1.1.4</t>
  </si>
  <si>
    <t>coordenação</t>
  </si>
  <si>
    <t>37 dias</t>
  </si>
  <si>
    <t>COORDENAÇÃO</t>
  </si>
  <si>
    <t>1.1.4.1</t>
  </si>
  <si>
    <t>Coordenação</t>
  </si>
  <si>
    <t>lf-f0009-0000-mb-f-00001</t>
  </si>
  <si>
    <t>Vendor List</t>
  </si>
  <si>
    <t>7 dias</t>
  </si>
  <si>
    <t>Seg 20/07/26</t>
  </si>
  <si>
    <t>1.1.4.1.1</t>
  </si>
  <si>
    <t>LF-F0009-0000-MB-F-00001</t>
  </si>
  <si>
    <t>3TI+45 dias</t>
  </si>
  <si>
    <t>1.1.4.1.2</t>
  </si>
  <si>
    <t>Qui 23/07/26</t>
  </si>
  <si>
    <t>1.1.4.1.3</t>
  </si>
  <si>
    <t>Sex 24/07/26</t>
  </si>
  <si>
    <t>1.1.4.1.4</t>
  </si>
  <si>
    <t>Ter 28/07/26</t>
  </si>
  <si>
    <t>1.1.4.2</t>
  </si>
  <si>
    <t>lp-f0009-0000-mb-g-00001</t>
  </si>
  <si>
    <t>Lista de pendências</t>
  </si>
  <si>
    <t>1.1.4.2.1</t>
  </si>
  <si>
    <t>LP-F0009-0000-MB-G-00001</t>
  </si>
  <si>
    <t>1.1.4.2.2</t>
  </si>
  <si>
    <t>26TI+30 dias</t>
  </si>
  <si>
    <t>1.1.4.2.3</t>
  </si>
  <si>
    <t>25TI+30 dias</t>
  </si>
  <si>
    <t>Sex 12/06/26</t>
  </si>
  <si>
    <t>1.1.4.2.4</t>
  </si>
  <si>
    <t>Ter 16/06/26</t>
  </si>
  <si>
    <t>1.1.5</t>
  </si>
  <si>
    <t>processo</t>
  </si>
  <si>
    <t>139 dias</t>
  </si>
  <si>
    <t>PROCESSOS</t>
  </si>
  <si>
    <t>1.1.5.1</t>
  </si>
  <si>
    <t>Processo</t>
  </si>
  <si>
    <t>cp-f0009-0000-mb-p-00001</t>
  </si>
  <si>
    <t>Critério de Projetos</t>
  </si>
  <si>
    <t>9 dias</t>
  </si>
  <si>
    <t>Ter 09/06/26</t>
  </si>
  <si>
    <t>1.1.5.1.1</t>
  </si>
  <si>
    <t>CP-F0009-0000-MB-P-00001</t>
  </si>
  <si>
    <t>5 dias</t>
  </si>
  <si>
    <t>31;40TI+8 dias;45TI+8 dias;35TI+120 dias;51TT;72TT;98TT;114TT;130TT;150TI+60 dias</t>
  </si>
  <si>
    <t>1.1.5.1.2</t>
  </si>
  <si>
    <t>PROCESSO</t>
  </si>
  <si>
    <t>1.1.5.1.3</t>
  </si>
  <si>
    <t>Qua 17/06/26</t>
  </si>
  <si>
    <t>1.1.5.1.4</t>
  </si>
  <si>
    <t>Sex 19/06/26</t>
  </si>
  <si>
    <t>1.1.5.2</t>
  </si>
  <si>
    <t>md-f0009-0000-mb-p-00001</t>
  </si>
  <si>
    <t>Memorial descritivo</t>
  </si>
  <si>
    <t>1.1.5.2.1</t>
  </si>
  <si>
    <t>MD-F0009-0000-MB-P-00001</t>
  </si>
  <si>
    <t>30TI+120 dias</t>
  </si>
  <si>
    <t>1.1.5.2.2</t>
  </si>
  <si>
    <t>Seg 22/06/26</t>
  </si>
  <si>
    <t>1.1.5.2.3</t>
  </si>
  <si>
    <t>Ter 23/06/26</t>
  </si>
  <si>
    <t>1.1.5.2.4</t>
  </si>
  <si>
    <t>Qui 25/06/26</t>
  </si>
  <si>
    <t>1.1.5.3</t>
  </si>
  <si>
    <t>fg-f0009-0000-mb-p-00001</t>
  </si>
  <si>
    <t>Diagrama de blocos de processo</t>
  </si>
  <si>
    <t>4 dias</t>
  </si>
  <si>
    <t>1.1.5.3.1</t>
  </si>
  <si>
    <t>FG-F0009-0000-MB-P-00001</t>
  </si>
  <si>
    <t>30TI+8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</si>
  <si>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</si>
  <si>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</si>
  <si>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</si>
  <si>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</si>
  <si>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</si>
  <si>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</si>
  <si>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</si>
  <si>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Fluxograma geral de processo</t>
  </si>
  <si>
    <t>25 dias</t>
  </si>
  <si>
    <t>1.1.5.4.1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</si>
  <si>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</si>
  <si>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</si>
  <si>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</si>
  <si>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</si>
  <si>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</si>
  <si>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</si>
  <si>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</si>
  <si>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</si>
  <si>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Mecânica</t>
  </si>
  <si>
    <t>cp-f0009-0000-mb-m-00001</t>
  </si>
  <si>
    <t>6 dias</t>
  </si>
  <si>
    <t>1.1.6.1.1</t>
  </si>
  <si>
    <t>CP-F0009-0000-MB-M-00001</t>
  </si>
  <si>
    <t>30TT</t>
  </si>
  <si>
    <t>52;66TI+120 dias;56TI+120 dias;61TI+120 dias</t>
  </si>
  <si>
    <t>1.1.6.1.2</t>
  </si>
  <si>
    <t>1.1.6.1.3</t>
  </si>
  <si>
    <t>1.1.6.1.4</t>
  </si>
  <si>
    <t>1.1.6.2</t>
  </si>
  <si>
    <t>md-f0009-0000-mb-m-00001</t>
  </si>
  <si>
    <t>Ter 26/05/26</t>
  </si>
  <si>
    <t>1.1.6.2.1</t>
  </si>
  <si>
    <t>MD-F0009-0000-MB-M-00001</t>
  </si>
  <si>
    <t>51TI+120 dias</t>
  </si>
  <si>
    <t>1.1.6.2.2</t>
  </si>
  <si>
    <t>Qui 28/05/26</t>
  </si>
  <si>
    <t>1.1.6.2.3</t>
  </si>
  <si>
    <t>Sex 29/05/26</t>
  </si>
  <si>
    <t>1.1.6.2.4</t>
  </si>
  <si>
    <t>Ter 02/06/26</t>
  </si>
  <si>
    <t>1.1.6.3</t>
  </si>
  <si>
    <t>et-f0009-0000-mb-m-00001</t>
  </si>
  <si>
    <t>Especificação Técnica</t>
  </si>
  <si>
    <t>Tarefa Incluída</t>
  </si>
  <si>
    <t>1.1.6.3.1</t>
  </si>
  <si>
    <t>ET-F0009-0000-MB-M-00001</t>
  </si>
  <si>
    <t>1.1.6.3.2</t>
  </si>
  <si>
    <t>1.1.6.3.3</t>
  </si>
  <si>
    <t>1.1.6.3.4</t>
  </si>
  <si>
    <t>1.1.6.4</t>
  </si>
  <si>
    <t>ag-f0009-0000-mb-l-00001</t>
  </si>
  <si>
    <t>1.1.6.4.1</t>
  </si>
  <si>
    <t>AG-F0009-0000-MB-L-00001</t>
  </si>
  <si>
    <t>1.1.6.4.2</t>
  </si>
  <si>
    <t>1.1.6.4.3</t>
  </si>
  <si>
    <t>1.1.6.4.4</t>
  </si>
  <si>
    <t>1.1.7</t>
  </si>
  <si>
    <t>tubulação/utilidades</t>
  </si>
  <si>
    <t>135 dias</t>
  </si>
  <si>
    <t>TUBULAÇÃO / UTILIDADES</t>
  </si>
  <si>
    <t>1.1.7.1</t>
  </si>
  <si>
    <t>Tubulação/Utilidades</t>
  </si>
  <si>
    <t>cp-f0009-0000-mb-t-00001</t>
  </si>
  <si>
    <t>Qui 11/06/26</t>
  </si>
  <si>
    <t>1.1.7.1.1</t>
  </si>
  <si>
    <t>CP-F0009-0000-MB-T-00001</t>
  </si>
  <si>
    <t>73;77TI+120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</si>
  <si>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</si>
  <si>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</si>
  <si>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</si>
  <si>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</si>
  <si>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</si>
  <si>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</si>
  <si>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</si>
  <si>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MD-F0009-0000-MB-U-00001</t>
  </si>
  <si>
    <t>72TI+120 dias</t>
  </si>
  <si>
    <t>78;82;92;87</t>
  </si>
  <si>
    <t>1.1.7.2.2</t>
  </si>
  <si>
    <t>1.1.7.2.3</t>
  </si>
  <si>
    <t>Qua 24/06/26</t>
  </si>
  <si>
    <t>1.1.7.2.4</t>
  </si>
  <si>
    <t>Sex 26/06/26</t>
  </si>
  <si>
    <t>1.1.7.3</t>
  </si>
  <si>
    <t>ml-f0009-0000-mb-t-00001</t>
  </si>
  <si>
    <t>Modelo geral</t>
  </si>
  <si>
    <t>1.1.7.3.1</t>
  </si>
  <si>
    <t>ML-F0009-0000-MB-T-00001</t>
  </si>
  <si>
    <t>1.1.7.3.2</t>
  </si>
  <si>
    <t>1.1.7.3.3</t>
  </si>
  <si>
    <t>Qua 03/06/26</t>
  </si>
  <si>
    <t>1.1.7.3.4</t>
  </si>
  <si>
    <t>Sex 05/06/26</t>
  </si>
  <si>
    <t>1.1.7.4</t>
  </si>
  <si>
    <t>lk-f0009-0000-mb-t-00001</t>
  </si>
  <si>
    <t>Lista de Tie-ins</t>
  </si>
  <si>
    <t>1.1.7.4.1</t>
  </si>
  <si>
    <t>LK-F0009-0000-MB-T-00001</t>
  </si>
  <si>
    <t>1.1.7.4.2</t>
  </si>
  <si>
    <t>1.1.7.4.3</t>
  </si>
  <si>
    <t>Seg 08/06/26</t>
  </si>
  <si>
    <t>1.1.7.4.4</t>
  </si>
  <si>
    <t>Qua 10/06/26</t>
  </si>
  <si>
    <t>1.1.7.5</t>
  </si>
  <si>
    <t>et-f0009-0000-mb-t-00001</t>
  </si>
  <si>
    <t>1.1.7.5.1</t>
  </si>
  <si>
    <t>ET-F0009-0000-MB-T-00001</t>
  </si>
  <si>
    <t>1.1.7.5.2</t>
  </si>
  <si>
    <t>1.1.7.5.3</t>
  </si>
  <si>
    <t>1.1.7.5.4</t>
  </si>
  <si>
    <t>1.1.8</t>
  </si>
  <si>
    <t>estrutura metálica</t>
  </si>
  <si>
    <t>130 dias</t>
  </si>
  <si>
    <t>ESTRUTURA METÁLICA</t>
  </si>
  <si>
    <t>Seg 15/06/26</t>
  </si>
  <si>
    <t>1.1.8.1</t>
  </si>
  <si>
    <t>Estrutura metálica</t>
  </si>
  <si>
    <t>cp-f0009-0000-mb-s-00001</t>
  </si>
  <si>
    <t>1.1.8.1.1</t>
  </si>
  <si>
    <t>CP-F0009-0000-MB-S-00001</t>
  </si>
  <si>
    <t>99;108TI+120 dias;103TI+120 dias</t>
  </si>
  <si>
    <t>1.1.8.1.2</t>
  </si>
  <si>
    <t>1.1.8.1.3</t>
  </si>
  <si>
    <t>1.1.8.1.4</t>
  </si>
  <si>
    <t>1.1.8.2</t>
  </si>
  <si>
    <t>md-f0009-0000-mb-s-00001</t>
  </si>
  <si>
    <t>1.1.8.2.1</t>
  </si>
  <si>
    <t>MD-F0009-0000-MB-S-00001</t>
  </si>
  <si>
    <t>98TI+120 dias</t>
  </si>
  <si>
    <t>1.1.8.2.2</t>
  </si>
  <si>
    <t>1.1.8.2.3</t>
  </si>
  <si>
    <t>1.1.8.2.4</t>
  </si>
  <si>
    <t>1.1.8.3</t>
  </si>
  <si>
    <t>et-f0009-0000-mb-s-00001</t>
  </si>
  <si>
    <t>1.1.8.3.1</t>
  </si>
  <si>
    <t>ET-F0009-0000-MB-S-00001</t>
  </si>
  <si>
    <t>1.1.8.3.2</t>
  </si>
  <si>
    <t>1.1.8.3.3</t>
  </si>
  <si>
    <t>1.1.8.3.4</t>
  </si>
  <si>
    <t>1.1.9</t>
  </si>
  <si>
    <t>elétrica</t>
  </si>
  <si>
    <t>140 dias</t>
  </si>
  <si>
    <t>ELÉTRICA</t>
  </si>
  <si>
    <t>1.1.9.1</t>
  </si>
  <si>
    <t>Elétrica</t>
  </si>
  <si>
    <t>cp-f0009-0000-mb-e-00001</t>
  </si>
  <si>
    <t>124TI+120 dias;119TI+120 dias</t>
  </si>
  <si>
    <t>1.1.9.1.1</t>
  </si>
  <si>
    <t>CP-F0009-0000-MB-E-00001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</si>
  <si>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</si>
  <si>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</si>
  <si>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</si>
  <si>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</si>
  <si>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</si>
  <si>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</si>
  <si>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</si>
  <si>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MD-F0009-0000-MB-E-00001</t>
  </si>
  <si>
    <t>113TI+120 dias</t>
  </si>
  <si>
    <t>1.1.9.2.2</t>
  </si>
  <si>
    <t>1.1.9.2.3</t>
  </si>
  <si>
    <t>1.1.9.2.4</t>
  </si>
  <si>
    <t>Seg 29/06/26</t>
  </si>
  <si>
    <t>1.1.9.3</t>
  </si>
  <si>
    <t>et-f0009-0000-mb-e-00001</t>
  </si>
  <si>
    <t>1.1.9.3.1</t>
  </si>
  <si>
    <t>ET-F0009-0000-MB-E-00001</t>
  </si>
  <si>
    <t>1.1.9.3.2</t>
  </si>
  <si>
    <t>1.1.9.3.3</t>
  </si>
  <si>
    <t>1.1.9.3.4</t>
  </si>
  <si>
    <t>1.1.10</t>
  </si>
  <si>
    <t>automação e instrumentação</t>
  </si>
  <si>
    <t>127 dias</t>
  </si>
  <si>
    <t>AUTOMAÇÃO E INSTRUMENTAÇÃO</t>
  </si>
  <si>
    <t>1.1.10.1</t>
  </si>
  <si>
    <t>Automação e instrumentação</t>
  </si>
  <si>
    <t>cp-f0009-0000-mb-j-00001</t>
  </si>
  <si>
    <t>1.1.10.1.1</t>
  </si>
  <si>
    <t>CP-F0009-0000-MB-J-00001</t>
  </si>
  <si>
    <t>131;135TI+120 dias</t>
  </si>
  <si>
    <t>1.1.10.1.2</t>
  </si>
  <si>
    <t>1.1.10.1.3</t>
  </si>
  <si>
    <t>1.1.10.1.4</t>
  </si>
  <si>
    <t>1.1.10.2</t>
  </si>
  <si>
    <t>md-f0009-0000-mb-j-00001</t>
  </si>
  <si>
    <t>Sex 22/05/26</t>
  </si>
  <si>
    <t>1.1.10.2.1</t>
  </si>
  <si>
    <t>MD-F0009-0000-MB-J-00001</t>
  </si>
  <si>
    <t>130TI+120 dias</t>
  </si>
  <si>
    <t>1.1.10.2.2</t>
  </si>
  <si>
    <t>Qua 27/05/26</t>
  </si>
  <si>
    <t>1.1.10.2.3</t>
  </si>
  <si>
    <t>1.1.10.2.4</t>
  </si>
  <si>
    <t>Seg 01/06/26</t>
  </si>
  <si>
    <t>1.1.10.3</t>
  </si>
  <si>
    <t>li-f0009-0000-mb-j-00001</t>
  </si>
  <si>
    <t>1.1.10.3.1</t>
  </si>
  <si>
    <t>LI-F0009-0000-MB-J-00001</t>
  </si>
  <si>
    <t>1.1.10.3.2</t>
  </si>
  <si>
    <t>1.1.10.3.3</t>
  </si>
  <si>
    <t>1.1.10.3.4</t>
  </si>
  <si>
    <t>1.1.10.4</t>
  </si>
  <si>
    <t>lw-f0009-0000-mb-j-00001</t>
  </si>
  <si>
    <t>1.1.10.4.1</t>
  </si>
  <si>
    <t>LW-F0009-0000-MB-J-00001</t>
  </si>
  <si>
    <t>1.1.10.4.2</t>
  </si>
  <si>
    <t>1.1.10.4.3</t>
  </si>
  <si>
    <t>1.1.10.4.4</t>
  </si>
  <si>
    <t>1.1.11</t>
  </si>
  <si>
    <t>civil</t>
  </si>
  <si>
    <t>CIVIL</t>
  </si>
  <si>
    <t>1.1.11.1</t>
  </si>
  <si>
    <t>Civil</t>
  </si>
  <si>
    <t>avaliações gerais</t>
  </si>
  <si>
    <t>30TI+60 dias</t>
  </si>
  <si>
    <t>Seg 07/09/26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</si>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</sst>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7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4-40C5-A49A-DC72B774FEE6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4-40C5-A49A-DC72B774FEE6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0.5</c:v>
                </c:pt>
                <c:pt idx="1">
                  <c:v>0</c:v>
                </c:pt>
                <c:pt idx="2">
                  <c:v>1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0.5</c:v>
                </c:pt>
                <c:pt idx="1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4-40C5-A49A-DC72B774FEE6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4-40C5-A49A-DC72B774FEE6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64-40C5-A49A-DC72B774FEE6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64-40C5-A49A-DC72B774FEE6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64-40C5-A49A-DC72B774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54D-4D39-A6A3-8CD1DF70A0FE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C54D-4D39-A6A3-8CD1DF70A0FE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C54D-4D39-A6A3-8CD1DF70A0FE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PROCESSO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C54D-4D39-A6A3-8CD1DF70A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02/07/2026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A-4CE7-A36E-B4D1FB4DD4F7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A-4CE7-A36E-B4D1FB4DD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8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24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DA-4CE7-A36E-B4D1FB4DD4F7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DA-4CE7-A36E-B4D1FB4DD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02/07/2026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0-4D75-8EDD-E6985424C58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0-4D75-8EDD-E6985424C586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S'!$F$2:$F$173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3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0-4D75-8EDD-E6985424C58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S'!$G$2:$G$173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C0-4D75-8EDD-E6985424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8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24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0-4D75-8EDD-E6985424C58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C0-4D75-8EDD-E6985424C586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S'!$H$2:$H$173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7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23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26</c:v>
                </c:pt>
                <c:pt idx="105">
                  <c:v>26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26</c:v>
                </c:pt>
                <c:pt idx="126">
                  <c:v>26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C0-4D75-8EDD-E6985424C58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S'!$I$2:$I$173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C0-4D75-8EDD-E6985424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40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C33BDA9-19F3-429D-BAA5-C4C2338AA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68035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4E674F5-EC7B-4019-8FFE-EFB0F7ED9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540215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A55BE7-9816-4CCA-8FAA-438B13F75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29</xdr:col>
      <xdr:colOff>540215</xdr:colOff>
      <xdr:row>60</xdr:row>
      <xdr:rowOff>66000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18D4D6-8CAD-44C5-8A0F-57A80BF42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AAF70-23FA-487D-B72F-4FE96BBA9DBC}" name="Tabela1" displayName="Tabela1" ref="A1:AF151" totalsRowShown="0" headerRowDxfId="150" dataDxfId="149">
  <autoFilter ref="A1:AF151" xr:uid="{C8DAAF70-23FA-487D-B72F-4FE96BBA9DBC}"/>
  <tableColumns count="32">
    <tableColumn id="1" xr3:uid="{1BA435A1-20CA-49A4-97F9-D9B3FE31B218}" name="Id" dataDxfId="148"/>
    <tableColumn id="2" xr3:uid="{18D1EEB0-63BB-43AC-8900-4FC6DAF549E1}" name="EDT" dataDxfId="147"/>
    <tableColumn id="3" xr3:uid="{963DA291-C321-458A-B6F7-470EAE8F23E1}" name="Nome do Resumo da Tarefa" dataDxfId="146"/>
    <tableColumn id="4" xr3:uid="{20183E9D-2E60-4A45-B548-51BDE0AD94E8}" name="Nome da Tarefa" dataDxfId="145"/>
    <tableColumn id="5" xr3:uid="{122472AF-C337-4FE7-AFF1-EBBDA5AEE099}" name="Título" dataDxfId="144"/>
    <tableColumn id="6" xr3:uid="{3547A220-5E5C-42D4-8AFD-0DCD30D21B15}" name="Duração" dataDxfId="143"/>
    <tableColumn id="7" xr3:uid="{066E42E4-F8D3-467F-A6AC-56E2C7C6F236}" name="Início" dataDxfId="142"/>
    <tableColumn id="8" xr3:uid="{366E015D-5D66-4EFA-8995-BB96F4106CDB}" name="Término" dataDxfId="141"/>
    <tableColumn id="9" xr3:uid="{29F84EC4-5752-4E26-88D0-DC72AF2CF1AF}" name="Predecessoras" dataDxfId="140"/>
    <tableColumn id="10" xr3:uid="{E700F73E-3EAC-4980-90CB-24E28BECCC93}" name="% concluída" dataDxfId="139"/>
    <tableColumn id="11" xr3:uid="{56527D2A-1C89-42A9-8533-34F9167FE511}" name="Término real" dataDxfId="138"/>
    <tableColumn id="12" xr3:uid="{28579346-0974-4FF8-9CDA-D0119B1D0CEB}" name="Status" dataDxfId="137"/>
    <tableColumn id="13" xr3:uid="{8B62880B-B9D8-4547-992C-66D7F3E45E1E}" name="Crítica" dataDxfId="136"/>
    <tableColumn id="14" xr3:uid="{93DC746F-30C5-4D12-820A-3440E07C5ECA}" name="Disciplina" dataDxfId="135"/>
    <tableColumn id="15" xr3:uid="{B844D62F-CA38-4E1F-B76A-DD04BDF2A7A6}" name="Inicio_LB_R0" dataDxfId="134"/>
    <tableColumn id="16" xr3:uid="{AD2BBB77-EB9F-4845-8B7D-F99935A26BD7}" name="Término_LB_R0" dataDxfId="133"/>
    <tableColumn id="17" xr3:uid="{251518A8-00A9-42DE-9E3F-B9F83DFEC6F4}" name="Sprint" dataDxfId="132"/>
    <tableColumn id="18" xr3:uid="{10278C91-42EA-4F88-8F5D-8C33189052A5}" name="Sucessoras" dataDxfId="131"/>
    <tableColumn id="19" xr3:uid="{4CE03904-E1BB-45E4-B978-86899A3C098B}" name="Comparação" dataDxfId="130"/>
    <tableColumn id="20" xr3:uid="{5FEF2B40-9A0E-4DA1-B28C-4B2A119CD07D}" name="Nomes dos recursos" dataDxfId="129"/>
    <tableColumn id="21" xr3:uid="{246C5A44-B5C2-49DA-9353-F8E298DEA86F}" name="pct_val" dataDxfId="128"/>
    <tableColumn id="22" xr3:uid="{7443795A-65DF-4EE5-8E57-015CD9D2B4EC}" name="Emissão inicial total" dataDxfId="127"/>
    <tableColumn id="23" xr3:uid="{47945357-E74F-4F32-8509-261E1B287BCB}" name="Emissão inicial concluída" dataDxfId="126"/>
    <tableColumn id="24" xr3:uid="{65A41882-ECE7-4AA9-ADB0-F74064622E2D}" name="Emissão Inicial Atrasada" dataDxfId="125"/>
    <tableColumn id="25" xr3:uid="{FDEB3157-23CE-4BA9-AE01-9FAC879594E7}" name="Aprovação total" dataDxfId="124"/>
    <tableColumn id="26" xr3:uid="{AB8D74C6-0314-4456-9BD5-9A647A31AAA7}" name="Avaliação do cliente concluída" dataDxfId="123"/>
    <tableColumn id="27" xr3:uid="{767A9D91-D7D0-4444-BC2F-62510C0016E0}" name="Avaliação Cliente Atrasada" dataDxfId="122"/>
    <tableColumn id="28" xr3:uid="{92523738-A786-48FB-AB45-265B78073E4A}" name="Atendimento de comentário concluído" dataDxfId="121"/>
    <tableColumn id="29" xr3:uid="{07514C3A-3BD6-4189-AB68-C5F98807FBE3}" name="Atendimento Atrasado" dataDxfId="120"/>
    <tableColumn id="30" xr3:uid="{22BA73F3-5E82-47F8-AD03-D1DE804AAE71}" name="Aprovação concluída" dataDxfId="119"/>
    <tableColumn id="31" xr3:uid="{FB8D78A1-A705-4090-9C32-8B992260CFE8}" name="Aprovação Atrasada" dataDxfId="118"/>
    <tableColumn id="32" xr3:uid="{C73C7366-CBDD-47D9-837F-A431016FF11A}" name="Aderência" dataDxfId="1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3137E-78CC-483A-8C0C-51DDA2DE9258}" name="Tabela2" displayName="Tabela2" ref="A3:H16" totalsRowCount="1" headerRowDxfId="172" dataDxfId="171">
  <autoFilter ref="A3:H15" xr:uid="{BDD3137E-78CC-483A-8C0C-51DDA2DE9258}"/>
  <tableColumns count="8">
    <tableColumn id="1" xr3:uid="{6711BBE7-0BF4-47E2-B0F0-34E66C1B7D7C}" name="Disciplina" totalsRowLabel="TOTAL" dataDxfId="170" totalsRowDxfId="2"/>
    <tableColumn id="2" xr3:uid="{4D04F801-E4AC-4324-97EC-2532864E5DF6}" name="Emissão inicial total" totalsRowFunction="sum" dataDxfId="169" totalsRowDxfId="3"/>
    <tableColumn id="3" xr3:uid="{D5181F53-B75C-4AE5-AAE1-561AF7D342D7}" name="Emissão inicial concluída" totalsRowFunction="sum" dataDxfId="168" totalsRowDxfId="4"/>
    <tableColumn id="4" xr3:uid="{4280313C-7E67-4BA7-8FD5-E26099DCD9BC}" name="%EI" totalsRowFunction="sum" dataDxfId="167" totalsRowDxfId="0"/>
    <tableColumn id="5" xr3:uid="{18BC4BE9-E3D5-489B-80F2-3D640DCE4787}" name="Avaliação do cliente concluída" totalsRowFunction="sum" dataDxfId="166" totalsRowDxfId="5"/>
    <tableColumn id="6" xr3:uid="{EBE1BE10-4B38-44BD-BAAB-B94D2E7E9F78}" name="Atendimento de comentário concluído" totalsRowFunction="sum" dataDxfId="165" totalsRowDxfId="6"/>
    <tableColumn id="7" xr3:uid="{0B695EDC-F0DA-4D76-95C4-37FFA1328D67}" name="Aprovação concluída" totalsRowFunction="sum" dataDxfId="164" totalsRowDxfId="7"/>
    <tableColumn id="8" xr3:uid="{C4F45A69-53B2-43B1-BA28-FFEBEBE8AC0C}" name="%AP" totalsRowFunction="sum" dataDxfId="163" totalsRow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09238D-6DA6-4D12-9193-71572A2EFF95}" name="Tabela3" displayName="Tabela3" ref="A21:E34" totalsRowCount="1" headerRowDxfId="162" dataDxfId="161">
  <autoFilter ref="A21:E33" xr:uid="{2A09238D-6DA6-4D12-9193-71572A2EFF95}"/>
  <tableColumns count="5">
    <tableColumn id="1" xr3:uid="{9CFFDD4E-C38E-4B94-BC4E-8DBB37276079}" name="Disciplina" totalsRowLabel="TOTAL" dataDxfId="160" totalsRowDxfId="159"/>
    <tableColumn id="2" xr3:uid="{34DB77B3-8264-4EED-B1A7-EF078F1125BB}" name="Emissão Inicial Atrasada" totalsRowFunction="sum" dataDxfId="158" totalsRowDxfId="157"/>
    <tableColumn id="3" xr3:uid="{5FCA9396-9134-488D-9E9E-3B7AFF9CFC17}" name="Avaliação Cliente Atrasada" totalsRowFunction="sum" dataDxfId="156" totalsRowDxfId="155"/>
    <tableColumn id="4" xr3:uid="{D0B01834-6D19-466F-955B-F432DEBAAF25}" name="Atendimento Atrasado" totalsRowFunction="sum" dataDxfId="154" totalsRowDxfId="153"/>
    <tableColumn id="5" xr3:uid="{6D5F0135-96EB-416D-8C96-5449E94C6E37}" name="Aprovação Atrasada" totalsRowFunction="sum" dataDxfId="152" totalsRow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0B60EA-26F2-4A1F-96BB-02E6151CB530}" name="Tabela4" displayName="Tabela4" ref="A1:O173" totalsRowShown="0" headerRowDxfId="116" dataDxfId="115">
  <autoFilter ref="A1:O173" xr:uid="{AA0B60EA-26F2-4A1F-96BB-02E6151CB530}"/>
  <tableColumns count="15">
    <tableColumn id="1" xr3:uid="{E88B7C7C-456A-4169-9266-CE1C37EA5737}" name="Data" dataDxfId="114"/>
    <tableColumn id="2" xr3:uid="{40078C19-FF07-4009-BE39-116D73C29F70}" name="Emissão prevista na LB" dataDxfId="113"/>
    <tableColumn id="3" xr3:uid="{39372B2A-FE45-4C27-B03A-EC278A5E0BDF}" name="Emissão prevista na LB acumulada" dataDxfId="112"/>
    <tableColumn id="4" xr3:uid="{9C122873-20F4-40D9-9A9F-914A8C5D4E08}" name="Emissão realizada por dia" dataDxfId="111"/>
    <tableColumn id="5" xr3:uid="{9A7B70D3-397C-463B-9AC6-3367EDDB1F73}" name="Emissão realizada acumulada" dataDxfId="110"/>
    <tableColumn id="6" xr3:uid="{70FAE2A9-19EB-4949-8B32-36BBDB524A01}" name="Aprovação prevista na LB" dataDxfId="109"/>
    <tableColumn id="7" xr3:uid="{7EF0024E-3373-4FB8-B0EF-6CE71ED31F77}" name="Aprovação realizada por dia" dataDxfId="108"/>
    <tableColumn id="8" xr3:uid="{32271790-8A79-4913-BBCC-9A9AC3BF5F63}" name="Aprovação prevista na LB acumulada" dataDxfId="107"/>
    <tableColumn id="9" xr3:uid="{0998659B-98BD-4A6D-84B9-47F0374B6845}" name="Aprovação realizada acumulada" dataDxfId="106"/>
    <tableColumn id="10" xr3:uid="{F0BBE722-1194-4B7C-8FED-ACABE15ED6AC}" name="Avanço da EI previsto na LB" dataDxfId="105" dataCellStyle="Porcentagem"/>
    <tableColumn id="11" xr3:uid="{7799350D-0C3B-457F-9944-EB2029AAA0B3}" name="Avanço real da EI na LB" dataDxfId="104" dataCellStyle="Porcentagem"/>
    <tableColumn id="12" xr3:uid="{66E88B85-DA4D-4E62-9F2C-B24BB5BBE502}" name="COMP_EI" dataDxfId="103"/>
    <tableColumn id="13" xr3:uid="{41A19FBF-FE20-470E-8599-A95D96F16716}" name="Avanço da AP previsto na LB" dataDxfId="102" dataCellStyle="Porcentagem"/>
    <tableColumn id="14" xr3:uid="{A3652987-B5B9-4D91-BD61-062D2964C117}" name="Avanço da AP real na LB" dataDxfId="101" dataCellStyle="Porcentagem"/>
    <tableColumn id="15" xr3:uid="{E9A59C6B-1750-43F6-BCB3-12A3D6EA7F52}" name="COMP_AP" dataDxfId="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A45860-309E-4D3E-9D8A-43324A53A403}" name="Tabela5" displayName="Tabela5" ref="A1:AF28" totalsRowShown="0" headerRowDxfId="99" dataDxfId="98">
  <autoFilter ref="A1:AF28" xr:uid="{32A45860-309E-4D3E-9D8A-43324A53A403}">
    <filterColumn colId="3">
      <filters>
        <filter val="emissão inicial"/>
      </filters>
    </filterColumn>
  </autoFilter>
  <tableColumns count="32">
    <tableColumn id="1" xr3:uid="{DFD9F0A9-AB70-4281-8BBB-685166E7C6FA}" name="Id" dataDxfId="97"/>
    <tableColumn id="2" xr3:uid="{3FF3D5C0-D7C8-4585-B928-EE76E6B9CB20}" name="EDT" dataDxfId="96"/>
    <tableColumn id="3" xr3:uid="{AC25C4C2-2C47-4867-83D3-D22639442FBE}" name="Nome do Resumo da Tarefa" dataDxfId="95"/>
    <tableColumn id="4" xr3:uid="{73171DC4-2EC6-4440-BFE0-A095C157272F}" name="Nome da Tarefa" dataDxfId="94"/>
    <tableColumn id="5" xr3:uid="{6C350B77-421D-4129-BB48-028182ADD676}" name="Título" dataDxfId="93"/>
    <tableColumn id="6" xr3:uid="{354B52EF-D5C4-48A9-960B-B8C74A469C24}" name="Duração" dataDxfId="92"/>
    <tableColumn id="7" xr3:uid="{BC8DD14A-8CC4-4E09-A0DE-33DF1352406B}" name="Início" dataDxfId="91"/>
    <tableColumn id="8" xr3:uid="{2A831F11-A151-4B81-B23A-8308AFF0DC46}" name="Término" dataDxfId="90"/>
    <tableColumn id="9" xr3:uid="{6C18097E-682A-4687-9975-F11715F19633}" name="Predecessoras" dataDxfId="89"/>
    <tableColumn id="10" xr3:uid="{C016EBEB-D0FA-4AB5-BDE6-2BD9D6AA80AD}" name="% concluída" dataDxfId="88"/>
    <tableColumn id="11" xr3:uid="{F5F16015-055A-4EE9-A08D-986309318D38}" name="Término real" dataDxfId="87"/>
    <tableColumn id="12" xr3:uid="{84545130-CFF6-4344-9D61-2A9355A35876}" name="Status" dataDxfId="86"/>
    <tableColumn id="13" xr3:uid="{E77B0442-92C6-4186-A809-B07D8FE124EF}" name="Crítica" dataDxfId="85"/>
    <tableColumn id="14" xr3:uid="{934447F4-9D7B-448A-93E2-A734E84C2B92}" name="Disciplina" dataDxfId="84"/>
    <tableColumn id="15" xr3:uid="{852063B7-ADB6-41B1-858A-155C90AFC9E5}" name="Inicio_LB_R0" dataDxfId="83"/>
    <tableColumn id="16" xr3:uid="{A449C2F9-6DF3-4D02-9DF7-034A36FF532E}" name="Término_LB_R0" dataDxfId="82"/>
    <tableColumn id="17" xr3:uid="{A73EFF98-D263-4ABF-92ED-5A7C7850602A}" name="Sprint" dataDxfId="81"/>
    <tableColumn id="18" xr3:uid="{2AB6CF44-E9A8-442D-A266-773EB7DCD414}" name="Sucessoras" dataDxfId="80"/>
    <tableColumn id="19" xr3:uid="{FA9AF50E-C87A-40E9-9FD6-8704CF800055}" name="Comparação" dataDxfId="79"/>
    <tableColumn id="20" xr3:uid="{46868D03-0C17-4331-8C78-3B0F0379F4B5}" name="Nomes dos recursos" dataDxfId="78"/>
    <tableColumn id="21" xr3:uid="{E4B24A6D-9B66-4AB4-A455-786550794588}" name="pct_val" dataDxfId="77"/>
    <tableColumn id="22" xr3:uid="{9CEA8D76-F42E-4741-93F2-C868136EE0D3}" name="Emissão inicial total" dataDxfId="76"/>
    <tableColumn id="23" xr3:uid="{850FD8A1-70AE-4750-8996-18F6A1F598EB}" name="Emissão inicial concluída" dataDxfId="75"/>
    <tableColumn id="24" xr3:uid="{53588747-1DB7-4650-8647-F39E635A0935}" name="Emissão Inicial Atrasada" dataDxfId="74"/>
    <tableColumn id="25" xr3:uid="{EBF0C767-F89F-415C-9BB5-68BE5E697ED7}" name="Aprovação total" dataDxfId="73"/>
    <tableColumn id="26" xr3:uid="{A512CA6C-2139-49B8-803E-84183867849E}" name="Avaliação do cliente concluída" dataDxfId="72"/>
    <tableColumn id="27" xr3:uid="{7AC9EA7D-04D2-48B0-9989-A8EA70C38539}" name="Avaliação Cliente Atrasada" dataDxfId="71"/>
    <tableColumn id="28" xr3:uid="{C43841A6-0DE8-47F8-89DF-EB4A1C2FF3FD}" name="Atendimento de comentário concluído" dataDxfId="70"/>
    <tableColumn id="29" xr3:uid="{CC13E2C6-EB28-487F-A10E-D6AE3FBE854C}" name="Atendimento Atrasado" dataDxfId="69"/>
    <tableColumn id="30" xr3:uid="{17B24B9D-ED1A-405D-AA4C-7540B27B9BE1}" name="Aprovação concluída" dataDxfId="68"/>
    <tableColumn id="31" xr3:uid="{3E8BCD92-6BF8-48CB-8BF4-111952512D6A}" name="Aprovação Atrasada" dataDxfId="67"/>
    <tableColumn id="32" xr3:uid="{B7323B35-ACF8-46B6-8D80-482E321CF855}" name="Aderência" dataDxfId="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8D77DF-3738-4CBA-BD57-D61733FED3F9}" name="Tabela6" displayName="Tabela6" ref="A1:AF32" totalsRowShown="0" headerRowDxfId="65" dataDxfId="64">
  <autoFilter ref="A1:AF32" xr:uid="{B28D77DF-3738-4CBA-BD57-D61733FED3F9}">
    <filterColumn colId="3">
      <filters>
        <filter val="emissão inicial"/>
      </filters>
    </filterColumn>
  </autoFilter>
  <tableColumns count="32">
    <tableColumn id="1" xr3:uid="{777DAC35-975F-427C-B827-D8176EC0377F}" name="Id" dataDxfId="63"/>
    <tableColumn id="2" xr3:uid="{F29A7D81-A43A-45B9-B2C7-04B2FA222BE0}" name="EDT" dataDxfId="62"/>
    <tableColumn id="3" xr3:uid="{749F40D4-D2A9-403F-9761-1299301BE31E}" name="Nome do Resumo da Tarefa" dataDxfId="61"/>
    <tableColumn id="4" xr3:uid="{507819F6-D217-4C48-ADC6-C93A89EAC789}" name="Nome da Tarefa" dataDxfId="60"/>
    <tableColumn id="5" xr3:uid="{EB07DEA5-1CA4-498A-8984-620D6F6EF4D0}" name="Título" dataDxfId="59"/>
    <tableColumn id="6" xr3:uid="{EF8FBFBF-0B3E-4380-8B1F-1F48FB869D5E}" name="Duração" dataDxfId="58"/>
    <tableColumn id="7" xr3:uid="{3EFF96DF-9DE7-4D51-95C5-828F666E7254}" name="Início" dataDxfId="57"/>
    <tableColumn id="8" xr3:uid="{6AAC02CE-D587-4EA9-97C8-B45172AF2F99}" name="Término" dataDxfId="56"/>
    <tableColumn id="9" xr3:uid="{F09DD6C7-B70B-4944-AC05-04645B5E3F9F}" name="Predecessoras" dataDxfId="55"/>
    <tableColumn id="10" xr3:uid="{0EEB3F21-3175-4EFE-9D63-23160A274688}" name="% concluída" dataDxfId="54"/>
    <tableColumn id="11" xr3:uid="{8E0D8A68-E03C-4DDE-A330-D894A36FBF40}" name="Término real" dataDxfId="53"/>
    <tableColumn id="12" xr3:uid="{8BF9F6AB-A556-4C6D-B381-1B15C4C3268C}" name="Status" dataDxfId="52"/>
    <tableColumn id="13" xr3:uid="{17FBE7A2-8042-435D-A2ED-D86147AA72BB}" name="Crítica" dataDxfId="51"/>
    <tableColumn id="14" xr3:uid="{C6F63242-968F-4976-A1A8-3AF5653EBAC4}" name="Disciplina" dataDxfId="50"/>
    <tableColumn id="15" xr3:uid="{80E358AC-7416-498D-9935-A0297879411C}" name="Inicio_LB_R0" dataDxfId="49"/>
    <tableColumn id="16" xr3:uid="{8B3E12BC-F9B3-47FA-B57E-784ED719244C}" name="Término_LB_R0" dataDxfId="48"/>
    <tableColumn id="17" xr3:uid="{49F8C273-4531-4D3D-85F1-FC81C92C0F5E}" name="Sprint" dataDxfId="47"/>
    <tableColumn id="18" xr3:uid="{8038BC51-E19B-45E3-BD0C-B302A485E44E}" name="Sucessoras" dataDxfId="46"/>
    <tableColumn id="19" xr3:uid="{0E8A9018-68D9-488D-BFAE-9CAE573382F6}" name="Comparação" dataDxfId="45"/>
    <tableColumn id="20" xr3:uid="{F3DBD9DE-12B6-4BEF-BD54-D7DD0EE84C17}" name="Nomes dos recursos" dataDxfId="44"/>
    <tableColumn id="21" xr3:uid="{4AF630CE-A7F9-4DC5-8661-9B128B6A02A2}" name="pct_val" dataDxfId="43"/>
    <tableColumn id="22" xr3:uid="{C1E2DE3C-C7EC-491D-933B-B06DD5DC3DB5}" name="Emissão inicial total" dataDxfId="42"/>
    <tableColumn id="23" xr3:uid="{09AD0E55-94F4-473D-BC31-D3C8BC59E1DF}" name="Emissão inicial concluída" dataDxfId="41"/>
    <tableColumn id="24" xr3:uid="{7CD663E6-C693-4B17-8F0C-0EB5E1E4A9E5}" name="Emissão Inicial Atrasada" dataDxfId="40"/>
    <tableColumn id="25" xr3:uid="{9838D04A-8807-4598-B62B-E9B8E1CF5CE0}" name="Aprovação total" dataDxfId="39"/>
    <tableColumn id="26" xr3:uid="{27F3C1F3-5CEE-4D6F-ADA6-04A277894839}" name="Avaliação do cliente concluída" dataDxfId="38"/>
    <tableColumn id="27" xr3:uid="{7ED575F3-6B72-4CB5-B869-436947603A7E}" name="Avaliação Cliente Atrasada" dataDxfId="37"/>
    <tableColumn id="28" xr3:uid="{5E4D6875-71C1-4B5E-B90A-5FAC4F5FBC15}" name="Atendimento de comentário concluído" dataDxfId="36"/>
    <tableColumn id="29" xr3:uid="{8B583252-5F46-4F6C-A9CF-CB1BCC93235C}" name="Atendimento Atrasado" dataDxfId="35"/>
    <tableColumn id="30" xr3:uid="{2B59F052-1A4E-4526-A91E-165CF30DC2A8}" name="Aprovação concluída" dataDxfId="34"/>
    <tableColumn id="31" xr3:uid="{D12F4134-0B10-4547-901B-FFE0E0C02B17}" name="Aprovação Atrasada" dataDxfId="33"/>
    <tableColumn id="32" xr3:uid="{F3B6F922-4A19-4451-B9A5-537FD239CE13}" name="Aderência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7BE3AD-3CEC-40F3-91BF-1418E9D4CF85}" name="Tabela7" displayName="Tabela7" ref="A1:J46" totalsRowShown="0" headerRowDxfId="31" dataDxfId="30">
  <autoFilter ref="A1:J46" xr:uid="{197BE3AD-3CEC-40F3-91BF-1418E9D4CF85}">
    <filterColumn colId="4">
      <filters>
        <filter val="emissão inicial"/>
      </filters>
    </filterColumn>
  </autoFilter>
  <tableColumns count="10">
    <tableColumn id="1" xr3:uid="{F44042B7-568C-4CF3-BE7D-A7EC7F6F61CD}" name="Sprint" dataDxfId="29"/>
    <tableColumn id="2" xr3:uid="{62A70C49-CECA-4124-BE85-936D627EFB94}" name="Id" dataDxfId="28"/>
    <tableColumn id="3" xr3:uid="{3CE14F9E-9A25-4B45-A0C2-B801742374F8}" name="EDT" dataDxfId="27"/>
    <tableColumn id="4" xr3:uid="{2EBE9147-8F30-4477-8CE4-074317CF64DF}" name="Nome do Resumo da Tarefa" dataDxfId="26"/>
    <tableColumn id="5" xr3:uid="{2A6C1F3E-97C7-4C21-8D52-F23E08A674CE}" name="Nome da Tarefa" dataDxfId="25"/>
    <tableColumn id="6" xr3:uid="{C224A87A-45F9-4E15-98AD-461476F86437}" name="Status" dataDxfId="24"/>
    <tableColumn id="7" xr3:uid="{340EE7DD-75AA-44E3-9D98-0BE9C42EC6DA}" name="% concluída" dataDxfId="23"/>
    <tableColumn id="8" xr3:uid="{3BF30098-3BE5-4718-963C-30D7BC9D7023}" name="Nomes dos recursos" dataDxfId="22"/>
    <tableColumn id="9" xr3:uid="{6C1CC118-AE2F-41AA-942D-89F21932E4DB}" name="Disciplina" dataDxfId="21"/>
    <tableColumn id="10" xr3:uid="{2F870BCD-690C-4AF5-BF63-BF0018D38A68}" name="Crítica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28D833-EF93-4B4F-BD02-B1CC30F8964F}" name="Tabela8" displayName="Tabela8" ref="A1:J7" totalsRowShown="0" headerRowDxfId="19" dataDxfId="18">
  <autoFilter ref="A1:J7" xr:uid="{4D28D833-EF93-4B4F-BD02-B1CC30F8964F}">
    <filterColumn colId="4">
      <filters>
        <filter val="emissão inicial"/>
      </filters>
    </filterColumn>
  </autoFilter>
  <tableColumns count="10">
    <tableColumn id="1" xr3:uid="{A3A5CCF3-05B1-41F3-AE7D-B2FE7062A114}" name="Sprint" dataDxfId="17"/>
    <tableColumn id="2" xr3:uid="{7049EE15-AB02-42FA-9837-FB3D0C4BA62C}" name="Id" dataDxfId="16"/>
    <tableColumn id="3" xr3:uid="{09CE75ED-8665-4751-8DD0-61107080B5FD}" name="EDT" dataDxfId="15"/>
    <tableColumn id="4" xr3:uid="{46BF40A2-AADC-4DBB-B57E-F53EAD6344F4}" name="Nome do Resumo da Tarefa" dataDxfId="14"/>
    <tableColumn id="5" xr3:uid="{AC18D0D8-4CCA-4EE7-B0A3-A73552D52695}" name="Nome da Tarefa" dataDxfId="13"/>
    <tableColumn id="6" xr3:uid="{124A7E63-E00D-4D32-841C-25452EF4BFBE}" name="Status" dataDxfId="12"/>
    <tableColumn id="7" xr3:uid="{A0A60185-BBF3-4574-A944-F843DD7D572B}" name="% concluída" dataDxfId="11"/>
    <tableColumn id="8" xr3:uid="{AB80DD11-D3CD-43B4-965B-1B73A3D7C202}" name="Nomes dos recursos" dataDxfId="10"/>
    <tableColumn id="9" xr3:uid="{FC01941A-D69E-4DB6-BA2B-A950F817A026}" name="Disciplina" dataDxfId="9"/>
    <tableColumn id="10" xr3:uid="{017D2ACE-7996-4DEC-B63E-1083D6677194}" name="Crítica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1"/>
  <sheetViews>
    <sheetView workbookViewId="0">
      <selection sqref="A1:XFD1048576"/>
    </sheetView>
  </sheetViews>
  <sheetFormatPr defaultRowHeight="15" x14ac:dyDescent="0.25"/>
  <cols>
    <col min="1" max="1" width="5" style="1" bestFit="1" customWidth="1"/>
    <col min="2" max="2" width="9.28515625" style="1" bestFit="1" customWidth="1"/>
    <col min="3" max="3" width="28.140625" style="1" bestFit="1" customWidth="1"/>
    <col min="4" max="4" width="31.5703125" style="1" bestFit="1" customWidth="1"/>
    <col min="5" max="5" width="29.85546875" style="1" bestFit="1" customWidth="1"/>
    <col min="6" max="6" width="10.42578125" style="1" bestFit="1" customWidth="1"/>
    <col min="7" max="8" width="18.28515625" style="1" bestFit="1" customWidth="1"/>
    <col min="9" max="9" width="16.140625" style="1" bestFit="1" customWidth="1"/>
    <col min="10" max="10" width="13.7109375" style="1" bestFit="1" customWidth="1"/>
    <col min="11" max="11" width="18.28515625" style="1" bestFit="1" customWidth="1"/>
    <col min="12" max="12" width="12.42578125" style="1" bestFit="1" customWidth="1"/>
    <col min="13" max="13" width="8.85546875" style="1" bestFit="1" customWidth="1"/>
    <col min="14" max="14" width="32.140625" style="1" bestFit="1" customWidth="1"/>
    <col min="15" max="15" width="14.28515625" style="1" bestFit="1" customWidth="1"/>
    <col min="16" max="16" width="18.28515625" style="1" bestFit="1" customWidth="1"/>
    <col min="17" max="17" width="14.5703125" style="1" bestFit="1" customWidth="1"/>
    <col min="18" max="18" width="74.5703125" style="1" bestFit="1" customWidth="1"/>
    <col min="19" max="19" width="14.140625" style="1" bestFit="1" customWidth="1"/>
    <col min="20" max="20" width="21.28515625" style="1" bestFit="1" customWidth="1"/>
    <col min="21" max="21" width="9.5703125" style="1" bestFit="1" customWidth="1"/>
    <col min="22" max="22" width="21" style="1" bestFit="1" customWidth="1"/>
    <col min="23" max="23" width="25.42578125" style="1" bestFit="1" customWidth="1"/>
    <col min="24" max="24" width="24.7109375" style="1" bestFit="1" customWidth="1"/>
    <col min="25" max="25" width="17.28515625" style="1" bestFit="1" customWidth="1"/>
    <col min="26" max="26" width="30.42578125" style="1" bestFit="1" customWidth="1"/>
    <col min="27" max="27" width="27.140625" style="1" bestFit="1" customWidth="1"/>
    <col min="28" max="28" width="38.28515625" style="1" bestFit="1" customWidth="1"/>
    <col min="29" max="29" width="23.85546875" style="1" bestFit="1" customWidth="1"/>
    <col min="30" max="30" width="21.7109375" style="1" bestFit="1" customWidth="1"/>
    <col min="31" max="31" width="21" style="1" bestFit="1" customWidth="1"/>
    <col min="32" max="32" width="12.285156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>
        <v>1</v>
      </c>
      <c r="B2" s="1">
        <v>1</v>
      </c>
      <c r="D2" s="1" t="s">
        <v>32</v>
      </c>
      <c r="F2" s="1" t="s">
        <v>33</v>
      </c>
      <c r="G2" s="2">
        <v>46160</v>
      </c>
      <c r="H2" s="2">
        <v>46379</v>
      </c>
      <c r="J2" s="1">
        <v>0.28999999999999998</v>
      </c>
      <c r="L2" s="1" t="s">
        <v>34</v>
      </c>
      <c r="M2" s="1" t="s">
        <v>35</v>
      </c>
      <c r="N2" s="1" t="s">
        <v>36</v>
      </c>
      <c r="O2" s="1" t="s">
        <v>37</v>
      </c>
      <c r="P2" s="2">
        <v>46211</v>
      </c>
      <c r="Q2" s="1" t="s">
        <v>38</v>
      </c>
      <c r="U2" s="1">
        <v>0.28999999999999998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25">
      <c r="A3" s="1">
        <v>2</v>
      </c>
      <c r="B3" s="1" t="s">
        <v>39</v>
      </c>
      <c r="C3" s="1" t="s">
        <v>40</v>
      </c>
      <c r="D3" s="1" t="s">
        <v>41</v>
      </c>
      <c r="F3" s="1" t="s">
        <v>33</v>
      </c>
      <c r="G3" s="2">
        <v>46160</v>
      </c>
      <c r="H3" s="2">
        <v>46379</v>
      </c>
      <c r="J3" s="1">
        <v>0.28999999999999998</v>
      </c>
      <c r="L3" s="1" t="s">
        <v>34</v>
      </c>
      <c r="M3" s="1" t="s">
        <v>35</v>
      </c>
      <c r="N3" s="1" t="s">
        <v>36</v>
      </c>
      <c r="O3" s="1" t="s">
        <v>37</v>
      </c>
      <c r="P3" s="2">
        <v>46211</v>
      </c>
      <c r="Q3" s="1" t="s">
        <v>38</v>
      </c>
      <c r="U3" s="1">
        <v>0.28999999999999998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25">
      <c r="A4" s="1">
        <v>3</v>
      </c>
      <c r="B4" s="1" t="s">
        <v>42</v>
      </c>
      <c r="C4" s="1" t="s">
        <v>43</v>
      </c>
      <c r="D4" s="1" t="s">
        <v>44</v>
      </c>
      <c r="F4" s="1" t="s">
        <v>45</v>
      </c>
      <c r="G4" s="2">
        <v>46160</v>
      </c>
      <c r="H4" s="2">
        <v>46160</v>
      </c>
      <c r="J4" s="1">
        <v>1</v>
      </c>
      <c r="K4" s="2">
        <v>46160</v>
      </c>
      <c r="L4" s="1" t="s">
        <v>46</v>
      </c>
      <c r="M4" s="1" t="s">
        <v>47</v>
      </c>
      <c r="N4" s="1" t="s">
        <v>36</v>
      </c>
      <c r="O4" s="1" t="s">
        <v>37</v>
      </c>
      <c r="P4" s="2">
        <v>46139</v>
      </c>
      <c r="Q4" s="1" t="s">
        <v>38</v>
      </c>
      <c r="R4" s="1" t="s">
        <v>48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4</v>
      </c>
      <c r="B5" s="1" t="s">
        <v>49</v>
      </c>
      <c r="C5" s="1" t="s">
        <v>43</v>
      </c>
      <c r="D5" s="1" t="s">
        <v>50</v>
      </c>
      <c r="F5" s="1" t="s">
        <v>45</v>
      </c>
      <c r="G5" s="2">
        <v>46160</v>
      </c>
      <c r="H5" s="2">
        <v>46160</v>
      </c>
      <c r="J5" s="1">
        <v>1</v>
      </c>
      <c r="K5" s="2">
        <v>46160</v>
      </c>
      <c r="L5" s="1" t="s">
        <v>46</v>
      </c>
      <c r="M5" s="1" t="s">
        <v>47</v>
      </c>
      <c r="N5" s="1" t="s">
        <v>51</v>
      </c>
      <c r="O5" s="1" t="s">
        <v>52</v>
      </c>
      <c r="P5" s="2">
        <v>46141</v>
      </c>
      <c r="Q5" s="1" t="s">
        <v>38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25">
      <c r="A6" s="1">
        <v>5</v>
      </c>
      <c r="B6" s="1" t="s">
        <v>53</v>
      </c>
      <c r="C6" s="1" t="s">
        <v>54</v>
      </c>
      <c r="D6" s="1" t="s">
        <v>55</v>
      </c>
      <c r="F6" s="1" t="s">
        <v>45</v>
      </c>
      <c r="G6" s="2">
        <v>46160</v>
      </c>
      <c r="H6" s="2">
        <v>46160</v>
      </c>
      <c r="I6" s="1">
        <v>3</v>
      </c>
      <c r="J6" s="1">
        <v>1</v>
      </c>
      <c r="K6" s="2">
        <v>46160</v>
      </c>
      <c r="L6" s="1" t="s">
        <v>46</v>
      </c>
      <c r="M6" s="1" t="s">
        <v>47</v>
      </c>
      <c r="N6" s="1" t="s">
        <v>51</v>
      </c>
      <c r="O6" s="1" t="s">
        <v>52</v>
      </c>
      <c r="P6" s="2">
        <v>46141</v>
      </c>
      <c r="Q6" s="1" t="s">
        <v>38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6</v>
      </c>
      <c r="B7" s="1" t="s">
        <v>56</v>
      </c>
      <c r="C7" s="1" t="s">
        <v>43</v>
      </c>
      <c r="D7" s="1" t="s">
        <v>57</v>
      </c>
      <c r="F7" s="1" t="s">
        <v>58</v>
      </c>
      <c r="G7" s="2">
        <v>46174</v>
      </c>
      <c r="H7" s="2">
        <v>46379</v>
      </c>
      <c r="J7" s="1">
        <v>0.77</v>
      </c>
      <c r="L7" s="1" t="s">
        <v>34</v>
      </c>
      <c r="M7" s="1" t="s">
        <v>35</v>
      </c>
      <c r="N7" s="1" t="s">
        <v>59</v>
      </c>
      <c r="O7" s="1" t="s">
        <v>37</v>
      </c>
      <c r="P7" s="2">
        <v>46161</v>
      </c>
      <c r="Q7" s="1" t="s">
        <v>38</v>
      </c>
      <c r="U7" s="1">
        <v>0.77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25">
      <c r="A8" s="1">
        <v>7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58</v>
      </c>
      <c r="G8" s="2">
        <v>46174</v>
      </c>
      <c r="H8" s="2">
        <v>46379</v>
      </c>
      <c r="J8" s="1">
        <v>0.7</v>
      </c>
      <c r="L8" s="1" t="s">
        <v>64</v>
      </c>
      <c r="M8" s="1" t="s">
        <v>35</v>
      </c>
      <c r="N8" s="1" t="s">
        <v>59</v>
      </c>
      <c r="O8" s="1" t="s">
        <v>37</v>
      </c>
      <c r="P8" s="2">
        <v>46161</v>
      </c>
      <c r="Q8" s="1" t="s">
        <v>38</v>
      </c>
      <c r="U8" s="1">
        <v>0.7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8</v>
      </c>
      <c r="B9" s="1" t="s">
        <v>65</v>
      </c>
      <c r="C9" s="1" t="s">
        <v>66</v>
      </c>
      <c r="D9" s="1" t="s">
        <v>67</v>
      </c>
      <c r="F9" s="1" t="s">
        <v>68</v>
      </c>
      <c r="G9" s="2">
        <v>46174</v>
      </c>
      <c r="H9" s="2">
        <v>46175</v>
      </c>
      <c r="I9" s="1" t="s">
        <v>69</v>
      </c>
      <c r="J9" s="1">
        <v>1</v>
      </c>
      <c r="K9" s="2">
        <v>46175</v>
      </c>
      <c r="L9" s="1" t="s">
        <v>46</v>
      </c>
      <c r="M9" s="1" t="s">
        <v>47</v>
      </c>
      <c r="N9" s="1" t="s">
        <v>59</v>
      </c>
      <c r="O9" s="1" t="s">
        <v>37</v>
      </c>
      <c r="P9" s="2">
        <v>46141</v>
      </c>
      <c r="Q9" s="1" t="s">
        <v>38</v>
      </c>
      <c r="R9" s="1" t="s">
        <v>70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 x14ac:dyDescent="0.25">
      <c r="A10" s="1">
        <v>9</v>
      </c>
      <c r="B10" s="1" t="s">
        <v>71</v>
      </c>
      <c r="C10" s="1" t="s">
        <v>66</v>
      </c>
      <c r="D10" s="1" t="s">
        <v>72</v>
      </c>
      <c r="F10" s="1" t="s">
        <v>73</v>
      </c>
      <c r="G10" s="2">
        <v>46176</v>
      </c>
      <c r="H10" s="2">
        <v>46176</v>
      </c>
      <c r="I10" s="1">
        <v>8</v>
      </c>
      <c r="J10" s="1">
        <v>1</v>
      </c>
      <c r="K10" s="2">
        <v>46176</v>
      </c>
      <c r="L10" s="1" t="s">
        <v>46</v>
      </c>
      <c r="M10" s="1" t="s">
        <v>47</v>
      </c>
      <c r="N10" s="1" t="s">
        <v>59</v>
      </c>
      <c r="O10" s="1" t="s">
        <v>74</v>
      </c>
      <c r="P10" s="2">
        <v>46142</v>
      </c>
      <c r="Q10" s="1" t="s">
        <v>38</v>
      </c>
      <c r="R10" s="1" t="s">
        <v>75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10</v>
      </c>
      <c r="B11" s="1" t="s">
        <v>76</v>
      </c>
      <c r="C11" s="1" t="s">
        <v>66</v>
      </c>
      <c r="D11" s="1" t="s">
        <v>77</v>
      </c>
      <c r="F11" s="1" t="s">
        <v>73</v>
      </c>
      <c r="G11" s="2">
        <v>46373</v>
      </c>
      <c r="H11" s="2">
        <v>46373</v>
      </c>
      <c r="I11" s="1" t="s">
        <v>78</v>
      </c>
      <c r="J11" s="1">
        <v>0.5</v>
      </c>
      <c r="L11" s="1" t="s">
        <v>79</v>
      </c>
      <c r="M11" s="1" t="s">
        <v>35</v>
      </c>
      <c r="N11" s="1" t="s">
        <v>59</v>
      </c>
      <c r="O11" s="1" t="s">
        <v>80</v>
      </c>
      <c r="P11" s="2">
        <v>46155</v>
      </c>
      <c r="Q11" s="1" t="s">
        <v>38</v>
      </c>
      <c r="R11" s="1" t="s">
        <v>81</v>
      </c>
      <c r="U11" s="1">
        <v>0.5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25">
      <c r="A12" s="1">
        <v>11</v>
      </c>
      <c r="B12" s="1" t="s">
        <v>82</v>
      </c>
      <c r="C12" s="1" t="s">
        <v>66</v>
      </c>
      <c r="D12" s="1" t="s">
        <v>83</v>
      </c>
      <c r="F12" s="1" t="s">
        <v>73</v>
      </c>
      <c r="G12" s="2">
        <v>46379</v>
      </c>
      <c r="H12" s="2">
        <v>46379</v>
      </c>
      <c r="I12" s="1" t="s">
        <v>84</v>
      </c>
      <c r="J12" s="1">
        <v>0</v>
      </c>
      <c r="L12" s="1" t="s">
        <v>79</v>
      </c>
      <c r="M12" s="1" t="s">
        <v>35</v>
      </c>
      <c r="N12" s="1" t="s">
        <v>59</v>
      </c>
      <c r="O12" s="1" t="s">
        <v>85</v>
      </c>
      <c r="P12" s="2">
        <v>46161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12</v>
      </c>
      <c r="B13" s="1" t="s">
        <v>86</v>
      </c>
      <c r="C13" s="1" t="s">
        <v>61</v>
      </c>
      <c r="D13" s="1" t="s">
        <v>87</v>
      </c>
      <c r="E13" s="1" t="s">
        <v>88</v>
      </c>
      <c r="F13" s="1" t="s">
        <v>89</v>
      </c>
      <c r="G13" s="2">
        <v>46176</v>
      </c>
      <c r="H13" s="2">
        <v>46197</v>
      </c>
      <c r="J13" s="1">
        <v>0.81</v>
      </c>
      <c r="L13" s="1" t="s">
        <v>34</v>
      </c>
      <c r="M13" s="1" t="s">
        <v>47</v>
      </c>
      <c r="N13" s="1" t="s">
        <v>59</v>
      </c>
      <c r="O13" s="1" t="s">
        <v>74</v>
      </c>
      <c r="P13" s="2">
        <v>46161</v>
      </c>
      <c r="Q13" s="1" t="s">
        <v>38</v>
      </c>
      <c r="U13" s="1">
        <v>0.81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25">
      <c r="A14" s="1">
        <v>13</v>
      </c>
      <c r="B14" s="1" t="s">
        <v>90</v>
      </c>
      <c r="C14" s="1" t="s">
        <v>91</v>
      </c>
      <c r="D14" s="1" t="s">
        <v>67</v>
      </c>
      <c r="F14" s="1" t="s">
        <v>92</v>
      </c>
      <c r="G14" s="2">
        <v>46176</v>
      </c>
      <c r="H14" s="2">
        <v>46178</v>
      </c>
      <c r="I14" s="1">
        <v>8</v>
      </c>
      <c r="J14" s="1">
        <v>1</v>
      </c>
      <c r="K14" s="2">
        <v>46178</v>
      </c>
      <c r="L14" s="1" t="s">
        <v>46</v>
      </c>
      <c r="M14" s="1" t="s">
        <v>47</v>
      </c>
      <c r="N14" s="1" t="s">
        <v>59</v>
      </c>
      <c r="O14" s="1" t="s">
        <v>74</v>
      </c>
      <c r="P14" s="2">
        <v>46146</v>
      </c>
      <c r="Q14" s="1" t="s">
        <v>38</v>
      </c>
      <c r="R14" s="1" t="s">
        <v>93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</row>
    <row r="15" spans="1:32" x14ac:dyDescent="0.25">
      <c r="A15" s="1">
        <v>14</v>
      </c>
      <c r="B15" s="1" t="s">
        <v>94</v>
      </c>
      <c r="C15" s="1" t="s">
        <v>91</v>
      </c>
      <c r="D15" s="1" t="s">
        <v>72</v>
      </c>
      <c r="F15" s="1" t="s">
        <v>92</v>
      </c>
      <c r="G15" s="2">
        <v>46181</v>
      </c>
      <c r="H15" s="2">
        <v>46183</v>
      </c>
      <c r="I15" s="1">
        <v>13</v>
      </c>
      <c r="J15" s="1">
        <v>1</v>
      </c>
      <c r="K15" s="2">
        <v>46183</v>
      </c>
      <c r="L15" s="1" t="s">
        <v>46</v>
      </c>
      <c r="M15" s="1" t="s">
        <v>47</v>
      </c>
      <c r="N15" s="1" t="s">
        <v>59</v>
      </c>
      <c r="O15" s="1" t="s">
        <v>95</v>
      </c>
      <c r="P15" s="2">
        <v>46147</v>
      </c>
      <c r="Q15" s="1" t="s">
        <v>38</v>
      </c>
      <c r="R15" s="1" t="s">
        <v>96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25">
      <c r="A16" s="1">
        <v>15</v>
      </c>
      <c r="B16" s="1" t="s">
        <v>97</v>
      </c>
      <c r="C16" s="1" t="s">
        <v>91</v>
      </c>
      <c r="D16" s="1" t="s">
        <v>77</v>
      </c>
      <c r="F16" s="1" t="s">
        <v>73</v>
      </c>
      <c r="G16" s="2">
        <v>46196</v>
      </c>
      <c r="H16" s="2">
        <v>46196</v>
      </c>
      <c r="I16" s="1" t="s">
        <v>98</v>
      </c>
      <c r="J16" s="1">
        <v>0.5</v>
      </c>
      <c r="L16" s="1" t="s">
        <v>34</v>
      </c>
      <c r="M16" s="1" t="s">
        <v>47</v>
      </c>
      <c r="N16" s="1" t="s">
        <v>59</v>
      </c>
      <c r="O16" s="1" t="s">
        <v>99</v>
      </c>
      <c r="P16" s="2">
        <v>46160</v>
      </c>
      <c r="Q16" s="1" t="s">
        <v>38</v>
      </c>
      <c r="R16" s="1">
        <v>16</v>
      </c>
      <c r="U16" s="1">
        <v>0.5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</row>
    <row r="17" spans="1:32" x14ac:dyDescent="0.25">
      <c r="A17" s="1">
        <v>16</v>
      </c>
      <c r="B17" s="1" t="s">
        <v>100</v>
      </c>
      <c r="C17" s="1" t="s">
        <v>91</v>
      </c>
      <c r="D17" s="1" t="s">
        <v>83</v>
      </c>
      <c r="F17" s="1" t="s">
        <v>73</v>
      </c>
      <c r="G17" s="2">
        <v>46197</v>
      </c>
      <c r="H17" s="2">
        <v>46197</v>
      </c>
      <c r="I17" s="1">
        <v>15</v>
      </c>
      <c r="J17" s="1">
        <v>0</v>
      </c>
      <c r="L17" s="1" t="s">
        <v>34</v>
      </c>
      <c r="M17" s="1" t="s">
        <v>47</v>
      </c>
      <c r="N17" s="1" t="s">
        <v>59</v>
      </c>
      <c r="O17" s="1" t="s">
        <v>101</v>
      </c>
      <c r="P17" s="2">
        <v>46161</v>
      </c>
      <c r="Q17" s="1" t="s">
        <v>38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</row>
    <row r="18" spans="1:32" x14ac:dyDescent="0.25">
      <c r="A18" s="1">
        <v>17</v>
      </c>
      <c r="B18" s="1" t="s">
        <v>102</v>
      </c>
      <c r="C18" s="1" t="s">
        <v>43</v>
      </c>
      <c r="D18" s="1" t="s">
        <v>103</v>
      </c>
      <c r="F18" s="1" t="s">
        <v>104</v>
      </c>
      <c r="G18" s="2">
        <v>46174</v>
      </c>
      <c r="H18" s="2">
        <v>46224</v>
      </c>
      <c r="J18" s="1">
        <v>0.71</v>
      </c>
      <c r="L18" s="1" t="s">
        <v>34</v>
      </c>
      <c r="M18" s="1" t="s">
        <v>47</v>
      </c>
      <c r="N18" s="1" t="s">
        <v>105</v>
      </c>
      <c r="O18" s="1" t="s">
        <v>37</v>
      </c>
      <c r="P18" s="2">
        <v>46211</v>
      </c>
      <c r="Q18" s="1" t="s">
        <v>38</v>
      </c>
      <c r="U18" s="1">
        <v>0.71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25">
      <c r="A19" s="1">
        <v>18</v>
      </c>
      <c r="B19" s="1" t="s">
        <v>106</v>
      </c>
      <c r="C19" s="1" t="s">
        <v>107</v>
      </c>
      <c r="D19" s="1" t="s">
        <v>108</v>
      </c>
      <c r="E19" s="1" t="s">
        <v>109</v>
      </c>
      <c r="F19" s="1" t="s">
        <v>110</v>
      </c>
      <c r="G19" s="2">
        <v>46195</v>
      </c>
      <c r="H19" s="2">
        <v>46203</v>
      </c>
      <c r="J19" s="1">
        <v>0.71</v>
      </c>
      <c r="L19" s="1" t="s">
        <v>34</v>
      </c>
      <c r="M19" s="1" t="s">
        <v>47</v>
      </c>
      <c r="N19" s="1" t="s">
        <v>105</v>
      </c>
      <c r="O19" s="1" t="s">
        <v>111</v>
      </c>
      <c r="P19" s="2">
        <v>46231</v>
      </c>
      <c r="Q19" s="1" t="s">
        <v>38</v>
      </c>
      <c r="U19" s="1">
        <v>0.71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25">
      <c r="A20" s="1">
        <v>19</v>
      </c>
      <c r="B20" s="1" t="s">
        <v>112</v>
      </c>
      <c r="C20" s="1" t="s">
        <v>113</v>
      </c>
      <c r="D20" s="1" t="s">
        <v>67</v>
      </c>
      <c r="F20" s="1" t="s">
        <v>92</v>
      </c>
      <c r="G20" s="2">
        <v>46195</v>
      </c>
      <c r="H20" s="2">
        <v>46197</v>
      </c>
      <c r="I20" s="1" t="s">
        <v>114</v>
      </c>
      <c r="J20" s="1">
        <v>1</v>
      </c>
      <c r="K20" s="2">
        <v>46197</v>
      </c>
      <c r="L20" s="1" t="s">
        <v>46</v>
      </c>
      <c r="M20" s="1" t="s">
        <v>47</v>
      </c>
      <c r="N20" s="1" t="s">
        <v>105</v>
      </c>
      <c r="O20" s="1" t="s">
        <v>111</v>
      </c>
      <c r="P20" s="2">
        <v>46225</v>
      </c>
      <c r="Q20" s="1" t="s">
        <v>38</v>
      </c>
      <c r="R20" s="1">
        <v>20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25">
      <c r="A21" s="1">
        <v>20</v>
      </c>
      <c r="B21" s="1" t="s">
        <v>115</v>
      </c>
      <c r="C21" s="1" t="s">
        <v>113</v>
      </c>
      <c r="D21" s="1" t="s">
        <v>72</v>
      </c>
      <c r="F21" s="1" t="s">
        <v>73</v>
      </c>
      <c r="G21" s="2">
        <v>46198</v>
      </c>
      <c r="H21" s="2">
        <v>46198</v>
      </c>
      <c r="I21" s="1">
        <v>19</v>
      </c>
      <c r="J21" s="1">
        <v>1</v>
      </c>
      <c r="K21" s="2">
        <v>46198</v>
      </c>
      <c r="L21" s="1" t="s">
        <v>46</v>
      </c>
      <c r="M21" s="1" t="s">
        <v>47</v>
      </c>
      <c r="N21" s="1" t="s">
        <v>105</v>
      </c>
      <c r="O21" s="1" t="s">
        <v>116</v>
      </c>
      <c r="P21" s="2">
        <v>46226</v>
      </c>
      <c r="Q21" s="1" t="s">
        <v>38</v>
      </c>
      <c r="R21" s="1">
        <v>21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25">
      <c r="A22" s="1">
        <v>21</v>
      </c>
      <c r="B22" s="1" t="s">
        <v>117</v>
      </c>
      <c r="C22" s="1" t="s">
        <v>113</v>
      </c>
      <c r="D22" s="1" t="s">
        <v>77</v>
      </c>
      <c r="F22" s="1" t="s">
        <v>68</v>
      </c>
      <c r="G22" s="2">
        <v>46199</v>
      </c>
      <c r="H22" s="2">
        <v>46202</v>
      </c>
      <c r="I22" s="1">
        <v>20</v>
      </c>
      <c r="J22" s="1">
        <v>0.5</v>
      </c>
      <c r="L22" s="1" t="s">
        <v>34</v>
      </c>
      <c r="M22" s="1" t="s">
        <v>47</v>
      </c>
      <c r="N22" s="1" t="s">
        <v>105</v>
      </c>
      <c r="O22" s="1" t="s">
        <v>118</v>
      </c>
      <c r="P22" s="2">
        <v>46230</v>
      </c>
      <c r="Q22" s="1" t="s">
        <v>38</v>
      </c>
      <c r="R22" s="1">
        <v>22</v>
      </c>
      <c r="U22" s="1">
        <v>0.5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v>0</v>
      </c>
    </row>
    <row r="23" spans="1:32" x14ac:dyDescent="0.25">
      <c r="A23" s="1">
        <v>22</v>
      </c>
      <c r="B23" s="1" t="s">
        <v>119</v>
      </c>
      <c r="C23" s="1" t="s">
        <v>113</v>
      </c>
      <c r="D23" s="1" t="s">
        <v>83</v>
      </c>
      <c r="F23" s="1" t="s">
        <v>73</v>
      </c>
      <c r="G23" s="2">
        <v>46203</v>
      </c>
      <c r="H23" s="2">
        <v>46203</v>
      </c>
      <c r="I23" s="1">
        <v>21</v>
      </c>
      <c r="J23" s="1">
        <v>0</v>
      </c>
      <c r="L23" s="1" t="s">
        <v>34</v>
      </c>
      <c r="M23" s="1" t="s">
        <v>47</v>
      </c>
      <c r="N23" s="1" t="s">
        <v>105</v>
      </c>
      <c r="O23" s="1" t="s">
        <v>120</v>
      </c>
      <c r="P23" s="2">
        <v>46231</v>
      </c>
      <c r="Q23" s="1" t="s">
        <v>38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</row>
    <row r="24" spans="1:32" x14ac:dyDescent="0.25">
      <c r="A24" s="1">
        <v>23</v>
      </c>
      <c r="B24" s="1" t="s">
        <v>121</v>
      </c>
      <c r="C24" s="1" t="s">
        <v>107</v>
      </c>
      <c r="D24" s="1" t="s">
        <v>122</v>
      </c>
      <c r="E24" s="1" t="s">
        <v>123</v>
      </c>
      <c r="F24" s="1" t="s">
        <v>104</v>
      </c>
      <c r="G24" s="2">
        <v>46174</v>
      </c>
      <c r="H24" s="2">
        <v>46224</v>
      </c>
      <c r="J24" s="1">
        <v>0.71</v>
      </c>
      <c r="L24" s="1" t="s">
        <v>64</v>
      </c>
      <c r="M24" s="1" t="s">
        <v>47</v>
      </c>
      <c r="N24" s="1" t="s">
        <v>105</v>
      </c>
      <c r="O24" s="1" t="s">
        <v>37</v>
      </c>
      <c r="P24" s="2">
        <v>46189</v>
      </c>
      <c r="Q24" s="1" t="s">
        <v>38</v>
      </c>
      <c r="U24" s="1">
        <v>0.71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25">
      <c r="A25" s="1">
        <v>24</v>
      </c>
      <c r="B25" s="1" t="s">
        <v>124</v>
      </c>
      <c r="C25" s="1" t="s">
        <v>125</v>
      </c>
      <c r="D25" s="1" t="s">
        <v>67</v>
      </c>
      <c r="F25" s="1" t="s">
        <v>92</v>
      </c>
      <c r="G25" s="2">
        <v>46174</v>
      </c>
      <c r="H25" s="2">
        <v>46176</v>
      </c>
      <c r="I25" s="1" t="s">
        <v>69</v>
      </c>
      <c r="J25" s="1">
        <v>1</v>
      </c>
      <c r="K25" s="2">
        <v>46176</v>
      </c>
      <c r="L25" s="1" t="s">
        <v>46</v>
      </c>
      <c r="M25" s="1" t="s">
        <v>47</v>
      </c>
      <c r="N25" s="1" t="s">
        <v>105</v>
      </c>
      <c r="O25" s="1" t="s">
        <v>37</v>
      </c>
      <c r="P25" s="2">
        <v>46141</v>
      </c>
      <c r="Q25" s="1" t="s">
        <v>38</v>
      </c>
      <c r="R25" s="1">
        <v>25</v>
      </c>
      <c r="U25" s="1">
        <v>1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</row>
    <row r="26" spans="1:32" x14ac:dyDescent="0.25">
      <c r="A26" s="1">
        <v>25</v>
      </c>
      <c r="B26" s="1" t="s">
        <v>126</v>
      </c>
      <c r="C26" s="1" t="s">
        <v>125</v>
      </c>
      <c r="D26" s="1" t="s">
        <v>72</v>
      </c>
      <c r="F26" s="1" t="s">
        <v>73</v>
      </c>
      <c r="G26" s="2">
        <v>46177</v>
      </c>
      <c r="H26" s="2">
        <v>46177</v>
      </c>
      <c r="I26" s="1">
        <v>24</v>
      </c>
      <c r="J26" s="1">
        <v>1</v>
      </c>
      <c r="K26" s="2">
        <v>46177</v>
      </c>
      <c r="L26" s="1" t="s">
        <v>46</v>
      </c>
      <c r="M26" s="1" t="s">
        <v>47</v>
      </c>
      <c r="N26" s="1" t="s">
        <v>105</v>
      </c>
      <c r="O26" s="1" t="s">
        <v>74</v>
      </c>
      <c r="P26" s="2">
        <v>46142</v>
      </c>
      <c r="Q26" s="1" t="s">
        <v>38</v>
      </c>
      <c r="R26" s="1" t="s">
        <v>127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25">
      <c r="A27" s="1">
        <v>26</v>
      </c>
      <c r="B27" s="1" t="s">
        <v>128</v>
      </c>
      <c r="C27" s="1" t="s">
        <v>125</v>
      </c>
      <c r="D27" s="1" t="s">
        <v>77</v>
      </c>
      <c r="F27" s="1" t="s">
        <v>68</v>
      </c>
      <c r="G27" s="2">
        <v>46220</v>
      </c>
      <c r="H27" s="2">
        <v>46223</v>
      </c>
      <c r="I27" s="1" t="s">
        <v>129</v>
      </c>
      <c r="J27" s="1">
        <v>0.5</v>
      </c>
      <c r="L27" s="1" t="s">
        <v>79</v>
      </c>
      <c r="M27" s="1" t="s">
        <v>47</v>
      </c>
      <c r="N27" s="1" t="s">
        <v>105</v>
      </c>
      <c r="O27" s="1" t="s">
        <v>130</v>
      </c>
      <c r="P27" s="2">
        <v>46188</v>
      </c>
      <c r="Q27" s="1" t="s">
        <v>38</v>
      </c>
      <c r="R27" s="1">
        <v>27</v>
      </c>
      <c r="U27" s="1">
        <v>0.5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25">
      <c r="A28" s="1">
        <v>27</v>
      </c>
      <c r="B28" s="1" t="s">
        <v>131</v>
      </c>
      <c r="C28" s="1" t="s">
        <v>125</v>
      </c>
      <c r="D28" s="1" t="s">
        <v>83</v>
      </c>
      <c r="F28" s="1" t="s">
        <v>73</v>
      </c>
      <c r="G28" s="2">
        <v>46224</v>
      </c>
      <c r="H28" s="2">
        <v>46224</v>
      </c>
      <c r="I28" s="1">
        <v>26</v>
      </c>
      <c r="J28" s="1">
        <v>0</v>
      </c>
      <c r="L28" s="1" t="s">
        <v>79</v>
      </c>
      <c r="M28" s="1" t="s">
        <v>47</v>
      </c>
      <c r="N28" s="1" t="s">
        <v>105</v>
      </c>
      <c r="O28" s="1" t="s">
        <v>132</v>
      </c>
      <c r="P28" s="2">
        <v>46189</v>
      </c>
      <c r="Q28" s="1" t="s">
        <v>38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25">
      <c r="A29" s="1">
        <v>28</v>
      </c>
      <c r="B29" s="1" t="s">
        <v>133</v>
      </c>
      <c r="C29" s="1" t="s">
        <v>43</v>
      </c>
      <c r="D29" s="1" t="s">
        <v>134</v>
      </c>
      <c r="F29" s="1" t="s">
        <v>135</v>
      </c>
      <c r="G29" s="2">
        <v>46170</v>
      </c>
      <c r="H29" s="2">
        <v>46364</v>
      </c>
      <c r="J29" s="1">
        <v>0.31</v>
      </c>
      <c r="L29" s="1" t="s">
        <v>34</v>
      </c>
      <c r="M29" s="1" t="s">
        <v>47</v>
      </c>
      <c r="N29" s="1" t="s">
        <v>136</v>
      </c>
      <c r="O29" s="1" t="s">
        <v>85</v>
      </c>
      <c r="P29" s="2">
        <v>46198</v>
      </c>
      <c r="Q29" s="1" t="s">
        <v>38</v>
      </c>
      <c r="U29" s="1">
        <v>0.31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25">
      <c r="A30" s="1">
        <v>29</v>
      </c>
      <c r="B30" s="1" t="s">
        <v>137</v>
      </c>
      <c r="C30" s="1" t="s">
        <v>138</v>
      </c>
      <c r="D30" s="1" t="s">
        <v>139</v>
      </c>
      <c r="E30" s="1" t="s">
        <v>140</v>
      </c>
      <c r="F30" s="1" t="s">
        <v>141</v>
      </c>
      <c r="G30" s="2">
        <v>46181</v>
      </c>
      <c r="H30" s="2">
        <v>46191</v>
      </c>
      <c r="J30" s="1">
        <v>0.28000000000000003</v>
      </c>
      <c r="L30" s="1" t="s">
        <v>34</v>
      </c>
      <c r="M30" s="1" t="s">
        <v>47</v>
      </c>
      <c r="N30" s="1" t="s">
        <v>136</v>
      </c>
      <c r="O30" s="1" t="s">
        <v>142</v>
      </c>
      <c r="P30" s="2">
        <v>46192</v>
      </c>
      <c r="Q30" s="1" t="s">
        <v>38</v>
      </c>
      <c r="U30" s="1">
        <v>0.28000000000000003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25">
      <c r="A31" s="1">
        <v>30</v>
      </c>
      <c r="B31" s="1" t="s">
        <v>143</v>
      </c>
      <c r="C31" s="1" t="s">
        <v>144</v>
      </c>
      <c r="D31" s="1" t="s">
        <v>67</v>
      </c>
      <c r="F31" s="1" t="s">
        <v>145</v>
      </c>
      <c r="G31" s="2">
        <v>46181</v>
      </c>
      <c r="H31" s="2">
        <v>46185</v>
      </c>
      <c r="I31" s="1">
        <v>13</v>
      </c>
      <c r="J31" s="1">
        <v>0.5</v>
      </c>
      <c r="L31" s="1" t="s">
        <v>34</v>
      </c>
      <c r="M31" s="1" t="s">
        <v>47</v>
      </c>
      <c r="N31" s="1" t="s">
        <v>136</v>
      </c>
      <c r="O31" s="1" t="s">
        <v>142</v>
      </c>
      <c r="P31" s="2">
        <v>46188</v>
      </c>
      <c r="Q31" s="1" t="s">
        <v>38</v>
      </c>
      <c r="R31" s="1" t="s">
        <v>146</v>
      </c>
      <c r="U31" s="1">
        <v>0.5</v>
      </c>
      <c r="V31" s="1">
        <v>1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25">
      <c r="A32" s="1">
        <v>31</v>
      </c>
      <c r="B32" s="1" t="s">
        <v>147</v>
      </c>
      <c r="C32" s="1" t="s">
        <v>144</v>
      </c>
      <c r="D32" s="1" t="s">
        <v>72</v>
      </c>
      <c r="F32" s="1" t="s">
        <v>73</v>
      </c>
      <c r="G32" s="2">
        <v>46188</v>
      </c>
      <c r="H32" s="2">
        <v>46188</v>
      </c>
      <c r="I32" s="1">
        <v>30</v>
      </c>
      <c r="J32" s="1">
        <v>0</v>
      </c>
      <c r="L32" s="1" t="s">
        <v>34</v>
      </c>
      <c r="M32" s="1" t="s">
        <v>47</v>
      </c>
      <c r="N32" s="1" t="s">
        <v>148</v>
      </c>
      <c r="O32" s="1" t="s">
        <v>132</v>
      </c>
      <c r="P32" s="2">
        <v>46189</v>
      </c>
      <c r="Q32" s="1" t="s">
        <v>38</v>
      </c>
      <c r="R32" s="1">
        <v>32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25">
      <c r="A33" s="1">
        <v>32</v>
      </c>
      <c r="B33" s="1" t="s">
        <v>149</v>
      </c>
      <c r="C33" s="1" t="s">
        <v>144</v>
      </c>
      <c r="D33" s="1" t="s">
        <v>77</v>
      </c>
      <c r="F33" s="1" t="s">
        <v>68</v>
      </c>
      <c r="G33" s="2">
        <v>46189</v>
      </c>
      <c r="H33" s="2">
        <v>46190</v>
      </c>
      <c r="I33" s="1">
        <v>31</v>
      </c>
      <c r="J33" s="1">
        <v>0</v>
      </c>
      <c r="L33" s="1" t="s">
        <v>34</v>
      </c>
      <c r="M33" s="1" t="s">
        <v>47</v>
      </c>
      <c r="N33" s="1" t="s">
        <v>148</v>
      </c>
      <c r="O33" s="1" t="s">
        <v>150</v>
      </c>
      <c r="P33" s="2">
        <v>46191</v>
      </c>
      <c r="Q33" s="1" t="s">
        <v>38</v>
      </c>
      <c r="R33" s="1">
        <v>33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</row>
    <row r="34" spans="1:32" x14ac:dyDescent="0.25">
      <c r="A34" s="1">
        <v>33</v>
      </c>
      <c r="B34" s="1" t="s">
        <v>151</v>
      </c>
      <c r="C34" s="1" t="s">
        <v>144</v>
      </c>
      <c r="D34" s="1" t="s">
        <v>83</v>
      </c>
      <c r="F34" s="1" t="s">
        <v>73</v>
      </c>
      <c r="G34" s="2">
        <v>46191</v>
      </c>
      <c r="H34" s="2">
        <v>46191</v>
      </c>
      <c r="I34" s="1">
        <v>32</v>
      </c>
      <c r="J34" s="1">
        <v>0</v>
      </c>
      <c r="L34" s="1" t="s">
        <v>34</v>
      </c>
      <c r="M34" s="1" t="s">
        <v>47</v>
      </c>
      <c r="N34" s="1" t="s">
        <v>148</v>
      </c>
      <c r="O34" s="1" t="s">
        <v>152</v>
      </c>
      <c r="P34" s="2">
        <v>46192</v>
      </c>
      <c r="Q34" s="1" t="s">
        <v>38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</row>
    <row r="35" spans="1:32" x14ac:dyDescent="0.25">
      <c r="A35" s="1">
        <v>34</v>
      </c>
      <c r="B35" s="1" t="s">
        <v>153</v>
      </c>
      <c r="C35" s="1" t="s">
        <v>138</v>
      </c>
      <c r="D35" s="1" t="s">
        <v>154</v>
      </c>
      <c r="E35" s="1" t="s">
        <v>155</v>
      </c>
      <c r="F35" s="1" t="s">
        <v>110</v>
      </c>
      <c r="G35" s="2">
        <v>46356</v>
      </c>
      <c r="H35" s="2">
        <v>46364</v>
      </c>
      <c r="J35" s="1">
        <v>0</v>
      </c>
      <c r="L35" s="1" t="s">
        <v>79</v>
      </c>
      <c r="M35" s="1" t="s">
        <v>47</v>
      </c>
      <c r="N35" s="1" t="s">
        <v>136</v>
      </c>
      <c r="O35" s="1" t="s">
        <v>150</v>
      </c>
      <c r="P35" s="2">
        <v>46198</v>
      </c>
      <c r="Q35" s="1" t="s">
        <v>38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25">
      <c r="A36" s="1">
        <v>35</v>
      </c>
      <c r="B36" s="1" t="s">
        <v>156</v>
      </c>
      <c r="C36" s="1" t="s">
        <v>157</v>
      </c>
      <c r="D36" s="1" t="s">
        <v>67</v>
      </c>
      <c r="F36" s="1" t="s">
        <v>92</v>
      </c>
      <c r="G36" s="2">
        <v>46356</v>
      </c>
      <c r="H36" s="2">
        <v>46358</v>
      </c>
      <c r="I36" s="1" t="s">
        <v>158</v>
      </c>
      <c r="J36" s="1">
        <v>0</v>
      </c>
      <c r="L36" s="1" t="s">
        <v>79</v>
      </c>
      <c r="M36" s="1" t="s">
        <v>47</v>
      </c>
      <c r="N36" s="1" t="s">
        <v>136</v>
      </c>
      <c r="O36" s="1" t="s">
        <v>150</v>
      </c>
      <c r="P36" s="2">
        <v>46192</v>
      </c>
      <c r="Q36" s="1" t="s">
        <v>38</v>
      </c>
      <c r="R36" s="1">
        <v>36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25">
      <c r="A37" s="1">
        <v>36</v>
      </c>
      <c r="B37" s="1" t="s">
        <v>159</v>
      </c>
      <c r="C37" s="1" t="s">
        <v>157</v>
      </c>
      <c r="D37" s="1" t="s">
        <v>72</v>
      </c>
      <c r="F37" s="1" t="s">
        <v>73</v>
      </c>
      <c r="G37" s="2">
        <v>46359</v>
      </c>
      <c r="H37" s="2">
        <v>46359</v>
      </c>
      <c r="I37" s="1">
        <v>35</v>
      </c>
      <c r="J37" s="1">
        <v>0</v>
      </c>
      <c r="L37" s="1" t="s">
        <v>79</v>
      </c>
      <c r="M37" s="1" t="s">
        <v>47</v>
      </c>
      <c r="N37" s="1" t="s">
        <v>136</v>
      </c>
      <c r="O37" s="1" t="s">
        <v>160</v>
      </c>
      <c r="P37" s="2">
        <v>46195</v>
      </c>
      <c r="Q37" s="1" t="s">
        <v>38</v>
      </c>
      <c r="R37" s="1">
        <v>37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x14ac:dyDescent="0.25">
      <c r="A38" s="1">
        <v>37</v>
      </c>
      <c r="B38" s="1" t="s">
        <v>161</v>
      </c>
      <c r="C38" s="1" t="s">
        <v>157</v>
      </c>
      <c r="D38" s="1" t="s">
        <v>77</v>
      </c>
      <c r="F38" s="1" t="s">
        <v>68</v>
      </c>
      <c r="G38" s="2">
        <v>46360</v>
      </c>
      <c r="H38" s="2">
        <v>46363</v>
      </c>
      <c r="I38" s="1">
        <v>36</v>
      </c>
      <c r="J38" s="1">
        <v>0</v>
      </c>
      <c r="L38" s="1" t="s">
        <v>79</v>
      </c>
      <c r="M38" s="1" t="s">
        <v>47</v>
      </c>
      <c r="N38" s="1" t="s">
        <v>136</v>
      </c>
      <c r="O38" s="1" t="s">
        <v>162</v>
      </c>
      <c r="P38" s="2">
        <v>46197</v>
      </c>
      <c r="Q38" s="1" t="s">
        <v>38</v>
      </c>
      <c r="R38" s="1">
        <v>38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 x14ac:dyDescent="0.25">
      <c r="A39" s="1">
        <v>38</v>
      </c>
      <c r="B39" s="1" t="s">
        <v>163</v>
      </c>
      <c r="C39" s="1" t="s">
        <v>157</v>
      </c>
      <c r="D39" s="1" t="s">
        <v>83</v>
      </c>
      <c r="F39" s="1" t="s">
        <v>73</v>
      </c>
      <c r="G39" s="2">
        <v>46364</v>
      </c>
      <c r="H39" s="2">
        <v>46364</v>
      </c>
      <c r="I39" s="1">
        <v>37</v>
      </c>
      <c r="J39" s="1">
        <v>0</v>
      </c>
      <c r="L39" s="1" t="s">
        <v>79</v>
      </c>
      <c r="M39" s="1" t="s">
        <v>47</v>
      </c>
      <c r="N39" s="1" t="s">
        <v>136</v>
      </c>
      <c r="O39" s="1" t="s">
        <v>164</v>
      </c>
      <c r="P39" s="2">
        <v>46198</v>
      </c>
      <c r="Q39" s="1" t="s">
        <v>38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25">
      <c r="A40" s="1">
        <v>39</v>
      </c>
      <c r="B40" s="1" t="s">
        <v>165</v>
      </c>
      <c r="C40" s="1" t="s">
        <v>138</v>
      </c>
      <c r="D40" s="1" t="s">
        <v>166</v>
      </c>
      <c r="E40" s="1" t="s">
        <v>167</v>
      </c>
      <c r="F40" s="1" t="s">
        <v>168</v>
      </c>
      <c r="G40" s="2">
        <v>46170</v>
      </c>
      <c r="H40" s="2">
        <v>46176</v>
      </c>
      <c r="J40" s="1">
        <v>0.63</v>
      </c>
      <c r="L40" s="1" t="s">
        <v>34</v>
      </c>
      <c r="M40" s="1" t="s">
        <v>47</v>
      </c>
      <c r="N40" s="1" t="s">
        <v>136</v>
      </c>
      <c r="O40" s="1" t="s">
        <v>85</v>
      </c>
      <c r="P40" s="2">
        <v>46167</v>
      </c>
      <c r="Q40" s="1" t="s">
        <v>38</v>
      </c>
      <c r="U40" s="1">
        <v>0.63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x14ac:dyDescent="0.25">
      <c r="A41" s="1">
        <v>40</v>
      </c>
      <c r="B41" s="1" t="s">
        <v>169</v>
      </c>
      <c r="C41" s="1" t="s">
        <v>170</v>
      </c>
      <c r="D41" s="1" t="s">
        <v>67</v>
      </c>
      <c r="F41" s="1" t="s">
        <v>45</v>
      </c>
      <c r="G41" s="2">
        <v>46170</v>
      </c>
      <c r="H41" s="2">
        <v>46170</v>
      </c>
      <c r="I41" s="1" t="s">
        <v>171</v>
      </c>
      <c r="J41" s="1">
        <v>1</v>
      </c>
      <c r="K41" s="2">
        <v>46170</v>
      </c>
      <c r="L41" s="1" t="s">
        <v>46</v>
      </c>
      <c r="M41" s="1" t="s">
        <v>47</v>
      </c>
      <c r="N41" s="1" t="s">
        <v>136</v>
      </c>
      <c r="O41" s="1" t="s">
        <v>85</v>
      </c>
      <c r="P41" s="2">
        <v>46161</v>
      </c>
      <c r="Q41" s="1" t="s">
        <v>38</v>
      </c>
      <c r="R41" s="1">
        <v>41</v>
      </c>
      <c r="U41" s="1">
        <v>1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</row>
    <row r="42" spans="1:32" x14ac:dyDescent="0.25">
      <c r="A42" s="1">
        <v>41</v>
      </c>
      <c r="B42" s="1" t="s">
        <v>172</v>
      </c>
      <c r="C42" s="1" t="s">
        <v>170</v>
      </c>
      <c r="D42" s="1" t="s">
        <v>72</v>
      </c>
      <c r="F42" s="1" t="s">
        <v>73</v>
      </c>
      <c r="G42" s="2">
        <v>46171</v>
      </c>
      <c r="H42" s="2">
        <v>46171</v>
      </c>
      <c r="I42" s="1">
        <v>40</v>
      </c>
      <c r="J42" s="1">
        <v>1</v>
      </c>
      <c r="K42" s="2">
        <v>46171</v>
      </c>
      <c r="L42" s="1" t="s">
        <v>46</v>
      </c>
      <c r="M42" s="1" t="s">
        <v>47</v>
      </c>
      <c r="N42" s="1" t="s">
        <v>136</v>
      </c>
      <c r="O42" s="1" t="s">
        <v>173</v>
      </c>
      <c r="P42" s="2">
        <v>46162</v>
      </c>
      <c r="Q42" s="1" t="s">
        <v>38</v>
      </c>
      <c r="R42" s="1">
        <v>42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25">
      <c r="A43" s="1">
        <v>42</v>
      </c>
      <c r="B43" s="1" t="s">
        <v>174</v>
      </c>
      <c r="C43" s="1" t="s">
        <v>170</v>
      </c>
      <c r="D43" s="1" t="s">
        <v>77</v>
      </c>
      <c r="F43" s="1" t="s">
        <v>68</v>
      </c>
      <c r="G43" s="2">
        <v>46174</v>
      </c>
      <c r="H43" s="2">
        <v>46175</v>
      </c>
      <c r="I43" s="1">
        <v>41</v>
      </c>
      <c r="J43" s="1">
        <v>0.75</v>
      </c>
      <c r="L43" s="1" t="s">
        <v>34</v>
      </c>
      <c r="M43" s="1" t="s">
        <v>47</v>
      </c>
      <c r="N43" s="1" t="s">
        <v>136</v>
      </c>
      <c r="O43" s="1" t="s">
        <v>175</v>
      </c>
      <c r="P43" s="2">
        <v>46164</v>
      </c>
      <c r="Q43" s="1" t="s">
        <v>38</v>
      </c>
      <c r="R43" s="1">
        <v>43</v>
      </c>
      <c r="U43" s="1">
        <v>0.75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</row>
    <row r="44" spans="1:32" x14ac:dyDescent="0.25">
      <c r="A44" s="1">
        <v>43</v>
      </c>
      <c r="B44" s="1" t="s">
        <v>176</v>
      </c>
      <c r="C44" s="1" t="s">
        <v>170</v>
      </c>
      <c r="D44" s="1" t="s">
        <v>83</v>
      </c>
      <c r="F44" s="1" t="s">
        <v>73</v>
      </c>
      <c r="G44" s="2">
        <v>46176</v>
      </c>
      <c r="H44" s="2">
        <v>46176</v>
      </c>
      <c r="I44" s="1">
        <v>42</v>
      </c>
      <c r="J44" s="1">
        <v>0</v>
      </c>
      <c r="L44" s="1" t="s">
        <v>34</v>
      </c>
      <c r="M44" s="1" t="s">
        <v>47</v>
      </c>
      <c r="N44" s="1" t="s">
        <v>136</v>
      </c>
      <c r="O44" s="1" t="s">
        <v>177</v>
      </c>
      <c r="P44" s="2">
        <v>46167</v>
      </c>
      <c r="Q44" s="1" t="s">
        <v>38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</row>
    <row r="45" spans="1:32" x14ac:dyDescent="0.25">
      <c r="A45" s="1">
        <v>44</v>
      </c>
      <c r="B45" s="1" t="s">
        <v>178</v>
      </c>
      <c r="C45" s="1" t="s">
        <v>138</v>
      </c>
      <c r="D45" s="1" t="s">
        <v>166</v>
      </c>
      <c r="E45" s="1" t="s">
        <v>179</v>
      </c>
      <c r="F45" s="1" t="s">
        <v>180</v>
      </c>
      <c r="G45" s="2">
        <v>46170</v>
      </c>
      <c r="H45" s="2">
        <v>46204</v>
      </c>
      <c r="J45" s="1">
        <v>0.63</v>
      </c>
      <c r="L45" s="1" t="s">
        <v>34</v>
      </c>
      <c r="M45" s="1" t="s">
        <v>47</v>
      </c>
      <c r="N45" s="1" t="s">
        <v>136</v>
      </c>
      <c r="O45" s="1" t="s">
        <v>85</v>
      </c>
      <c r="P45" s="2">
        <v>46167</v>
      </c>
      <c r="Q45" s="1" t="s">
        <v>38</v>
      </c>
      <c r="U45" s="1">
        <v>0.63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25">
      <c r="A46" s="1">
        <v>45</v>
      </c>
      <c r="B46" s="1" t="s">
        <v>181</v>
      </c>
      <c r="C46" s="1" t="s">
        <v>170</v>
      </c>
      <c r="D46" s="1" t="s">
        <v>67</v>
      </c>
      <c r="F46" s="1" t="s">
        <v>45</v>
      </c>
      <c r="G46" s="2">
        <v>46170</v>
      </c>
      <c r="H46" s="2">
        <v>46170</v>
      </c>
      <c r="I46" s="1" t="s">
        <v>171</v>
      </c>
      <c r="J46" s="1">
        <v>1</v>
      </c>
      <c r="K46" s="2">
        <v>46170</v>
      </c>
      <c r="L46" s="1" t="s">
        <v>46</v>
      </c>
      <c r="M46" s="1" t="s">
        <v>47</v>
      </c>
      <c r="N46" s="1" t="s">
        <v>136</v>
      </c>
      <c r="O46" s="1" t="s">
        <v>85</v>
      </c>
      <c r="P46" s="2">
        <v>46161</v>
      </c>
      <c r="Q46" s="1" t="s">
        <v>38</v>
      </c>
      <c r="R46" s="1">
        <v>46</v>
      </c>
      <c r="U46" s="1">
        <v>1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</row>
    <row r="47" spans="1:32" x14ac:dyDescent="0.25">
      <c r="A47" s="1">
        <v>46</v>
      </c>
      <c r="B47" s="1" t="s">
        <v>182</v>
      </c>
      <c r="C47" s="1" t="s">
        <v>170</v>
      </c>
      <c r="D47" s="1" t="s">
        <v>72</v>
      </c>
      <c r="F47" s="1" t="s">
        <v>73</v>
      </c>
      <c r="G47" s="2">
        <v>46199</v>
      </c>
      <c r="H47" s="2">
        <v>46199</v>
      </c>
      <c r="I47" s="1">
        <v>45</v>
      </c>
      <c r="J47" s="1">
        <v>1</v>
      </c>
      <c r="K47" s="2">
        <v>46199</v>
      </c>
      <c r="L47" s="1" t="s">
        <v>46</v>
      </c>
      <c r="M47" s="1" t="s">
        <v>47</v>
      </c>
      <c r="N47" s="1" t="s">
        <v>136</v>
      </c>
      <c r="O47" s="1" t="s">
        <v>173</v>
      </c>
      <c r="P47" s="2">
        <v>46162</v>
      </c>
      <c r="Q47" s="1" t="s">
        <v>38</v>
      </c>
      <c r="R47" s="1">
        <v>47</v>
      </c>
      <c r="U47" s="1">
        <v>1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25">
      <c r="A48" s="1">
        <v>47</v>
      </c>
      <c r="B48" s="1" t="s">
        <v>183</v>
      </c>
      <c r="C48" s="1" t="s">
        <v>170</v>
      </c>
      <c r="D48" s="1" t="s">
        <v>77</v>
      </c>
      <c r="F48" s="1" t="s">
        <v>68</v>
      </c>
      <c r="G48" s="2">
        <v>46202</v>
      </c>
      <c r="H48" s="2">
        <v>46203</v>
      </c>
      <c r="I48" s="1">
        <v>46</v>
      </c>
      <c r="J48" s="1">
        <v>0.75</v>
      </c>
      <c r="L48" s="1" t="s">
        <v>34</v>
      </c>
      <c r="M48" s="1" t="s">
        <v>47</v>
      </c>
      <c r="N48" s="1" t="s">
        <v>136</v>
      </c>
      <c r="O48" s="1" t="s">
        <v>175</v>
      </c>
      <c r="P48" s="2">
        <v>46164</v>
      </c>
      <c r="Q48" s="1" t="s">
        <v>38</v>
      </c>
      <c r="R48" s="1">
        <v>48</v>
      </c>
      <c r="U48" s="1">
        <v>0.75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</row>
    <row r="49" spans="1:32" x14ac:dyDescent="0.25">
      <c r="A49" s="1">
        <v>48</v>
      </c>
      <c r="B49" s="1" t="s">
        <v>184</v>
      </c>
      <c r="C49" s="1" t="s">
        <v>170</v>
      </c>
      <c r="D49" s="1" t="s">
        <v>83</v>
      </c>
      <c r="F49" s="1" t="s">
        <v>73</v>
      </c>
      <c r="G49" s="2">
        <v>46204</v>
      </c>
      <c r="H49" s="2">
        <v>46204</v>
      </c>
      <c r="I49" s="1">
        <v>47</v>
      </c>
      <c r="J49" s="1">
        <v>0</v>
      </c>
      <c r="L49" s="1" t="s">
        <v>34</v>
      </c>
      <c r="M49" s="1" t="s">
        <v>47</v>
      </c>
      <c r="N49" s="1" t="s">
        <v>136</v>
      </c>
      <c r="O49" s="1" t="s">
        <v>177</v>
      </c>
      <c r="P49" s="2">
        <v>46167</v>
      </c>
      <c r="Q49" s="1" t="s">
        <v>38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</row>
    <row r="50" spans="1:32" x14ac:dyDescent="0.25">
      <c r="A50" s="1">
        <v>49</v>
      </c>
      <c r="B50" s="1" t="s">
        <v>185</v>
      </c>
      <c r="C50" s="1" t="s">
        <v>43</v>
      </c>
      <c r="D50" s="1" t="s">
        <v>186</v>
      </c>
      <c r="F50" s="1" t="s">
        <v>187</v>
      </c>
      <c r="G50" s="2">
        <v>46160</v>
      </c>
      <c r="H50" s="2">
        <v>46337</v>
      </c>
      <c r="J50" s="1">
        <v>0.17</v>
      </c>
      <c r="L50" s="1" t="s">
        <v>34</v>
      </c>
      <c r="M50" s="1" t="s">
        <v>47</v>
      </c>
      <c r="N50" s="1" t="s">
        <v>188</v>
      </c>
      <c r="O50" s="1" t="s">
        <v>85</v>
      </c>
      <c r="P50" s="2">
        <v>46211</v>
      </c>
      <c r="Q50" s="1" t="s">
        <v>38</v>
      </c>
      <c r="U50" s="1">
        <v>0.17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25">
      <c r="A51" s="1">
        <v>50</v>
      </c>
      <c r="B51" s="1" t="s">
        <v>189</v>
      </c>
      <c r="C51" s="1" t="s">
        <v>190</v>
      </c>
      <c r="D51" s="1" t="s">
        <v>191</v>
      </c>
      <c r="E51" s="1" t="s">
        <v>140</v>
      </c>
      <c r="F51" s="1" t="s">
        <v>192</v>
      </c>
      <c r="G51" s="2">
        <v>46160</v>
      </c>
      <c r="H51" s="2">
        <v>46167</v>
      </c>
      <c r="J51" s="1">
        <v>0.67</v>
      </c>
      <c r="L51" s="1" t="s">
        <v>34</v>
      </c>
      <c r="M51" s="1" t="s">
        <v>47</v>
      </c>
      <c r="N51" s="1" t="s">
        <v>188</v>
      </c>
      <c r="O51" s="1" t="s">
        <v>142</v>
      </c>
      <c r="P51" s="2">
        <v>46192</v>
      </c>
      <c r="Q51" s="1" t="s">
        <v>38</v>
      </c>
      <c r="U51" s="1">
        <v>0.67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25">
      <c r="A52" s="1">
        <v>51</v>
      </c>
      <c r="B52" s="1" t="s">
        <v>193</v>
      </c>
      <c r="C52" s="1" t="s">
        <v>194</v>
      </c>
      <c r="D52" s="1" t="s">
        <v>67</v>
      </c>
      <c r="F52" s="1" t="s">
        <v>68</v>
      </c>
      <c r="G52" s="2">
        <v>46160</v>
      </c>
      <c r="H52" s="2">
        <v>46161</v>
      </c>
      <c r="I52" s="1" t="s">
        <v>195</v>
      </c>
      <c r="J52" s="1">
        <v>1</v>
      </c>
      <c r="K52" s="2">
        <v>46161</v>
      </c>
      <c r="L52" s="1" t="s">
        <v>46</v>
      </c>
      <c r="M52" s="1" t="s">
        <v>47</v>
      </c>
      <c r="N52" s="1" t="s">
        <v>188</v>
      </c>
      <c r="O52" s="1" t="s">
        <v>142</v>
      </c>
      <c r="P52" s="2">
        <v>46188</v>
      </c>
      <c r="Q52" s="1" t="s">
        <v>38</v>
      </c>
      <c r="R52" s="1" t="s">
        <v>196</v>
      </c>
      <c r="U52" s="1">
        <v>1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</row>
    <row r="53" spans="1:32" x14ac:dyDescent="0.25">
      <c r="A53" s="1">
        <v>52</v>
      </c>
      <c r="B53" s="1" t="s">
        <v>197</v>
      </c>
      <c r="C53" s="1" t="s">
        <v>194</v>
      </c>
      <c r="D53" s="1" t="s">
        <v>72</v>
      </c>
      <c r="F53" s="1" t="s">
        <v>73</v>
      </c>
      <c r="G53" s="2">
        <v>46162</v>
      </c>
      <c r="H53" s="2">
        <v>46162</v>
      </c>
      <c r="I53" s="1">
        <v>51</v>
      </c>
      <c r="J53" s="1">
        <v>1</v>
      </c>
      <c r="K53" s="2">
        <v>46162</v>
      </c>
      <c r="L53" s="1" t="s">
        <v>46</v>
      </c>
      <c r="M53" s="1" t="s">
        <v>47</v>
      </c>
      <c r="N53" s="1" t="s">
        <v>188</v>
      </c>
      <c r="O53" s="1" t="s">
        <v>132</v>
      </c>
      <c r="P53" s="2">
        <v>46189</v>
      </c>
      <c r="Q53" s="1" t="s">
        <v>38</v>
      </c>
      <c r="R53" s="1">
        <v>53</v>
      </c>
      <c r="U53" s="1">
        <v>1</v>
      </c>
      <c r="V53" s="1">
        <v>0</v>
      </c>
      <c r="W53" s="1">
        <v>0</v>
      </c>
      <c r="X53" s="1">
        <v>0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25">
      <c r="A54" s="1">
        <v>53</v>
      </c>
      <c r="B54" s="1" t="s">
        <v>198</v>
      </c>
      <c r="C54" s="1" t="s">
        <v>194</v>
      </c>
      <c r="D54" s="1" t="s">
        <v>77</v>
      </c>
      <c r="F54" s="1" t="s">
        <v>68</v>
      </c>
      <c r="G54" s="2">
        <v>46163</v>
      </c>
      <c r="H54" s="2">
        <v>46164</v>
      </c>
      <c r="I54" s="1">
        <v>52</v>
      </c>
      <c r="J54" s="1">
        <v>0.5</v>
      </c>
      <c r="L54" s="1" t="s">
        <v>34</v>
      </c>
      <c r="M54" s="1" t="s">
        <v>47</v>
      </c>
      <c r="N54" s="1" t="s">
        <v>188</v>
      </c>
      <c r="O54" s="1" t="s">
        <v>150</v>
      </c>
      <c r="P54" s="2">
        <v>46191</v>
      </c>
      <c r="Q54" s="1" t="s">
        <v>38</v>
      </c>
      <c r="R54" s="1">
        <v>54</v>
      </c>
      <c r="U54" s="1">
        <v>0.5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</row>
    <row r="55" spans="1:32" x14ac:dyDescent="0.25">
      <c r="A55" s="1">
        <v>54</v>
      </c>
      <c r="B55" s="1" t="s">
        <v>199</v>
      </c>
      <c r="C55" s="1" t="s">
        <v>194</v>
      </c>
      <c r="D55" s="1" t="s">
        <v>83</v>
      </c>
      <c r="F55" s="1" t="s">
        <v>73</v>
      </c>
      <c r="G55" s="2">
        <v>46167</v>
      </c>
      <c r="H55" s="2">
        <v>46167</v>
      </c>
      <c r="I55" s="1">
        <v>53</v>
      </c>
      <c r="J55" s="1">
        <v>0</v>
      </c>
      <c r="L55" s="1" t="s">
        <v>34</v>
      </c>
      <c r="M55" s="1" t="s">
        <v>47</v>
      </c>
      <c r="N55" s="1" t="s">
        <v>188</v>
      </c>
      <c r="O55" s="1" t="s">
        <v>152</v>
      </c>
      <c r="P55" s="2">
        <v>46192</v>
      </c>
      <c r="Q55" s="1" t="s">
        <v>38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</row>
    <row r="56" spans="1:32" x14ac:dyDescent="0.25">
      <c r="A56" s="1">
        <v>55</v>
      </c>
      <c r="B56" s="1" t="s">
        <v>200</v>
      </c>
      <c r="C56" s="1" t="s">
        <v>190</v>
      </c>
      <c r="D56" s="1" t="s">
        <v>201</v>
      </c>
      <c r="E56" s="1" t="s">
        <v>155</v>
      </c>
      <c r="F56" s="1" t="s">
        <v>192</v>
      </c>
      <c r="G56" s="2">
        <v>46330</v>
      </c>
      <c r="H56" s="2">
        <v>46337</v>
      </c>
      <c r="J56" s="1">
        <v>0</v>
      </c>
      <c r="L56" s="1" t="s">
        <v>79</v>
      </c>
      <c r="M56" s="1" t="s">
        <v>47</v>
      </c>
      <c r="N56" s="1" t="s">
        <v>188</v>
      </c>
      <c r="O56" s="1" t="s">
        <v>202</v>
      </c>
      <c r="P56" s="2">
        <v>46175</v>
      </c>
      <c r="Q56" s="1" t="s">
        <v>38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25">
      <c r="A57" s="1">
        <v>56</v>
      </c>
      <c r="B57" s="1" t="s">
        <v>203</v>
      </c>
      <c r="C57" s="1" t="s">
        <v>204</v>
      </c>
      <c r="D57" s="1" t="s">
        <v>67</v>
      </c>
      <c r="F57" s="1" t="s">
        <v>68</v>
      </c>
      <c r="G57" s="2">
        <v>46330</v>
      </c>
      <c r="H57" s="2">
        <v>46331</v>
      </c>
      <c r="I57" s="1" t="s">
        <v>205</v>
      </c>
      <c r="J57" s="1">
        <v>0</v>
      </c>
      <c r="L57" s="1" t="s">
        <v>79</v>
      </c>
      <c r="M57" s="1" t="s">
        <v>47</v>
      </c>
      <c r="N57" s="1" t="s">
        <v>188</v>
      </c>
      <c r="O57" s="1" t="s">
        <v>202</v>
      </c>
      <c r="P57" s="2">
        <v>46169</v>
      </c>
      <c r="Q57" s="1" t="s">
        <v>38</v>
      </c>
      <c r="R57" s="1">
        <v>57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25">
      <c r="A58" s="1">
        <v>57</v>
      </c>
      <c r="B58" s="1" t="s">
        <v>206</v>
      </c>
      <c r="C58" s="1" t="s">
        <v>204</v>
      </c>
      <c r="D58" s="1" t="s">
        <v>72</v>
      </c>
      <c r="F58" s="1" t="s">
        <v>73</v>
      </c>
      <c r="G58" s="2">
        <v>46332</v>
      </c>
      <c r="H58" s="2">
        <v>46332</v>
      </c>
      <c r="I58" s="1">
        <v>56</v>
      </c>
      <c r="J58" s="1">
        <v>0</v>
      </c>
      <c r="L58" s="1" t="s">
        <v>79</v>
      </c>
      <c r="M58" s="1" t="s">
        <v>47</v>
      </c>
      <c r="N58" s="1" t="s">
        <v>188</v>
      </c>
      <c r="O58" s="1" t="s">
        <v>207</v>
      </c>
      <c r="P58" s="2">
        <v>46170</v>
      </c>
      <c r="Q58" s="1" t="s">
        <v>38</v>
      </c>
      <c r="R58" s="1">
        <v>58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25">
      <c r="A59" s="1">
        <v>58</v>
      </c>
      <c r="B59" s="1" t="s">
        <v>208</v>
      </c>
      <c r="C59" s="1" t="s">
        <v>204</v>
      </c>
      <c r="D59" s="1" t="s">
        <v>77</v>
      </c>
      <c r="F59" s="1" t="s">
        <v>68</v>
      </c>
      <c r="G59" s="2">
        <v>46335</v>
      </c>
      <c r="H59" s="2">
        <v>46336</v>
      </c>
      <c r="I59" s="1">
        <v>57</v>
      </c>
      <c r="J59" s="1">
        <v>0</v>
      </c>
      <c r="L59" s="1" t="s">
        <v>79</v>
      </c>
      <c r="M59" s="1" t="s">
        <v>47</v>
      </c>
      <c r="N59" s="1" t="s">
        <v>188</v>
      </c>
      <c r="O59" s="1" t="s">
        <v>209</v>
      </c>
      <c r="P59" s="2">
        <v>46174</v>
      </c>
      <c r="Q59" s="1" t="s">
        <v>38</v>
      </c>
      <c r="R59" s="1">
        <v>59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25">
      <c r="A60" s="1">
        <v>59</v>
      </c>
      <c r="B60" s="1" t="s">
        <v>210</v>
      </c>
      <c r="C60" s="1" t="s">
        <v>204</v>
      </c>
      <c r="D60" s="1" t="s">
        <v>83</v>
      </c>
      <c r="F60" s="1" t="s">
        <v>73</v>
      </c>
      <c r="G60" s="2">
        <v>46337</v>
      </c>
      <c r="H60" s="2">
        <v>46337</v>
      </c>
      <c r="I60" s="1">
        <v>58</v>
      </c>
      <c r="J60" s="1">
        <v>0</v>
      </c>
      <c r="L60" s="1" t="s">
        <v>79</v>
      </c>
      <c r="M60" s="1" t="s">
        <v>47</v>
      </c>
      <c r="N60" s="1" t="s">
        <v>188</v>
      </c>
      <c r="O60" s="1" t="s">
        <v>211</v>
      </c>
      <c r="P60" s="2">
        <v>46175</v>
      </c>
      <c r="Q60" s="1" t="s">
        <v>38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25">
      <c r="A61" s="1">
        <v>60</v>
      </c>
      <c r="B61" s="1" t="s">
        <v>212</v>
      </c>
      <c r="C61" s="1" t="s">
        <v>190</v>
      </c>
      <c r="D61" s="1" t="s">
        <v>213</v>
      </c>
      <c r="E61" s="1" t="s">
        <v>214</v>
      </c>
      <c r="F61" s="1" t="s">
        <v>192</v>
      </c>
      <c r="G61" s="2">
        <v>46330</v>
      </c>
      <c r="H61" s="2">
        <v>46337</v>
      </c>
      <c r="J61" s="1">
        <v>0</v>
      </c>
      <c r="L61" s="1" t="s">
        <v>79</v>
      </c>
      <c r="M61" s="1" t="s">
        <v>47</v>
      </c>
      <c r="N61" s="1" t="s">
        <v>188</v>
      </c>
      <c r="O61" s="1" t="s">
        <v>202</v>
      </c>
      <c r="P61" s="2">
        <v>46175</v>
      </c>
      <c r="Q61" s="1" t="s">
        <v>38</v>
      </c>
      <c r="S61" s="1" t="s">
        <v>215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25">
      <c r="A62" s="1">
        <v>61</v>
      </c>
      <c r="B62" s="1" t="s">
        <v>216</v>
      </c>
      <c r="C62" s="1" t="s">
        <v>217</v>
      </c>
      <c r="D62" s="1" t="s">
        <v>67</v>
      </c>
      <c r="F62" s="1" t="s">
        <v>68</v>
      </c>
      <c r="G62" s="2">
        <v>46330</v>
      </c>
      <c r="H62" s="2">
        <v>46331</v>
      </c>
      <c r="I62" s="1" t="s">
        <v>205</v>
      </c>
      <c r="J62" s="1">
        <v>0</v>
      </c>
      <c r="L62" s="1" t="s">
        <v>79</v>
      </c>
      <c r="M62" s="1" t="s">
        <v>47</v>
      </c>
      <c r="N62" s="1" t="s">
        <v>188</v>
      </c>
      <c r="O62" s="1" t="s">
        <v>202</v>
      </c>
      <c r="P62" s="2">
        <v>46169</v>
      </c>
      <c r="Q62" s="1" t="s">
        <v>38</v>
      </c>
      <c r="R62" s="1">
        <v>62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25">
      <c r="A63" s="1">
        <v>62</v>
      </c>
      <c r="B63" s="1" t="s">
        <v>218</v>
      </c>
      <c r="C63" s="1" t="s">
        <v>217</v>
      </c>
      <c r="D63" s="1" t="s">
        <v>72</v>
      </c>
      <c r="F63" s="1" t="s">
        <v>73</v>
      </c>
      <c r="G63" s="2">
        <v>46332</v>
      </c>
      <c r="H63" s="2">
        <v>46332</v>
      </c>
      <c r="I63" s="1">
        <v>61</v>
      </c>
      <c r="J63" s="1">
        <v>0</v>
      </c>
      <c r="L63" s="1" t="s">
        <v>79</v>
      </c>
      <c r="M63" s="1" t="s">
        <v>47</v>
      </c>
      <c r="N63" s="1" t="s">
        <v>188</v>
      </c>
      <c r="O63" s="1" t="s">
        <v>207</v>
      </c>
      <c r="P63" s="2">
        <v>46170</v>
      </c>
      <c r="Q63" s="1" t="s">
        <v>38</v>
      </c>
      <c r="R63" s="1">
        <v>63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25">
      <c r="A64" s="1">
        <v>63</v>
      </c>
      <c r="B64" s="1" t="s">
        <v>219</v>
      </c>
      <c r="C64" s="1" t="s">
        <v>217</v>
      </c>
      <c r="D64" s="1" t="s">
        <v>77</v>
      </c>
      <c r="F64" s="1" t="s">
        <v>68</v>
      </c>
      <c r="G64" s="2">
        <v>46335</v>
      </c>
      <c r="H64" s="2">
        <v>46336</v>
      </c>
      <c r="I64" s="1">
        <v>62</v>
      </c>
      <c r="J64" s="1">
        <v>0</v>
      </c>
      <c r="L64" s="1" t="s">
        <v>79</v>
      </c>
      <c r="M64" s="1" t="s">
        <v>47</v>
      </c>
      <c r="N64" s="1" t="s">
        <v>188</v>
      </c>
      <c r="O64" s="1" t="s">
        <v>209</v>
      </c>
      <c r="P64" s="2">
        <v>46174</v>
      </c>
      <c r="Q64" s="1" t="s">
        <v>38</v>
      </c>
      <c r="R64" s="1">
        <v>64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25">
      <c r="A65" s="1">
        <v>64</v>
      </c>
      <c r="B65" s="1" t="s">
        <v>220</v>
      </c>
      <c r="C65" s="1" t="s">
        <v>217</v>
      </c>
      <c r="D65" s="1" t="s">
        <v>83</v>
      </c>
      <c r="F65" s="1" t="s">
        <v>73</v>
      </c>
      <c r="G65" s="2">
        <v>46337</v>
      </c>
      <c r="H65" s="2">
        <v>46337</v>
      </c>
      <c r="I65" s="1">
        <v>63</v>
      </c>
      <c r="J65" s="1">
        <v>0</v>
      </c>
      <c r="L65" s="1" t="s">
        <v>79</v>
      </c>
      <c r="M65" s="1" t="s">
        <v>47</v>
      </c>
      <c r="N65" s="1" t="s">
        <v>188</v>
      </c>
      <c r="O65" s="1" t="s">
        <v>211</v>
      </c>
      <c r="P65" s="2">
        <v>46175</v>
      </c>
      <c r="Q65" s="1" t="s">
        <v>38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25">
      <c r="A66" s="1">
        <v>65</v>
      </c>
      <c r="B66" s="1" t="s">
        <v>221</v>
      </c>
      <c r="C66" s="1" t="s">
        <v>190</v>
      </c>
      <c r="D66" s="1" t="s">
        <v>222</v>
      </c>
      <c r="E66" s="1" t="s">
        <v>214</v>
      </c>
      <c r="F66" s="1" t="s">
        <v>192</v>
      </c>
      <c r="G66" s="2">
        <v>46330</v>
      </c>
      <c r="H66" s="2">
        <v>46337</v>
      </c>
      <c r="J66" s="1">
        <v>0</v>
      </c>
      <c r="L66" s="1" t="s">
        <v>79</v>
      </c>
      <c r="M66" s="1" t="s">
        <v>47</v>
      </c>
      <c r="N66" s="1" t="s">
        <v>188</v>
      </c>
      <c r="O66" s="1" t="s">
        <v>202</v>
      </c>
      <c r="P66" s="2">
        <v>46175</v>
      </c>
      <c r="Q66" s="1" t="s">
        <v>38</v>
      </c>
      <c r="S66" s="1" t="s">
        <v>215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25">
      <c r="A67" s="1">
        <v>66</v>
      </c>
      <c r="B67" s="1" t="s">
        <v>223</v>
      </c>
      <c r="C67" s="1" t="s">
        <v>224</v>
      </c>
      <c r="D67" s="1" t="s">
        <v>67</v>
      </c>
      <c r="F67" s="1" t="s">
        <v>68</v>
      </c>
      <c r="G67" s="2">
        <v>46330</v>
      </c>
      <c r="H67" s="2">
        <v>46331</v>
      </c>
      <c r="I67" s="1" t="s">
        <v>205</v>
      </c>
      <c r="J67" s="1">
        <v>0</v>
      </c>
      <c r="L67" s="1" t="s">
        <v>79</v>
      </c>
      <c r="M67" s="1" t="s">
        <v>47</v>
      </c>
      <c r="N67" s="1" t="s">
        <v>188</v>
      </c>
      <c r="O67" s="1" t="s">
        <v>202</v>
      </c>
      <c r="P67" s="2">
        <v>46169</v>
      </c>
      <c r="Q67" s="1" t="s">
        <v>38</v>
      </c>
      <c r="R67" s="1">
        <v>67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x14ac:dyDescent="0.25">
      <c r="A68" s="1">
        <v>67</v>
      </c>
      <c r="B68" s="1" t="s">
        <v>225</v>
      </c>
      <c r="C68" s="1" t="s">
        <v>224</v>
      </c>
      <c r="D68" s="1" t="s">
        <v>72</v>
      </c>
      <c r="F68" s="1" t="s">
        <v>73</v>
      </c>
      <c r="G68" s="2">
        <v>46332</v>
      </c>
      <c r="H68" s="2">
        <v>46332</v>
      </c>
      <c r="I68" s="1">
        <v>66</v>
      </c>
      <c r="J68" s="1">
        <v>0</v>
      </c>
      <c r="L68" s="1" t="s">
        <v>79</v>
      </c>
      <c r="M68" s="1" t="s">
        <v>47</v>
      </c>
      <c r="N68" s="1" t="s">
        <v>188</v>
      </c>
      <c r="O68" s="1" t="s">
        <v>207</v>
      </c>
      <c r="P68" s="2">
        <v>46170</v>
      </c>
      <c r="Q68" s="1" t="s">
        <v>38</v>
      </c>
      <c r="R68" s="1">
        <v>68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25">
      <c r="A69" s="1">
        <v>68</v>
      </c>
      <c r="B69" s="1" t="s">
        <v>226</v>
      </c>
      <c r="C69" s="1" t="s">
        <v>224</v>
      </c>
      <c r="D69" s="1" t="s">
        <v>77</v>
      </c>
      <c r="F69" s="1" t="s">
        <v>68</v>
      </c>
      <c r="G69" s="2">
        <v>46335</v>
      </c>
      <c r="H69" s="2">
        <v>46336</v>
      </c>
      <c r="I69" s="1">
        <v>67</v>
      </c>
      <c r="J69" s="1">
        <v>0</v>
      </c>
      <c r="L69" s="1" t="s">
        <v>79</v>
      </c>
      <c r="M69" s="1" t="s">
        <v>47</v>
      </c>
      <c r="N69" s="1" t="s">
        <v>188</v>
      </c>
      <c r="O69" s="1" t="s">
        <v>209</v>
      </c>
      <c r="P69" s="2">
        <v>46174</v>
      </c>
      <c r="Q69" s="1" t="s">
        <v>38</v>
      </c>
      <c r="R69" s="1">
        <v>69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 spans="1:32" x14ac:dyDescent="0.25">
      <c r="A70" s="1">
        <v>69</v>
      </c>
      <c r="B70" s="1" t="s">
        <v>227</v>
      </c>
      <c r="C70" s="1" t="s">
        <v>224</v>
      </c>
      <c r="D70" s="1" t="s">
        <v>83</v>
      </c>
      <c r="F70" s="1" t="s">
        <v>73</v>
      </c>
      <c r="G70" s="2">
        <v>46337</v>
      </c>
      <c r="H70" s="2">
        <v>46337</v>
      </c>
      <c r="I70" s="1">
        <v>68</v>
      </c>
      <c r="J70" s="1">
        <v>0</v>
      </c>
      <c r="L70" s="1" t="s">
        <v>79</v>
      </c>
      <c r="M70" s="1" t="s">
        <v>47</v>
      </c>
      <c r="N70" s="1" t="s">
        <v>188</v>
      </c>
      <c r="O70" s="1" t="s">
        <v>211</v>
      </c>
      <c r="P70" s="2">
        <v>46175</v>
      </c>
      <c r="Q70" s="1" t="s">
        <v>38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 x14ac:dyDescent="0.25">
      <c r="A71" s="1">
        <v>70</v>
      </c>
      <c r="B71" s="1" t="s">
        <v>228</v>
      </c>
      <c r="C71" s="1" t="s">
        <v>43</v>
      </c>
      <c r="D71" s="1" t="s">
        <v>229</v>
      </c>
      <c r="F71" s="1" t="s">
        <v>230</v>
      </c>
      <c r="G71" s="2">
        <v>46181</v>
      </c>
      <c r="H71" s="2">
        <v>46367</v>
      </c>
      <c r="J71" s="1">
        <v>0.24</v>
      </c>
      <c r="L71" s="1" t="s">
        <v>64</v>
      </c>
      <c r="M71" s="1" t="s">
        <v>47</v>
      </c>
      <c r="N71" s="1" t="s">
        <v>231</v>
      </c>
      <c r="O71" s="1" t="s">
        <v>173</v>
      </c>
      <c r="P71" s="2">
        <v>46211</v>
      </c>
      <c r="Q71" s="1" t="s">
        <v>38</v>
      </c>
      <c r="U71" s="1">
        <v>0.24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25">
      <c r="A72" s="1">
        <v>71</v>
      </c>
      <c r="B72" s="1" t="s">
        <v>232</v>
      </c>
      <c r="C72" s="1" t="s">
        <v>233</v>
      </c>
      <c r="D72" s="1" t="s">
        <v>234</v>
      </c>
      <c r="E72" s="1" t="s">
        <v>140</v>
      </c>
      <c r="F72" s="1" t="s">
        <v>141</v>
      </c>
      <c r="G72" s="2">
        <v>46181</v>
      </c>
      <c r="H72" s="2">
        <v>46191</v>
      </c>
      <c r="J72" s="1">
        <v>1</v>
      </c>
      <c r="K72" s="2">
        <v>46191</v>
      </c>
      <c r="L72" s="1" t="s">
        <v>46</v>
      </c>
      <c r="M72" s="1" t="s">
        <v>47</v>
      </c>
      <c r="N72" s="1" t="s">
        <v>231</v>
      </c>
      <c r="O72" s="1" t="s">
        <v>235</v>
      </c>
      <c r="P72" s="2">
        <v>46192</v>
      </c>
      <c r="Q72" s="1" t="s">
        <v>38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25">
      <c r="A73" s="1">
        <v>72</v>
      </c>
      <c r="B73" s="1" t="s">
        <v>236</v>
      </c>
      <c r="C73" s="1" t="s">
        <v>237</v>
      </c>
      <c r="D73" s="1" t="s">
        <v>67</v>
      </c>
      <c r="F73" s="1" t="s">
        <v>145</v>
      </c>
      <c r="G73" s="2">
        <v>46181</v>
      </c>
      <c r="H73" s="2">
        <v>46185</v>
      </c>
      <c r="I73" s="1" t="s">
        <v>195</v>
      </c>
      <c r="J73" s="1">
        <v>1</v>
      </c>
      <c r="K73" s="2">
        <v>46185</v>
      </c>
      <c r="L73" s="1" t="s">
        <v>46</v>
      </c>
      <c r="M73" s="1" t="s">
        <v>47</v>
      </c>
      <c r="N73" s="1" t="s">
        <v>231</v>
      </c>
      <c r="O73" s="1" t="s">
        <v>235</v>
      </c>
      <c r="P73" s="2">
        <v>46188</v>
      </c>
      <c r="Q73" s="1" t="s">
        <v>38</v>
      </c>
      <c r="R73" s="1" t="s">
        <v>238</v>
      </c>
      <c r="U73" s="1">
        <v>1</v>
      </c>
      <c r="V73" s="1">
        <v>1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</row>
    <row r="74" spans="1:32" x14ac:dyDescent="0.25">
      <c r="A74" s="1">
        <v>73</v>
      </c>
      <c r="B74" s="1" t="s">
        <v>239</v>
      </c>
      <c r="C74" s="1" t="s">
        <v>237</v>
      </c>
      <c r="D74" s="1" t="s">
        <v>72</v>
      </c>
      <c r="F74" s="1" t="s">
        <v>73</v>
      </c>
      <c r="G74" s="2">
        <v>46188</v>
      </c>
      <c r="H74" s="2">
        <v>46188</v>
      </c>
      <c r="I74" s="1">
        <v>72</v>
      </c>
      <c r="J74" s="1">
        <v>1</v>
      </c>
      <c r="K74" s="2">
        <v>46188</v>
      </c>
      <c r="L74" s="1" t="s">
        <v>46</v>
      </c>
      <c r="M74" s="1" t="s">
        <v>47</v>
      </c>
      <c r="N74" s="1" t="s">
        <v>231</v>
      </c>
      <c r="O74" s="1" t="s">
        <v>132</v>
      </c>
      <c r="P74" s="2">
        <v>46189</v>
      </c>
      <c r="Q74" s="1" t="s">
        <v>38</v>
      </c>
      <c r="R74" s="1">
        <v>74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25">
      <c r="A75" s="1">
        <v>74</v>
      </c>
      <c r="B75" s="1" t="s">
        <v>240</v>
      </c>
      <c r="C75" s="1" t="s">
        <v>237</v>
      </c>
      <c r="D75" s="1" t="s">
        <v>77</v>
      </c>
      <c r="F75" s="1" t="s">
        <v>68</v>
      </c>
      <c r="G75" s="2">
        <v>46189</v>
      </c>
      <c r="H75" s="2">
        <v>46190</v>
      </c>
      <c r="I75" s="1">
        <v>73</v>
      </c>
      <c r="J75" s="1">
        <v>1</v>
      </c>
      <c r="K75" s="2">
        <v>46190</v>
      </c>
      <c r="L75" s="1" t="s">
        <v>46</v>
      </c>
      <c r="M75" s="1" t="s">
        <v>47</v>
      </c>
      <c r="N75" s="1" t="s">
        <v>231</v>
      </c>
      <c r="O75" s="1" t="s">
        <v>150</v>
      </c>
      <c r="P75" s="2">
        <v>46191</v>
      </c>
      <c r="Q75" s="1" t="s">
        <v>38</v>
      </c>
      <c r="R75" s="1">
        <v>75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25">
      <c r="A76" s="1">
        <v>75</v>
      </c>
      <c r="B76" s="1" t="s">
        <v>241</v>
      </c>
      <c r="C76" s="1" t="s">
        <v>237</v>
      </c>
      <c r="D76" s="1" t="s">
        <v>83</v>
      </c>
      <c r="F76" s="1" t="s">
        <v>73</v>
      </c>
      <c r="G76" s="2">
        <v>46191</v>
      </c>
      <c r="H76" s="2">
        <v>46191</v>
      </c>
      <c r="I76" s="1">
        <v>74</v>
      </c>
      <c r="J76" s="1">
        <v>1</v>
      </c>
      <c r="K76" s="2">
        <v>46191</v>
      </c>
      <c r="L76" s="1" t="s">
        <v>46</v>
      </c>
      <c r="M76" s="1" t="s">
        <v>47</v>
      </c>
      <c r="N76" s="1" t="s">
        <v>231</v>
      </c>
      <c r="O76" s="1" t="s">
        <v>152</v>
      </c>
      <c r="P76" s="2">
        <v>46192</v>
      </c>
      <c r="Q76" s="1" t="s">
        <v>38</v>
      </c>
      <c r="U76" s="1">
        <v>1</v>
      </c>
      <c r="V76" s="1">
        <v>0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</row>
    <row r="77" spans="1:32" x14ac:dyDescent="0.25">
      <c r="A77" s="1">
        <v>76</v>
      </c>
      <c r="B77" s="1" t="s">
        <v>242</v>
      </c>
      <c r="C77" s="1" t="s">
        <v>233</v>
      </c>
      <c r="D77" s="1" t="s">
        <v>243</v>
      </c>
      <c r="E77" s="1" t="s">
        <v>155</v>
      </c>
      <c r="F77" s="1" t="s">
        <v>110</v>
      </c>
      <c r="G77" s="2">
        <v>46356</v>
      </c>
      <c r="H77" s="2">
        <v>46364</v>
      </c>
      <c r="J77" s="1">
        <v>0</v>
      </c>
      <c r="L77" s="1" t="s">
        <v>79</v>
      </c>
      <c r="M77" s="1" t="s">
        <v>47</v>
      </c>
      <c r="N77" s="1" t="s">
        <v>231</v>
      </c>
      <c r="O77" s="1" t="s">
        <v>244</v>
      </c>
      <c r="P77" s="2">
        <v>46199</v>
      </c>
      <c r="Q77" s="1" t="s">
        <v>38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25">
      <c r="A78" s="1">
        <v>77</v>
      </c>
      <c r="B78" s="1" t="s">
        <v>245</v>
      </c>
      <c r="C78" s="1" t="s">
        <v>246</v>
      </c>
      <c r="D78" s="1" t="s">
        <v>67</v>
      </c>
      <c r="F78" s="1" t="s">
        <v>92</v>
      </c>
      <c r="G78" s="2">
        <v>46356</v>
      </c>
      <c r="H78" s="2">
        <v>46358</v>
      </c>
      <c r="I78" s="1" t="s">
        <v>247</v>
      </c>
      <c r="J78" s="1">
        <v>0</v>
      </c>
      <c r="L78" s="1" t="s">
        <v>79</v>
      </c>
      <c r="M78" s="1" t="s">
        <v>47</v>
      </c>
      <c r="N78" s="1" t="s">
        <v>231</v>
      </c>
      <c r="O78" s="1" t="s">
        <v>244</v>
      </c>
      <c r="P78" s="2">
        <v>46195</v>
      </c>
      <c r="Q78" s="1" t="s">
        <v>38</v>
      </c>
      <c r="R78" s="1" t="s">
        <v>248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25">
      <c r="A79" s="1">
        <v>78</v>
      </c>
      <c r="B79" s="1" t="s">
        <v>249</v>
      </c>
      <c r="C79" s="1" t="s">
        <v>246</v>
      </c>
      <c r="D79" s="1" t="s">
        <v>72</v>
      </c>
      <c r="F79" s="1" t="s">
        <v>73</v>
      </c>
      <c r="G79" s="2">
        <v>46359</v>
      </c>
      <c r="H79" s="2">
        <v>46359</v>
      </c>
      <c r="I79" s="1">
        <v>77</v>
      </c>
      <c r="J79" s="1">
        <v>0</v>
      </c>
      <c r="L79" s="1" t="s">
        <v>79</v>
      </c>
      <c r="M79" s="1" t="s">
        <v>47</v>
      </c>
      <c r="N79" s="1" t="s">
        <v>231</v>
      </c>
      <c r="O79" s="1" t="s">
        <v>162</v>
      </c>
      <c r="P79" s="2">
        <v>46196</v>
      </c>
      <c r="Q79" s="1" t="s">
        <v>38</v>
      </c>
      <c r="R79" s="1">
        <v>79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25">
      <c r="A80" s="1">
        <v>79</v>
      </c>
      <c r="B80" s="1" t="s">
        <v>250</v>
      </c>
      <c r="C80" s="1" t="s">
        <v>246</v>
      </c>
      <c r="D80" s="1" t="s">
        <v>77</v>
      </c>
      <c r="F80" s="1" t="s">
        <v>68</v>
      </c>
      <c r="G80" s="2">
        <v>46360</v>
      </c>
      <c r="H80" s="2">
        <v>46363</v>
      </c>
      <c r="I80" s="1">
        <v>78</v>
      </c>
      <c r="J80" s="1">
        <v>0</v>
      </c>
      <c r="L80" s="1" t="s">
        <v>79</v>
      </c>
      <c r="M80" s="1" t="s">
        <v>47</v>
      </c>
      <c r="N80" s="1" t="s">
        <v>231</v>
      </c>
      <c r="O80" s="1" t="s">
        <v>251</v>
      </c>
      <c r="P80" s="2">
        <v>46198</v>
      </c>
      <c r="Q80" s="1" t="s">
        <v>38</v>
      </c>
      <c r="R80" s="1">
        <v>80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25">
      <c r="A81" s="1">
        <v>80</v>
      </c>
      <c r="B81" s="1" t="s">
        <v>252</v>
      </c>
      <c r="C81" s="1" t="s">
        <v>246</v>
      </c>
      <c r="D81" s="1" t="s">
        <v>83</v>
      </c>
      <c r="F81" s="1" t="s">
        <v>73</v>
      </c>
      <c r="G81" s="2">
        <v>46364</v>
      </c>
      <c r="H81" s="2">
        <v>46364</v>
      </c>
      <c r="I81" s="1">
        <v>79</v>
      </c>
      <c r="J81" s="1">
        <v>0</v>
      </c>
      <c r="L81" s="1" t="s">
        <v>79</v>
      </c>
      <c r="M81" s="1" t="s">
        <v>47</v>
      </c>
      <c r="N81" s="1" t="s">
        <v>231</v>
      </c>
      <c r="O81" s="1" t="s">
        <v>253</v>
      </c>
      <c r="P81" s="2">
        <v>46199</v>
      </c>
      <c r="Q81" s="1" t="s">
        <v>38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25">
      <c r="A82" s="1">
        <v>81</v>
      </c>
      <c r="B82" s="1" t="s">
        <v>254</v>
      </c>
      <c r="C82" s="1" t="s">
        <v>233</v>
      </c>
      <c r="D82" s="1" t="s">
        <v>255</v>
      </c>
      <c r="E82" s="1" t="s">
        <v>256</v>
      </c>
      <c r="F82" s="1" t="s">
        <v>110</v>
      </c>
      <c r="G82" s="2">
        <v>46359</v>
      </c>
      <c r="H82" s="2">
        <v>46367</v>
      </c>
      <c r="J82" s="1">
        <v>0</v>
      </c>
      <c r="L82" s="1" t="s">
        <v>79</v>
      </c>
      <c r="M82" s="1" t="s">
        <v>47</v>
      </c>
      <c r="N82" s="1" t="s">
        <v>231</v>
      </c>
      <c r="O82" s="1" t="s">
        <v>207</v>
      </c>
      <c r="P82" s="2">
        <v>46178</v>
      </c>
      <c r="Q82" s="1" t="s">
        <v>38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25">
      <c r="A83" s="1">
        <v>82</v>
      </c>
      <c r="B83" s="1" t="s">
        <v>257</v>
      </c>
      <c r="C83" s="1" t="s">
        <v>258</v>
      </c>
      <c r="D83" s="1" t="s">
        <v>67</v>
      </c>
      <c r="F83" s="1" t="s">
        <v>92</v>
      </c>
      <c r="G83" s="2">
        <v>46359</v>
      </c>
      <c r="H83" s="2">
        <v>46363</v>
      </c>
      <c r="I83" s="1">
        <v>77</v>
      </c>
      <c r="J83" s="1">
        <v>0</v>
      </c>
      <c r="L83" s="1" t="s">
        <v>79</v>
      </c>
      <c r="M83" s="1" t="s">
        <v>47</v>
      </c>
      <c r="N83" s="1" t="s">
        <v>231</v>
      </c>
      <c r="O83" s="1" t="s">
        <v>207</v>
      </c>
      <c r="P83" s="2">
        <v>46174</v>
      </c>
      <c r="Q83" s="1" t="s">
        <v>38</v>
      </c>
      <c r="R83" s="1">
        <v>83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25">
      <c r="A84" s="1">
        <v>83</v>
      </c>
      <c r="B84" s="1" t="s">
        <v>259</v>
      </c>
      <c r="C84" s="1" t="s">
        <v>258</v>
      </c>
      <c r="D84" s="1" t="s">
        <v>72</v>
      </c>
      <c r="F84" s="1" t="s">
        <v>73</v>
      </c>
      <c r="G84" s="2">
        <v>46364</v>
      </c>
      <c r="H84" s="2">
        <v>46364</v>
      </c>
      <c r="I84" s="1">
        <v>82</v>
      </c>
      <c r="J84" s="1">
        <v>0</v>
      </c>
      <c r="L84" s="1" t="s">
        <v>79</v>
      </c>
      <c r="M84" s="1" t="s">
        <v>47</v>
      </c>
      <c r="N84" s="1" t="s">
        <v>231</v>
      </c>
      <c r="O84" s="1" t="s">
        <v>211</v>
      </c>
      <c r="P84" s="2">
        <v>46175</v>
      </c>
      <c r="Q84" s="1" t="s">
        <v>38</v>
      </c>
      <c r="R84" s="1">
        <v>84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25">
      <c r="A85" s="1">
        <v>84</v>
      </c>
      <c r="B85" s="1" t="s">
        <v>260</v>
      </c>
      <c r="C85" s="1" t="s">
        <v>258</v>
      </c>
      <c r="D85" s="1" t="s">
        <v>77</v>
      </c>
      <c r="F85" s="1" t="s">
        <v>68</v>
      </c>
      <c r="G85" s="2">
        <v>46365</v>
      </c>
      <c r="H85" s="2">
        <v>46366</v>
      </c>
      <c r="I85" s="1">
        <v>83</v>
      </c>
      <c r="J85" s="1">
        <v>0</v>
      </c>
      <c r="L85" s="1" t="s">
        <v>79</v>
      </c>
      <c r="M85" s="1" t="s">
        <v>47</v>
      </c>
      <c r="N85" s="1" t="s">
        <v>231</v>
      </c>
      <c r="O85" s="1" t="s">
        <v>261</v>
      </c>
      <c r="P85" s="2">
        <v>46177</v>
      </c>
      <c r="Q85" s="1" t="s">
        <v>38</v>
      </c>
      <c r="R85" s="1">
        <v>85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25">
      <c r="A86" s="1">
        <v>85</v>
      </c>
      <c r="B86" s="1" t="s">
        <v>262</v>
      </c>
      <c r="C86" s="1" t="s">
        <v>258</v>
      </c>
      <c r="D86" s="1" t="s">
        <v>83</v>
      </c>
      <c r="F86" s="1" t="s">
        <v>73</v>
      </c>
      <c r="G86" s="2">
        <v>46367</v>
      </c>
      <c r="H86" s="2">
        <v>46367</v>
      </c>
      <c r="I86" s="1">
        <v>84</v>
      </c>
      <c r="J86" s="1">
        <v>0</v>
      </c>
      <c r="L86" s="1" t="s">
        <v>79</v>
      </c>
      <c r="M86" s="1" t="s">
        <v>47</v>
      </c>
      <c r="N86" s="1" t="s">
        <v>231</v>
      </c>
      <c r="O86" s="1" t="s">
        <v>263</v>
      </c>
      <c r="P86" s="2">
        <v>46178</v>
      </c>
      <c r="Q86" s="1" t="s">
        <v>38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25">
      <c r="A87" s="1">
        <v>86</v>
      </c>
      <c r="B87" s="1" t="s">
        <v>264</v>
      </c>
      <c r="C87" s="1" t="s">
        <v>233</v>
      </c>
      <c r="D87" s="1" t="s">
        <v>265</v>
      </c>
      <c r="E87" s="1" t="s">
        <v>266</v>
      </c>
      <c r="F87" s="1" t="s">
        <v>110</v>
      </c>
      <c r="G87" s="2">
        <v>46359</v>
      </c>
      <c r="H87" s="2">
        <v>46367</v>
      </c>
      <c r="J87" s="1">
        <v>0</v>
      </c>
      <c r="L87" s="1" t="s">
        <v>79</v>
      </c>
      <c r="M87" s="1" t="s">
        <v>47</v>
      </c>
      <c r="N87" s="1" t="s">
        <v>231</v>
      </c>
      <c r="O87" s="1" t="s">
        <v>211</v>
      </c>
      <c r="P87" s="2">
        <v>46183</v>
      </c>
      <c r="Q87" s="1" t="s">
        <v>38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25">
      <c r="A88" s="1">
        <v>87</v>
      </c>
      <c r="B88" s="1" t="s">
        <v>267</v>
      </c>
      <c r="C88" s="1" t="s">
        <v>268</v>
      </c>
      <c r="D88" s="1" t="s">
        <v>67</v>
      </c>
      <c r="F88" s="1" t="s">
        <v>92</v>
      </c>
      <c r="G88" s="2">
        <v>46359</v>
      </c>
      <c r="H88" s="2">
        <v>46363</v>
      </c>
      <c r="I88" s="1">
        <v>77</v>
      </c>
      <c r="J88" s="1">
        <v>0</v>
      </c>
      <c r="L88" s="1" t="s">
        <v>79</v>
      </c>
      <c r="M88" s="1" t="s">
        <v>47</v>
      </c>
      <c r="N88" s="1" t="s">
        <v>231</v>
      </c>
      <c r="O88" s="1" t="s">
        <v>211</v>
      </c>
      <c r="P88" s="2">
        <v>46177</v>
      </c>
      <c r="Q88" s="1" t="s">
        <v>38</v>
      </c>
      <c r="R88" s="1">
        <v>88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25">
      <c r="A89" s="1">
        <v>88</v>
      </c>
      <c r="B89" s="1" t="s">
        <v>269</v>
      </c>
      <c r="C89" s="1" t="s">
        <v>268</v>
      </c>
      <c r="D89" s="1" t="s">
        <v>72</v>
      </c>
      <c r="F89" s="1" t="s">
        <v>73</v>
      </c>
      <c r="G89" s="2">
        <v>46364</v>
      </c>
      <c r="H89" s="2">
        <v>46364</v>
      </c>
      <c r="I89" s="1">
        <v>87</v>
      </c>
      <c r="J89" s="1">
        <v>0</v>
      </c>
      <c r="L89" s="1" t="s">
        <v>79</v>
      </c>
      <c r="M89" s="1" t="s">
        <v>47</v>
      </c>
      <c r="N89" s="1" t="s">
        <v>231</v>
      </c>
      <c r="O89" s="1" t="s">
        <v>263</v>
      </c>
      <c r="P89" s="2">
        <v>46178</v>
      </c>
      <c r="Q89" s="1" t="s">
        <v>38</v>
      </c>
      <c r="R89" s="1">
        <v>89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25">
      <c r="A90" s="1">
        <v>89</v>
      </c>
      <c r="B90" s="1" t="s">
        <v>270</v>
      </c>
      <c r="C90" s="1" t="s">
        <v>268</v>
      </c>
      <c r="D90" s="1" t="s">
        <v>77</v>
      </c>
      <c r="F90" s="1" t="s">
        <v>68</v>
      </c>
      <c r="G90" s="2">
        <v>46365</v>
      </c>
      <c r="H90" s="2">
        <v>46366</v>
      </c>
      <c r="I90" s="1">
        <v>88</v>
      </c>
      <c r="J90" s="1">
        <v>0</v>
      </c>
      <c r="L90" s="1" t="s">
        <v>79</v>
      </c>
      <c r="M90" s="1" t="s">
        <v>47</v>
      </c>
      <c r="N90" s="1" t="s">
        <v>231</v>
      </c>
      <c r="O90" s="1" t="s">
        <v>271</v>
      </c>
      <c r="P90" s="2">
        <v>46182</v>
      </c>
      <c r="Q90" s="1" t="s">
        <v>38</v>
      </c>
      <c r="R90" s="1">
        <v>90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25">
      <c r="A91" s="1">
        <v>90</v>
      </c>
      <c r="B91" s="1" t="s">
        <v>272</v>
      </c>
      <c r="C91" s="1" t="s">
        <v>268</v>
      </c>
      <c r="D91" s="1" t="s">
        <v>83</v>
      </c>
      <c r="F91" s="1" t="s">
        <v>73</v>
      </c>
      <c r="G91" s="2">
        <v>46367</v>
      </c>
      <c r="H91" s="2">
        <v>46367</v>
      </c>
      <c r="I91" s="1">
        <v>89</v>
      </c>
      <c r="J91" s="1">
        <v>0</v>
      </c>
      <c r="L91" s="1" t="s">
        <v>79</v>
      </c>
      <c r="M91" s="1" t="s">
        <v>47</v>
      </c>
      <c r="N91" s="1" t="s">
        <v>231</v>
      </c>
      <c r="O91" s="1" t="s">
        <v>273</v>
      </c>
      <c r="P91" s="2">
        <v>46183</v>
      </c>
      <c r="Q91" s="1" t="s">
        <v>38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25">
      <c r="A92" s="1">
        <v>91</v>
      </c>
      <c r="B92" s="1" t="s">
        <v>274</v>
      </c>
      <c r="C92" s="1" t="s">
        <v>233</v>
      </c>
      <c r="D92" s="1" t="s">
        <v>275</v>
      </c>
      <c r="E92" s="1" t="s">
        <v>214</v>
      </c>
      <c r="F92" s="1" t="s">
        <v>110</v>
      </c>
      <c r="G92" s="2">
        <v>46359</v>
      </c>
      <c r="H92" s="2">
        <v>46367</v>
      </c>
      <c r="J92" s="1">
        <v>0</v>
      </c>
      <c r="L92" s="1" t="s">
        <v>79</v>
      </c>
      <c r="M92" s="1" t="s">
        <v>47</v>
      </c>
      <c r="N92" s="1" t="s">
        <v>231</v>
      </c>
      <c r="O92" s="1" t="s">
        <v>211</v>
      </c>
      <c r="P92" s="2">
        <v>46183</v>
      </c>
      <c r="Q92" s="1" t="s">
        <v>38</v>
      </c>
      <c r="S92" s="1" t="s">
        <v>215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25">
      <c r="A93" s="1">
        <v>92</v>
      </c>
      <c r="B93" s="1" t="s">
        <v>276</v>
      </c>
      <c r="C93" s="1" t="s">
        <v>277</v>
      </c>
      <c r="D93" s="1" t="s">
        <v>67</v>
      </c>
      <c r="F93" s="1" t="s">
        <v>92</v>
      </c>
      <c r="G93" s="2">
        <v>46359</v>
      </c>
      <c r="H93" s="2">
        <v>46363</v>
      </c>
      <c r="I93" s="1">
        <v>77</v>
      </c>
      <c r="J93" s="1">
        <v>0</v>
      </c>
      <c r="L93" s="1" t="s">
        <v>79</v>
      </c>
      <c r="M93" s="1" t="s">
        <v>47</v>
      </c>
      <c r="N93" s="1" t="s">
        <v>231</v>
      </c>
      <c r="O93" s="1" t="s">
        <v>211</v>
      </c>
      <c r="P93" s="2">
        <v>46177</v>
      </c>
      <c r="Q93" s="1" t="s">
        <v>38</v>
      </c>
      <c r="R93" s="1">
        <v>93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25">
      <c r="A94" s="1">
        <v>93</v>
      </c>
      <c r="B94" s="1" t="s">
        <v>278</v>
      </c>
      <c r="C94" s="1" t="s">
        <v>277</v>
      </c>
      <c r="D94" s="1" t="s">
        <v>72</v>
      </c>
      <c r="F94" s="1" t="s">
        <v>73</v>
      </c>
      <c r="G94" s="2">
        <v>46364</v>
      </c>
      <c r="H94" s="2">
        <v>46364</v>
      </c>
      <c r="I94" s="1">
        <v>92</v>
      </c>
      <c r="J94" s="1">
        <v>0</v>
      </c>
      <c r="L94" s="1" t="s">
        <v>79</v>
      </c>
      <c r="M94" s="1" t="s">
        <v>47</v>
      </c>
      <c r="N94" s="1" t="s">
        <v>231</v>
      </c>
      <c r="O94" s="1" t="s">
        <v>263</v>
      </c>
      <c r="P94" s="2">
        <v>46178</v>
      </c>
      <c r="Q94" s="1" t="s">
        <v>38</v>
      </c>
      <c r="R94" s="1">
        <v>94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25">
      <c r="A95" s="1">
        <v>94</v>
      </c>
      <c r="B95" s="1" t="s">
        <v>279</v>
      </c>
      <c r="C95" s="1" t="s">
        <v>277</v>
      </c>
      <c r="D95" s="1" t="s">
        <v>77</v>
      </c>
      <c r="F95" s="1" t="s">
        <v>68</v>
      </c>
      <c r="G95" s="2">
        <v>46365</v>
      </c>
      <c r="H95" s="2">
        <v>46366</v>
      </c>
      <c r="I95" s="1">
        <v>93</v>
      </c>
      <c r="J95" s="1">
        <v>0</v>
      </c>
      <c r="L95" s="1" t="s">
        <v>79</v>
      </c>
      <c r="M95" s="1" t="s">
        <v>47</v>
      </c>
      <c r="N95" s="1" t="s">
        <v>231</v>
      </c>
      <c r="O95" s="1" t="s">
        <v>271</v>
      </c>
      <c r="P95" s="2">
        <v>46182</v>
      </c>
      <c r="Q95" s="1" t="s">
        <v>38</v>
      </c>
      <c r="R95" s="1">
        <v>95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25">
      <c r="A96" s="1">
        <v>95</v>
      </c>
      <c r="B96" s="1" t="s">
        <v>280</v>
      </c>
      <c r="C96" s="1" t="s">
        <v>277</v>
      </c>
      <c r="D96" s="1" t="s">
        <v>83</v>
      </c>
      <c r="F96" s="1" t="s">
        <v>73</v>
      </c>
      <c r="G96" s="2">
        <v>46367</v>
      </c>
      <c r="H96" s="2">
        <v>46367</v>
      </c>
      <c r="I96" s="1">
        <v>94</v>
      </c>
      <c r="J96" s="1">
        <v>0</v>
      </c>
      <c r="L96" s="1" t="s">
        <v>79</v>
      </c>
      <c r="M96" s="1" t="s">
        <v>47</v>
      </c>
      <c r="N96" s="1" t="s">
        <v>231</v>
      </c>
      <c r="O96" s="1" t="s">
        <v>273</v>
      </c>
      <c r="P96" s="2">
        <v>46183</v>
      </c>
      <c r="Q96" s="1" t="s">
        <v>38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25">
      <c r="A97" s="1">
        <v>96</v>
      </c>
      <c r="B97" s="1" t="s">
        <v>281</v>
      </c>
      <c r="C97" s="1" t="s">
        <v>43</v>
      </c>
      <c r="D97" s="1" t="s">
        <v>282</v>
      </c>
      <c r="F97" s="1" t="s">
        <v>283</v>
      </c>
      <c r="G97" s="2">
        <v>46183</v>
      </c>
      <c r="H97" s="2">
        <v>46364</v>
      </c>
      <c r="J97" s="1">
        <v>7.0000000000000007E-2</v>
      </c>
      <c r="L97" s="1" t="s">
        <v>34</v>
      </c>
      <c r="M97" s="1" t="s">
        <v>47</v>
      </c>
      <c r="N97" s="1" t="s">
        <v>284</v>
      </c>
      <c r="O97" s="1" t="s">
        <v>285</v>
      </c>
      <c r="P97" s="2">
        <v>46211</v>
      </c>
      <c r="Q97" s="1" t="s">
        <v>38</v>
      </c>
      <c r="U97" s="1">
        <v>7.0000000000000007E-2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25">
      <c r="A98" s="1">
        <v>97</v>
      </c>
      <c r="B98" s="1" t="s">
        <v>286</v>
      </c>
      <c r="C98" s="1" t="s">
        <v>287</v>
      </c>
      <c r="D98" s="1" t="s">
        <v>288</v>
      </c>
      <c r="E98" s="1" t="s">
        <v>140</v>
      </c>
      <c r="F98" s="1" t="s">
        <v>110</v>
      </c>
      <c r="G98" s="2">
        <v>46183</v>
      </c>
      <c r="H98" s="2">
        <v>46191</v>
      </c>
      <c r="J98" s="1">
        <v>0.21</v>
      </c>
      <c r="L98" s="1" t="s">
        <v>34</v>
      </c>
      <c r="M98" s="1" t="s">
        <v>47</v>
      </c>
      <c r="N98" s="1" t="s">
        <v>284</v>
      </c>
      <c r="O98" s="1" t="s">
        <v>142</v>
      </c>
      <c r="P98" s="2">
        <v>46192</v>
      </c>
      <c r="Q98" s="1" t="s">
        <v>38</v>
      </c>
      <c r="U98" s="1">
        <v>0.21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25">
      <c r="A99" s="1">
        <v>98</v>
      </c>
      <c r="B99" s="1" t="s">
        <v>289</v>
      </c>
      <c r="C99" s="1" t="s">
        <v>290</v>
      </c>
      <c r="D99" s="1" t="s">
        <v>67</v>
      </c>
      <c r="F99" s="1" t="s">
        <v>92</v>
      </c>
      <c r="G99" s="2">
        <v>46183</v>
      </c>
      <c r="H99" s="2">
        <v>46185</v>
      </c>
      <c r="I99" s="1" t="s">
        <v>195</v>
      </c>
      <c r="J99" s="1">
        <v>0.5</v>
      </c>
      <c r="L99" s="1" t="s">
        <v>34</v>
      </c>
      <c r="M99" s="1" t="s">
        <v>47</v>
      </c>
      <c r="N99" s="1" t="s">
        <v>284</v>
      </c>
      <c r="O99" s="1" t="s">
        <v>142</v>
      </c>
      <c r="P99" s="2">
        <v>46188</v>
      </c>
      <c r="Q99" s="1" t="s">
        <v>38</v>
      </c>
      <c r="R99" s="1" t="s">
        <v>291</v>
      </c>
      <c r="U99" s="1">
        <v>0.5</v>
      </c>
      <c r="V99" s="1">
        <v>1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25">
      <c r="A100" s="1">
        <v>99</v>
      </c>
      <c r="B100" s="1" t="s">
        <v>292</v>
      </c>
      <c r="C100" s="1" t="s">
        <v>290</v>
      </c>
      <c r="D100" s="1" t="s">
        <v>72</v>
      </c>
      <c r="F100" s="1" t="s">
        <v>73</v>
      </c>
      <c r="G100" s="2">
        <v>46188</v>
      </c>
      <c r="H100" s="2">
        <v>46188</v>
      </c>
      <c r="I100" s="1">
        <v>98</v>
      </c>
      <c r="J100" s="1">
        <v>0</v>
      </c>
      <c r="L100" s="1" t="s">
        <v>34</v>
      </c>
      <c r="M100" s="1" t="s">
        <v>47</v>
      </c>
      <c r="N100" s="1" t="s">
        <v>284</v>
      </c>
      <c r="O100" s="1" t="s">
        <v>132</v>
      </c>
      <c r="P100" s="2">
        <v>46189</v>
      </c>
      <c r="Q100" s="1" t="s">
        <v>38</v>
      </c>
      <c r="R100" s="1">
        <v>100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25">
      <c r="A101" s="1">
        <v>100</v>
      </c>
      <c r="B101" s="1" t="s">
        <v>293</v>
      </c>
      <c r="C101" s="1" t="s">
        <v>290</v>
      </c>
      <c r="D101" s="1" t="s">
        <v>77</v>
      </c>
      <c r="F101" s="1" t="s">
        <v>68</v>
      </c>
      <c r="G101" s="2">
        <v>46189</v>
      </c>
      <c r="H101" s="2">
        <v>46190</v>
      </c>
      <c r="I101" s="1">
        <v>99</v>
      </c>
      <c r="J101" s="1">
        <v>0</v>
      </c>
      <c r="L101" s="1" t="s">
        <v>34</v>
      </c>
      <c r="M101" s="1" t="s">
        <v>47</v>
      </c>
      <c r="N101" s="1" t="s">
        <v>284</v>
      </c>
      <c r="O101" s="1" t="s">
        <v>150</v>
      </c>
      <c r="P101" s="2">
        <v>46191</v>
      </c>
      <c r="Q101" s="1" t="s">
        <v>38</v>
      </c>
      <c r="R101" s="1">
        <v>101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1</v>
      </c>
      <c r="AD101" s="1">
        <v>0</v>
      </c>
      <c r="AE101" s="1">
        <v>0</v>
      </c>
      <c r="AF101" s="1">
        <v>0</v>
      </c>
    </row>
    <row r="102" spans="1:32" x14ac:dyDescent="0.25">
      <c r="A102" s="1">
        <v>101</v>
      </c>
      <c r="B102" s="1" t="s">
        <v>294</v>
      </c>
      <c r="C102" s="1" t="s">
        <v>290</v>
      </c>
      <c r="D102" s="1" t="s">
        <v>83</v>
      </c>
      <c r="F102" s="1" t="s">
        <v>73</v>
      </c>
      <c r="G102" s="2">
        <v>46191</v>
      </c>
      <c r="H102" s="2">
        <v>46191</v>
      </c>
      <c r="I102" s="1">
        <v>100</v>
      </c>
      <c r="J102" s="1">
        <v>0</v>
      </c>
      <c r="L102" s="1" t="s">
        <v>34</v>
      </c>
      <c r="M102" s="1" t="s">
        <v>47</v>
      </c>
      <c r="N102" s="1" t="s">
        <v>284</v>
      </c>
      <c r="O102" s="1" t="s">
        <v>152</v>
      </c>
      <c r="P102" s="2">
        <v>46192</v>
      </c>
      <c r="Q102" s="1" t="s">
        <v>38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</row>
    <row r="103" spans="1:32" x14ac:dyDescent="0.25">
      <c r="A103" s="1">
        <v>102</v>
      </c>
      <c r="B103" s="1" t="s">
        <v>295</v>
      </c>
      <c r="C103" s="1" t="s">
        <v>287</v>
      </c>
      <c r="D103" s="1" t="s">
        <v>296</v>
      </c>
      <c r="E103" s="1" t="s">
        <v>155</v>
      </c>
      <c r="F103" s="1" t="s">
        <v>110</v>
      </c>
      <c r="G103" s="2">
        <v>46356</v>
      </c>
      <c r="H103" s="2">
        <v>46364</v>
      </c>
      <c r="J103" s="1">
        <v>0</v>
      </c>
      <c r="L103" s="1" t="s">
        <v>79</v>
      </c>
      <c r="M103" s="1" t="s">
        <v>47</v>
      </c>
      <c r="N103" s="1" t="s">
        <v>284</v>
      </c>
      <c r="O103" s="1" t="s">
        <v>150</v>
      </c>
      <c r="P103" s="2">
        <v>46198</v>
      </c>
      <c r="Q103" s="1" t="s">
        <v>38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 spans="1:32" x14ac:dyDescent="0.25">
      <c r="A104" s="1">
        <v>103</v>
      </c>
      <c r="B104" s="1" t="s">
        <v>297</v>
      </c>
      <c r="C104" s="1" t="s">
        <v>298</v>
      </c>
      <c r="D104" s="1" t="s">
        <v>67</v>
      </c>
      <c r="F104" s="1" t="s">
        <v>92</v>
      </c>
      <c r="G104" s="2">
        <v>46356</v>
      </c>
      <c r="H104" s="2">
        <v>46358</v>
      </c>
      <c r="I104" s="1" t="s">
        <v>299</v>
      </c>
      <c r="J104" s="1">
        <v>0</v>
      </c>
      <c r="L104" s="1" t="s">
        <v>79</v>
      </c>
      <c r="M104" s="1" t="s">
        <v>47</v>
      </c>
      <c r="N104" s="1" t="s">
        <v>284</v>
      </c>
      <c r="O104" s="1" t="s">
        <v>150</v>
      </c>
      <c r="P104" s="2">
        <v>46192</v>
      </c>
      <c r="Q104" s="1" t="s">
        <v>38</v>
      </c>
      <c r="R104" s="1">
        <v>104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25">
      <c r="A105" s="1">
        <v>104</v>
      </c>
      <c r="B105" s="1" t="s">
        <v>300</v>
      </c>
      <c r="C105" s="1" t="s">
        <v>298</v>
      </c>
      <c r="D105" s="1" t="s">
        <v>72</v>
      </c>
      <c r="F105" s="1" t="s">
        <v>73</v>
      </c>
      <c r="G105" s="2">
        <v>46359</v>
      </c>
      <c r="H105" s="2">
        <v>46359</v>
      </c>
      <c r="I105" s="1">
        <v>103</v>
      </c>
      <c r="J105" s="1">
        <v>0</v>
      </c>
      <c r="L105" s="1" t="s">
        <v>79</v>
      </c>
      <c r="M105" s="1" t="s">
        <v>47</v>
      </c>
      <c r="N105" s="1" t="s">
        <v>284</v>
      </c>
      <c r="O105" s="1" t="s">
        <v>160</v>
      </c>
      <c r="P105" s="2">
        <v>46195</v>
      </c>
      <c r="Q105" s="1" t="s">
        <v>38</v>
      </c>
      <c r="R105" s="1">
        <v>105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25">
      <c r="A106" s="1">
        <v>105</v>
      </c>
      <c r="B106" s="1" t="s">
        <v>301</v>
      </c>
      <c r="C106" s="1" t="s">
        <v>298</v>
      </c>
      <c r="D106" s="1" t="s">
        <v>77</v>
      </c>
      <c r="F106" s="1" t="s">
        <v>68</v>
      </c>
      <c r="G106" s="2">
        <v>46360</v>
      </c>
      <c r="H106" s="2">
        <v>46363</v>
      </c>
      <c r="I106" s="1">
        <v>104</v>
      </c>
      <c r="J106" s="1">
        <v>0</v>
      </c>
      <c r="L106" s="1" t="s">
        <v>79</v>
      </c>
      <c r="M106" s="1" t="s">
        <v>47</v>
      </c>
      <c r="N106" s="1" t="s">
        <v>284</v>
      </c>
      <c r="O106" s="1" t="s">
        <v>162</v>
      </c>
      <c r="P106" s="2">
        <v>46197</v>
      </c>
      <c r="Q106" s="1" t="s">
        <v>38</v>
      </c>
      <c r="R106" s="1">
        <v>106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25">
      <c r="A107" s="1">
        <v>106</v>
      </c>
      <c r="B107" s="1" t="s">
        <v>302</v>
      </c>
      <c r="C107" s="1" t="s">
        <v>298</v>
      </c>
      <c r="D107" s="1" t="s">
        <v>83</v>
      </c>
      <c r="F107" s="1" t="s">
        <v>73</v>
      </c>
      <c r="G107" s="2">
        <v>46364</v>
      </c>
      <c r="H107" s="2">
        <v>46364</v>
      </c>
      <c r="I107" s="1">
        <v>105</v>
      </c>
      <c r="J107" s="1">
        <v>0</v>
      </c>
      <c r="L107" s="1" t="s">
        <v>79</v>
      </c>
      <c r="M107" s="1" t="s">
        <v>47</v>
      </c>
      <c r="N107" s="1" t="s">
        <v>284</v>
      </c>
      <c r="O107" s="1" t="s">
        <v>164</v>
      </c>
      <c r="P107" s="2">
        <v>46198</v>
      </c>
      <c r="Q107" s="1" t="s">
        <v>38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25">
      <c r="A108" s="1">
        <v>107</v>
      </c>
      <c r="B108" s="1" t="s">
        <v>303</v>
      </c>
      <c r="C108" s="1" t="s">
        <v>287</v>
      </c>
      <c r="D108" s="1" t="s">
        <v>304</v>
      </c>
      <c r="E108" s="1" t="s">
        <v>214</v>
      </c>
      <c r="F108" s="1" t="s">
        <v>110</v>
      </c>
      <c r="G108" s="2">
        <v>46356</v>
      </c>
      <c r="H108" s="2">
        <v>46364</v>
      </c>
      <c r="J108" s="1">
        <v>0</v>
      </c>
      <c r="L108" s="1" t="s">
        <v>79</v>
      </c>
      <c r="M108" s="1" t="s">
        <v>47</v>
      </c>
      <c r="N108" s="1" t="s">
        <v>284</v>
      </c>
      <c r="O108" s="1" t="s">
        <v>150</v>
      </c>
      <c r="P108" s="2">
        <v>46198</v>
      </c>
      <c r="Q108" s="1" t="s">
        <v>38</v>
      </c>
      <c r="S108" s="1" t="s">
        <v>215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25">
      <c r="A109" s="1">
        <v>108</v>
      </c>
      <c r="B109" s="1" t="s">
        <v>305</v>
      </c>
      <c r="C109" s="1" t="s">
        <v>306</v>
      </c>
      <c r="D109" s="1" t="s">
        <v>67</v>
      </c>
      <c r="F109" s="1" t="s">
        <v>92</v>
      </c>
      <c r="G109" s="2">
        <v>46356</v>
      </c>
      <c r="H109" s="2">
        <v>46358</v>
      </c>
      <c r="I109" s="1" t="s">
        <v>299</v>
      </c>
      <c r="J109" s="1">
        <v>0</v>
      </c>
      <c r="L109" s="1" t="s">
        <v>79</v>
      </c>
      <c r="M109" s="1" t="s">
        <v>47</v>
      </c>
      <c r="N109" s="1" t="s">
        <v>284</v>
      </c>
      <c r="O109" s="1" t="s">
        <v>150</v>
      </c>
      <c r="P109" s="2">
        <v>46192</v>
      </c>
      <c r="Q109" s="1" t="s">
        <v>38</v>
      </c>
      <c r="R109" s="1">
        <v>109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25">
      <c r="A110" s="1">
        <v>109</v>
      </c>
      <c r="B110" s="1" t="s">
        <v>307</v>
      </c>
      <c r="C110" s="1" t="s">
        <v>306</v>
      </c>
      <c r="D110" s="1" t="s">
        <v>72</v>
      </c>
      <c r="F110" s="1" t="s">
        <v>73</v>
      </c>
      <c r="G110" s="2">
        <v>46359</v>
      </c>
      <c r="H110" s="2">
        <v>46359</v>
      </c>
      <c r="I110" s="1">
        <v>108</v>
      </c>
      <c r="J110" s="1">
        <v>0</v>
      </c>
      <c r="L110" s="1" t="s">
        <v>79</v>
      </c>
      <c r="M110" s="1" t="s">
        <v>47</v>
      </c>
      <c r="N110" s="1" t="s">
        <v>284</v>
      </c>
      <c r="O110" s="1" t="s">
        <v>160</v>
      </c>
      <c r="P110" s="2">
        <v>46195</v>
      </c>
      <c r="Q110" s="1" t="s">
        <v>38</v>
      </c>
      <c r="R110" s="1">
        <v>110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25">
      <c r="A111" s="1">
        <v>110</v>
      </c>
      <c r="B111" s="1" t="s">
        <v>308</v>
      </c>
      <c r="C111" s="1" t="s">
        <v>306</v>
      </c>
      <c r="D111" s="1" t="s">
        <v>77</v>
      </c>
      <c r="F111" s="1" t="s">
        <v>68</v>
      </c>
      <c r="G111" s="2">
        <v>46360</v>
      </c>
      <c r="H111" s="2">
        <v>46363</v>
      </c>
      <c r="I111" s="1">
        <v>109</v>
      </c>
      <c r="J111" s="1">
        <v>0</v>
      </c>
      <c r="L111" s="1" t="s">
        <v>79</v>
      </c>
      <c r="M111" s="1" t="s">
        <v>47</v>
      </c>
      <c r="N111" s="1" t="s">
        <v>284</v>
      </c>
      <c r="O111" s="1" t="s">
        <v>162</v>
      </c>
      <c r="P111" s="2">
        <v>46197</v>
      </c>
      <c r="Q111" s="1" t="s">
        <v>38</v>
      </c>
      <c r="R111" s="1">
        <v>111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25">
      <c r="A112" s="1">
        <v>111</v>
      </c>
      <c r="B112" s="1" t="s">
        <v>309</v>
      </c>
      <c r="C112" s="1" t="s">
        <v>306</v>
      </c>
      <c r="D112" s="1" t="s">
        <v>83</v>
      </c>
      <c r="F112" s="1" t="s">
        <v>73</v>
      </c>
      <c r="G112" s="2">
        <v>46364</v>
      </c>
      <c r="H112" s="2">
        <v>46364</v>
      </c>
      <c r="I112" s="1">
        <v>110</v>
      </c>
      <c r="J112" s="1">
        <v>0</v>
      </c>
      <c r="L112" s="1" t="s">
        <v>79</v>
      </c>
      <c r="M112" s="1" t="s">
        <v>47</v>
      </c>
      <c r="N112" s="1" t="s">
        <v>284</v>
      </c>
      <c r="O112" s="1" t="s">
        <v>164</v>
      </c>
      <c r="P112" s="2">
        <v>46198</v>
      </c>
      <c r="Q112" s="1" t="s">
        <v>38</v>
      </c>
      <c r="U112" s="1">
        <v>0</v>
      </c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25">
      <c r="A113" s="1">
        <v>112</v>
      </c>
      <c r="B113" s="1" t="s">
        <v>310</v>
      </c>
      <c r="C113" s="1" t="s">
        <v>43</v>
      </c>
      <c r="D113" s="1" t="s">
        <v>311</v>
      </c>
      <c r="F113" s="1" t="s">
        <v>312</v>
      </c>
      <c r="G113" s="2">
        <v>46181</v>
      </c>
      <c r="H113" s="2">
        <v>46374</v>
      </c>
      <c r="J113" s="1">
        <v>0.25</v>
      </c>
      <c r="L113" s="1" t="s">
        <v>34</v>
      </c>
      <c r="M113" s="1" t="s">
        <v>47</v>
      </c>
      <c r="N113" s="1" t="s">
        <v>313</v>
      </c>
      <c r="O113" s="1" t="s">
        <v>175</v>
      </c>
      <c r="P113" s="2">
        <v>46211</v>
      </c>
      <c r="Q113" s="1" t="s">
        <v>38</v>
      </c>
      <c r="U113" s="1">
        <v>0.25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25">
      <c r="A114" s="1">
        <v>113</v>
      </c>
      <c r="B114" s="1" t="s">
        <v>314</v>
      </c>
      <c r="C114" s="1" t="s">
        <v>315</v>
      </c>
      <c r="D114" s="1" t="s">
        <v>316</v>
      </c>
      <c r="E114" s="1" t="s">
        <v>140</v>
      </c>
      <c r="F114" s="1" t="s">
        <v>141</v>
      </c>
      <c r="G114" s="2">
        <v>46181</v>
      </c>
      <c r="H114" s="2">
        <v>46191</v>
      </c>
      <c r="J114" s="1">
        <v>0.8</v>
      </c>
      <c r="L114" s="1" t="s">
        <v>34</v>
      </c>
      <c r="M114" s="1" t="s">
        <v>47</v>
      </c>
      <c r="N114" s="1" t="s">
        <v>313</v>
      </c>
      <c r="O114" s="1" t="s">
        <v>142</v>
      </c>
      <c r="P114" s="2">
        <v>46192</v>
      </c>
      <c r="Q114" s="1" t="s">
        <v>38</v>
      </c>
      <c r="R114" s="1" t="s">
        <v>317</v>
      </c>
      <c r="U114" s="1">
        <v>0.8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25">
      <c r="A115" s="1">
        <v>114</v>
      </c>
      <c r="B115" s="1" t="s">
        <v>318</v>
      </c>
      <c r="C115" s="1" t="s">
        <v>319</v>
      </c>
      <c r="D115" s="1" t="s">
        <v>67</v>
      </c>
      <c r="F115" s="1" t="s">
        <v>192</v>
      </c>
      <c r="G115" s="2">
        <v>46181</v>
      </c>
      <c r="H115" s="2">
        <v>46188</v>
      </c>
      <c r="I115" s="1" t="s">
        <v>195</v>
      </c>
      <c r="J115" s="1">
        <v>1</v>
      </c>
      <c r="K115" s="2">
        <v>46188</v>
      </c>
      <c r="L115" s="1" t="s">
        <v>46</v>
      </c>
      <c r="M115" s="1" t="s">
        <v>47</v>
      </c>
      <c r="N115" s="1" t="s">
        <v>313</v>
      </c>
      <c r="O115" s="1" t="s">
        <v>142</v>
      </c>
      <c r="P115" s="2">
        <v>46188</v>
      </c>
      <c r="Q115" s="1" t="s">
        <v>38</v>
      </c>
      <c r="R115" s="1">
        <v>115</v>
      </c>
      <c r="U115" s="1">
        <v>1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</row>
    <row r="116" spans="1:32" x14ac:dyDescent="0.25">
      <c r="A116" s="1">
        <v>115</v>
      </c>
      <c r="B116" s="1" t="s">
        <v>320</v>
      </c>
      <c r="C116" s="1" t="s">
        <v>319</v>
      </c>
      <c r="D116" s="1" t="s">
        <v>72</v>
      </c>
      <c r="F116" s="1" t="s">
        <v>73</v>
      </c>
      <c r="G116" s="2">
        <v>46188</v>
      </c>
      <c r="H116" s="2">
        <v>46188</v>
      </c>
      <c r="I116" s="1">
        <v>114</v>
      </c>
      <c r="J116" s="1">
        <v>1</v>
      </c>
      <c r="K116" s="2">
        <v>46188</v>
      </c>
      <c r="L116" s="1" t="s">
        <v>46</v>
      </c>
      <c r="M116" s="1" t="s">
        <v>47</v>
      </c>
      <c r="N116" s="1" t="s">
        <v>313</v>
      </c>
      <c r="O116" s="1" t="s">
        <v>132</v>
      </c>
      <c r="P116" s="2">
        <v>46189</v>
      </c>
      <c r="Q116" s="1" t="s">
        <v>38</v>
      </c>
      <c r="R116" s="1">
        <v>116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25">
      <c r="A117" s="1">
        <v>116</v>
      </c>
      <c r="B117" s="1" t="s">
        <v>321</v>
      </c>
      <c r="C117" s="1" t="s">
        <v>319</v>
      </c>
      <c r="D117" s="1" t="s">
        <v>77</v>
      </c>
      <c r="F117" s="1" t="s">
        <v>68</v>
      </c>
      <c r="G117" s="2">
        <v>46189</v>
      </c>
      <c r="H117" s="2">
        <v>46190</v>
      </c>
      <c r="I117" s="1">
        <v>115</v>
      </c>
      <c r="J117" s="1">
        <v>0.5</v>
      </c>
      <c r="L117" s="1" t="s">
        <v>34</v>
      </c>
      <c r="M117" s="1" t="s">
        <v>47</v>
      </c>
      <c r="N117" s="1" t="s">
        <v>313</v>
      </c>
      <c r="O117" s="1" t="s">
        <v>150</v>
      </c>
      <c r="P117" s="2">
        <v>46191</v>
      </c>
      <c r="Q117" s="1" t="s">
        <v>38</v>
      </c>
      <c r="R117" s="1">
        <v>117</v>
      </c>
      <c r="U117" s="1">
        <v>0.5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</row>
    <row r="118" spans="1:32" x14ac:dyDescent="0.25">
      <c r="A118" s="1">
        <v>117</v>
      </c>
      <c r="B118" s="1" t="s">
        <v>322</v>
      </c>
      <c r="C118" s="1" t="s">
        <v>319</v>
      </c>
      <c r="D118" s="1" t="s">
        <v>83</v>
      </c>
      <c r="F118" s="1" t="s">
        <v>73</v>
      </c>
      <c r="G118" s="2">
        <v>46191</v>
      </c>
      <c r="H118" s="2">
        <v>46191</v>
      </c>
      <c r="I118" s="1">
        <v>116</v>
      </c>
      <c r="J118" s="1">
        <v>0</v>
      </c>
      <c r="L118" s="1" t="s">
        <v>34</v>
      </c>
      <c r="M118" s="1" t="s">
        <v>47</v>
      </c>
      <c r="N118" s="1" t="s">
        <v>313</v>
      </c>
      <c r="O118" s="1" t="s">
        <v>152</v>
      </c>
      <c r="P118" s="2">
        <v>46192</v>
      </c>
      <c r="Q118" s="1" t="s">
        <v>38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>
        <v>0</v>
      </c>
    </row>
    <row r="119" spans="1:32" x14ac:dyDescent="0.25">
      <c r="A119" s="1">
        <v>118</v>
      </c>
      <c r="B119" s="1" t="s">
        <v>323</v>
      </c>
      <c r="C119" s="1" t="s">
        <v>315</v>
      </c>
      <c r="D119" s="1" t="s">
        <v>324</v>
      </c>
      <c r="E119" s="1" t="s">
        <v>155</v>
      </c>
      <c r="F119" s="1" t="s">
        <v>325</v>
      </c>
      <c r="G119" s="2">
        <v>46360</v>
      </c>
      <c r="H119" s="2">
        <v>46374</v>
      </c>
      <c r="J119" s="1">
        <v>0</v>
      </c>
      <c r="L119" s="1" t="s">
        <v>79</v>
      </c>
      <c r="M119" s="1" t="s">
        <v>47</v>
      </c>
      <c r="N119" s="1" t="s">
        <v>313</v>
      </c>
      <c r="O119" s="1" t="s">
        <v>285</v>
      </c>
      <c r="P119" s="2">
        <v>46202</v>
      </c>
      <c r="Q119" s="1" t="s">
        <v>38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25">
      <c r="A120" s="1">
        <v>119</v>
      </c>
      <c r="B120" s="1" t="s">
        <v>326</v>
      </c>
      <c r="C120" s="1" t="s">
        <v>327</v>
      </c>
      <c r="D120" s="1" t="s">
        <v>67</v>
      </c>
      <c r="F120" s="1" t="s">
        <v>110</v>
      </c>
      <c r="G120" s="2">
        <v>46360</v>
      </c>
      <c r="H120" s="2">
        <v>46370</v>
      </c>
      <c r="I120" s="1" t="s">
        <v>328</v>
      </c>
      <c r="J120" s="1">
        <v>0</v>
      </c>
      <c r="L120" s="1" t="s">
        <v>79</v>
      </c>
      <c r="M120" s="1" t="s">
        <v>47</v>
      </c>
      <c r="N120" s="1" t="s">
        <v>313</v>
      </c>
      <c r="O120" s="1" t="s">
        <v>285</v>
      </c>
      <c r="P120" s="2">
        <v>46196</v>
      </c>
      <c r="Q120" s="1" t="s">
        <v>38</v>
      </c>
      <c r="R120" s="1">
        <v>120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25">
      <c r="A121" s="1">
        <v>120</v>
      </c>
      <c r="B121" s="1" t="s">
        <v>329</v>
      </c>
      <c r="C121" s="1" t="s">
        <v>327</v>
      </c>
      <c r="D121" s="1" t="s">
        <v>72</v>
      </c>
      <c r="F121" s="1" t="s">
        <v>73</v>
      </c>
      <c r="G121" s="2">
        <v>46371</v>
      </c>
      <c r="H121" s="2">
        <v>46371</v>
      </c>
      <c r="I121" s="1">
        <v>119</v>
      </c>
      <c r="J121" s="1">
        <v>0</v>
      </c>
      <c r="L121" s="1" t="s">
        <v>79</v>
      </c>
      <c r="M121" s="1" t="s">
        <v>47</v>
      </c>
      <c r="N121" s="1" t="s">
        <v>313</v>
      </c>
      <c r="O121" s="1" t="s">
        <v>251</v>
      </c>
      <c r="P121" s="2">
        <v>46197</v>
      </c>
      <c r="Q121" s="1" t="s">
        <v>38</v>
      </c>
      <c r="R121" s="1">
        <v>121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25">
      <c r="A122" s="1">
        <v>121</v>
      </c>
      <c r="B122" s="1" t="s">
        <v>330</v>
      </c>
      <c r="C122" s="1" t="s">
        <v>327</v>
      </c>
      <c r="D122" s="1" t="s">
        <v>77</v>
      </c>
      <c r="F122" s="1" t="s">
        <v>68</v>
      </c>
      <c r="G122" s="2">
        <v>46372</v>
      </c>
      <c r="H122" s="2">
        <v>46373</v>
      </c>
      <c r="I122" s="1">
        <v>120</v>
      </c>
      <c r="J122" s="1">
        <v>0</v>
      </c>
      <c r="L122" s="1" t="s">
        <v>79</v>
      </c>
      <c r="M122" s="1" t="s">
        <v>47</v>
      </c>
      <c r="N122" s="1" t="s">
        <v>313</v>
      </c>
      <c r="O122" s="1" t="s">
        <v>164</v>
      </c>
      <c r="P122" s="2">
        <v>46199</v>
      </c>
      <c r="Q122" s="1" t="s">
        <v>38</v>
      </c>
      <c r="R122" s="1">
        <v>122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25">
      <c r="A123" s="1">
        <v>122</v>
      </c>
      <c r="B123" s="1" t="s">
        <v>331</v>
      </c>
      <c r="C123" s="1" t="s">
        <v>327</v>
      </c>
      <c r="D123" s="1" t="s">
        <v>83</v>
      </c>
      <c r="F123" s="1" t="s">
        <v>73</v>
      </c>
      <c r="G123" s="2">
        <v>46374</v>
      </c>
      <c r="H123" s="2">
        <v>46374</v>
      </c>
      <c r="I123" s="1">
        <v>121</v>
      </c>
      <c r="J123" s="1">
        <v>0</v>
      </c>
      <c r="L123" s="1" t="s">
        <v>79</v>
      </c>
      <c r="M123" s="1" t="s">
        <v>47</v>
      </c>
      <c r="N123" s="1" t="s">
        <v>313</v>
      </c>
      <c r="O123" s="1" t="s">
        <v>332</v>
      </c>
      <c r="P123" s="2">
        <v>46202</v>
      </c>
      <c r="Q123" s="1" t="s">
        <v>38</v>
      </c>
      <c r="U123" s="1">
        <v>0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25">
      <c r="A124" s="1">
        <v>123</v>
      </c>
      <c r="B124" s="1" t="s">
        <v>333</v>
      </c>
      <c r="C124" s="1" t="s">
        <v>315</v>
      </c>
      <c r="D124" s="1" t="s">
        <v>334</v>
      </c>
      <c r="E124" s="1" t="s">
        <v>214</v>
      </c>
      <c r="F124" s="1" t="s">
        <v>325</v>
      </c>
      <c r="G124" s="2">
        <v>46360</v>
      </c>
      <c r="H124" s="2">
        <v>46374</v>
      </c>
      <c r="J124" s="1">
        <v>0</v>
      </c>
      <c r="L124" s="1" t="s">
        <v>79</v>
      </c>
      <c r="M124" s="1" t="s">
        <v>47</v>
      </c>
      <c r="N124" s="1" t="s">
        <v>313</v>
      </c>
      <c r="O124" s="1" t="s">
        <v>285</v>
      </c>
      <c r="P124" s="2">
        <v>46202</v>
      </c>
      <c r="Q124" s="1" t="s">
        <v>38</v>
      </c>
      <c r="S124" s="1" t="s">
        <v>215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25">
      <c r="A125" s="1">
        <v>124</v>
      </c>
      <c r="B125" s="1" t="s">
        <v>335</v>
      </c>
      <c r="C125" s="1" t="s">
        <v>336</v>
      </c>
      <c r="D125" s="1" t="s">
        <v>67</v>
      </c>
      <c r="F125" s="1" t="s">
        <v>110</v>
      </c>
      <c r="G125" s="2">
        <v>46360</v>
      </c>
      <c r="H125" s="2">
        <v>46370</v>
      </c>
      <c r="I125" s="1" t="s">
        <v>328</v>
      </c>
      <c r="J125" s="1">
        <v>0</v>
      </c>
      <c r="L125" s="1" t="s">
        <v>79</v>
      </c>
      <c r="M125" s="1" t="s">
        <v>47</v>
      </c>
      <c r="N125" s="1" t="s">
        <v>313</v>
      </c>
      <c r="O125" s="1" t="s">
        <v>285</v>
      </c>
      <c r="P125" s="2">
        <v>46196</v>
      </c>
      <c r="Q125" s="1" t="s">
        <v>38</v>
      </c>
      <c r="R125" s="1">
        <v>125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25">
      <c r="A126" s="1">
        <v>125</v>
      </c>
      <c r="B126" s="1" t="s">
        <v>337</v>
      </c>
      <c r="C126" s="1" t="s">
        <v>336</v>
      </c>
      <c r="D126" s="1" t="s">
        <v>72</v>
      </c>
      <c r="F126" s="1" t="s">
        <v>73</v>
      </c>
      <c r="G126" s="2">
        <v>46371</v>
      </c>
      <c r="H126" s="2">
        <v>46371</v>
      </c>
      <c r="I126" s="1">
        <v>124</v>
      </c>
      <c r="J126" s="1">
        <v>0</v>
      </c>
      <c r="L126" s="1" t="s">
        <v>79</v>
      </c>
      <c r="M126" s="1" t="s">
        <v>47</v>
      </c>
      <c r="N126" s="1" t="s">
        <v>313</v>
      </c>
      <c r="O126" s="1" t="s">
        <v>251</v>
      </c>
      <c r="P126" s="2">
        <v>46197</v>
      </c>
      <c r="Q126" s="1" t="s">
        <v>38</v>
      </c>
      <c r="R126" s="1">
        <v>126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25">
      <c r="A127" s="1">
        <v>126</v>
      </c>
      <c r="B127" s="1" t="s">
        <v>338</v>
      </c>
      <c r="C127" s="1" t="s">
        <v>336</v>
      </c>
      <c r="D127" s="1" t="s">
        <v>77</v>
      </c>
      <c r="F127" s="1" t="s">
        <v>68</v>
      </c>
      <c r="G127" s="2">
        <v>46372</v>
      </c>
      <c r="H127" s="2">
        <v>46373</v>
      </c>
      <c r="I127" s="1">
        <v>125</v>
      </c>
      <c r="J127" s="1">
        <v>0</v>
      </c>
      <c r="L127" s="1" t="s">
        <v>79</v>
      </c>
      <c r="M127" s="1" t="s">
        <v>47</v>
      </c>
      <c r="N127" s="1" t="s">
        <v>313</v>
      </c>
      <c r="O127" s="1" t="s">
        <v>164</v>
      </c>
      <c r="P127" s="2">
        <v>46199</v>
      </c>
      <c r="Q127" s="1" t="s">
        <v>38</v>
      </c>
      <c r="R127" s="1">
        <v>127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25">
      <c r="A128" s="1">
        <v>127</v>
      </c>
      <c r="B128" s="1" t="s">
        <v>339</v>
      </c>
      <c r="C128" s="1" t="s">
        <v>336</v>
      </c>
      <c r="D128" s="1" t="s">
        <v>83</v>
      </c>
      <c r="F128" s="1" t="s">
        <v>73</v>
      </c>
      <c r="G128" s="2">
        <v>46374</v>
      </c>
      <c r="H128" s="2">
        <v>46374</v>
      </c>
      <c r="I128" s="1">
        <v>126</v>
      </c>
      <c r="J128" s="1">
        <v>0</v>
      </c>
      <c r="L128" s="1" t="s">
        <v>79</v>
      </c>
      <c r="M128" s="1" t="s">
        <v>47</v>
      </c>
      <c r="N128" s="1" t="s">
        <v>313</v>
      </c>
      <c r="O128" s="1" t="s">
        <v>332</v>
      </c>
      <c r="P128" s="2">
        <v>46202</v>
      </c>
      <c r="Q128" s="1" t="s">
        <v>38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25">
      <c r="A129" s="1">
        <v>128</v>
      </c>
      <c r="B129" s="1" t="s">
        <v>340</v>
      </c>
      <c r="C129" s="1" t="s">
        <v>43</v>
      </c>
      <c r="D129" s="1" t="s">
        <v>341</v>
      </c>
      <c r="F129" s="1" t="s">
        <v>342</v>
      </c>
      <c r="G129" s="2">
        <v>46170</v>
      </c>
      <c r="H129" s="2">
        <v>46349</v>
      </c>
      <c r="J129" s="1">
        <v>0.2</v>
      </c>
      <c r="L129" s="1" t="s">
        <v>34</v>
      </c>
      <c r="M129" s="1" t="s">
        <v>47</v>
      </c>
      <c r="N129" s="1" t="s">
        <v>343</v>
      </c>
      <c r="O129" s="1" t="s">
        <v>173</v>
      </c>
      <c r="P129" s="2">
        <v>46211</v>
      </c>
      <c r="Q129" s="1" t="s">
        <v>38</v>
      </c>
      <c r="U129" s="1">
        <v>0.2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25">
      <c r="A130" s="1">
        <v>129</v>
      </c>
      <c r="B130" s="1" t="s">
        <v>344</v>
      </c>
      <c r="C130" s="1" t="s">
        <v>345</v>
      </c>
      <c r="D130" s="1" t="s">
        <v>346</v>
      </c>
      <c r="E130" s="1" t="s">
        <v>140</v>
      </c>
      <c r="F130" s="1" t="s">
        <v>168</v>
      </c>
      <c r="G130" s="2">
        <v>46170</v>
      </c>
      <c r="H130" s="2">
        <v>46176</v>
      </c>
      <c r="J130" s="1">
        <v>0.5</v>
      </c>
      <c r="L130" s="1" t="s">
        <v>34</v>
      </c>
      <c r="M130" s="1" t="s">
        <v>47</v>
      </c>
      <c r="N130" s="1" t="s">
        <v>343</v>
      </c>
      <c r="O130" s="1" t="s">
        <v>142</v>
      </c>
      <c r="P130" s="2">
        <v>46192</v>
      </c>
      <c r="Q130" s="1" t="s">
        <v>38</v>
      </c>
      <c r="U130" s="1">
        <v>0.5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25">
      <c r="A131" s="1">
        <v>130</v>
      </c>
      <c r="B131" s="1" t="s">
        <v>347</v>
      </c>
      <c r="C131" s="1" t="s">
        <v>348</v>
      </c>
      <c r="D131" s="1" t="s">
        <v>67</v>
      </c>
      <c r="F131" s="1" t="s">
        <v>45</v>
      </c>
      <c r="G131" s="2">
        <v>46170</v>
      </c>
      <c r="H131" s="2">
        <v>46170</v>
      </c>
      <c r="I131" s="1" t="s">
        <v>195</v>
      </c>
      <c r="J131" s="1">
        <v>1</v>
      </c>
      <c r="K131" s="2">
        <v>46170</v>
      </c>
      <c r="L131" s="1" t="s">
        <v>46</v>
      </c>
      <c r="M131" s="1" t="s">
        <v>47</v>
      </c>
      <c r="N131" s="1" t="s">
        <v>343</v>
      </c>
      <c r="O131" s="1" t="s">
        <v>142</v>
      </c>
      <c r="P131" s="2">
        <v>46188</v>
      </c>
      <c r="Q131" s="1" t="s">
        <v>38</v>
      </c>
      <c r="R131" s="1" t="s">
        <v>349</v>
      </c>
      <c r="U131" s="1">
        <v>1</v>
      </c>
      <c r="V131" s="1">
        <v>1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</row>
    <row r="132" spans="1:32" x14ac:dyDescent="0.25">
      <c r="A132" s="1">
        <v>131</v>
      </c>
      <c r="B132" s="1" t="s">
        <v>350</v>
      </c>
      <c r="C132" s="1" t="s">
        <v>348</v>
      </c>
      <c r="D132" s="1" t="s">
        <v>72</v>
      </c>
      <c r="F132" s="1" t="s">
        <v>73</v>
      </c>
      <c r="G132" s="2">
        <v>46171</v>
      </c>
      <c r="H132" s="2">
        <v>46171</v>
      </c>
      <c r="I132" s="1">
        <v>130</v>
      </c>
      <c r="J132" s="1">
        <v>1</v>
      </c>
      <c r="K132" s="2">
        <v>46171</v>
      </c>
      <c r="L132" s="1" t="s">
        <v>46</v>
      </c>
      <c r="M132" s="1" t="s">
        <v>47</v>
      </c>
      <c r="N132" s="1" t="s">
        <v>343</v>
      </c>
      <c r="O132" s="1" t="s">
        <v>132</v>
      </c>
      <c r="P132" s="2">
        <v>46189</v>
      </c>
      <c r="Q132" s="1" t="s">
        <v>38</v>
      </c>
      <c r="R132" s="1">
        <v>132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25">
      <c r="A133" s="1">
        <v>132</v>
      </c>
      <c r="B133" s="1" t="s">
        <v>351</v>
      </c>
      <c r="C133" s="1" t="s">
        <v>348</v>
      </c>
      <c r="D133" s="1" t="s">
        <v>77</v>
      </c>
      <c r="F133" s="1" t="s">
        <v>68</v>
      </c>
      <c r="G133" s="2">
        <v>46174</v>
      </c>
      <c r="H133" s="2">
        <v>46175</v>
      </c>
      <c r="I133" s="1">
        <v>131</v>
      </c>
      <c r="J133" s="1">
        <v>0.5</v>
      </c>
      <c r="L133" s="1" t="s">
        <v>34</v>
      </c>
      <c r="M133" s="1" t="s">
        <v>47</v>
      </c>
      <c r="N133" s="1" t="s">
        <v>343</v>
      </c>
      <c r="O133" s="1" t="s">
        <v>150</v>
      </c>
      <c r="P133" s="2">
        <v>46191</v>
      </c>
      <c r="Q133" s="1" t="s">
        <v>38</v>
      </c>
      <c r="R133" s="1">
        <v>133</v>
      </c>
      <c r="U133" s="1">
        <v>0.5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</row>
    <row r="134" spans="1:32" x14ac:dyDescent="0.25">
      <c r="A134" s="1">
        <v>133</v>
      </c>
      <c r="B134" s="1" t="s">
        <v>352</v>
      </c>
      <c r="C134" s="1" t="s">
        <v>348</v>
      </c>
      <c r="D134" s="1" t="s">
        <v>83</v>
      </c>
      <c r="F134" s="1" t="s">
        <v>73</v>
      </c>
      <c r="G134" s="2">
        <v>46176</v>
      </c>
      <c r="H134" s="2">
        <v>46176</v>
      </c>
      <c r="I134" s="1">
        <v>132</v>
      </c>
      <c r="J134" s="1">
        <v>0</v>
      </c>
      <c r="L134" s="1" t="s">
        <v>34</v>
      </c>
      <c r="M134" s="1" t="s">
        <v>47</v>
      </c>
      <c r="N134" s="1" t="s">
        <v>343</v>
      </c>
      <c r="O134" s="1" t="s">
        <v>152</v>
      </c>
      <c r="P134" s="2">
        <v>46192</v>
      </c>
      <c r="Q134" s="1" t="s">
        <v>38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1</v>
      </c>
      <c r="AF134" s="1">
        <v>0</v>
      </c>
    </row>
    <row r="135" spans="1:32" x14ac:dyDescent="0.25">
      <c r="A135" s="1">
        <v>134</v>
      </c>
      <c r="B135" s="1" t="s">
        <v>353</v>
      </c>
      <c r="C135" s="1" t="s">
        <v>345</v>
      </c>
      <c r="D135" s="1" t="s">
        <v>354</v>
      </c>
      <c r="E135" s="1" t="s">
        <v>155</v>
      </c>
      <c r="F135" s="1" t="s">
        <v>110</v>
      </c>
      <c r="G135" s="2">
        <v>46339</v>
      </c>
      <c r="H135" s="2">
        <v>46349</v>
      </c>
      <c r="J135" s="1">
        <v>0</v>
      </c>
      <c r="L135" s="1" t="s">
        <v>79</v>
      </c>
      <c r="M135" s="1" t="s">
        <v>47</v>
      </c>
      <c r="N135" s="1" t="s">
        <v>343</v>
      </c>
      <c r="O135" s="1" t="s">
        <v>355</v>
      </c>
      <c r="P135" s="2">
        <v>46174</v>
      </c>
      <c r="Q135" s="1" t="s">
        <v>38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 spans="1:32" x14ac:dyDescent="0.25">
      <c r="A136" s="1">
        <v>135</v>
      </c>
      <c r="B136" s="1" t="s">
        <v>356</v>
      </c>
      <c r="C136" s="1" t="s">
        <v>357</v>
      </c>
      <c r="D136" s="1" t="s">
        <v>67</v>
      </c>
      <c r="F136" s="1" t="s">
        <v>92</v>
      </c>
      <c r="G136" s="2">
        <v>46339</v>
      </c>
      <c r="H136" s="2">
        <v>46343</v>
      </c>
      <c r="I136" s="1" t="s">
        <v>358</v>
      </c>
      <c r="J136" s="1">
        <v>0</v>
      </c>
      <c r="L136" s="1" t="s">
        <v>79</v>
      </c>
      <c r="M136" s="1" t="s">
        <v>47</v>
      </c>
      <c r="N136" s="1" t="s">
        <v>343</v>
      </c>
      <c r="O136" s="1" t="s">
        <v>355</v>
      </c>
      <c r="P136" s="2">
        <v>46168</v>
      </c>
      <c r="Q136" s="1" t="s">
        <v>38</v>
      </c>
      <c r="R136" s="1">
        <v>136</v>
      </c>
      <c r="U136" s="1">
        <v>0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25">
      <c r="A137" s="1">
        <v>136</v>
      </c>
      <c r="B137" s="1" t="s">
        <v>359</v>
      </c>
      <c r="C137" s="1" t="s">
        <v>357</v>
      </c>
      <c r="D137" s="1" t="s">
        <v>72</v>
      </c>
      <c r="F137" s="1" t="s">
        <v>73</v>
      </c>
      <c r="G137" s="2">
        <v>46344</v>
      </c>
      <c r="H137" s="2">
        <v>46344</v>
      </c>
      <c r="I137" s="1">
        <v>135</v>
      </c>
      <c r="J137" s="1">
        <v>0</v>
      </c>
      <c r="L137" s="1" t="s">
        <v>79</v>
      </c>
      <c r="M137" s="1" t="s">
        <v>47</v>
      </c>
      <c r="N137" s="1" t="s">
        <v>343</v>
      </c>
      <c r="O137" s="1" t="s">
        <v>360</v>
      </c>
      <c r="P137" s="2">
        <v>46169</v>
      </c>
      <c r="Q137" s="1" t="s">
        <v>38</v>
      </c>
      <c r="R137" s="1">
        <v>137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 spans="1:32" x14ac:dyDescent="0.25">
      <c r="A138" s="1">
        <v>137</v>
      </c>
      <c r="B138" s="1" t="s">
        <v>361</v>
      </c>
      <c r="C138" s="1" t="s">
        <v>357</v>
      </c>
      <c r="D138" s="1" t="s">
        <v>77</v>
      </c>
      <c r="F138" s="1" t="s">
        <v>68</v>
      </c>
      <c r="G138" s="2">
        <v>46345</v>
      </c>
      <c r="H138" s="2">
        <v>46346</v>
      </c>
      <c r="I138" s="1">
        <v>136</v>
      </c>
      <c r="J138" s="1">
        <v>0</v>
      </c>
      <c r="L138" s="1" t="s">
        <v>79</v>
      </c>
      <c r="M138" s="1" t="s">
        <v>47</v>
      </c>
      <c r="N138" s="1" t="s">
        <v>343</v>
      </c>
      <c r="O138" s="1" t="s">
        <v>207</v>
      </c>
      <c r="P138" s="2">
        <v>46171</v>
      </c>
      <c r="Q138" s="1" t="s">
        <v>38</v>
      </c>
      <c r="R138" s="1">
        <v>138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 spans="1:32" x14ac:dyDescent="0.25">
      <c r="A139" s="1">
        <v>138</v>
      </c>
      <c r="B139" s="1" t="s">
        <v>362</v>
      </c>
      <c r="C139" s="1" t="s">
        <v>357</v>
      </c>
      <c r="D139" s="1" t="s">
        <v>83</v>
      </c>
      <c r="F139" s="1" t="s">
        <v>73</v>
      </c>
      <c r="G139" s="2">
        <v>46349</v>
      </c>
      <c r="H139" s="2">
        <v>46349</v>
      </c>
      <c r="I139" s="1">
        <v>137</v>
      </c>
      <c r="J139" s="1">
        <v>0</v>
      </c>
      <c r="L139" s="1" t="s">
        <v>79</v>
      </c>
      <c r="M139" s="1" t="s">
        <v>47</v>
      </c>
      <c r="N139" s="1" t="s">
        <v>343</v>
      </c>
      <c r="O139" s="1" t="s">
        <v>363</v>
      </c>
      <c r="P139" s="2">
        <v>46174</v>
      </c>
      <c r="Q139" s="1" t="s">
        <v>38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25">
      <c r="A140" s="1">
        <v>139</v>
      </c>
      <c r="B140" s="1" t="s">
        <v>364</v>
      </c>
      <c r="C140" s="1" t="s">
        <v>345</v>
      </c>
      <c r="D140" s="1" t="s">
        <v>365</v>
      </c>
      <c r="E140" s="1" t="s">
        <v>155</v>
      </c>
      <c r="F140" s="1" t="s">
        <v>110</v>
      </c>
      <c r="G140" s="2">
        <v>46209</v>
      </c>
      <c r="H140" s="2">
        <v>46217</v>
      </c>
      <c r="J140" s="1">
        <v>0</v>
      </c>
      <c r="L140" s="1" t="s">
        <v>79</v>
      </c>
      <c r="M140" s="1" t="s">
        <v>47</v>
      </c>
      <c r="N140" s="1" t="s">
        <v>343</v>
      </c>
      <c r="O140" s="1" t="s">
        <v>355</v>
      </c>
      <c r="P140" s="2">
        <v>46174</v>
      </c>
      <c r="Q140" s="1" t="s">
        <v>38</v>
      </c>
      <c r="S140" s="1" t="s">
        <v>215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25">
      <c r="A141" s="1">
        <v>140</v>
      </c>
      <c r="B141" s="1" t="s">
        <v>366</v>
      </c>
      <c r="C141" s="1" t="s">
        <v>367</v>
      </c>
      <c r="D141" s="1" t="s">
        <v>67</v>
      </c>
      <c r="F141" s="1" t="s">
        <v>92</v>
      </c>
      <c r="G141" s="2">
        <v>46209</v>
      </c>
      <c r="H141" s="2">
        <v>46211</v>
      </c>
      <c r="J141" s="1">
        <v>0</v>
      </c>
      <c r="L141" s="1" t="s">
        <v>79</v>
      </c>
      <c r="M141" s="1" t="s">
        <v>47</v>
      </c>
      <c r="N141" s="1" t="s">
        <v>343</v>
      </c>
      <c r="O141" s="1" t="s">
        <v>355</v>
      </c>
      <c r="P141" s="2">
        <v>46168</v>
      </c>
      <c r="Q141" s="1" t="s">
        <v>38</v>
      </c>
      <c r="R141" s="1">
        <v>141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25">
      <c r="A142" s="1">
        <v>141</v>
      </c>
      <c r="B142" s="1" t="s">
        <v>368</v>
      </c>
      <c r="C142" s="1" t="s">
        <v>367</v>
      </c>
      <c r="D142" s="1" t="s">
        <v>72</v>
      </c>
      <c r="F142" s="1" t="s">
        <v>73</v>
      </c>
      <c r="G142" s="2">
        <v>46212</v>
      </c>
      <c r="H142" s="2">
        <v>46212</v>
      </c>
      <c r="I142" s="1">
        <v>140</v>
      </c>
      <c r="J142" s="1">
        <v>0</v>
      </c>
      <c r="L142" s="1" t="s">
        <v>79</v>
      </c>
      <c r="M142" s="1" t="s">
        <v>47</v>
      </c>
      <c r="N142" s="1" t="s">
        <v>343</v>
      </c>
      <c r="O142" s="1" t="s">
        <v>360</v>
      </c>
      <c r="P142" s="2">
        <v>46169</v>
      </c>
      <c r="Q142" s="1" t="s">
        <v>38</v>
      </c>
      <c r="R142" s="1">
        <v>142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25">
      <c r="A143" s="1">
        <v>142</v>
      </c>
      <c r="B143" s="1" t="s">
        <v>369</v>
      </c>
      <c r="C143" s="1" t="s">
        <v>367</v>
      </c>
      <c r="D143" s="1" t="s">
        <v>77</v>
      </c>
      <c r="F143" s="1" t="s">
        <v>68</v>
      </c>
      <c r="G143" s="2">
        <v>46213</v>
      </c>
      <c r="H143" s="2">
        <v>46216</v>
      </c>
      <c r="I143" s="1">
        <v>141</v>
      </c>
      <c r="J143" s="1">
        <v>0</v>
      </c>
      <c r="L143" s="1" t="s">
        <v>79</v>
      </c>
      <c r="M143" s="1" t="s">
        <v>47</v>
      </c>
      <c r="N143" s="1" t="s">
        <v>343</v>
      </c>
      <c r="O143" s="1" t="s">
        <v>207</v>
      </c>
      <c r="P143" s="2">
        <v>46171</v>
      </c>
      <c r="Q143" s="1" t="s">
        <v>38</v>
      </c>
      <c r="R143" s="1">
        <v>143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25">
      <c r="A144" s="1">
        <v>143</v>
      </c>
      <c r="B144" s="1" t="s">
        <v>370</v>
      </c>
      <c r="C144" s="1" t="s">
        <v>367</v>
      </c>
      <c r="D144" s="1" t="s">
        <v>83</v>
      </c>
      <c r="F144" s="1" t="s">
        <v>73</v>
      </c>
      <c r="G144" s="2">
        <v>46217</v>
      </c>
      <c r="H144" s="2">
        <v>46217</v>
      </c>
      <c r="I144" s="1">
        <v>142</v>
      </c>
      <c r="J144" s="1">
        <v>0</v>
      </c>
      <c r="L144" s="1" t="s">
        <v>79</v>
      </c>
      <c r="M144" s="1" t="s">
        <v>47</v>
      </c>
      <c r="N144" s="1" t="s">
        <v>343</v>
      </c>
      <c r="O144" s="1" t="s">
        <v>363</v>
      </c>
      <c r="P144" s="2">
        <v>46174</v>
      </c>
      <c r="Q144" s="1" t="s">
        <v>38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25">
      <c r="A145" s="1">
        <v>144</v>
      </c>
      <c r="B145" s="1" t="s">
        <v>371</v>
      </c>
      <c r="C145" s="1" t="s">
        <v>345</v>
      </c>
      <c r="D145" s="1" t="s">
        <v>372</v>
      </c>
      <c r="E145" s="1" t="s">
        <v>155</v>
      </c>
      <c r="F145" s="1" t="s">
        <v>110</v>
      </c>
      <c r="G145" s="2">
        <v>46203</v>
      </c>
      <c r="H145" s="2">
        <v>46211</v>
      </c>
      <c r="J145" s="1">
        <v>0.43</v>
      </c>
      <c r="L145" s="1" t="s">
        <v>64</v>
      </c>
      <c r="M145" s="1" t="s">
        <v>47</v>
      </c>
      <c r="N145" s="1" t="s">
        <v>343</v>
      </c>
      <c r="O145" s="1" t="s">
        <v>355</v>
      </c>
      <c r="P145" s="2">
        <v>46174</v>
      </c>
      <c r="Q145" s="1" t="s">
        <v>38</v>
      </c>
      <c r="S145" s="1" t="s">
        <v>215</v>
      </c>
      <c r="U145" s="1">
        <v>0.43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25">
      <c r="A146" s="1">
        <v>145</v>
      </c>
      <c r="B146" s="1" t="s">
        <v>373</v>
      </c>
      <c r="C146" s="1" t="s">
        <v>374</v>
      </c>
      <c r="D146" s="1" t="s">
        <v>67</v>
      </c>
      <c r="F146" s="1" t="s">
        <v>92</v>
      </c>
      <c r="G146" s="2">
        <v>46203</v>
      </c>
      <c r="H146" s="2">
        <v>46205</v>
      </c>
      <c r="J146" s="1">
        <v>1</v>
      </c>
      <c r="K146" s="2">
        <v>46205</v>
      </c>
      <c r="L146" s="1" t="s">
        <v>46</v>
      </c>
      <c r="M146" s="1" t="s">
        <v>47</v>
      </c>
      <c r="N146" s="1" t="s">
        <v>343</v>
      </c>
      <c r="O146" s="1" t="s">
        <v>355</v>
      </c>
      <c r="P146" s="2">
        <v>46168</v>
      </c>
      <c r="Q146" s="1" t="s">
        <v>38</v>
      </c>
      <c r="R146" s="1">
        <v>146</v>
      </c>
      <c r="U146" s="1">
        <v>1</v>
      </c>
      <c r="V146" s="1">
        <v>1</v>
      </c>
      <c r="W146" s="1">
        <v>1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</row>
    <row r="147" spans="1:32" x14ac:dyDescent="0.25">
      <c r="A147" s="1">
        <v>146</v>
      </c>
      <c r="B147" s="1" t="s">
        <v>375</v>
      </c>
      <c r="C147" s="1" t="s">
        <v>374</v>
      </c>
      <c r="D147" s="1" t="s">
        <v>72</v>
      </c>
      <c r="F147" s="1" t="s">
        <v>73</v>
      </c>
      <c r="G147" s="2">
        <v>46206</v>
      </c>
      <c r="H147" s="2">
        <v>46206</v>
      </c>
      <c r="I147" s="1">
        <v>145</v>
      </c>
      <c r="J147" s="1">
        <v>0</v>
      </c>
      <c r="L147" s="1" t="s">
        <v>79</v>
      </c>
      <c r="M147" s="1" t="s">
        <v>47</v>
      </c>
      <c r="N147" s="1" t="s">
        <v>343</v>
      </c>
      <c r="O147" s="1" t="s">
        <v>360</v>
      </c>
      <c r="P147" s="2">
        <v>46169</v>
      </c>
      <c r="Q147" s="1" t="s">
        <v>38</v>
      </c>
      <c r="R147" s="1">
        <v>147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25">
      <c r="A148" s="1">
        <v>147</v>
      </c>
      <c r="B148" s="1" t="s">
        <v>376</v>
      </c>
      <c r="C148" s="1" t="s">
        <v>374</v>
      </c>
      <c r="D148" s="1" t="s">
        <v>77</v>
      </c>
      <c r="F148" s="1" t="s">
        <v>68</v>
      </c>
      <c r="G148" s="2">
        <v>46209</v>
      </c>
      <c r="H148" s="2">
        <v>46210</v>
      </c>
      <c r="I148" s="1">
        <v>146</v>
      </c>
      <c r="J148" s="1">
        <v>0</v>
      </c>
      <c r="L148" s="1" t="s">
        <v>79</v>
      </c>
      <c r="M148" s="1" t="s">
        <v>47</v>
      </c>
      <c r="N148" s="1" t="s">
        <v>343</v>
      </c>
      <c r="O148" s="1" t="s">
        <v>207</v>
      </c>
      <c r="P148" s="2">
        <v>46171</v>
      </c>
      <c r="Q148" s="1" t="s">
        <v>38</v>
      </c>
      <c r="R148" s="1">
        <v>148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25">
      <c r="A149" s="1">
        <v>148</v>
      </c>
      <c r="B149" s="1" t="s">
        <v>377</v>
      </c>
      <c r="C149" s="1" t="s">
        <v>374</v>
      </c>
      <c r="D149" s="1" t="s">
        <v>83</v>
      </c>
      <c r="F149" s="1" t="s">
        <v>73</v>
      </c>
      <c r="G149" s="2">
        <v>46211</v>
      </c>
      <c r="H149" s="2">
        <v>46211</v>
      </c>
      <c r="I149" s="1">
        <v>147</v>
      </c>
      <c r="J149" s="1">
        <v>0</v>
      </c>
      <c r="L149" s="1" t="s">
        <v>79</v>
      </c>
      <c r="M149" s="1" t="s">
        <v>47</v>
      </c>
      <c r="N149" s="1" t="s">
        <v>343</v>
      </c>
      <c r="O149" s="1" t="s">
        <v>363</v>
      </c>
      <c r="P149" s="2">
        <v>46174</v>
      </c>
      <c r="Q149" s="1" t="s">
        <v>38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25">
      <c r="A150" s="1">
        <v>149</v>
      </c>
      <c r="B150" s="1" t="s">
        <v>378</v>
      </c>
      <c r="C150" s="1" t="s">
        <v>43</v>
      </c>
      <c r="D150" s="1" t="s">
        <v>379</v>
      </c>
      <c r="F150" s="1" t="s">
        <v>45</v>
      </c>
      <c r="G150" s="2">
        <v>46269</v>
      </c>
      <c r="H150" s="2">
        <v>46269</v>
      </c>
      <c r="J150" s="1">
        <v>0</v>
      </c>
      <c r="L150" s="1" t="s">
        <v>79</v>
      </c>
      <c r="M150" s="1" t="s">
        <v>47</v>
      </c>
      <c r="N150" s="1" t="s">
        <v>380</v>
      </c>
      <c r="O150" s="1" t="s">
        <v>160</v>
      </c>
      <c r="P150" s="2">
        <v>46211</v>
      </c>
      <c r="Q150" s="1" t="s">
        <v>38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25">
      <c r="A151" s="1">
        <v>150</v>
      </c>
      <c r="B151" s="1" t="s">
        <v>381</v>
      </c>
      <c r="C151" s="1" t="s">
        <v>382</v>
      </c>
      <c r="D151" s="1" t="s">
        <v>383</v>
      </c>
      <c r="F151" s="1" t="s">
        <v>45</v>
      </c>
      <c r="G151" s="2">
        <v>46269</v>
      </c>
      <c r="H151" s="2">
        <v>46269</v>
      </c>
      <c r="I151" s="1" t="s">
        <v>384</v>
      </c>
      <c r="J151" s="1">
        <v>0</v>
      </c>
      <c r="L151" s="1" t="s">
        <v>79</v>
      </c>
      <c r="M151" s="1" t="s">
        <v>47</v>
      </c>
      <c r="N151" s="1" t="s">
        <v>380</v>
      </c>
      <c r="O151" s="1" t="s">
        <v>385</v>
      </c>
      <c r="P151" s="2">
        <v>46272</v>
      </c>
      <c r="Q151" s="1" t="s">
        <v>38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zoomScale="70" zoomScaleNormal="70" workbookViewId="0">
      <selection activeCell="E20" sqref="E20"/>
    </sheetView>
  </sheetViews>
  <sheetFormatPr defaultRowHeight="15" x14ac:dyDescent="0.25"/>
  <cols>
    <col min="1" max="1" width="32.140625" style="1" bestFit="1" customWidth="1"/>
    <col min="2" max="2" width="24.7109375" style="1" bestFit="1" customWidth="1"/>
    <col min="3" max="3" width="27.140625" style="1" bestFit="1" customWidth="1"/>
    <col min="4" max="4" width="23.85546875" style="1" bestFit="1" customWidth="1"/>
    <col min="5" max="5" width="30.42578125" style="1" bestFit="1" customWidth="1"/>
    <col min="6" max="6" width="38.28515625" style="1" bestFit="1" customWidth="1"/>
    <col min="7" max="7" width="21.7109375" style="1" bestFit="1" customWidth="1"/>
    <col min="8" max="8" width="7.28515625" style="1" bestFit="1" customWidth="1"/>
    <col min="9" max="16384" width="9.140625" style="1"/>
  </cols>
  <sheetData>
    <row r="1" spans="1:8" x14ac:dyDescent="0.25">
      <c r="A1" s="1" t="s">
        <v>386</v>
      </c>
      <c r="B1" s="1">
        <v>27</v>
      </c>
    </row>
    <row r="2" spans="1:8" x14ac:dyDescent="0.25">
      <c r="A2" s="1" t="s">
        <v>387</v>
      </c>
      <c r="B2" s="3">
        <v>0.38461538461538458</v>
      </c>
    </row>
    <row r="3" spans="1:8" x14ac:dyDescent="0.25">
      <c r="A3" s="1" t="s">
        <v>13</v>
      </c>
      <c r="B3" s="1" t="s">
        <v>21</v>
      </c>
      <c r="C3" s="1" t="s">
        <v>22</v>
      </c>
      <c r="D3" s="1" t="s">
        <v>388</v>
      </c>
      <c r="E3" s="1" t="s">
        <v>25</v>
      </c>
      <c r="F3" s="1" t="s">
        <v>27</v>
      </c>
      <c r="G3" s="1" t="s">
        <v>29</v>
      </c>
      <c r="H3" s="1" t="s">
        <v>389</v>
      </c>
    </row>
    <row r="4" spans="1:8" x14ac:dyDescent="0.25">
      <c r="A4" s="1" t="s">
        <v>343</v>
      </c>
      <c r="B4" s="1">
        <v>4</v>
      </c>
      <c r="C4" s="1">
        <v>2</v>
      </c>
      <c r="D4" s="3">
        <v>0.5</v>
      </c>
      <c r="E4" s="1">
        <v>1</v>
      </c>
      <c r="F4" s="1">
        <v>0</v>
      </c>
      <c r="G4" s="1">
        <v>0</v>
      </c>
      <c r="H4" s="3">
        <v>0</v>
      </c>
    </row>
    <row r="5" spans="1:8" x14ac:dyDescent="0.25">
      <c r="A5" s="1" t="s">
        <v>380</v>
      </c>
      <c r="B5" s="1">
        <v>0</v>
      </c>
      <c r="C5" s="1">
        <v>0</v>
      </c>
      <c r="D5" s="3">
        <v>0</v>
      </c>
      <c r="E5" s="1">
        <v>0</v>
      </c>
      <c r="F5" s="1">
        <v>0</v>
      </c>
      <c r="G5" s="1">
        <v>0</v>
      </c>
      <c r="H5" s="3">
        <v>0</v>
      </c>
    </row>
    <row r="6" spans="1:8" x14ac:dyDescent="0.25">
      <c r="A6" s="1" t="s">
        <v>105</v>
      </c>
      <c r="B6" s="1">
        <v>2</v>
      </c>
      <c r="C6" s="1">
        <v>2</v>
      </c>
      <c r="D6" s="3">
        <v>1</v>
      </c>
      <c r="E6" s="1">
        <v>2</v>
      </c>
      <c r="F6" s="1">
        <v>0</v>
      </c>
      <c r="G6" s="1">
        <v>0</v>
      </c>
      <c r="H6" s="3">
        <v>0</v>
      </c>
    </row>
    <row r="7" spans="1:8" x14ac:dyDescent="0.25">
      <c r="A7" s="1" t="s">
        <v>313</v>
      </c>
      <c r="B7" s="1">
        <v>3</v>
      </c>
      <c r="C7" s="1">
        <v>1</v>
      </c>
      <c r="D7" s="3">
        <v>0.33333333333333331</v>
      </c>
      <c r="E7" s="1">
        <v>1</v>
      </c>
      <c r="F7" s="1">
        <v>0</v>
      </c>
      <c r="G7" s="1">
        <v>0</v>
      </c>
      <c r="H7" s="3">
        <v>0</v>
      </c>
    </row>
    <row r="8" spans="1:8" x14ac:dyDescent="0.25">
      <c r="A8" s="1" t="s">
        <v>284</v>
      </c>
      <c r="B8" s="1">
        <v>3</v>
      </c>
      <c r="C8" s="1">
        <v>0</v>
      </c>
      <c r="D8" s="3">
        <v>0</v>
      </c>
      <c r="E8" s="1">
        <v>0</v>
      </c>
      <c r="F8" s="1">
        <v>0</v>
      </c>
      <c r="G8" s="1">
        <v>0</v>
      </c>
      <c r="H8" s="3">
        <v>0</v>
      </c>
    </row>
    <row r="9" spans="1:8" x14ac:dyDescent="0.25">
      <c r="A9" s="1" t="s">
        <v>36</v>
      </c>
      <c r="B9" s="1">
        <v>0</v>
      </c>
      <c r="C9" s="1">
        <v>0</v>
      </c>
      <c r="D9" s="3">
        <v>0</v>
      </c>
      <c r="E9" s="1">
        <v>0</v>
      </c>
      <c r="F9" s="1">
        <v>0</v>
      </c>
      <c r="G9" s="1">
        <v>0</v>
      </c>
      <c r="H9" s="3">
        <v>0</v>
      </c>
    </row>
    <row r="10" spans="1:8" x14ac:dyDescent="0.25">
      <c r="A10" s="1" t="s">
        <v>188</v>
      </c>
      <c r="B10" s="1">
        <v>4</v>
      </c>
      <c r="C10" s="1">
        <v>1</v>
      </c>
      <c r="D10" s="3">
        <v>0.25</v>
      </c>
      <c r="E10" s="1">
        <v>1</v>
      </c>
      <c r="F10" s="1">
        <v>0</v>
      </c>
      <c r="G10" s="1">
        <v>0</v>
      </c>
      <c r="H10" s="3">
        <v>0</v>
      </c>
    </row>
    <row r="11" spans="1:8" x14ac:dyDescent="0.25">
      <c r="A11" s="1" t="s">
        <v>51</v>
      </c>
      <c r="B11" s="1">
        <v>0</v>
      </c>
      <c r="C11" s="1">
        <v>0</v>
      </c>
      <c r="D11" s="3">
        <v>0</v>
      </c>
      <c r="E11" s="1">
        <v>0</v>
      </c>
      <c r="F11" s="1">
        <v>0</v>
      </c>
      <c r="G11" s="1">
        <v>0</v>
      </c>
      <c r="H11" s="3">
        <v>0</v>
      </c>
    </row>
    <row r="12" spans="1:8" x14ac:dyDescent="0.25">
      <c r="A12" s="1" t="s">
        <v>59</v>
      </c>
      <c r="B12" s="1">
        <v>2</v>
      </c>
      <c r="C12" s="1">
        <v>2</v>
      </c>
      <c r="D12" s="3">
        <v>1</v>
      </c>
      <c r="E12" s="1">
        <v>2</v>
      </c>
      <c r="F12" s="1">
        <v>0</v>
      </c>
      <c r="G12" s="1">
        <v>0</v>
      </c>
      <c r="H12" s="3">
        <v>0</v>
      </c>
    </row>
    <row r="13" spans="1:8" x14ac:dyDescent="0.25">
      <c r="A13" s="1" t="s">
        <v>148</v>
      </c>
      <c r="B13" s="1">
        <v>0</v>
      </c>
      <c r="C13" s="1">
        <v>0</v>
      </c>
      <c r="D13" s="3">
        <v>0</v>
      </c>
      <c r="E13" s="1">
        <v>0</v>
      </c>
      <c r="F13" s="1">
        <v>0</v>
      </c>
      <c r="G13" s="1">
        <v>0</v>
      </c>
      <c r="H13" s="3">
        <v>0</v>
      </c>
    </row>
    <row r="14" spans="1:8" x14ac:dyDescent="0.25">
      <c r="A14" s="1" t="s">
        <v>136</v>
      </c>
      <c r="B14" s="1">
        <v>4</v>
      </c>
      <c r="C14" s="1">
        <v>2</v>
      </c>
      <c r="D14" s="3">
        <v>0.5</v>
      </c>
      <c r="E14" s="1">
        <v>2</v>
      </c>
      <c r="F14" s="1">
        <v>0</v>
      </c>
      <c r="G14" s="1">
        <v>0</v>
      </c>
      <c r="H14" s="3">
        <v>0</v>
      </c>
    </row>
    <row r="15" spans="1:8" x14ac:dyDescent="0.25">
      <c r="A15" s="1" t="s">
        <v>231</v>
      </c>
      <c r="B15" s="1">
        <v>5</v>
      </c>
      <c r="C15" s="1">
        <v>1</v>
      </c>
      <c r="D15" s="3">
        <v>0.2</v>
      </c>
      <c r="E15" s="1">
        <v>1</v>
      </c>
      <c r="F15" s="1">
        <v>1</v>
      </c>
      <c r="G15" s="1">
        <v>1</v>
      </c>
      <c r="H15" s="3">
        <v>0.2</v>
      </c>
    </row>
    <row r="16" spans="1:8" x14ac:dyDescent="0.25">
      <c r="A16" s="1" t="s">
        <v>405</v>
      </c>
      <c r="B16" s="1">
        <f>SUBTOTAL(109,Tabela2[Emissão inicial total])</f>
        <v>27</v>
      </c>
      <c r="C16" s="1">
        <f>SUBTOTAL(109,Tabela2[Emissão inicial concluída])</f>
        <v>11</v>
      </c>
      <c r="D16" s="1">
        <f>SUBTOTAL(109,Tabela2[%EI])</f>
        <v>3.7833333333333332</v>
      </c>
      <c r="E16" s="1">
        <f>SUBTOTAL(109,Tabela2[Avaliação do cliente concluída])</f>
        <v>10</v>
      </c>
      <c r="F16" s="1">
        <f>SUBTOTAL(109,Tabela2[Atendimento de comentário concluído])</f>
        <v>1</v>
      </c>
      <c r="G16" s="1">
        <f>SUBTOTAL(109,Tabela2[Aprovação concluída])</f>
        <v>1</v>
      </c>
      <c r="H16" s="1">
        <f>SUBTOTAL(109,Tabela2[%AP])</f>
        <v>0.2</v>
      </c>
    </row>
    <row r="21" spans="1:5" x14ac:dyDescent="0.25">
      <c r="A21" s="1" t="s">
        <v>13</v>
      </c>
      <c r="B21" s="1" t="s">
        <v>23</v>
      </c>
      <c r="C21" s="1" t="s">
        <v>26</v>
      </c>
      <c r="D21" s="1" t="s">
        <v>28</v>
      </c>
      <c r="E21" s="1" t="s">
        <v>30</v>
      </c>
    </row>
    <row r="22" spans="1:5" x14ac:dyDescent="0.25">
      <c r="A22" s="1" t="s">
        <v>343</v>
      </c>
      <c r="B22" s="1">
        <v>0</v>
      </c>
      <c r="C22" s="1">
        <v>0</v>
      </c>
      <c r="D22" s="1">
        <v>1</v>
      </c>
      <c r="E22" s="1">
        <v>1</v>
      </c>
    </row>
    <row r="23" spans="1:5" x14ac:dyDescent="0.25">
      <c r="A23" s="1" t="s">
        <v>380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105</v>
      </c>
      <c r="B24" s="1">
        <v>0</v>
      </c>
      <c r="C24" s="1">
        <v>0</v>
      </c>
      <c r="D24" s="1">
        <v>1</v>
      </c>
      <c r="E24" s="1">
        <v>1</v>
      </c>
    </row>
    <row r="25" spans="1:5" x14ac:dyDescent="0.25">
      <c r="A25" s="1" t="s">
        <v>313</v>
      </c>
      <c r="B25" s="1">
        <v>0</v>
      </c>
      <c r="C25" s="1">
        <v>0</v>
      </c>
      <c r="D25" s="1">
        <v>1</v>
      </c>
      <c r="E25" s="1">
        <v>1</v>
      </c>
    </row>
    <row r="26" spans="1:5" x14ac:dyDescent="0.25">
      <c r="A26" s="1" t="s">
        <v>284</v>
      </c>
      <c r="B26" s="1">
        <v>1</v>
      </c>
      <c r="C26" s="1">
        <v>1</v>
      </c>
      <c r="D26" s="1">
        <v>1</v>
      </c>
      <c r="E26" s="1">
        <v>1</v>
      </c>
    </row>
    <row r="27" spans="1:5" x14ac:dyDescent="0.25">
      <c r="A27" s="1" t="s">
        <v>36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188</v>
      </c>
      <c r="B28" s="1">
        <v>0</v>
      </c>
      <c r="C28" s="1">
        <v>0</v>
      </c>
      <c r="D28" s="1">
        <v>1</v>
      </c>
      <c r="E28" s="1">
        <v>1</v>
      </c>
    </row>
    <row r="29" spans="1:5" x14ac:dyDescent="0.25">
      <c r="A29" s="1" t="s">
        <v>51</v>
      </c>
      <c r="B29" s="1">
        <v>0</v>
      </c>
      <c r="C29" s="1">
        <v>0</v>
      </c>
      <c r="D29" s="1">
        <v>0</v>
      </c>
      <c r="E29" s="1">
        <v>0</v>
      </c>
    </row>
    <row r="30" spans="1:5" x14ac:dyDescent="0.25">
      <c r="A30" s="1" t="s">
        <v>59</v>
      </c>
      <c r="B30" s="1">
        <v>0</v>
      </c>
      <c r="C30" s="1">
        <v>0</v>
      </c>
      <c r="D30" s="1">
        <v>1</v>
      </c>
      <c r="E30" s="1">
        <v>1</v>
      </c>
    </row>
    <row r="31" spans="1:5" x14ac:dyDescent="0.25">
      <c r="A31" s="1" t="s">
        <v>148</v>
      </c>
      <c r="B31" s="1">
        <v>0</v>
      </c>
      <c r="C31" s="1">
        <v>1</v>
      </c>
      <c r="D31" s="1">
        <v>1</v>
      </c>
      <c r="E31" s="1">
        <v>1</v>
      </c>
    </row>
    <row r="32" spans="1:5" x14ac:dyDescent="0.25">
      <c r="A32" s="1" t="s">
        <v>136</v>
      </c>
      <c r="B32" s="1">
        <v>1</v>
      </c>
      <c r="C32" s="1">
        <v>0</v>
      </c>
      <c r="D32" s="1">
        <v>2</v>
      </c>
      <c r="E32" s="1">
        <v>2</v>
      </c>
    </row>
    <row r="33" spans="1:5" x14ac:dyDescent="0.25">
      <c r="A33" s="1" t="s">
        <v>231</v>
      </c>
      <c r="B33" s="1">
        <v>0</v>
      </c>
      <c r="C33" s="1">
        <v>0</v>
      </c>
      <c r="D33" s="1">
        <v>0</v>
      </c>
      <c r="E33" s="1">
        <v>0</v>
      </c>
    </row>
    <row r="34" spans="1:5" x14ac:dyDescent="0.25">
      <c r="A34" s="1" t="s">
        <v>405</v>
      </c>
      <c r="B34" s="1">
        <f>SUBTOTAL(109,Tabela3[Emissão Inicial Atrasada])</f>
        <v>2</v>
      </c>
      <c r="C34" s="1">
        <f>SUBTOTAL(109,Tabela3[Avaliação Cliente Atrasada])</f>
        <v>2</v>
      </c>
      <c r="D34" s="1">
        <f>SUBTOTAL(109,Tabela3[Atendimento Atrasado])</f>
        <v>9</v>
      </c>
      <c r="E34" s="1">
        <f>SUBTOTAL(109,Tabela3[Aprovação Atrasada])</f>
        <v>9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7"/>
  <sheetViews>
    <sheetView zoomScale="70" zoomScaleNormal="70" workbookViewId="0">
      <selection activeCell="AE31" sqref="AE31"/>
    </sheetView>
  </sheetViews>
  <sheetFormatPr defaultColWidth="11.85546875" defaultRowHeight="15" x14ac:dyDescent="0.25"/>
  <cols>
    <col min="1" max="1" width="11.85546875" style="5"/>
    <col min="2" max="9" width="11.85546875" style="4"/>
    <col min="10" max="11" width="11.85546875" style="6"/>
    <col min="12" max="12" width="11.85546875" style="4"/>
    <col min="13" max="14" width="11.85546875" style="6"/>
    <col min="15" max="16384" width="11.85546875" style="4"/>
  </cols>
  <sheetData>
    <row r="1" spans="1:15" ht="60" x14ac:dyDescent="0.25">
      <c r="A1" s="5" t="s">
        <v>390</v>
      </c>
      <c r="B1" s="4" t="s">
        <v>391</v>
      </c>
      <c r="C1" s="4" t="s">
        <v>392</v>
      </c>
      <c r="D1" s="4" t="s">
        <v>393</v>
      </c>
      <c r="E1" s="4" t="s">
        <v>394</v>
      </c>
      <c r="F1" s="4" t="s">
        <v>395</v>
      </c>
      <c r="G1" s="4" t="s">
        <v>396</v>
      </c>
      <c r="H1" s="4" t="s">
        <v>397</v>
      </c>
      <c r="I1" s="4" t="s">
        <v>398</v>
      </c>
      <c r="J1" s="6" t="s">
        <v>399</v>
      </c>
      <c r="K1" s="6" t="s">
        <v>400</v>
      </c>
      <c r="L1" s="4" t="s">
        <v>401</v>
      </c>
      <c r="M1" s="6" t="s">
        <v>402</v>
      </c>
      <c r="N1" s="6" t="s">
        <v>403</v>
      </c>
      <c r="O1" s="4" t="s">
        <v>404</v>
      </c>
    </row>
    <row r="2" spans="1:15" x14ac:dyDescent="0.25">
      <c r="A2" s="5">
        <v>46101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6">
        <v>0</v>
      </c>
      <c r="K2" s="6">
        <v>0</v>
      </c>
      <c r="L2" s="4">
        <v>0</v>
      </c>
      <c r="M2" s="6">
        <v>0</v>
      </c>
      <c r="N2" s="6">
        <v>0</v>
      </c>
      <c r="O2" s="4">
        <v>0</v>
      </c>
    </row>
    <row r="3" spans="1:15" x14ac:dyDescent="0.25">
      <c r="A3" s="5">
        <v>46102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6">
        <v>0</v>
      </c>
      <c r="K3" s="6">
        <v>0</v>
      </c>
      <c r="L3" s="4">
        <v>0</v>
      </c>
      <c r="M3" s="6">
        <v>0</v>
      </c>
      <c r="N3" s="6">
        <v>0</v>
      </c>
      <c r="O3" s="4">
        <v>0</v>
      </c>
    </row>
    <row r="4" spans="1:15" x14ac:dyDescent="0.25">
      <c r="A4" s="5">
        <v>46103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6">
        <v>0</v>
      </c>
      <c r="K4" s="6">
        <v>0</v>
      </c>
      <c r="L4" s="4">
        <v>0</v>
      </c>
      <c r="M4" s="6">
        <v>0</v>
      </c>
      <c r="N4" s="6">
        <v>0</v>
      </c>
      <c r="O4" s="4">
        <v>0</v>
      </c>
    </row>
    <row r="5" spans="1:15" x14ac:dyDescent="0.25">
      <c r="A5" s="5">
        <v>46104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6">
        <v>0</v>
      </c>
      <c r="K5" s="6">
        <v>0</v>
      </c>
      <c r="L5" s="4">
        <v>0</v>
      </c>
      <c r="M5" s="6">
        <v>0</v>
      </c>
      <c r="N5" s="6">
        <v>0</v>
      </c>
      <c r="O5" s="4">
        <v>0</v>
      </c>
    </row>
    <row r="6" spans="1:15" x14ac:dyDescent="0.25">
      <c r="A6" s="5">
        <v>46105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6">
        <v>0</v>
      </c>
      <c r="K6" s="6">
        <v>0</v>
      </c>
      <c r="L6" s="4">
        <v>0</v>
      </c>
      <c r="M6" s="6">
        <v>0</v>
      </c>
      <c r="N6" s="6">
        <v>0</v>
      </c>
      <c r="O6" s="4">
        <v>0</v>
      </c>
    </row>
    <row r="7" spans="1:15" x14ac:dyDescent="0.25">
      <c r="A7" s="5">
        <v>46106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6">
        <v>0</v>
      </c>
      <c r="K7" s="6">
        <v>0</v>
      </c>
      <c r="L7" s="4">
        <v>0</v>
      </c>
      <c r="M7" s="6">
        <v>0</v>
      </c>
      <c r="N7" s="6">
        <v>0</v>
      </c>
      <c r="O7" s="4">
        <v>0</v>
      </c>
    </row>
    <row r="8" spans="1:15" x14ac:dyDescent="0.25">
      <c r="A8" s="5">
        <v>46107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6">
        <v>0</v>
      </c>
      <c r="K8" s="6">
        <v>0</v>
      </c>
      <c r="L8" s="4">
        <v>0</v>
      </c>
      <c r="M8" s="6">
        <v>0</v>
      </c>
      <c r="N8" s="6">
        <v>0</v>
      </c>
      <c r="O8" s="4">
        <v>0</v>
      </c>
    </row>
    <row r="9" spans="1:15" x14ac:dyDescent="0.25">
      <c r="A9" s="5">
        <v>46108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6">
        <v>0</v>
      </c>
      <c r="K9" s="6">
        <v>0</v>
      </c>
      <c r="L9" s="4">
        <v>0</v>
      </c>
      <c r="M9" s="6">
        <v>0</v>
      </c>
      <c r="N9" s="6">
        <v>0</v>
      </c>
      <c r="O9" s="4">
        <v>0</v>
      </c>
    </row>
    <row r="10" spans="1:15" x14ac:dyDescent="0.25">
      <c r="A10" s="5">
        <v>46109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6">
        <v>0</v>
      </c>
      <c r="K10" s="6">
        <v>0</v>
      </c>
      <c r="L10" s="4">
        <v>0</v>
      </c>
      <c r="M10" s="6">
        <v>0</v>
      </c>
      <c r="N10" s="6">
        <v>0</v>
      </c>
      <c r="O10" s="4">
        <v>0</v>
      </c>
    </row>
    <row r="11" spans="1:15" x14ac:dyDescent="0.25">
      <c r="A11" s="5">
        <v>46110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6">
        <v>0</v>
      </c>
      <c r="K11" s="6">
        <v>0</v>
      </c>
      <c r="L11" s="4">
        <v>0</v>
      </c>
      <c r="M11" s="6">
        <v>0</v>
      </c>
      <c r="N11" s="6">
        <v>0</v>
      </c>
      <c r="O11" s="4">
        <v>0</v>
      </c>
    </row>
    <row r="12" spans="1:15" x14ac:dyDescent="0.25">
      <c r="A12" s="5">
        <v>46111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6">
        <v>0</v>
      </c>
      <c r="K12" s="6">
        <v>0</v>
      </c>
      <c r="L12" s="4">
        <v>0</v>
      </c>
      <c r="M12" s="6">
        <v>0</v>
      </c>
      <c r="N12" s="6">
        <v>0</v>
      </c>
      <c r="O12" s="4">
        <v>0</v>
      </c>
    </row>
    <row r="13" spans="1:15" x14ac:dyDescent="0.25">
      <c r="A13" s="5">
        <v>46112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6">
        <v>0</v>
      </c>
      <c r="K13" s="6">
        <v>0</v>
      </c>
      <c r="L13" s="4">
        <v>0</v>
      </c>
      <c r="M13" s="6">
        <v>0</v>
      </c>
      <c r="N13" s="6">
        <v>0</v>
      </c>
      <c r="O13" s="4">
        <v>0</v>
      </c>
    </row>
    <row r="14" spans="1:15" x14ac:dyDescent="0.25">
      <c r="A14" s="5">
        <v>46113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6">
        <v>0</v>
      </c>
      <c r="K14" s="6">
        <v>0</v>
      </c>
      <c r="L14" s="4">
        <v>0</v>
      </c>
      <c r="M14" s="6">
        <v>0</v>
      </c>
      <c r="N14" s="6">
        <v>0</v>
      </c>
      <c r="O14" s="4">
        <v>0</v>
      </c>
    </row>
    <row r="15" spans="1:15" x14ac:dyDescent="0.25">
      <c r="A15" s="5">
        <v>46114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6">
        <v>0</v>
      </c>
      <c r="K15" s="6">
        <v>0</v>
      </c>
      <c r="L15" s="4">
        <v>0</v>
      </c>
      <c r="M15" s="6">
        <v>0</v>
      </c>
      <c r="N15" s="6">
        <v>0</v>
      </c>
      <c r="O15" s="4">
        <v>0</v>
      </c>
    </row>
    <row r="16" spans="1:15" x14ac:dyDescent="0.25">
      <c r="A16" s="5">
        <v>46115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6">
        <v>0</v>
      </c>
      <c r="K16" s="6">
        <v>0</v>
      </c>
      <c r="L16" s="4">
        <v>0</v>
      </c>
      <c r="M16" s="6">
        <v>0</v>
      </c>
      <c r="N16" s="6">
        <v>0</v>
      </c>
      <c r="O16" s="4">
        <v>0</v>
      </c>
    </row>
    <row r="17" spans="1:15" x14ac:dyDescent="0.25">
      <c r="A17" s="5">
        <v>46116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6">
        <v>0</v>
      </c>
      <c r="K17" s="6">
        <v>0</v>
      </c>
      <c r="L17" s="4">
        <v>0</v>
      </c>
      <c r="M17" s="6">
        <v>0</v>
      </c>
      <c r="N17" s="6">
        <v>0</v>
      </c>
      <c r="O17" s="4">
        <v>0</v>
      </c>
    </row>
    <row r="18" spans="1:15" x14ac:dyDescent="0.25">
      <c r="A18" s="5">
        <v>46117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6">
        <v>0</v>
      </c>
      <c r="K18" s="6">
        <v>0</v>
      </c>
      <c r="L18" s="4">
        <v>0</v>
      </c>
      <c r="M18" s="6">
        <v>0</v>
      </c>
      <c r="N18" s="6">
        <v>0</v>
      </c>
      <c r="O18" s="4">
        <v>0</v>
      </c>
    </row>
    <row r="19" spans="1:15" x14ac:dyDescent="0.25">
      <c r="A19" s="5">
        <v>46118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6">
        <v>0</v>
      </c>
      <c r="K19" s="6">
        <v>0</v>
      </c>
      <c r="L19" s="4">
        <v>0</v>
      </c>
      <c r="M19" s="6">
        <v>0</v>
      </c>
      <c r="N19" s="6">
        <v>0</v>
      </c>
      <c r="O19" s="4">
        <v>0</v>
      </c>
    </row>
    <row r="20" spans="1:15" x14ac:dyDescent="0.25">
      <c r="A20" s="5">
        <v>46119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6">
        <v>0</v>
      </c>
      <c r="K20" s="6">
        <v>0</v>
      </c>
      <c r="L20" s="4">
        <v>0</v>
      </c>
      <c r="M20" s="6">
        <v>0</v>
      </c>
      <c r="N20" s="6">
        <v>0</v>
      </c>
      <c r="O20" s="4">
        <v>0</v>
      </c>
    </row>
    <row r="21" spans="1:15" x14ac:dyDescent="0.25">
      <c r="A21" s="5">
        <v>46120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6">
        <v>0</v>
      </c>
      <c r="K21" s="6">
        <v>0</v>
      </c>
      <c r="L21" s="4">
        <v>0</v>
      </c>
      <c r="M21" s="6">
        <v>0</v>
      </c>
      <c r="N21" s="6">
        <v>0</v>
      </c>
      <c r="O21" s="4">
        <v>0</v>
      </c>
    </row>
    <row r="22" spans="1:15" x14ac:dyDescent="0.25">
      <c r="A22" s="5">
        <v>46121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6">
        <v>0</v>
      </c>
      <c r="K22" s="6">
        <v>0</v>
      </c>
      <c r="L22" s="4">
        <v>0</v>
      </c>
      <c r="M22" s="6">
        <v>0</v>
      </c>
      <c r="N22" s="6">
        <v>0</v>
      </c>
      <c r="O22" s="4">
        <v>0</v>
      </c>
    </row>
    <row r="23" spans="1:15" x14ac:dyDescent="0.25">
      <c r="A23" s="5">
        <v>46122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6">
        <v>0</v>
      </c>
      <c r="K23" s="6">
        <v>0</v>
      </c>
      <c r="L23" s="4">
        <v>0</v>
      </c>
      <c r="M23" s="6">
        <v>0</v>
      </c>
      <c r="N23" s="6">
        <v>0</v>
      </c>
      <c r="O23" s="4">
        <v>0</v>
      </c>
    </row>
    <row r="24" spans="1:15" x14ac:dyDescent="0.25">
      <c r="A24" s="5">
        <v>46123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6">
        <v>0</v>
      </c>
      <c r="K24" s="6">
        <v>0</v>
      </c>
      <c r="L24" s="4">
        <v>0</v>
      </c>
      <c r="M24" s="6">
        <v>0</v>
      </c>
      <c r="N24" s="6">
        <v>0</v>
      </c>
      <c r="O24" s="4">
        <v>0</v>
      </c>
    </row>
    <row r="25" spans="1:15" x14ac:dyDescent="0.25">
      <c r="A25" s="5">
        <v>46124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6">
        <v>0</v>
      </c>
      <c r="K25" s="6">
        <v>0</v>
      </c>
      <c r="L25" s="4">
        <v>0</v>
      </c>
      <c r="M25" s="6">
        <v>0</v>
      </c>
      <c r="N25" s="6">
        <v>0</v>
      </c>
      <c r="O25" s="4">
        <v>0</v>
      </c>
    </row>
    <row r="26" spans="1:15" x14ac:dyDescent="0.25">
      <c r="A26" s="5">
        <v>46125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6">
        <v>0</v>
      </c>
      <c r="K26" s="6">
        <v>0</v>
      </c>
      <c r="L26" s="4">
        <v>0</v>
      </c>
      <c r="M26" s="6">
        <v>0</v>
      </c>
      <c r="N26" s="6">
        <v>0</v>
      </c>
      <c r="O26" s="4">
        <v>0</v>
      </c>
    </row>
    <row r="27" spans="1:15" x14ac:dyDescent="0.25">
      <c r="A27" s="5">
        <v>46126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6">
        <v>0</v>
      </c>
      <c r="K27" s="6">
        <v>0</v>
      </c>
      <c r="L27" s="4">
        <v>0</v>
      </c>
      <c r="M27" s="6">
        <v>0</v>
      </c>
      <c r="N27" s="6">
        <v>0</v>
      </c>
      <c r="O27" s="4">
        <v>0</v>
      </c>
    </row>
    <row r="28" spans="1:15" x14ac:dyDescent="0.25">
      <c r="A28" s="5">
        <v>46127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6">
        <v>0</v>
      </c>
      <c r="K28" s="6">
        <v>0</v>
      </c>
      <c r="L28" s="4">
        <v>0</v>
      </c>
      <c r="M28" s="6">
        <v>0</v>
      </c>
      <c r="N28" s="6">
        <v>0</v>
      </c>
      <c r="O28" s="4">
        <v>0</v>
      </c>
    </row>
    <row r="29" spans="1:15" x14ac:dyDescent="0.25">
      <c r="A29" s="5">
        <v>46128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6">
        <v>0</v>
      </c>
      <c r="K29" s="6">
        <v>0</v>
      </c>
      <c r="L29" s="4">
        <v>0</v>
      </c>
      <c r="M29" s="6">
        <v>0</v>
      </c>
      <c r="N29" s="6">
        <v>0</v>
      </c>
      <c r="O29" s="4">
        <v>0</v>
      </c>
    </row>
    <row r="30" spans="1:15" x14ac:dyDescent="0.25">
      <c r="A30" s="5">
        <v>46129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6">
        <v>0</v>
      </c>
      <c r="K30" s="6">
        <v>0</v>
      </c>
      <c r="L30" s="4">
        <v>0</v>
      </c>
      <c r="M30" s="6">
        <v>0</v>
      </c>
      <c r="N30" s="6">
        <v>0</v>
      </c>
      <c r="O30" s="4">
        <v>0</v>
      </c>
    </row>
    <row r="31" spans="1:15" x14ac:dyDescent="0.25">
      <c r="A31" s="5">
        <v>46130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6">
        <v>0</v>
      </c>
      <c r="K31" s="6">
        <v>0</v>
      </c>
      <c r="L31" s="4">
        <v>0</v>
      </c>
      <c r="M31" s="6">
        <v>0</v>
      </c>
      <c r="N31" s="6">
        <v>0</v>
      </c>
      <c r="O31" s="4">
        <v>0</v>
      </c>
    </row>
    <row r="32" spans="1:15" x14ac:dyDescent="0.25">
      <c r="A32" s="5">
        <v>46131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6">
        <v>0</v>
      </c>
      <c r="K32" s="6">
        <v>0</v>
      </c>
      <c r="L32" s="4">
        <v>0</v>
      </c>
      <c r="M32" s="6">
        <v>0</v>
      </c>
      <c r="N32" s="6">
        <v>0</v>
      </c>
      <c r="O32" s="4">
        <v>0</v>
      </c>
    </row>
    <row r="33" spans="1:15" x14ac:dyDescent="0.25">
      <c r="A33" s="5">
        <v>46132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6">
        <v>0</v>
      </c>
      <c r="K33" s="6">
        <v>0</v>
      </c>
      <c r="L33" s="4">
        <v>0</v>
      </c>
      <c r="M33" s="6">
        <v>0</v>
      </c>
      <c r="N33" s="6">
        <v>0</v>
      </c>
      <c r="O33" s="4">
        <v>0</v>
      </c>
    </row>
    <row r="34" spans="1:15" x14ac:dyDescent="0.25">
      <c r="A34" s="5">
        <v>46133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6">
        <v>0</v>
      </c>
      <c r="K34" s="6">
        <v>0</v>
      </c>
      <c r="L34" s="4">
        <v>0</v>
      </c>
      <c r="M34" s="6">
        <v>0</v>
      </c>
      <c r="N34" s="6">
        <v>0</v>
      </c>
      <c r="O34" s="4">
        <v>0</v>
      </c>
    </row>
    <row r="35" spans="1:15" x14ac:dyDescent="0.25">
      <c r="A35" s="5">
        <v>46134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6">
        <v>0</v>
      </c>
      <c r="K35" s="6">
        <v>0</v>
      </c>
      <c r="L35" s="4">
        <v>0</v>
      </c>
      <c r="M35" s="6">
        <v>0</v>
      </c>
      <c r="N35" s="6">
        <v>0</v>
      </c>
      <c r="O35" s="4">
        <v>0</v>
      </c>
    </row>
    <row r="36" spans="1:15" x14ac:dyDescent="0.25">
      <c r="A36" s="5">
        <v>46135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6">
        <v>0</v>
      </c>
      <c r="K36" s="6">
        <v>0</v>
      </c>
      <c r="L36" s="4">
        <v>0</v>
      </c>
      <c r="M36" s="6">
        <v>0</v>
      </c>
      <c r="N36" s="6">
        <v>0</v>
      </c>
      <c r="O36" s="4">
        <v>0</v>
      </c>
    </row>
    <row r="37" spans="1:15" x14ac:dyDescent="0.25">
      <c r="A37" s="5">
        <v>46136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6">
        <v>0</v>
      </c>
      <c r="K37" s="6">
        <v>0</v>
      </c>
      <c r="L37" s="4">
        <v>0</v>
      </c>
      <c r="M37" s="6">
        <v>0</v>
      </c>
      <c r="N37" s="6">
        <v>0</v>
      </c>
      <c r="O37" s="4">
        <v>0</v>
      </c>
    </row>
    <row r="38" spans="1:15" x14ac:dyDescent="0.25">
      <c r="A38" s="5">
        <v>46137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6">
        <v>0</v>
      </c>
      <c r="K38" s="6">
        <v>0</v>
      </c>
      <c r="L38" s="4">
        <v>0</v>
      </c>
      <c r="M38" s="6">
        <v>0</v>
      </c>
      <c r="N38" s="6">
        <v>0</v>
      </c>
      <c r="O38" s="4">
        <v>0</v>
      </c>
    </row>
    <row r="39" spans="1:15" x14ac:dyDescent="0.25">
      <c r="A39" s="5">
        <v>46138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6">
        <v>0</v>
      </c>
      <c r="K39" s="6">
        <v>0</v>
      </c>
      <c r="L39" s="4">
        <v>0</v>
      </c>
      <c r="M39" s="6">
        <v>0</v>
      </c>
      <c r="N39" s="6">
        <v>0</v>
      </c>
      <c r="O39" s="4">
        <v>0</v>
      </c>
    </row>
    <row r="40" spans="1:15" x14ac:dyDescent="0.25">
      <c r="A40" s="5">
        <v>46139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6">
        <v>0</v>
      </c>
      <c r="K40" s="6">
        <v>0</v>
      </c>
      <c r="L40" s="4">
        <v>0</v>
      </c>
      <c r="M40" s="6">
        <v>0</v>
      </c>
      <c r="N40" s="6">
        <v>0</v>
      </c>
      <c r="O40" s="4">
        <v>0</v>
      </c>
    </row>
    <row r="41" spans="1:15" x14ac:dyDescent="0.25">
      <c r="A41" s="5">
        <v>46140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6">
        <v>0</v>
      </c>
      <c r="K41" s="6">
        <v>0</v>
      </c>
      <c r="L41" s="4">
        <v>0</v>
      </c>
      <c r="M41" s="6">
        <v>0</v>
      </c>
      <c r="N41" s="6">
        <v>0</v>
      </c>
      <c r="O41" s="4">
        <v>0</v>
      </c>
    </row>
    <row r="42" spans="1:15" x14ac:dyDescent="0.25">
      <c r="A42" s="5">
        <v>46141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6">
        <v>7.407407407407407E-2</v>
      </c>
      <c r="K42" s="6">
        <v>0</v>
      </c>
      <c r="L42" s="4">
        <v>-1</v>
      </c>
      <c r="M42" s="6">
        <v>0</v>
      </c>
      <c r="N42" s="6">
        <v>0</v>
      </c>
      <c r="O42" s="4">
        <v>0</v>
      </c>
    </row>
    <row r="43" spans="1:15" x14ac:dyDescent="0.25">
      <c r="A43" s="5">
        <v>46142</v>
      </c>
      <c r="B43" s="4">
        <v>0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6">
        <v>7.407407407407407E-2</v>
      </c>
      <c r="K43" s="6">
        <v>0</v>
      </c>
      <c r="L43" s="4">
        <v>-1</v>
      </c>
      <c r="M43" s="6">
        <v>0</v>
      </c>
      <c r="N43" s="6">
        <v>0</v>
      </c>
      <c r="O43" s="4">
        <v>0</v>
      </c>
    </row>
    <row r="44" spans="1:15" x14ac:dyDescent="0.25">
      <c r="A44" s="5">
        <v>46143</v>
      </c>
      <c r="B44" s="4">
        <v>0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6">
        <v>7.407407407407407E-2</v>
      </c>
      <c r="K44" s="6">
        <v>0</v>
      </c>
      <c r="L44" s="4">
        <v>-1</v>
      </c>
      <c r="M44" s="6">
        <v>0</v>
      </c>
      <c r="N44" s="6">
        <v>0</v>
      </c>
      <c r="O44" s="4">
        <v>0</v>
      </c>
    </row>
    <row r="45" spans="1:15" x14ac:dyDescent="0.25">
      <c r="A45" s="5">
        <v>46144</v>
      </c>
      <c r="B45" s="4">
        <v>0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6">
        <v>7.407407407407407E-2</v>
      </c>
      <c r="K45" s="6">
        <v>0</v>
      </c>
      <c r="L45" s="4">
        <v>-1</v>
      </c>
      <c r="M45" s="6">
        <v>0</v>
      </c>
      <c r="N45" s="6">
        <v>0</v>
      </c>
      <c r="O45" s="4">
        <v>0</v>
      </c>
    </row>
    <row r="46" spans="1:15" x14ac:dyDescent="0.25">
      <c r="A46" s="5">
        <v>46145</v>
      </c>
      <c r="B46" s="4">
        <v>0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6">
        <v>7.407407407407407E-2</v>
      </c>
      <c r="K46" s="6">
        <v>0</v>
      </c>
      <c r="L46" s="4">
        <v>-1</v>
      </c>
      <c r="M46" s="6">
        <v>0</v>
      </c>
      <c r="N46" s="6">
        <v>0</v>
      </c>
      <c r="O46" s="4">
        <v>0</v>
      </c>
    </row>
    <row r="47" spans="1:15" x14ac:dyDescent="0.25">
      <c r="A47" s="5">
        <v>46146</v>
      </c>
      <c r="B47" s="4">
        <v>1</v>
      </c>
      <c r="C47" s="4">
        <v>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6">
        <v>0.1111111111111111</v>
      </c>
      <c r="K47" s="6">
        <v>0</v>
      </c>
      <c r="L47" s="4">
        <v>-1</v>
      </c>
      <c r="M47" s="6">
        <v>0</v>
      </c>
      <c r="N47" s="6">
        <v>0</v>
      </c>
      <c r="O47" s="4">
        <v>0</v>
      </c>
    </row>
    <row r="48" spans="1:15" x14ac:dyDescent="0.25">
      <c r="A48" s="5">
        <v>46147</v>
      </c>
      <c r="B48" s="4">
        <v>0</v>
      </c>
      <c r="C48" s="4">
        <v>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6">
        <v>0.1111111111111111</v>
      </c>
      <c r="K48" s="6">
        <v>0</v>
      </c>
      <c r="L48" s="4">
        <v>-1</v>
      </c>
      <c r="M48" s="6">
        <v>0</v>
      </c>
      <c r="N48" s="6">
        <v>0</v>
      </c>
      <c r="O48" s="4">
        <v>0</v>
      </c>
    </row>
    <row r="49" spans="1:15" x14ac:dyDescent="0.25">
      <c r="A49" s="5">
        <v>46148</v>
      </c>
      <c r="B49" s="4">
        <v>0</v>
      </c>
      <c r="C49" s="4">
        <v>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6">
        <v>0.1111111111111111</v>
      </c>
      <c r="K49" s="6">
        <v>0</v>
      </c>
      <c r="L49" s="4">
        <v>-1</v>
      </c>
      <c r="M49" s="6">
        <v>0</v>
      </c>
      <c r="N49" s="6">
        <v>0</v>
      </c>
      <c r="O49" s="4">
        <v>0</v>
      </c>
    </row>
    <row r="50" spans="1:15" x14ac:dyDescent="0.25">
      <c r="A50" s="5">
        <v>46149</v>
      </c>
      <c r="B50" s="4">
        <v>0</v>
      </c>
      <c r="C50" s="4">
        <v>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6">
        <v>0.1111111111111111</v>
      </c>
      <c r="K50" s="6">
        <v>0</v>
      </c>
      <c r="L50" s="4">
        <v>-1</v>
      </c>
      <c r="M50" s="6">
        <v>0</v>
      </c>
      <c r="N50" s="6">
        <v>0</v>
      </c>
      <c r="O50" s="4">
        <v>0</v>
      </c>
    </row>
    <row r="51" spans="1:15" x14ac:dyDescent="0.25">
      <c r="A51" s="5">
        <v>46150</v>
      </c>
      <c r="B51" s="4">
        <v>0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6">
        <v>0.1111111111111111</v>
      </c>
      <c r="K51" s="6">
        <v>0</v>
      </c>
      <c r="L51" s="4">
        <v>-1</v>
      </c>
      <c r="M51" s="6">
        <v>0</v>
      </c>
      <c r="N51" s="6">
        <v>0</v>
      </c>
      <c r="O51" s="4">
        <v>0</v>
      </c>
    </row>
    <row r="52" spans="1:15" x14ac:dyDescent="0.25">
      <c r="A52" s="5">
        <v>46151</v>
      </c>
      <c r="B52" s="4">
        <v>0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6">
        <v>0.1111111111111111</v>
      </c>
      <c r="K52" s="6">
        <v>0</v>
      </c>
      <c r="L52" s="4">
        <v>-1</v>
      </c>
      <c r="M52" s="6">
        <v>0</v>
      </c>
      <c r="N52" s="6">
        <v>0</v>
      </c>
      <c r="O52" s="4">
        <v>0</v>
      </c>
    </row>
    <row r="53" spans="1:15" x14ac:dyDescent="0.25">
      <c r="A53" s="5">
        <v>46152</v>
      </c>
      <c r="B53" s="4">
        <v>0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6">
        <v>0.1111111111111111</v>
      </c>
      <c r="K53" s="6">
        <v>0</v>
      </c>
      <c r="L53" s="4">
        <v>-1</v>
      </c>
      <c r="M53" s="6">
        <v>0</v>
      </c>
      <c r="N53" s="6">
        <v>0</v>
      </c>
      <c r="O53" s="4">
        <v>0</v>
      </c>
    </row>
    <row r="54" spans="1:15" x14ac:dyDescent="0.25">
      <c r="A54" s="5">
        <v>46153</v>
      </c>
      <c r="B54" s="4">
        <v>0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6">
        <v>0.1111111111111111</v>
      </c>
      <c r="K54" s="6">
        <v>0</v>
      </c>
      <c r="L54" s="4">
        <v>-1</v>
      </c>
      <c r="M54" s="6">
        <v>0</v>
      </c>
      <c r="N54" s="6">
        <v>0</v>
      </c>
      <c r="O54" s="4">
        <v>0</v>
      </c>
    </row>
    <row r="55" spans="1:15" x14ac:dyDescent="0.25">
      <c r="A55" s="5">
        <v>46154</v>
      </c>
      <c r="B55" s="4">
        <v>0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6">
        <v>0.1111111111111111</v>
      </c>
      <c r="K55" s="6">
        <v>0</v>
      </c>
      <c r="L55" s="4">
        <v>-1</v>
      </c>
      <c r="M55" s="6">
        <v>0</v>
      </c>
      <c r="N55" s="6">
        <v>0</v>
      </c>
      <c r="O55" s="4">
        <v>0</v>
      </c>
    </row>
    <row r="56" spans="1:15" x14ac:dyDescent="0.25">
      <c r="A56" s="5">
        <v>46155</v>
      </c>
      <c r="B56" s="4">
        <v>0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6">
        <v>0.1111111111111111</v>
      </c>
      <c r="K56" s="6">
        <v>0</v>
      </c>
      <c r="L56" s="4">
        <v>-1</v>
      </c>
      <c r="M56" s="6">
        <v>0</v>
      </c>
      <c r="N56" s="6">
        <v>0</v>
      </c>
      <c r="O56" s="4">
        <v>0</v>
      </c>
    </row>
    <row r="57" spans="1:15" x14ac:dyDescent="0.25">
      <c r="A57" s="5">
        <v>46156</v>
      </c>
      <c r="B57" s="4">
        <v>0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6">
        <v>0.1111111111111111</v>
      </c>
      <c r="K57" s="6">
        <v>0</v>
      </c>
      <c r="L57" s="4">
        <v>-1</v>
      </c>
      <c r="M57" s="6">
        <v>0</v>
      </c>
      <c r="N57" s="6">
        <v>0</v>
      </c>
      <c r="O57" s="4">
        <v>0</v>
      </c>
    </row>
    <row r="58" spans="1:15" x14ac:dyDescent="0.25">
      <c r="A58" s="5">
        <v>46157</v>
      </c>
      <c r="B58" s="4">
        <v>0</v>
      </c>
      <c r="C58" s="4">
        <v>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6">
        <v>0.1111111111111111</v>
      </c>
      <c r="K58" s="6">
        <v>0</v>
      </c>
      <c r="L58" s="4">
        <v>-1</v>
      </c>
      <c r="M58" s="6">
        <v>0</v>
      </c>
      <c r="N58" s="6">
        <v>0</v>
      </c>
      <c r="O58" s="4">
        <v>0</v>
      </c>
    </row>
    <row r="59" spans="1:15" x14ac:dyDescent="0.25">
      <c r="A59" s="5">
        <v>46158</v>
      </c>
      <c r="B59" s="4">
        <v>0</v>
      </c>
      <c r="C59" s="4">
        <v>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6">
        <v>0.1111111111111111</v>
      </c>
      <c r="K59" s="6">
        <v>0</v>
      </c>
      <c r="L59" s="4">
        <v>-1</v>
      </c>
      <c r="M59" s="6">
        <v>0</v>
      </c>
      <c r="N59" s="6">
        <v>0</v>
      </c>
      <c r="O59" s="4">
        <v>0</v>
      </c>
    </row>
    <row r="60" spans="1:15" x14ac:dyDescent="0.25">
      <c r="A60" s="5">
        <v>46159</v>
      </c>
      <c r="B60" s="4">
        <v>0</v>
      </c>
      <c r="C60" s="4">
        <v>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6">
        <v>0.1111111111111111</v>
      </c>
      <c r="K60" s="6">
        <v>0</v>
      </c>
      <c r="L60" s="4">
        <v>-1</v>
      </c>
      <c r="M60" s="6">
        <v>0</v>
      </c>
      <c r="N60" s="6">
        <v>0</v>
      </c>
      <c r="O60" s="4">
        <v>0</v>
      </c>
    </row>
    <row r="61" spans="1:15" x14ac:dyDescent="0.25">
      <c r="A61" s="5">
        <v>46160</v>
      </c>
      <c r="B61" s="4">
        <v>0</v>
      </c>
      <c r="C61" s="4">
        <v>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6">
        <v>0.1111111111111111</v>
      </c>
      <c r="K61" s="6">
        <v>0</v>
      </c>
      <c r="L61" s="4">
        <v>-1</v>
      </c>
      <c r="M61" s="6">
        <v>0</v>
      </c>
      <c r="N61" s="6">
        <v>0</v>
      </c>
      <c r="O61" s="4">
        <v>0</v>
      </c>
    </row>
    <row r="62" spans="1:15" x14ac:dyDescent="0.25">
      <c r="A62" s="5">
        <v>46161</v>
      </c>
      <c r="B62" s="4">
        <v>2</v>
      </c>
      <c r="C62" s="4">
        <v>5</v>
      </c>
      <c r="D62" s="4">
        <v>1</v>
      </c>
      <c r="E62" s="4">
        <v>1</v>
      </c>
      <c r="F62" s="4">
        <v>2</v>
      </c>
      <c r="G62" s="4">
        <v>0</v>
      </c>
      <c r="H62" s="4">
        <v>2</v>
      </c>
      <c r="I62" s="4">
        <v>0</v>
      </c>
      <c r="J62" s="6">
        <v>0.1851851851851852</v>
      </c>
      <c r="K62" s="6">
        <v>3.7037037037037028E-2</v>
      </c>
      <c r="L62" s="4">
        <v>-1</v>
      </c>
      <c r="M62" s="6">
        <v>7.407407407407407E-2</v>
      </c>
      <c r="N62" s="6">
        <v>0</v>
      </c>
      <c r="O62" s="4">
        <v>-1</v>
      </c>
    </row>
    <row r="63" spans="1:15" x14ac:dyDescent="0.25">
      <c r="A63" s="5">
        <v>46162</v>
      </c>
      <c r="B63" s="4">
        <v>0</v>
      </c>
      <c r="C63" s="4">
        <v>5</v>
      </c>
      <c r="D63" s="4">
        <v>0</v>
      </c>
      <c r="E63" s="4">
        <v>1</v>
      </c>
      <c r="F63" s="4">
        <v>0</v>
      </c>
      <c r="G63" s="4">
        <v>0</v>
      </c>
      <c r="H63" s="4">
        <v>2</v>
      </c>
      <c r="I63" s="4">
        <v>0</v>
      </c>
      <c r="J63" s="6">
        <v>0.1851851851851852</v>
      </c>
      <c r="K63" s="6">
        <v>3.7037037037037028E-2</v>
      </c>
      <c r="L63" s="4">
        <v>-1</v>
      </c>
      <c r="M63" s="6">
        <v>7.407407407407407E-2</v>
      </c>
      <c r="N63" s="6">
        <v>0</v>
      </c>
      <c r="O63" s="4">
        <v>-1</v>
      </c>
    </row>
    <row r="64" spans="1:15" x14ac:dyDescent="0.25">
      <c r="A64" s="5">
        <v>46163</v>
      </c>
      <c r="B64" s="4">
        <v>0</v>
      </c>
      <c r="C64" s="4">
        <v>5</v>
      </c>
      <c r="D64" s="4">
        <v>0</v>
      </c>
      <c r="E64" s="4">
        <v>1</v>
      </c>
      <c r="F64" s="4">
        <v>0</v>
      </c>
      <c r="G64" s="4">
        <v>0</v>
      </c>
      <c r="H64" s="4">
        <v>2</v>
      </c>
      <c r="I64" s="4">
        <v>0</v>
      </c>
      <c r="J64" s="6">
        <v>0.1851851851851852</v>
      </c>
      <c r="K64" s="6">
        <v>3.7037037037037028E-2</v>
      </c>
      <c r="L64" s="4">
        <v>-1</v>
      </c>
      <c r="M64" s="6">
        <v>7.407407407407407E-2</v>
      </c>
      <c r="N64" s="6">
        <v>0</v>
      </c>
      <c r="O64" s="4">
        <v>-1</v>
      </c>
    </row>
    <row r="65" spans="1:15" x14ac:dyDescent="0.25">
      <c r="A65" s="5">
        <v>46164</v>
      </c>
      <c r="B65" s="4">
        <v>0</v>
      </c>
      <c r="C65" s="4">
        <v>5</v>
      </c>
      <c r="D65" s="4">
        <v>0</v>
      </c>
      <c r="E65" s="4">
        <v>1</v>
      </c>
      <c r="F65" s="4">
        <v>0</v>
      </c>
      <c r="G65" s="4">
        <v>0</v>
      </c>
      <c r="H65" s="4">
        <v>2</v>
      </c>
      <c r="I65" s="4">
        <v>0</v>
      </c>
      <c r="J65" s="6">
        <v>0.1851851851851852</v>
      </c>
      <c r="K65" s="6">
        <v>3.7037037037037028E-2</v>
      </c>
      <c r="L65" s="4">
        <v>-1</v>
      </c>
      <c r="M65" s="6">
        <v>7.407407407407407E-2</v>
      </c>
      <c r="N65" s="6">
        <v>0</v>
      </c>
      <c r="O65" s="4">
        <v>-1</v>
      </c>
    </row>
    <row r="66" spans="1:15" x14ac:dyDescent="0.25">
      <c r="A66" s="5">
        <v>46165</v>
      </c>
      <c r="B66" s="4">
        <v>0</v>
      </c>
      <c r="C66" s="4">
        <v>5</v>
      </c>
      <c r="D66" s="4">
        <v>0</v>
      </c>
      <c r="E66" s="4">
        <v>1</v>
      </c>
      <c r="F66" s="4">
        <v>0</v>
      </c>
      <c r="G66" s="4">
        <v>0</v>
      </c>
      <c r="H66" s="4">
        <v>2</v>
      </c>
      <c r="I66" s="4">
        <v>0</v>
      </c>
      <c r="J66" s="6">
        <v>0.1851851851851852</v>
      </c>
      <c r="K66" s="6">
        <v>3.7037037037037028E-2</v>
      </c>
      <c r="L66" s="4">
        <v>-1</v>
      </c>
      <c r="M66" s="6">
        <v>7.407407407407407E-2</v>
      </c>
      <c r="N66" s="6">
        <v>0</v>
      </c>
      <c r="O66" s="4">
        <v>-1</v>
      </c>
    </row>
    <row r="67" spans="1:15" x14ac:dyDescent="0.25">
      <c r="A67" s="5">
        <v>46166</v>
      </c>
      <c r="B67" s="4">
        <v>0</v>
      </c>
      <c r="C67" s="4">
        <v>5</v>
      </c>
      <c r="D67" s="4">
        <v>0</v>
      </c>
      <c r="E67" s="4">
        <v>1</v>
      </c>
      <c r="F67" s="4">
        <v>0</v>
      </c>
      <c r="G67" s="4">
        <v>0</v>
      </c>
      <c r="H67" s="4">
        <v>2</v>
      </c>
      <c r="I67" s="4">
        <v>0</v>
      </c>
      <c r="J67" s="6">
        <v>0.1851851851851852</v>
      </c>
      <c r="K67" s="6">
        <v>3.7037037037037028E-2</v>
      </c>
      <c r="L67" s="4">
        <v>-1</v>
      </c>
      <c r="M67" s="6">
        <v>7.407407407407407E-2</v>
      </c>
      <c r="N67" s="6">
        <v>0</v>
      </c>
      <c r="O67" s="4">
        <v>-1</v>
      </c>
    </row>
    <row r="68" spans="1:15" x14ac:dyDescent="0.25">
      <c r="A68" s="5">
        <v>46167</v>
      </c>
      <c r="B68" s="4">
        <v>0</v>
      </c>
      <c r="C68" s="4">
        <v>5</v>
      </c>
      <c r="D68" s="4">
        <v>0</v>
      </c>
      <c r="E68" s="4">
        <v>1</v>
      </c>
      <c r="F68" s="4">
        <v>2</v>
      </c>
      <c r="G68" s="4">
        <v>0</v>
      </c>
      <c r="H68" s="4">
        <v>4</v>
      </c>
      <c r="I68" s="4">
        <v>0</v>
      </c>
      <c r="J68" s="6">
        <v>0.1851851851851852</v>
      </c>
      <c r="K68" s="6">
        <v>3.7037037037037028E-2</v>
      </c>
      <c r="L68" s="4">
        <v>-1</v>
      </c>
      <c r="M68" s="6">
        <v>0.14814814814814811</v>
      </c>
      <c r="N68" s="6">
        <v>0</v>
      </c>
      <c r="O68" s="4">
        <v>-1</v>
      </c>
    </row>
    <row r="69" spans="1:15" x14ac:dyDescent="0.25">
      <c r="A69" s="5">
        <v>46168</v>
      </c>
      <c r="B69" s="4">
        <v>3</v>
      </c>
      <c r="C69" s="4">
        <v>8</v>
      </c>
      <c r="D69" s="4">
        <v>0</v>
      </c>
      <c r="E69" s="4">
        <v>1</v>
      </c>
      <c r="F69" s="4">
        <v>0</v>
      </c>
      <c r="G69" s="4">
        <v>0</v>
      </c>
      <c r="H69" s="4">
        <v>4</v>
      </c>
      <c r="I69" s="4">
        <v>0</v>
      </c>
      <c r="J69" s="6">
        <v>0.29629629629629628</v>
      </c>
      <c r="K69" s="6">
        <v>3.7037037037037028E-2</v>
      </c>
      <c r="L69" s="4">
        <v>-1</v>
      </c>
      <c r="M69" s="6">
        <v>0.14814814814814811</v>
      </c>
      <c r="N69" s="6">
        <v>0</v>
      </c>
      <c r="O69" s="4">
        <v>-1</v>
      </c>
    </row>
    <row r="70" spans="1:15" x14ac:dyDescent="0.25">
      <c r="A70" s="5">
        <v>46169</v>
      </c>
      <c r="B70" s="4">
        <v>3</v>
      </c>
      <c r="C70" s="4">
        <v>11</v>
      </c>
      <c r="D70" s="4">
        <v>0</v>
      </c>
      <c r="E70" s="4">
        <v>1</v>
      </c>
      <c r="F70" s="4">
        <v>0</v>
      </c>
      <c r="G70" s="4">
        <v>0</v>
      </c>
      <c r="H70" s="4">
        <v>4</v>
      </c>
      <c r="I70" s="4">
        <v>0</v>
      </c>
      <c r="J70" s="6">
        <v>0.40740740740740738</v>
      </c>
      <c r="K70" s="6">
        <v>3.7037037037037028E-2</v>
      </c>
      <c r="L70" s="4">
        <v>-1</v>
      </c>
      <c r="M70" s="6">
        <v>0.14814814814814811</v>
      </c>
      <c r="N70" s="6">
        <v>0</v>
      </c>
      <c r="O70" s="4">
        <v>-1</v>
      </c>
    </row>
    <row r="71" spans="1:15" x14ac:dyDescent="0.25">
      <c r="A71" s="5">
        <v>46170</v>
      </c>
      <c r="B71" s="4">
        <v>0</v>
      </c>
      <c r="C71" s="4">
        <v>11</v>
      </c>
      <c r="D71" s="4">
        <v>3</v>
      </c>
      <c r="E71" s="4">
        <v>4</v>
      </c>
      <c r="F71" s="4">
        <v>0</v>
      </c>
      <c r="G71" s="4">
        <v>0</v>
      </c>
      <c r="H71" s="4">
        <v>4</v>
      </c>
      <c r="I71" s="4">
        <v>0</v>
      </c>
      <c r="J71" s="6">
        <v>0.40740740740740738</v>
      </c>
      <c r="K71" s="6">
        <v>0.14814814814814811</v>
      </c>
      <c r="L71" s="4">
        <v>-1</v>
      </c>
      <c r="M71" s="6">
        <v>0.14814814814814811</v>
      </c>
      <c r="N71" s="6">
        <v>0</v>
      </c>
      <c r="O71" s="4">
        <v>-1</v>
      </c>
    </row>
    <row r="72" spans="1:15" x14ac:dyDescent="0.25">
      <c r="A72" s="5">
        <v>46171</v>
      </c>
      <c r="B72" s="4">
        <v>0</v>
      </c>
      <c r="C72" s="4">
        <v>11</v>
      </c>
      <c r="D72" s="4">
        <v>0</v>
      </c>
      <c r="E72" s="4">
        <v>4</v>
      </c>
      <c r="F72" s="4">
        <v>0</v>
      </c>
      <c r="G72" s="4">
        <v>0</v>
      </c>
      <c r="H72" s="4">
        <v>4</v>
      </c>
      <c r="I72" s="4">
        <v>0</v>
      </c>
      <c r="J72" s="6">
        <v>0.40740740740740738</v>
      </c>
      <c r="K72" s="6">
        <v>0.14814814814814811</v>
      </c>
      <c r="L72" s="4">
        <v>-1</v>
      </c>
      <c r="M72" s="6">
        <v>0.14814814814814811</v>
      </c>
      <c r="N72" s="6">
        <v>0</v>
      </c>
      <c r="O72" s="4">
        <v>-1</v>
      </c>
    </row>
    <row r="73" spans="1:15" x14ac:dyDescent="0.25">
      <c r="A73" s="5">
        <v>46172</v>
      </c>
      <c r="B73" s="4">
        <v>0</v>
      </c>
      <c r="C73" s="4">
        <v>11</v>
      </c>
      <c r="D73" s="4">
        <v>0</v>
      </c>
      <c r="E73" s="4">
        <v>4</v>
      </c>
      <c r="F73" s="4">
        <v>0</v>
      </c>
      <c r="G73" s="4">
        <v>0</v>
      </c>
      <c r="H73" s="4">
        <v>4</v>
      </c>
      <c r="I73" s="4">
        <v>0</v>
      </c>
      <c r="J73" s="6">
        <v>0.40740740740740738</v>
      </c>
      <c r="K73" s="6">
        <v>0.14814814814814811</v>
      </c>
      <c r="L73" s="4">
        <v>-1</v>
      </c>
      <c r="M73" s="6">
        <v>0.14814814814814811</v>
      </c>
      <c r="N73" s="6">
        <v>0</v>
      </c>
      <c r="O73" s="4">
        <v>-1</v>
      </c>
    </row>
    <row r="74" spans="1:15" x14ac:dyDescent="0.25">
      <c r="A74" s="5">
        <v>46173</v>
      </c>
      <c r="B74" s="4">
        <v>0</v>
      </c>
      <c r="C74" s="4">
        <v>11</v>
      </c>
      <c r="D74" s="4">
        <v>0</v>
      </c>
      <c r="E74" s="4">
        <v>4</v>
      </c>
      <c r="F74" s="4">
        <v>0</v>
      </c>
      <c r="G74" s="4">
        <v>0</v>
      </c>
      <c r="H74" s="4">
        <v>4</v>
      </c>
      <c r="I74" s="4">
        <v>0</v>
      </c>
      <c r="J74" s="6">
        <v>0.40740740740740738</v>
      </c>
      <c r="K74" s="6">
        <v>0.14814814814814811</v>
      </c>
      <c r="L74" s="4">
        <v>-1</v>
      </c>
      <c r="M74" s="6">
        <v>0.14814814814814811</v>
      </c>
      <c r="N74" s="6">
        <v>0</v>
      </c>
      <c r="O74" s="4">
        <v>-1</v>
      </c>
    </row>
    <row r="75" spans="1:15" x14ac:dyDescent="0.25">
      <c r="A75" s="5">
        <v>46174</v>
      </c>
      <c r="B75" s="4">
        <v>1</v>
      </c>
      <c r="C75" s="4">
        <v>12</v>
      </c>
      <c r="D75" s="4">
        <v>0</v>
      </c>
      <c r="E75" s="4">
        <v>4</v>
      </c>
      <c r="F75" s="4">
        <v>3</v>
      </c>
      <c r="G75" s="4">
        <v>0</v>
      </c>
      <c r="H75" s="4">
        <v>7</v>
      </c>
      <c r="I75" s="4">
        <v>0</v>
      </c>
      <c r="J75" s="6">
        <v>0.44444444444444442</v>
      </c>
      <c r="K75" s="6">
        <v>0.14814814814814811</v>
      </c>
      <c r="L75" s="4">
        <v>-1</v>
      </c>
      <c r="M75" s="6">
        <v>0.25925925925925919</v>
      </c>
      <c r="N75" s="6">
        <v>0</v>
      </c>
      <c r="O75" s="4">
        <v>-1</v>
      </c>
    </row>
    <row r="76" spans="1:15" x14ac:dyDescent="0.25">
      <c r="A76" s="5">
        <v>46175</v>
      </c>
      <c r="B76" s="4">
        <v>0</v>
      </c>
      <c r="C76" s="4">
        <v>12</v>
      </c>
      <c r="D76" s="4">
        <v>1</v>
      </c>
      <c r="E76" s="4">
        <v>5</v>
      </c>
      <c r="F76" s="4">
        <v>3</v>
      </c>
      <c r="G76" s="4">
        <v>0</v>
      </c>
      <c r="H76" s="4">
        <v>10</v>
      </c>
      <c r="I76" s="4">
        <v>0</v>
      </c>
      <c r="J76" s="6">
        <v>0.44444444444444442</v>
      </c>
      <c r="K76" s="6">
        <v>0.1851851851851852</v>
      </c>
      <c r="L76" s="4">
        <v>-1</v>
      </c>
      <c r="M76" s="6">
        <v>0.37037037037037029</v>
      </c>
      <c r="N76" s="6">
        <v>0</v>
      </c>
      <c r="O76" s="4">
        <v>-1</v>
      </c>
    </row>
    <row r="77" spans="1:15" x14ac:dyDescent="0.25">
      <c r="A77" s="5">
        <v>46176</v>
      </c>
      <c r="B77" s="4">
        <v>0</v>
      </c>
      <c r="C77" s="4">
        <v>12</v>
      </c>
      <c r="D77" s="4">
        <v>1</v>
      </c>
      <c r="E77" s="4">
        <v>6</v>
      </c>
      <c r="F77" s="4">
        <v>0</v>
      </c>
      <c r="G77" s="4">
        <v>0</v>
      </c>
      <c r="H77" s="4">
        <v>10</v>
      </c>
      <c r="I77" s="4">
        <v>0</v>
      </c>
      <c r="J77" s="6">
        <v>0.44444444444444442</v>
      </c>
      <c r="K77" s="6">
        <v>0.22222222222222221</v>
      </c>
      <c r="L77" s="4">
        <v>-1</v>
      </c>
      <c r="M77" s="6">
        <v>0.37037037037037029</v>
      </c>
      <c r="N77" s="6">
        <v>0</v>
      </c>
      <c r="O77" s="4">
        <v>-1</v>
      </c>
    </row>
    <row r="78" spans="1:15" x14ac:dyDescent="0.25">
      <c r="A78" s="5">
        <v>46177</v>
      </c>
      <c r="B78" s="4">
        <v>2</v>
      </c>
      <c r="C78" s="4">
        <v>14</v>
      </c>
      <c r="D78" s="4">
        <v>0</v>
      </c>
      <c r="E78" s="4">
        <v>6</v>
      </c>
      <c r="F78" s="4">
        <v>0</v>
      </c>
      <c r="G78" s="4">
        <v>0</v>
      </c>
      <c r="H78" s="4">
        <v>10</v>
      </c>
      <c r="I78" s="4">
        <v>0</v>
      </c>
      <c r="J78" s="6">
        <v>0.51851851851851849</v>
      </c>
      <c r="K78" s="6">
        <v>0.22222222222222221</v>
      </c>
      <c r="L78" s="4">
        <v>-1</v>
      </c>
      <c r="M78" s="6">
        <v>0.37037037037037029</v>
      </c>
      <c r="N78" s="6">
        <v>0</v>
      </c>
      <c r="O78" s="4">
        <v>-1</v>
      </c>
    </row>
    <row r="79" spans="1:15" x14ac:dyDescent="0.25">
      <c r="A79" s="5">
        <v>46178</v>
      </c>
      <c r="B79" s="4">
        <v>0</v>
      </c>
      <c r="C79" s="4">
        <v>14</v>
      </c>
      <c r="D79" s="4">
        <v>1</v>
      </c>
      <c r="E79" s="4">
        <v>7</v>
      </c>
      <c r="F79" s="4">
        <v>1</v>
      </c>
      <c r="G79" s="4">
        <v>0</v>
      </c>
      <c r="H79" s="4">
        <v>11</v>
      </c>
      <c r="I79" s="4">
        <v>0</v>
      </c>
      <c r="J79" s="6">
        <v>0.51851851851851849</v>
      </c>
      <c r="K79" s="6">
        <v>0.25925925925925919</v>
      </c>
      <c r="L79" s="4">
        <v>-1</v>
      </c>
      <c r="M79" s="6">
        <v>0.40740740740740738</v>
      </c>
      <c r="N79" s="6">
        <v>0</v>
      </c>
      <c r="O79" s="4">
        <v>-1</v>
      </c>
    </row>
    <row r="80" spans="1:15" x14ac:dyDescent="0.25">
      <c r="A80" s="5">
        <v>46179</v>
      </c>
      <c r="B80" s="4">
        <v>0</v>
      </c>
      <c r="C80" s="4">
        <v>14</v>
      </c>
      <c r="D80" s="4">
        <v>0</v>
      </c>
      <c r="E80" s="4">
        <v>7</v>
      </c>
      <c r="F80" s="4">
        <v>0</v>
      </c>
      <c r="G80" s="4">
        <v>0</v>
      </c>
      <c r="H80" s="4">
        <v>11</v>
      </c>
      <c r="I80" s="4">
        <v>0</v>
      </c>
      <c r="J80" s="6">
        <v>0.51851851851851849</v>
      </c>
      <c r="K80" s="6">
        <v>0.25925925925925919</v>
      </c>
      <c r="L80" s="4">
        <v>-1</v>
      </c>
      <c r="M80" s="6">
        <v>0.40740740740740738</v>
      </c>
      <c r="N80" s="6">
        <v>0</v>
      </c>
      <c r="O80" s="4">
        <v>-1</v>
      </c>
    </row>
    <row r="81" spans="1:15" x14ac:dyDescent="0.25">
      <c r="A81" s="5">
        <v>46180</v>
      </c>
      <c r="B81" s="4">
        <v>0</v>
      </c>
      <c r="C81" s="4">
        <v>14</v>
      </c>
      <c r="D81" s="4">
        <v>0</v>
      </c>
      <c r="E81" s="4">
        <v>7</v>
      </c>
      <c r="F81" s="4">
        <v>0</v>
      </c>
      <c r="G81" s="4">
        <v>0</v>
      </c>
      <c r="H81" s="4">
        <v>11</v>
      </c>
      <c r="I81" s="4">
        <v>0</v>
      </c>
      <c r="J81" s="6">
        <v>0.51851851851851849</v>
      </c>
      <c r="K81" s="6">
        <v>0.25925925925925919</v>
      </c>
      <c r="L81" s="4">
        <v>-1</v>
      </c>
      <c r="M81" s="6">
        <v>0.40740740740740738</v>
      </c>
      <c r="N81" s="6">
        <v>0</v>
      </c>
      <c r="O81" s="4">
        <v>-1</v>
      </c>
    </row>
    <row r="82" spans="1:15" x14ac:dyDescent="0.25">
      <c r="A82" s="5">
        <v>46181</v>
      </c>
      <c r="B82" s="4">
        <v>0</v>
      </c>
      <c r="C82" s="4">
        <v>14</v>
      </c>
      <c r="D82" s="4">
        <v>0</v>
      </c>
      <c r="E82" s="4">
        <v>7</v>
      </c>
      <c r="F82" s="4">
        <v>0</v>
      </c>
      <c r="G82" s="4">
        <v>0</v>
      </c>
      <c r="H82" s="4">
        <v>11</v>
      </c>
      <c r="I82" s="4">
        <v>0</v>
      </c>
      <c r="J82" s="6">
        <v>0.51851851851851849</v>
      </c>
      <c r="K82" s="6">
        <v>0.25925925925925919</v>
      </c>
      <c r="L82" s="4">
        <v>-1</v>
      </c>
      <c r="M82" s="6">
        <v>0.40740740740740738</v>
      </c>
      <c r="N82" s="6">
        <v>0</v>
      </c>
      <c r="O82" s="4">
        <v>-1</v>
      </c>
    </row>
    <row r="83" spans="1:15" x14ac:dyDescent="0.25">
      <c r="A83" s="5">
        <v>46182</v>
      </c>
      <c r="B83" s="4">
        <v>0</v>
      </c>
      <c r="C83" s="4">
        <v>14</v>
      </c>
      <c r="D83" s="4">
        <v>0</v>
      </c>
      <c r="E83" s="4">
        <v>7</v>
      </c>
      <c r="F83" s="4">
        <v>0</v>
      </c>
      <c r="G83" s="4">
        <v>0</v>
      </c>
      <c r="H83" s="4">
        <v>11</v>
      </c>
      <c r="I83" s="4">
        <v>0</v>
      </c>
      <c r="J83" s="6">
        <v>0.51851851851851849</v>
      </c>
      <c r="K83" s="6">
        <v>0.25925925925925919</v>
      </c>
      <c r="L83" s="4">
        <v>-1</v>
      </c>
      <c r="M83" s="6">
        <v>0.40740740740740738</v>
      </c>
      <c r="N83" s="6">
        <v>0</v>
      </c>
      <c r="O83" s="4">
        <v>-1</v>
      </c>
    </row>
    <row r="84" spans="1:15" x14ac:dyDescent="0.25">
      <c r="A84" s="5">
        <v>46183</v>
      </c>
      <c r="B84" s="4">
        <v>0</v>
      </c>
      <c r="C84" s="4">
        <v>14</v>
      </c>
      <c r="D84" s="4">
        <v>0</v>
      </c>
      <c r="E84" s="4">
        <v>7</v>
      </c>
      <c r="F84" s="4">
        <v>2</v>
      </c>
      <c r="G84" s="4">
        <v>0</v>
      </c>
      <c r="H84" s="4">
        <v>13</v>
      </c>
      <c r="I84" s="4">
        <v>0</v>
      </c>
      <c r="J84" s="6">
        <v>0.51851851851851849</v>
      </c>
      <c r="K84" s="6">
        <v>0.25925925925925919</v>
      </c>
      <c r="L84" s="4">
        <v>-1</v>
      </c>
      <c r="M84" s="6">
        <v>0.48148148148148151</v>
      </c>
      <c r="N84" s="6">
        <v>0</v>
      </c>
      <c r="O84" s="4">
        <v>-1</v>
      </c>
    </row>
    <row r="85" spans="1:15" x14ac:dyDescent="0.25">
      <c r="A85" s="5">
        <v>46184</v>
      </c>
      <c r="B85" s="4">
        <v>0</v>
      </c>
      <c r="C85" s="4">
        <v>14</v>
      </c>
      <c r="D85" s="4">
        <v>0</v>
      </c>
      <c r="E85" s="4">
        <v>7</v>
      </c>
      <c r="F85" s="4">
        <v>0</v>
      </c>
      <c r="G85" s="4">
        <v>0</v>
      </c>
      <c r="H85" s="4">
        <v>13</v>
      </c>
      <c r="I85" s="4">
        <v>0</v>
      </c>
      <c r="J85" s="6">
        <v>0.51851851851851849</v>
      </c>
      <c r="K85" s="6">
        <v>0.25925925925925919</v>
      </c>
      <c r="L85" s="4">
        <v>-1</v>
      </c>
      <c r="M85" s="6">
        <v>0.48148148148148151</v>
      </c>
      <c r="N85" s="6">
        <v>0</v>
      </c>
      <c r="O85" s="4">
        <v>-1</v>
      </c>
    </row>
    <row r="86" spans="1:15" x14ac:dyDescent="0.25">
      <c r="A86" s="5">
        <v>46185</v>
      </c>
      <c r="B86" s="4">
        <v>0</v>
      </c>
      <c r="C86" s="4">
        <v>14</v>
      </c>
      <c r="D86" s="4">
        <v>1</v>
      </c>
      <c r="E86" s="4">
        <v>8</v>
      </c>
      <c r="F86" s="4">
        <v>0</v>
      </c>
      <c r="G86" s="4">
        <v>0</v>
      </c>
      <c r="H86" s="4">
        <v>13</v>
      </c>
      <c r="I86" s="4">
        <v>0</v>
      </c>
      <c r="J86" s="6">
        <v>0.51851851851851849</v>
      </c>
      <c r="K86" s="6">
        <v>0.29629629629629628</v>
      </c>
      <c r="L86" s="4">
        <v>-1</v>
      </c>
      <c r="M86" s="6">
        <v>0.48148148148148151</v>
      </c>
      <c r="N86" s="6">
        <v>0</v>
      </c>
      <c r="O86" s="4">
        <v>-1</v>
      </c>
    </row>
    <row r="87" spans="1:15" x14ac:dyDescent="0.25">
      <c r="A87" s="5">
        <v>46186</v>
      </c>
      <c r="B87" s="4">
        <v>0</v>
      </c>
      <c r="C87" s="4">
        <v>14</v>
      </c>
      <c r="D87" s="4">
        <v>0</v>
      </c>
      <c r="E87" s="4">
        <v>8</v>
      </c>
      <c r="F87" s="4">
        <v>0</v>
      </c>
      <c r="G87" s="4">
        <v>0</v>
      </c>
      <c r="H87" s="4">
        <v>13</v>
      </c>
      <c r="I87" s="4">
        <v>0</v>
      </c>
      <c r="J87" s="6">
        <v>0.51851851851851849</v>
      </c>
      <c r="K87" s="6">
        <v>0.29629629629629628</v>
      </c>
      <c r="L87" s="4">
        <v>-1</v>
      </c>
      <c r="M87" s="6">
        <v>0.48148148148148151</v>
      </c>
      <c r="N87" s="6">
        <v>0</v>
      </c>
      <c r="O87" s="4">
        <v>-1</v>
      </c>
    </row>
    <row r="88" spans="1:15" x14ac:dyDescent="0.25">
      <c r="A88" s="5">
        <v>46187</v>
      </c>
      <c r="B88" s="4">
        <v>0</v>
      </c>
      <c r="C88" s="4">
        <v>14</v>
      </c>
      <c r="D88" s="4">
        <v>0</v>
      </c>
      <c r="E88" s="4">
        <v>8</v>
      </c>
      <c r="F88" s="4">
        <v>0</v>
      </c>
      <c r="G88" s="4">
        <v>0</v>
      </c>
      <c r="H88" s="4">
        <v>13</v>
      </c>
      <c r="I88" s="4">
        <v>0</v>
      </c>
      <c r="J88" s="6">
        <v>0.51851851851851849</v>
      </c>
      <c r="K88" s="6">
        <v>0.29629629629629628</v>
      </c>
      <c r="L88" s="4">
        <v>-1</v>
      </c>
      <c r="M88" s="6">
        <v>0.48148148148148151</v>
      </c>
      <c r="N88" s="6">
        <v>0</v>
      </c>
      <c r="O88" s="4">
        <v>-1</v>
      </c>
    </row>
    <row r="89" spans="1:15" x14ac:dyDescent="0.25">
      <c r="A89" s="5">
        <v>46188</v>
      </c>
      <c r="B89" s="4">
        <v>6</v>
      </c>
      <c r="C89" s="4">
        <v>20</v>
      </c>
      <c r="D89" s="4">
        <v>1</v>
      </c>
      <c r="E89" s="4">
        <v>9</v>
      </c>
      <c r="F89" s="4">
        <v>0</v>
      </c>
      <c r="G89" s="4">
        <v>0</v>
      </c>
      <c r="H89" s="4">
        <v>13</v>
      </c>
      <c r="I89" s="4">
        <v>0</v>
      </c>
      <c r="J89" s="6">
        <v>0.7407407407407407</v>
      </c>
      <c r="K89" s="6">
        <v>0.33333333333333331</v>
      </c>
      <c r="L89" s="4">
        <v>-1</v>
      </c>
      <c r="M89" s="6">
        <v>0.48148148148148151</v>
      </c>
      <c r="N89" s="6">
        <v>0</v>
      </c>
      <c r="O89" s="4">
        <v>-1</v>
      </c>
    </row>
    <row r="90" spans="1:15" x14ac:dyDescent="0.25">
      <c r="A90" s="5">
        <v>46189</v>
      </c>
      <c r="B90" s="4">
        <v>0</v>
      </c>
      <c r="C90" s="4">
        <v>20</v>
      </c>
      <c r="D90" s="4">
        <v>0</v>
      </c>
      <c r="E90" s="4">
        <v>9</v>
      </c>
      <c r="F90" s="4">
        <v>1</v>
      </c>
      <c r="G90" s="4">
        <v>0</v>
      </c>
      <c r="H90" s="4">
        <v>14</v>
      </c>
      <c r="I90" s="4">
        <v>0</v>
      </c>
      <c r="J90" s="6">
        <v>0.7407407407407407</v>
      </c>
      <c r="K90" s="6">
        <v>0.33333333333333331</v>
      </c>
      <c r="L90" s="4">
        <v>-1</v>
      </c>
      <c r="M90" s="6">
        <v>0.51851851851851849</v>
      </c>
      <c r="N90" s="6">
        <v>0</v>
      </c>
      <c r="O90" s="4">
        <v>-1</v>
      </c>
    </row>
    <row r="91" spans="1:15" x14ac:dyDescent="0.25">
      <c r="A91" s="5">
        <v>46190</v>
      </c>
      <c r="B91" s="4">
        <v>0</v>
      </c>
      <c r="C91" s="4">
        <v>20</v>
      </c>
      <c r="D91" s="4">
        <v>0</v>
      </c>
      <c r="E91" s="4">
        <v>9</v>
      </c>
      <c r="F91" s="4">
        <v>0</v>
      </c>
      <c r="G91" s="4">
        <v>0</v>
      </c>
      <c r="H91" s="4">
        <v>14</v>
      </c>
      <c r="I91" s="4">
        <v>0</v>
      </c>
      <c r="J91" s="6">
        <v>0.7407407407407407</v>
      </c>
      <c r="K91" s="6">
        <v>0.33333333333333331</v>
      </c>
      <c r="L91" s="4">
        <v>-1</v>
      </c>
      <c r="M91" s="6">
        <v>0.51851851851851849</v>
      </c>
      <c r="N91" s="6">
        <v>0</v>
      </c>
      <c r="O91" s="4">
        <v>-1</v>
      </c>
    </row>
    <row r="92" spans="1:15" x14ac:dyDescent="0.25">
      <c r="A92" s="5">
        <v>46191</v>
      </c>
      <c r="B92" s="4">
        <v>0</v>
      </c>
      <c r="C92" s="4">
        <v>20</v>
      </c>
      <c r="D92" s="4">
        <v>0</v>
      </c>
      <c r="E92" s="4">
        <v>9</v>
      </c>
      <c r="F92" s="4">
        <v>0</v>
      </c>
      <c r="G92" s="4">
        <v>1</v>
      </c>
      <c r="H92" s="4">
        <v>14</v>
      </c>
      <c r="I92" s="4">
        <v>1</v>
      </c>
      <c r="J92" s="6">
        <v>0.7407407407407407</v>
      </c>
      <c r="K92" s="6">
        <v>0.33333333333333331</v>
      </c>
      <c r="L92" s="4">
        <v>-1</v>
      </c>
      <c r="M92" s="6">
        <v>0.51851851851851849</v>
      </c>
      <c r="N92" s="6">
        <v>3.7037037037037028E-2</v>
      </c>
      <c r="O92" s="4">
        <v>-1</v>
      </c>
    </row>
    <row r="93" spans="1:15" x14ac:dyDescent="0.25">
      <c r="A93" s="5">
        <v>46192</v>
      </c>
      <c r="B93" s="4">
        <v>3</v>
      </c>
      <c r="C93" s="4">
        <v>23</v>
      </c>
      <c r="D93" s="4">
        <v>0</v>
      </c>
      <c r="E93" s="4">
        <v>9</v>
      </c>
      <c r="F93" s="4">
        <v>6</v>
      </c>
      <c r="G93" s="4">
        <v>0</v>
      </c>
      <c r="H93" s="4">
        <v>20</v>
      </c>
      <c r="I93" s="4">
        <v>1</v>
      </c>
      <c r="J93" s="6">
        <v>0.85185185185185186</v>
      </c>
      <c r="K93" s="6">
        <v>0.33333333333333331</v>
      </c>
      <c r="L93" s="4">
        <v>-1</v>
      </c>
      <c r="M93" s="6">
        <v>0.7407407407407407</v>
      </c>
      <c r="N93" s="6">
        <v>3.7037037037037028E-2</v>
      </c>
      <c r="O93" s="4">
        <v>-1</v>
      </c>
    </row>
    <row r="94" spans="1:15" x14ac:dyDescent="0.25">
      <c r="A94" s="5">
        <v>46193</v>
      </c>
      <c r="B94" s="4">
        <v>0</v>
      </c>
      <c r="C94" s="4">
        <v>23</v>
      </c>
      <c r="D94" s="4">
        <v>0</v>
      </c>
      <c r="E94" s="4">
        <v>9</v>
      </c>
      <c r="F94" s="4">
        <v>0</v>
      </c>
      <c r="G94" s="4">
        <v>0</v>
      </c>
      <c r="H94" s="4">
        <v>20</v>
      </c>
      <c r="I94" s="4">
        <v>1</v>
      </c>
      <c r="J94" s="6">
        <v>0.85185185185185186</v>
      </c>
      <c r="K94" s="6">
        <v>0.33333333333333331</v>
      </c>
      <c r="L94" s="4">
        <v>-1</v>
      </c>
      <c r="M94" s="6">
        <v>0.7407407407407407</v>
      </c>
      <c r="N94" s="6">
        <v>3.7037037037037028E-2</v>
      </c>
      <c r="O94" s="4">
        <v>-1</v>
      </c>
    </row>
    <row r="95" spans="1:15" x14ac:dyDescent="0.25">
      <c r="A95" s="5">
        <v>46194</v>
      </c>
      <c r="B95" s="4">
        <v>0</v>
      </c>
      <c r="C95" s="4">
        <v>23</v>
      </c>
      <c r="D95" s="4">
        <v>0</v>
      </c>
      <c r="E95" s="4">
        <v>9</v>
      </c>
      <c r="F95" s="4">
        <v>0</v>
      </c>
      <c r="G95" s="4">
        <v>0</v>
      </c>
      <c r="H95" s="4">
        <v>20</v>
      </c>
      <c r="I95" s="4">
        <v>1</v>
      </c>
      <c r="J95" s="6">
        <v>0.85185185185185186</v>
      </c>
      <c r="K95" s="6">
        <v>0.33333333333333331</v>
      </c>
      <c r="L95" s="4">
        <v>-1</v>
      </c>
      <c r="M95" s="6">
        <v>0.7407407407407407</v>
      </c>
      <c r="N95" s="6">
        <v>3.7037037037037028E-2</v>
      </c>
      <c r="O95" s="4">
        <v>-1</v>
      </c>
    </row>
    <row r="96" spans="1:15" x14ac:dyDescent="0.25">
      <c r="A96" s="5">
        <v>46195</v>
      </c>
      <c r="B96" s="4">
        <v>1</v>
      </c>
      <c r="C96" s="4">
        <v>24</v>
      </c>
      <c r="D96" s="4">
        <v>0</v>
      </c>
      <c r="E96" s="4">
        <v>9</v>
      </c>
      <c r="F96" s="4">
        <v>0</v>
      </c>
      <c r="G96" s="4">
        <v>0</v>
      </c>
      <c r="H96" s="4">
        <v>20</v>
      </c>
      <c r="I96" s="4">
        <v>1</v>
      </c>
      <c r="J96" s="6">
        <v>0.88888888888888884</v>
      </c>
      <c r="K96" s="6">
        <v>0.33333333333333331</v>
      </c>
      <c r="L96" s="4">
        <v>-1</v>
      </c>
      <c r="M96" s="6">
        <v>0.7407407407407407</v>
      </c>
      <c r="N96" s="6">
        <v>3.7037037037037028E-2</v>
      </c>
      <c r="O96" s="4">
        <v>-1</v>
      </c>
    </row>
    <row r="97" spans="1:15" x14ac:dyDescent="0.25">
      <c r="A97" s="5">
        <v>46196</v>
      </c>
      <c r="B97" s="4">
        <v>2</v>
      </c>
      <c r="C97" s="4">
        <v>26</v>
      </c>
      <c r="D97" s="4">
        <v>0</v>
      </c>
      <c r="E97" s="4">
        <v>9</v>
      </c>
      <c r="F97" s="4">
        <v>0</v>
      </c>
      <c r="G97" s="4">
        <v>0</v>
      </c>
      <c r="H97" s="4">
        <v>20</v>
      </c>
      <c r="I97" s="4">
        <v>1</v>
      </c>
      <c r="J97" s="6">
        <v>0.96296296296296291</v>
      </c>
      <c r="K97" s="6">
        <v>0.33333333333333331</v>
      </c>
      <c r="L97" s="4">
        <v>-1</v>
      </c>
      <c r="M97" s="6">
        <v>0.7407407407407407</v>
      </c>
      <c r="N97" s="6">
        <v>3.7037037037037028E-2</v>
      </c>
      <c r="O97" s="4">
        <v>-1</v>
      </c>
    </row>
    <row r="98" spans="1:15" x14ac:dyDescent="0.25">
      <c r="A98" s="5">
        <v>46197</v>
      </c>
      <c r="B98" s="4">
        <v>0</v>
      </c>
      <c r="C98" s="4">
        <v>26</v>
      </c>
      <c r="D98" s="4">
        <v>1</v>
      </c>
      <c r="E98" s="4">
        <v>10</v>
      </c>
      <c r="F98" s="4">
        <v>0</v>
      </c>
      <c r="G98" s="4">
        <v>0</v>
      </c>
      <c r="H98" s="4">
        <v>20</v>
      </c>
      <c r="I98" s="4">
        <v>1</v>
      </c>
      <c r="J98" s="6">
        <v>0.96296296296296291</v>
      </c>
      <c r="K98" s="6">
        <v>0.37037037037037029</v>
      </c>
      <c r="L98" s="4">
        <v>-1</v>
      </c>
      <c r="M98" s="6">
        <v>0.7407407407407407</v>
      </c>
      <c r="N98" s="6">
        <v>3.7037037037037028E-2</v>
      </c>
      <c r="O98" s="4">
        <v>-1</v>
      </c>
    </row>
    <row r="99" spans="1:15" x14ac:dyDescent="0.25">
      <c r="A99" s="5">
        <v>46198</v>
      </c>
      <c r="B99" s="4">
        <v>0</v>
      </c>
      <c r="C99" s="4">
        <v>26</v>
      </c>
      <c r="D99" s="4">
        <v>0</v>
      </c>
      <c r="E99" s="4">
        <v>10</v>
      </c>
      <c r="F99" s="4">
        <v>3</v>
      </c>
      <c r="G99" s="4">
        <v>0</v>
      </c>
      <c r="H99" s="4">
        <v>23</v>
      </c>
      <c r="I99" s="4">
        <v>1</v>
      </c>
      <c r="J99" s="6">
        <v>0.96296296296296291</v>
      </c>
      <c r="K99" s="6">
        <v>0.37037037037037029</v>
      </c>
      <c r="L99" s="4">
        <v>-1</v>
      </c>
      <c r="M99" s="6">
        <v>0.85185185185185186</v>
      </c>
      <c r="N99" s="6">
        <v>3.7037037037037028E-2</v>
      </c>
      <c r="O99" s="4">
        <v>-1</v>
      </c>
    </row>
    <row r="100" spans="1:15" x14ac:dyDescent="0.25">
      <c r="A100" s="5">
        <v>46199</v>
      </c>
      <c r="B100" s="4">
        <v>0</v>
      </c>
      <c r="C100" s="4">
        <v>26</v>
      </c>
      <c r="D100" s="4">
        <v>0</v>
      </c>
      <c r="E100" s="4">
        <v>10</v>
      </c>
      <c r="F100" s="4">
        <v>1</v>
      </c>
      <c r="G100" s="4">
        <v>0</v>
      </c>
      <c r="H100" s="4">
        <v>24</v>
      </c>
      <c r="I100" s="4">
        <v>1</v>
      </c>
      <c r="J100" s="6">
        <v>0.96296296296296291</v>
      </c>
      <c r="K100" s="6">
        <v>0.37037037037037029</v>
      </c>
      <c r="L100" s="4">
        <v>-1</v>
      </c>
      <c r="M100" s="6">
        <v>0.88888888888888884</v>
      </c>
      <c r="N100" s="6">
        <v>3.7037037037037028E-2</v>
      </c>
      <c r="O100" s="4">
        <v>-1</v>
      </c>
    </row>
    <row r="101" spans="1:15" x14ac:dyDescent="0.25">
      <c r="A101" s="5">
        <v>46200</v>
      </c>
      <c r="B101" s="4">
        <v>0</v>
      </c>
      <c r="C101" s="4">
        <v>26</v>
      </c>
      <c r="D101" s="4">
        <v>0</v>
      </c>
      <c r="E101" s="4">
        <v>10</v>
      </c>
      <c r="F101" s="4">
        <v>0</v>
      </c>
      <c r="G101" s="4">
        <v>0</v>
      </c>
      <c r="H101" s="4">
        <v>24</v>
      </c>
      <c r="I101" s="4">
        <v>1</v>
      </c>
      <c r="J101" s="6">
        <v>0.96296296296296291</v>
      </c>
      <c r="K101" s="6">
        <v>0.37037037037037029</v>
      </c>
      <c r="L101" s="4">
        <v>-1</v>
      </c>
      <c r="M101" s="6">
        <v>0.88888888888888884</v>
      </c>
      <c r="N101" s="6">
        <v>3.7037037037037028E-2</v>
      </c>
      <c r="O101" s="4">
        <v>-1</v>
      </c>
    </row>
    <row r="102" spans="1:15" x14ac:dyDescent="0.25">
      <c r="A102" s="5">
        <v>46201</v>
      </c>
      <c r="B102" s="4">
        <v>0</v>
      </c>
      <c r="C102" s="4">
        <v>26</v>
      </c>
      <c r="D102" s="4">
        <v>0</v>
      </c>
      <c r="E102" s="4">
        <v>10</v>
      </c>
      <c r="F102" s="4">
        <v>0</v>
      </c>
      <c r="G102" s="4">
        <v>0</v>
      </c>
      <c r="H102" s="4">
        <v>24</v>
      </c>
      <c r="I102" s="4">
        <v>1</v>
      </c>
      <c r="J102" s="6">
        <v>0.96296296296296291</v>
      </c>
      <c r="K102" s="6">
        <v>0.37037037037037029</v>
      </c>
      <c r="L102" s="4">
        <v>-1</v>
      </c>
      <c r="M102" s="6">
        <v>0.88888888888888884</v>
      </c>
      <c r="N102" s="6">
        <v>3.7037037037037028E-2</v>
      </c>
      <c r="O102" s="4">
        <v>-1</v>
      </c>
    </row>
    <row r="103" spans="1:15" x14ac:dyDescent="0.25">
      <c r="A103" s="5">
        <v>46202</v>
      </c>
      <c r="B103" s="4">
        <v>0</v>
      </c>
      <c r="C103" s="4">
        <v>26</v>
      </c>
      <c r="D103" s="4">
        <v>0</v>
      </c>
      <c r="E103" s="4">
        <v>10</v>
      </c>
      <c r="F103" s="4">
        <v>2</v>
      </c>
      <c r="G103" s="4">
        <v>0</v>
      </c>
      <c r="H103" s="4">
        <v>26</v>
      </c>
      <c r="I103" s="4">
        <v>1</v>
      </c>
      <c r="J103" s="6">
        <v>0.96296296296296291</v>
      </c>
      <c r="K103" s="6">
        <v>0.37037037037037029</v>
      </c>
      <c r="L103" s="4">
        <v>-1</v>
      </c>
      <c r="M103" s="6">
        <v>0.96296296296296291</v>
      </c>
      <c r="N103" s="6">
        <v>3.7037037037037028E-2</v>
      </c>
      <c r="O103" s="4">
        <v>-1</v>
      </c>
    </row>
    <row r="104" spans="1:15" x14ac:dyDescent="0.25">
      <c r="A104" s="5">
        <v>46203</v>
      </c>
      <c r="B104" s="4">
        <v>0</v>
      </c>
      <c r="C104" s="4">
        <v>26</v>
      </c>
      <c r="D104" s="4">
        <v>0</v>
      </c>
      <c r="E104" s="4">
        <v>10</v>
      </c>
      <c r="F104" s="4">
        <v>0</v>
      </c>
      <c r="G104" s="4">
        <v>0</v>
      </c>
      <c r="H104" s="4">
        <v>26</v>
      </c>
      <c r="I104" s="4">
        <v>1</v>
      </c>
      <c r="J104" s="6">
        <v>0.96296296296296291</v>
      </c>
      <c r="K104" s="6">
        <v>0.37037037037037029</v>
      </c>
      <c r="L104" s="4">
        <v>-1</v>
      </c>
      <c r="M104" s="6">
        <v>0.96296296296296291</v>
      </c>
      <c r="N104" s="6">
        <v>3.7037037037037028E-2</v>
      </c>
      <c r="O104" s="4">
        <v>-1</v>
      </c>
    </row>
    <row r="105" spans="1:15" x14ac:dyDescent="0.25">
      <c r="A105" s="5">
        <v>46204</v>
      </c>
      <c r="B105" s="4">
        <v>0</v>
      </c>
      <c r="C105" s="4">
        <v>26</v>
      </c>
      <c r="D105" s="4">
        <v>0</v>
      </c>
      <c r="E105" s="4">
        <v>10</v>
      </c>
      <c r="F105" s="4">
        <v>0</v>
      </c>
      <c r="G105" s="4">
        <v>0</v>
      </c>
      <c r="H105" s="4">
        <v>26</v>
      </c>
      <c r="I105" s="4">
        <v>1</v>
      </c>
      <c r="J105" s="6">
        <v>0.96296296296296291</v>
      </c>
      <c r="K105" s="6">
        <v>0.37037037037037029</v>
      </c>
      <c r="L105" s="4">
        <v>-1</v>
      </c>
      <c r="M105" s="6">
        <v>0.96296296296296291</v>
      </c>
      <c r="N105" s="6">
        <v>3.7037037037037028E-2</v>
      </c>
      <c r="O105" s="4">
        <v>-1</v>
      </c>
    </row>
    <row r="106" spans="1:15" x14ac:dyDescent="0.25">
      <c r="A106" s="7">
        <v>46205</v>
      </c>
      <c r="B106" s="8">
        <v>0</v>
      </c>
      <c r="C106" s="8">
        <v>26</v>
      </c>
      <c r="D106" s="8">
        <v>1</v>
      </c>
      <c r="E106" s="8">
        <v>11</v>
      </c>
      <c r="F106" s="8">
        <v>0</v>
      </c>
      <c r="G106" s="8">
        <v>0</v>
      </c>
      <c r="H106" s="8">
        <v>26</v>
      </c>
      <c r="I106" s="8">
        <v>1</v>
      </c>
      <c r="J106" s="9">
        <v>0.96296296296296291</v>
      </c>
      <c r="K106" s="9">
        <v>0.40740740740740738</v>
      </c>
      <c r="L106" s="8">
        <v>-1</v>
      </c>
      <c r="M106" s="9">
        <v>0.96296296296296291</v>
      </c>
      <c r="N106" s="9">
        <v>3.7037037037037028E-2</v>
      </c>
      <c r="O106" s="8">
        <v>-1</v>
      </c>
    </row>
    <row r="107" spans="1:15" x14ac:dyDescent="0.25">
      <c r="A107" s="5">
        <v>46206</v>
      </c>
      <c r="B107" s="4">
        <v>0</v>
      </c>
      <c r="C107" s="4">
        <v>26</v>
      </c>
      <c r="D107" s="4">
        <v>0</v>
      </c>
      <c r="F107" s="4">
        <v>0</v>
      </c>
      <c r="G107" s="4">
        <v>0</v>
      </c>
      <c r="H107" s="4">
        <v>26</v>
      </c>
      <c r="J107" s="6">
        <v>0.96296296296296291</v>
      </c>
      <c r="K107" s="6">
        <v>0.40740740740740738</v>
      </c>
      <c r="L107" s="4">
        <v>-1</v>
      </c>
      <c r="M107" s="6">
        <v>0.96296296296296291</v>
      </c>
      <c r="N107" s="6">
        <v>3.7037037037037028E-2</v>
      </c>
      <c r="O107" s="4">
        <v>-1</v>
      </c>
    </row>
    <row r="108" spans="1:15" x14ac:dyDescent="0.25">
      <c r="A108" s="5">
        <v>46207</v>
      </c>
      <c r="B108" s="4">
        <v>0</v>
      </c>
      <c r="C108" s="4">
        <v>26</v>
      </c>
      <c r="D108" s="4">
        <v>0</v>
      </c>
      <c r="F108" s="4">
        <v>0</v>
      </c>
      <c r="G108" s="4">
        <v>0</v>
      </c>
      <c r="H108" s="4">
        <v>26</v>
      </c>
      <c r="J108" s="6">
        <v>0.96296296296296291</v>
      </c>
      <c r="K108" s="6">
        <v>0.40740740740740738</v>
      </c>
      <c r="L108" s="4">
        <v>-1</v>
      </c>
      <c r="M108" s="6">
        <v>0.96296296296296291</v>
      </c>
      <c r="N108" s="6">
        <v>3.7037037037037028E-2</v>
      </c>
      <c r="O108" s="4">
        <v>-1</v>
      </c>
    </row>
    <row r="109" spans="1:15" x14ac:dyDescent="0.25">
      <c r="A109" s="5">
        <v>46208</v>
      </c>
      <c r="B109" s="4">
        <v>0</v>
      </c>
      <c r="C109" s="4">
        <v>26</v>
      </c>
      <c r="D109" s="4">
        <v>0</v>
      </c>
      <c r="F109" s="4">
        <v>0</v>
      </c>
      <c r="G109" s="4">
        <v>0</v>
      </c>
      <c r="H109" s="4">
        <v>26</v>
      </c>
      <c r="J109" s="6">
        <v>0.96296296296296291</v>
      </c>
      <c r="K109" s="6">
        <v>0.40740740740740738</v>
      </c>
      <c r="L109" s="4">
        <v>-1</v>
      </c>
      <c r="M109" s="6">
        <v>0.96296296296296291</v>
      </c>
      <c r="N109" s="6">
        <v>3.7037037037037028E-2</v>
      </c>
      <c r="O109" s="4">
        <v>-1</v>
      </c>
    </row>
    <row r="110" spans="1:15" x14ac:dyDescent="0.25">
      <c r="A110" s="5">
        <v>46209</v>
      </c>
      <c r="B110" s="4">
        <v>0</v>
      </c>
      <c r="C110" s="4">
        <v>26</v>
      </c>
      <c r="D110" s="4">
        <v>0</v>
      </c>
      <c r="F110" s="4">
        <v>0</v>
      </c>
      <c r="G110" s="4">
        <v>0</v>
      </c>
      <c r="H110" s="4">
        <v>26</v>
      </c>
      <c r="J110" s="6">
        <v>0.96296296296296291</v>
      </c>
      <c r="K110" s="6">
        <v>0.40740740740740738</v>
      </c>
      <c r="L110" s="4">
        <v>-1</v>
      </c>
      <c r="M110" s="6">
        <v>0.96296296296296291</v>
      </c>
      <c r="N110" s="6">
        <v>3.7037037037037028E-2</v>
      </c>
      <c r="O110" s="4">
        <v>-1</v>
      </c>
    </row>
    <row r="111" spans="1:15" x14ac:dyDescent="0.25">
      <c r="A111" s="5">
        <v>46210</v>
      </c>
      <c r="B111" s="4">
        <v>0</v>
      </c>
      <c r="C111" s="4">
        <v>26</v>
      </c>
      <c r="D111" s="4">
        <v>0</v>
      </c>
      <c r="F111" s="4">
        <v>0</v>
      </c>
      <c r="G111" s="4">
        <v>0</v>
      </c>
      <c r="H111" s="4">
        <v>26</v>
      </c>
      <c r="J111" s="6">
        <v>0.96296296296296291</v>
      </c>
      <c r="K111" s="6">
        <v>0.40740740740740738</v>
      </c>
      <c r="L111" s="4">
        <v>-1</v>
      </c>
      <c r="M111" s="6">
        <v>0.96296296296296291</v>
      </c>
      <c r="N111" s="6">
        <v>3.7037037037037028E-2</v>
      </c>
      <c r="O111" s="4">
        <v>-1</v>
      </c>
    </row>
    <row r="112" spans="1:15" x14ac:dyDescent="0.25">
      <c r="A112" s="5">
        <v>46211</v>
      </c>
      <c r="B112" s="4">
        <v>0</v>
      </c>
      <c r="C112" s="4">
        <v>26</v>
      </c>
      <c r="D112" s="4">
        <v>0</v>
      </c>
      <c r="F112" s="4">
        <v>0</v>
      </c>
      <c r="G112" s="4">
        <v>0</v>
      </c>
      <c r="H112" s="4">
        <v>26</v>
      </c>
      <c r="J112" s="6">
        <v>0.96296296296296291</v>
      </c>
      <c r="K112" s="6">
        <v>0.40740740740740738</v>
      </c>
      <c r="L112" s="4">
        <v>-1</v>
      </c>
      <c r="M112" s="6">
        <v>0.96296296296296291</v>
      </c>
      <c r="N112" s="6">
        <v>3.7037037037037028E-2</v>
      </c>
      <c r="O112" s="4">
        <v>-1</v>
      </c>
    </row>
    <row r="113" spans="1:15" x14ac:dyDescent="0.25">
      <c r="A113" s="5">
        <v>46212</v>
      </c>
      <c r="B113" s="4">
        <v>0</v>
      </c>
      <c r="C113" s="4">
        <v>26</v>
      </c>
      <c r="D113" s="4">
        <v>0</v>
      </c>
      <c r="F113" s="4">
        <v>0</v>
      </c>
      <c r="G113" s="4">
        <v>0</v>
      </c>
      <c r="H113" s="4">
        <v>26</v>
      </c>
      <c r="J113" s="6">
        <v>0.96296296296296291</v>
      </c>
      <c r="K113" s="6">
        <v>0.40740740740740738</v>
      </c>
      <c r="L113" s="4">
        <v>-1</v>
      </c>
      <c r="M113" s="6">
        <v>0.96296296296296291</v>
      </c>
      <c r="N113" s="6">
        <v>3.7037037037037028E-2</v>
      </c>
      <c r="O113" s="4">
        <v>-1</v>
      </c>
    </row>
    <row r="114" spans="1:15" x14ac:dyDescent="0.25">
      <c r="A114" s="5">
        <v>46213</v>
      </c>
      <c r="B114" s="4">
        <v>0</v>
      </c>
      <c r="C114" s="4">
        <v>26</v>
      </c>
      <c r="D114" s="4">
        <v>0</v>
      </c>
      <c r="F114" s="4">
        <v>0</v>
      </c>
      <c r="G114" s="4">
        <v>0</v>
      </c>
      <c r="H114" s="4">
        <v>26</v>
      </c>
      <c r="J114" s="6">
        <v>0.96296296296296291</v>
      </c>
      <c r="K114" s="6">
        <v>0.40740740740740738</v>
      </c>
      <c r="L114" s="4">
        <v>-1</v>
      </c>
      <c r="M114" s="6">
        <v>0.96296296296296291</v>
      </c>
      <c r="N114" s="6">
        <v>3.7037037037037028E-2</v>
      </c>
      <c r="O114" s="4">
        <v>-1</v>
      </c>
    </row>
    <row r="115" spans="1:15" x14ac:dyDescent="0.25">
      <c r="A115" s="5">
        <v>46214</v>
      </c>
      <c r="B115" s="4">
        <v>0</v>
      </c>
      <c r="C115" s="4">
        <v>26</v>
      </c>
      <c r="D115" s="4">
        <v>0</v>
      </c>
      <c r="F115" s="4">
        <v>0</v>
      </c>
      <c r="G115" s="4">
        <v>0</v>
      </c>
      <c r="H115" s="4">
        <v>26</v>
      </c>
      <c r="J115" s="6">
        <v>0.96296296296296291</v>
      </c>
      <c r="K115" s="6">
        <v>0.40740740740740738</v>
      </c>
      <c r="L115" s="4">
        <v>-1</v>
      </c>
      <c r="M115" s="6">
        <v>0.96296296296296291</v>
      </c>
      <c r="N115" s="6">
        <v>3.7037037037037028E-2</v>
      </c>
      <c r="O115" s="4">
        <v>-1</v>
      </c>
    </row>
    <row r="116" spans="1:15" x14ac:dyDescent="0.25">
      <c r="A116" s="5">
        <v>46215</v>
      </c>
      <c r="B116" s="4">
        <v>0</v>
      </c>
      <c r="C116" s="4">
        <v>26</v>
      </c>
      <c r="D116" s="4">
        <v>0</v>
      </c>
      <c r="F116" s="4">
        <v>0</v>
      </c>
      <c r="G116" s="4">
        <v>0</v>
      </c>
      <c r="H116" s="4">
        <v>26</v>
      </c>
      <c r="J116" s="6">
        <v>0.96296296296296291</v>
      </c>
      <c r="K116" s="6">
        <v>0.40740740740740738</v>
      </c>
      <c r="L116" s="4">
        <v>-1</v>
      </c>
      <c r="M116" s="6">
        <v>0.96296296296296291</v>
      </c>
      <c r="N116" s="6">
        <v>3.7037037037037028E-2</v>
      </c>
      <c r="O116" s="4">
        <v>-1</v>
      </c>
    </row>
    <row r="117" spans="1:15" x14ac:dyDescent="0.25">
      <c r="A117" s="5">
        <v>46216</v>
      </c>
      <c r="B117" s="4">
        <v>0</v>
      </c>
      <c r="C117" s="4">
        <v>26</v>
      </c>
      <c r="D117" s="4">
        <v>0</v>
      </c>
      <c r="F117" s="4">
        <v>0</v>
      </c>
      <c r="G117" s="4">
        <v>0</v>
      </c>
      <c r="H117" s="4">
        <v>26</v>
      </c>
      <c r="J117" s="6">
        <v>0.96296296296296291</v>
      </c>
      <c r="K117" s="6">
        <v>0.40740740740740738</v>
      </c>
      <c r="L117" s="4">
        <v>-1</v>
      </c>
      <c r="M117" s="6">
        <v>0.96296296296296291</v>
      </c>
      <c r="N117" s="6">
        <v>3.7037037037037028E-2</v>
      </c>
      <c r="O117" s="4">
        <v>-1</v>
      </c>
    </row>
    <row r="118" spans="1:15" x14ac:dyDescent="0.25">
      <c r="A118" s="5">
        <v>46217</v>
      </c>
      <c r="B118" s="4">
        <v>0</v>
      </c>
      <c r="C118" s="4">
        <v>26</v>
      </c>
      <c r="D118" s="4">
        <v>0</v>
      </c>
      <c r="F118" s="4">
        <v>0</v>
      </c>
      <c r="G118" s="4">
        <v>0</v>
      </c>
      <c r="H118" s="4">
        <v>26</v>
      </c>
      <c r="J118" s="6">
        <v>0.96296296296296291</v>
      </c>
      <c r="K118" s="6">
        <v>0.40740740740740738</v>
      </c>
      <c r="L118" s="4">
        <v>-1</v>
      </c>
      <c r="M118" s="6">
        <v>0.96296296296296291</v>
      </c>
      <c r="N118" s="6">
        <v>3.7037037037037028E-2</v>
      </c>
      <c r="O118" s="4">
        <v>-1</v>
      </c>
    </row>
    <row r="119" spans="1:15" x14ac:dyDescent="0.25">
      <c r="A119" s="5">
        <v>46218</v>
      </c>
      <c r="B119" s="4">
        <v>0</v>
      </c>
      <c r="C119" s="4">
        <v>26</v>
      </c>
      <c r="D119" s="4">
        <v>0</v>
      </c>
      <c r="F119" s="4">
        <v>0</v>
      </c>
      <c r="G119" s="4">
        <v>0</v>
      </c>
      <c r="H119" s="4">
        <v>26</v>
      </c>
      <c r="J119" s="6">
        <v>0.96296296296296291</v>
      </c>
      <c r="K119" s="6">
        <v>0.40740740740740738</v>
      </c>
      <c r="L119" s="4">
        <v>-1</v>
      </c>
      <c r="M119" s="6">
        <v>0.96296296296296291</v>
      </c>
      <c r="N119" s="6">
        <v>3.7037037037037028E-2</v>
      </c>
      <c r="O119" s="4">
        <v>-1</v>
      </c>
    </row>
    <row r="120" spans="1:15" x14ac:dyDescent="0.25">
      <c r="A120" s="5">
        <v>46219</v>
      </c>
      <c r="B120" s="4">
        <v>0</v>
      </c>
      <c r="C120" s="4">
        <v>26</v>
      </c>
      <c r="D120" s="4">
        <v>0</v>
      </c>
      <c r="F120" s="4">
        <v>0</v>
      </c>
      <c r="G120" s="4">
        <v>0</v>
      </c>
      <c r="H120" s="4">
        <v>26</v>
      </c>
      <c r="J120" s="6">
        <v>0.96296296296296291</v>
      </c>
      <c r="K120" s="6">
        <v>0.40740740740740738</v>
      </c>
      <c r="L120" s="4">
        <v>-1</v>
      </c>
      <c r="M120" s="6">
        <v>0.96296296296296291</v>
      </c>
      <c r="N120" s="6">
        <v>3.7037037037037028E-2</v>
      </c>
      <c r="O120" s="4">
        <v>-1</v>
      </c>
    </row>
    <row r="121" spans="1:15" x14ac:dyDescent="0.25">
      <c r="A121" s="5">
        <v>46220</v>
      </c>
      <c r="B121" s="4">
        <v>0</v>
      </c>
      <c r="C121" s="4">
        <v>26</v>
      </c>
      <c r="D121" s="4">
        <v>0</v>
      </c>
      <c r="F121" s="4">
        <v>0</v>
      </c>
      <c r="G121" s="4">
        <v>0</v>
      </c>
      <c r="H121" s="4">
        <v>26</v>
      </c>
      <c r="J121" s="6">
        <v>0.96296296296296291</v>
      </c>
      <c r="K121" s="6">
        <v>0.40740740740740738</v>
      </c>
      <c r="L121" s="4">
        <v>-1</v>
      </c>
      <c r="M121" s="6">
        <v>0.96296296296296291</v>
      </c>
      <c r="N121" s="6">
        <v>3.7037037037037028E-2</v>
      </c>
      <c r="O121" s="4">
        <v>-1</v>
      </c>
    </row>
    <row r="122" spans="1:15" x14ac:dyDescent="0.25">
      <c r="A122" s="5">
        <v>46221</v>
      </c>
      <c r="B122" s="4">
        <v>0</v>
      </c>
      <c r="C122" s="4">
        <v>26</v>
      </c>
      <c r="D122" s="4">
        <v>0</v>
      </c>
      <c r="F122" s="4">
        <v>0</v>
      </c>
      <c r="G122" s="4">
        <v>0</v>
      </c>
      <c r="H122" s="4">
        <v>26</v>
      </c>
      <c r="J122" s="6">
        <v>0.96296296296296291</v>
      </c>
      <c r="K122" s="6">
        <v>0.40740740740740738</v>
      </c>
      <c r="L122" s="4">
        <v>-1</v>
      </c>
      <c r="M122" s="6">
        <v>0.96296296296296291</v>
      </c>
      <c r="N122" s="6">
        <v>3.7037037037037028E-2</v>
      </c>
      <c r="O122" s="4">
        <v>-1</v>
      </c>
    </row>
    <row r="123" spans="1:15" x14ac:dyDescent="0.25">
      <c r="A123" s="5">
        <v>46222</v>
      </c>
      <c r="B123" s="4">
        <v>0</v>
      </c>
      <c r="C123" s="4">
        <v>26</v>
      </c>
      <c r="D123" s="4">
        <v>0</v>
      </c>
      <c r="F123" s="4">
        <v>0</v>
      </c>
      <c r="G123" s="4">
        <v>0</v>
      </c>
      <c r="H123" s="4">
        <v>26</v>
      </c>
      <c r="J123" s="6">
        <v>0.96296296296296291</v>
      </c>
      <c r="K123" s="6">
        <v>0.40740740740740738</v>
      </c>
      <c r="L123" s="4">
        <v>-1</v>
      </c>
      <c r="M123" s="6">
        <v>0.96296296296296291</v>
      </c>
      <c r="N123" s="6">
        <v>3.7037037037037028E-2</v>
      </c>
      <c r="O123" s="4">
        <v>-1</v>
      </c>
    </row>
    <row r="124" spans="1:15" x14ac:dyDescent="0.25">
      <c r="A124" s="5">
        <v>46223</v>
      </c>
      <c r="B124" s="4">
        <v>0</v>
      </c>
      <c r="C124" s="4">
        <v>26</v>
      </c>
      <c r="D124" s="4">
        <v>0</v>
      </c>
      <c r="F124" s="4">
        <v>0</v>
      </c>
      <c r="G124" s="4">
        <v>0</v>
      </c>
      <c r="H124" s="4">
        <v>26</v>
      </c>
      <c r="J124" s="6">
        <v>0.96296296296296291</v>
      </c>
      <c r="K124" s="6">
        <v>0.40740740740740738</v>
      </c>
      <c r="L124" s="4">
        <v>-1</v>
      </c>
      <c r="M124" s="6">
        <v>0.96296296296296291</v>
      </c>
      <c r="N124" s="6">
        <v>3.7037037037037028E-2</v>
      </c>
      <c r="O124" s="4">
        <v>-1</v>
      </c>
    </row>
    <row r="125" spans="1:15" x14ac:dyDescent="0.25">
      <c r="A125" s="5">
        <v>46224</v>
      </c>
      <c r="B125" s="4">
        <v>0</v>
      </c>
      <c r="C125" s="4">
        <v>26</v>
      </c>
      <c r="D125" s="4">
        <v>0</v>
      </c>
      <c r="F125" s="4">
        <v>0</v>
      </c>
      <c r="G125" s="4">
        <v>0</v>
      </c>
      <c r="H125" s="4">
        <v>26</v>
      </c>
      <c r="J125" s="6">
        <v>0.96296296296296291</v>
      </c>
      <c r="K125" s="6">
        <v>0.40740740740740738</v>
      </c>
      <c r="L125" s="4">
        <v>-1</v>
      </c>
      <c r="M125" s="6">
        <v>0.96296296296296291</v>
      </c>
      <c r="N125" s="6">
        <v>3.7037037037037028E-2</v>
      </c>
      <c r="O125" s="4">
        <v>-1</v>
      </c>
    </row>
    <row r="126" spans="1:15" x14ac:dyDescent="0.25">
      <c r="A126" s="5">
        <v>46225</v>
      </c>
      <c r="B126" s="4">
        <v>1</v>
      </c>
      <c r="C126" s="4">
        <v>27</v>
      </c>
      <c r="D126" s="4">
        <v>0</v>
      </c>
      <c r="F126" s="4">
        <v>0</v>
      </c>
      <c r="G126" s="4">
        <v>0</v>
      </c>
      <c r="H126" s="4">
        <v>26</v>
      </c>
      <c r="J126" s="6">
        <v>1</v>
      </c>
      <c r="K126" s="6">
        <v>0.40740740740740738</v>
      </c>
      <c r="L126" s="4">
        <v>-1</v>
      </c>
      <c r="M126" s="6">
        <v>0.96296296296296291</v>
      </c>
      <c r="N126" s="6">
        <v>3.7037037037037028E-2</v>
      </c>
      <c r="O126" s="4">
        <v>-1</v>
      </c>
    </row>
    <row r="127" spans="1:15" x14ac:dyDescent="0.25">
      <c r="A127" s="5">
        <v>46226</v>
      </c>
      <c r="B127" s="4">
        <v>0</v>
      </c>
      <c r="C127" s="4">
        <v>27</v>
      </c>
      <c r="D127" s="4">
        <v>0</v>
      </c>
      <c r="F127" s="4">
        <v>0</v>
      </c>
      <c r="G127" s="4">
        <v>0</v>
      </c>
      <c r="H127" s="4">
        <v>26</v>
      </c>
      <c r="J127" s="6">
        <v>1</v>
      </c>
      <c r="K127" s="6">
        <v>0.40740740740740738</v>
      </c>
      <c r="L127" s="4">
        <v>-1</v>
      </c>
      <c r="M127" s="6">
        <v>0.96296296296296291</v>
      </c>
      <c r="N127" s="6">
        <v>3.7037037037037028E-2</v>
      </c>
      <c r="O127" s="4">
        <v>-1</v>
      </c>
    </row>
    <row r="128" spans="1:15" x14ac:dyDescent="0.25">
      <c r="A128" s="5">
        <v>46227</v>
      </c>
      <c r="B128" s="4">
        <v>0</v>
      </c>
      <c r="C128" s="4">
        <v>27</v>
      </c>
      <c r="D128" s="4">
        <v>0</v>
      </c>
      <c r="F128" s="4">
        <v>0</v>
      </c>
      <c r="G128" s="4">
        <v>0</v>
      </c>
      <c r="H128" s="4">
        <v>26</v>
      </c>
      <c r="J128" s="6">
        <v>1</v>
      </c>
      <c r="K128" s="6">
        <v>0.40740740740740738</v>
      </c>
      <c r="L128" s="4">
        <v>-1</v>
      </c>
      <c r="M128" s="6">
        <v>0.96296296296296291</v>
      </c>
      <c r="N128" s="6">
        <v>3.7037037037037028E-2</v>
      </c>
      <c r="O128" s="4">
        <v>-1</v>
      </c>
    </row>
    <row r="129" spans="1:15" x14ac:dyDescent="0.25">
      <c r="A129" s="5">
        <v>46228</v>
      </c>
      <c r="B129" s="4">
        <v>0</v>
      </c>
      <c r="C129" s="4">
        <v>27</v>
      </c>
      <c r="D129" s="4">
        <v>0</v>
      </c>
      <c r="F129" s="4">
        <v>0</v>
      </c>
      <c r="G129" s="4">
        <v>0</v>
      </c>
      <c r="H129" s="4">
        <v>26</v>
      </c>
      <c r="J129" s="6">
        <v>1</v>
      </c>
      <c r="K129" s="6">
        <v>0.40740740740740738</v>
      </c>
      <c r="L129" s="4">
        <v>-1</v>
      </c>
      <c r="M129" s="6">
        <v>0.96296296296296291</v>
      </c>
      <c r="N129" s="6">
        <v>3.7037037037037028E-2</v>
      </c>
      <c r="O129" s="4">
        <v>-1</v>
      </c>
    </row>
    <row r="130" spans="1:15" x14ac:dyDescent="0.25">
      <c r="A130" s="5">
        <v>46229</v>
      </c>
      <c r="B130" s="4">
        <v>0</v>
      </c>
      <c r="C130" s="4">
        <v>27</v>
      </c>
      <c r="D130" s="4">
        <v>0</v>
      </c>
      <c r="F130" s="4">
        <v>0</v>
      </c>
      <c r="G130" s="4">
        <v>0</v>
      </c>
      <c r="H130" s="4">
        <v>26</v>
      </c>
      <c r="J130" s="6">
        <v>1</v>
      </c>
      <c r="K130" s="6">
        <v>0.40740740740740738</v>
      </c>
      <c r="L130" s="4">
        <v>-1</v>
      </c>
      <c r="M130" s="6">
        <v>0.96296296296296291</v>
      </c>
      <c r="N130" s="6">
        <v>3.7037037037037028E-2</v>
      </c>
      <c r="O130" s="4">
        <v>-1</v>
      </c>
    </row>
    <row r="131" spans="1:15" x14ac:dyDescent="0.25">
      <c r="A131" s="5">
        <v>46230</v>
      </c>
      <c r="B131" s="4">
        <v>0</v>
      </c>
      <c r="C131" s="4">
        <v>27</v>
      </c>
      <c r="D131" s="4">
        <v>0</v>
      </c>
      <c r="F131" s="4">
        <v>0</v>
      </c>
      <c r="G131" s="4">
        <v>0</v>
      </c>
      <c r="H131" s="4">
        <v>26</v>
      </c>
      <c r="J131" s="6">
        <v>1</v>
      </c>
      <c r="K131" s="6">
        <v>0.40740740740740738</v>
      </c>
      <c r="L131" s="4">
        <v>-1</v>
      </c>
      <c r="M131" s="6">
        <v>0.96296296296296291</v>
      </c>
      <c r="N131" s="6">
        <v>3.7037037037037028E-2</v>
      </c>
      <c r="O131" s="4">
        <v>-1</v>
      </c>
    </row>
    <row r="132" spans="1:15" x14ac:dyDescent="0.25">
      <c r="A132" s="5">
        <v>46231</v>
      </c>
      <c r="B132" s="4">
        <v>0</v>
      </c>
      <c r="C132" s="4">
        <v>27</v>
      </c>
      <c r="D132" s="4">
        <v>0</v>
      </c>
      <c r="F132" s="4">
        <v>1</v>
      </c>
      <c r="G132" s="4">
        <v>0</v>
      </c>
      <c r="H132" s="4">
        <v>27</v>
      </c>
      <c r="J132" s="6">
        <v>1</v>
      </c>
      <c r="K132" s="6">
        <v>0.40740740740740738</v>
      </c>
      <c r="L132" s="4">
        <v>-1</v>
      </c>
      <c r="M132" s="6">
        <v>1</v>
      </c>
      <c r="N132" s="6">
        <v>3.7037037037037028E-2</v>
      </c>
      <c r="O132" s="4">
        <v>-1</v>
      </c>
    </row>
    <row r="133" spans="1:15" x14ac:dyDescent="0.25">
      <c r="A133" s="5">
        <v>46232</v>
      </c>
      <c r="B133" s="4">
        <v>0</v>
      </c>
      <c r="C133" s="4">
        <v>27</v>
      </c>
      <c r="D133" s="4">
        <v>0</v>
      </c>
      <c r="F133" s="4">
        <v>0</v>
      </c>
      <c r="G133" s="4">
        <v>0</v>
      </c>
      <c r="H133" s="4">
        <v>27</v>
      </c>
      <c r="J133" s="6">
        <v>1</v>
      </c>
      <c r="K133" s="6">
        <v>0.40740740740740738</v>
      </c>
      <c r="L133" s="4">
        <v>-1</v>
      </c>
      <c r="M133" s="6">
        <v>1</v>
      </c>
      <c r="N133" s="6">
        <v>3.7037037037037028E-2</v>
      </c>
      <c r="O133" s="4">
        <v>-1</v>
      </c>
    </row>
    <row r="134" spans="1:15" x14ac:dyDescent="0.25">
      <c r="A134" s="5">
        <v>46233</v>
      </c>
      <c r="B134" s="4">
        <v>0</v>
      </c>
      <c r="C134" s="4">
        <v>27</v>
      </c>
      <c r="D134" s="4">
        <v>0</v>
      </c>
      <c r="F134" s="4">
        <v>0</v>
      </c>
      <c r="G134" s="4">
        <v>0</v>
      </c>
      <c r="H134" s="4">
        <v>27</v>
      </c>
      <c r="J134" s="6">
        <v>1</v>
      </c>
      <c r="K134" s="6">
        <v>0.40740740740740738</v>
      </c>
      <c r="L134" s="4">
        <v>-1</v>
      </c>
      <c r="M134" s="6">
        <v>1</v>
      </c>
      <c r="N134" s="6">
        <v>3.7037037037037028E-2</v>
      </c>
      <c r="O134" s="4">
        <v>-1</v>
      </c>
    </row>
    <row r="135" spans="1:15" x14ac:dyDescent="0.25">
      <c r="A135" s="5">
        <v>46234</v>
      </c>
      <c r="B135" s="4">
        <v>0</v>
      </c>
      <c r="C135" s="4">
        <v>27</v>
      </c>
      <c r="D135" s="4">
        <v>0</v>
      </c>
      <c r="F135" s="4">
        <v>0</v>
      </c>
      <c r="G135" s="4">
        <v>0</v>
      </c>
      <c r="H135" s="4">
        <v>27</v>
      </c>
      <c r="J135" s="6">
        <v>1</v>
      </c>
      <c r="K135" s="6">
        <v>0.40740740740740738</v>
      </c>
      <c r="L135" s="4">
        <v>-1</v>
      </c>
      <c r="M135" s="6">
        <v>1</v>
      </c>
      <c r="N135" s="6">
        <v>3.7037037037037028E-2</v>
      </c>
      <c r="O135" s="4">
        <v>-1</v>
      </c>
    </row>
    <row r="136" spans="1:15" x14ac:dyDescent="0.25">
      <c r="A136" s="5">
        <v>46235</v>
      </c>
      <c r="B136" s="4">
        <v>0</v>
      </c>
      <c r="C136" s="4">
        <v>27</v>
      </c>
      <c r="D136" s="4">
        <v>0</v>
      </c>
      <c r="F136" s="4">
        <v>0</v>
      </c>
      <c r="G136" s="4">
        <v>0</v>
      </c>
      <c r="H136" s="4">
        <v>27</v>
      </c>
      <c r="J136" s="6">
        <v>1</v>
      </c>
      <c r="K136" s="6">
        <v>0.40740740740740738</v>
      </c>
      <c r="L136" s="4">
        <v>-1</v>
      </c>
      <c r="M136" s="6">
        <v>1</v>
      </c>
      <c r="N136" s="6">
        <v>3.7037037037037028E-2</v>
      </c>
      <c r="O136" s="4">
        <v>-1</v>
      </c>
    </row>
    <row r="137" spans="1:15" x14ac:dyDescent="0.25">
      <c r="A137" s="5">
        <v>46236</v>
      </c>
      <c r="B137" s="4">
        <v>0</v>
      </c>
      <c r="C137" s="4">
        <v>27</v>
      </c>
      <c r="D137" s="4">
        <v>0</v>
      </c>
      <c r="F137" s="4">
        <v>0</v>
      </c>
      <c r="G137" s="4">
        <v>0</v>
      </c>
      <c r="H137" s="4">
        <v>27</v>
      </c>
      <c r="J137" s="6">
        <v>1</v>
      </c>
      <c r="K137" s="6">
        <v>0.40740740740740738</v>
      </c>
      <c r="L137" s="4">
        <v>-1</v>
      </c>
      <c r="M137" s="6">
        <v>1</v>
      </c>
      <c r="N137" s="6">
        <v>3.7037037037037028E-2</v>
      </c>
      <c r="O137" s="4">
        <v>-1</v>
      </c>
    </row>
    <row r="138" spans="1:15" x14ac:dyDescent="0.25">
      <c r="A138" s="5">
        <v>46237</v>
      </c>
      <c r="B138" s="4">
        <v>0</v>
      </c>
      <c r="C138" s="4">
        <v>27</v>
      </c>
      <c r="D138" s="4">
        <v>0</v>
      </c>
      <c r="F138" s="4">
        <v>0</v>
      </c>
      <c r="G138" s="4">
        <v>0</v>
      </c>
      <c r="H138" s="4">
        <v>27</v>
      </c>
      <c r="J138" s="6">
        <v>1</v>
      </c>
      <c r="K138" s="6">
        <v>0.40740740740740738</v>
      </c>
      <c r="L138" s="4">
        <v>-1</v>
      </c>
      <c r="M138" s="6">
        <v>1</v>
      </c>
      <c r="N138" s="6">
        <v>3.7037037037037028E-2</v>
      </c>
      <c r="O138" s="4">
        <v>-1</v>
      </c>
    </row>
    <row r="139" spans="1:15" x14ac:dyDescent="0.25">
      <c r="A139" s="5">
        <v>46238</v>
      </c>
      <c r="B139" s="4">
        <v>0</v>
      </c>
      <c r="C139" s="4">
        <v>27</v>
      </c>
      <c r="D139" s="4">
        <v>0</v>
      </c>
      <c r="F139" s="4">
        <v>0</v>
      </c>
      <c r="G139" s="4">
        <v>0</v>
      </c>
      <c r="H139" s="4">
        <v>27</v>
      </c>
      <c r="J139" s="6">
        <v>1</v>
      </c>
      <c r="K139" s="6">
        <v>0.40740740740740738</v>
      </c>
      <c r="L139" s="4">
        <v>-1</v>
      </c>
      <c r="M139" s="6">
        <v>1</v>
      </c>
      <c r="N139" s="6">
        <v>3.7037037037037028E-2</v>
      </c>
      <c r="O139" s="4">
        <v>-1</v>
      </c>
    </row>
    <row r="140" spans="1:15" x14ac:dyDescent="0.25">
      <c r="A140" s="5">
        <v>46239</v>
      </c>
      <c r="B140" s="4">
        <v>0</v>
      </c>
      <c r="C140" s="4">
        <v>27</v>
      </c>
      <c r="D140" s="4">
        <v>0</v>
      </c>
      <c r="F140" s="4">
        <v>0</v>
      </c>
      <c r="G140" s="4">
        <v>0</v>
      </c>
      <c r="H140" s="4">
        <v>27</v>
      </c>
      <c r="J140" s="6">
        <v>1</v>
      </c>
      <c r="K140" s="6">
        <v>0.40740740740740738</v>
      </c>
      <c r="L140" s="4">
        <v>-1</v>
      </c>
      <c r="M140" s="6">
        <v>1</v>
      </c>
      <c r="N140" s="6">
        <v>3.7037037037037028E-2</v>
      </c>
      <c r="O140" s="4">
        <v>-1</v>
      </c>
    </row>
    <row r="141" spans="1:15" x14ac:dyDescent="0.25">
      <c r="A141" s="5">
        <v>46240</v>
      </c>
      <c r="B141" s="4">
        <v>0</v>
      </c>
      <c r="C141" s="4">
        <v>27</v>
      </c>
      <c r="D141" s="4">
        <v>0</v>
      </c>
      <c r="F141" s="4">
        <v>0</v>
      </c>
      <c r="G141" s="4">
        <v>0</v>
      </c>
      <c r="H141" s="4">
        <v>27</v>
      </c>
      <c r="J141" s="6">
        <v>1</v>
      </c>
      <c r="K141" s="6">
        <v>0.40740740740740738</v>
      </c>
      <c r="L141" s="4">
        <v>-1</v>
      </c>
      <c r="M141" s="6">
        <v>1</v>
      </c>
      <c r="N141" s="6">
        <v>3.7037037037037028E-2</v>
      </c>
      <c r="O141" s="4">
        <v>-1</v>
      </c>
    </row>
    <row r="142" spans="1:15" x14ac:dyDescent="0.25">
      <c r="A142" s="5">
        <v>46241</v>
      </c>
      <c r="B142" s="4">
        <v>0</v>
      </c>
      <c r="C142" s="4">
        <v>27</v>
      </c>
      <c r="D142" s="4">
        <v>0</v>
      </c>
      <c r="F142" s="4">
        <v>0</v>
      </c>
      <c r="G142" s="4">
        <v>0</v>
      </c>
      <c r="H142" s="4">
        <v>27</v>
      </c>
      <c r="J142" s="6">
        <v>1</v>
      </c>
      <c r="K142" s="6">
        <v>0.40740740740740738</v>
      </c>
      <c r="L142" s="4">
        <v>-1</v>
      </c>
      <c r="M142" s="6">
        <v>1</v>
      </c>
      <c r="N142" s="6">
        <v>3.7037037037037028E-2</v>
      </c>
      <c r="O142" s="4">
        <v>-1</v>
      </c>
    </row>
    <row r="143" spans="1:15" x14ac:dyDescent="0.25">
      <c r="A143" s="5">
        <v>46242</v>
      </c>
      <c r="B143" s="4">
        <v>0</v>
      </c>
      <c r="C143" s="4">
        <v>27</v>
      </c>
      <c r="D143" s="4">
        <v>0</v>
      </c>
      <c r="F143" s="4">
        <v>0</v>
      </c>
      <c r="G143" s="4">
        <v>0</v>
      </c>
      <c r="H143" s="4">
        <v>27</v>
      </c>
      <c r="J143" s="6">
        <v>1</v>
      </c>
      <c r="K143" s="6">
        <v>0.40740740740740738</v>
      </c>
      <c r="L143" s="4">
        <v>-1</v>
      </c>
      <c r="M143" s="6">
        <v>1</v>
      </c>
      <c r="N143" s="6">
        <v>3.7037037037037028E-2</v>
      </c>
      <c r="O143" s="4">
        <v>-1</v>
      </c>
    </row>
    <row r="144" spans="1:15" x14ac:dyDescent="0.25">
      <c r="A144" s="5">
        <v>46243</v>
      </c>
      <c r="B144" s="4">
        <v>0</v>
      </c>
      <c r="C144" s="4">
        <v>27</v>
      </c>
      <c r="D144" s="4">
        <v>0</v>
      </c>
      <c r="F144" s="4">
        <v>0</v>
      </c>
      <c r="G144" s="4">
        <v>0</v>
      </c>
      <c r="H144" s="4">
        <v>27</v>
      </c>
      <c r="J144" s="6">
        <v>1</v>
      </c>
      <c r="K144" s="6">
        <v>0.40740740740740738</v>
      </c>
      <c r="L144" s="4">
        <v>-1</v>
      </c>
      <c r="M144" s="6">
        <v>1</v>
      </c>
      <c r="N144" s="6">
        <v>3.7037037037037028E-2</v>
      </c>
      <c r="O144" s="4">
        <v>-1</v>
      </c>
    </row>
    <row r="145" spans="1:15" x14ac:dyDescent="0.25">
      <c r="A145" s="5">
        <v>46244</v>
      </c>
      <c r="B145" s="4">
        <v>0</v>
      </c>
      <c r="C145" s="4">
        <v>27</v>
      </c>
      <c r="D145" s="4">
        <v>0</v>
      </c>
      <c r="F145" s="4">
        <v>0</v>
      </c>
      <c r="G145" s="4">
        <v>0</v>
      </c>
      <c r="H145" s="4">
        <v>27</v>
      </c>
      <c r="J145" s="6">
        <v>1</v>
      </c>
      <c r="K145" s="6">
        <v>0.40740740740740738</v>
      </c>
      <c r="L145" s="4">
        <v>-1</v>
      </c>
      <c r="M145" s="6">
        <v>1</v>
      </c>
      <c r="N145" s="6">
        <v>3.7037037037037028E-2</v>
      </c>
      <c r="O145" s="4">
        <v>-1</v>
      </c>
    </row>
    <row r="146" spans="1:15" x14ac:dyDescent="0.25">
      <c r="A146" s="5">
        <v>46245</v>
      </c>
      <c r="B146" s="4">
        <v>0</v>
      </c>
      <c r="C146" s="4">
        <v>27</v>
      </c>
      <c r="D146" s="4">
        <v>0</v>
      </c>
      <c r="F146" s="4">
        <v>0</v>
      </c>
      <c r="G146" s="4">
        <v>0</v>
      </c>
      <c r="H146" s="4">
        <v>27</v>
      </c>
      <c r="J146" s="6">
        <v>1</v>
      </c>
      <c r="K146" s="6">
        <v>0.40740740740740738</v>
      </c>
      <c r="L146" s="4">
        <v>-1</v>
      </c>
      <c r="M146" s="6">
        <v>1</v>
      </c>
      <c r="N146" s="6">
        <v>3.7037037037037028E-2</v>
      </c>
      <c r="O146" s="4">
        <v>-1</v>
      </c>
    </row>
    <row r="147" spans="1:15" x14ac:dyDescent="0.25">
      <c r="A147" s="5">
        <v>46246</v>
      </c>
      <c r="B147" s="4">
        <v>0</v>
      </c>
      <c r="C147" s="4">
        <v>27</v>
      </c>
      <c r="D147" s="4">
        <v>0</v>
      </c>
      <c r="F147" s="4">
        <v>0</v>
      </c>
      <c r="G147" s="4">
        <v>0</v>
      </c>
      <c r="H147" s="4">
        <v>27</v>
      </c>
      <c r="J147" s="6">
        <v>1</v>
      </c>
      <c r="K147" s="6">
        <v>0.40740740740740738</v>
      </c>
      <c r="L147" s="4">
        <v>-1</v>
      </c>
      <c r="M147" s="6">
        <v>1</v>
      </c>
      <c r="N147" s="6">
        <v>3.7037037037037028E-2</v>
      </c>
      <c r="O147" s="4">
        <v>-1</v>
      </c>
    </row>
    <row r="148" spans="1:15" x14ac:dyDescent="0.25">
      <c r="A148" s="5">
        <v>46247</v>
      </c>
      <c r="B148" s="4">
        <v>0</v>
      </c>
      <c r="C148" s="4">
        <v>27</v>
      </c>
      <c r="D148" s="4">
        <v>0</v>
      </c>
      <c r="F148" s="4">
        <v>0</v>
      </c>
      <c r="G148" s="4">
        <v>0</v>
      </c>
      <c r="H148" s="4">
        <v>27</v>
      </c>
      <c r="J148" s="6">
        <v>1</v>
      </c>
      <c r="K148" s="6">
        <v>0.40740740740740738</v>
      </c>
      <c r="L148" s="4">
        <v>-1</v>
      </c>
      <c r="M148" s="6">
        <v>1</v>
      </c>
      <c r="N148" s="6">
        <v>3.7037037037037028E-2</v>
      </c>
      <c r="O148" s="4">
        <v>-1</v>
      </c>
    </row>
    <row r="149" spans="1:15" x14ac:dyDescent="0.25">
      <c r="A149" s="5">
        <v>46248</v>
      </c>
      <c r="B149" s="4">
        <v>0</v>
      </c>
      <c r="C149" s="4">
        <v>27</v>
      </c>
      <c r="D149" s="4">
        <v>0</v>
      </c>
      <c r="F149" s="4">
        <v>0</v>
      </c>
      <c r="G149" s="4">
        <v>0</v>
      </c>
      <c r="H149" s="4">
        <v>27</v>
      </c>
      <c r="J149" s="6">
        <v>1</v>
      </c>
      <c r="K149" s="6">
        <v>0.40740740740740738</v>
      </c>
      <c r="L149" s="4">
        <v>-1</v>
      </c>
      <c r="M149" s="6">
        <v>1</v>
      </c>
      <c r="N149" s="6">
        <v>3.7037037037037028E-2</v>
      </c>
      <c r="O149" s="4">
        <v>-1</v>
      </c>
    </row>
    <row r="150" spans="1:15" x14ac:dyDescent="0.25">
      <c r="A150" s="5">
        <v>46249</v>
      </c>
      <c r="B150" s="4">
        <v>0</v>
      </c>
      <c r="C150" s="4">
        <v>27</v>
      </c>
      <c r="D150" s="4">
        <v>0</v>
      </c>
      <c r="F150" s="4">
        <v>0</v>
      </c>
      <c r="G150" s="4">
        <v>0</v>
      </c>
      <c r="H150" s="4">
        <v>27</v>
      </c>
      <c r="J150" s="6">
        <v>1</v>
      </c>
      <c r="K150" s="6">
        <v>0.40740740740740738</v>
      </c>
      <c r="L150" s="4">
        <v>-1</v>
      </c>
      <c r="M150" s="6">
        <v>1</v>
      </c>
      <c r="N150" s="6">
        <v>3.7037037037037028E-2</v>
      </c>
      <c r="O150" s="4">
        <v>-1</v>
      </c>
    </row>
    <row r="151" spans="1:15" x14ac:dyDescent="0.25">
      <c r="A151" s="5">
        <v>46250</v>
      </c>
      <c r="B151" s="4">
        <v>0</v>
      </c>
      <c r="C151" s="4">
        <v>27</v>
      </c>
      <c r="D151" s="4">
        <v>0</v>
      </c>
      <c r="F151" s="4">
        <v>0</v>
      </c>
      <c r="G151" s="4">
        <v>0</v>
      </c>
      <c r="H151" s="4">
        <v>27</v>
      </c>
      <c r="J151" s="6">
        <v>1</v>
      </c>
      <c r="K151" s="6">
        <v>0.40740740740740738</v>
      </c>
      <c r="L151" s="4">
        <v>-1</v>
      </c>
      <c r="M151" s="6">
        <v>1</v>
      </c>
      <c r="N151" s="6">
        <v>3.7037037037037028E-2</v>
      </c>
      <c r="O151" s="4">
        <v>-1</v>
      </c>
    </row>
    <row r="152" spans="1:15" x14ac:dyDescent="0.25">
      <c r="A152" s="5">
        <v>46251</v>
      </c>
      <c r="B152" s="4">
        <v>0</v>
      </c>
      <c r="C152" s="4">
        <v>27</v>
      </c>
      <c r="D152" s="4">
        <v>0</v>
      </c>
      <c r="F152" s="4">
        <v>0</v>
      </c>
      <c r="G152" s="4">
        <v>0</v>
      </c>
      <c r="H152" s="4">
        <v>27</v>
      </c>
      <c r="J152" s="6">
        <v>1</v>
      </c>
      <c r="K152" s="6">
        <v>0.40740740740740738</v>
      </c>
      <c r="L152" s="4">
        <v>-1</v>
      </c>
      <c r="M152" s="6">
        <v>1</v>
      </c>
      <c r="N152" s="6">
        <v>3.7037037037037028E-2</v>
      </c>
      <c r="O152" s="4">
        <v>-1</v>
      </c>
    </row>
    <row r="153" spans="1:15" x14ac:dyDescent="0.25">
      <c r="A153" s="5">
        <v>46252</v>
      </c>
      <c r="B153" s="4">
        <v>0</v>
      </c>
      <c r="C153" s="4">
        <v>27</v>
      </c>
      <c r="D153" s="4">
        <v>0</v>
      </c>
      <c r="F153" s="4">
        <v>0</v>
      </c>
      <c r="G153" s="4">
        <v>0</v>
      </c>
      <c r="H153" s="4">
        <v>27</v>
      </c>
      <c r="J153" s="6">
        <v>1</v>
      </c>
      <c r="K153" s="6">
        <v>0.40740740740740738</v>
      </c>
      <c r="L153" s="4">
        <v>-1</v>
      </c>
      <c r="M153" s="6">
        <v>1</v>
      </c>
      <c r="N153" s="6">
        <v>3.7037037037037028E-2</v>
      </c>
      <c r="O153" s="4">
        <v>-1</v>
      </c>
    </row>
    <row r="154" spans="1:15" x14ac:dyDescent="0.25">
      <c r="A154" s="5">
        <v>46253</v>
      </c>
      <c r="B154" s="4">
        <v>0</v>
      </c>
      <c r="C154" s="4">
        <v>27</v>
      </c>
      <c r="D154" s="4">
        <v>0</v>
      </c>
      <c r="F154" s="4">
        <v>0</v>
      </c>
      <c r="G154" s="4">
        <v>0</v>
      </c>
      <c r="H154" s="4">
        <v>27</v>
      </c>
      <c r="J154" s="6">
        <v>1</v>
      </c>
      <c r="K154" s="6">
        <v>0.40740740740740738</v>
      </c>
      <c r="L154" s="4">
        <v>-1</v>
      </c>
      <c r="M154" s="6">
        <v>1</v>
      </c>
      <c r="N154" s="6">
        <v>3.7037037037037028E-2</v>
      </c>
      <c r="O154" s="4">
        <v>-1</v>
      </c>
    </row>
    <row r="155" spans="1:15" x14ac:dyDescent="0.25">
      <c r="A155" s="5">
        <v>46254</v>
      </c>
      <c r="B155" s="4">
        <v>0</v>
      </c>
      <c r="C155" s="4">
        <v>27</v>
      </c>
      <c r="D155" s="4">
        <v>0</v>
      </c>
      <c r="F155" s="4">
        <v>0</v>
      </c>
      <c r="G155" s="4">
        <v>0</v>
      </c>
      <c r="H155" s="4">
        <v>27</v>
      </c>
      <c r="J155" s="6">
        <v>1</v>
      </c>
      <c r="K155" s="6">
        <v>0.40740740740740738</v>
      </c>
      <c r="L155" s="4">
        <v>-1</v>
      </c>
      <c r="M155" s="6">
        <v>1</v>
      </c>
      <c r="N155" s="6">
        <v>3.7037037037037028E-2</v>
      </c>
      <c r="O155" s="4">
        <v>-1</v>
      </c>
    </row>
    <row r="156" spans="1:15" x14ac:dyDescent="0.25">
      <c r="A156" s="5">
        <v>46255</v>
      </c>
      <c r="B156" s="4">
        <v>0</v>
      </c>
      <c r="C156" s="4">
        <v>27</v>
      </c>
      <c r="D156" s="4">
        <v>0</v>
      </c>
      <c r="F156" s="4">
        <v>0</v>
      </c>
      <c r="G156" s="4">
        <v>0</v>
      </c>
      <c r="H156" s="4">
        <v>27</v>
      </c>
      <c r="J156" s="6">
        <v>1</v>
      </c>
      <c r="K156" s="6">
        <v>0.40740740740740738</v>
      </c>
      <c r="L156" s="4">
        <v>-1</v>
      </c>
      <c r="M156" s="6">
        <v>1</v>
      </c>
      <c r="N156" s="6">
        <v>3.7037037037037028E-2</v>
      </c>
      <c r="O156" s="4">
        <v>-1</v>
      </c>
    </row>
    <row r="157" spans="1:15" x14ac:dyDescent="0.25">
      <c r="A157" s="5">
        <v>46256</v>
      </c>
      <c r="B157" s="4">
        <v>0</v>
      </c>
      <c r="C157" s="4">
        <v>27</v>
      </c>
      <c r="D157" s="4">
        <v>0</v>
      </c>
      <c r="F157" s="4">
        <v>0</v>
      </c>
      <c r="G157" s="4">
        <v>0</v>
      </c>
      <c r="H157" s="4">
        <v>27</v>
      </c>
      <c r="J157" s="6">
        <v>1</v>
      </c>
      <c r="K157" s="6">
        <v>0.40740740740740738</v>
      </c>
      <c r="L157" s="4">
        <v>-1</v>
      </c>
      <c r="M157" s="6">
        <v>1</v>
      </c>
      <c r="N157" s="6">
        <v>3.7037037037037028E-2</v>
      </c>
      <c r="O157" s="4">
        <v>-1</v>
      </c>
    </row>
    <row r="158" spans="1:15" x14ac:dyDescent="0.25">
      <c r="A158" s="5">
        <v>46257</v>
      </c>
      <c r="B158" s="4">
        <v>0</v>
      </c>
      <c r="C158" s="4">
        <v>27</v>
      </c>
      <c r="D158" s="4">
        <v>0</v>
      </c>
      <c r="F158" s="4">
        <v>0</v>
      </c>
      <c r="G158" s="4">
        <v>0</v>
      </c>
      <c r="H158" s="4">
        <v>27</v>
      </c>
      <c r="J158" s="6">
        <v>1</v>
      </c>
      <c r="K158" s="6">
        <v>0.40740740740740738</v>
      </c>
      <c r="L158" s="4">
        <v>-1</v>
      </c>
      <c r="M158" s="6">
        <v>1</v>
      </c>
      <c r="N158" s="6">
        <v>3.7037037037037028E-2</v>
      </c>
      <c r="O158" s="4">
        <v>-1</v>
      </c>
    </row>
    <row r="159" spans="1:15" x14ac:dyDescent="0.25">
      <c r="A159" s="5">
        <v>46258</v>
      </c>
      <c r="B159" s="4">
        <v>0</v>
      </c>
      <c r="C159" s="4">
        <v>27</v>
      </c>
      <c r="D159" s="4">
        <v>0</v>
      </c>
      <c r="F159" s="4">
        <v>0</v>
      </c>
      <c r="G159" s="4">
        <v>0</v>
      </c>
      <c r="H159" s="4">
        <v>27</v>
      </c>
      <c r="J159" s="6">
        <v>1</v>
      </c>
      <c r="K159" s="6">
        <v>0.40740740740740738</v>
      </c>
      <c r="L159" s="4">
        <v>-1</v>
      </c>
      <c r="M159" s="6">
        <v>1</v>
      </c>
      <c r="N159" s="6">
        <v>3.7037037037037028E-2</v>
      </c>
      <c r="O159" s="4">
        <v>-1</v>
      </c>
    </row>
    <row r="160" spans="1:15" x14ac:dyDescent="0.25">
      <c r="A160" s="5">
        <v>46259</v>
      </c>
      <c r="B160" s="4">
        <v>0</v>
      </c>
      <c r="C160" s="4">
        <v>27</v>
      </c>
      <c r="D160" s="4">
        <v>0</v>
      </c>
      <c r="F160" s="4">
        <v>0</v>
      </c>
      <c r="G160" s="4">
        <v>0</v>
      </c>
      <c r="H160" s="4">
        <v>27</v>
      </c>
      <c r="J160" s="6">
        <v>1</v>
      </c>
      <c r="K160" s="6">
        <v>0.40740740740740738</v>
      </c>
      <c r="L160" s="4">
        <v>-1</v>
      </c>
      <c r="M160" s="6">
        <v>1</v>
      </c>
      <c r="N160" s="6">
        <v>3.7037037037037028E-2</v>
      </c>
      <c r="O160" s="4">
        <v>-1</v>
      </c>
    </row>
    <row r="161" spans="1:15" x14ac:dyDescent="0.25">
      <c r="A161" s="5">
        <v>46260</v>
      </c>
      <c r="B161" s="4">
        <v>0</v>
      </c>
      <c r="C161" s="4">
        <v>27</v>
      </c>
      <c r="D161" s="4">
        <v>0</v>
      </c>
      <c r="F161" s="4">
        <v>0</v>
      </c>
      <c r="G161" s="4">
        <v>0</v>
      </c>
      <c r="H161" s="4">
        <v>27</v>
      </c>
      <c r="J161" s="6">
        <v>1</v>
      </c>
      <c r="K161" s="6">
        <v>0.40740740740740738</v>
      </c>
      <c r="L161" s="4">
        <v>-1</v>
      </c>
      <c r="M161" s="6">
        <v>1</v>
      </c>
      <c r="N161" s="6">
        <v>3.7037037037037028E-2</v>
      </c>
      <c r="O161" s="4">
        <v>-1</v>
      </c>
    </row>
    <row r="162" spans="1:15" x14ac:dyDescent="0.25">
      <c r="A162" s="5">
        <v>46261</v>
      </c>
      <c r="B162" s="4">
        <v>0</v>
      </c>
      <c r="C162" s="4">
        <v>27</v>
      </c>
      <c r="D162" s="4">
        <v>0</v>
      </c>
      <c r="F162" s="4">
        <v>0</v>
      </c>
      <c r="G162" s="4">
        <v>0</v>
      </c>
      <c r="H162" s="4">
        <v>27</v>
      </c>
      <c r="J162" s="6">
        <v>1</v>
      </c>
      <c r="K162" s="6">
        <v>0.40740740740740738</v>
      </c>
      <c r="L162" s="4">
        <v>-1</v>
      </c>
      <c r="M162" s="6">
        <v>1</v>
      </c>
      <c r="N162" s="6">
        <v>3.7037037037037028E-2</v>
      </c>
      <c r="O162" s="4">
        <v>-1</v>
      </c>
    </row>
    <row r="163" spans="1:15" x14ac:dyDescent="0.25">
      <c r="A163" s="5">
        <v>46262</v>
      </c>
      <c r="B163" s="4">
        <v>0</v>
      </c>
      <c r="C163" s="4">
        <v>27</v>
      </c>
      <c r="D163" s="4">
        <v>0</v>
      </c>
      <c r="F163" s="4">
        <v>0</v>
      </c>
      <c r="G163" s="4">
        <v>0</v>
      </c>
      <c r="H163" s="4">
        <v>27</v>
      </c>
      <c r="J163" s="6">
        <v>1</v>
      </c>
      <c r="K163" s="6">
        <v>0.40740740740740738</v>
      </c>
      <c r="L163" s="4">
        <v>-1</v>
      </c>
      <c r="M163" s="6">
        <v>1</v>
      </c>
      <c r="N163" s="6">
        <v>3.7037037037037028E-2</v>
      </c>
      <c r="O163" s="4">
        <v>-1</v>
      </c>
    </row>
    <row r="164" spans="1:15" x14ac:dyDescent="0.25">
      <c r="A164" s="5">
        <v>46263</v>
      </c>
      <c r="B164" s="4">
        <v>0</v>
      </c>
      <c r="C164" s="4">
        <v>27</v>
      </c>
      <c r="D164" s="4">
        <v>0</v>
      </c>
      <c r="F164" s="4">
        <v>0</v>
      </c>
      <c r="G164" s="4">
        <v>0</v>
      </c>
      <c r="H164" s="4">
        <v>27</v>
      </c>
      <c r="J164" s="6">
        <v>1</v>
      </c>
      <c r="K164" s="6">
        <v>0.40740740740740738</v>
      </c>
      <c r="L164" s="4">
        <v>-1</v>
      </c>
      <c r="M164" s="6">
        <v>1</v>
      </c>
      <c r="N164" s="6">
        <v>3.7037037037037028E-2</v>
      </c>
      <c r="O164" s="4">
        <v>-1</v>
      </c>
    </row>
    <row r="165" spans="1:15" x14ac:dyDescent="0.25">
      <c r="A165" s="5">
        <v>46264</v>
      </c>
      <c r="B165" s="4">
        <v>0</v>
      </c>
      <c r="C165" s="4">
        <v>27</v>
      </c>
      <c r="D165" s="4">
        <v>0</v>
      </c>
      <c r="F165" s="4">
        <v>0</v>
      </c>
      <c r="G165" s="4">
        <v>0</v>
      </c>
      <c r="H165" s="4">
        <v>27</v>
      </c>
      <c r="J165" s="6">
        <v>1</v>
      </c>
      <c r="K165" s="6">
        <v>0.40740740740740738</v>
      </c>
      <c r="L165" s="4">
        <v>-1</v>
      </c>
      <c r="M165" s="6">
        <v>1</v>
      </c>
      <c r="N165" s="6">
        <v>3.7037037037037028E-2</v>
      </c>
      <c r="O165" s="4">
        <v>-1</v>
      </c>
    </row>
    <row r="166" spans="1:15" x14ac:dyDescent="0.25">
      <c r="A166" s="5">
        <v>46265</v>
      </c>
      <c r="B166" s="4">
        <v>0</v>
      </c>
      <c r="C166" s="4">
        <v>27</v>
      </c>
      <c r="D166" s="4">
        <v>0</v>
      </c>
      <c r="F166" s="4">
        <v>0</v>
      </c>
      <c r="G166" s="4">
        <v>0</v>
      </c>
      <c r="H166" s="4">
        <v>27</v>
      </c>
      <c r="J166" s="6">
        <v>1</v>
      </c>
      <c r="K166" s="6">
        <v>0.40740740740740738</v>
      </c>
      <c r="L166" s="4">
        <v>-1</v>
      </c>
      <c r="M166" s="6">
        <v>1</v>
      </c>
      <c r="N166" s="6">
        <v>3.7037037037037028E-2</v>
      </c>
      <c r="O166" s="4">
        <v>-1</v>
      </c>
    </row>
    <row r="167" spans="1:15" x14ac:dyDescent="0.25">
      <c r="A167" s="5">
        <v>46266</v>
      </c>
      <c r="B167" s="4">
        <v>0</v>
      </c>
      <c r="C167" s="4">
        <v>27</v>
      </c>
      <c r="D167" s="4">
        <v>0</v>
      </c>
      <c r="F167" s="4">
        <v>0</v>
      </c>
      <c r="G167" s="4">
        <v>0</v>
      </c>
      <c r="H167" s="4">
        <v>27</v>
      </c>
      <c r="J167" s="6">
        <v>1</v>
      </c>
      <c r="K167" s="6">
        <v>0.40740740740740738</v>
      </c>
      <c r="L167" s="4">
        <v>-1</v>
      </c>
      <c r="M167" s="6">
        <v>1</v>
      </c>
      <c r="N167" s="6">
        <v>3.7037037037037028E-2</v>
      </c>
      <c r="O167" s="4">
        <v>-1</v>
      </c>
    </row>
    <row r="168" spans="1:15" x14ac:dyDescent="0.25">
      <c r="A168" s="5">
        <v>46267</v>
      </c>
      <c r="B168" s="4">
        <v>0</v>
      </c>
      <c r="C168" s="4">
        <v>27</v>
      </c>
      <c r="D168" s="4">
        <v>0</v>
      </c>
      <c r="F168" s="4">
        <v>0</v>
      </c>
      <c r="G168" s="4">
        <v>0</v>
      </c>
      <c r="H168" s="4">
        <v>27</v>
      </c>
      <c r="J168" s="6">
        <v>1</v>
      </c>
      <c r="K168" s="6">
        <v>0.40740740740740738</v>
      </c>
      <c r="L168" s="4">
        <v>-1</v>
      </c>
      <c r="M168" s="6">
        <v>1</v>
      </c>
      <c r="N168" s="6">
        <v>3.7037037037037028E-2</v>
      </c>
      <c r="O168" s="4">
        <v>-1</v>
      </c>
    </row>
    <row r="169" spans="1:15" x14ac:dyDescent="0.25">
      <c r="A169" s="5">
        <v>46268</v>
      </c>
      <c r="B169" s="4">
        <v>0</v>
      </c>
      <c r="C169" s="4">
        <v>27</v>
      </c>
      <c r="D169" s="4">
        <v>0</v>
      </c>
      <c r="F169" s="4">
        <v>0</v>
      </c>
      <c r="G169" s="4">
        <v>0</v>
      </c>
      <c r="H169" s="4">
        <v>27</v>
      </c>
      <c r="J169" s="6">
        <v>1</v>
      </c>
      <c r="K169" s="6">
        <v>0.40740740740740738</v>
      </c>
      <c r="L169" s="4">
        <v>-1</v>
      </c>
      <c r="M169" s="6">
        <v>1</v>
      </c>
      <c r="N169" s="6">
        <v>3.7037037037037028E-2</v>
      </c>
      <c r="O169" s="4">
        <v>-1</v>
      </c>
    </row>
    <row r="170" spans="1:15" x14ac:dyDescent="0.25">
      <c r="A170" s="5">
        <v>46269</v>
      </c>
      <c r="B170" s="4">
        <v>0</v>
      </c>
      <c r="C170" s="4">
        <v>27</v>
      </c>
      <c r="D170" s="4">
        <v>0</v>
      </c>
      <c r="F170" s="4">
        <v>0</v>
      </c>
      <c r="G170" s="4">
        <v>0</v>
      </c>
      <c r="H170" s="4">
        <v>27</v>
      </c>
      <c r="J170" s="6">
        <v>1</v>
      </c>
      <c r="K170" s="6">
        <v>0.40740740740740738</v>
      </c>
      <c r="L170" s="4">
        <v>-1</v>
      </c>
      <c r="M170" s="6">
        <v>1</v>
      </c>
      <c r="N170" s="6">
        <v>3.7037037037037028E-2</v>
      </c>
      <c r="O170" s="4">
        <v>-1</v>
      </c>
    </row>
    <row r="171" spans="1:15" x14ac:dyDescent="0.25">
      <c r="A171" s="5">
        <v>46270</v>
      </c>
      <c r="B171" s="4">
        <v>0</v>
      </c>
      <c r="C171" s="4">
        <v>27</v>
      </c>
      <c r="D171" s="4">
        <v>0</v>
      </c>
      <c r="F171" s="4">
        <v>0</v>
      </c>
      <c r="G171" s="4">
        <v>0</v>
      </c>
      <c r="H171" s="4">
        <v>27</v>
      </c>
      <c r="J171" s="6">
        <v>1</v>
      </c>
      <c r="K171" s="6">
        <v>0.40740740740740738</v>
      </c>
      <c r="L171" s="4">
        <v>-1</v>
      </c>
      <c r="M171" s="6">
        <v>1</v>
      </c>
      <c r="N171" s="6">
        <v>3.7037037037037028E-2</v>
      </c>
      <c r="O171" s="4">
        <v>-1</v>
      </c>
    </row>
    <row r="172" spans="1:15" x14ac:dyDescent="0.25">
      <c r="A172" s="5">
        <v>46271</v>
      </c>
      <c r="B172" s="4">
        <v>0</v>
      </c>
      <c r="C172" s="4">
        <v>27</v>
      </c>
      <c r="D172" s="4">
        <v>0</v>
      </c>
      <c r="F172" s="4">
        <v>0</v>
      </c>
      <c r="G172" s="4">
        <v>0</v>
      </c>
      <c r="H172" s="4">
        <v>27</v>
      </c>
      <c r="J172" s="6">
        <v>1</v>
      </c>
      <c r="K172" s="6">
        <v>0.40740740740740738</v>
      </c>
      <c r="L172" s="4">
        <v>-1</v>
      </c>
      <c r="M172" s="6">
        <v>1</v>
      </c>
      <c r="N172" s="6">
        <v>3.7037037037037028E-2</v>
      </c>
      <c r="O172" s="4">
        <v>-1</v>
      </c>
    </row>
    <row r="173" spans="1:15" x14ac:dyDescent="0.25">
      <c r="A173" s="5">
        <v>46272</v>
      </c>
      <c r="B173" s="4">
        <v>0</v>
      </c>
      <c r="C173" s="4">
        <v>27</v>
      </c>
      <c r="D173" s="4">
        <v>0</v>
      </c>
      <c r="F173" s="4">
        <v>0</v>
      </c>
      <c r="G173" s="4">
        <v>0</v>
      </c>
      <c r="H173" s="4">
        <v>27</v>
      </c>
      <c r="J173" s="6">
        <v>1</v>
      </c>
      <c r="K173" s="6">
        <v>0.40740740740740738</v>
      </c>
      <c r="L173" s="4">
        <v>-1</v>
      </c>
      <c r="M173" s="6">
        <v>1</v>
      </c>
      <c r="N173" s="6">
        <v>3.7037037037037028E-2</v>
      </c>
      <c r="O173" s="4">
        <v>-1</v>
      </c>
    </row>
    <row r="175" spans="1:15" x14ac:dyDescent="0.25">
      <c r="L175" s="4">
        <v>1</v>
      </c>
      <c r="O175" s="4">
        <v>1</v>
      </c>
    </row>
    <row r="176" spans="1:15" x14ac:dyDescent="0.25">
      <c r="L176" s="4">
        <v>0</v>
      </c>
      <c r="O176" s="4">
        <v>0</v>
      </c>
    </row>
    <row r="177" spans="12:15" x14ac:dyDescent="0.25">
      <c r="L177" s="4">
        <v>-1</v>
      </c>
      <c r="O177" s="4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65E26C7-CC54-4B84-86A0-8B6525BDABE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L1:L177</xm:sqref>
        </x14:conditionalFormatting>
        <x14:conditionalFormatting xmlns:xm="http://schemas.microsoft.com/office/excel/2006/main">
          <x14:cfRule type="iconSet" priority="1" id="{98A903E2-A67F-40B2-BA82-119658D81CD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O1:O177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8"/>
  <sheetViews>
    <sheetView workbookViewId="0">
      <selection activeCell="E48" sqref="E48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18.5703125" style="1" bestFit="1" customWidth="1"/>
    <col min="6" max="6" width="12.7109375" style="1" bestFit="1" customWidth="1"/>
    <col min="7" max="8" width="18.28515625" style="10" bestFit="1" customWidth="1"/>
    <col min="9" max="9" width="18.42578125" style="1" bestFit="1" customWidth="1"/>
    <col min="10" max="10" width="16" style="1" bestFit="1" customWidth="1"/>
    <col min="11" max="11" width="18.28515625" style="10" bestFit="1" customWidth="1"/>
    <col min="12" max="12" width="11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40.42578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0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3</v>
      </c>
      <c r="B2" s="1" t="s">
        <v>42</v>
      </c>
      <c r="C2" s="1" t="s">
        <v>43</v>
      </c>
      <c r="D2" s="1" t="s">
        <v>44</v>
      </c>
      <c r="F2" s="1" t="s">
        <v>45</v>
      </c>
      <c r="G2" s="2">
        <v>46160</v>
      </c>
      <c r="H2" s="2">
        <v>46160</v>
      </c>
      <c r="J2" s="1">
        <v>1</v>
      </c>
      <c r="K2" s="2">
        <v>46160</v>
      </c>
      <c r="L2" s="1" t="s">
        <v>46</v>
      </c>
      <c r="M2" s="1" t="s">
        <v>47</v>
      </c>
      <c r="N2" s="1" t="s">
        <v>36</v>
      </c>
      <c r="O2" s="1" t="s">
        <v>37</v>
      </c>
      <c r="P2" s="2">
        <v>46139</v>
      </c>
      <c r="Q2" s="1" t="s">
        <v>38</v>
      </c>
      <c r="R2" s="1" t="s">
        <v>48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4</v>
      </c>
      <c r="B3" s="1" t="s">
        <v>49</v>
      </c>
      <c r="C3" s="1" t="s">
        <v>43</v>
      </c>
      <c r="D3" s="1" t="s">
        <v>50</v>
      </c>
      <c r="F3" s="1" t="s">
        <v>45</v>
      </c>
      <c r="G3" s="2">
        <v>46160</v>
      </c>
      <c r="H3" s="2">
        <v>46160</v>
      </c>
      <c r="J3" s="1">
        <v>1</v>
      </c>
      <c r="K3" s="2">
        <v>46160</v>
      </c>
      <c r="L3" s="1" t="s">
        <v>46</v>
      </c>
      <c r="M3" s="1" t="s">
        <v>47</v>
      </c>
      <c r="N3" s="1" t="s">
        <v>51</v>
      </c>
      <c r="O3" s="1" t="s">
        <v>52</v>
      </c>
      <c r="P3" s="2">
        <v>46141</v>
      </c>
      <c r="Q3" s="1" t="s">
        <v>38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5</v>
      </c>
      <c r="B4" s="1" t="s">
        <v>53</v>
      </c>
      <c r="C4" s="1" t="s">
        <v>54</v>
      </c>
      <c r="D4" s="1" t="s">
        <v>55</v>
      </c>
      <c r="F4" s="1" t="s">
        <v>45</v>
      </c>
      <c r="G4" s="2">
        <v>46160</v>
      </c>
      <c r="H4" s="2">
        <v>46160</v>
      </c>
      <c r="I4" s="1">
        <v>3</v>
      </c>
      <c r="J4" s="1">
        <v>1</v>
      </c>
      <c r="K4" s="2">
        <v>46160</v>
      </c>
      <c r="L4" s="1" t="s">
        <v>46</v>
      </c>
      <c r="M4" s="1" t="s">
        <v>47</v>
      </c>
      <c r="N4" s="1" t="s">
        <v>51</v>
      </c>
      <c r="O4" s="1" t="s">
        <v>52</v>
      </c>
      <c r="P4" s="2">
        <v>46141</v>
      </c>
      <c r="Q4" s="1" t="s">
        <v>38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8</v>
      </c>
      <c r="B5" s="1" t="s">
        <v>65</v>
      </c>
      <c r="C5" s="1" t="s">
        <v>66</v>
      </c>
      <c r="D5" s="1" t="s">
        <v>67</v>
      </c>
      <c r="F5" s="1" t="s">
        <v>68</v>
      </c>
      <c r="G5" s="10">
        <v>46174</v>
      </c>
      <c r="H5" s="10">
        <v>46175</v>
      </c>
      <c r="I5" s="1" t="s">
        <v>69</v>
      </c>
      <c r="J5" s="1">
        <v>1</v>
      </c>
      <c r="K5" s="10">
        <v>46175</v>
      </c>
      <c r="L5" s="1" t="s">
        <v>46</v>
      </c>
      <c r="M5" s="1" t="s">
        <v>47</v>
      </c>
      <c r="N5" s="1" t="s">
        <v>59</v>
      </c>
      <c r="O5" s="1" t="s">
        <v>37</v>
      </c>
      <c r="P5" s="2">
        <v>46141</v>
      </c>
      <c r="Q5" s="1" t="s">
        <v>38</v>
      </c>
      <c r="R5" s="1" t="s">
        <v>70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</row>
    <row r="6" spans="1:32" hidden="1" x14ac:dyDescent="0.25">
      <c r="A6" s="1">
        <v>9</v>
      </c>
      <c r="B6" s="1" t="s">
        <v>71</v>
      </c>
      <c r="C6" s="1" t="s">
        <v>66</v>
      </c>
      <c r="D6" s="1" t="s">
        <v>72</v>
      </c>
      <c r="F6" s="1" t="s">
        <v>73</v>
      </c>
      <c r="G6" s="2">
        <v>46176</v>
      </c>
      <c r="H6" s="2">
        <v>46176</v>
      </c>
      <c r="I6" s="1">
        <v>8</v>
      </c>
      <c r="J6" s="1">
        <v>1</v>
      </c>
      <c r="K6" s="2">
        <v>46176</v>
      </c>
      <c r="L6" s="1" t="s">
        <v>46</v>
      </c>
      <c r="M6" s="1" t="s">
        <v>47</v>
      </c>
      <c r="N6" s="1" t="s">
        <v>59</v>
      </c>
      <c r="O6" s="1" t="s">
        <v>74</v>
      </c>
      <c r="P6" s="2">
        <v>46142</v>
      </c>
      <c r="Q6" s="1" t="s">
        <v>38</v>
      </c>
      <c r="R6" s="1" t="s">
        <v>75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13</v>
      </c>
      <c r="B7" s="1" t="s">
        <v>90</v>
      </c>
      <c r="C7" s="1" t="s">
        <v>91</v>
      </c>
      <c r="D7" s="1" t="s">
        <v>67</v>
      </c>
      <c r="F7" s="1" t="s">
        <v>92</v>
      </c>
      <c r="G7" s="10">
        <v>46176</v>
      </c>
      <c r="H7" s="10">
        <v>46178</v>
      </c>
      <c r="I7" s="1">
        <v>8</v>
      </c>
      <c r="J7" s="1">
        <v>1</v>
      </c>
      <c r="K7" s="10">
        <v>46178</v>
      </c>
      <c r="L7" s="1" t="s">
        <v>46</v>
      </c>
      <c r="M7" s="1" t="s">
        <v>47</v>
      </c>
      <c r="N7" s="1" t="s">
        <v>59</v>
      </c>
      <c r="O7" s="1" t="s">
        <v>74</v>
      </c>
      <c r="P7" s="2">
        <v>46146</v>
      </c>
      <c r="Q7" s="1" t="s">
        <v>38</v>
      </c>
      <c r="R7" s="1" t="s">
        <v>93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</row>
    <row r="8" spans="1:32" hidden="1" x14ac:dyDescent="0.25">
      <c r="A8" s="1">
        <v>14</v>
      </c>
      <c r="B8" s="1" t="s">
        <v>94</v>
      </c>
      <c r="C8" s="1" t="s">
        <v>91</v>
      </c>
      <c r="D8" s="1" t="s">
        <v>72</v>
      </c>
      <c r="F8" s="1" t="s">
        <v>92</v>
      </c>
      <c r="G8" s="2">
        <v>46181</v>
      </c>
      <c r="H8" s="2">
        <v>46183</v>
      </c>
      <c r="I8" s="1">
        <v>13</v>
      </c>
      <c r="J8" s="1">
        <v>1</v>
      </c>
      <c r="K8" s="2">
        <v>46183</v>
      </c>
      <c r="L8" s="1" t="s">
        <v>46</v>
      </c>
      <c r="M8" s="1" t="s">
        <v>47</v>
      </c>
      <c r="N8" s="1" t="s">
        <v>59</v>
      </c>
      <c r="O8" s="1" t="s">
        <v>95</v>
      </c>
      <c r="P8" s="2">
        <v>46147</v>
      </c>
      <c r="Q8" s="1" t="s">
        <v>38</v>
      </c>
      <c r="R8" s="1" t="s">
        <v>96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19</v>
      </c>
      <c r="B9" s="1" t="s">
        <v>112</v>
      </c>
      <c r="C9" s="1" t="s">
        <v>113</v>
      </c>
      <c r="D9" s="1" t="s">
        <v>67</v>
      </c>
      <c r="F9" s="1" t="s">
        <v>92</v>
      </c>
      <c r="G9" s="10">
        <v>46195</v>
      </c>
      <c r="H9" s="10">
        <v>46197</v>
      </c>
      <c r="I9" s="1" t="s">
        <v>114</v>
      </c>
      <c r="J9" s="1">
        <v>1</v>
      </c>
      <c r="K9" s="10">
        <v>46197</v>
      </c>
      <c r="L9" s="1" t="s">
        <v>46</v>
      </c>
      <c r="M9" s="1" t="s">
        <v>47</v>
      </c>
      <c r="N9" s="1" t="s">
        <v>105</v>
      </c>
      <c r="O9" s="1" t="s">
        <v>111</v>
      </c>
      <c r="P9" s="2">
        <v>46225</v>
      </c>
      <c r="Q9" s="1" t="s">
        <v>38</v>
      </c>
      <c r="R9" s="1">
        <v>20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idden="1" x14ac:dyDescent="0.25">
      <c r="A10" s="1">
        <v>20</v>
      </c>
      <c r="B10" s="1" t="s">
        <v>115</v>
      </c>
      <c r="C10" s="1" t="s">
        <v>113</v>
      </c>
      <c r="D10" s="1" t="s">
        <v>72</v>
      </c>
      <c r="F10" s="1" t="s">
        <v>73</v>
      </c>
      <c r="G10" s="2">
        <v>46198</v>
      </c>
      <c r="H10" s="2">
        <v>46198</v>
      </c>
      <c r="I10" s="1">
        <v>19</v>
      </c>
      <c r="J10" s="1">
        <v>1</v>
      </c>
      <c r="K10" s="2">
        <v>46198</v>
      </c>
      <c r="L10" s="1" t="s">
        <v>46</v>
      </c>
      <c r="M10" s="1" t="s">
        <v>47</v>
      </c>
      <c r="N10" s="1" t="s">
        <v>105</v>
      </c>
      <c r="O10" s="1" t="s">
        <v>116</v>
      </c>
      <c r="P10" s="2">
        <v>46226</v>
      </c>
      <c r="Q10" s="1" t="s">
        <v>38</v>
      </c>
      <c r="R10" s="1">
        <v>21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24</v>
      </c>
      <c r="B11" s="1" t="s">
        <v>124</v>
      </c>
      <c r="C11" s="1" t="s">
        <v>125</v>
      </c>
      <c r="D11" s="1" t="s">
        <v>67</v>
      </c>
      <c r="F11" s="1" t="s">
        <v>92</v>
      </c>
      <c r="G11" s="10">
        <v>46174</v>
      </c>
      <c r="H11" s="10">
        <v>46176</v>
      </c>
      <c r="I11" s="1" t="s">
        <v>69</v>
      </c>
      <c r="J11" s="1">
        <v>1</v>
      </c>
      <c r="K11" s="10">
        <v>46176</v>
      </c>
      <c r="L11" s="1" t="s">
        <v>46</v>
      </c>
      <c r="M11" s="1" t="s">
        <v>47</v>
      </c>
      <c r="N11" s="1" t="s">
        <v>105</v>
      </c>
      <c r="O11" s="1" t="s">
        <v>37</v>
      </c>
      <c r="P11" s="2">
        <v>46141</v>
      </c>
      <c r="Q11" s="1" t="s">
        <v>38</v>
      </c>
      <c r="R11" s="1">
        <v>25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</row>
    <row r="12" spans="1:32" hidden="1" x14ac:dyDescent="0.25">
      <c r="A12" s="1">
        <v>25</v>
      </c>
      <c r="B12" s="1" t="s">
        <v>126</v>
      </c>
      <c r="C12" s="1" t="s">
        <v>125</v>
      </c>
      <c r="D12" s="1" t="s">
        <v>72</v>
      </c>
      <c r="F12" s="1" t="s">
        <v>73</v>
      </c>
      <c r="G12" s="2">
        <v>46177</v>
      </c>
      <c r="H12" s="2">
        <v>46177</v>
      </c>
      <c r="I12" s="1">
        <v>24</v>
      </c>
      <c r="J12" s="1">
        <v>1</v>
      </c>
      <c r="K12" s="2">
        <v>46177</v>
      </c>
      <c r="L12" s="1" t="s">
        <v>46</v>
      </c>
      <c r="M12" s="1" t="s">
        <v>47</v>
      </c>
      <c r="N12" s="1" t="s">
        <v>105</v>
      </c>
      <c r="O12" s="1" t="s">
        <v>74</v>
      </c>
      <c r="P12" s="2">
        <v>46142</v>
      </c>
      <c r="Q12" s="1" t="s">
        <v>38</v>
      </c>
      <c r="R12" s="1" t="s">
        <v>127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40</v>
      </c>
      <c r="B13" s="1" t="s">
        <v>169</v>
      </c>
      <c r="C13" s="1" t="s">
        <v>170</v>
      </c>
      <c r="D13" s="1" t="s">
        <v>67</v>
      </c>
      <c r="F13" s="1" t="s">
        <v>45</v>
      </c>
      <c r="G13" s="10">
        <v>46170</v>
      </c>
      <c r="H13" s="10">
        <v>46170</v>
      </c>
      <c r="I13" s="1" t="s">
        <v>171</v>
      </c>
      <c r="J13" s="1">
        <v>1</v>
      </c>
      <c r="K13" s="10">
        <v>46170</v>
      </c>
      <c r="L13" s="1" t="s">
        <v>46</v>
      </c>
      <c r="M13" s="1" t="s">
        <v>47</v>
      </c>
      <c r="N13" s="1" t="s">
        <v>136</v>
      </c>
      <c r="O13" s="1" t="s">
        <v>85</v>
      </c>
      <c r="P13" s="2">
        <v>46161</v>
      </c>
      <c r="Q13" s="1" t="s">
        <v>38</v>
      </c>
      <c r="R13" s="1">
        <v>41</v>
      </c>
      <c r="U13" s="1">
        <v>1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</row>
    <row r="14" spans="1:32" hidden="1" x14ac:dyDescent="0.25">
      <c r="A14" s="1">
        <v>41</v>
      </c>
      <c r="B14" s="1" t="s">
        <v>172</v>
      </c>
      <c r="C14" s="1" t="s">
        <v>170</v>
      </c>
      <c r="D14" s="1" t="s">
        <v>72</v>
      </c>
      <c r="F14" s="1" t="s">
        <v>73</v>
      </c>
      <c r="G14" s="2">
        <v>46171</v>
      </c>
      <c r="H14" s="2">
        <v>46171</v>
      </c>
      <c r="I14" s="1">
        <v>40</v>
      </c>
      <c r="J14" s="1">
        <v>1</v>
      </c>
      <c r="K14" s="2">
        <v>46171</v>
      </c>
      <c r="L14" s="1" t="s">
        <v>46</v>
      </c>
      <c r="M14" s="1" t="s">
        <v>47</v>
      </c>
      <c r="N14" s="1" t="s">
        <v>136</v>
      </c>
      <c r="O14" s="1" t="s">
        <v>173</v>
      </c>
      <c r="P14" s="2">
        <v>46162</v>
      </c>
      <c r="Q14" s="1" t="s">
        <v>38</v>
      </c>
      <c r="R14" s="1">
        <v>42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25">
      <c r="A15" s="1">
        <v>45</v>
      </c>
      <c r="B15" s="1" t="s">
        <v>181</v>
      </c>
      <c r="C15" s="1" t="s">
        <v>170</v>
      </c>
      <c r="D15" s="1" t="s">
        <v>67</v>
      </c>
      <c r="F15" s="1" t="s">
        <v>45</v>
      </c>
      <c r="G15" s="10">
        <v>46170</v>
      </c>
      <c r="H15" s="10">
        <v>46170</v>
      </c>
      <c r="I15" s="1" t="s">
        <v>171</v>
      </c>
      <c r="J15" s="1">
        <v>1</v>
      </c>
      <c r="K15" s="10">
        <v>46170</v>
      </c>
      <c r="L15" s="1" t="s">
        <v>46</v>
      </c>
      <c r="M15" s="1" t="s">
        <v>47</v>
      </c>
      <c r="N15" s="1" t="s">
        <v>136</v>
      </c>
      <c r="O15" s="1" t="s">
        <v>85</v>
      </c>
      <c r="P15" s="2">
        <v>46161</v>
      </c>
      <c r="Q15" s="1" t="s">
        <v>38</v>
      </c>
      <c r="R15" s="1">
        <v>46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</row>
    <row r="16" spans="1:32" hidden="1" x14ac:dyDescent="0.25">
      <c r="A16" s="1">
        <v>46</v>
      </c>
      <c r="B16" s="1" t="s">
        <v>182</v>
      </c>
      <c r="C16" s="1" t="s">
        <v>170</v>
      </c>
      <c r="D16" s="1" t="s">
        <v>72</v>
      </c>
      <c r="F16" s="1" t="s">
        <v>73</v>
      </c>
      <c r="G16" s="2">
        <v>46199</v>
      </c>
      <c r="H16" s="2">
        <v>46199</v>
      </c>
      <c r="I16" s="1">
        <v>45</v>
      </c>
      <c r="J16" s="1">
        <v>1</v>
      </c>
      <c r="K16" s="2">
        <v>46199</v>
      </c>
      <c r="L16" s="1" t="s">
        <v>46</v>
      </c>
      <c r="M16" s="1" t="s">
        <v>47</v>
      </c>
      <c r="N16" s="1" t="s">
        <v>136</v>
      </c>
      <c r="O16" s="1" t="s">
        <v>173</v>
      </c>
      <c r="P16" s="2">
        <v>46162</v>
      </c>
      <c r="Q16" s="1" t="s">
        <v>38</v>
      </c>
      <c r="R16" s="1">
        <v>47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25">
      <c r="A17" s="1">
        <v>51</v>
      </c>
      <c r="B17" s="1" t="s">
        <v>193</v>
      </c>
      <c r="C17" s="1" t="s">
        <v>194</v>
      </c>
      <c r="D17" s="1" t="s">
        <v>67</v>
      </c>
      <c r="F17" s="1" t="s">
        <v>68</v>
      </c>
      <c r="G17" s="10">
        <v>46160</v>
      </c>
      <c r="H17" s="10">
        <v>46161</v>
      </c>
      <c r="I17" s="1" t="s">
        <v>195</v>
      </c>
      <c r="J17" s="1">
        <v>1</v>
      </c>
      <c r="K17" s="10">
        <v>46161</v>
      </c>
      <c r="L17" s="1" t="s">
        <v>46</v>
      </c>
      <c r="M17" s="1" t="s">
        <v>47</v>
      </c>
      <c r="N17" s="1" t="s">
        <v>188</v>
      </c>
      <c r="O17" s="1" t="s">
        <v>142</v>
      </c>
      <c r="P17" s="2">
        <v>46188</v>
      </c>
      <c r="Q17" s="1" t="s">
        <v>38</v>
      </c>
      <c r="R17" s="1" t="s">
        <v>196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</row>
    <row r="18" spans="1:32" hidden="1" x14ac:dyDescent="0.25">
      <c r="A18" s="1">
        <v>52</v>
      </c>
      <c r="B18" s="1" t="s">
        <v>197</v>
      </c>
      <c r="C18" s="1" t="s">
        <v>194</v>
      </c>
      <c r="D18" s="1" t="s">
        <v>72</v>
      </c>
      <c r="F18" s="1" t="s">
        <v>73</v>
      </c>
      <c r="G18" s="2">
        <v>46162</v>
      </c>
      <c r="H18" s="2">
        <v>46162</v>
      </c>
      <c r="I18" s="1">
        <v>51</v>
      </c>
      <c r="J18" s="1">
        <v>1</v>
      </c>
      <c r="K18" s="2">
        <v>46162</v>
      </c>
      <c r="L18" s="1" t="s">
        <v>46</v>
      </c>
      <c r="M18" s="1" t="s">
        <v>47</v>
      </c>
      <c r="N18" s="1" t="s">
        <v>188</v>
      </c>
      <c r="O18" s="1" t="s">
        <v>132</v>
      </c>
      <c r="P18" s="2">
        <v>46189</v>
      </c>
      <c r="Q18" s="1" t="s">
        <v>38</v>
      </c>
      <c r="R18" s="1">
        <v>53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hidden="1" x14ac:dyDescent="0.25">
      <c r="A19" s="1">
        <v>71</v>
      </c>
      <c r="B19" s="1" t="s">
        <v>232</v>
      </c>
      <c r="C19" s="1" t="s">
        <v>233</v>
      </c>
      <c r="D19" s="1" t="s">
        <v>234</v>
      </c>
      <c r="E19" s="1" t="s">
        <v>140</v>
      </c>
      <c r="F19" s="1" t="s">
        <v>141</v>
      </c>
      <c r="G19" s="2">
        <v>46181</v>
      </c>
      <c r="H19" s="2">
        <v>46191</v>
      </c>
      <c r="J19" s="1">
        <v>1</v>
      </c>
      <c r="K19" s="2">
        <v>46191</v>
      </c>
      <c r="L19" s="1" t="s">
        <v>46</v>
      </c>
      <c r="M19" s="1" t="s">
        <v>47</v>
      </c>
      <c r="N19" s="1" t="s">
        <v>231</v>
      </c>
      <c r="O19" s="1" t="s">
        <v>235</v>
      </c>
      <c r="P19" s="2">
        <v>46192</v>
      </c>
      <c r="Q19" s="1" t="s">
        <v>38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25">
      <c r="A20" s="1">
        <v>72</v>
      </c>
      <c r="B20" s="1" t="s">
        <v>236</v>
      </c>
      <c r="C20" s="1" t="s">
        <v>237</v>
      </c>
      <c r="D20" s="1" t="s">
        <v>67</v>
      </c>
      <c r="F20" s="1" t="s">
        <v>145</v>
      </c>
      <c r="G20" s="10">
        <v>46181</v>
      </c>
      <c r="H20" s="10">
        <v>46185</v>
      </c>
      <c r="I20" s="1" t="s">
        <v>195</v>
      </c>
      <c r="J20" s="1">
        <v>1</v>
      </c>
      <c r="K20" s="10">
        <v>46185</v>
      </c>
      <c r="L20" s="1" t="s">
        <v>46</v>
      </c>
      <c r="M20" s="1" t="s">
        <v>47</v>
      </c>
      <c r="N20" s="1" t="s">
        <v>231</v>
      </c>
      <c r="O20" s="1" t="s">
        <v>235</v>
      </c>
      <c r="P20" s="2">
        <v>46188</v>
      </c>
      <c r="Q20" s="1" t="s">
        <v>38</v>
      </c>
      <c r="R20" s="1" t="s">
        <v>238</v>
      </c>
      <c r="U20" s="1">
        <v>1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</row>
    <row r="21" spans="1:32" hidden="1" x14ac:dyDescent="0.25">
      <c r="A21" s="1">
        <v>73</v>
      </c>
      <c r="B21" s="1" t="s">
        <v>239</v>
      </c>
      <c r="C21" s="1" t="s">
        <v>237</v>
      </c>
      <c r="D21" s="1" t="s">
        <v>72</v>
      </c>
      <c r="F21" s="1" t="s">
        <v>73</v>
      </c>
      <c r="G21" s="2">
        <v>46188</v>
      </c>
      <c r="H21" s="2">
        <v>46188</v>
      </c>
      <c r="I21" s="1">
        <v>72</v>
      </c>
      <c r="J21" s="1">
        <v>1</v>
      </c>
      <c r="K21" s="2">
        <v>46188</v>
      </c>
      <c r="L21" s="1" t="s">
        <v>46</v>
      </c>
      <c r="M21" s="1" t="s">
        <v>47</v>
      </c>
      <c r="N21" s="1" t="s">
        <v>231</v>
      </c>
      <c r="O21" s="1" t="s">
        <v>132</v>
      </c>
      <c r="P21" s="2">
        <v>46189</v>
      </c>
      <c r="Q21" s="1" t="s">
        <v>38</v>
      </c>
      <c r="R21" s="1">
        <v>74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hidden="1" x14ac:dyDescent="0.25">
      <c r="A22" s="1">
        <v>74</v>
      </c>
      <c r="B22" s="1" t="s">
        <v>240</v>
      </c>
      <c r="C22" s="1" t="s">
        <v>237</v>
      </c>
      <c r="D22" s="1" t="s">
        <v>77</v>
      </c>
      <c r="F22" s="1" t="s">
        <v>68</v>
      </c>
      <c r="G22" s="2">
        <v>46189</v>
      </c>
      <c r="H22" s="2">
        <v>46190</v>
      </c>
      <c r="I22" s="1">
        <v>73</v>
      </c>
      <c r="J22" s="1">
        <v>1</v>
      </c>
      <c r="K22" s="2">
        <v>46190</v>
      </c>
      <c r="L22" s="1" t="s">
        <v>46</v>
      </c>
      <c r="M22" s="1" t="s">
        <v>47</v>
      </c>
      <c r="N22" s="1" t="s">
        <v>231</v>
      </c>
      <c r="O22" s="1" t="s">
        <v>150</v>
      </c>
      <c r="P22" s="2">
        <v>46191</v>
      </c>
      <c r="Q22" s="1" t="s">
        <v>38</v>
      </c>
      <c r="R22" s="1">
        <v>75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</row>
    <row r="23" spans="1:32" hidden="1" x14ac:dyDescent="0.25">
      <c r="A23" s="1">
        <v>75</v>
      </c>
      <c r="B23" s="1" t="s">
        <v>241</v>
      </c>
      <c r="C23" s="1" t="s">
        <v>237</v>
      </c>
      <c r="D23" s="1" t="s">
        <v>83</v>
      </c>
      <c r="F23" s="1" t="s">
        <v>73</v>
      </c>
      <c r="G23" s="2">
        <v>46191</v>
      </c>
      <c r="H23" s="2">
        <v>46191</v>
      </c>
      <c r="I23" s="1">
        <v>74</v>
      </c>
      <c r="J23" s="1">
        <v>1</v>
      </c>
      <c r="K23" s="2">
        <v>46191</v>
      </c>
      <c r="L23" s="1" t="s">
        <v>46</v>
      </c>
      <c r="M23" s="1" t="s">
        <v>47</v>
      </c>
      <c r="N23" s="1" t="s">
        <v>231</v>
      </c>
      <c r="O23" s="1" t="s">
        <v>152</v>
      </c>
      <c r="P23" s="2">
        <v>46192</v>
      </c>
      <c r="Q23" s="1" t="s">
        <v>38</v>
      </c>
      <c r="U23" s="1">
        <v>1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</row>
    <row r="24" spans="1:32" x14ac:dyDescent="0.25">
      <c r="A24" s="1">
        <v>114</v>
      </c>
      <c r="B24" s="1" t="s">
        <v>318</v>
      </c>
      <c r="C24" s="1" t="s">
        <v>319</v>
      </c>
      <c r="D24" s="1" t="s">
        <v>67</v>
      </c>
      <c r="F24" s="1" t="s">
        <v>192</v>
      </c>
      <c r="G24" s="10">
        <v>46181</v>
      </c>
      <c r="H24" s="10">
        <v>46188</v>
      </c>
      <c r="I24" s="1" t="s">
        <v>195</v>
      </c>
      <c r="J24" s="1">
        <v>1</v>
      </c>
      <c r="K24" s="10">
        <v>46188</v>
      </c>
      <c r="L24" s="1" t="s">
        <v>46</v>
      </c>
      <c r="M24" s="1" t="s">
        <v>47</v>
      </c>
      <c r="N24" s="1" t="s">
        <v>313</v>
      </c>
      <c r="O24" s="1" t="s">
        <v>142</v>
      </c>
      <c r="P24" s="2">
        <v>46188</v>
      </c>
      <c r="Q24" s="1" t="s">
        <v>38</v>
      </c>
      <c r="R24" s="1">
        <v>115</v>
      </c>
      <c r="U24" s="1">
        <v>1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</row>
    <row r="25" spans="1:32" hidden="1" x14ac:dyDescent="0.25">
      <c r="A25" s="1">
        <v>115</v>
      </c>
      <c r="B25" s="1" t="s">
        <v>320</v>
      </c>
      <c r="C25" s="1" t="s">
        <v>319</v>
      </c>
      <c r="D25" s="1" t="s">
        <v>72</v>
      </c>
      <c r="F25" s="1" t="s">
        <v>73</v>
      </c>
      <c r="G25" s="2">
        <v>46188</v>
      </c>
      <c r="H25" s="2">
        <v>46188</v>
      </c>
      <c r="I25" s="1">
        <v>114</v>
      </c>
      <c r="J25" s="1">
        <v>1</v>
      </c>
      <c r="K25" s="2">
        <v>46188</v>
      </c>
      <c r="L25" s="1" t="s">
        <v>46</v>
      </c>
      <c r="M25" s="1" t="s">
        <v>47</v>
      </c>
      <c r="N25" s="1" t="s">
        <v>313</v>
      </c>
      <c r="O25" s="1" t="s">
        <v>132</v>
      </c>
      <c r="P25" s="2">
        <v>46189</v>
      </c>
      <c r="Q25" s="1" t="s">
        <v>38</v>
      </c>
      <c r="R25" s="1">
        <v>116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25">
      <c r="A26" s="1">
        <v>130</v>
      </c>
      <c r="B26" s="1" t="s">
        <v>347</v>
      </c>
      <c r="C26" s="1" t="s">
        <v>348</v>
      </c>
      <c r="D26" s="1" t="s">
        <v>67</v>
      </c>
      <c r="F26" s="1" t="s">
        <v>45</v>
      </c>
      <c r="G26" s="10">
        <v>46170</v>
      </c>
      <c r="H26" s="10">
        <v>46170</v>
      </c>
      <c r="I26" s="1" t="s">
        <v>195</v>
      </c>
      <c r="J26" s="1">
        <v>1</v>
      </c>
      <c r="K26" s="10">
        <v>46170</v>
      </c>
      <c r="L26" s="1" t="s">
        <v>46</v>
      </c>
      <c r="M26" s="1" t="s">
        <v>47</v>
      </c>
      <c r="N26" s="1" t="s">
        <v>343</v>
      </c>
      <c r="O26" s="1" t="s">
        <v>142</v>
      </c>
      <c r="P26" s="2">
        <v>46188</v>
      </c>
      <c r="Q26" s="1" t="s">
        <v>38</v>
      </c>
      <c r="R26" s="1" t="s">
        <v>349</v>
      </c>
      <c r="U26" s="1">
        <v>1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</row>
    <row r="27" spans="1:32" hidden="1" x14ac:dyDescent="0.25">
      <c r="A27" s="1">
        <v>131</v>
      </c>
      <c r="B27" s="1" t="s">
        <v>350</v>
      </c>
      <c r="C27" s="1" t="s">
        <v>348</v>
      </c>
      <c r="D27" s="1" t="s">
        <v>72</v>
      </c>
      <c r="F27" s="1" t="s">
        <v>73</v>
      </c>
      <c r="G27" s="2">
        <v>46171</v>
      </c>
      <c r="H27" s="2">
        <v>46171</v>
      </c>
      <c r="I27" s="1">
        <v>130</v>
      </c>
      <c r="J27" s="1">
        <v>1</v>
      </c>
      <c r="K27" s="2">
        <v>46171</v>
      </c>
      <c r="L27" s="1" t="s">
        <v>46</v>
      </c>
      <c r="M27" s="1" t="s">
        <v>47</v>
      </c>
      <c r="N27" s="1" t="s">
        <v>343</v>
      </c>
      <c r="O27" s="1" t="s">
        <v>132</v>
      </c>
      <c r="P27" s="2">
        <v>46189</v>
      </c>
      <c r="Q27" s="1" t="s">
        <v>38</v>
      </c>
      <c r="R27" s="1">
        <v>132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25">
      <c r="A28" s="1">
        <v>145</v>
      </c>
      <c r="B28" s="1" t="s">
        <v>373</v>
      </c>
      <c r="C28" s="1" t="s">
        <v>374</v>
      </c>
      <c r="D28" s="1" t="s">
        <v>67</v>
      </c>
      <c r="F28" s="1" t="s">
        <v>92</v>
      </c>
      <c r="G28" s="10">
        <v>46203</v>
      </c>
      <c r="H28" s="10">
        <v>46205</v>
      </c>
      <c r="J28" s="1">
        <v>1</v>
      </c>
      <c r="K28" s="10">
        <v>46205</v>
      </c>
      <c r="L28" s="1" t="s">
        <v>46</v>
      </c>
      <c r="M28" s="1" t="s">
        <v>47</v>
      </c>
      <c r="N28" s="1" t="s">
        <v>343</v>
      </c>
      <c r="O28" s="1" t="s">
        <v>355</v>
      </c>
      <c r="P28" s="2">
        <v>46168</v>
      </c>
      <c r="Q28" s="1" t="s">
        <v>38</v>
      </c>
      <c r="R28" s="1">
        <v>146</v>
      </c>
      <c r="U28" s="1">
        <v>1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2"/>
  <sheetViews>
    <sheetView workbookViewId="0">
      <selection activeCell="H38" sqref="H38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27.28515625" style="1" bestFit="1" customWidth="1"/>
    <col min="5" max="5" width="29.85546875" style="1" bestFit="1" customWidth="1"/>
    <col min="6" max="6" width="12.7109375" style="1" bestFit="1" customWidth="1"/>
    <col min="7" max="7" width="10.7109375" style="10" bestFit="1" customWidth="1"/>
    <col min="8" max="8" width="13" style="10" bestFit="1" customWidth="1"/>
    <col min="9" max="9" width="18.42578125" style="1" bestFit="1" customWidth="1"/>
    <col min="10" max="10" width="16" style="11" bestFit="1" customWidth="1"/>
    <col min="11" max="11" width="16.85546875" style="1" bestFit="1" customWidth="1"/>
    <col min="12" max="12" width="11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0" bestFit="1" customWidth="1"/>
    <col min="17" max="17" width="14.5703125" style="1" bestFit="1" customWidth="1"/>
    <col min="18" max="18" width="74.5703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0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12</v>
      </c>
      <c r="B2" s="1" t="s">
        <v>86</v>
      </c>
      <c r="C2" s="1" t="s">
        <v>61</v>
      </c>
      <c r="D2" s="1" t="s">
        <v>87</v>
      </c>
      <c r="E2" s="1" t="s">
        <v>88</v>
      </c>
      <c r="F2" s="1" t="s">
        <v>89</v>
      </c>
      <c r="G2" s="10">
        <v>46176</v>
      </c>
      <c r="H2" s="10">
        <v>46197</v>
      </c>
      <c r="J2" s="1">
        <v>0.81</v>
      </c>
      <c r="L2" s="1" t="s">
        <v>34</v>
      </c>
      <c r="M2" s="1" t="s">
        <v>47</v>
      </c>
      <c r="N2" s="1" t="s">
        <v>59</v>
      </c>
      <c r="O2" s="1" t="s">
        <v>74</v>
      </c>
      <c r="P2" s="10">
        <v>46161</v>
      </c>
      <c r="Q2" s="1" t="s">
        <v>38</v>
      </c>
      <c r="U2" s="1">
        <v>0.81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15</v>
      </c>
      <c r="B3" s="1" t="s">
        <v>97</v>
      </c>
      <c r="C3" s="1" t="s">
        <v>91</v>
      </c>
      <c r="D3" s="1" t="s">
        <v>77</v>
      </c>
      <c r="F3" s="1" t="s">
        <v>73</v>
      </c>
      <c r="G3" s="10">
        <v>46196</v>
      </c>
      <c r="H3" s="10">
        <v>46196</v>
      </c>
      <c r="I3" s="1" t="s">
        <v>98</v>
      </c>
      <c r="J3" s="1">
        <v>0.5</v>
      </c>
      <c r="L3" s="1" t="s">
        <v>34</v>
      </c>
      <c r="M3" s="1" t="s">
        <v>47</v>
      </c>
      <c r="N3" s="1" t="s">
        <v>59</v>
      </c>
      <c r="O3" s="1" t="s">
        <v>99</v>
      </c>
      <c r="P3" s="10">
        <v>46160</v>
      </c>
      <c r="Q3" s="1" t="s">
        <v>38</v>
      </c>
      <c r="R3" s="1">
        <v>16</v>
      </c>
      <c r="U3" s="1">
        <v>0.5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16</v>
      </c>
      <c r="B4" s="1" t="s">
        <v>100</v>
      </c>
      <c r="C4" s="1" t="s">
        <v>91</v>
      </c>
      <c r="D4" s="1" t="s">
        <v>83</v>
      </c>
      <c r="F4" s="1" t="s">
        <v>73</v>
      </c>
      <c r="G4" s="10">
        <v>46197</v>
      </c>
      <c r="H4" s="10">
        <v>46197</v>
      </c>
      <c r="I4" s="1">
        <v>15</v>
      </c>
      <c r="J4" s="1">
        <v>0</v>
      </c>
      <c r="L4" s="1" t="s">
        <v>34</v>
      </c>
      <c r="M4" s="1" t="s">
        <v>47</v>
      </c>
      <c r="N4" s="1" t="s">
        <v>59</v>
      </c>
      <c r="O4" s="1" t="s">
        <v>101</v>
      </c>
      <c r="P4" s="10">
        <v>46161</v>
      </c>
      <c r="Q4" s="1" t="s">
        <v>38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</row>
    <row r="5" spans="1:32" hidden="1" x14ac:dyDescent="0.25">
      <c r="A5" s="1">
        <v>18</v>
      </c>
      <c r="B5" s="1" t="s">
        <v>106</v>
      </c>
      <c r="C5" s="1" t="s">
        <v>107</v>
      </c>
      <c r="D5" s="1" t="s">
        <v>108</v>
      </c>
      <c r="E5" s="1" t="s">
        <v>109</v>
      </c>
      <c r="F5" s="1" t="s">
        <v>110</v>
      </c>
      <c r="G5" s="10">
        <v>46195</v>
      </c>
      <c r="H5" s="10">
        <v>46203</v>
      </c>
      <c r="J5" s="1">
        <v>0.71</v>
      </c>
      <c r="L5" s="1" t="s">
        <v>34</v>
      </c>
      <c r="M5" s="1" t="s">
        <v>47</v>
      </c>
      <c r="N5" s="1" t="s">
        <v>105</v>
      </c>
      <c r="O5" s="1" t="s">
        <v>111</v>
      </c>
      <c r="P5" s="10">
        <v>46231</v>
      </c>
      <c r="Q5" s="1" t="s">
        <v>38</v>
      </c>
      <c r="U5" s="1">
        <v>0.71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hidden="1" x14ac:dyDescent="0.25">
      <c r="A6" s="1">
        <v>21</v>
      </c>
      <c r="B6" s="1" t="s">
        <v>117</v>
      </c>
      <c r="C6" s="1" t="s">
        <v>113</v>
      </c>
      <c r="D6" s="1" t="s">
        <v>77</v>
      </c>
      <c r="F6" s="1" t="s">
        <v>68</v>
      </c>
      <c r="G6" s="10">
        <v>46199</v>
      </c>
      <c r="H6" s="10">
        <v>46202</v>
      </c>
      <c r="I6" s="1">
        <v>20</v>
      </c>
      <c r="J6" s="1">
        <v>0.5</v>
      </c>
      <c r="L6" s="1" t="s">
        <v>34</v>
      </c>
      <c r="M6" s="1" t="s">
        <v>47</v>
      </c>
      <c r="N6" s="1" t="s">
        <v>105</v>
      </c>
      <c r="O6" s="1" t="s">
        <v>118</v>
      </c>
      <c r="P6" s="10">
        <v>46230</v>
      </c>
      <c r="Q6" s="1" t="s">
        <v>38</v>
      </c>
      <c r="R6" s="1">
        <v>22</v>
      </c>
      <c r="U6" s="1">
        <v>0.5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</row>
    <row r="7" spans="1:32" hidden="1" x14ac:dyDescent="0.25">
      <c r="A7" s="1">
        <v>22</v>
      </c>
      <c r="B7" s="1" t="s">
        <v>119</v>
      </c>
      <c r="C7" s="1" t="s">
        <v>113</v>
      </c>
      <c r="D7" s="1" t="s">
        <v>83</v>
      </c>
      <c r="F7" s="1" t="s">
        <v>73</v>
      </c>
      <c r="G7" s="10">
        <v>46203</v>
      </c>
      <c r="H7" s="10">
        <v>46203</v>
      </c>
      <c r="I7" s="1">
        <v>21</v>
      </c>
      <c r="J7" s="1">
        <v>0</v>
      </c>
      <c r="L7" s="1" t="s">
        <v>34</v>
      </c>
      <c r="M7" s="1" t="s">
        <v>47</v>
      </c>
      <c r="N7" s="1" t="s">
        <v>105</v>
      </c>
      <c r="O7" s="1" t="s">
        <v>120</v>
      </c>
      <c r="P7" s="10">
        <v>46231</v>
      </c>
      <c r="Q7" s="1" t="s">
        <v>38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</row>
    <row r="8" spans="1:32" hidden="1" x14ac:dyDescent="0.25">
      <c r="A8" s="1">
        <v>29</v>
      </c>
      <c r="B8" s="1" t="s">
        <v>137</v>
      </c>
      <c r="C8" s="1" t="s">
        <v>138</v>
      </c>
      <c r="D8" s="1" t="s">
        <v>139</v>
      </c>
      <c r="E8" s="1" t="s">
        <v>140</v>
      </c>
      <c r="F8" s="1" t="s">
        <v>141</v>
      </c>
      <c r="G8" s="10">
        <v>46181</v>
      </c>
      <c r="H8" s="10">
        <v>46191</v>
      </c>
      <c r="J8" s="1">
        <v>0.28000000000000003</v>
      </c>
      <c r="L8" s="1" t="s">
        <v>34</v>
      </c>
      <c r="M8" s="1" t="s">
        <v>47</v>
      </c>
      <c r="N8" s="1" t="s">
        <v>136</v>
      </c>
      <c r="O8" s="1" t="s">
        <v>142</v>
      </c>
      <c r="P8" s="10">
        <v>46192</v>
      </c>
      <c r="Q8" s="1" t="s">
        <v>38</v>
      </c>
      <c r="U8" s="1">
        <v>0.28000000000000003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30</v>
      </c>
      <c r="B9" s="1" t="s">
        <v>143</v>
      </c>
      <c r="C9" s="1" t="s">
        <v>144</v>
      </c>
      <c r="D9" s="1" t="s">
        <v>67</v>
      </c>
      <c r="F9" s="1" t="s">
        <v>145</v>
      </c>
      <c r="G9" s="10">
        <v>46181</v>
      </c>
      <c r="H9" s="10">
        <v>46185</v>
      </c>
      <c r="I9" s="1">
        <v>13</v>
      </c>
      <c r="J9" s="11">
        <v>0.5</v>
      </c>
      <c r="L9" s="1" t="s">
        <v>34</v>
      </c>
      <c r="M9" s="1" t="s">
        <v>47</v>
      </c>
      <c r="N9" s="1" t="s">
        <v>136</v>
      </c>
      <c r="O9" s="1" t="s">
        <v>142</v>
      </c>
      <c r="P9" s="10">
        <v>46188</v>
      </c>
      <c r="Q9" s="1" t="s">
        <v>38</v>
      </c>
      <c r="R9" s="1" t="s">
        <v>146</v>
      </c>
      <c r="U9" s="1">
        <v>0.5</v>
      </c>
      <c r="V9" s="1">
        <v>1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idden="1" x14ac:dyDescent="0.25">
      <c r="A10" s="1">
        <v>31</v>
      </c>
      <c r="B10" s="1" t="s">
        <v>147</v>
      </c>
      <c r="C10" s="1" t="s">
        <v>144</v>
      </c>
      <c r="D10" s="1" t="s">
        <v>72</v>
      </c>
      <c r="F10" s="1" t="s">
        <v>73</v>
      </c>
      <c r="G10" s="10">
        <v>46188</v>
      </c>
      <c r="H10" s="10">
        <v>46188</v>
      </c>
      <c r="I10" s="1">
        <v>30</v>
      </c>
      <c r="J10" s="1">
        <v>0</v>
      </c>
      <c r="L10" s="1" t="s">
        <v>34</v>
      </c>
      <c r="M10" s="1" t="s">
        <v>47</v>
      </c>
      <c r="N10" s="1" t="s">
        <v>148</v>
      </c>
      <c r="O10" s="1" t="s">
        <v>132</v>
      </c>
      <c r="P10" s="10">
        <v>46189</v>
      </c>
      <c r="Q10" s="1" t="s">
        <v>38</v>
      </c>
      <c r="R10" s="1">
        <v>32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hidden="1" x14ac:dyDescent="0.25">
      <c r="A11" s="1">
        <v>32</v>
      </c>
      <c r="B11" s="1" t="s">
        <v>149</v>
      </c>
      <c r="C11" s="1" t="s">
        <v>144</v>
      </c>
      <c r="D11" s="1" t="s">
        <v>77</v>
      </c>
      <c r="F11" s="1" t="s">
        <v>68</v>
      </c>
      <c r="G11" s="10">
        <v>46189</v>
      </c>
      <c r="H11" s="10">
        <v>46190</v>
      </c>
      <c r="I11" s="1">
        <v>31</v>
      </c>
      <c r="J11" s="1">
        <v>0</v>
      </c>
      <c r="L11" s="1" t="s">
        <v>34</v>
      </c>
      <c r="M11" s="1" t="s">
        <v>47</v>
      </c>
      <c r="N11" s="1" t="s">
        <v>148</v>
      </c>
      <c r="O11" s="1" t="s">
        <v>150</v>
      </c>
      <c r="P11" s="10">
        <v>46191</v>
      </c>
      <c r="Q11" s="1" t="s">
        <v>38</v>
      </c>
      <c r="R11" s="1">
        <v>33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</row>
    <row r="12" spans="1:32" hidden="1" x14ac:dyDescent="0.25">
      <c r="A12" s="1">
        <v>33</v>
      </c>
      <c r="B12" s="1" t="s">
        <v>151</v>
      </c>
      <c r="C12" s="1" t="s">
        <v>144</v>
      </c>
      <c r="D12" s="1" t="s">
        <v>83</v>
      </c>
      <c r="F12" s="1" t="s">
        <v>73</v>
      </c>
      <c r="G12" s="10">
        <v>46191</v>
      </c>
      <c r="H12" s="10">
        <v>46191</v>
      </c>
      <c r="I12" s="1">
        <v>32</v>
      </c>
      <c r="J12" s="1">
        <v>0</v>
      </c>
      <c r="L12" s="1" t="s">
        <v>34</v>
      </c>
      <c r="M12" s="1" t="s">
        <v>47</v>
      </c>
      <c r="N12" s="1" t="s">
        <v>148</v>
      </c>
      <c r="O12" s="1" t="s">
        <v>152</v>
      </c>
      <c r="P12" s="10">
        <v>46192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</row>
    <row r="13" spans="1:32" hidden="1" x14ac:dyDescent="0.25">
      <c r="A13" s="1">
        <v>39</v>
      </c>
      <c r="B13" s="1" t="s">
        <v>165</v>
      </c>
      <c r="C13" s="1" t="s">
        <v>138</v>
      </c>
      <c r="D13" s="1" t="s">
        <v>166</v>
      </c>
      <c r="E13" s="1" t="s">
        <v>167</v>
      </c>
      <c r="F13" s="1" t="s">
        <v>168</v>
      </c>
      <c r="G13" s="10">
        <v>46170</v>
      </c>
      <c r="H13" s="10">
        <v>46176</v>
      </c>
      <c r="J13" s="1">
        <v>0.63</v>
      </c>
      <c r="L13" s="1" t="s">
        <v>34</v>
      </c>
      <c r="M13" s="1" t="s">
        <v>47</v>
      </c>
      <c r="N13" s="1" t="s">
        <v>136</v>
      </c>
      <c r="O13" s="1" t="s">
        <v>85</v>
      </c>
      <c r="P13" s="10">
        <v>46167</v>
      </c>
      <c r="Q13" s="1" t="s">
        <v>38</v>
      </c>
      <c r="U13" s="1">
        <v>0.63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hidden="1" x14ac:dyDescent="0.25">
      <c r="A14" s="1">
        <v>42</v>
      </c>
      <c r="B14" s="1" t="s">
        <v>174</v>
      </c>
      <c r="C14" s="1" t="s">
        <v>170</v>
      </c>
      <c r="D14" s="1" t="s">
        <v>77</v>
      </c>
      <c r="F14" s="1" t="s">
        <v>68</v>
      </c>
      <c r="G14" s="10">
        <v>46174</v>
      </c>
      <c r="H14" s="10">
        <v>46175</v>
      </c>
      <c r="I14" s="1">
        <v>41</v>
      </c>
      <c r="J14" s="1">
        <v>0.75</v>
      </c>
      <c r="L14" s="1" t="s">
        <v>34</v>
      </c>
      <c r="M14" s="1" t="s">
        <v>47</v>
      </c>
      <c r="N14" s="1" t="s">
        <v>136</v>
      </c>
      <c r="O14" s="1" t="s">
        <v>175</v>
      </c>
      <c r="P14" s="10">
        <v>46164</v>
      </c>
      <c r="Q14" s="1" t="s">
        <v>38</v>
      </c>
      <c r="R14" s="1">
        <v>43</v>
      </c>
      <c r="U14" s="1">
        <v>0.75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</row>
    <row r="15" spans="1:32" hidden="1" x14ac:dyDescent="0.25">
      <c r="A15" s="1">
        <v>43</v>
      </c>
      <c r="B15" s="1" t="s">
        <v>176</v>
      </c>
      <c r="C15" s="1" t="s">
        <v>170</v>
      </c>
      <c r="D15" s="1" t="s">
        <v>83</v>
      </c>
      <c r="F15" s="1" t="s">
        <v>73</v>
      </c>
      <c r="G15" s="10">
        <v>46176</v>
      </c>
      <c r="H15" s="10">
        <v>46176</v>
      </c>
      <c r="I15" s="1">
        <v>42</v>
      </c>
      <c r="J15" s="1">
        <v>0</v>
      </c>
      <c r="L15" s="1" t="s">
        <v>34</v>
      </c>
      <c r="M15" s="1" t="s">
        <v>47</v>
      </c>
      <c r="N15" s="1" t="s">
        <v>136</v>
      </c>
      <c r="O15" s="1" t="s">
        <v>177</v>
      </c>
      <c r="P15" s="10">
        <v>46167</v>
      </c>
      <c r="Q15" s="1" t="s">
        <v>38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</row>
    <row r="16" spans="1:32" hidden="1" x14ac:dyDescent="0.25">
      <c r="A16" s="1">
        <v>44</v>
      </c>
      <c r="B16" s="1" t="s">
        <v>178</v>
      </c>
      <c r="C16" s="1" t="s">
        <v>138</v>
      </c>
      <c r="D16" s="1" t="s">
        <v>166</v>
      </c>
      <c r="E16" s="1" t="s">
        <v>179</v>
      </c>
      <c r="F16" s="1" t="s">
        <v>180</v>
      </c>
      <c r="G16" s="10">
        <v>46170</v>
      </c>
      <c r="H16" s="10">
        <v>46204</v>
      </c>
      <c r="J16" s="1">
        <v>0.63</v>
      </c>
      <c r="L16" s="1" t="s">
        <v>34</v>
      </c>
      <c r="M16" s="1" t="s">
        <v>47</v>
      </c>
      <c r="N16" s="1" t="s">
        <v>136</v>
      </c>
      <c r="O16" s="1" t="s">
        <v>85</v>
      </c>
      <c r="P16" s="10">
        <v>46167</v>
      </c>
      <c r="Q16" s="1" t="s">
        <v>38</v>
      </c>
      <c r="U16" s="1">
        <v>0.63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hidden="1" x14ac:dyDescent="0.25">
      <c r="A17" s="1">
        <v>47</v>
      </c>
      <c r="B17" s="1" t="s">
        <v>183</v>
      </c>
      <c r="C17" s="1" t="s">
        <v>170</v>
      </c>
      <c r="D17" s="1" t="s">
        <v>77</v>
      </c>
      <c r="F17" s="1" t="s">
        <v>68</v>
      </c>
      <c r="G17" s="10">
        <v>46202</v>
      </c>
      <c r="H17" s="10">
        <v>46203</v>
      </c>
      <c r="I17" s="1">
        <v>46</v>
      </c>
      <c r="J17" s="1">
        <v>0.75</v>
      </c>
      <c r="L17" s="1" t="s">
        <v>34</v>
      </c>
      <c r="M17" s="1" t="s">
        <v>47</v>
      </c>
      <c r="N17" s="1" t="s">
        <v>136</v>
      </c>
      <c r="O17" s="1" t="s">
        <v>175</v>
      </c>
      <c r="P17" s="10">
        <v>46164</v>
      </c>
      <c r="Q17" s="1" t="s">
        <v>38</v>
      </c>
      <c r="R17" s="1">
        <v>48</v>
      </c>
      <c r="U17" s="1">
        <v>0.75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</row>
    <row r="18" spans="1:32" hidden="1" x14ac:dyDescent="0.25">
      <c r="A18" s="1">
        <v>48</v>
      </c>
      <c r="B18" s="1" t="s">
        <v>184</v>
      </c>
      <c r="C18" s="1" t="s">
        <v>170</v>
      </c>
      <c r="D18" s="1" t="s">
        <v>83</v>
      </c>
      <c r="F18" s="1" t="s">
        <v>73</v>
      </c>
      <c r="G18" s="10">
        <v>46204</v>
      </c>
      <c r="H18" s="10">
        <v>46204</v>
      </c>
      <c r="I18" s="1">
        <v>47</v>
      </c>
      <c r="J18" s="1">
        <v>0</v>
      </c>
      <c r="L18" s="1" t="s">
        <v>34</v>
      </c>
      <c r="M18" s="1" t="s">
        <v>47</v>
      </c>
      <c r="N18" s="1" t="s">
        <v>136</v>
      </c>
      <c r="O18" s="1" t="s">
        <v>177</v>
      </c>
      <c r="P18" s="10">
        <v>46167</v>
      </c>
      <c r="Q18" s="1" t="s">
        <v>38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</row>
    <row r="19" spans="1:32" hidden="1" x14ac:dyDescent="0.25">
      <c r="A19" s="1">
        <v>50</v>
      </c>
      <c r="B19" s="1" t="s">
        <v>189</v>
      </c>
      <c r="C19" s="1" t="s">
        <v>190</v>
      </c>
      <c r="D19" s="1" t="s">
        <v>191</v>
      </c>
      <c r="E19" s="1" t="s">
        <v>140</v>
      </c>
      <c r="F19" s="1" t="s">
        <v>192</v>
      </c>
      <c r="G19" s="10">
        <v>46160</v>
      </c>
      <c r="H19" s="10">
        <v>46167</v>
      </c>
      <c r="J19" s="1">
        <v>0.67</v>
      </c>
      <c r="L19" s="1" t="s">
        <v>34</v>
      </c>
      <c r="M19" s="1" t="s">
        <v>47</v>
      </c>
      <c r="N19" s="1" t="s">
        <v>188</v>
      </c>
      <c r="O19" s="1" t="s">
        <v>142</v>
      </c>
      <c r="P19" s="10">
        <v>46192</v>
      </c>
      <c r="Q19" s="1" t="s">
        <v>38</v>
      </c>
      <c r="U19" s="1">
        <v>0.67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hidden="1" x14ac:dyDescent="0.25">
      <c r="A20" s="1">
        <v>53</v>
      </c>
      <c r="B20" s="1" t="s">
        <v>198</v>
      </c>
      <c r="C20" s="1" t="s">
        <v>194</v>
      </c>
      <c r="D20" s="1" t="s">
        <v>77</v>
      </c>
      <c r="F20" s="1" t="s">
        <v>68</v>
      </c>
      <c r="G20" s="10">
        <v>46163</v>
      </c>
      <c r="H20" s="10">
        <v>46164</v>
      </c>
      <c r="I20" s="1">
        <v>52</v>
      </c>
      <c r="J20" s="1">
        <v>0.5</v>
      </c>
      <c r="L20" s="1" t="s">
        <v>34</v>
      </c>
      <c r="M20" s="1" t="s">
        <v>47</v>
      </c>
      <c r="N20" s="1" t="s">
        <v>188</v>
      </c>
      <c r="O20" s="1" t="s">
        <v>150</v>
      </c>
      <c r="P20" s="10">
        <v>46191</v>
      </c>
      <c r="Q20" s="1" t="s">
        <v>38</v>
      </c>
      <c r="R20" s="1">
        <v>54</v>
      </c>
      <c r="U20" s="1">
        <v>0.5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</row>
    <row r="21" spans="1:32" hidden="1" x14ac:dyDescent="0.25">
      <c r="A21" s="1">
        <v>54</v>
      </c>
      <c r="B21" s="1" t="s">
        <v>199</v>
      </c>
      <c r="C21" s="1" t="s">
        <v>194</v>
      </c>
      <c r="D21" s="1" t="s">
        <v>83</v>
      </c>
      <c r="F21" s="1" t="s">
        <v>73</v>
      </c>
      <c r="G21" s="10">
        <v>46167</v>
      </c>
      <c r="H21" s="10">
        <v>46167</v>
      </c>
      <c r="I21" s="1">
        <v>53</v>
      </c>
      <c r="J21" s="1">
        <v>0</v>
      </c>
      <c r="L21" s="1" t="s">
        <v>34</v>
      </c>
      <c r="M21" s="1" t="s">
        <v>47</v>
      </c>
      <c r="N21" s="1" t="s">
        <v>188</v>
      </c>
      <c r="O21" s="1" t="s">
        <v>152</v>
      </c>
      <c r="P21" s="10">
        <v>46192</v>
      </c>
      <c r="Q21" s="1" t="s">
        <v>38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</row>
    <row r="22" spans="1:32" hidden="1" x14ac:dyDescent="0.25">
      <c r="A22" s="1">
        <v>97</v>
      </c>
      <c r="B22" s="1" t="s">
        <v>286</v>
      </c>
      <c r="C22" s="1" t="s">
        <v>287</v>
      </c>
      <c r="D22" s="1" t="s">
        <v>288</v>
      </c>
      <c r="E22" s="1" t="s">
        <v>140</v>
      </c>
      <c r="F22" s="1" t="s">
        <v>110</v>
      </c>
      <c r="G22" s="10">
        <v>46183</v>
      </c>
      <c r="H22" s="10">
        <v>46191</v>
      </c>
      <c r="J22" s="1">
        <v>0.21</v>
      </c>
      <c r="L22" s="1" t="s">
        <v>34</v>
      </c>
      <c r="M22" s="1" t="s">
        <v>47</v>
      </c>
      <c r="N22" s="1" t="s">
        <v>284</v>
      </c>
      <c r="O22" s="1" t="s">
        <v>142</v>
      </c>
      <c r="P22" s="10">
        <v>46192</v>
      </c>
      <c r="Q22" s="1" t="s">
        <v>38</v>
      </c>
      <c r="U22" s="1">
        <v>0.21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x14ac:dyDescent="0.25">
      <c r="A23" s="1">
        <v>98</v>
      </c>
      <c r="B23" s="1" t="s">
        <v>289</v>
      </c>
      <c r="C23" s="1" t="s">
        <v>290</v>
      </c>
      <c r="D23" s="1" t="s">
        <v>67</v>
      </c>
      <c r="F23" s="1" t="s">
        <v>92</v>
      </c>
      <c r="G23" s="10">
        <v>46183</v>
      </c>
      <c r="H23" s="10">
        <v>46185</v>
      </c>
      <c r="I23" s="1" t="s">
        <v>195</v>
      </c>
      <c r="J23" s="11">
        <v>0.5</v>
      </c>
      <c r="L23" s="1" t="s">
        <v>34</v>
      </c>
      <c r="M23" s="1" t="s">
        <v>47</v>
      </c>
      <c r="N23" s="1" t="s">
        <v>284</v>
      </c>
      <c r="O23" s="1" t="s">
        <v>142</v>
      </c>
      <c r="P23" s="10">
        <v>46188</v>
      </c>
      <c r="Q23" s="1" t="s">
        <v>38</v>
      </c>
      <c r="R23" s="1" t="s">
        <v>291</v>
      </c>
      <c r="U23" s="1">
        <v>0.5</v>
      </c>
      <c r="V23" s="1">
        <v>1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idden="1" x14ac:dyDescent="0.25">
      <c r="A24" s="1">
        <v>99</v>
      </c>
      <c r="B24" s="1" t="s">
        <v>292</v>
      </c>
      <c r="C24" s="1" t="s">
        <v>290</v>
      </c>
      <c r="D24" s="1" t="s">
        <v>72</v>
      </c>
      <c r="F24" s="1" t="s">
        <v>73</v>
      </c>
      <c r="G24" s="10">
        <v>46188</v>
      </c>
      <c r="H24" s="10">
        <v>46188</v>
      </c>
      <c r="I24" s="1">
        <v>98</v>
      </c>
      <c r="J24" s="1">
        <v>0</v>
      </c>
      <c r="L24" s="1" t="s">
        <v>34</v>
      </c>
      <c r="M24" s="1" t="s">
        <v>47</v>
      </c>
      <c r="N24" s="1" t="s">
        <v>284</v>
      </c>
      <c r="O24" s="1" t="s">
        <v>132</v>
      </c>
      <c r="P24" s="10">
        <v>46189</v>
      </c>
      <c r="Q24" s="1" t="s">
        <v>38</v>
      </c>
      <c r="R24" s="1">
        <v>100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hidden="1" x14ac:dyDescent="0.25">
      <c r="A25" s="1">
        <v>100</v>
      </c>
      <c r="B25" s="1" t="s">
        <v>293</v>
      </c>
      <c r="C25" s="1" t="s">
        <v>290</v>
      </c>
      <c r="D25" s="1" t="s">
        <v>77</v>
      </c>
      <c r="F25" s="1" t="s">
        <v>68</v>
      </c>
      <c r="G25" s="10">
        <v>46189</v>
      </c>
      <c r="H25" s="10">
        <v>46190</v>
      </c>
      <c r="I25" s="1">
        <v>99</v>
      </c>
      <c r="J25" s="1">
        <v>0</v>
      </c>
      <c r="L25" s="1" t="s">
        <v>34</v>
      </c>
      <c r="M25" s="1" t="s">
        <v>47</v>
      </c>
      <c r="N25" s="1" t="s">
        <v>284</v>
      </c>
      <c r="O25" s="1" t="s">
        <v>150</v>
      </c>
      <c r="P25" s="10">
        <v>46191</v>
      </c>
      <c r="Q25" s="1" t="s">
        <v>38</v>
      </c>
      <c r="R25" s="1">
        <v>101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</row>
    <row r="26" spans="1:32" hidden="1" x14ac:dyDescent="0.25">
      <c r="A26" s="1">
        <v>101</v>
      </c>
      <c r="B26" s="1" t="s">
        <v>294</v>
      </c>
      <c r="C26" s="1" t="s">
        <v>290</v>
      </c>
      <c r="D26" s="1" t="s">
        <v>83</v>
      </c>
      <c r="F26" s="1" t="s">
        <v>73</v>
      </c>
      <c r="G26" s="10">
        <v>46191</v>
      </c>
      <c r="H26" s="10">
        <v>46191</v>
      </c>
      <c r="I26" s="1">
        <v>100</v>
      </c>
      <c r="J26" s="1">
        <v>0</v>
      </c>
      <c r="L26" s="1" t="s">
        <v>34</v>
      </c>
      <c r="M26" s="1" t="s">
        <v>47</v>
      </c>
      <c r="N26" s="1" t="s">
        <v>284</v>
      </c>
      <c r="O26" s="1" t="s">
        <v>152</v>
      </c>
      <c r="P26" s="10">
        <v>46192</v>
      </c>
      <c r="Q26" s="1" t="s">
        <v>38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</row>
    <row r="27" spans="1:32" hidden="1" x14ac:dyDescent="0.25">
      <c r="A27" s="1">
        <v>113</v>
      </c>
      <c r="B27" s="1" t="s">
        <v>314</v>
      </c>
      <c r="C27" s="1" t="s">
        <v>315</v>
      </c>
      <c r="D27" s="1" t="s">
        <v>316</v>
      </c>
      <c r="E27" s="1" t="s">
        <v>140</v>
      </c>
      <c r="F27" s="1" t="s">
        <v>141</v>
      </c>
      <c r="G27" s="10">
        <v>46181</v>
      </c>
      <c r="H27" s="10">
        <v>46191</v>
      </c>
      <c r="J27" s="1">
        <v>0.8</v>
      </c>
      <c r="L27" s="1" t="s">
        <v>34</v>
      </c>
      <c r="M27" s="1" t="s">
        <v>47</v>
      </c>
      <c r="N27" s="1" t="s">
        <v>313</v>
      </c>
      <c r="O27" s="1" t="s">
        <v>142</v>
      </c>
      <c r="P27" s="10">
        <v>46192</v>
      </c>
      <c r="Q27" s="1" t="s">
        <v>38</v>
      </c>
      <c r="R27" s="1" t="s">
        <v>317</v>
      </c>
      <c r="U27" s="1">
        <v>0.8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hidden="1" x14ac:dyDescent="0.25">
      <c r="A28" s="1">
        <v>116</v>
      </c>
      <c r="B28" s="1" t="s">
        <v>321</v>
      </c>
      <c r="C28" s="1" t="s">
        <v>319</v>
      </c>
      <c r="D28" s="1" t="s">
        <v>77</v>
      </c>
      <c r="F28" s="1" t="s">
        <v>68</v>
      </c>
      <c r="G28" s="10">
        <v>46189</v>
      </c>
      <c r="H28" s="10">
        <v>46190</v>
      </c>
      <c r="I28" s="1">
        <v>115</v>
      </c>
      <c r="J28" s="1">
        <v>0.5</v>
      </c>
      <c r="L28" s="1" t="s">
        <v>34</v>
      </c>
      <c r="M28" s="1" t="s">
        <v>47</v>
      </c>
      <c r="N28" s="1" t="s">
        <v>313</v>
      </c>
      <c r="O28" s="1" t="s">
        <v>150</v>
      </c>
      <c r="P28" s="10">
        <v>46191</v>
      </c>
      <c r="Q28" s="1" t="s">
        <v>38</v>
      </c>
      <c r="R28" s="1">
        <v>117</v>
      </c>
      <c r="U28" s="1">
        <v>0.5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</row>
    <row r="29" spans="1:32" hidden="1" x14ac:dyDescent="0.25">
      <c r="A29" s="1">
        <v>117</v>
      </c>
      <c r="B29" s="1" t="s">
        <v>322</v>
      </c>
      <c r="C29" s="1" t="s">
        <v>319</v>
      </c>
      <c r="D29" s="1" t="s">
        <v>83</v>
      </c>
      <c r="F29" s="1" t="s">
        <v>73</v>
      </c>
      <c r="G29" s="10">
        <v>46191</v>
      </c>
      <c r="H29" s="10">
        <v>46191</v>
      </c>
      <c r="I29" s="1">
        <v>116</v>
      </c>
      <c r="J29" s="1">
        <v>0</v>
      </c>
      <c r="L29" s="1" t="s">
        <v>34</v>
      </c>
      <c r="M29" s="1" t="s">
        <v>47</v>
      </c>
      <c r="N29" s="1" t="s">
        <v>313</v>
      </c>
      <c r="O29" s="1" t="s">
        <v>152</v>
      </c>
      <c r="P29" s="10">
        <v>46192</v>
      </c>
      <c r="Q29" s="1" t="s">
        <v>38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</row>
    <row r="30" spans="1:32" hidden="1" x14ac:dyDescent="0.25">
      <c r="A30" s="1">
        <v>129</v>
      </c>
      <c r="B30" s="1" t="s">
        <v>344</v>
      </c>
      <c r="C30" s="1" t="s">
        <v>345</v>
      </c>
      <c r="D30" s="1" t="s">
        <v>346</v>
      </c>
      <c r="E30" s="1" t="s">
        <v>140</v>
      </c>
      <c r="F30" s="1" t="s">
        <v>168</v>
      </c>
      <c r="G30" s="10">
        <v>46170</v>
      </c>
      <c r="H30" s="10">
        <v>46176</v>
      </c>
      <c r="J30" s="1">
        <v>0.5</v>
      </c>
      <c r="L30" s="1" t="s">
        <v>34</v>
      </c>
      <c r="M30" s="1" t="s">
        <v>47</v>
      </c>
      <c r="N30" s="1" t="s">
        <v>343</v>
      </c>
      <c r="O30" s="1" t="s">
        <v>142</v>
      </c>
      <c r="P30" s="10">
        <v>46192</v>
      </c>
      <c r="Q30" s="1" t="s">
        <v>38</v>
      </c>
      <c r="U30" s="1">
        <v>0.5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hidden="1" x14ac:dyDescent="0.25">
      <c r="A31" s="1">
        <v>132</v>
      </c>
      <c r="B31" s="1" t="s">
        <v>351</v>
      </c>
      <c r="C31" s="1" t="s">
        <v>348</v>
      </c>
      <c r="D31" s="1" t="s">
        <v>77</v>
      </c>
      <c r="F31" s="1" t="s">
        <v>68</v>
      </c>
      <c r="G31" s="10">
        <v>46174</v>
      </c>
      <c r="H31" s="10">
        <v>46175</v>
      </c>
      <c r="I31" s="1">
        <v>131</v>
      </c>
      <c r="J31" s="1">
        <v>0.5</v>
      </c>
      <c r="L31" s="1" t="s">
        <v>34</v>
      </c>
      <c r="M31" s="1" t="s">
        <v>47</v>
      </c>
      <c r="N31" s="1" t="s">
        <v>343</v>
      </c>
      <c r="O31" s="1" t="s">
        <v>150</v>
      </c>
      <c r="P31" s="10">
        <v>46191</v>
      </c>
      <c r="Q31" s="1" t="s">
        <v>38</v>
      </c>
      <c r="R31" s="1">
        <v>133</v>
      </c>
      <c r="U31" s="1">
        <v>0.5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</row>
    <row r="32" spans="1:32" hidden="1" x14ac:dyDescent="0.25">
      <c r="A32" s="1">
        <v>133</v>
      </c>
      <c r="B32" s="1" t="s">
        <v>352</v>
      </c>
      <c r="C32" s="1" t="s">
        <v>348</v>
      </c>
      <c r="D32" s="1" t="s">
        <v>83</v>
      </c>
      <c r="F32" s="1" t="s">
        <v>73</v>
      </c>
      <c r="G32" s="10">
        <v>46176</v>
      </c>
      <c r="H32" s="10">
        <v>46176</v>
      </c>
      <c r="I32" s="1">
        <v>132</v>
      </c>
      <c r="J32" s="1">
        <v>0</v>
      </c>
      <c r="L32" s="1" t="s">
        <v>34</v>
      </c>
      <c r="M32" s="1" t="s">
        <v>47</v>
      </c>
      <c r="N32" s="1" t="s">
        <v>343</v>
      </c>
      <c r="O32" s="1" t="s">
        <v>152</v>
      </c>
      <c r="P32" s="10">
        <v>46192</v>
      </c>
      <c r="Q32" s="1" t="s">
        <v>38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workbookViewId="0">
      <selection activeCell="H52" sqref="H52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9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1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1" t="s">
        <v>9</v>
      </c>
      <c r="H1" s="1" t="s">
        <v>19</v>
      </c>
      <c r="I1" s="1" t="s">
        <v>13</v>
      </c>
      <c r="J1" s="1" t="s">
        <v>12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32</v>
      </c>
      <c r="F2" s="1" t="s">
        <v>34</v>
      </c>
      <c r="G2" s="1">
        <v>0.28999999999999998</v>
      </c>
      <c r="I2" s="1" t="s">
        <v>36</v>
      </c>
      <c r="J2" s="1" t="s">
        <v>35</v>
      </c>
    </row>
    <row r="3" spans="1:10" hidden="1" x14ac:dyDescent="0.25">
      <c r="A3" s="1" t="s">
        <v>38</v>
      </c>
      <c r="B3" s="1">
        <v>2</v>
      </c>
      <c r="C3" s="1" t="s">
        <v>39</v>
      </c>
      <c r="D3" s="1" t="s">
        <v>40</v>
      </c>
      <c r="E3" s="1" t="s">
        <v>41</v>
      </c>
      <c r="F3" s="1" t="s">
        <v>34</v>
      </c>
      <c r="G3" s="1">
        <v>0.28999999999999998</v>
      </c>
      <c r="I3" s="1" t="s">
        <v>36</v>
      </c>
      <c r="J3" s="1" t="s">
        <v>35</v>
      </c>
    </row>
    <row r="4" spans="1:10" hidden="1" x14ac:dyDescent="0.25">
      <c r="A4" s="1" t="s">
        <v>38</v>
      </c>
      <c r="B4" s="1">
        <v>6</v>
      </c>
      <c r="C4" s="1" t="s">
        <v>56</v>
      </c>
      <c r="D4" s="1" t="s">
        <v>43</v>
      </c>
      <c r="E4" s="1" t="s">
        <v>57</v>
      </c>
      <c r="F4" s="1" t="s">
        <v>34</v>
      </c>
      <c r="G4" s="1">
        <v>0.77</v>
      </c>
      <c r="I4" s="1" t="s">
        <v>59</v>
      </c>
      <c r="J4" s="1" t="s">
        <v>35</v>
      </c>
    </row>
    <row r="5" spans="1:10" hidden="1" x14ac:dyDescent="0.25">
      <c r="A5" s="1" t="s">
        <v>38</v>
      </c>
      <c r="B5" s="1">
        <v>7</v>
      </c>
      <c r="C5" s="1" t="s">
        <v>60</v>
      </c>
      <c r="D5" s="1" t="s">
        <v>61</v>
      </c>
      <c r="E5" s="1" t="s">
        <v>62</v>
      </c>
      <c r="F5" s="1" t="s">
        <v>64</v>
      </c>
      <c r="G5" s="1">
        <v>0.7</v>
      </c>
      <c r="I5" s="1" t="s">
        <v>59</v>
      </c>
      <c r="J5" s="1" t="s">
        <v>35</v>
      </c>
    </row>
    <row r="6" spans="1:10" hidden="1" x14ac:dyDescent="0.25">
      <c r="A6" s="1" t="s">
        <v>38</v>
      </c>
      <c r="B6" s="1">
        <v>12</v>
      </c>
      <c r="C6" s="1" t="s">
        <v>86</v>
      </c>
      <c r="D6" s="1" t="s">
        <v>61</v>
      </c>
      <c r="E6" s="1" t="s">
        <v>87</v>
      </c>
      <c r="F6" s="1" t="s">
        <v>34</v>
      </c>
      <c r="G6" s="1">
        <v>0.81</v>
      </c>
      <c r="I6" s="1" t="s">
        <v>59</v>
      </c>
      <c r="J6" s="1" t="s">
        <v>47</v>
      </c>
    </row>
    <row r="7" spans="1:10" hidden="1" x14ac:dyDescent="0.25">
      <c r="A7" s="1" t="s">
        <v>38</v>
      </c>
      <c r="B7" s="1">
        <v>15</v>
      </c>
      <c r="C7" s="1" t="s">
        <v>97</v>
      </c>
      <c r="D7" s="1" t="s">
        <v>91</v>
      </c>
      <c r="E7" s="1" t="s">
        <v>77</v>
      </c>
      <c r="F7" s="1" t="s">
        <v>34</v>
      </c>
      <c r="G7" s="1">
        <v>0.5</v>
      </c>
      <c r="I7" s="1" t="s">
        <v>59</v>
      </c>
      <c r="J7" s="1" t="s">
        <v>47</v>
      </c>
    </row>
    <row r="8" spans="1:10" hidden="1" x14ac:dyDescent="0.25">
      <c r="A8" s="1" t="s">
        <v>38</v>
      </c>
      <c r="B8" s="1">
        <v>16</v>
      </c>
      <c r="C8" s="1" t="s">
        <v>100</v>
      </c>
      <c r="D8" s="1" t="s">
        <v>91</v>
      </c>
      <c r="E8" s="1" t="s">
        <v>83</v>
      </c>
      <c r="F8" s="1" t="s">
        <v>34</v>
      </c>
      <c r="G8" s="1">
        <v>0</v>
      </c>
      <c r="I8" s="1" t="s">
        <v>59</v>
      </c>
      <c r="J8" s="1" t="s">
        <v>47</v>
      </c>
    </row>
    <row r="9" spans="1:10" hidden="1" x14ac:dyDescent="0.25">
      <c r="A9" s="1" t="s">
        <v>38</v>
      </c>
      <c r="B9" s="1">
        <v>17</v>
      </c>
      <c r="C9" s="1" t="s">
        <v>102</v>
      </c>
      <c r="D9" s="1" t="s">
        <v>43</v>
      </c>
      <c r="E9" s="1" t="s">
        <v>103</v>
      </c>
      <c r="F9" s="1" t="s">
        <v>34</v>
      </c>
      <c r="G9" s="1">
        <v>0.71</v>
      </c>
      <c r="I9" s="1" t="s">
        <v>105</v>
      </c>
      <c r="J9" s="1" t="s">
        <v>47</v>
      </c>
    </row>
    <row r="10" spans="1:10" hidden="1" x14ac:dyDescent="0.25">
      <c r="A10" s="1" t="s">
        <v>38</v>
      </c>
      <c r="B10" s="1">
        <v>18</v>
      </c>
      <c r="C10" s="1" t="s">
        <v>106</v>
      </c>
      <c r="D10" s="1" t="s">
        <v>107</v>
      </c>
      <c r="E10" s="1" t="s">
        <v>108</v>
      </c>
      <c r="F10" s="1" t="s">
        <v>34</v>
      </c>
      <c r="G10" s="1">
        <v>0.71</v>
      </c>
      <c r="I10" s="1" t="s">
        <v>105</v>
      </c>
      <c r="J10" s="1" t="s">
        <v>47</v>
      </c>
    </row>
    <row r="11" spans="1:10" hidden="1" x14ac:dyDescent="0.25">
      <c r="A11" s="1" t="s">
        <v>38</v>
      </c>
      <c r="B11" s="1">
        <v>21</v>
      </c>
      <c r="C11" s="1" t="s">
        <v>117</v>
      </c>
      <c r="D11" s="1" t="s">
        <v>113</v>
      </c>
      <c r="E11" s="1" t="s">
        <v>77</v>
      </c>
      <c r="F11" s="1" t="s">
        <v>34</v>
      </c>
      <c r="G11" s="1">
        <v>0.5</v>
      </c>
      <c r="I11" s="1" t="s">
        <v>105</v>
      </c>
      <c r="J11" s="1" t="s">
        <v>47</v>
      </c>
    </row>
    <row r="12" spans="1:10" hidden="1" x14ac:dyDescent="0.25">
      <c r="A12" s="1" t="s">
        <v>38</v>
      </c>
      <c r="B12" s="1">
        <v>22</v>
      </c>
      <c r="C12" s="1" t="s">
        <v>119</v>
      </c>
      <c r="D12" s="1" t="s">
        <v>113</v>
      </c>
      <c r="E12" s="1" t="s">
        <v>83</v>
      </c>
      <c r="F12" s="1" t="s">
        <v>34</v>
      </c>
      <c r="G12" s="1">
        <v>0</v>
      </c>
      <c r="I12" s="1" t="s">
        <v>105</v>
      </c>
      <c r="J12" s="1" t="s">
        <v>47</v>
      </c>
    </row>
    <row r="13" spans="1:10" hidden="1" x14ac:dyDescent="0.25">
      <c r="A13" s="1" t="s">
        <v>38</v>
      </c>
      <c r="B13" s="1">
        <v>23</v>
      </c>
      <c r="C13" s="1" t="s">
        <v>121</v>
      </c>
      <c r="D13" s="1" t="s">
        <v>107</v>
      </c>
      <c r="E13" s="1" t="s">
        <v>122</v>
      </c>
      <c r="F13" s="1" t="s">
        <v>64</v>
      </c>
      <c r="G13" s="1">
        <v>0.71</v>
      </c>
      <c r="I13" s="1" t="s">
        <v>105</v>
      </c>
      <c r="J13" s="1" t="s">
        <v>47</v>
      </c>
    </row>
    <row r="14" spans="1:10" hidden="1" x14ac:dyDescent="0.25">
      <c r="A14" s="1" t="s">
        <v>38</v>
      </c>
      <c r="B14" s="1">
        <v>28</v>
      </c>
      <c r="C14" s="1" t="s">
        <v>133</v>
      </c>
      <c r="D14" s="1" t="s">
        <v>43</v>
      </c>
      <c r="E14" s="1" t="s">
        <v>134</v>
      </c>
      <c r="F14" s="1" t="s">
        <v>34</v>
      </c>
      <c r="G14" s="1">
        <v>0.31</v>
      </c>
      <c r="I14" s="1" t="s">
        <v>136</v>
      </c>
      <c r="J14" s="1" t="s">
        <v>47</v>
      </c>
    </row>
    <row r="15" spans="1:10" hidden="1" x14ac:dyDescent="0.25">
      <c r="A15" s="1" t="s">
        <v>38</v>
      </c>
      <c r="B15" s="1">
        <v>29</v>
      </c>
      <c r="C15" s="1" t="s">
        <v>137</v>
      </c>
      <c r="D15" s="1" t="s">
        <v>138</v>
      </c>
      <c r="E15" s="1" t="s">
        <v>139</v>
      </c>
      <c r="F15" s="1" t="s">
        <v>34</v>
      </c>
      <c r="G15" s="1">
        <v>0.28000000000000003</v>
      </c>
      <c r="I15" s="1" t="s">
        <v>136</v>
      </c>
      <c r="J15" s="1" t="s">
        <v>47</v>
      </c>
    </row>
    <row r="16" spans="1:10" x14ac:dyDescent="0.25">
      <c r="A16" s="1" t="s">
        <v>38</v>
      </c>
      <c r="B16" s="1">
        <v>30</v>
      </c>
      <c r="C16" s="1" t="s">
        <v>143</v>
      </c>
      <c r="D16" s="1" t="s">
        <v>144</v>
      </c>
      <c r="E16" s="1" t="s">
        <v>67</v>
      </c>
      <c r="F16" s="1" t="s">
        <v>34</v>
      </c>
      <c r="G16" s="11">
        <v>0.5</v>
      </c>
      <c r="I16" s="1" t="s">
        <v>136</v>
      </c>
      <c r="J16" s="1" t="s">
        <v>47</v>
      </c>
    </row>
    <row r="17" spans="1:10" hidden="1" x14ac:dyDescent="0.25">
      <c r="A17" s="1" t="s">
        <v>38</v>
      </c>
      <c r="B17" s="1">
        <v>31</v>
      </c>
      <c r="C17" s="1" t="s">
        <v>147</v>
      </c>
      <c r="D17" s="1" t="s">
        <v>144</v>
      </c>
      <c r="E17" s="1" t="s">
        <v>72</v>
      </c>
      <c r="F17" s="1" t="s">
        <v>34</v>
      </c>
      <c r="G17" s="1">
        <v>0</v>
      </c>
      <c r="I17" s="1" t="s">
        <v>148</v>
      </c>
      <c r="J17" s="1" t="s">
        <v>47</v>
      </c>
    </row>
    <row r="18" spans="1:10" hidden="1" x14ac:dyDescent="0.25">
      <c r="A18" s="1" t="s">
        <v>38</v>
      </c>
      <c r="B18" s="1">
        <v>32</v>
      </c>
      <c r="C18" s="1" t="s">
        <v>149</v>
      </c>
      <c r="D18" s="1" t="s">
        <v>144</v>
      </c>
      <c r="E18" s="1" t="s">
        <v>77</v>
      </c>
      <c r="F18" s="1" t="s">
        <v>34</v>
      </c>
      <c r="G18" s="1">
        <v>0</v>
      </c>
      <c r="I18" s="1" t="s">
        <v>148</v>
      </c>
      <c r="J18" s="1" t="s">
        <v>47</v>
      </c>
    </row>
    <row r="19" spans="1:10" hidden="1" x14ac:dyDescent="0.25">
      <c r="A19" s="1" t="s">
        <v>38</v>
      </c>
      <c r="B19" s="1">
        <v>33</v>
      </c>
      <c r="C19" s="1" t="s">
        <v>151</v>
      </c>
      <c r="D19" s="1" t="s">
        <v>144</v>
      </c>
      <c r="E19" s="1" t="s">
        <v>83</v>
      </c>
      <c r="F19" s="1" t="s">
        <v>34</v>
      </c>
      <c r="G19" s="1">
        <v>0</v>
      </c>
      <c r="I19" s="1" t="s">
        <v>148</v>
      </c>
      <c r="J19" s="1" t="s">
        <v>47</v>
      </c>
    </row>
    <row r="20" spans="1:10" hidden="1" x14ac:dyDescent="0.25">
      <c r="A20" s="1" t="s">
        <v>38</v>
      </c>
      <c r="B20" s="1">
        <v>39</v>
      </c>
      <c r="C20" s="1" t="s">
        <v>165</v>
      </c>
      <c r="D20" s="1" t="s">
        <v>138</v>
      </c>
      <c r="E20" s="1" t="s">
        <v>166</v>
      </c>
      <c r="F20" s="1" t="s">
        <v>34</v>
      </c>
      <c r="G20" s="1">
        <v>0.63</v>
      </c>
      <c r="I20" s="1" t="s">
        <v>136</v>
      </c>
      <c r="J20" s="1" t="s">
        <v>47</v>
      </c>
    </row>
    <row r="21" spans="1:10" hidden="1" x14ac:dyDescent="0.25">
      <c r="A21" s="1" t="s">
        <v>38</v>
      </c>
      <c r="B21" s="1">
        <v>42</v>
      </c>
      <c r="C21" s="1" t="s">
        <v>174</v>
      </c>
      <c r="D21" s="1" t="s">
        <v>170</v>
      </c>
      <c r="E21" s="1" t="s">
        <v>77</v>
      </c>
      <c r="F21" s="1" t="s">
        <v>34</v>
      </c>
      <c r="G21" s="1">
        <v>0.75</v>
      </c>
      <c r="I21" s="1" t="s">
        <v>136</v>
      </c>
      <c r="J21" s="1" t="s">
        <v>47</v>
      </c>
    </row>
    <row r="22" spans="1:10" hidden="1" x14ac:dyDescent="0.25">
      <c r="A22" s="1" t="s">
        <v>38</v>
      </c>
      <c r="B22" s="1">
        <v>43</v>
      </c>
      <c r="C22" s="1" t="s">
        <v>176</v>
      </c>
      <c r="D22" s="1" t="s">
        <v>170</v>
      </c>
      <c r="E22" s="1" t="s">
        <v>83</v>
      </c>
      <c r="F22" s="1" t="s">
        <v>34</v>
      </c>
      <c r="G22" s="1">
        <v>0</v>
      </c>
      <c r="I22" s="1" t="s">
        <v>136</v>
      </c>
      <c r="J22" s="1" t="s">
        <v>47</v>
      </c>
    </row>
    <row r="23" spans="1:10" hidden="1" x14ac:dyDescent="0.25">
      <c r="A23" s="1" t="s">
        <v>38</v>
      </c>
      <c r="B23" s="1">
        <v>44</v>
      </c>
      <c r="C23" s="1" t="s">
        <v>178</v>
      </c>
      <c r="D23" s="1" t="s">
        <v>138</v>
      </c>
      <c r="E23" s="1" t="s">
        <v>166</v>
      </c>
      <c r="F23" s="1" t="s">
        <v>34</v>
      </c>
      <c r="G23" s="1">
        <v>0.63</v>
      </c>
      <c r="I23" s="1" t="s">
        <v>136</v>
      </c>
      <c r="J23" s="1" t="s">
        <v>47</v>
      </c>
    </row>
    <row r="24" spans="1:10" hidden="1" x14ac:dyDescent="0.25">
      <c r="A24" s="1" t="s">
        <v>38</v>
      </c>
      <c r="B24" s="1">
        <v>47</v>
      </c>
      <c r="C24" s="1" t="s">
        <v>183</v>
      </c>
      <c r="D24" s="1" t="s">
        <v>170</v>
      </c>
      <c r="E24" s="1" t="s">
        <v>77</v>
      </c>
      <c r="F24" s="1" t="s">
        <v>34</v>
      </c>
      <c r="G24" s="1">
        <v>0.75</v>
      </c>
      <c r="I24" s="1" t="s">
        <v>136</v>
      </c>
      <c r="J24" s="1" t="s">
        <v>47</v>
      </c>
    </row>
    <row r="25" spans="1:10" hidden="1" x14ac:dyDescent="0.25">
      <c r="A25" s="1" t="s">
        <v>38</v>
      </c>
      <c r="B25" s="1">
        <v>48</v>
      </c>
      <c r="C25" s="1" t="s">
        <v>184</v>
      </c>
      <c r="D25" s="1" t="s">
        <v>170</v>
      </c>
      <c r="E25" s="1" t="s">
        <v>83</v>
      </c>
      <c r="F25" s="1" t="s">
        <v>34</v>
      </c>
      <c r="G25" s="1">
        <v>0</v>
      </c>
      <c r="I25" s="1" t="s">
        <v>136</v>
      </c>
      <c r="J25" s="1" t="s">
        <v>47</v>
      </c>
    </row>
    <row r="26" spans="1:10" hidden="1" x14ac:dyDescent="0.25">
      <c r="A26" s="1" t="s">
        <v>38</v>
      </c>
      <c r="B26" s="1">
        <v>49</v>
      </c>
      <c r="C26" s="1" t="s">
        <v>185</v>
      </c>
      <c r="D26" s="1" t="s">
        <v>43</v>
      </c>
      <c r="E26" s="1" t="s">
        <v>186</v>
      </c>
      <c r="F26" s="1" t="s">
        <v>34</v>
      </c>
      <c r="G26" s="1">
        <v>0.17</v>
      </c>
      <c r="I26" s="1" t="s">
        <v>188</v>
      </c>
      <c r="J26" s="1" t="s">
        <v>47</v>
      </c>
    </row>
    <row r="27" spans="1:10" hidden="1" x14ac:dyDescent="0.25">
      <c r="A27" s="1" t="s">
        <v>38</v>
      </c>
      <c r="B27" s="1">
        <v>50</v>
      </c>
      <c r="C27" s="1" t="s">
        <v>189</v>
      </c>
      <c r="D27" s="1" t="s">
        <v>190</v>
      </c>
      <c r="E27" s="1" t="s">
        <v>191</v>
      </c>
      <c r="F27" s="1" t="s">
        <v>34</v>
      </c>
      <c r="G27" s="1">
        <v>0.67</v>
      </c>
      <c r="I27" s="1" t="s">
        <v>188</v>
      </c>
      <c r="J27" s="1" t="s">
        <v>47</v>
      </c>
    </row>
    <row r="28" spans="1:10" hidden="1" x14ac:dyDescent="0.25">
      <c r="A28" s="1" t="s">
        <v>38</v>
      </c>
      <c r="B28" s="1">
        <v>53</v>
      </c>
      <c r="C28" s="1" t="s">
        <v>198</v>
      </c>
      <c r="D28" s="1" t="s">
        <v>194</v>
      </c>
      <c r="E28" s="1" t="s">
        <v>77</v>
      </c>
      <c r="F28" s="1" t="s">
        <v>34</v>
      </c>
      <c r="G28" s="1">
        <v>0.5</v>
      </c>
      <c r="I28" s="1" t="s">
        <v>188</v>
      </c>
      <c r="J28" s="1" t="s">
        <v>47</v>
      </c>
    </row>
    <row r="29" spans="1:10" hidden="1" x14ac:dyDescent="0.25">
      <c r="A29" s="1" t="s">
        <v>38</v>
      </c>
      <c r="B29" s="1">
        <v>54</v>
      </c>
      <c r="C29" s="1" t="s">
        <v>199</v>
      </c>
      <c r="D29" s="1" t="s">
        <v>194</v>
      </c>
      <c r="E29" s="1" t="s">
        <v>83</v>
      </c>
      <c r="F29" s="1" t="s">
        <v>34</v>
      </c>
      <c r="G29" s="1">
        <v>0</v>
      </c>
      <c r="I29" s="1" t="s">
        <v>188</v>
      </c>
      <c r="J29" s="1" t="s">
        <v>47</v>
      </c>
    </row>
    <row r="30" spans="1:10" hidden="1" x14ac:dyDescent="0.25">
      <c r="A30" s="1" t="s">
        <v>38</v>
      </c>
      <c r="B30" s="1">
        <v>70</v>
      </c>
      <c r="C30" s="1" t="s">
        <v>228</v>
      </c>
      <c r="D30" s="1" t="s">
        <v>43</v>
      </c>
      <c r="E30" s="1" t="s">
        <v>229</v>
      </c>
      <c r="F30" s="1" t="s">
        <v>64</v>
      </c>
      <c r="G30" s="1">
        <v>0.24</v>
      </c>
      <c r="I30" s="1" t="s">
        <v>231</v>
      </c>
      <c r="J30" s="1" t="s">
        <v>47</v>
      </c>
    </row>
    <row r="31" spans="1:10" hidden="1" x14ac:dyDescent="0.25">
      <c r="A31" s="1" t="s">
        <v>38</v>
      </c>
      <c r="B31" s="1">
        <v>96</v>
      </c>
      <c r="C31" s="1" t="s">
        <v>281</v>
      </c>
      <c r="D31" s="1" t="s">
        <v>43</v>
      </c>
      <c r="E31" s="1" t="s">
        <v>282</v>
      </c>
      <c r="F31" s="1" t="s">
        <v>34</v>
      </c>
      <c r="G31" s="1">
        <v>7.0000000000000007E-2</v>
      </c>
      <c r="I31" s="1" t="s">
        <v>284</v>
      </c>
      <c r="J31" s="1" t="s">
        <v>47</v>
      </c>
    </row>
    <row r="32" spans="1:10" hidden="1" x14ac:dyDescent="0.25">
      <c r="A32" s="1" t="s">
        <v>38</v>
      </c>
      <c r="B32" s="1">
        <v>97</v>
      </c>
      <c r="C32" s="1" t="s">
        <v>286</v>
      </c>
      <c r="D32" s="1" t="s">
        <v>287</v>
      </c>
      <c r="E32" s="1" t="s">
        <v>288</v>
      </c>
      <c r="F32" s="1" t="s">
        <v>34</v>
      </c>
      <c r="G32" s="1">
        <v>0.21</v>
      </c>
      <c r="I32" s="1" t="s">
        <v>284</v>
      </c>
      <c r="J32" s="1" t="s">
        <v>47</v>
      </c>
    </row>
    <row r="33" spans="1:10" x14ac:dyDescent="0.25">
      <c r="A33" s="1" t="s">
        <v>38</v>
      </c>
      <c r="B33" s="1">
        <v>98</v>
      </c>
      <c r="C33" s="1" t="s">
        <v>289</v>
      </c>
      <c r="D33" s="1" t="s">
        <v>290</v>
      </c>
      <c r="E33" s="1" t="s">
        <v>67</v>
      </c>
      <c r="F33" s="1" t="s">
        <v>34</v>
      </c>
      <c r="G33" s="11">
        <v>0.5</v>
      </c>
      <c r="I33" s="1" t="s">
        <v>284</v>
      </c>
      <c r="J33" s="1" t="s">
        <v>47</v>
      </c>
    </row>
    <row r="34" spans="1:10" hidden="1" x14ac:dyDescent="0.25">
      <c r="A34" s="1" t="s">
        <v>38</v>
      </c>
      <c r="B34" s="1">
        <v>99</v>
      </c>
      <c r="C34" s="1" t="s">
        <v>292</v>
      </c>
      <c r="D34" s="1" t="s">
        <v>290</v>
      </c>
      <c r="E34" s="1" t="s">
        <v>72</v>
      </c>
      <c r="F34" s="1" t="s">
        <v>34</v>
      </c>
      <c r="G34" s="1">
        <v>0</v>
      </c>
      <c r="I34" s="1" t="s">
        <v>284</v>
      </c>
      <c r="J34" s="1" t="s">
        <v>47</v>
      </c>
    </row>
    <row r="35" spans="1:10" hidden="1" x14ac:dyDescent="0.25">
      <c r="A35" s="1" t="s">
        <v>38</v>
      </c>
      <c r="B35" s="1">
        <v>100</v>
      </c>
      <c r="C35" s="1" t="s">
        <v>293</v>
      </c>
      <c r="D35" s="1" t="s">
        <v>290</v>
      </c>
      <c r="E35" s="1" t="s">
        <v>77</v>
      </c>
      <c r="F35" s="1" t="s">
        <v>34</v>
      </c>
      <c r="G35" s="1">
        <v>0</v>
      </c>
      <c r="I35" s="1" t="s">
        <v>284</v>
      </c>
      <c r="J35" s="1" t="s">
        <v>47</v>
      </c>
    </row>
    <row r="36" spans="1:10" hidden="1" x14ac:dyDescent="0.25">
      <c r="A36" s="1" t="s">
        <v>38</v>
      </c>
      <c r="B36" s="1">
        <v>101</v>
      </c>
      <c r="C36" s="1" t="s">
        <v>294</v>
      </c>
      <c r="D36" s="1" t="s">
        <v>290</v>
      </c>
      <c r="E36" s="1" t="s">
        <v>83</v>
      </c>
      <c r="F36" s="1" t="s">
        <v>34</v>
      </c>
      <c r="G36" s="1">
        <v>0</v>
      </c>
      <c r="I36" s="1" t="s">
        <v>284</v>
      </c>
      <c r="J36" s="1" t="s">
        <v>47</v>
      </c>
    </row>
    <row r="37" spans="1:10" hidden="1" x14ac:dyDescent="0.25">
      <c r="A37" s="1" t="s">
        <v>38</v>
      </c>
      <c r="B37" s="1">
        <v>112</v>
      </c>
      <c r="C37" s="1" t="s">
        <v>310</v>
      </c>
      <c r="D37" s="1" t="s">
        <v>43</v>
      </c>
      <c r="E37" s="1" t="s">
        <v>311</v>
      </c>
      <c r="F37" s="1" t="s">
        <v>34</v>
      </c>
      <c r="G37" s="1">
        <v>0.25</v>
      </c>
      <c r="I37" s="1" t="s">
        <v>313</v>
      </c>
      <c r="J37" s="1" t="s">
        <v>47</v>
      </c>
    </row>
    <row r="38" spans="1:10" hidden="1" x14ac:dyDescent="0.25">
      <c r="A38" s="1" t="s">
        <v>38</v>
      </c>
      <c r="B38" s="1">
        <v>113</v>
      </c>
      <c r="C38" s="1" t="s">
        <v>314</v>
      </c>
      <c r="D38" s="1" t="s">
        <v>315</v>
      </c>
      <c r="E38" s="1" t="s">
        <v>316</v>
      </c>
      <c r="F38" s="1" t="s">
        <v>34</v>
      </c>
      <c r="G38" s="1">
        <v>0.8</v>
      </c>
      <c r="I38" s="1" t="s">
        <v>313</v>
      </c>
      <c r="J38" s="1" t="s">
        <v>47</v>
      </c>
    </row>
    <row r="39" spans="1:10" hidden="1" x14ac:dyDescent="0.25">
      <c r="A39" s="1" t="s">
        <v>38</v>
      </c>
      <c r="B39" s="1">
        <v>116</v>
      </c>
      <c r="C39" s="1" t="s">
        <v>321</v>
      </c>
      <c r="D39" s="1" t="s">
        <v>319</v>
      </c>
      <c r="E39" s="1" t="s">
        <v>77</v>
      </c>
      <c r="F39" s="1" t="s">
        <v>34</v>
      </c>
      <c r="G39" s="1">
        <v>0.5</v>
      </c>
      <c r="I39" s="1" t="s">
        <v>313</v>
      </c>
      <c r="J39" s="1" t="s">
        <v>47</v>
      </c>
    </row>
    <row r="40" spans="1:10" hidden="1" x14ac:dyDescent="0.25">
      <c r="A40" s="1" t="s">
        <v>38</v>
      </c>
      <c r="B40" s="1">
        <v>117</v>
      </c>
      <c r="C40" s="1" t="s">
        <v>322</v>
      </c>
      <c r="D40" s="1" t="s">
        <v>319</v>
      </c>
      <c r="E40" s="1" t="s">
        <v>83</v>
      </c>
      <c r="F40" s="1" t="s">
        <v>34</v>
      </c>
      <c r="G40" s="1">
        <v>0</v>
      </c>
      <c r="I40" s="1" t="s">
        <v>313</v>
      </c>
      <c r="J40" s="1" t="s">
        <v>47</v>
      </c>
    </row>
    <row r="41" spans="1:10" hidden="1" x14ac:dyDescent="0.25">
      <c r="A41" s="1" t="s">
        <v>38</v>
      </c>
      <c r="B41" s="1">
        <v>128</v>
      </c>
      <c r="C41" s="1" t="s">
        <v>340</v>
      </c>
      <c r="D41" s="1" t="s">
        <v>43</v>
      </c>
      <c r="E41" s="1" t="s">
        <v>341</v>
      </c>
      <c r="F41" s="1" t="s">
        <v>34</v>
      </c>
      <c r="G41" s="1">
        <v>0.2</v>
      </c>
      <c r="I41" s="1" t="s">
        <v>343</v>
      </c>
      <c r="J41" s="1" t="s">
        <v>47</v>
      </c>
    </row>
    <row r="42" spans="1:10" hidden="1" x14ac:dyDescent="0.25">
      <c r="A42" s="1" t="s">
        <v>38</v>
      </c>
      <c r="B42" s="1">
        <v>129</v>
      </c>
      <c r="C42" s="1" t="s">
        <v>344</v>
      </c>
      <c r="D42" s="1" t="s">
        <v>345</v>
      </c>
      <c r="E42" s="1" t="s">
        <v>346</v>
      </c>
      <c r="F42" s="1" t="s">
        <v>34</v>
      </c>
      <c r="G42" s="1">
        <v>0.5</v>
      </c>
      <c r="I42" s="1" t="s">
        <v>343</v>
      </c>
      <c r="J42" s="1" t="s">
        <v>47</v>
      </c>
    </row>
    <row r="43" spans="1:10" hidden="1" x14ac:dyDescent="0.25">
      <c r="A43" s="1" t="s">
        <v>38</v>
      </c>
      <c r="B43" s="1">
        <v>132</v>
      </c>
      <c r="C43" s="1" t="s">
        <v>351</v>
      </c>
      <c r="D43" s="1" t="s">
        <v>348</v>
      </c>
      <c r="E43" s="1" t="s">
        <v>77</v>
      </c>
      <c r="F43" s="1" t="s">
        <v>34</v>
      </c>
      <c r="G43" s="1">
        <v>0.5</v>
      </c>
      <c r="I43" s="1" t="s">
        <v>343</v>
      </c>
      <c r="J43" s="1" t="s">
        <v>47</v>
      </c>
    </row>
    <row r="44" spans="1:10" hidden="1" x14ac:dyDescent="0.25">
      <c r="A44" s="1" t="s">
        <v>38</v>
      </c>
      <c r="B44" s="1">
        <v>133</v>
      </c>
      <c r="C44" s="1" t="s">
        <v>352</v>
      </c>
      <c r="D44" s="1" t="s">
        <v>348</v>
      </c>
      <c r="E44" s="1" t="s">
        <v>83</v>
      </c>
      <c r="F44" s="1" t="s">
        <v>34</v>
      </c>
      <c r="G44" s="1">
        <v>0</v>
      </c>
      <c r="I44" s="1" t="s">
        <v>343</v>
      </c>
      <c r="J44" s="1" t="s">
        <v>47</v>
      </c>
    </row>
    <row r="45" spans="1:10" hidden="1" x14ac:dyDescent="0.25">
      <c r="A45" s="1" t="s">
        <v>38</v>
      </c>
      <c r="B45" s="1">
        <v>144</v>
      </c>
      <c r="C45" s="1" t="s">
        <v>371</v>
      </c>
      <c r="D45" s="1" t="s">
        <v>345</v>
      </c>
      <c r="E45" s="1" t="s">
        <v>372</v>
      </c>
      <c r="F45" s="1" t="s">
        <v>64</v>
      </c>
      <c r="G45" s="1">
        <v>0.43</v>
      </c>
      <c r="I45" s="1" t="s">
        <v>343</v>
      </c>
      <c r="J45" s="1" t="s">
        <v>47</v>
      </c>
    </row>
    <row r="46" spans="1:10" hidden="1" x14ac:dyDescent="0.25">
      <c r="A46" s="1" t="s">
        <v>38</v>
      </c>
      <c r="B46" s="1">
        <v>146</v>
      </c>
      <c r="C46" s="1" t="s">
        <v>375</v>
      </c>
      <c r="D46" s="1" t="s">
        <v>374</v>
      </c>
      <c r="E46" s="1" t="s">
        <v>72</v>
      </c>
      <c r="F46" s="1" t="s">
        <v>79</v>
      </c>
      <c r="G46" s="1">
        <v>0</v>
      </c>
      <c r="I46" s="1" t="s">
        <v>343</v>
      </c>
      <c r="J46" s="1" t="s">
        <v>47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I10" sqref="I10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9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9</v>
      </c>
      <c r="H1" s="1" t="s">
        <v>19</v>
      </c>
      <c r="I1" s="1" t="s">
        <v>13</v>
      </c>
      <c r="J1" s="1" t="s">
        <v>12</v>
      </c>
    </row>
    <row r="2" spans="1:10" hidden="1" x14ac:dyDescent="0.25">
      <c r="A2" s="1" t="s">
        <v>38</v>
      </c>
      <c r="B2" s="1">
        <v>139</v>
      </c>
      <c r="C2" s="1" t="s">
        <v>364</v>
      </c>
      <c r="D2" s="1" t="s">
        <v>345</v>
      </c>
      <c r="E2" s="1" t="s">
        <v>365</v>
      </c>
      <c r="F2" s="1" t="s">
        <v>79</v>
      </c>
      <c r="G2" s="1">
        <v>0</v>
      </c>
      <c r="I2" s="1" t="s">
        <v>343</v>
      </c>
      <c r="J2" s="1" t="s">
        <v>47</v>
      </c>
    </row>
    <row r="3" spans="1:10" x14ac:dyDescent="0.25">
      <c r="A3" s="1" t="s">
        <v>38</v>
      </c>
      <c r="B3" s="1">
        <v>140</v>
      </c>
      <c r="C3" s="1" t="s">
        <v>366</v>
      </c>
      <c r="D3" s="1" t="s">
        <v>367</v>
      </c>
      <c r="E3" s="1" t="s">
        <v>67</v>
      </c>
      <c r="F3" s="1" t="s">
        <v>79</v>
      </c>
      <c r="G3" s="1">
        <v>0</v>
      </c>
      <c r="I3" s="1" t="s">
        <v>343</v>
      </c>
      <c r="J3" s="1" t="s">
        <v>47</v>
      </c>
    </row>
    <row r="4" spans="1:10" hidden="1" x14ac:dyDescent="0.25">
      <c r="A4" s="1" t="s">
        <v>38</v>
      </c>
      <c r="B4" s="1">
        <v>141</v>
      </c>
      <c r="C4" s="1" t="s">
        <v>368</v>
      </c>
      <c r="D4" s="1" t="s">
        <v>367</v>
      </c>
      <c r="E4" s="1" t="s">
        <v>72</v>
      </c>
      <c r="F4" s="1" t="s">
        <v>79</v>
      </c>
      <c r="G4" s="1">
        <v>0</v>
      </c>
      <c r="I4" s="1" t="s">
        <v>343</v>
      </c>
      <c r="J4" s="1" t="s">
        <v>47</v>
      </c>
    </row>
    <row r="5" spans="1:10" hidden="1" x14ac:dyDescent="0.25">
      <c r="A5" s="1" t="s">
        <v>38</v>
      </c>
      <c r="B5" s="1">
        <v>142</v>
      </c>
      <c r="C5" s="1" t="s">
        <v>369</v>
      </c>
      <c r="D5" s="1" t="s">
        <v>367</v>
      </c>
      <c r="E5" s="1" t="s">
        <v>77</v>
      </c>
      <c r="F5" s="1" t="s">
        <v>79</v>
      </c>
      <c r="G5" s="1">
        <v>0</v>
      </c>
      <c r="I5" s="1" t="s">
        <v>343</v>
      </c>
      <c r="J5" s="1" t="s">
        <v>47</v>
      </c>
    </row>
    <row r="6" spans="1:10" hidden="1" x14ac:dyDescent="0.25">
      <c r="A6" s="1" t="s">
        <v>38</v>
      </c>
      <c r="B6" s="1">
        <v>147</v>
      </c>
      <c r="C6" s="1" t="s">
        <v>376</v>
      </c>
      <c r="D6" s="1" t="s">
        <v>374</v>
      </c>
      <c r="E6" s="1" t="s">
        <v>77</v>
      </c>
      <c r="F6" s="1" t="s">
        <v>79</v>
      </c>
      <c r="G6" s="1">
        <v>0</v>
      </c>
      <c r="I6" s="1" t="s">
        <v>343</v>
      </c>
      <c r="J6" s="1" t="s">
        <v>47</v>
      </c>
    </row>
    <row r="7" spans="1:10" hidden="1" x14ac:dyDescent="0.25">
      <c r="A7" s="1" t="s">
        <v>38</v>
      </c>
      <c r="B7" s="1">
        <v>148</v>
      </c>
      <c r="C7" s="1" t="s">
        <v>377</v>
      </c>
      <c r="D7" s="1" t="s">
        <v>374</v>
      </c>
      <c r="E7" s="1" t="s">
        <v>83</v>
      </c>
      <c r="F7" s="1" t="s">
        <v>79</v>
      </c>
      <c r="G7" s="1">
        <v>0</v>
      </c>
      <c r="I7" s="1" t="s">
        <v>343</v>
      </c>
      <c r="J7" s="1" t="s">
        <v>47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13FBD253-E481-4EBD-B317-6B3BB65EE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E68FD1-C435-40E9-AEC5-ACE999AAAC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BB326-4A13-426F-9A28-80A2695B2A8F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2026-07-02T12:45:13Z</dcterms:created>
  <dcterms:modified xsi:type="dcterms:W3CDTF">2026-07-03T17:20:05Z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2026-07-02T12:46:43Z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15055d3d-7a54-40ea-a7b2-c216428de86b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